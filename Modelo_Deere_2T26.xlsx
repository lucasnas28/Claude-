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3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12058000</v>
      </c>
      <c r="E5" s="265" t="n">
        <v>11527000</v>
      </c>
      <c r="F5" s="265" t="n">
        <v>11327000</v>
      </c>
      <c r="G5" s="265" t="n">
        <v>9569000</v>
      </c>
      <c r="I5" s="265" t="n">
        <v>13370000</v>
      </c>
      <c r="J5" s="265" t="n">
        <v>14102000</v>
      </c>
      <c r="K5" s="265" t="n">
        <v>15536000</v>
      </c>
      <c r="L5" s="265" t="n">
        <v>12652000</v>
      </c>
      <c r="N5" s="265" t="n">
        <v>17387000</v>
      </c>
      <c r="O5" s="265" t="n">
        <v>15801000</v>
      </c>
      <c r="P5" s="265" t="n">
        <v>15412000</v>
      </c>
      <c r="Q5" s="265" t="n">
        <v>12185000</v>
      </c>
      <c r="S5" s="265" t="n">
        <v>15235000</v>
      </c>
      <c r="T5" s="265" t="n">
        <v>13152000</v>
      </c>
      <c r="U5" s="265" t="n">
        <v>11144000</v>
      </c>
      <c r="V5" s="265" t="n">
        <v>8508000</v>
      </c>
      <c r="X5" s="265" t="n">
        <v>12763000</v>
      </c>
      <c r="Y5" s="265" t="n">
        <v>12018000</v>
      </c>
      <c r="Z5" s="265" t="n">
        <v>12394000</v>
      </c>
      <c r="AA5" s="265" t="n">
        <v>9611000</v>
      </c>
      <c r="AC5" s="265" t="n">
        <v>13369000</v>
      </c>
      <c r="AD5" s="265" t="n">
        <v>12608000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0</v>
      </c>
      <c r="E6" s="265" t="n">
        <v>0</v>
      </c>
      <c r="F6" s="265" t="n">
        <v>0</v>
      </c>
      <c r="G6" s="265" t="n">
        <v>0</v>
      </c>
      <c r="I6" s="265" t="n">
        <v>0</v>
      </c>
      <c r="J6" s="265" t="n">
        <v>0</v>
      </c>
      <c r="K6" s="265" t="n">
        <v>0</v>
      </c>
      <c r="L6" s="265" t="n">
        <v>0</v>
      </c>
      <c r="N6" s="265" t="n">
        <v>0</v>
      </c>
      <c r="O6" s="265" t="n">
        <v>0</v>
      </c>
      <c r="P6" s="265" t="n">
        <v>0</v>
      </c>
      <c r="Q6" s="265" t="n">
        <v>0</v>
      </c>
      <c r="S6" s="265" t="n">
        <v>0</v>
      </c>
      <c r="T6" s="265" t="n">
        <v>0</v>
      </c>
      <c r="U6" s="265" t="n">
        <v>0</v>
      </c>
      <c r="V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C6" s="265" t="n">
        <v>0</v>
      </c>
      <c r="AD6" s="265" t="n">
        <v>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0</v>
      </c>
      <c r="E7" s="265">
        <f>IF(E6="","",-1*E6)</f>
        <v>0</v>
      </c>
      <c r="F7" s="265">
        <f>IF(F6="","",-1*F6)</f>
        <v>0</v>
      </c>
      <c r="G7" s="265">
        <f>IF(G6="","",-1*G6)</f>
        <v>0</v>
      </c>
      <c r="I7" s="265">
        <f>IF(I6="","",-1*I6)</f>
        <v>0</v>
      </c>
      <c r="J7" s="265">
        <f>IF(J6="","",-1*J6)</f>
        <v>0</v>
      </c>
      <c r="K7" s="265">
        <f>IF(K6="","",-1*K6)</f>
        <v>0</v>
      </c>
      <c r="L7" s="265">
        <f>IF(L6="","",-1*L6)</f>
        <v>0</v>
      </c>
      <c r="N7" s="265">
        <f>IF(N6="","",-1*N6)</f>
        <v>0</v>
      </c>
      <c r="O7" s="265">
        <f>IF(O6="","",-1*O6)</f>
        <v>0</v>
      </c>
      <c r="P7" s="265">
        <f>IF(P6="","",-1*P6)</f>
        <v>0</v>
      </c>
      <c r="Q7" s="265">
        <f>IF(Q6="","",-1*Q6)</f>
        <v>0</v>
      </c>
      <c r="S7" s="265">
        <f>IF(S6="","",-1*S6)</f>
        <v>0</v>
      </c>
      <c r="T7" s="265">
        <f>IF(T6="","",-1*T6)</f>
        <v>0</v>
      </c>
      <c r="U7" s="265">
        <f>IF(U6="","",-1*U6)</f>
        <v>0</v>
      </c>
      <c r="V7" s="265">
        <f>IF(V6="","",-1*V6)</f>
        <v>0</v>
      </c>
      <c r="X7" s="265">
        <f>IF(X6="","",-1*X6)</f>
        <v>0</v>
      </c>
      <c r="Y7" s="265">
        <f>IF(Y6="","",-1*Y6)</f>
        <v>0</v>
      </c>
      <c r="Z7" s="265">
        <f>IF(Z6="","",-1*Z6)</f>
        <v>0</v>
      </c>
      <c r="AA7" s="265">
        <f>IF(AA6="","",-1*AA6)</f>
        <v>0</v>
      </c>
      <c r="AC7" s="265">
        <f>IF(AC6="","",-1*AC6)</f>
        <v>0</v>
      </c>
      <c r="AD7" s="265">
        <f>IF(AD6="","",-1*AD6)</f>
        <v>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2439000</v>
      </c>
      <c r="E8" s="265" t="n">
        <v>2243000</v>
      </c>
      <c r="F8" s="265" t="n">
        <v>1692000</v>
      </c>
      <c r="G8" s="265" t="n">
        <v>1235000</v>
      </c>
      <c r="I8" s="265" t="n">
        <v>2670000</v>
      </c>
      <c r="J8" s="265" t="n">
        <v>2646000</v>
      </c>
      <c r="K8" s="265" t="n">
        <v>2956000</v>
      </c>
      <c r="L8" s="265" t="n">
        <v>2518000</v>
      </c>
      <c r="N8" s="265" t="n">
        <v>3898000</v>
      </c>
      <c r="O8" s="265" t="n">
        <v>3516000</v>
      </c>
      <c r="P8" s="265" t="n">
        <v>3026000</v>
      </c>
      <c r="Q8" s="265" t="n"/>
      <c r="S8" s="265" t="n"/>
      <c r="T8" s="265" t="n"/>
      <c r="U8" s="265" t="n"/>
      <c r="V8" s="265" t="n"/>
      <c r="X8" s="265" t="n"/>
      <c r="Y8" s="265" t="n"/>
      <c r="Z8" s="265" t="n"/>
      <c r="AA8" s="265" t="n"/>
      <c r="AC8" s="265" t="n"/>
      <c r="AD8" s="265" t="n"/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9619000</v>
      </c>
      <c r="E9" s="265">
        <f>N(E5)-N(E6)-N(E8)</f>
        <v>9284000</v>
      </c>
      <c r="F9" s="265">
        <f>N(F5)-N(F6)-N(F8)</f>
        <v>9635000</v>
      </c>
      <c r="G9" s="265">
        <f>N(G5)-N(G6)-N(G8)</f>
        <v>8334000</v>
      </c>
      <c r="I9" s="265">
        <f>N(I5)-N(I6)-N(I8)</f>
        <v>10700000</v>
      </c>
      <c r="J9" s="265">
        <f>N(J5)-N(J6)-N(J8)</f>
        <v>11456000</v>
      </c>
      <c r="K9" s="265">
        <f>N(K5)-N(K6)-N(K8)</f>
        <v>12580000</v>
      </c>
      <c r="L9" s="265">
        <f>N(L5)-N(L6)-N(L8)</f>
        <v>10134000</v>
      </c>
      <c r="N9" s="265">
        <f>N(N5)-N(N6)-N(N8)</f>
        <v>13489000</v>
      </c>
      <c r="O9" s="265">
        <f>N(O5)-N(O6)-N(O8)</f>
        <v>12285000</v>
      </c>
      <c r="P9" s="265">
        <f>N(P5)-N(P6)-N(P8)</f>
        <v>12386000</v>
      </c>
      <c r="Q9" s="265">
        <f>N(Q5)-N(Q6)-N(Q8)</f>
        <v>12185000</v>
      </c>
      <c r="S9" s="265">
        <f>N(S5)-N(S6)-N(S8)</f>
        <v>15235000</v>
      </c>
      <c r="T9" s="265">
        <f>N(T5)-N(T6)-N(T8)</f>
        <v>13152000</v>
      </c>
      <c r="U9" s="265">
        <f>N(U5)-N(U6)-N(U8)</f>
        <v>11144000</v>
      </c>
      <c r="V9" s="265">
        <f>N(V5)-N(V6)-N(V8)</f>
        <v>8508000</v>
      </c>
      <c r="X9" s="265">
        <f>N(X5)-N(X6)-N(X8)</f>
        <v>12763000</v>
      </c>
      <c r="Y9" s="265">
        <f>N(Y5)-N(Y6)-N(Y8)</f>
        <v>12018000</v>
      </c>
      <c r="Z9" s="265">
        <f>N(Z5)-N(Z6)-N(Z8)</f>
        <v>12394000</v>
      </c>
      <c r="AA9" s="265">
        <f>N(AA5)-N(AA6)-N(AA8)</f>
        <v>9611000</v>
      </c>
      <c r="AC9" s="265">
        <f>N(AC5)-N(AC6)-N(AC8)</f>
        <v>13369000</v>
      </c>
      <c r="AD9" s="265">
        <f>N(AD5)-N(AD6)-N(AD8)</f>
        <v>12608000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-9619000</v>
      </c>
      <c r="E10" s="265">
        <f>IF(E9="","",-1*E9)</f>
        <v>-9284000</v>
      </c>
      <c r="F10" s="265">
        <f>IF(F9="","",-1*F9)</f>
        <v>-9635000</v>
      </c>
      <c r="G10" s="265">
        <f>IF(G9="","",-1*G9)</f>
        <v>-8334000</v>
      </c>
      <c r="I10" s="265">
        <f>IF(I9="","",-1*I9)</f>
        <v>-10700000</v>
      </c>
      <c r="J10" s="265">
        <f>IF(J9="","",-1*J9)</f>
        <v>-11456000</v>
      </c>
      <c r="K10" s="265">
        <f>IF(K9="","",-1*K9)</f>
        <v>-12580000</v>
      </c>
      <c r="L10" s="265">
        <f>IF(L9="","",-1*L9)</f>
        <v>-10134000</v>
      </c>
      <c r="N10" s="265">
        <f>IF(N9="","",-1*N9)</f>
        <v>-13489000</v>
      </c>
      <c r="O10" s="265">
        <f>IF(O9="","",-1*O9)</f>
        <v>-12285000</v>
      </c>
      <c r="P10" s="265">
        <f>IF(P9="","",-1*P9)</f>
        <v>-12386000</v>
      </c>
      <c r="Q10" s="265">
        <f>IF(Q9="","",-1*Q9)</f>
        <v>-12185000</v>
      </c>
      <c r="S10" s="265">
        <f>IF(S9="","",-1*S9)</f>
        <v>-15235000</v>
      </c>
      <c r="T10" s="265">
        <f>IF(T9="","",-1*T9)</f>
        <v>-13152000</v>
      </c>
      <c r="U10" s="265">
        <f>IF(U9="","",-1*U9)</f>
        <v>-11144000</v>
      </c>
      <c r="V10" s="265">
        <f>IF(V9="","",-1*V9)</f>
        <v>-8508000</v>
      </c>
      <c r="X10" s="265">
        <f>IF(X9="","",-1*X9)</f>
        <v>-12763000</v>
      </c>
      <c r="Y10" s="265">
        <f>IF(Y9="","",-1*Y9)</f>
        <v>-12018000</v>
      </c>
      <c r="Z10" s="265">
        <f>IF(Z9="","",-1*Z9)</f>
        <v>-12394000</v>
      </c>
      <c r="AA10" s="265">
        <f>IF(AA9="","",-1*AA9)</f>
        <v>-9611000</v>
      </c>
      <c r="AC10" s="265">
        <f>IF(AC9="","",-1*AC9)</f>
        <v>-13369000</v>
      </c>
      <c r="AD10" s="265">
        <f>IF(AD9="","",-1*AD9)</f>
        <v>-12608000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2312000</v>
      </c>
      <c r="E11" s="265" t="n">
        <v>2150000</v>
      </c>
      <c r="F11" s="265" t="n">
        <v>1613000</v>
      </c>
      <c r="G11" s="265" t="n">
        <v>1151000</v>
      </c>
      <c r="I11" s="265" t="n">
        <v>2552000</v>
      </c>
      <c r="J11" s="265" t="n">
        <v>2539000</v>
      </c>
      <c r="K11" s="265" t="n">
        <v>2885000</v>
      </c>
      <c r="L11" s="265" t="n">
        <v>2493000</v>
      </c>
      <c r="N11" s="265" t="n">
        <v>3848000</v>
      </c>
      <c r="O11" s="265" t="n">
        <v>3606000</v>
      </c>
      <c r="P11" s="265" t="n">
        <v>3073000</v>
      </c>
      <c r="Q11" s="265" t="n">
        <v>2215000</v>
      </c>
      <c r="S11" s="265" t="n">
        <v>3117000</v>
      </c>
      <c r="T11" s="265" t="n">
        <v>2355000</v>
      </c>
      <c r="U11" s="265" t="n">
        <v>1519000</v>
      </c>
      <c r="V11" s="265" t="n">
        <v>895000</v>
      </c>
      <c r="X11" s="265" t="n">
        <v>2337000</v>
      </c>
      <c r="Y11" s="265" t="n">
        <v>1600000</v>
      </c>
      <c r="Z11" s="265" t="n">
        <v>1425000</v>
      </c>
      <c r="AA11" s="265" t="n">
        <v>836000</v>
      </c>
      <c r="AC11" s="265" t="n">
        <v>2293000</v>
      </c>
      <c r="AD11" s="265" t="n">
        <v>1882000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-127000</v>
      </c>
      <c r="E12" s="265">
        <f>N(E11)-N(E8)</f>
        <v>-93000</v>
      </c>
      <c r="F12" s="265">
        <f>N(F11)-N(F8)</f>
        <v>-79000</v>
      </c>
      <c r="G12" s="265">
        <f>N(G11)-N(G8)</f>
        <v>-84000</v>
      </c>
      <c r="I12" s="265">
        <f>N(I11)-N(I8)</f>
        <v>-118000</v>
      </c>
      <c r="J12" s="265">
        <f>N(J11)-N(J8)</f>
        <v>-107000</v>
      </c>
      <c r="K12" s="265">
        <f>N(K11)-N(K8)</f>
        <v>-71000</v>
      </c>
      <c r="L12" s="265">
        <f>N(L11)-N(L8)</f>
        <v>-25000</v>
      </c>
      <c r="N12" s="265">
        <f>N(N11)-N(N8)</f>
        <v>-50000</v>
      </c>
      <c r="O12" s="265">
        <f>N(O11)-N(O8)</f>
        <v>90000</v>
      </c>
      <c r="P12" s="265">
        <f>N(P11)-N(P8)</f>
        <v>47000</v>
      </c>
      <c r="Q12" s="265">
        <f>N(Q11)-N(Q8)</f>
        <v>2215000</v>
      </c>
      <c r="S12" s="265">
        <f>N(S11)-N(S8)</f>
        <v>3117000</v>
      </c>
      <c r="T12" s="265">
        <f>N(T11)-N(T8)</f>
        <v>2355000</v>
      </c>
      <c r="U12" s="265">
        <f>N(U11)-N(U8)</f>
        <v>1519000</v>
      </c>
      <c r="V12" s="265">
        <f>N(V11)-N(V8)</f>
        <v>895000</v>
      </c>
      <c r="X12" s="265">
        <f>N(X11)-N(X8)</f>
        <v>2337000</v>
      </c>
      <c r="Y12" s="265">
        <f>N(Y11)-N(Y8)</f>
        <v>1600000</v>
      </c>
      <c r="Z12" s="265">
        <f>N(Z11)-N(Z8)</f>
        <v>1425000</v>
      </c>
      <c r="AA12" s="265">
        <f>N(AA11)-N(AA8)</f>
        <v>836000</v>
      </c>
      <c r="AC12" s="265">
        <f>N(AC11)-N(AC8)</f>
        <v>2293000</v>
      </c>
      <c r="AD12" s="265">
        <f>N(AD11)-N(AD8)</f>
        <v>1882000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268000</v>
      </c>
      <c r="E13" s="265" t="n">
        <v>244000</v>
      </c>
      <c r="F13" s="265" t="n">
        <v>210000</v>
      </c>
      <c r="G13" s="265" t="n">
        <v>229000</v>
      </c>
      <c r="I13" s="265" t="n">
        <v>187000</v>
      </c>
      <c r="J13" s="265" t="n">
        <v>296000</v>
      </c>
      <c r="K13" s="265" t="n">
        <v>349000</v>
      </c>
      <c r="L13" s="265" t="n">
        <v>479000</v>
      </c>
      <c r="N13" s="265" t="n">
        <v>569000</v>
      </c>
      <c r="O13" s="265" t="n">
        <v>623000</v>
      </c>
      <c r="P13" s="265" t="n">
        <v>782000</v>
      </c>
      <c r="Q13" s="265" t="n">
        <v>802000</v>
      </c>
      <c r="S13" s="265" t="n">
        <v>836000</v>
      </c>
      <c r="T13" s="265" t="n">
        <v>840000</v>
      </c>
      <c r="U13" s="265" t="n">
        <v>870000</v>
      </c>
      <c r="V13" s="265" t="n">
        <v>829000</v>
      </c>
      <c r="X13" s="265" t="n">
        <v>784000</v>
      </c>
      <c r="Y13" s="265" t="n">
        <v>794000</v>
      </c>
      <c r="Z13" s="265" t="n">
        <v>762000</v>
      </c>
      <c r="AA13" s="265" t="n">
        <v>719000</v>
      </c>
      <c r="AC13" s="265" t="n">
        <v>712000</v>
      </c>
      <c r="AD13" s="265" t="n">
        <v>710000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-268000</v>
      </c>
      <c r="E14" s="265">
        <f>IF(E13="","",-1*E13)</f>
        <v>-244000</v>
      </c>
      <c r="F14" s="265">
        <f>IF(F13="","",-1*F13)</f>
        <v>-210000</v>
      </c>
      <c r="G14" s="265">
        <f>IF(G13="","",-1*G13)</f>
        <v>-229000</v>
      </c>
      <c r="I14" s="265">
        <f>IF(I13="","",-1*I13)</f>
        <v>-187000</v>
      </c>
      <c r="J14" s="265">
        <f>IF(J13="","",-1*J13)</f>
        <v>-296000</v>
      </c>
      <c r="K14" s="265">
        <f>IF(K13="","",-1*K13)</f>
        <v>-349000</v>
      </c>
      <c r="L14" s="265">
        <f>IF(L13="","",-1*L13)</f>
        <v>-479000</v>
      </c>
      <c r="N14" s="265">
        <f>IF(N13="","",-1*N13)</f>
        <v>-569000</v>
      </c>
      <c r="O14" s="265">
        <f>IF(O13="","",-1*O13)</f>
        <v>-623000</v>
      </c>
      <c r="P14" s="265">
        <f>IF(P13="","",-1*P13)</f>
        <v>-782000</v>
      </c>
      <c r="Q14" s="265">
        <f>IF(Q13="","",-1*Q13)</f>
        <v>-802000</v>
      </c>
      <c r="S14" s="265">
        <f>IF(S13="","",-1*S13)</f>
        <v>-836000</v>
      </c>
      <c r="T14" s="265">
        <f>IF(T13="","",-1*T13)</f>
        <v>-840000</v>
      </c>
      <c r="U14" s="265">
        <f>IF(U13="","",-1*U13)</f>
        <v>-870000</v>
      </c>
      <c r="V14" s="265">
        <f>IF(V13="","",-1*V13)</f>
        <v>-829000</v>
      </c>
      <c r="X14" s="265">
        <f>IF(X13="","",-1*X13)</f>
        <v>-784000</v>
      </c>
      <c r="Y14" s="265">
        <f>IF(Y13="","",-1*Y13)</f>
        <v>-794000</v>
      </c>
      <c r="Z14" s="265">
        <f>IF(Z13="","",-1*Z13)</f>
        <v>-762000</v>
      </c>
      <c r="AA14" s="265">
        <f>IF(AA13="","",-1*AA13)</f>
        <v>-719000</v>
      </c>
      <c r="AC14" s="265">
        <f>IF(AC13="","",-1*AC13)</f>
        <v>-712000</v>
      </c>
      <c r="AD14" s="265">
        <f>IF(AD13="","",-1*AD13)</f>
        <v>-710000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268000</v>
      </c>
      <c r="E15" s="265">
        <f>IF(E13="","",E13)</f>
        <v>244000</v>
      </c>
      <c r="F15" s="265">
        <f>IF(F13="","",F13)</f>
        <v>210000</v>
      </c>
      <c r="G15" s="265">
        <f>IF(G13="","",G13)</f>
        <v>229000</v>
      </c>
      <c r="I15" s="265">
        <f>IF(I13="","",I13)</f>
        <v>187000</v>
      </c>
      <c r="J15" s="265">
        <f>IF(J13="","",J13)</f>
        <v>296000</v>
      </c>
      <c r="K15" s="265">
        <f>IF(K13="","",K13)</f>
        <v>349000</v>
      </c>
      <c r="L15" s="265">
        <f>IF(L13="","",L13)</f>
        <v>479000</v>
      </c>
      <c r="N15" s="265">
        <f>IF(N13="","",N13)</f>
        <v>569000</v>
      </c>
      <c r="O15" s="265">
        <f>IF(O13="","",O13)</f>
        <v>623000</v>
      </c>
      <c r="P15" s="265">
        <f>IF(P13="","",P13)</f>
        <v>782000</v>
      </c>
      <c r="Q15" s="265">
        <f>IF(Q13="","",Q13)</f>
        <v>802000</v>
      </c>
      <c r="S15" s="265">
        <f>IF(S13="","",S13)</f>
        <v>836000</v>
      </c>
      <c r="T15" s="265">
        <f>IF(T13="","",T13)</f>
        <v>840000</v>
      </c>
      <c r="U15" s="265">
        <f>IF(U13="","",U13)</f>
        <v>870000</v>
      </c>
      <c r="V15" s="265">
        <f>IF(V13="","",V13)</f>
        <v>829000</v>
      </c>
      <c r="X15" s="265">
        <f>IF(X13="","",X13)</f>
        <v>784000</v>
      </c>
      <c r="Y15" s="265">
        <f>IF(Y13="","",Y13)</f>
        <v>794000</v>
      </c>
      <c r="Z15" s="265">
        <f>IF(Z13="","",Z13)</f>
        <v>762000</v>
      </c>
      <c r="AA15" s="265">
        <f>IF(AA13="","",AA13)</f>
        <v>719000</v>
      </c>
      <c r="AC15" s="265">
        <f>IF(AC13="","",AC13)</f>
        <v>712000</v>
      </c>
      <c r="AD15" s="265">
        <f>IF(AD13="","",AD13)</f>
        <v>710000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530000</v>
      </c>
      <c r="E16" s="265" t="n">
        <v>491000</v>
      </c>
      <c r="F16" s="265" t="n">
        <v>330000</v>
      </c>
      <c r="G16" s="265" t="n">
        <v>250000</v>
      </c>
      <c r="I16" s="265" t="n">
        <v>461000</v>
      </c>
      <c r="J16" s="265" t="n">
        <v>654000</v>
      </c>
      <c r="K16" s="265" t="n">
        <v>643000</v>
      </c>
      <c r="L16" s="265" t="n">
        <v>537000</v>
      </c>
      <c r="N16" s="265" t="n">
        <v>991000</v>
      </c>
      <c r="O16" s="265" t="n">
        <v>636000</v>
      </c>
      <c r="P16" s="265" t="n">
        <v>707000</v>
      </c>
      <c r="Q16" s="265" t="n">
        <v>469000</v>
      </c>
      <c r="S16" s="265" t="n">
        <v>751000</v>
      </c>
      <c r="T16" s="265" t="n">
        <v>625000</v>
      </c>
      <c r="U16" s="265" t="n">
        <v>249000</v>
      </c>
      <c r="V16" s="265" t="n">
        <v>27000</v>
      </c>
      <c r="X16" s="265" t="n">
        <v>539000</v>
      </c>
      <c r="Y16" s="265" t="n">
        <v>339000</v>
      </c>
      <c r="Z16" s="265" t="n">
        <v>354000</v>
      </c>
      <c r="AA16" s="265" t="n">
        <v>196000</v>
      </c>
      <c r="AC16" s="265" t="n">
        <v>518000</v>
      </c>
      <c r="AD16" s="265" t="n">
        <v>529000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-530000</v>
      </c>
      <c r="E17" s="265">
        <f>IF(E16="","",-1*E16)</f>
        <v>-491000</v>
      </c>
      <c r="F17" s="265">
        <f>IF(F16="","",-1*F16)</f>
        <v>-330000</v>
      </c>
      <c r="G17" s="265">
        <f>IF(G16="","",-1*G16)</f>
        <v>-250000</v>
      </c>
      <c r="I17" s="265">
        <f>IF(I16="","",-1*I16)</f>
        <v>-461000</v>
      </c>
      <c r="J17" s="265">
        <f>IF(J16="","",-1*J16)</f>
        <v>-654000</v>
      </c>
      <c r="K17" s="265">
        <f>IF(K16="","",-1*K16)</f>
        <v>-643000</v>
      </c>
      <c r="L17" s="265">
        <f>IF(L16="","",-1*L16)</f>
        <v>-537000</v>
      </c>
      <c r="N17" s="265">
        <f>IF(N16="","",-1*N16)</f>
        <v>-991000</v>
      </c>
      <c r="O17" s="265">
        <f>IF(O16="","",-1*O16)</f>
        <v>-636000</v>
      </c>
      <c r="P17" s="265">
        <f>IF(P16="","",-1*P16)</f>
        <v>-707000</v>
      </c>
      <c r="Q17" s="265">
        <f>IF(Q16="","",-1*Q16)</f>
        <v>-469000</v>
      </c>
      <c r="S17" s="265">
        <f>IF(S16="","",-1*S16)</f>
        <v>-751000</v>
      </c>
      <c r="T17" s="265">
        <f>IF(T16="","",-1*T16)</f>
        <v>-625000</v>
      </c>
      <c r="U17" s="265">
        <f>IF(U16="","",-1*U16)</f>
        <v>-249000</v>
      </c>
      <c r="V17" s="265">
        <f>IF(V16="","",-1*V16)</f>
        <v>-27000</v>
      </c>
      <c r="X17" s="265">
        <f>IF(X16="","",-1*X16)</f>
        <v>-539000</v>
      </c>
      <c r="Y17" s="265">
        <f>IF(Y16="","",-1*Y16)</f>
        <v>-339000</v>
      </c>
      <c r="Z17" s="265">
        <f>IF(Z16="","",-1*Z16)</f>
        <v>-354000</v>
      </c>
      <c r="AA17" s="265">
        <f>IF(AA16="","",-1*AA16)</f>
        <v>-196000</v>
      </c>
      <c r="AC17" s="265">
        <f>IF(AC16="","",-1*AC16)</f>
        <v>-518000</v>
      </c>
      <c r="AD17" s="265">
        <f>IF(AD16="","",-1*AD16)</f>
        <v>-529000</v>
      </c>
    </row>
    <row r="18">
      <c r="A18" t="inlineStr">
        <is>
          <t>Lucro atribuído a não controladores (divulgado positivo) [us-gaap:NetIncomeLossAttributableToNoncontrollingInterest] · fonte · unid. moeda</t>
        </is>
      </c>
      <c r="C18" t="inlineStr">
        <is>
          <t>[linha bruta, sem código; lançada nas linhas abaixo]</t>
        </is>
      </c>
      <c r="D18" s="265" t="n">
        <v>1000</v>
      </c>
      <c r="E18" s="265" t="n">
        <v>1000</v>
      </c>
      <c r="F18" s="265" t="n">
        <v>0</v>
      </c>
      <c r="G18" s="265" t="n">
        <v>1000</v>
      </c>
      <c r="I18" s="265" t="n">
        <v>-1000</v>
      </c>
      <c r="J18" s="265" t="n">
        <v>1000</v>
      </c>
      <c r="K18" s="265" t="n">
        <v>-2000</v>
      </c>
      <c r="L18" s="265" t="n">
        <v>-2000</v>
      </c>
      <c r="N18" s="265" t="n">
        <v>-1000</v>
      </c>
      <c r="O18" s="265" t="n">
        <v>-6000</v>
      </c>
      <c r="P18" s="265" t="n">
        <v>-1000</v>
      </c>
      <c r="Q18" s="265" t="n">
        <v>-3000</v>
      </c>
      <c r="S18" s="265" t="n">
        <v>-2000</v>
      </c>
      <c r="T18" s="265" t="n">
        <v>-3000</v>
      </c>
      <c r="U18" s="265" t="n">
        <v>-3000</v>
      </c>
      <c r="V18" s="265" t="n">
        <v>-2000</v>
      </c>
      <c r="X18" s="265" t="n">
        <v>-3000</v>
      </c>
      <c r="Y18" s="265" t="n">
        <v>-18000</v>
      </c>
      <c r="Z18" s="265" t="n">
        <v>-5000</v>
      </c>
      <c r="AA18" s="265" t="n">
        <v>-1000</v>
      </c>
      <c r="AC18" s="265" t="n">
        <v>-3000</v>
      </c>
      <c r="AD18" s="265" t="n">
        <v>-2000</v>
      </c>
    </row>
    <row r="19">
      <c r="A19" t="inlineStr">
        <is>
          <t>(lançamento) código 9, sinal -1 sobre a linha bruta 18: Lucro atribuído a não controladores (divulgado positivo) [us-gaap:NetIncomeLossAttributabl</t>
        </is>
      </c>
      <c r="B19" t="n">
        <v>9</v>
      </c>
      <c r="C19" t="inlineStr">
        <is>
          <t>Minority Interest Expense, after tax (enter as - )</t>
        </is>
      </c>
      <c r="D19" s="265">
        <f>IF(D18="","",-1*D18)</f>
        <v>-1000</v>
      </c>
      <c r="E19" s="265">
        <f>IF(E18="","",-1*E18)</f>
        <v>-1000</v>
      </c>
      <c r="F19" s="265">
        <f>IF(F18="","",-1*F18)</f>
        <v>0</v>
      </c>
      <c r="G19" s="265">
        <f>IF(G18="","",-1*G18)</f>
        <v>-1000</v>
      </c>
      <c r="I19" s="265">
        <f>IF(I18="","",-1*I18)</f>
        <v>1000</v>
      </c>
      <c r="J19" s="265">
        <f>IF(J18="","",-1*J18)</f>
        <v>-1000</v>
      </c>
      <c r="K19" s="265">
        <f>IF(K18="","",-1*K18)</f>
        <v>2000</v>
      </c>
      <c r="L19" s="265">
        <f>IF(L18="","",-1*L18)</f>
        <v>2000</v>
      </c>
      <c r="N19" s="265">
        <f>IF(N18="","",-1*N18)</f>
        <v>1000</v>
      </c>
      <c r="O19" s="265">
        <f>IF(O18="","",-1*O18)</f>
        <v>6000</v>
      </c>
      <c r="P19" s="265">
        <f>IF(P18="","",-1*P18)</f>
        <v>1000</v>
      </c>
      <c r="Q19" s="265">
        <f>IF(Q18="","",-1*Q18)</f>
        <v>3000</v>
      </c>
      <c r="S19" s="265">
        <f>IF(S18="","",-1*S18)</f>
        <v>2000</v>
      </c>
      <c r="T19" s="265">
        <f>IF(T18="","",-1*T18)</f>
        <v>3000</v>
      </c>
      <c r="U19" s="265">
        <f>IF(U18="","",-1*U18)</f>
        <v>3000</v>
      </c>
      <c r="V19" s="265">
        <f>IF(V18="","",-1*V18)</f>
        <v>2000</v>
      </c>
      <c r="X19" s="265">
        <f>IF(X18="","",-1*X18)</f>
        <v>3000</v>
      </c>
      <c r="Y19" s="265">
        <f>IF(Y18="","",-1*Y18)</f>
        <v>18000</v>
      </c>
      <c r="Z19" s="265">
        <f>IF(Z18="","",-1*Z18)</f>
        <v>5000</v>
      </c>
      <c r="AA19" s="265">
        <f>IF(AA18="","",-1*AA18)</f>
        <v>1000</v>
      </c>
      <c r="AC19" s="265">
        <f>IF(AC18="","",-1*AC18)</f>
        <v>3000</v>
      </c>
      <c r="AD19" s="265">
        <f>IF(AD18="","",-1*AD18)</f>
        <v>2000</v>
      </c>
    </row>
    <row r="20">
      <c r="A20" t="inlineStr">
        <is>
          <t>Lucro líquido atribuído à companhia [us-gaap:NetIncomeLoss] · memoria · unid. moeda</t>
        </is>
      </c>
      <c r="C20" t="inlineStr">
        <is>
          <t>[linha bruta, sem código; lançada nas linhas abaixo]</t>
        </is>
      </c>
      <c r="D20" s="265" t="n">
        <v>1790000</v>
      </c>
      <c r="E20" s="265" t="n">
        <v>1667000</v>
      </c>
      <c r="F20" s="265" t="n">
        <v>1283000</v>
      </c>
      <c r="G20" s="265" t="n">
        <v>903000</v>
      </c>
      <c r="I20" s="265" t="n">
        <v>2098000</v>
      </c>
      <c r="J20" s="265" t="n">
        <v>1884000</v>
      </c>
      <c r="K20" s="265" t="n">
        <v>2246000</v>
      </c>
      <c r="L20" s="265" t="n">
        <v>1959000</v>
      </c>
      <c r="N20" s="265" t="n">
        <v>2860000</v>
      </c>
      <c r="O20" s="265" t="n">
        <v>2978000</v>
      </c>
      <c r="P20" s="265" t="n">
        <v>2369000</v>
      </c>
      <c r="Q20" s="265" t="n">
        <v>1751000</v>
      </c>
      <c r="S20" s="265" t="n">
        <v>2370000</v>
      </c>
      <c r="T20" s="265" t="n">
        <v>1734000</v>
      </c>
      <c r="U20" s="265" t="n">
        <v>1245000</v>
      </c>
      <c r="V20" s="265" t="n">
        <v>869000</v>
      </c>
      <c r="X20" s="265" t="n">
        <v>1804000</v>
      </c>
      <c r="Y20" s="265" t="n">
        <v>1289000</v>
      </c>
      <c r="Z20" s="265" t="n">
        <v>1065000</v>
      </c>
      <c r="AA20" s="265" t="n">
        <v>656000</v>
      </c>
      <c r="AC20" s="265" t="n">
        <v>1773000</v>
      </c>
      <c r="AD20" s="265" t="n">
        <v>1379000</v>
      </c>
    </row>
    <row r="21">
      <c r="A21" t="inlineStr">
        <is>
          <t>Resultado após IR não classificado acima (equivalência patrimonial, operações descontinuadas): lucro - (LAIR - IR - minoritários); zero quando não há · derivada · unid. moeda</t>
        </is>
      </c>
      <c r="B21" t="n">
        <v>8</v>
      </c>
      <c r="C21" t="inlineStr">
        <is>
          <t>Equity in Income of Affiliates, after tax (enter as +)</t>
        </is>
      </c>
      <c r="D21" s="265">
        <f>N(D20)-(N(D11)-N(D16)-N(D18))</f>
        <v>9000</v>
      </c>
      <c r="E21" s="265">
        <f>N(E20)-(N(E11)-N(E16)-N(E18))</f>
        <v>9000</v>
      </c>
      <c r="F21" s="265">
        <f>N(F20)-(N(F11)-N(F16)-N(F18))</f>
        <v>0</v>
      </c>
      <c r="G21" s="265">
        <f>N(G20)-(N(G11)-N(G16)-N(G18))</f>
        <v>3000</v>
      </c>
      <c r="I21" s="265">
        <f>N(I20)-(N(I11)-N(I16)-N(I18))</f>
        <v>6000</v>
      </c>
      <c r="J21" s="265">
        <f>N(J20)-(N(J11)-N(J16)-N(J18))</f>
        <v>0</v>
      </c>
      <c r="K21" s="265">
        <f>N(K20)-(N(K11)-N(K16)-N(K18))</f>
        <v>2000</v>
      </c>
      <c r="L21" s="265">
        <f>N(L20)-(N(L11)-N(L16)-N(L18))</f>
        <v>1000</v>
      </c>
      <c r="N21" s="265">
        <f>N(N20)-(N(N11)-N(N16)-N(N18))</f>
        <v>2000</v>
      </c>
      <c r="O21" s="265">
        <f>N(O20)-(N(O11)-N(O16)-N(O18))</f>
        <v>2000</v>
      </c>
      <c r="P21" s="265">
        <f>N(P20)-(N(P11)-N(P16)-N(P18))</f>
        <v>2000</v>
      </c>
      <c r="Q21" s="265">
        <f>N(Q20)-(N(Q11)-N(Q16)-N(Q18))</f>
        <v>2000</v>
      </c>
      <c r="S21" s="265">
        <f>N(S20)-(N(S11)-N(S16)-N(S18))</f>
        <v>2000</v>
      </c>
      <c r="T21" s="265">
        <f>N(T20)-(N(T11)-N(T16)-N(T18))</f>
        <v>1000</v>
      </c>
      <c r="U21" s="265">
        <f>N(U20)-(N(U11)-N(U16)-N(U18))</f>
        <v>-28000</v>
      </c>
      <c r="V21" s="265">
        <f>N(V20)-(N(V11)-N(V16)-N(V18))</f>
        <v>-1000</v>
      </c>
      <c r="X21" s="265">
        <f>N(X20)-(N(X11)-N(X16)-N(X18))</f>
        <v>3000</v>
      </c>
      <c r="Y21" s="265">
        <f>N(Y20)-(N(Y11)-N(Y16)-N(Y18))</f>
        <v>10000</v>
      </c>
      <c r="Z21" s="265">
        <f>N(Z20)-(N(Z11)-N(Z16)-N(Z18))</f>
        <v>-11000</v>
      </c>
      <c r="AA21" s="265">
        <f>N(AA20)-(N(AA11)-N(AA16)-N(AA18))</f>
        <v>15000</v>
      </c>
      <c r="AC21" s="265">
        <f>N(AC20)-(N(AC11)-N(AC16)-N(AC18))</f>
        <v>-5000</v>
      </c>
      <c r="AD21" s="265">
        <f>N(AD20)-(N(AD11)-N(AD16)-N(AD18))</f>
        <v>24000</v>
      </c>
    </row>
    <row r="22">
      <c r="A22" t="inlineStr">
        <is>
          <t>Lucro líquido (check IS, código 44) · derivada · unid. moeda</t>
        </is>
      </c>
      <c r="B22" t="n">
        <v>44</v>
      </c>
      <c r="C22" t="inlineStr">
        <is>
          <t>Lucro líquido (check IS, código 44)</t>
        </is>
      </c>
      <c r="D22" s="265">
        <f>N(D20)</f>
        <v>1790000</v>
      </c>
      <c r="E22" s="265">
        <f>N(E20)</f>
        <v>1667000</v>
      </c>
      <c r="F22" s="265">
        <f>N(F20)</f>
        <v>1283000</v>
      </c>
      <c r="G22" s="265">
        <f>N(G20)</f>
        <v>903000</v>
      </c>
      <c r="I22" s="265">
        <f>N(I20)</f>
        <v>2098000</v>
      </c>
      <c r="J22" s="265">
        <f>N(J20)</f>
        <v>1884000</v>
      </c>
      <c r="K22" s="265">
        <f>N(K20)</f>
        <v>2246000</v>
      </c>
      <c r="L22" s="265">
        <f>N(L20)</f>
        <v>1959000</v>
      </c>
      <c r="N22" s="265">
        <f>N(N20)</f>
        <v>2860000</v>
      </c>
      <c r="O22" s="265">
        <f>N(O20)</f>
        <v>2978000</v>
      </c>
      <c r="P22" s="265">
        <f>N(P20)</f>
        <v>2369000</v>
      </c>
      <c r="Q22" s="265">
        <f>N(Q20)</f>
        <v>1751000</v>
      </c>
      <c r="S22" s="265">
        <f>N(S20)</f>
        <v>2370000</v>
      </c>
      <c r="T22" s="265">
        <f>N(T20)</f>
        <v>1734000</v>
      </c>
      <c r="U22" s="265">
        <f>N(U20)</f>
        <v>1245000</v>
      </c>
      <c r="V22" s="265">
        <f>N(V20)</f>
        <v>869000</v>
      </c>
      <c r="X22" s="265">
        <f>N(X20)</f>
        <v>1804000</v>
      </c>
      <c r="Y22" s="265">
        <f>N(Y20)</f>
        <v>1289000</v>
      </c>
      <c r="Z22" s="265">
        <f>N(Z20)</f>
        <v>1065000</v>
      </c>
      <c r="AA22" s="265">
        <f>N(AA20)</f>
        <v>656000</v>
      </c>
      <c r="AC22" s="265">
        <f>N(AC20)</f>
        <v>1773000</v>
      </c>
      <c r="AD22" s="265">
        <f>N(AD20)</f>
        <v>1379000</v>
      </c>
    </row>
    <row r="23">
      <c r="A23" t="inlineStr">
        <is>
          <t>DFC - trimestre isolado (desacumulado na extração)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4" t="inlineStr">
        <is>
          <t>[linha bruta, sem código; lançada nas linhas abaixo]</t>
        </is>
      </c>
      <c r="D24" s="265" t="n">
        <v>516000</v>
      </c>
      <c r="E24" s="265" t="n">
        <v>515000</v>
      </c>
      <c r="F24" s="265" t="n">
        <v>481000</v>
      </c>
      <c r="G24" s="265" t="n">
        <v>486000</v>
      </c>
      <c r="I24" s="265" t="n">
        <v>447000</v>
      </c>
      <c r="J24" s="265" t="n">
        <v>510000</v>
      </c>
      <c r="K24" s="265" t="n">
        <v>452000</v>
      </c>
      <c r="L24" s="265" t="n">
        <v>494000</v>
      </c>
      <c r="N24" s="265" t="n">
        <v>501000</v>
      </c>
      <c r="O24" s="265" t="n">
        <v>532000</v>
      </c>
      <c r="P24" s="265" t="n">
        <v>477000</v>
      </c>
      <c r="Q24" s="265" t="n">
        <v>520000</v>
      </c>
      <c r="S24" s="265" t="n">
        <v>525000</v>
      </c>
      <c r="T24" s="265" t="n">
        <v>553000</v>
      </c>
      <c r="U24" s="265" t="n">
        <v>520000</v>
      </c>
      <c r="V24" s="265" t="n">
        <v>549000</v>
      </c>
      <c r="X24" s="265" t="n">
        <v>555000</v>
      </c>
      <c r="Y24" s="265" t="n">
        <v>564000</v>
      </c>
      <c r="Z24" s="265" t="n">
        <v>561000</v>
      </c>
      <c r="AA24" s="265" t="n">
        <v>590000</v>
      </c>
      <c r="AC24" s="265" t="n">
        <v>594000</v>
      </c>
      <c r="AD24" s="265" t="n">
        <v>603000</v>
      </c>
    </row>
    <row r="25">
      <c r="A25" t="inlineStr">
        <is>
          <t>(lançamento) código 4, sinal -1 sobre a linha bruta 24: D&amp;A (fluxo de caixa). COD1=4 lança (positivo -&gt; -1); COD2=3 devolve às despesas operaciona</t>
        </is>
      </c>
      <c r="B25" t="n">
        <v>4</v>
      </c>
      <c r="C25" t="inlineStr">
        <is>
          <t>D&amp;A</t>
        </is>
      </c>
      <c r="D25" s="265">
        <f>IF(D24="","",-1*D24)</f>
        <v>-516000</v>
      </c>
      <c r="E25" s="265">
        <f>IF(E24="","",-1*E24)</f>
        <v>-515000</v>
      </c>
      <c r="F25" s="265">
        <f>IF(F24="","",-1*F24)</f>
        <v>-481000</v>
      </c>
      <c r="G25" s="265">
        <f>IF(G24="","",-1*G24)</f>
        <v>-486000</v>
      </c>
      <c r="I25" s="265">
        <f>IF(I24="","",-1*I24)</f>
        <v>-447000</v>
      </c>
      <c r="J25" s="265">
        <f>IF(J24="","",-1*J24)</f>
        <v>-510000</v>
      </c>
      <c r="K25" s="265">
        <f>IF(K24="","",-1*K24)</f>
        <v>-452000</v>
      </c>
      <c r="L25" s="265">
        <f>IF(L24="","",-1*L24)</f>
        <v>-494000</v>
      </c>
      <c r="N25" s="265">
        <f>IF(N24="","",-1*N24)</f>
        <v>-501000</v>
      </c>
      <c r="O25" s="265">
        <f>IF(O24="","",-1*O24)</f>
        <v>-532000</v>
      </c>
      <c r="P25" s="265">
        <f>IF(P24="","",-1*P24)</f>
        <v>-477000</v>
      </c>
      <c r="Q25" s="265">
        <f>IF(Q24="","",-1*Q24)</f>
        <v>-520000</v>
      </c>
      <c r="S25" s="265">
        <f>IF(S24="","",-1*S24)</f>
        <v>-525000</v>
      </c>
      <c r="T25" s="265">
        <f>IF(T24="","",-1*T24)</f>
        <v>-553000</v>
      </c>
      <c r="U25" s="265">
        <f>IF(U24="","",-1*U24)</f>
        <v>-520000</v>
      </c>
      <c r="V25" s="265">
        <f>IF(V24="","",-1*V24)</f>
        <v>-549000</v>
      </c>
      <c r="X25" s="265">
        <f>IF(X24="","",-1*X24)</f>
        <v>-555000</v>
      </c>
      <c r="Y25" s="265">
        <f>IF(Y24="","",-1*Y24)</f>
        <v>-564000</v>
      </c>
      <c r="Z25" s="265">
        <f>IF(Z24="","",-1*Z24)</f>
        <v>-561000</v>
      </c>
      <c r="AA25" s="265">
        <f>IF(AA24="","",-1*AA24)</f>
        <v>-590000</v>
      </c>
      <c r="AC25" s="265">
        <f>IF(AC24="","",-1*AC24)</f>
        <v>-594000</v>
      </c>
      <c r="AD25" s="265">
        <f>IF(AD24="","",-1*AD24)</f>
        <v>-603000</v>
      </c>
    </row>
    <row r="26">
      <c r="A26" t="inlineStr">
        <is>
          <t>(lançamento) código 3, sinal +1 sobre a linha bruta 24: D&amp;A (fluxo de caixa). COD1=4 lança (positivo -&gt; -1); COD2=3 devolve às despesas operaciona</t>
        </is>
      </c>
      <c r="B26" t="n">
        <v>3</v>
      </c>
      <c r="C26" t="inlineStr">
        <is>
          <t>SG&amp;A and Other (cash)</t>
        </is>
      </c>
      <c r="D26" s="265">
        <f>IF(D24="","",D24)</f>
        <v>516000</v>
      </c>
      <c r="E26" s="265">
        <f>IF(E24="","",E24)</f>
        <v>515000</v>
      </c>
      <c r="F26" s="265">
        <f>IF(F24="","",F24)</f>
        <v>481000</v>
      </c>
      <c r="G26" s="265">
        <f>IF(G24="","",G24)</f>
        <v>486000</v>
      </c>
      <c r="I26" s="265">
        <f>IF(I24="","",I24)</f>
        <v>447000</v>
      </c>
      <c r="J26" s="265">
        <f>IF(J24="","",J24)</f>
        <v>510000</v>
      </c>
      <c r="K26" s="265">
        <f>IF(K24="","",K24)</f>
        <v>452000</v>
      </c>
      <c r="L26" s="265">
        <f>IF(L24="","",L24)</f>
        <v>494000</v>
      </c>
      <c r="N26" s="265">
        <f>IF(N24="","",N24)</f>
        <v>501000</v>
      </c>
      <c r="O26" s="265">
        <f>IF(O24="","",O24)</f>
        <v>532000</v>
      </c>
      <c r="P26" s="265">
        <f>IF(P24="","",P24)</f>
        <v>477000</v>
      </c>
      <c r="Q26" s="265">
        <f>IF(Q24="","",Q24)</f>
        <v>520000</v>
      </c>
      <c r="S26" s="265">
        <f>IF(S24="","",S24)</f>
        <v>525000</v>
      </c>
      <c r="T26" s="265">
        <f>IF(T24="","",T24)</f>
        <v>553000</v>
      </c>
      <c r="U26" s="265">
        <f>IF(U24="","",U24)</f>
        <v>520000</v>
      </c>
      <c r="V26" s="265">
        <f>IF(V24="","",V24)</f>
        <v>549000</v>
      </c>
      <c r="X26" s="265">
        <f>IF(X24="","",X24)</f>
        <v>555000</v>
      </c>
      <c r="Y26" s="265">
        <f>IF(Y24="","",Y24)</f>
        <v>564000</v>
      </c>
      <c r="Z26" s="265">
        <f>IF(Z24="","",Z24)</f>
        <v>561000</v>
      </c>
      <c r="AA26" s="265">
        <f>IF(AA24="","",AA24)</f>
        <v>590000</v>
      </c>
      <c r="AC26" s="265">
        <f>IF(AC24="","",AC24)</f>
        <v>594000</v>
      </c>
      <c r="AD26" s="265">
        <f>IF(AD24="","",AD24)</f>
        <v>603000</v>
      </c>
    </row>
    <row r="27">
      <c r="A27" t="inlineStr">
        <is>
          <t>Dividendos pagos [us-gaap:PaymentsOfDividends] · fonte · unid. moeda</t>
        </is>
      </c>
      <c r="C27" t="inlineStr">
        <is>
          <t>[linha bruta, sem código; lançada nas linhas abaixo]</t>
        </is>
      </c>
      <c r="D27" s="265" t="n">
        <v>238000</v>
      </c>
      <c r="E27" s="265" t="n">
        <v>281000</v>
      </c>
      <c r="F27" s="265" t="n">
        <v>279000</v>
      </c>
      <c r="G27" s="265" t="n">
        <v>327000</v>
      </c>
      <c r="I27" s="265" t="n">
        <v>322000</v>
      </c>
      <c r="J27" s="265" t="n">
        <v>322000</v>
      </c>
      <c r="K27" s="265" t="n">
        <v>342000</v>
      </c>
      <c r="L27" s="265" t="n">
        <v>341000</v>
      </c>
      <c r="N27" s="265" t="n">
        <v>356000</v>
      </c>
      <c r="O27" s="265" t="n">
        <v>368000</v>
      </c>
      <c r="P27" s="265" t="n">
        <v>362000</v>
      </c>
      <c r="Q27" s="265" t="n">
        <v>386000</v>
      </c>
      <c r="S27" s="265" t="n">
        <v>410000</v>
      </c>
      <c r="T27" s="265" t="n">
        <v>406000</v>
      </c>
      <c r="U27" s="265" t="n">
        <v>403000</v>
      </c>
      <c r="V27" s="265" t="n">
        <v>403000</v>
      </c>
      <c r="X27" s="265" t="n">
        <v>440000</v>
      </c>
      <c r="Y27" s="265" t="n">
        <v>439000</v>
      </c>
      <c r="Z27" s="265" t="n">
        <v>438000</v>
      </c>
      <c r="AA27" s="265" t="n">
        <v>441000</v>
      </c>
      <c r="AC27" s="265" t="n">
        <v>437000</v>
      </c>
      <c r="AD27" s="265" t="n">
        <v>438000</v>
      </c>
    </row>
    <row r="28">
      <c r="A28" t="inlineStr">
        <is>
          <t>(lançamento) código 10, sinal -1 sobre a linha bruta 27: Dividendos pagos [us-gaap:PaymentsOfDividends]</t>
        </is>
      </c>
      <c r="B28" t="n">
        <v>10</v>
      </c>
      <c r="C28" t="inlineStr">
        <is>
          <t>Common Dividends</t>
        </is>
      </c>
      <c r="D28" s="265">
        <f>IF(D27="","",-1*D27)</f>
        <v>-238000</v>
      </c>
      <c r="E28" s="265">
        <f>IF(E27="","",-1*E27)</f>
        <v>-281000</v>
      </c>
      <c r="F28" s="265">
        <f>IF(F27="","",-1*F27)</f>
        <v>-279000</v>
      </c>
      <c r="G28" s="265">
        <f>IF(G27="","",-1*G27)</f>
        <v>-327000</v>
      </c>
      <c r="I28" s="265">
        <f>IF(I27="","",-1*I27)</f>
        <v>-322000</v>
      </c>
      <c r="J28" s="265">
        <f>IF(J27="","",-1*J27)</f>
        <v>-322000</v>
      </c>
      <c r="K28" s="265">
        <f>IF(K27="","",-1*K27)</f>
        <v>-342000</v>
      </c>
      <c r="L28" s="265">
        <f>IF(L27="","",-1*L27)</f>
        <v>-341000</v>
      </c>
      <c r="N28" s="265">
        <f>IF(N27="","",-1*N27)</f>
        <v>-356000</v>
      </c>
      <c r="O28" s="265">
        <f>IF(O27="","",-1*O27)</f>
        <v>-368000</v>
      </c>
      <c r="P28" s="265">
        <f>IF(P27="","",-1*P27)</f>
        <v>-362000</v>
      </c>
      <c r="Q28" s="265">
        <f>IF(Q27="","",-1*Q27)</f>
        <v>-386000</v>
      </c>
      <c r="S28" s="265">
        <f>IF(S27="","",-1*S27)</f>
        <v>-410000</v>
      </c>
      <c r="T28" s="265">
        <f>IF(T27="","",-1*T27)</f>
        <v>-406000</v>
      </c>
      <c r="U28" s="265">
        <f>IF(U27="","",-1*U27)</f>
        <v>-403000</v>
      </c>
      <c r="V28" s="265">
        <f>IF(V27="","",-1*V27)</f>
        <v>-403000</v>
      </c>
      <c r="X28" s="265">
        <f>IF(X27="","",-1*X27)</f>
        <v>-440000</v>
      </c>
      <c r="Y28" s="265">
        <f>IF(Y27="","",-1*Y27)</f>
        <v>-439000</v>
      </c>
      <c r="Z28" s="265">
        <f>IF(Z27="","",-1*Z27)</f>
        <v>-438000</v>
      </c>
      <c r="AA28" s="265">
        <f>IF(AA27="","",-1*AA27)</f>
        <v>-441000</v>
      </c>
      <c r="AC28" s="265">
        <f>IF(AC27="","",-1*AC27)</f>
        <v>-437000</v>
      </c>
      <c r="AD28" s="265">
        <f>IF(AD27="","",-1*AD27)</f>
        <v>-438000</v>
      </c>
    </row>
    <row r="29">
      <c r="A29" t="inlineStr">
        <is>
          <t>BALANÇO DE FACE (USD, saldo no fim do trimestre; cada trimestre lido da instância do próprio 10-Q/10-K)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CashAndCashEquivalentsAtCarryingValue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7182000</v>
      </c>
      <c r="E30" s="265" t="n">
        <v>7519000</v>
      </c>
      <c r="F30" s="265" t="n">
        <v>8017000</v>
      </c>
      <c r="G30" s="265" t="n">
        <v>4472000</v>
      </c>
      <c r="I30" s="265" t="n">
        <v>3878000</v>
      </c>
      <c r="J30" s="265" t="n">
        <v>4359000</v>
      </c>
      <c r="K30" s="265" t="n">
        <v>4774000</v>
      </c>
      <c r="L30" s="265" t="n">
        <v>3976000</v>
      </c>
      <c r="N30" s="265" t="n">
        <v>5267000</v>
      </c>
      <c r="O30" s="265" t="n">
        <v>6576000</v>
      </c>
      <c r="P30" s="265" t="n">
        <v>7458000</v>
      </c>
      <c r="Q30" s="265" t="n">
        <v>5137000</v>
      </c>
      <c r="S30" s="265" t="n">
        <v>5553000</v>
      </c>
      <c r="T30" s="265" t="n">
        <v>7004000</v>
      </c>
      <c r="U30" s="265" t="n">
        <v>7324000</v>
      </c>
      <c r="V30" s="265" t="n">
        <v>6601000</v>
      </c>
      <c r="X30" s="265" t="n">
        <v>7991000</v>
      </c>
      <c r="Y30" s="265" t="n">
        <v>8580000</v>
      </c>
      <c r="Z30" s="265" t="n">
        <v>8276000</v>
      </c>
      <c r="AA30" s="265" t="n">
        <v>6798000</v>
      </c>
      <c r="AC30" s="265" t="n">
        <v>7905000</v>
      </c>
      <c r="AD30" s="265" t="n">
        <v>8928000</v>
      </c>
    </row>
    <row r="31">
      <c r="A31" t="inlineStr">
        <is>
          <t>InventoryNet · fonte · unid. moeda</t>
        </is>
      </c>
      <c r="B31" t="n">
        <v>13</v>
      </c>
      <c r="C31" t="inlineStr">
        <is>
          <t>Inventories</t>
        </is>
      </c>
      <c r="D31" s="265" t="n">
        <v>6042000</v>
      </c>
      <c r="E31" s="265" t="n">
        <v>6410000</v>
      </c>
      <c r="F31" s="265" t="n">
        <v>6781000</v>
      </c>
      <c r="G31" s="265" t="n">
        <v>7935000</v>
      </c>
      <c r="I31" s="265" t="n">
        <v>9030000</v>
      </c>
      <c r="J31" s="265" t="n">
        <v>9121000</v>
      </c>
      <c r="K31" s="265" t="n">
        <v>8495000</v>
      </c>
      <c r="L31" s="265" t="n">
        <v>10056000</v>
      </c>
      <c r="N31" s="265" t="n">
        <v>9713000</v>
      </c>
      <c r="O31" s="265" t="n">
        <v>9350000</v>
      </c>
      <c r="P31" s="265" t="n">
        <v>8160000</v>
      </c>
      <c r="Q31" s="265" t="n">
        <v>8937000</v>
      </c>
      <c r="S31" s="265" t="n">
        <v>8443000</v>
      </c>
      <c r="T31" s="265" t="n">
        <v>7696000</v>
      </c>
      <c r="U31" s="265" t="n">
        <v>7093000</v>
      </c>
      <c r="V31" s="265" t="n">
        <v>7744000</v>
      </c>
      <c r="X31" s="265" t="n">
        <v>7870000</v>
      </c>
      <c r="Y31" s="265" t="n">
        <v>7713000</v>
      </c>
      <c r="Z31" s="265" t="n">
        <v>7406000</v>
      </c>
      <c r="AA31" s="265" t="n">
        <v>8286000</v>
      </c>
      <c r="AC31" s="265" t="n">
        <v>8188000</v>
      </c>
      <c r="AD31" s="265" t="n">
        <v>7811000</v>
      </c>
    </row>
    <row r="32">
      <c r="A32" t="inlineStr">
        <is>
          <t>DeferredIncomeTaxAssetsNet · fonte · unid. moeda</t>
        </is>
      </c>
      <c r="B32" t="n">
        <v>14</v>
      </c>
      <c r="C32" t="inlineStr">
        <is>
          <t>Deferred income taxes</t>
        </is>
      </c>
      <c r="D32" s="265" t="n">
        <v>1724000</v>
      </c>
      <c r="E32" s="265" t="n">
        <v>1767000</v>
      </c>
      <c r="F32" s="265" t="n">
        <v>1037000</v>
      </c>
      <c r="G32" s="265" t="n">
        <v>923000</v>
      </c>
      <c r="I32" s="265" t="n">
        <v>1104000</v>
      </c>
      <c r="J32" s="265" t="n">
        <v>1110000</v>
      </c>
      <c r="K32" s="265" t="n">
        <v>824000</v>
      </c>
      <c r="L32" s="265" t="n">
        <v>914000</v>
      </c>
      <c r="N32" s="265" t="n">
        <v>1308000</v>
      </c>
      <c r="O32" s="265" t="n">
        <v>1360000</v>
      </c>
      <c r="P32" s="265" t="n">
        <v>1814000</v>
      </c>
      <c r="Q32" s="265" t="n">
        <v>1833000</v>
      </c>
      <c r="S32" s="265" t="n">
        <v>1936000</v>
      </c>
      <c r="T32" s="265" t="n">
        <v>1898000</v>
      </c>
      <c r="U32" s="265" t="n">
        <v>2086000</v>
      </c>
      <c r="V32" s="265" t="n">
        <v>1852000</v>
      </c>
      <c r="X32" s="265" t="n">
        <v>2088000</v>
      </c>
      <c r="Y32" s="265" t="n">
        <v>2209000</v>
      </c>
      <c r="Z32" s="265" t="n">
        <v>2284000</v>
      </c>
      <c r="AA32" s="265" t="n">
        <v>2268000</v>
      </c>
      <c r="AC32" s="265" t="n">
        <v>2361000</v>
      </c>
      <c r="AD32" s="265" t="n">
        <v>2343000</v>
      </c>
    </row>
    <row r="33">
      <c r="A33" t="inlineStr">
        <is>
          <t>MarketableSecurities · fonte · unid. moeda</t>
        </is>
      </c>
      <c r="B33" t="n">
        <v>16</v>
      </c>
      <c r="C33" t="inlineStr">
        <is>
          <t>Other current assets</t>
        </is>
      </c>
      <c r="D33" s="265" t="n">
        <v>668000</v>
      </c>
      <c r="E33" s="265" t="n">
        <v>688000</v>
      </c>
      <c r="F33" s="265" t="n">
        <v>728000</v>
      </c>
      <c r="G33" s="265" t="n">
        <v>735000</v>
      </c>
      <c r="I33" s="265" t="n">
        <v>682000</v>
      </c>
      <c r="J33" s="265" t="n">
        <v>719000</v>
      </c>
      <c r="K33" s="265" t="n">
        <v>734000</v>
      </c>
      <c r="L33" s="265" t="n">
        <v>852000</v>
      </c>
      <c r="N33" s="265" t="n">
        <v>856000</v>
      </c>
      <c r="O33" s="265" t="n">
        <v>841000</v>
      </c>
      <c r="P33" s="265" t="n">
        <v>946000</v>
      </c>
      <c r="Q33" s="265" t="n">
        <v>1136000</v>
      </c>
      <c r="S33" s="265" t="n">
        <v>1094000</v>
      </c>
      <c r="T33" s="265" t="n">
        <v>1140000</v>
      </c>
      <c r="U33" s="265" t="n">
        <v>1154000</v>
      </c>
      <c r="V33" s="265" t="n">
        <v>1214000</v>
      </c>
      <c r="X33" s="265" t="n">
        <v>1272000</v>
      </c>
      <c r="Y33" s="265" t="n">
        <v>1407000</v>
      </c>
      <c r="Z33" s="265" t="n">
        <v>1411000</v>
      </c>
      <c r="AA33" s="265" t="n">
        <v>1398000</v>
      </c>
      <c r="AC33" s="265" t="n">
        <v>1430000</v>
      </c>
      <c r="AD33" s="265" t="n">
        <v>1350000</v>
      </c>
    </row>
    <row r="34">
      <c r="A34" t="inlineStr">
        <is>
          <t>DueFromRelatedParties · fonte · unid. moeda</t>
        </is>
      </c>
      <c r="B34" t="n">
        <v>16</v>
      </c>
      <c r="C34" t="inlineStr">
        <is>
          <t>Other current assets</t>
        </is>
      </c>
      <c r="D34" s="265" t="n">
        <v>31000</v>
      </c>
      <c r="E34" s="265" t="n">
        <v>29000</v>
      </c>
      <c r="F34" s="265" t="n">
        <v>27000</v>
      </c>
      <c r="G34" s="265" t="n">
        <v>33000</v>
      </c>
      <c r="I34" s="265" t="n">
        <v>0</v>
      </c>
      <c r="J34" s="265" t="n">
        <v>0</v>
      </c>
      <c r="K34" s="265" t="n">
        <v>0</v>
      </c>
      <c r="L34" s="265" t="n">
        <v>0</v>
      </c>
      <c r="N34" s="265" t="n">
        <v>0</v>
      </c>
      <c r="O34" s="265" t="n">
        <v>0</v>
      </c>
      <c r="P34" s="265" t="n">
        <v>0</v>
      </c>
      <c r="Q34" s="265" t="n">
        <v>0</v>
      </c>
      <c r="S34" s="265" t="n">
        <v>0</v>
      </c>
      <c r="T34" s="265" t="n">
        <v>0</v>
      </c>
      <c r="U34" s="265" t="n">
        <v>0</v>
      </c>
      <c r="V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C34" s="265" t="n">
        <v>0</v>
      </c>
      <c r="AD34" s="265" t="n">
        <v>0</v>
      </c>
    </row>
    <row r="35">
      <c r="A35" t="inlineStr">
        <is>
          <t>AccountsReceivableNet · fonte · unid. moeda</t>
        </is>
      </c>
      <c r="B35" t="n">
        <v>16</v>
      </c>
      <c r="C35" t="inlineStr">
        <is>
          <t>Other current assets</t>
        </is>
      </c>
      <c r="D35" s="265" t="n">
        <v>6158000</v>
      </c>
      <c r="E35" s="265" t="n">
        <v>5268000</v>
      </c>
      <c r="F35" s="265" t="n">
        <v>4208000</v>
      </c>
      <c r="G35" s="265" t="n">
        <v>4855000</v>
      </c>
      <c r="I35" s="265" t="n">
        <v>6258000</v>
      </c>
      <c r="J35" s="265" t="n">
        <v>6696000</v>
      </c>
      <c r="K35" s="265" t="n">
        <v>6410000</v>
      </c>
      <c r="L35" s="265" t="n">
        <v>7609000</v>
      </c>
      <c r="N35" s="265" t="n">
        <v>9971000</v>
      </c>
      <c r="O35" s="265" t="n">
        <v>9297000</v>
      </c>
      <c r="P35" s="265" t="n">
        <v>7739000</v>
      </c>
      <c r="Q35" s="265" t="n">
        <v>7795000</v>
      </c>
      <c r="S35" s="265" t="n">
        <v>8880000</v>
      </c>
      <c r="T35" s="265" t="n">
        <v>7469000</v>
      </c>
      <c r="U35" s="265" t="n">
        <v>5326000</v>
      </c>
      <c r="V35" s="265" t="n">
        <v>4931000</v>
      </c>
      <c r="X35" s="265" t="n">
        <v>6748000</v>
      </c>
      <c r="Y35" s="265" t="n">
        <v>6103000</v>
      </c>
      <c r="Z35" s="265" t="n">
        <v>5317000</v>
      </c>
      <c r="AA35" s="265" t="n">
        <v>5993000</v>
      </c>
      <c r="AC35" s="265" t="n">
        <v>7571000</v>
      </c>
      <c r="AD35" s="265" t="n">
        <v>7723000</v>
      </c>
    </row>
    <row r="36">
      <c r="A36" t="inlineStr">
        <is>
          <t>LoansAndLeasesReceivableNetReportedAmount · fonte · unid. moeda</t>
        </is>
      </c>
      <c r="B36" t="n">
        <v>16</v>
      </c>
      <c r="C36" t="inlineStr">
        <is>
          <t>Other current assets</t>
        </is>
      </c>
      <c r="D36" s="265" t="n">
        <v>30994000</v>
      </c>
      <c r="E36" s="265" t="n">
        <v>31449000</v>
      </c>
      <c r="F36" s="265" t="n">
        <v>33799000</v>
      </c>
      <c r="G36" s="265" t="n">
        <v>33191000</v>
      </c>
      <c r="I36" s="265" t="n">
        <v>34085000</v>
      </c>
      <c r="J36" s="265" t="n">
        <v>0</v>
      </c>
      <c r="K36" s="265" t="n">
        <v>0</v>
      </c>
      <c r="L36" s="265" t="n">
        <v>0</v>
      </c>
      <c r="N36" s="265" t="n">
        <v>0</v>
      </c>
      <c r="O36" s="265" t="n">
        <v>0</v>
      </c>
      <c r="P36" s="265" t="n">
        <v>0</v>
      </c>
      <c r="Q36" s="265" t="n">
        <v>0</v>
      </c>
      <c r="S36" s="265" t="n">
        <v>0</v>
      </c>
      <c r="T36" s="265" t="n">
        <v>0</v>
      </c>
      <c r="U36" s="265" t="n">
        <v>0</v>
      </c>
      <c r="V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C36" s="265" t="n">
        <v>0</v>
      </c>
      <c r="AD36" s="265" t="n">
        <v>0</v>
      </c>
    </row>
    <row r="37">
      <c r="A37" t="inlineStr">
        <is>
          <t>LoansPledgedAsCollateral · fonte · unid. moeda</t>
        </is>
      </c>
      <c r="B37" t="n">
        <v>16</v>
      </c>
      <c r="C37" t="inlineStr">
        <is>
          <t>Other current assets</t>
        </is>
      </c>
      <c r="D37" s="265" t="n">
        <v>4107000</v>
      </c>
      <c r="E37" s="265" t="n">
        <v>5401000</v>
      </c>
      <c r="F37" s="265" t="n">
        <v>4659000</v>
      </c>
      <c r="G37" s="265" t="n">
        <v>3516000</v>
      </c>
      <c r="I37" s="265" t="n">
        <v>4073000</v>
      </c>
      <c r="J37" s="265" t="n">
        <v>0</v>
      </c>
      <c r="K37" s="265" t="n">
        <v>0</v>
      </c>
      <c r="L37" s="265" t="n">
        <v>0</v>
      </c>
      <c r="N37" s="265" t="n">
        <v>0</v>
      </c>
      <c r="O37" s="265" t="n">
        <v>0</v>
      </c>
      <c r="P37" s="265" t="n">
        <v>0</v>
      </c>
      <c r="Q37" s="265" t="n">
        <v>0</v>
      </c>
      <c r="S37" s="265" t="n">
        <v>0</v>
      </c>
      <c r="T37" s="265" t="n">
        <v>0</v>
      </c>
      <c r="U37" s="265" t="n">
        <v>0</v>
      </c>
      <c r="V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C37" s="265" t="n">
        <v>0</v>
      </c>
      <c r="AD37" s="265" t="n">
        <v>0</v>
      </c>
    </row>
    <row r="38">
      <c r="A38" t="inlineStr">
        <is>
          <t>OtherReceivables · fonte · unid. moeda</t>
        </is>
      </c>
      <c r="B38" t="n">
        <v>16</v>
      </c>
      <c r="C38" t="inlineStr">
        <is>
          <t>Other current assets</t>
        </is>
      </c>
      <c r="D38" s="265" t="n">
        <v>1473000</v>
      </c>
      <c r="E38" s="265" t="n">
        <v>1673000</v>
      </c>
      <c r="F38" s="265" t="n">
        <v>1738000</v>
      </c>
      <c r="G38" s="265" t="n">
        <v>1903000</v>
      </c>
      <c r="I38" s="265" t="n">
        <v>2306000</v>
      </c>
      <c r="J38" s="265" t="n">
        <v>1999000</v>
      </c>
      <c r="K38" s="265" t="n">
        <v>2492000</v>
      </c>
      <c r="L38" s="265" t="n">
        <v>1992000</v>
      </c>
      <c r="N38" s="265" t="n">
        <v>2593000</v>
      </c>
      <c r="O38" s="265" t="n">
        <v>3118000</v>
      </c>
      <c r="P38" s="265" t="n">
        <v>2623000</v>
      </c>
      <c r="Q38" s="265" t="n">
        <v>2017000</v>
      </c>
      <c r="S38" s="265" t="n">
        <v>2535000</v>
      </c>
      <c r="T38" s="265" t="n">
        <v>2270000</v>
      </c>
      <c r="U38" s="265" t="n">
        <v>2545000</v>
      </c>
      <c r="V38" s="265" t="n">
        <v>2979000</v>
      </c>
      <c r="X38" s="265" t="n">
        <v>2975000</v>
      </c>
      <c r="Y38" s="265" t="n">
        <v>2826000</v>
      </c>
      <c r="Z38" s="265" t="n">
        <v>2403000</v>
      </c>
      <c r="AA38" s="265" t="n">
        <v>2411000</v>
      </c>
      <c r="AC38" s="265" t="n">
        <v>2582000</v>
      </c>
      <c r="AD38" s="265" t="n">
        <v>2466000</v>
      </c>
    </row>
    <row r="39">
      <c r="A39" t="inlineStr">
        <is>
          <t>EquipmentOnOperatingLeasesNet · fonte · unid. moeda</t>
        </is>
      </c>
      <c r="B39" t="n">
        <v>16</v>
      </c>
      <c r="C39" t="inlineStr">
        <is>
          <t>Other current assets</t>
        </is>
      </c>
      <c r="D39" s="265" t="n">
        <v>0</v>
      </c>
      <c r="E39" s="265" t="n">
        <v>0</v>
      </c>
      <c r="F39" s="265" t="n">
        <v>0</v>
      </c>
      <c r="G39" s="265" t="n">
        <v>0</v>
      </c>
      <c r="I39" s="265" t="n">
        <v>0</v>
      </c>
      <c r="J39" s="265" t="n">
        <v>0</v>
      </c>
      <c r="K39" s="265" t="n">
        <v>0</v>
      </c>
      <c r="L39" s="265" t="n">
        <v>0</v>
      </c>
      <c r="N39" s="265" t="n">
        <v>0</v>
      </c>
      <c r="O39" s="265" t="n">
        <v>0</v>
      </c>
      <c r="P39" s="265" t="n">
        <v>0</v>
      </c>
      <c r="Q39" s="265" t="n">
        <v>0</v>
      </c>
      <c r="S39" s="265" t="n">
        <v>0</v>
      </c>
      <c r="T39" s="265" t="n">
        <v>0</v>
      </c>
      <c r="U39" s="265" t="n">
        <v>0</v>
      </c>
      <c r="V39" s="265" t="n">
        <v>0</v>
      </c>
      <c r="X39" s="265" t="n">
        <v>0</v>
      </c>
      <c r="Y39" s="265" t="n">
        <v>0</v>
      </c>
      <c r="Z39" s="265" t="n">
        <v>0</v>
      </c>
      <c r="AA39" s="265" t="n">
        <v>0</v>
      </c>
      <c r="AC39" s="265" t="n">
        <v>0</v>
      </c>
      <c r="AD39" s="265" t="n">
        <v>0</v>
      </c>
    </row>
    <row r="40">
      <c r="A40" t="inlineStr">
        <is>
          <t>InvestmentsInAffiliatesSubsidiariesAssociatesAndJointVentures · fonte · unid. moeda</t>
        </is>
      </c>
      <c r="B40" t="n">
        <v>16</v>
      </c>
      <c r="C40" t="inlineStr">
        <is>
          <t>Other current assets</t>
        </is>
      </c>
      <c r="D40" s="265" t="n">
        <v>182000</v>
      </c>
      <c r="E40" s="265" t="n">
        <v>188000</v>
      </c>
      <c r="F40" s="265" t="n">
        <v>175000</v>
      </c>
      <c r="G40" s="265" t="n">
        <v>176000</v>
      </c>
      <c r="I40" s="265" t="n">
        <v>0</v>
      </c>
      <c r="J40" s="265" t="n">
        <v>0</v>
      </c>
      <c r="K40" s="265" t="n">
        <v>0</v>
      </c>
      <c r="L40" s="265" t="n">
        <v>0</v>
      </c>
      <c r="N40" s="265" t="n">
        <v>0</v>
      </c>
      <c r="O40" s="265" t="n">
        <v>0</v>
      </c>
      <c r="P40" s="265" t="n">
        <v>0</v>
      </c>
      <c r="Q40" s="265" t="n">
        <v>0</v>
      </c>
      <c r="S40" s="265" t="n">
        <v>0</v>
      </c>
      <c r="T40" s="265" t="n">
        <v>0</v>
      </c>
      <c r="U40" s="265" t="n">
        <v>0</v>
      </c>
      <c r="V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C40" s="265" t="n">
        <v>0</v>
      </c>
      <c r="AD40" s="265" t="n">
        <v>0</v>
      </c>
    </row>
    <row r="41">
      <c r="A41" t="inlineStr">
        <is>
          <t>DefinedBenefitPlanAssetsForPlanBenefitsNoncurrent · fonte · unid. moeda</t>
        </is>
      </c>
      <c r="B41" t="n">
        <v>16</v>
      </c>
      <c r="C41" t="inlineStr">
        <is>
          <t>Other current assets</t>
        </is>
      </c>
      <c r="D41" s="265" t="n">
        <v>951000</v>
      </c>
      <c r="E41" s="265" t="n">
        <v>990000</v>
      </c>
      <c r="F41" s="265" t="n">
        <v>3601000</v>
      </c>
      <c r="G41" s="265" t="n">
        <v>3158000</v>
      </c>
      <c r="I41" s="265" t="n">
        <v>3059000</v>
      </c>
      <c r="J41" s="265" t="n">
        <v>3125000</v>
      </c>
      <c r="K41" s="265" t="n">
        <v>3730000</v>
      </c>
      <c r="L41" s="265" t="n">
        <v>3793000</v>
      </c>
      <c r="N41" s="265" t="n">
        <v>3519000</v>
      </c>
      <c r="O41" s="265" t="n">
        <v>3573000</v>
      </c>
      <c r="P41" s="265" t="n">
        <v>3007000</v>
      </c>
      <c r="Q41" s="265" t="n">
        <v>3087000</v>
      </c>
      <c r="S41" s="265" t="n">
        <v>3056000</v>
      </c>
      <c r="T41" s="265" t="n">
        <v>3126000</v>
      </c>
      <c r="U41" s="265" t="n">
        <v>2921000</v>
      </c>
      <c r="V41" s="265" t="n">
        <v>3018000</v>
      </c>
      <c r="X41" s="265" t="n">
        <v>3133000</v>
      </c>
      <c r="Y41" s="265" t="n">
        <v>3182000</v>
      </c>
      <c r="Z41" s="265" t="n">
        <v>3273000</v>
      </c>
      <c r="AA41" s="265" t="n">
        <v>3378000</v>
      </c>
      <c r="AC41" s="265" t="n">
        <v>3450000</v>
      </c>
      <c r="AD41" s="265" t="n">
        <v>3541000</v>
      </c>
    </row>
    <row r="42">
      <c r="A42" t="inlineStr">
        <is>
          <t>OtherAssets · fonte · unid. moeda</t>
        </is>
      </c>
      <c r="B42" t="n">
        <v>16</v>
      </c>
      <c r="C42" t="inlineStr">
        <is>
          <t>Other current assets</t>
        </is>
      </c>
      <c r="D42" s="265" t="n">
        <v>2155000</v>
      </c>
      <c r="E42" s="265" t="n">
        <v>2260000</v>
      </c>
      <c r="F42" s="265" t="n">
        <v>1970000</v>
      </c>
      <c r="G42" s="265" t="n">
        <v>2027000</v>
      </c>
      <c r="I42" s="265" t="n">
        <v>2280000</v>
      </c>
      <c r="J42" s="265" t="n">
        <v>2236000</v>
      </c>
      <c r="K42" s="265" t="n">
        <v>2417000</v>
      </c>
      <c r="L42" s="265" t="n">
        <v>2597000</v>
      </c>
      <c r="N42" s="265" t="n">
        <v>2510000</v>
      </c>
      <c r="O42" s="265" t="n">
        <v>2659000</v>
      </c>
      <c r="P42" s="265" t="n">
        <v>2503000</v>
      </c>
      <c r="Q42" s="265" t="n">
        <v>2578000</v>
      </c>
      <c r="S42" s="265" t="n">
        <v>2592000</v>
      </c>
      <c r="T42" s="265" t="n">
        <v>2903000</v>
      </c>
      <c r="U42" s="265" t="n">
        <v>2906000</v>
      </c>
      <c r="V42" s="265" t="n">
        <v>2807000</v>
      </c>
      <c r="X42" s="265" t="n">
        <v>3483000</v>
      </c>
      <c r="Y42" s="265" t="n">
        <v>3559000</v>
      </c>
      <c r="Z42" s="265" t="n">
        <v>3461000</v>
      </c>
      <c r="AA42" s="265" t="n">
        <v>3556000</v>
      </c>
      <c r="AC42" s="265" t="n">
        <v>3461000</v>
      </c>
      <c r="AD42" s="265" t="n">
        <v>3457000</v>
      </c>
    </row>
    <row r="43">
      <c r="A43" t="inlineStr">
        <is>
          <t>PropertySubjectToOrAvailableForEquipmentOnOperatingLeaseNet · fonte · unid. moeda</t>
        </is>
      </c>
      <c r="B43" t="n">
        <v>16</v>
      </c>
      <c r="C43" t="inlineStr">
        <is>
          <t>Other current assets</t>
        </is>
      </c>
      <c r="D43" s="265" t="n">
        <v>7108000</v>
      </c>
      <c r="E43" s="265" t="n">
        <v>6982000</v>
      </c>
      <c r="F43" s="265" t="n">
        <v>0</v>
      </c>
      <c r="G43" s="265" t="n">
        <v>0</v>
      </c>
      <c r="I43" s="265" t="n">
        <v>0</v>
      </c>
      <c r="J43" s="265" t="n">
        <v>0</v>
      </c>
      <c r="K43" s="265" t="n">
        <v>0</v>
      </c>
      <c r="L43" s="265" t="n">
        <v>0</v>
      </c>
      <c r="N43" s="265" t="n">
        <v>0</v>
      </c>
      <c r="O43" s="265" t="n">
        <v>0</v>
      </c>
      <c r="P43" s="265" t="n">
        <v>0</v>
      </c>
      <c r="Q43" s="265" t="n">
        <v>0</v>
      </c>
      <c r="S43" s="265" t="n">
        <v>0</v>
      </c>
      <c r="T43" s="265" t="n">
        <v>0</v>
      </c>
      <c r="U43" s="265" t="n">
        <v>0</v>
      </c>
      <c r="V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C43" s="265" t="n">
        <v>0</v>
      </c>
      <c r="AD43" s="265" t="n">
        <v>0</v>
      </c>
    </row>
    <row r="44">
      <c r="A44" t="inlineStr">
        <is>
          <t>PropertyPlantAndEquipmentAndFinanceLeaseRightOfUseAssetExcludingLessorAssetUnderOperatingLeaseAfterAccumulatedDepreciationAndAmortization · fonte · unid. moeda</t>
        </is>
      </c>
      <c r="B44" t="n">
        <v>16</v>
      </c>
      <c r="C44" t="inlineStr">
        <is>
          <t>Other current assets</t>
        </is>
      </c>
      <c r="D44" s="265" t="n">
        <v>5704000</v>
      </c>
      <c r="E44" s="265" t="n">
        <v>5649000</v>
      </c>
      <c r="F44" s="265" t="n">
        <v>5820000</v>
      </c>
      <c r="G44" s="265" t="n">
        <v>5665000</v>
      </c>
      <c r="I44" s="265" t="n">
        <v>5715000</v>
      </c>
      <c r="J44" s="265" t="n">
        <v>5666000</v>
      </c>
      <c r="K44" s="265" t="n">
        <v>6056000</v>
      </c>
      <c r="L44" s="265" t="n">
        <v>6212000</v>
      </c>
      <c r="N44" s="265" t="n">
        <v>6288000</v>
      </c>
      <c r="O44" s="265" t="n">
        <v>6418000</v>
      </c>
      <c r="P44" s="265" t="n">
        <v>6879000</v>
      </c>
      <c r="Q44" s="265" t="n">
        <v>6914000</v>
      </c>
      <c r="S44" s="265" t="n">
        <v>7034000</v>
      </c>
      <c r="T44" s="265" t="n">
        <v>7092000</v>
      </c>
      <c r="U44" s="265" t="n">
        <v>7580000</v>
      </c>
      <c r="V44" s="265" t="n">
        <v>7425000</v>
      </c>
      <c r="X44" s="265" t="n">
        <v>7555000</v>
      </c>
      <c r="Y44" s="265" t="n">
        <v>7713000</v>
      </c>
      <c r="Z44" s="265" t="n">
        <v>8079000</v>
      </c>
      <c r="AA44" s="265" t="n">
        <v>8084000</v>
      </c>
      <c r="AC44" s="265" t="n">
        <v>8035000</v>
      </c>
      <c r="AD44" s="265" t="n">
        <v>8006000</v>
      </c>
    </row>
    <row r="45">
      <c r="A45" t="inlineStr">
        <is>
          <t>PropertySubjectToOrAvailableForOperatingLeaseNet · fonte · unid. moeda</t>
        </is>
      </c>
      <c r="B45" t="n">
        <v>16</v>
      </c>
      <c r="C45" t="inlineStr">
        <is>
          <t>Other current assets</t>
        </is>
      </c>
      <c r="D45" s="265" t="n">
        <v>0</v>
      </c>
      <c r="E45" s="265" t="n">
        <v>0</v>
      </c>
      <c r="F45" s="265" t="n">
        <v>6988000</v>
      </c>
      <c r="G45" s="265" t="n">
        <v>6624000</v>
      </c>
      <c r="I45" s="265" t="n">
        <v>6465000</v>
      </c>
      <c r="J45" s="265" t="n">
        <v>6554000</v>
      </c>
      <c r="K45" s="265" t="n">
        <v>6623000</v>
      </c>
      <c r="L45" s="265" t="n">
        <v>6502000</v>
      </c>
      <c r="N45" s="265" t="n">
        <v>6524000</v>
      </c>
      <c r="O45" s="265" t="n">
        <v>6709000</v>
      </c>
      <c r="P45" s="265" t="n">
        <v>6917000</v>
      </c>
      <c r="Q45" s="265" t="n">
        <v>6751000</v>
      </c>
      <c r="S45" s="265" t="n">
        <v>6965000</v>
      </c>
      <c r="T45" s="265" t="n">
        <v>7118000</v>
      </c>
      <c r="U45" s="265" t="n">
        <v>7451000</v>
      </c>
      <c r="V45" s="265" t="n">
        <v>7157000</v>
      </c>
      <c r="X45" s="265" t="n">
        <v>7336000</v>
      </c>
      <c r="Y45" s="265" t="n">
        <v>7512000</v>
      </c>
      <c r="Z45" s="265" t="n">
        <v>7600000</v>
      </c>
      <c r="AA45" s="265" t="n">
        <v>7512000</v>
      </c>
      <c r="AC45" s="265" t="n">
        <v>7514000</v>
      </c>
      <c r="AD45" s="265" t="n">
        <v>7400000</v>
      </c>
    </row>
    <row r="46">
      <c r="A46" t="inlineStr">
        <is>
          <t>AssetsOfDisposalGroupIncludingDiscontinuedOperation · fonte · unid. moeda</t>
        </is>
      </c>
      <c r="B46" t="n">
        <v>16</v>
      </c>
      <c r="C46" t="inlineStr">
        <is>
          <t>Other current assets</t>
        </is>
      </c>
      <c r="D46" s="265" t="n">
        <v>0</v>
      </c>
      <c r="E46" s="265" t="n">
        <v>0</v>
      </c>
      <c r="F46" s="265" t="n">
        <v>0</v>
      </c>
      <c r="G46" s="265" t="n">
        <v>0</v>
      </c>
      <c r="I46" s="265" t="n">
        <v>0</v>
      </c>
      <c r="J46" s="265" t="n">
        <v>0</v>
      </c>
      <c r="K46" s="265" t="n">
        <v>0</v>
      </c>
      <c r="L46" s="265" t="n">
        <v>0</v>
      </c>
      <c r="N46" s="265" t="n">
        <v>0</v>
      </c>
      <c r="O46" s="265" t="n">
        <v>0</v>
      </c>
      <c r="P46" s="265" t="n">
        <v>0</v>
      </c>
      <c r="Q46" s="265" t="n">
        <v>0</v>
      </c>
      <c r="S46" s="265" t="n">
        <v>0</v>
      </c>
      <c r="T46" s="265" t="n">
        <v>2965000</v>
      </c>
      <c r="U46" s="265" t="n">
        <v>2944000</v>
      </c>
      <c r="V46" s="265" t="n">
        <v>2929000</v>
      </c>
      <c r="X46" s="265" t="n">
        <v>0</v>
      </c>
      <c r="Y46" s="265" t="n">
        <v>0</v>
      </c>
      <c r="Z46" s="265" t="n">
        <v>0</v>
      </c>
      <c r="AA46" s="265" t="n">
        <v>0</v>
      </c>
      <c r="AC46" s="265" t="n">
        <v>0</v>
      </c>
      <c r="AD46" s="265" t="n">
        <v>0</v>
      </c>
    </row>
    <row r="47">
      <c r="A47" t="inlineStr">
        <is>
          <t>PropertyPlantAndEquipmentNet · fonte · unid. moeda</t>
        </is>
      </c>
      <c r="B47" t="n">
        <v>18</v>
      </c>
      <c r="C47" t="inlineStr">
        <is>
          <t>PP&amp;E</t>
        </is>
      </c>
      <c r="D47" s="265" t="n">
        <v>0</v>
      </c>
      <c r="E47" s="265" t="n">
        <v>0</v>
      </c>
      <c r="F47" s="265" t="n">
        <v>0</v>
      </c>
      <c r="G47" s="265" t="n">
        <v>0</v>
      </c>
      <c r="I47" s="265" t="n">
        <v>0</v>
      </c>
      <c r="J47" s="265" t="n">
        <v>0</v>
      </c>
      <c r="K47" s="265" t="n">
        <v>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C47" s="265" t="n">
        <v>0</v>
      </c>
      <c r="AD47" s="265" t="n">
        <v>0</v>
      </c>
    </row>
    <row r="48">
      <c r="A48" t="inlineStr">
        <is>
          <t>PropertyPlantAndEquipmentAndFinanceLeaseRightOfUseAssetAfterAccumulatedDepreciationAndAmortization · fonte · unid. moeda</t>
        </is>
      </c>
      <c r="B48" t="n">
        <v>18</v>
      </c>
      <c r="C48" t="inlineStr">
        <is>
          <t>PP&amp;E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Goodwill · fonte · unid. moeda</t>
        </is>
      </c>
      <c r="B49" t="n">
        <v>20</v>
      </c>
      <c r="C49" t="inlineStr">
        <is>
          <t>Goodwill</t>
        </is>
      </c>
      <c r="D49" s="265" t="n">
        <v>3190000</v>
      </c>
      <c r="E49" s="265" t="n">
        <v>3148000</v>
      </c>
      <c r="F49" s="265" t="n">
        <v>3291000</v>
      </c>
      <c r="G49" s="265" t="n">
        <v>3192000</v>
      </c>
      <c r="I49" s="265" t="n">
        <v>3812000</v>
      </c>
      <c r="J49" s="265" t="n">
        <v>3754000</v>
      </c>
      <c r="K49" s="265" t="n">
        <v>3687000</v>
      </c>
      <c r="L49" s="265" t="n">
        <v>3891000</v>
      </c>
      <c r="N49" s="265" t="n">
        <v>3963000</v>
      </c>
      <c r="O49" s="265" t="n">
        <v>3994000</v>
      </c>
      <c r="P49" s="265" t="n">
        <v>3900000</v>
      </c>
      <c r="Q49" s="265" t="n">
        <v>3966000</v>
      </c>
      <c r="S49" s="265" t="n">
        <v>3936000</v>
      </c>
      <c r="T49" s="265" t="n">
        <v>3960000</v>
      </c>
      <c r="U49" s="265" t="n">
        <v>3959000</v>
      </c>
      <c r="V49" s="265" t="n">
        <v>3872000</v>
      </c>
      <c r="X49" s="265" t="n">
        <v>4094000</v>
      </c>
      <c r="Y49" s="265" t="n">
        <v>4209000</v>
      </c>
      <c r="Z49" s="265" t="n">
        <v>4188000</v>
      </c>
      <c r="AA49" s="265" t="n">
        <v>4280000</v>
      </c>
      <c r="AC49" s="265" t="n">
        <v>4513000</v>
      </c>
      <c r="AD49" s="265" t="n">
        <v>4466000</v>
      </c>
    </row>
    <row r="50">
      <c r="A50" t="inlineStr">
        <is>
          <t>FiniteLivedIntangibleAssetsNet · fonte · unid. moeda</t>
        </is>
      </c>
      <c r="B50" t="n">
        <v>21</v>
      </c>
      <c r="C50" t="inlineStr">
        <is>
          <t>Intangibles</t>
        </is>
      </c>
      <c r="D50" s="265" t="n">
        <v>1310000</v>
      </c>
      <c r="E50" s="265" t="n">
        <v>1267000</v>
      </c>
      <c r="F50" s="265" t="n">
        <v>1275000</v>
      </c>
      <c r="G50" s="265" t="n">
        <v>1209000</v>
      </c>
      <c r="I50" s="265" t="n">
        <v>1352000</v>
      </c>
      <c r="J50" s="265" t="n">
        <v>1281000</v>
      </c>
      <c r="K50" s="265" t="n">
        <v>1218000</v>
      </c>
      <c r="L50" s="265" t="n">
        <v>1255000</v>
      </c>
      <c r="N50" s="265" t="n">
        <v>1222000</v>
      </c>
      <c r="O50" s="265" t="n">
        <v>1199000</v>
      </c>
      <c r="P50" s="265" t="n">
        <v>1133000</v>
      </c>
      <c r="Q50" s="265" t="n">
        <v>1112000</v>
      </c>
      <c r="S50" s="265" t="n">
        <v>1064000</v>
      </c>
      <c r="T50" s="265" t="n">
        <v>1030000</v>
      </c>
      <c r="U50" s="265" t="n">
        <v>999000</v>
      </c>
      <c r="V50" s="265" t="n">
        <v>937000</v>
      </c>
      <c r="X50" s="265" t="n">
        <v>964000</v>
      </c>
      <c r="Y50" s="265" t="n">
        <v>926000</v>
      </c>
      <c r="Z50" s="265" t="n">
        <v>892000</v>
      </c>
      <c r="AA50" s="265" t="n">
        <v>880000</v>
      </c>
      <c r="AC50" s="265" t="n">
        <v>975000</v>
      </c>
      <c r="AD50" s="265" t="n">
        <v>940000</v>
      </c>
    </row>
    <row r="51">
      <c r="A51" t="inlineStr">
        <is>
          <t>ShortTermBorrowingsIncludingLongTermDebtCurrent · fonte · unid. moeda</t>
        </is>
      </c>
      <c r="B51" t="n">
        <v>26</v>
      </c>
      <c r="C51" t="inlineStr">
        <is>
          <t>Other current liabilities (non-debt)</t>
        </is>
      </c>
      <c r="D51" s="265" t="n">
        <v>9911000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SecuredDebt · fonte · unid. moeda</t>
        </is>
      </c>
      <c r="B52" t="n">
        <v>26</v>
      </c>
      <c r="C52" t="inlineStr">
        <is>
          <t>Other current liabilities (non-debt)</t>
        </is>
      </c>
      <c r="D52" s="265" t="n">
        <v>4106000</v>
      </c>
      <c r="E52" s="265" t="n">
        <v>5277000</v>
      </c>
      <c r="F52" s="265" t="n">
        <v>4605000</v>
      </c>
      <c r="G52" s="265" t="n">
        <v>3482000</v>
      </c>
      <c r="I52" s="265" t="n">
        <v>4006000</v>
      </c>
      <c r="J52" s="265" t="n">
        <v>4920000</v>
      </c>
      <c r="K52" s="265" t="n">
        <v>5711000</v>
      </c>
      <c r="L52" s="265" t="n">
        <v>4864000</v>
      </c>
      <c r="N52" s="265" t="n">
        <v>5379000</v>
      </c>
      <c r="O52" s="265" t="n">
        <v>6608000</v>
      </c>
      <c r="P52" s="265" t="n">
        <v>6995000</v>
      </c>
      <c r="Q52" s="265" t="n">
        <v>6116000</v>
      </c>
      <c r="S52" s="265" t="n">
        <v>6976000</v>
      </c>
      <c r="T52" s="265" t="n">
        <v>7869000</v>
      </c>
      <c r="U52" s="265" t="n">
        <v>8431000</v>
      </c>
      <c r="V52" s="265" t="n">
        <v>8014000</v>
      </c>
      <c r="X52" s="265" t="n">
        <v>7562000</v>
      </c>
      <c r="Y52" s="265" t="n">
        <v>7610000</v>
      </c>
      <c r="Z52" s="265" t="n">
        <v>6596000</v>
      </c>
      <c r="AA52" s="265" t="n">
        <v>6283000</v>
      </c>
      <c r="AC52" s="265" t="n">
        <v>5929000</v>
      </c>
      <c r="AD52" s="265" t="n">
        <v>6095000</v>
      </c>
    </row>
    <row r="53">
      <c r="A53" t="inlineStr">
        <is>
          <t>DueToRelatedPartiesCurrentAndNoncurrent · fonte · unid. moeda</t>
        </is>
      </c>
      <c r="B53" t="n">
        <v>26</v>
      </c>
      <c r="C53" t="inlineStr">
        <is>
          <t>Other current liabilities (non-debt)</t>
        </is>
      </c>
      <c r="D53" s="265" t="n">
        <v>155000</v>
      </c>
      <c r="E53" s="265" t="n">
        <v>116000</v>
      </c>
      <c r="F53" s="265" t="n">
        <v>143000</v>
      </c>
      <c r="G53" s="265" t="n">
        <v>172000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AccountsPayableAndAccruedLiabilitiesCurrentAndNoncurrent · fonte · unid. moeda</t>
        </is>
      </c>
      <c r="B54" t="n">
        <v>26</v>
      </c>
      <c r="C54" t="inlineStr">
        <is>
          <t>Other current liabilities (non-debt)</t>
        </is>
      </c>
      <c r="D54" s="265" t="n">
        <v>10527000</v>
      </c>
      <c r="E54" s="265" t="n">
        <v>11091000</v>
      </c>
      <c r="F54" s="265" t="n">
        <v>12205000</v>
      </c>
      <c r="G54" s="265" t="n">
        <v>10479000</v>
      </c>
      <c r="I54" s="265" t="n">
        <v>12679000</v>
      </c>
      <c r="J54" s="265" t="n">
        <v>12986000</v>
      </c>
      <c r="K54" s="265" t="n">
        <v>14822000</v>
      </c>
      <c r="L54" s="265" t="n">
        <v>13108000</v>
      </c>
      <c r="N54" s="265" t="n">
        <v>14716000</v>
      </c>
      <c r="O54" s="265" t="n">
        <v>15340000</v>
      </c>
      <c r="P54" s="265" t="n">
        <v>16130000</v>
      </c>
      <c r="Q54" s="265" t="n">
        <v>13361000</v>
      </c>
      <c r="S54" s="265" t="n">
        <v>14609000</v>
      </c>
      <c r="T54" s="265" t="n">
        <v>14397000</v>
      </c>
      <c r="U54" s="265" t="n">
        <v>14543000</v>
      </c>
      <c r="V54" s="265" t="n">
        <v>12162000</v>
      </c>
      <c r="X54" s="265" t="n">
        <v>13345000</v>
      </c>
      <c r="Y54" s="265" t="n">
        <v>13582000</v>
      </c>
      <c r="Z54" s="265" t="n">
        <v>13909000</v>
      </c>
      <c r="AA54" s="265" t="n">
        <v>12533000</v>
      </c>
      <c r="AC54" s="265" t="n">
        <v>13653000</v>
      </c>
      <c r="AD54" s="265" t="n">
        <v>13668000</v>
      </c>
    </row>
    <row r="55">
      <c r="A55" t="inlineStr">
        <is>
          <t>PensionAndOtherPostretirementDefinedBenefitPlansAndOtherLiabilitiesCurrentAndNoncurrent · fonte · unid. moeda</t>
        </is>
      </c>
      <c r="B55" t="n">
        <v>26</v>
      </c>
      <c r="C55" t="inlineStr">
        <is>
          <t>Other current liabilities (non-debt)</t>
        </is>
      </c>
      <c r="D55" s="265" t="n">
        <v>5305000</v>
      </c>
      <c r="E55" s="265" t="n">
        <v>5272000</v>
      </c>
      <c r="F55" s="265" t="n">
        <v>4344000</v>
      </c>
      <c r="G55" s="265" t="n">
        <v>3289000</v>
      </c>
      <c r="I55" s="265" t="n">
        <v>2964000</v>
      </c>
      <c r="J55" s="265" t="n">
        <v>2911000</v>
      </c>
      <c r="K55" s="265" t="n">
        <v>2457000</v>
      </c>
      <c r="L55" s="265" t="n">
        <v>2493000</v>
      </c>
      <c r="N55" s="265" t="n">
        <v>2520000</v>
      </c>
      <c r="O55" s="265" t="n">
        <v>2536000</v>
      </c>
      <c r="P55" s="265" t="n">
        <v>2140000</v>
      </c>
      <c r="Q55" s="265" t="n">
        <v>2115000</v>
      </c>
      <c r="S55" s="265" t="n">
        <v>2105000</v>
      </c>
      <c r="T55" s="265" t="n">
        <v>2156000</v>
      </c>
      <c r="U55" s="265" t="n">
        <v>2354000</v>
      </c>
      <c r="V55" s="265" t="n">
        <v>1734000</v>
      </c>
      <c r="X55" s="265" t="n">
        <v>1763000</v>
      </c>
      <c r="Y55" s="265" t="n">
        <v>1836000</v>
      </c>
      <c r="Z55" s="265" t="n">
        <v>1710000</v>
      </c>
      <c r="AA55" s="265" t="n">
        <v>1633000</v>
      </c>
      <c r="AC55" s="265" t="n">
        <v>1644000</v>
      </c>
      <c r="AD55" s="265" t="n">
        <v>1651000</v>
      </c>
    </row>
    <row r="56">
      <c r="A56" t="inlineStr">
        <is>
          <t>LongTermDebtAndFinanceLeasesNoncurrent · fonte · unid. moeda</t>
        </is>
      </c>
      <c r="B56" t="n">
        <v>26</v>
      </c>
      <c r="C56" t="inlineStr">
        <is>
          <t>Other current liabilities (non-debt)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32132000</v>
      </c>
      <c r="K56" s="265" t="n">
        <v>33596000</v>
      </c>
      <c r="L56" s="265" t="n">
        <v>35071000</v>
      </c>
      <c r="N56" s="265" t="n">
        <v>35611000</v>
      </c>
      <c r="O56" s="265" t="n">
        <v>38112000</v>
      </c>
      <c r="P56" s="265" t="n">
        <v>38477000</v>
      </c>
      <c r="Q56" s="265" t="n">
        <v>39933000</v>
      </c>
      <c r="S56" s="265" t="n">
        <v>40962000</v>
      </c>
      <c r="T56" s="265" t="n">
        <v>42692000</v>
      </c>
      <c r="U56" s="265" t="n">
        <v>43229000</v>
      </c>
      <c r="V56" s="265" t="n">
        <v>43556000</v>
      </c>
      <c r="X56" s="265" t="n">
        <v>42811000</v>
      </c>
      <c r="Y56" s="265" t="n">
        <v>44429000</v>
      </c>
      <c r="Z56" s="265" t="n">
        <v>43544000</v>
      </c>
      <c r="AA56" s="265" t="n">
        <v>41804000</v>
      </c>
      <c r="AC56" s="265" t="n">
        <v>42261000</v>
      </c>
      <c r="AD56" s="265" t="n">
        <v>40626000</v>
      </c>
    </row>
    <row r="57">
      <c r="A57" t="inlineStr">
        <is>
          <t>LiabilitiesOfDisposalGroupIncludingDiscontinuedOperation · fonte · unid. moeda</t>
        </is>
      </c>
      <c r="B57" t="n">
        <v>26</v>
      </c>
      <c r="C57" t="inlineStr">
        <is>
          <t>Other current liabilities (non-debt)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1803000</v>
      </c>
      <c r="U57" s="265" t="n">
        <v>1827000</v>
      </c>
      <c r="V57" s="265" t="n">
        <v>1830000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LongTermDebtNoncurrent · fonte · unid. moeda</t>
        </is>
      </c>
      <c r="B58" t="n">
        <v>27</v>
      </c>
      <c r="C58" t="inlineStr">
        <is>
          <t>Current portion of long-term debt</t>
        </is>
      </c>
      <c r="D58" s="265" t="n">
        <v>33346000</v>
      </c>
      <c r="E58" s="265" t="n">
        <v>32280000</v>
      </c>
      <c r="F58" s="265" t="n">
        <v>32888000</v>
      </c>
      <c r="G58" s="265" t="n">
        <v>32838000</v>
      </c>
      <c r="I58" s="265" t="n">
        <v>32447000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DebtCurrent · fonte · unid. moeda</t>
        </is>
      </c>
      <c r="B59" t="n">
        <v>27</v>
      </c>
      <c r="C59" t="inlineStr">
        <is>
          <t>Current portion of long-term debt</t>
        </is>
      </c>
      <c r="D59" s="265" t="n">
        <v>0</v>
      </c>
      <c r="E59" s="265" t="n">
        <v>10404000</v>
      </c>
      <c r="F59" s="265" t="n">
        <v>10919000</v>
      </c>
      <c r="G59" s="265" t="n">
        <v>10990000</v>
      </c>
      <c r="I59" s="265" t="n">
        <v>12413000</v>
      </c>
      <c r="J59" s="265" t="n">
        <v>14176000</v>
      </c>
      <c r="K59" s="265" t="n">
        <v>12592000</v>
      </c>
      <c r="L59" s="265" t="n">
        <v>14129000</v>
      </c>
      <c r="N59" s="265" t="n">
        <v>17109000</v>
      </c>
      <c r="O59" s="265" t="n">
        <v>17143000</v>
      </c>
      <c r="P59" s="265" t="n">
        <v>17939000</v>
      </c>
      <c r="Q59" s="265" t="n">
        <v>17117000</v>
      </c>
      <c r="S59" s="265" t="n">
        <v>17699000</v>
      </c>
      <c r="T59" s="265" t="n">
        <v>15294000</v>
      </c>
      <c r="U59" s="265" t="n">
        <v>13533000</v>
      </c>
      <c r="V59" s="265" t="n">
        <v>12811000</v>
      </c>
      <c r="X59" s="265" t="n">
        <v>15948000</v>
      </c>
      <c r="Y59" s="265" t="n">
        <v>14607000</v>
      </c>
      <c r="Z59" s="265" t="n">
        <v>13796000</v>
      </c>
      <c r="AA59" s="265" t="n">
        <v>14392000</v>
      </c>
      <c r="AC59" s="265" t="n">
        <v>15632000</v>
      </c>
      <c r="AD59" s="265" t="n">
        <v>17115000</v>
      </c>
    </row>
    <row r="60">
      <c r="A60" t="inlineStr">
        <is>
          <t>DeferredIncomeTaxLiabilitiesNet · fonte · unid. moeda</t>
        </is>
      </c>
      <c r="B60" t="n">
        <v>33</v>
      </c>
      <c r="C60" t="inlineStr">
        <is>
          <t>Deferred income taxes</t>
        </is>
      </c>
      <c r="D60" s="265" t="n">
        <v>533000</v>
      </c>
      <c r="E60" s="265" t="n">
        <v>515000</v>
      </c>
      <c r="F60" s="265" t="n">
        <v>576000</v>
      </c>
      <c r="G60" s="265" t="n">
        <v>556000</v>
      </c>
      <c r="I60" s="265" t="n">
        <v>584000</v>
      </c>
      <c r="J60" s="265" t="n">
        <v>561000</v>
      </c>
      <c r="K60" s="265" t="n">
        <v>495000</v>
      </c>
      <c r="L60" s="265" t="n">
        <v>519000</v>
      </c>
      <c r="N60" s="265" t="n">
        <v>511000</v>
      </c>
      <c r="O60" s="265" t="n">
        <v>506000</v>
      </c>
      <c r="P60" s="265" t="n">
        <v>520000</v>
      </c>
      <c r="Q60" s="265" t="n">
        <v>550000</v>
      </c>
      <c r="S60" s="265" t="n">
        <v>491000</v>
      </c>
      <c r="T60" s="265" t="n">
        <v>481000</v>
      </c>
      <c r="U60" s="265" t="n">
        <v>478000</v>
      </c>
      <c r="V60" s="265" t="n">
        <v>448000</v>
      </c>
      <c r="X60" s="265" t="n">
        <v>496000</v>
      </c>
      <c r="Y60" s="265" t="n">
        <v>489000</v>
      </c>
      <c r="Z60" s="265" t="n">
        <v>434000</v>
      </c>
      <c r="AA60" s="265" t="n">
        <v>434000</v>
      </c>
      <c r="AC60" s="265" t="n">
        <v>422000</v>
      </c>
      <c r="AD60" s="265" t="n">
        <v>411000</v>
      </c>
    </row>
    <row r="61">
      <c r="A61" t="inlineStr">
        <is>
          <t>MinorityInterest · fonte · unid. moeda</t>
        </is>
      </c>
      <c r="B61" t="n">
        <v>35</v>
      </c>
      <c r="C61" t="inlineStr">
        <is>
          <t>Minority interest</t>
        </is>
      </c>
      <c r="D61" s="265" t="n">
        <v>4000</v>
      </c>
      <c r="E61" s="265" t="n">
        <v>2000</v>
      </c>
      <c r="F61" s="265" t="n">
        <v>3000</v>
      </c>
      <c r="G61" s="265" t="n">
        <v>4000</v>
      </c>
      <c r="I61" s="265" t="n">
        <v>3000</v>
      </c>
      <c r="J61" s="265" t="n">
        <v>3000</v>
      </c>
      <c r="K61" s="265" t="n">
        <v>3000</v>
      </c>
      <c r="L61" s="265" t="n">
        <v>4000</v>
      </c>
      <c r="N61" s="265" t="n">
        <v>4000</v>
      </c>
      <c r="O61" s="265" t="n">
        <v>3000</v>
      </c>
      <c r="P61" s="265" t="n">
        <v>4000</v>
      </c>
      <c r="Q61" s="265" t="n">
        <v>4000</v>
      </c>
      <c r="S61" s="265" t="n">
        <v>4000</v>
      </c>
      <c r="T61" s="265" t="n">
        <v>3000</v>
      </c>
      <c r="U61" s="265" t="n">
        <v>7000</v>
      </c>
      <c r="V61" s="265" t="n">
        <v>7000</v>
      </c>
      <c r="X61" s="265" t="n">
        <v>8000</v>
      </c>
      <c r="Y61" s="265" t="n">
        <v>5000</v>
      </c>
      <c r="Z61" s="265" t="n">
        <v>6000</v>
      </c>
      <c r="AA61" s="265" t="n">
        <v>7000</v>
      </c>
      <c r="AC61" s="265" t="n">
        <v>7000</v>
      </c>
      <c r="AD61" s="265" t="n">
        <v>7000</v>
      </c>
    </row>
    <row r="62">
      <c r="A62" t="inlineStr">
        <is>
          <t>RedeemableNoncontrollingInterestEquityCarryingAmount · fonte · unid. moeda</t>
        </is>
      </c>
      <c r="B62" t="n">
        <v>35</v>
      </c>
      <c r="C62" t="inlineStr">
        <is>
          <t>Minority interest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99000</v>
      </c>
      <c r="J62" s="265" t="n">
        <v>95000</v>
      </c>
      <c r="K62" s="265" t="n">
        <v>92000</v>
      </c>
      <c r="L62" s="265" t="n">
        <v>100000</v>
      </c>
      <c r="N62" s="265" t="n">
        <v>102000</v>
      </c>
      <c r="O62" s="265" t="n">
        <v>101000</v>
      </c>
      <c r="P62" s="265" t="n">
        <v>97000</v>
      </c>
      <c r="Q62" s="265" t="n">
        <v>100000</v>
      </c>
      <c r="S62" s="265" t="n">
        <v>98000</v>
      </c>
      <c r="T62" s="265" t="n">
        <v>84000</v>
      </c>
      <c r="U62" s="265" t="n">
        <v>82000</v>
      </c>
      <c r="V62" s="265" t="n">
        <v>78000</v>
      </c>
      <c r="X62" s="265" t="n">
        <v>83000</v>
      </c>
      <c r="Y62" s="265" t="n">
        <v>84000</v>
      </c>
      <c r="Z62" s="265" t="n">
        <v>51000</v>
      </c>
      <c r="AA62" s="265" t="n">
        <v>50000</v>
      </c>
      <c r="AC62" s="265" t="n">
        <v>47000</v>
      </c>
      <c r="AD62" s="265" t="n">
        <v>44000</v>
      </c>
    </row>
    <row r="63">
      <c r="A63" t="inlineStr">
        <is>
          <t>CommonStockValue · fonte · unid. moeda</t>
        </is>
      </c>
      <c r="B63" t="n">
        <v>37</v>
      </c>
      <c r="C63" t="inlineStr">
        <is>
          <t>Common Stock and APIC</t>
        </is>
      </c>
      <c r="D63" s="265" t="n">
        <v>4999000</v>
      </c>
      <c r="E63" s="265" t="n">
        <v>5031000</v>
      </c>
      <c r="F63" s="265" t="n">
        <v>5054000</v>
      </c>
      <c r="G63" s="265" t="n">
        <v>5066000</v>
      </c>
      <c r="I63" s="265" t="n">
        <v>5117000</v>
      </c>
      <c r="J63" s="265" t="n">
        <v>5139000</v>
      </c>
      <c r="K63" s="265" t="n">
        <v>5165000</v>
      </c>
      <c r="L63" s="265" t="n">
        <v>5191000</v>
      </c>
      <c r="N63" s="265" t="n">
        <v>5227000</v>
      </c>
      <c r="O63" s="265" t="n">
        <v>5272000</v>
      </c>
      <c r="P63" s="265" t="n">
        <v>5303000</v>
      </c>
      <c r="Q63" s="265" t="n">
        <v>5335000</v>
      </c>
      <c r="S63" s="265" t="n">
        <v>5391000</v>
      </c>
      <c r="T63" s="265" t="n">
        <v>5441000</v>
      </c>
      <c r="U63" s="265" t="n">
        <v>5489000</v>
      </c>
      <c r="V63" s="265" t="n">
        <v>5526000</v>
      </c>
      <c r="X63" s="265" t="n">
        <v>5565000</v>
      </c>
      <c r="Y63" s="265" t="n">
        <v>5620000</v>
      </c>
      <c r="Z63" s="265" t="n">
        <v>5668000</v>
      </c>
      <c r="AA63" s="265" t="n">
        <v>5715000</v>
      </c>
      <c r="AC63" s="265" t="n">
        <v>5777000</v>
      </c>
      <c r="AD63" s="265" t="n">
        <v>5826000</v>
      </c>
    </row>
    <row r="64">
      <c r="A64" t="inlineStr">
        <is>
          <t>TreasuryStockValue (divulgado positivo, lançado negativo) · fonte · unid. moeda</t>
        </is>
      </c>
      <c r="B64" t="n">
        <v>38</v>
      </c>
      <c r="C64" t="inlineStr">
        <is>
          <t>Treasury stock (contra account)</t>
        </is>
      </c>
      <c r="D64" s="265" t="n">
        <v>-19052000</v>
      </c>
      <c r="E64" s="265" t="n">
        <v>-19780000</v>
      </c>
      <c r="F64" s="265" t="n">
        <v>-20533000</v>
      </c>
      <c r="G64" s="265" t="n">
        <v>-21139000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TreasuryStockCommonValue (divulgado positivo, lançado negativo) · fonte · unid. moeda</t>
        </is>
      </c>
      <c r="B65" t="n">
        <v>38</v>
      </c>
      <c r="C65" t="inlineStr">
        <is>
          <t>Treasury stock (contra account)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-21727000</v>
      </c>
      <c r="J65" s="265" t="n">
        <v>-22976000</v>
      </c>
      <c r="K65" s="265" t="n">
        <v>-24094000</v>
      </c>
      <c r="L65" s="265" t="n">
        <v>-25333000</v>
      </c>
      <c r="N65" s="265" t="n">
        <v>-26630000</v>
      </c>
      <c r="O65" s="265" t="n">
        <v>-28760000</v>
      </c>
      <c r="P65" s="265" t="n">
        <v>-31335000</v>
      </c>
      <c r="Q65" s="265" t="n">
        <v>-32663000</v>
      </c>
      <c r="S65" s="265" t="n">
        <v>-33764000</v>
      </c>
      <c r="T65" s="265" t="n">
        <v>-34570000</v>
      </c>
      <c r="U65" s="265" t="n">
        <v>-35349000</v>
      </c>
      <c r="V65" s="265" t="n">
        <v>-35709000</v>
      </c>
      <c r="X65" s="265" t="n">
        <v>-36064000</v>
      </c>
      <c r="Y65" s="265" t="n">
        <v>-36361000</v>
      </c>
      <c r="Z65" s="265" t="n">
        <v>-36362000</v>
      </c>
      <c r="AA65" s="265" t="n">
        <v>-36645000</v>
      </c>
      <c r="AC65" s="265" t="n">
        <v>-36831000</v>
      </c>
      <c r="AD65" s="265" t="n">
        <v>-37029000</v>
      </c>
    </row>
    <row r="66">
      <c r="A66" t="inlineStr">
        <is>
          <t>AccumulatedOtherComprehensiveIncomeLossNetOfTax · fonte · unid. moeda</t>
        </is>
      </c>
      <c r="B66" t="n">
        <v>39</v>
      </c>
      <c r="C66" t="inlineStr">
        <is>
          <t>Comprehensive (accumulated) loss</t>
        </is>
      </c>
      <c r="D66" s="265" t="n">
        <v>-4960000</v>
      </c>
      <c r="E66" s="265" t="n">
        <v>-5011000</v>
      </c>
      <c r="F66" s="265" t="n">
        <v>-2539000</v>
      </c>
      <c r="G66" s="265" t="n">
        <v>-3152000</v>
      </c>
      <c r="I66" s="265" t="n">
        <v>-3291000</v>
      </c>
      <c r="J66" s="265" t="n">
        <v>-3476000</v>
      </c>
      <c r="K66" s="265" t="n">
        <v>-3056000</v>
      </c>
      <c r="L66" s="265" t="n">
        <v>-2372000</v>
      </c>
      <c r="N66" s="265" t="n">
        <v>-2538000</v>
      </c>
      <c r="O66" s="265" t="n">
        <v>-2411000</v>
      </c>
      <c r="P66" s="265" t="n">
        <v>-3114000</v>
      </c>
      <c r="Q66" s="265" t="n">
        <v>-2863000</v>
      </c>
      <c r="S66" s="265" t="n">
        <v>-3171000</v>
      </c>
      <c r="T66" s="265" t="n">
        <v>-3368000</v>
      </c>
      <c r="U66" s="265" t="n">
        <v>-3706000</v>
      </c>
      <c r="V66" s="265" t="n">
        <v>-4167000</v>
      </c>
      <c r="X66" s="265" t="n">
        <v>-3405000</v>
      </c>
      <c r="Y66" s="265" t="n">
        <v>-3107000</v>
      </c>
      <c r="Z66" s="265" t="n">
        <v>-3032000</v>
      </c>
      <c r="AA66" s="265" t="n">
        <v>-2665000</v>
      </c>
      <c r="AC66" s="265" t="n">
        <v>-2768000</v>
      </c>
      <c r="AD66" s="265" t="n">
        <v>-2976000</v>
      </c>
    </row>
    <row r="67">
      <c r="A67" t="inlineStr">
        <is>
          <t>RetainedEarningsAccumulatedDeficit · fonte · unid. moeda</t>
        </is>
      </c>
      <c r="B67" t="n">
        <v>41</v>
      </c>
      <c r="C67" t="inlineStr">
        <is>
          <t>Retained earnings</t>
        </is>
      </c>
      <c r="D67" s="265" t="n">
        <v>34105000</v>
      </c>
      <c r="E67" s="265" t="n">
        <v>35491000</v>
      </c>
      <c r="F67" s="265" t="n">
        <v>36449000</v>
      </c>
      <c r="G67" s="265" t="n">
        <v>37029000</v>
      </c>
      <c r="I67" s="265" t="n">
        <v>38805000</v>
      </c>
      <c r="J67" s="265" t="n">
        <v>40346000</v>
      </c>
      <c r="K67" s="265" t="n">
        <v>42247000</v>
      </c>
      <c r="L67" s="265" t="n">
        <v>43846000</v>
      </c>
      <c r="N67" s="265" t="n">
        <v>46336000</v>
      </c>
      <c r="O67" s="265" t="n">
        <v>48947000</v>
      </c>
      <c r="P67" s="265" t="n">
        <v>50931000</v>
      </c>
      <c r="Q67" s="265" t="n">
        <v>52266000</v>
      </c>
      <c r="S67" s="265" t="n">
        <v>54228000</v>
      </c>
      <c r="T67" s="265" t="n">
        <v>55559000</v>
      </c>
      <c r="U67" s="265" t="n">
        <v>56402000</v>
      </c>
      <c r="V67" s="265" t="n">
        <v>56829000</v>
      </c>
      <c r="X67" s="265" t="n">
        <v>58191000</v>
      </c>
      <c r="Y67" s="265" t="n">
        <v>59023000</v>
      </c>
      <c r="Z67" s="265" t="n">
        <v>59676000</v>
      </c>
      <c r="AA67" s="265" t="n">
        <v>59895000</v>
      </c>
      <c r="AC67" s="265" t="n">
        <v>61228000</v>
      </c>
      <c r="AD67" s="265" t="n">
        <v>62169000</v>
      </c>
    </row>
    <row r="68">
      <c r="A68" t="inlineStr">
        <is>
          <t>[vazio] Contas a receber: não aparece como linha própria nas demonstrações (zero) · derivada · unid. moeda</t>
        </is>
      </c>
      <c r="B68" t="n">
        <v>12</v>
      </c>
      <c r="C68" t="inlineStr">
        <is>
          <t>Accounts receivable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Despesas antecipadas: não aparece como linha própria nas demonstrações (zero) · derivada · unid. moeda</t>
        </is>
      </c>
      <c r="B69" t="n">
        <v>15</v>
      </c>
      <c r="C69" t="inlineStr">
        <is>
          <t>Prepaid expenses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Investimentos em coligadas: não aparece como linha própria nas demonstrações (zero) · derivada · unid. moeda</t>
        </is>
      </c>
      <c r="B70" t="n">
        <v>17</v>
      </c>
      <c r="C70" t="inlineStr">
        <is>
          <t>Equity in affiliates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Direito de uso: não aparece como linha própria nas demonstrações (zero) · derivada · unid. moeda</t>
        </is>
      </c>
      <c r="B71" t="n">
        <v>19</v>
      </c>
      <c r="C71" t="inlineStr">
        <is>
          <t>Right-of-use-assets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[vazio] Outros ativos não circulantes: não aparece como linha própria nas demonstrações (zero) · derivada · unid. moeda</t>
        </is>
      </c>
      <c r="B72" t="n">
        <v>22</v>
      </c>
      <c r="C72" t="inlineStr">
        <is>
          <t>Other non-current assets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[vazio] Fornecedores: não aparece como linha própria nas demonstrações (zero) · derivada · unid. moeda</t>
        </is>
      </c>
      <c r="B73" t="n">
        <v>23</v>
      </c>
      <c r="C73" t="inlineStr">
        <is>
          <t>Accounts payable</t>
        </is>
      </c>
      <c r="D73" s="265" t="n">
        <v>0</v>
      </c>
      <c r="E73" s="265" t="n">
        <v>0</v>
      </c>
      <c r="F73" s="265" t="n">
        <v>0</v>
      </c>
      <c r="G73" s="265" t="n">
        <v>0</v>
      </c>
      <c r="I73" s="265" t="n">
        <v>0</v>
      </c>
      <c r="J73" s="265" t="n">
        <v>0</v>
      </c>
      <c r="K73" s="265" t="n">
        <v>0</v>
      </c>
      <c r="L73" s="265" t="n">
        <v>0</v>
      </c>
      <c r="N73" s="265" t="n">
        <v>0</v>
      </c>
      <c r="O73" s="265" t="n">
        <v>0</v>
      </c>
      <c r="P73" s="265" t="n">
        <v>0</v>
      </c>
      <c r="Q73" s="265" t="n">
        <v>0</v>
      </c>
      <c r="S73" s="265" t="n">
        <v>0</v>
      </c>
      <c r="T73" s="265" t="n">
        <v>0</v>
      </c>
      <c r="U73" s="265" t="n">
        <v>0</v>
      </c>
      <c r="V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C73" s="265" t="n">
        <v>0</v>
      </c>
      <c r="AD73" s="265" t="n">
        <v>0</v>
      </c>
    </row>
    <row r="74">
      <c r="A74" t="inlineStr">
        <is>
          <t>[vazio] Despesas provisionadas: não aparece como linha própria nas demonstrações (zero) · derivada · unid. moeda</t>
        </is>
      </c>
      <c r="B74" t="n">
        <v>24</v>
      </c>
      <c r="C74" t="inlineStr">
        <is>
          <t>Accrued expenses</t>
        </is>
      </c>
      <c r="D74" s="265" t="n">
        <v>0</v>
      </c>
      <c r="E74" s="265" t="n">
        <v>0</v>
      </c>
      <c r="F74" s="265" t="n">
        <v>0</v>
      </c>
      <c r="G74" s="265" t="n">
        <v>0</v>
      </c>
      <c r="I74" s="265" t="n">
        <v>0</v>
      </c>
      <c r="J74" s="265" t="n">
        <v>0</v>
      </c>
      <c r="K74" s="265" t="n">
        <v>0</v>
      </c>
      <c r="L74" s="265" t="n">
        <v>0</v>
      </c>
      <c r="N74" s="265" t="n">
        <v>0</v>
      </c>
      <c r="O74" s="265" t="n">
        <v>0</v>
      </c>
      <c r="P74" s="265" t="n">
        <v>0</v>
      </c>
      <c r="Q74" s="265" t="n">
        <v>0</v>
      </c>
      <c r="S74" s="265" t="n">
        <v>0</v>
      </c>
      <c r="T74" s="265" t="n">
        <v>0</v>
      </c>
      <c r="U74" s="265" t="n">
        <v>0</v>
      </c>
      <c r="V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C74" s="265" t="n">
        <v>0</v>
      </c>
      <c r="AD74" s="265" t="n">
        <v>0</v>
      </c>
    </row>
    <row r="75">
      <c r="A75" t="inlineStr">
        <is>
          <t>[vazio] Impostos a pagar: não aparece como linha própria nas demonstrações (zero) · derivada · unid. moeda</t>
        </is>
      </c>
      <c r="B75" t="n">
        <v>25</v>
      </c>
      <c r="C75" t="inlineStr">
        <is>
          <t>Taxes payable</t>
        </is>
      </c>
      <c r="D75" s="265" t="n">
        <v>0</v>
      </c>
      <c r="E75" s="265" t="n">
        <v>0</v>
      </c>
      <c r="F75" s="265" t="n">
        <v>0</v>
      </c>
      <c r="G75" s="265" t="n">
        <v>0</v>
      </c>
      <c r="I75" s="265" t="n">
        <v>0</v>
      </c>
      <c r="J75" s="265" t="n">
        <v>0</v>
      </c>
      <c r="K75" s="265" t="n">
        <v>0</v>
      </c>
      <c r="L75" s="265" t="n">
        <v>0</v>
      </c>
      <c r="N75" s="265" t="n">
        <v>0</v>
      </c>
      <c r="O75" s="265" t="n">
        <v>0</v>
      </c>
      <c r="P75" s="265" t="n">
        <v>0</v>
      </c>
      <c r="Q75" s="265" t="n">
        <v>0</v>
      </c>
      <c r="S75" s="265" t="n">
        <v>0</v>
      </c>
      <c r="T75" s="265" t="n">
        <v>0</v>
      </c>
      <c r="U75" s="265" t="n">
        <v>0</v>
      </c>
      <c r="V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C75" s="265" t="n">
        <v>0</v>
      </c>
      <c r="AD75" s="265" t="n">
        <v>0</v>
      </c>
    </row>
    <row r="76">
      <c r="A76" t="inlineStr">
        <is>
          <t>[vazio] Revolving: não aparece como linha própria nas demonstrações (zero) · derivada · unid. moeda</t>
        </is>
      </c>
      <c r="B76" t="n">
        <v>28</v>
      </c>
      <c r="C76" t="inlineStr">
        <is>
          <t>Short term debt (Revolving credit facility)</t>
        </is>
      </c>
      <c r="D76" s="265" t="n">
        <v>0</v>
      </c>
      <c r="E76" s="265" t="n">
        <v>0</v>
      </c>
      <c r="F76" s="265" t="n">
        <v>0</v>
      </c>
      <c r="G76" s="265" t="n">
        <v>0</v>
      </c>
      <c r="I76" s="265" t="n">
        <v>0</v>
      </c>
      <c r="J76" s="265" t="n">
        <v>0</v>
      </c>
      <c r="K76" s="265" t="n">
        <v>0</v>
      </c>
      <c r="L76" s="265" t="n">
        <v>0</v>
      </c>
      <c r="N76" s="265" t="n">
        <v>0</v>
      </c>
      <c r="O76" s="265" t="n">
        <v>0</v>
      </c>
      <c r="P76" s="265" t="n">
        <v>0</v>
      </c>
      <c r="Q76" s="265" t="n">
        <v>0</v>
      </c>
      <c r="S76" s="265" t="n">
        <v>0</v>
      </c>
      <c r="T76" s="265" t="n">
        <v>0</v>
      </c>
      <c r="U76" s="265" t="n">
        <v>0</v>
      </c>
      <c r="V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C76" s="265" t="n">
        <v>0</v>
      </c>
      <c r="AD76" s="265" t="n">
        <v>0</v>
      </c>
    </row>
    <row r="77">
      <c r="A77" t="inlineStr">
        <is>
          <t>[vazio] Arrendamento CP: não aparece como linha própria nas demonstrações (zero) · derivada · unid. moeda</t>
        </is>
      </c>
      <c r="B77" t="n">
        <v>29</v>
      </c>
      <c r="C77" t="inlineStr">
        <is>
          <t>Short term operating leases</t>
        </is>
      </c>
      <c r="D77" s="265" t="n">
        <v>0</v>
      </c>
      <c r="E77" s="265" t="n">
        <v>0</v>
      </c>
      <c r="F77" s="265" t="n">
        <v>0</v>
      </c>
      <c r="G77" s="265" t="n">
        <v>0</v>
      </c>
      <c r="I77" s="265" t="n">
        <v>0</v>
      </c>
      <c r="J77" s="265" t="n">
        <v>0</v>
      </c>
      <c r="K77" s="265" t="n">
        <v>0</v>
      </c>
      <c r="L77" s="265" t="n">
        <v>0</v>
      </c>
      <c r="N77" s="265" t="n">
        <v>0</v>
      </c>
      <c r="O77" s="265" t="n">
        <v>0</v>
      </c>
      <c r="P77" s="265" t="n">
        <v>0</v>
      </c>
      <c r="Q77" s="265" t="n">
        <v>0</v>
      </c>
      <c r="S77" s="265" t="n">
        <v>0</v>
      </c>
      <c r="T77" s="265" t="n">
        <v>0</v>
      </c>
      <c r="U77" s="265" t="n">
        <v>0</v>
      </c>
      <c r="V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C77" s="265" t="n">
        <v>0</v>
      </c>
      <c r="AD77" s="265" t="n">
        <v>0</v>
      </c>
    </row>
    <row r="78">
      <c r="A78" t="inlineStr">
        <is>
          <t>[vazio] Dívida LP: não aparece como linha própria nas demonstrações (zero) · derivada · unid. moeda</t>
        </is>
      </c>
      <c r="B78" t="n">
        <v>30</v>
      </c>
      <c r="C78" t="inlineStr">
        <is>
          <t>Long term debt</t>
        </is>
      </c>
      <c r="D78" s="265" t="n">
        <v>0</v>
      </c>
      <c r="E78" s="265" t="n">
        <v>0</v>
      </c>
      <c r="F78" s="265" t="n">
        <v>0</v>
      </c>
      <c r="G78" s="265" t="n">
        <v>0</v>
      </c>
      <c r="I78" s="265" t="n">
        <v>0</v>
      </c>
      <c r="J78" s="265" t="n">
        <v>0</v>
      </c>
      <c r="K78" s="265" t="n">
        <v>0</v>
      </c>
      <c r="L78" s="265" t="n">
        <v>0</v>
      </c>
      <c r="N78" s="265" t="n">
        <v>0</v>
      </c>
      <c r="O78" s="265" t="n">
        <v>0</v>
      </c>
      <c r="P78" s="265" t="n">
        <v>0</v>
      </c>
      <c r="Q78" s="265" t="n">
        <v>0</v>
      </c>
      <c r="S78" s="265" t="n">
        <v>0</v>
      </c>
      <c r="T78" s="265" t="n">
        <v>0</v>
      </c>
      <c r="U78" s="265" t="n">
        <v>0</v>
      </c>
      <c r="V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C78" s="265" t="n">
        <v>0</v>
      </c>
      <c r="AD78" s="265" t="n">
        <v>0</v>
      </c>
    </row>
    <row r="79">
      <c r="A79" t="inlineStr">
        <is>
          <t>[vazio] Arrendamento LP: não aparece como linha própria nas demonstrações (zero) · derivada · unid. moeda</t>
        </is>
      </c>
      <c r="B79" t="n">
        <v>31</v>
      </c>
      <c r="C79" t="inlineStr">
        <is>
          <t>Long term operating leases</t>
        </is>
      </c>
      <c r="D79" s="265" t="n">
        <v>0</v>
      </c>
      <c r="E79" s="265" t="n">
        <v>0</v>
      </c>
      <c r="F79" s="265" t="n">
        <v>0</v>
      </c>
      <c r="G79" s="265" t="n">
        <v>0</v>
      </c>
      <c r="I79" s="265" t="n">
        <v>0</v>
      </c>
      <c r="J79" s="265" t="n">
        <v>0</v>
      </c>
      <c r="K79" s="265" t="n">
        <v>0</v>
      </c>
      <c r="L79" s="265" t="n">
        <v>0</v>
      </c>
      <c r="N79" s="265" t="n">
        <v>0</v>
      </c>
      <c r="O79" s="265" t="n">
        <v>0</v>
      </c>
      <c r="P79" s="265" t="n">
        <v>0</v>
      </c>
      <c r="Q79" s="265" t="n">
        <v>0</v>
      </c>
      <c r="S79" s="265" t="n">
        <v>0</v>
      </c>
      <c r="T79" s="265" t="n">
        <v>0</v>
      </c>
      <c r="U79" s="265" t="n">
        <v>0</v>
      </c>
      <c r="V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C79" s="265" t="n">
        <v>0</v>
      </c>
      <c r="AD79" s="265" t="n">
        <v>0</v>
      </c>
    </row>
    <row r="80">
      <c r="A80" t="inlineStr">
        <is>
          <t>[vazio] Dívida conversível: não aparece como linha própria nas demonstrações (zero) · derivada · unid. moeda</t>
        </is>
      </c>
      <c r="B80" t="n">
        <v>32</v>
      </c>
      <c r="C80" t="inlineStr">
        <is>
          <t>Convertible debt</t>
        </is>
      </c>
      <c r="D80" s="265" t="n">
        <v>0</v>
      </c>
      <c r="E80" s="265" t="n">
        <v>0</v>
      </c>
      <c r="F80" s="265" t="n">
        <v>0</v>
      </c>
      <c r="G80" s="265" t="n">
        <v>0</v>
      </c>
      <c r="I80" s="265" t="n">
        <v>0</v>
      </c>
      <c r="J80" s="265" t="n">
        <v>0</v>
      </c>
      <c r="K80" s="265" t="n">
        <v>0</v>
      </c>
      <c r="L80" s="265" t="n">
        <v>0</v>
      </c>
      <c r="N80" s="265" t="n">
        <v>0</v>
      </c>
      <c r="O80" s="265" t="n">
        <v>0</v>
      </c>
      <c r="P80" s="265" t="n">
        <v>0</v>
      </c>
      <c r="Q80" s="265" t="n">
        <v>0</v>
      </c>
      <c r="S80" s="265" t="n">
        <v>0</v>
      </c>
      <c r="T80" s="265" t="n">
        <v>0</v>
      </c>
      <c r="U80" s="265" t="n">
        <v>0</v>
      </c>
      <c r="V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C80" s="265" t="n">
        <v>0</v>
      </c>
      <c r="AD80" s="265" t="n">
        <v>0</v>
      </c>
    </row>
    <row r="81">
      <c r="A81" t="inlineStr">
        <is>
          <t>[vazio] Outros passivos não circulantes: não aparece como linha própria nas demonstrações (zero) · derivada · unid. moeda</t>
        </is>
      </c>
      <c r="B81" t="n">
        <v>34</v>
      </c>
      <c r="C81" t="inlineStr">
        <is>
          <t>Other non-current liabilities</t>
        </is>
      </c>
      <c r="D81" s="265" t="n">
        <v>0</v>
      </c>
      <c r="E81" s="265" t="n">
        <v>0</v>
      </c>
      <c r="F81" s="265" t="n">
        <v>0</v>
      </c>
      <c r="G81" s="265" t="n">
        <v>0</v>
      </c>
      <c r="I81" s="265" t="n">
        <v>0</v>
      </c>
      <c r="J81" s="265" t="n">
        <v>0</v>
      </c>
      <c r="K81" s="265" t="n">
        <v>0</v>
      </c>
      <c r="L81" s="265" t="n">
        <v>0</v>
      </c>
      <c r="N81" s="265" t="n">
        <v>0</v>
      </c>
      <c r="O81" s="265" t="n">
        <v>0</v>
      </c>
      <c r="P81" s="265" t="n">
        <v>0</v>
      </c>
      <c r="Q81" s="265" t="n">
        <v>0</v>
      </c>
      <c r="S81" s="265" t="n">
        <v>0</v>
      </c>
      <c r="T81" s="265" t="n">
        <v>0</v>
      </c>
      <c r="U81" s="265" t="n">
        <v>0</v>
      </c>
      <c r="V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C81" s="265" t="n">
        <v>0</v>
      </c>
      <c r="AD81" s="265" t="n">
        <v>0</v>
      </c>
    </row>
    <row r="82">
      <c r="A82" t="inlineStr">
        <is>
          <t>[vazio] Outras contas do PL: não aparece como linha própria nas demonstrações (zero) · derivada · unid. moeda</t>
        </is>
      </c>
      <c r="B82" t="n">
        <v>40</v>
      </c>
      <c r="C82" t="inlineStr">
        <is>
          <t>Other equity account</t>
        </is>
      </c>
      <c r="D82" s="265" t="n">
        <v>0</v>
      </c>
      <c r="E82" s="265" t="n">
        <v>0</v>
      </c>
      <c r="F82" s="265" t="n">
        <v>0</v>
      </c>
      <c r="G82" s="265" t="n">
        <v>0</v>
      </c>
      <c r="I82" s="265" t="n">
        <v>0</v>
      </c>
      <c r="J82" s="265" t="n">
        <v>0</v>
      </c>
      <c r="K82" s="265" t="n">
        <v>0</v>
      </c>
      <c r="L82" s="265" t="n">
        <v>0</v>
      </c>
      <c r="N82" s="265" t="n">
        <v>0</v>
      </c>
      <c r="O82" s="265" t="n">
        <v>0</v>
      </c>
      <c r="P82" s="265" t="n">
        <v>0</v>
      </c>
      <c r="Q82" s="265" t="n">
        <v>0</v>
      </c>
      <c r="S82" s="265" t="n">
        <v>0</v>
      </c>
      <c r="T82" s="265" t="n">
        <v>0</v>
      </c>
      <c r="U82" s="265" t="n">
        <v>0</v>
      </c>
      <c r="V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C82" s="265" t="n">
        <v>0</v>
      </c>
      <c r="AD82" s="265" t="n">
        <v>0</v>
      </c>
    </row>
    <row r="83">
      <c r="A83" t="inlineStr">
        <is>
          <t>Recebíveis de financiamento (John Deere Financial) e demais ativos de face etiquetados por dimensão = ativo total - linhas identificadas · derivada · unid. moeda</t>
        </is>
      </c>
      <c r="B83" t="n">
        <v>22</v>
      </c>
      <c r="C83" t="inlineStr">
        <is>
          <t>Other non-current assets</t>
        </is>
      </c>
      <c r="D83" s="265" t="n">
        <v>0</v>
      </c>
      <c r="E83" s="265" t="n">
        <v>0</v>
      </c>
      <c r="F83" s="265" t="n">
        <v>0</v>
      </c>
      <c r="G83" s="265" t="n">
        <v>0</v>
      </c>
      <c r="I83" s="265" t="n">
        <v>0</v>
      </c>
      <c r="J83" s="265" t="n">
        <v>40197000</v>
      </c>
      <c r="K83" s="265" t="n">
        <v>42570000</v>
      </c>
      <c r="L83" s="265" t="n">
        <v>41971000</v>
      </c>
      <c r="N83" s="265" t="n">
        <v>44613000</v>
      </c>
      <c r="O83" s="265" t="n">
        <v>48303000</v>
      </c>
      <c r="P83" s="265" t="n">
        <v>51008000</v>
      </c>
      <c r="Q83" s="265" t="n">
        <v>50108000</v>
      </c>
      <c r="S83" s="265" t="n">
        <v>52540000</v>
      </c>
      <c r="T83" s="265" t="n">
        <v>52170000</v>
      </c>
      <c r="U83" s="265" t="n">
        <v>53032000</v>
      </c>
      <c r="V83" s="265" t="n">
        <v>49653000</v>
      </c>
      <c r="X83" s="265" t="n">
        <v>50794000</v>
      </c>
      <c r="Y83" s="265" t="n">
        <v>51878000</v>
      </c>
      <c r="Z83" s="265" t="n">
        <v>51406000</v>
      </c>
      <c r="AA83" s="265" t="n">
        <v>48592000</v>
      </c>
      <c r="AC83" s="265" t="n">
        <v>49016000</v>
      </c>
      <c r="AD83" s="265" t="n">
        <v>49176000</v>
      </c>
    </row>
    <row r="84">
      <c r="A84" t="inlineStr">
        <is>
          <t>BALANÇO - totais divulgados (memória)</t>
        </is>
      </c>
      <c r="C84" t="inlineStr">
        <is>
          <t>[linha bruta, sem código; lançada nas linhas abaixo]</t>
        </is>
      </c>
      <c r="D84" s="265" t="n"/>
      <c r="E84" s="265" t="n"/>
      <c r="F84" s="265" t="n"/>
      <c r="G84" s="265" t="n"/>
      <c r="I84" s="265" t="n"/>
      <c r="J84" s="265" t="n"/>
      <c r="K84" s="265" t="n"/>
      <c r="L84" s="265" t="n"/>
      <c r="N84" s="265" t="n"/>
      <c r="O84" s="265" t="n"/>
      <c r="P84" s="265" t="n"/>
      <c r="Q84" s="265" t="n"/>
      <c r="S84" s="265" t="n"/>
      <c r="T84" s="265" t="n"/>
      <c r="U84" s="265" t="n"/>
      <c r="V84" s="265" t="n"/>
      <c r="X84" s="265" t="n"/>
      <c r="Y84" s="265" t="n"/>
      <c r="Z84" s="265" t="n"/>
      <c r="AA84" s="265" t="n"/>
      <c r="AC84" s="265" t="n"/>
      <c r="AD84" s="265" t="n"/>
    </row>
    <row r="85">
      <c r="A85" t="inlineStr">
        <is>
          <t>Total do ativo [us-gaap:Assets] · memoria · unid. moeda</t>
        </is>
      </c>
      <c r="C85" t="inlineStr">
        <is>
          <t>[linha bruta, sem código; lançada nas linhas abaixo]</t>
        </is>
      </c>
      <c r="D85" s="265" t="n">
        <v>78979000</v>
      </c>
      <c r="E85" s="265" t="n">
        <v>80688000</v>
      </c>
      <c r="F85" s="265" t="n">
        <v>84114000</v>
      </c>
      <c r="G85" s="265" t="n">
        <v>79614000</v>
      </c>
      <c r="I85" s="265" t="n">
        <v>84099000</v>
      </c>
      <c r="J85" s="265" t="n">
        <v>86817000</v>
      </c>
      <c r="K85" s="265" t="n">
        <v>90030000</v>
      </c>
      <c r="L85" s="265" t="n">
        <v>91620000</v>
      </c>
      <c r="N85" s="265" t="n">
        <v>98347000</v>
      </c>
      <c r="O85" s="265" t="n">
        <v>103397000</v>
      </c>
      <c r="P85" s="265" t="n">
        <v>104087000</v>
      </c>
      <c r="Q85" s="265" t="n">
        <v>101371000</v>
      </c>
      <c r="S85" s="265" t="n">
        <v>105628000</v>
      </c>
      <c r="T85" s="265" t="n">
        <v>107841000</v>
      </c>
      <c r="U85" s="265" t="n">
        <v>107320000</v>
      </c>
      <c r="V85" s="265" t="n">
        <v>103119000</v>
      </c>
      <c r="X85" s="265" t="n">
        <v>106303000</v>
      </c>
      <c r="Y85" s="265" t="n">
        <v>107817000</v>
      </c>
      <c r="Z85" s="265" t="n">
        <v>105996000</v>
      </c>
      <c r="AA85" s="265" t="n">
        <v>103436000</v>
      </c>
      <c r="AC85" s="265" t="n">
        <v>107001000</v>
      </c>
      <c r="AD85" s="265" t="n">
        <v>107607000</v>
      </c>
    </row>
    <row r="86">
      <c r="A86" t="inlineStr">
        <is>
          <t>Total do passivo + PL [us-gaap:LiabilitiesAndStockholdersEquity] · memoria · unid. moeda</t>
        </is>
      </c>
      <c r="C86" t="inlineStr">
        <is>
          <t>[linha bruta, sem código; lançada nas linhas abaixo]</t>
        </is>
      </c>
      <c r="D86" s="265" t="n">
        <v>78979000</v>
      </c>
      <c r="E86" s="265" t="n">
        <v>80688000</v>
      </c>
      <c r="F86" s="265" t="n">
        <v>84114000</v>
      </c>
      <c r="G86" s="265" t="n">
        <v>79614000</v>
      </c>
      <c r="I86" s="265" t="n">
        <v>84099000</v>
      </c>
      <c r="J86" s="265" t="n">
        <v>86817000</v>
      </c>
      <c r="K86" s="265" t="n">
        <v>90030000</v>
      </c>
      <c r="L86" s="265" t="n">
        <v>91620000</v>
      </c>
      <c r="N86" s="265" t="n">
        <v>98347000</v>
      </c>
      <c r="O86" s="265" t="n">
        <v>103397000</v>
      </c>
      <c r="P86" s="265" t="n">
        <v>104087000</v>
      </c>
      <c r="Q86" s="265" t="n">
        <v>101371000</v>
      </c>
      <c r="S86" s="265" t="n">
        <v>105628000</v>
      </c>
      <c r="T86" s="265" t="n">
        <v>107841000</v>
      </c>
      <c r="U86" s="265" t="n">
        <v>107320000</v>
      </c>
      <c r="V86" s="265" t="n">
        <v>103119000</v>
      </c>
      <c r="X86" s="265" t="n">
        <v>106303000</v>
      </c>
      <c r="Y86" s="265" t="n">
        <v>107817000</v>
      </c>
      <c r="Z86" s="265" t="n">
        <v>105996000</v>
      </c>
      <c r="AA86" s="265" t="n">
        <v>103436000</v>
      </c>
      <c r="AC86" s="265" t="n">
        <v>107001000</v>
      </c>
      <c r="AD86" s="265" t="n">
        <v>107607000</v>
      </c>
    </row>
    <row r="87">
      <c r="A87" t="inlineStr">
        <is>
          <t>CHECKS (devem ser 0)</t>
        </is>
      </c>
      <c r="C87" t="inlineStr">
        <is>
          <t>[linha bruta, sem código; lançada nas linhas abaixo]</t>
        </is>
      </c>
      <c r="D87" s="265" t="n"/>
      <c r="E87" s="265" t="n"/>
      <c r="F87" s="265" t="n"/>
      <c r="G87" s="265" t="n"/>
      <c r="I87" s="265" t="n"/>
      <c r="J87" s="265" t="n"/>
      <c r="K87" s="265" t="n"/>
      <c r="L87" s="265" t="n"/>
      <c r="N87" s="265" t="n"/>
      <c r="O87" s="265" t="n"/>
      <c r="P87" s="265" t="n"/>
      <c r="Q87" s="265" t="n"/>
      <c r="S87" s="265" t="n"/>
      <c r="T87" s="265" t="n"/>
      <c r="U87" s="265" t="n"/>
      <c r="V87" s="265" t="n"/>
      <c r="X87" s="265" t="n"/>
      <c r="Y87" s="265" t="n"/>
      <c r="Z87" s="265" t="n"/>
      <c r="AA87" s="265" t="n"/>
      <c r="AC87" s="265" t="n"/>
      <c r="AD87" s="265" t="n"/>
    </row>
    <row r="88">
      <c r="A88" t="inlineStr">
        <is>
          <t>CHECK: contas de ativo - ativo total (USD, arredondado a 100 mil) · derivada · unid. moeda</t>
        </is>
      </c>
      <c r="C88" t="inlineStr">
        <is>
          <t>[linha bruta, sem código; lançada nas linhas abaixo]</t>
        </is>
      </c>
      <c r="D88" s="265">
        <f>ROUND(N(D30)+N(D31)+N(D32)+N(D33)+N(D34)+N(D35)+N(D36)+N(D37)+N(D38)+N(D39)+N(D40)+N(D41)+N(D42)+N(D43)+N(D44)+N(D45)+N(D46)+N(D47)+N(D48)+N(D49)+N(D50)+N(D83)-N(D85),-2)</f>
        <v>0</v>
      </c>
      <c r="E88" s="265">
        <f>ROUND(N(E30)+N(E31)+N(E32)+N(E33)+N(E34)+N(E35)+N(E36)+N(E37)+N(E38)+N(E39)+N(E40)+N(E41)+N(E42)+N(E43)+N(E44)+N(E45)+N(E46)+N(E47)+N(E48)+N(E49)+N(E50)+N(E83)-N(E85),-2)</f>
        <v>0</v>
      </c>
      <c r="F88" s="265">
        <f>ROUND(N(F30)+N(F31)+N(F32)+N(F33)+N(F34)+N(F35)+N(F36)+N(F37)+N(F38)+N(F39)+N(F40)+N(F41)+N(F42)+N(F43)+N(F44)+N(F45)+N(F46)+N(F47)+N(F48)+N(F49)+N(F50)+N(F83)-N(F85),-2)</f>
        <v>0</v>
      </c>
      <c r="G88" s="265">
        <f>ROUND(N(G30)+N(G31)+N(G32)+N(G33)+N(G34)+N(G35)+N(G36)+N(G37)+N(G38)+N(G39)+N(G40)+N(G41)+N(G42)+N(G43)+N(G44)+N(G45)+N(G46)+N(G47)+N(G48)+N(G49)+N(G50)+N(G83)-N(G85),-2)</f>
        <v>0</v>
      </c>
      <c r="I88" s="265">
        <f>ROUND(N(I30)+N(I31)+N(I32)+N(I33)+N(I34)+N(I35)+N(I36)+N(I37)+N(I38)+N(I39)+N(I40)+N(I41)+N(I42)+N(I43)+N(I44)+N(I45)+N(I46)+N(I47)+N(I48)+N(I49)+N(I50)+N(I83)-N(I85),-2)</f>
        <v>0</v>
      </c>
      <c r="J88" s="265">
        <f>ROUND(N(J30)+N(J31)+N(J32)+N(J33)+N(J34)+N(J35)+N(J36)+N(J37)+N(J38)+N(J39)+N(J40)+N(J41)+N(J42)+N(J43)+N(J44)+N(J45)+N(J46)+N(J47)+N(J48)+N(J49)+N(J50)+N(J83)-N(J85),-2)</f>
        <v>0</v>
      </c>
      <c r="K88" s="265">
        <f>ROUND(N(K30)+N(K31)+N(K32)+N(K33)+N(K34)+N(K35)+N(K36)+N(K37)+N(K38)+N(K39)+N(K40)+N(K41)+N(K42)+N(K43)+N(K44)+N(K45)+N(K46)+N(K47)+N(K48)+N(K49)+N(K50)+N(K83)-N(K85),-2)</f>
        <v>0</v>
      </c>
      <c r="L88" s="265">
        <f>ROUND(N(L30)+N(L31)+N(L32)+N(L33)+N(L34)+N(L35)+N(L36)+N(L37)+N(L38)+N(L39)+N(L40)+N(L41)+N(L42)+N(L43)+N(L44)+N(L45)+N(L46)+N(L47)+N(L48)+N(L49)+N(L50)+N(L83)-N(L85),-2)</f>
        <v>0</v>
      </c>
      <c r="N88" s="265">
        <f>ROUND(N(N30)+N(N31)+N(N32)+N(N33)+N(N34)+N(N35)+N(N36)+N(N37)+N(N38)+N(N39)+N(N40)+N(N41)+N(N42)+N(N43)+N(N44)+N(N45)+N(N46)+N(N47)+N(N48)+N(N49)+N(N50)+N(N83)-N(N85),-2)</f>
        <v>0</v>
      </c>
      <c r="O88" s="265">
        <f>ROUND(N(O30)+N(O31)+N(O32)+N(O33)+N(O34)+N(O35)+N(O36)+N(O37)+N(O38)+N(O39)+N(O40)+N(O41)+N(O42)+N(O43)+N(O44)+N(O45)+N(O46)+N(O47)+N(O48)+N(O49)+N(O50)+N(O83)-N(O85),-2)</f>
        <v>0</v>
      </c>
      <c r="P88" s="265">
        <f>ROUND(N(P30)+N(P31)+N(P32)+N(P33)+N(P34)+N(P35)+N(P36)+N(P37)+N(P38)+N(P39)+N(P40)+N(P41)+N(P42)+N(P43)+N(P44)+N(P45)+N(P46)+N(P47)+N(P48)+N(P49)+N(P50)+N(P83)-N(P85),-2)</f>
        <v>0</v>
      </c>
      <c r="Q88" s="265">
        <f>ROUND(N(Q30)+N(Q31)+N(Q32)+N(Q33)+N(Q34)+N(Q35)+N(Q36)+N(Q37)+N(Q38)+N(Q39)+N(Q40)+N(Q41)+N(Q42)+N(Q43)+N(Q44)+N(Q45)+N(Q46)+N(Q47)+N(Q48)+N(Q49)+N(Q50)+N(Q83)-N(Q85),-2)</f>
        <v>0</v>
      </c>
      <c r="S88" s="265">
        <f>ROUND(N(S30)+N(S31)+N(S32)+N(S33)+N(S34)+N(S35)+N(S36)+N(S37)+N(S38)+N(S39)+N(S40)+N(S41)+N(S42)+N(S43)+N(S44)+N(S45)+N(S46)+N(S47)+N(S48)+N(S49)+N(S50)+N(S83)-N(S85),-2)</f>
        <v>0</v>
      </c>
      <c r="T88" s="265">
        <f>ROUND(N(T30)+N(T31)+N(T32)+N(T33)+N(T34)+N(T35)+N(T36)+N(T37)+N(T38)+N(T39)+N(T40)+N(T41)+N(T42)+N(T43)+N(T44)+N(T45)+N(T46)+N(T47)+N(T48)+N(T49)+N(T50)+N(T83)-N(T85),-2)</f>
        <v>0</v>
      </c>
      <c r="U88" s="265">
        <f>ROUND(N(U30)+N(U31)+N(U32)+N(U33)+N(U34)+N(U35)+N(U36)+N(U37)+N(U38)+N(U39)+N(U40)+N(U41)+N(U42)+N(U43)+N(U44)+N(U45)+N(U46)+N(U47)+N(U48)+N(U49)+N(U50)+N(U83)-N(U85),-2)</f>
        <v>0</v>
      </c>
      <c r="V88" s="265">
        <f>ROUND(N(V30)+N(V31)+N(V32)+N(V33)+N(V34)+N(V35)+N(V36)+N(V37)+N(V38)+N(V39)+N(V40)+N(V41)+N(V42)+N(V43)+N(V44)+N(V45)+N(V46)+N(V47)+N(V48)+N(V49)+N(V50)+N(V83)-N(V85),-2)</f>
        <v>0</v>
      </c>
      <c r="X88" s="265">
        <f>ROUND(N(X30)+N(X31)+N(X32)+N(X33)+N(X34)+N(X35)+N(X36)+N(X37)+N(X38)+N(X39)+N(X40)+N(X41)+N(X42)+N(X43)+N(X44)+N(X45)+N(X46)+N(X47)+N(X48)+N(X49)+N(X50)+N(X83)-N(X85),-2)</f>
        <v>0</v>
      </c>
      <c r="Y88" s="265">
        <f>ROUND(N(Y30)+N(Y31)+N(Y32)+N(Y33)+N(Y34)+N(Y35)+N(Y36)+N(Y37)+N(Y38)+N(Y39)+N(Y40)+N(Y41)+N(Y42)+N(Y43)+N(Y44)+N(Y45)+N(Y46)+N(Y47)+N(Y48)+N(Y49)+N(Y50)+N(Y83)-N(Y85),-2)</f>
        <v>0</v>
      </c>
      <c r="Z88" s="265">
        <f>ROUND(N(Z30)+N(Z31)+N(Z32)+N(Z33)+N(Z34)+N(Z35)+N(Z36)+N(Z37)+N(Z38)+N(Z39)+N(Z40)+N(Z41)+N(Z42)+N(Z43)+N(Z44)+N(Z45)+N(Z46)+N(Z47)+N(Z48)+N(Z49)+N(Z50)+N(Z83)-N(Z85),-2)</f>
        <v>0</v>
      </c>
      <c r="AA88" s="265">
        <f>ROUND(N(AA30)+N(AA31)+N(AA32)+N(AA33)+N(AA34)+N(AA35)+N(AA36)+N(AA37)+N(AA38)+N(AA39)+N(AA40)+N(AA41)+N(AA42)+N(AA43)+N(AA44)+N(AA45)+N(AA46)+N(AA47)+N(AA48)+N(AA49)+N(AA50)+N(AA83)-N(AA85),-2)</f>
        <v>0</v>
      </c>
      <c r="AC88" s="265">
        <f>ROUND(N(AC30)+N(AC31)+N(AC32)+N(AC33)+N(AC34)+N(AC35)+N(AC36)+N(AC37)+N(AC38)+N(AC39)+N(AC40)+N(AC41)+N(AC42)+N(AC43)+N(AC44)+N(AC45)+N(AC46)+N(AC47)+N(AC48)+N(AC49)+N(AC50)+N(AC83)-N(AC85),-2)</f>
        <v>0</v>
      </c>
      <c r="AD88" s="265">
        <f>ROUND(N(AD30)+N(AD31)+N(AD32)+N(AD33)+N(AD34)+N(AD35)+N(AD36)+N(AD37)+N(AD38)+N(AD39)+N(AD40)+N(AD41)+N(AD42)+N(AD43)+N(AD44)+N(AD45)+N(AD46)+N(AD47)+N(AD48)+N(AD49)+N(AD50)+N(AD83)-N(AD85),-2)</f>
        <v>0</v>
      </c>
    </row>
    <row r="89">
      <c r="A89" t="inlineStr">
        <is>
          <t>CHECK: passivo + PL (contas) - passivo + PL total · derivada · unid. moeda</t>
        </is>
      </c>
      <c r="C89" t="inlineStr">
        <is>
          <t>[linha bruta, sem código; lançada nas linhas abaixo]</t>
        </is>
      </c>
      <c r="D89" s="265">
        <f>ROUND(N(D51)+N(D52)+N(D53)+N(D54)+N(D55)+N(D56)+N(D57)+N(D58)+N(D59)+N(D60)+N(D61)+N(D62)+N(D63)+N(D64)+N(D65)+N(D66)+N(D67)-N(D86),-2)</f>
        <v>0</v>
      </c>
      <c r="E89" s="265">
        <f>ROUND(N(E51)+N(E52)+N(E53)+N(E54)+N(E55)+N(E56)+N(E57)+N(E58)+N(E59)+N(E60)+N(E61)+N(E62)+N(E63)+N(E64)+N(E65)+N(E66)+N(E67)-N(E86),-2)</f>
        <v>0</v>
      </c>
      <c r="F89" s="265">
        <f>ROUND(N(F51)+N(F52)+N(F53)+N(F54)+N(F55)+N(F56)+N(F57)+N(F58)+N(F59)+N(F60)+N(F61)+N(F62)+N(F63)+N(F64)+N(F65)+N(F66)+N(F67)-N(F86),-2)</f>
        <v>0</v>
      </c>
      <c r="G89" s="265">
        <f>ROUND(N(G51)+N(G52)+N(G53)+N(G54)+N(G55)+N(G56)+N(G57)+N(G58)+N(G59)+N(G60)+N(G61)+N(G62)+N(G63)+N(G64)+N(G65)+N(G66)+N(G67)-N(G86),-2)</f>
        <v>0</v>
      </c>
      <c r="I89" s="265">
        <f>ROUND(N(I51)+N(I52)+N(I53)+N(I54)+N(I55)+N(I56)+N(I57)+N(I58)+N(I59)+N(I60)+N(I61)+N(I62)+N(I63)+N(I64)+N(I65)+N(I66)+N(I67)-N(I86),-2)</f>
        <v>0</v>
      </c>
      <c r="J89" s="265">
        <f>ROUND(N(J51)+N(J52)+N(J53)+N(J54)+N(J55)+N(J56)+N(J57)+N(J58)+N(J59)+N(J60)+N(J61)+N(J62)+N(J63)+N(J64)+N(J65)+N(J66)+N(J67)-N(J86),-2)</f>
        <v>0</v>
      </c>
      <c r="K89" s="265">
        <f>ROUND(N(K51)+N(K52)+N(K53)+N(K54)+N(K55)+N(K56)+N(K57)+N(K58)+N(K59)+N(K60)+N(K61)+N(K62)+N(K63)+N(K64)+N(K65)+N(K66)+N(K67)-N(K86),-2)</f>
        <v>0</v>
      </c>
      <c r="L89" s="265">
        <f>ROUND(N(L51)+N(L52)+N(L53)+N(L54)+N(L55)+N(L56)+N(L57)+N(L58)+N(L59)+N(L60)+N(L61)+N(L62)+N(L63)+N(L64)+N(L65)+N(L66)+N(L67)-N(L86),-2)</f>
        <v>0</v>
      </c>
      <c r="N89" s="265">
        <f>ROUND(N(N51)+N(N52)+N(N53)+N(N54)+N(N55)+N(N56)+N(N57)+N(N58)+N(N59)+N(N60)+N(N61)+N(N62)+N(N63)+N(N64)+N(N65)+N(N66)+N(N67)-N(N86),-2)</f>
        <v>0</v>
      </c>
      <c r="O89" s="265">
        <f>ROUND(N(O51)+N(O52)+N(O53)+N(O54)+N(O55)+N(O56)+N(O57)+N(O58)+N(O59)+N(O60)+N(O61)+N(O62)+N(O63)+N(O64)+N(O65)+N(O66)+N(O67)-N(O86),-2)</f>
        <v>0</v>
      </c>
      <c r="P89" s="265">
        <f>ROUND(N(P51)+N(P52)+N(P53)+N(P54)+N(P55)+N(P56)+N(P57)+N(P58)+N(P59)+N(P60)+N(P61)+N(P62)+N(P63)+N(P64)+N(P65)+N(P66)+N(P67)-N(P86),-2)</f>
        <v>0</v>
      </c>
      <c r="Q89" s="265">
        <f>ROUND(N(Q51)+N(Q52)+N(Q53)+N(Q54)+N(Q55)+N(Q56)+N(Q57)+N(Q58)+N(Q59)+N(Q60)+N(Q61)+N(Q62)+N(Q63)+N(Q64)+N(Q65)+N(Q66)+N(Q67)-N(Q86),-2)</f>
        <v>0</v>
      </c>
      <c r="S89" s="265">
        <f>ROUND(N(S51)+N(S52)+N(S53)+N(S54)+N(S55)+N(S56)+N(S57)+N(S58)+N(S59)+N(S60)+N(S61)+N(S62)+N(S63)+N(S64)+N(S65)+N(S66)+N(S67)-N(S86),-2)</f>
        <v>0</v>
      </c>
      <c r="T89" s="265">
        <f>ROUND(N(T51)+N(T52)+N(T53)+N(T54)+N(T55)+N(T56)+N(T57)+N(T58)+N(T59)+N(T60)+N(T61)+N(T62)+N(T63)+N(T64)+N(T65)+N(T66)+N(T67)-N(T86),-2)</f>
        <v>0</v>
      </c>
      <c r="U89" s="265">
        <f>ROUND(N(U51)+N(U52)+N(U53)+N(U54)+N(U55)+N(U56)+N(U57)+N(U58)+N(U59)+N(U60)+N(U61)+N(U62)+N(U63)+N(U64)+N(U65)+N(U66)+N(U67)-N(U86),-2)</f>
        <v>0</v>
      </c>
      <c r="V89" s="265">
        <f>ROUND(N(V51)+N(V52)+N(V53)+N(V54)+N(V55)+N(V56)+N(V57)+N(V58)+N(V59)+N(V60)+N(V61)+N(V62)+N(V63)+N(V64)+N(V65)+N(V66)+N(V67)-N(V86),-2)</f>
        <v>0</v>
      </c>
      <c r="X89" s="265">
        <f>ROUND(N(X51)+N(X52)+N(X53)+N(X54)+N(X55)+N(X56)+N(X57)+N(X58)+N(X59)+N(X60)+N(X61)+N(X62)+N(X63)+N(X64)+N(X65)+N(X66)+N(X67)-N(X86),-2)</f>
        <v>0</v>
      </c>
      <c r="Y89" s="265">
        <f>ROUND(N(Y51)+N(Y52)+N(Y53)+N(Y54)+N(Y55)+N(Y56)+N(Y57)+N(Y58)+N(Y59)+N(Y60)+N(Y61)+N(Y62)+N(Y63)+N(Y64)+N(Y65)+N(Y66)+N(Y67)-N(Y86),-2)</f>
        <v>0</v>
      </c>
      <c r="Z89" s="265">
        <f>ROUND(N(Z51)+N(Z52)+N(Z53)+N(Z54)+N(Z55)+N(Z56)+N(Z57)+N(Z58)+N(Z59)+N(Z60)+N(Z61)+N(Z62)+N(Z63)+N(Z64)+N(Z65)+N(Z66)+N(Z67)-N(Z86),-2)</f>
        <v>0</v>
      </c>
      <c r="AA89" s="265">
        <f>ROUND(N(AA51)+N(AA52)+N(AA53)+N(AA54)+N(AA55)+N(AA56)+N(AA57)+N(AA58)+N(AA59)+N(AA60)+N(AA61)+N(AA62)+N(AA63)+N(AA64)+N(AA65)+N(AA66)+N(AA67)-N(AA86),-2)</f>
        <v>0</v>
      </c>
      <c r="AC89" s="265">
        <f>ROUND(N(AC51)+N(AC52)+N(AC53)+N(AC54)+N(AC55)+N(AC56)+N(AC57)+N(AC58)+N(AC59)+N(AC60)+N(AC61)+N(AC62)+N(AC63)+N(AC64)+N(AC65)+N(AC66)+N(AC67)-N(AC86),-2)</f>
        <v>0</v>
      </c>
      <c r="AD89" s="265">
        <f>ROUND(N(AD51)+N(AD52)+N(AD53)+N(AD54)+N(AD55)+N(AD56)+N(AD57)+N(AD58)+N(AD59)+N(AD60)+N(AD61)+N(AD62)+N(AD63)+N(AD64)+N(AD65)+N(AD66)+N(AD67)-N(AD86),-2)</f>
        <v>0</v>
      </c>
    </row>
    <row r="90">
      <c r="A90" t="inlineStr">
        <is>
          <t>CHECK: receita - custo - despesas + não operacional - IR - minoritários + outros após IR - lucro (deve ser 0) · derivada</t>
        </is>
      </c>
      <c r="C90" t="inlineStr">
        <is>
          <t>[linha bruta, sem código; lançada nas linhas abaixo]</t>
        </is>
      </c>
      <c r="D90" s="265">
        <f>ROUND(N(D5)-N(D6)-N(D9)+N(D12)-N(D16)-N(D18)+N(D21)-N(D22),-2)</f>
        <v>0</v>
      </c>
      <c r="E90" s="265">
        <f>ROUND(N(E5)-N(E6)-N(E9)+N(E12)-N(E16)-N(E18)+N(E21)-N(E22),-2)</f>
        <v>0</v>
      </c>
      <c r="F90" s="265">
        <f>ROUND(N(F5)-N(F6)-N(F9)+N(F12)-N(F16)-N(F18)+N(F21)-N(F22),-2)</f>
        <v>0</v>
      </c>
      <c r="G90" s="265">
        <f>ROUND(N(G5)-N(G6)-N(G9)+N(G12)-N(G16)-N(G18)+N(G21)-N(G22),-2)</f>
        <v>0</v>
      </c>
      <c r="I90" s="265">
        <f>ROUND(N(I5)-N(I6)-N(I9)+N(I12)-N(I16)-N(I18)+N(I21)-N(I22),-2)</f>
        <v>0</v>
      </c>
      <c r="J90" s="265">
        <f>ROUND(N(J5)-N(J6)-N(J9)+N(J12)-N(J16)-N(J18)+N(J21)-N(J22),-2)</f>
        <v>0</v>
      </c>
      <c r="K90" s="265">
        <f>ROUND(N(K5)-N(K6)-N(K9)+N(K12)-N(K16)-N(K18)+N(K21)-N(K22),-2)</f>
        <v>0</v>
      </c>
      <c r="L90" s="265">
        <f>ROUND(N(L5)-N(L6)-N(L9)+N(L12)-N(L16)-N(L18)+N(L21)-N(L22),-2)</f>
        <v>0</v>
      </c>
      <c r="N90" s="265">
        <f>ROUND(N(N5)-N(N6)-N(N9)+N(N12)-N(N16)-N(N18)+N(N21)-N(N22),-2)</f>
        <v>0</v>
      </c>
      <c r="O90" s="265">
        <f>ROUND(N(O5)-N(O6)-N(O9)+N(O12)-N(O16)-N(O18)+N(O21)-N(O22),-2)</f>
        <v>0</v>
      </c>
      <c r="P90" s="265">
        <f>ROUND(N(P5)-N(P6)-N(P9)+N(P12)-N(P16)-N(P18)+N(P21)-N(P22),-2)</f>
        <v>0</v>
      </c>
      <c r="Q90" s="265">
        <f>ROUND(N(Q5)-N(Q6)-N(Q9)+N(Q12)-N(Q16)-N(Q18)+N(Q21)-N(Q22),-2)</f>
        <v>0</v>
      </c>
      <c r="S90" s="265">
        <f>ROUND(N(S5)-N(S6)-N(S9)+N(S12)-N(S16)-N(S18)+N(S21)-N(S22),-2)</f>
        <v>0</v>
      </c>
      <c r="T90" s="265">
        <f>ROUND(N(T5)-N(T6)-N(T9)+N(T12)-N(T16)-N(T18)+N(T21)-N(T22),-2)</f>
        <v>0</v>
      </c>
      <c r="U90" s="265">
        <f>ROUND(N(U5)-N(U6)-N(U9)+N(U12)-N(U16)-N(U18)+N(U21)-N(U22),-2)</f>
        <v>0</v>
      </c>
      <c r="V90" s="265">
        <f>ROUND(N(V5)-N(V6)-N(V9)+N(V12)-N(V16)-N(V18)+N(V21)-N(V22),-2)</f>
        <v>0</v>
      </c>
      <c r="X90" s="265">
        <f>ROUND(N(X5)-N(X6)-N(X9)+N(X12)-N(X16)-N(X18)+N(X21)-N(X22),-2)</f>
        <v>0</v>
      </c>
      <c r="Y90" s="265">
        <f>ROUND(N(Y5)-N(Y6)-N(Y9)+N(Y12)-N(Y16)-N(Y18)+N(Y21)-N(Y22),-2)</f>
        <v>0</v>
      </c>
      <c r="Z90" s="265">
        <f>ROUND(N(Z5)-N(Z6)-N(Z9)+N(Z12)-N(Z16)-N(Z18)+N(Z21)-N(Z22),-2)</f>
        <v>0</v>
      </c>
      <c r="AA90" s="265">
        <f>ROUND(N(AA5)-N(AA6)-N(AA9)+N(AA12)-N(AA16)-N(AA18)+N(AA21)-N(AA22),-2)</f>
        <v>0</v>
      </c>
      <c r="AC90" s="265">
        <f>ROUND(N(AC5)-N(AC6)-N(AC9)+N(AC12)-N(AC16)-N(AC18)+N(AC21)-N(AC22),-2)</f>
        <v>0</v>
      </c>
      <c r="AD90" s="265">
        <f>ROUND(N(AD5)-N(AD6)-N(AD9)+N(AD12)-N(AD16)-N(AD18)+N(AD21)-N(AD22),-2)</f>
        <v>0</v>
      </c>
    </row>
    <row r="91">
      <c r="D91" s="265" t="n"/>
      <c r="E91" s="265" t="n"/>
      <c r="F91" s="265" t="n"/>
      <c r="G91" s="265" t="n"/>
      <c r="I91" s="265" t="n"/>
      <c r="J91" s="265" t="n"/>
      <c r="K91" s="265" t="n"/>
      <c r="L91" s="265" t="n"/>
      <c r="N91" s="265" t="n"/>
      <c r="O91" s="265" t="n"/>
      <c r="P91" s="265" t="n"/>
      <c r="Q91" s="265" t="n"/>
      <c r="S91" s="265" t="n"/>
      <c r="T91" s="265" t="n"/>
      <c r="U91" s="265" t="n"/>
      <c r="V91" s="265" t="n"/>
      <c r="X91" s="265" t="n"/>
      <c r="Y91" s="265" t="n"/>
      <c r="Z91" s="265" t="n"/>
      <c r="AA91" s="265" t="n"/>
      <c r="AC91" s="265" t="n"/>
      <c r="AD91" s="265" t="n"/>
    </row>
    <row r="92">
      <c r="A92" t="inlineStr">
        <is>
          <t>DRIVERS DE RECEITA (codigos 45+): segmentos Production &amp; Precision Ag, Small Ag &amp; Turf, Construction &amp; Forestry e Financial Services (receita e lucro operacional) - SEC XBRL (USD, fator 0,000001).</t>
        </is>
      </c>
      <c r="C92" t="inlineStr">
        <is>
          <t>[linha bruta, sem código; lançada nas linhas abaixo]</t>
        </is>
      </c>
      <c r="D92" s="265" t="n"/>
      <c r="E92" s="265" t="n"/>
      <c r="F92" s="265" t="n"/>
      <c r="G92" s="265" t="n"/>
      <c r="I92" s="265" t="n"/>
      <c r="J92" s="265" t="n"/>
      <c r="K92" s="265" t="n"/>
      <c r="L92" s="265" t="n"/>
      <c r="N92" s="265" t="n"/>
      <c r="O92" s="265" t="n"/>
      <c r="P92" s="265" t="n"/>
      <c r="Q92" s="265" t="n"/>
      <c r="S92" s="265" t="n"/>
      <c r="T92" s="265" t="n"/>
      <c r="U92" s="265" t="n"/>
      <c r="V92" s="265" t="n"/>
      <c r="X92" s="265" t="n"/>
      <c r="Y92" s="265" t="n"/>
      <c r="Z92" s="265" t="n"/>
      <c r="AA92" s="265" t="n"/>
      <c r="AC92" s="265" t="n"/>
      <c r="AD92" s="265" t="n"/>
    </row>
    <row r="93">
      <c r="A93" t="inlineStr">
        <is>
          <t>Production &amp; Precision Agriculture - receita (USD) · fonte · unid. moeda</t>
        </is>
      </c>
      <c r="B93" t="n">
        <v>45</v>
      </c>
      <c r="C93" t="inlineStr">
        <is>
          <t>Production &amp; Precision Agriculture - receita (USD)</t>
        </is>
      </c>
      <c r="D93" s="265" t="n">
        <v>4602000</v>
      </c>
      <c r="E93" s="265" t="n">
        <v>4338000</v>
      </c>
      <c r="F93" s="265" t="n">
        <v>4730000</v>
      </c>
      <c r="G93" s="265" t="n">
        <v>3433000</v>
      </c>
      <c r="I93" s="265" t="n">
        <v>5176000</v>
      </c>
      <c r="J93" s="265" t="n">
        <v>6185000</v>
      </c>
      <c r="K93" s="265" t="n">
        <v>7524000</v>
      </c>
      <c r="L93" s="265" t="n">
        <v>5303000</v>
      </c>
      <c r="N93" s="265" t="n">
        <v>7912000</v>
      </c>
      <c r="O93" s="265" t="n">
        <v>6972000</v>
      </c>
      <c r="P93" s="265" t="n">
        <v>7103000</v>
      </c>
      <c r="Q93" s="265" t="n">
        <v>5043000</v>
      </c>
      <c r="S93" s="265" t="n">
        <v>6679000</v>
      </c>
      <c r="T93" s="265" t="n">
        <v>5242000</v>
      </c>
      <c r="U93" s="265" t="n">
        <v>4416000</v>
      </c>
      <c r="V93" s="265" t="n">
        <v>3189000</v>
      </c>
      <c r="X93" s="265" t="n">
        <v>5334000</v>
      </c>
      <c r="Y93" s="265" t="n">
        <v>4379000</v>
      </c>
      <c r="Z93" s="265" t="n">
        <v>4849000</v>
      </c>
      <c r="AA93" s="265" t="n">
        <v>3286000</v>
      </c>
      <c r="AC93" s="265" t="n">
        <v>4612000</v>
      </c>
      <c r="AD93" s="265" t="n">
        <v>4105000</v>
      </c>
    </row>
    <row r="94">
      <c r="A94" t="inlineStr">
        <is>
          <t>Production &amp; Precision Agriculture - lucro do segmento (USD) · fonte · unid. moeda</t>
        </is>
      </c>
      <c r="B94" t="n">
        <v>46</v>
      </c>
      <c r="C94" t="inlineStr">
        <is>
          <t>Production &amp; Precision Agriculture - lucro do segmento (USD)</t>
        </is>
      </c>
      <c r="D94" s="265" t="n">
        <v>1007000</v>
      </c>
      <c r="E94" s="265" t="n">
        <v>906000</v>
      </c>
      <c r="F94" s="265" t="n">
        <v>777000</v>
      </c>
      <c r="G94" s="265" t="n">
        <v>296000</v>
      </c>
      <c r="I94" s="265" t="n">
        <v>1057000</v>
      </c>
      <c r="J94" s="265" t="n">
        <v>1293000</v>
      </c>
      <c r="K94" s="265" t="n">
        <v>1740000</v>
      </c>
      <c r="L94" s="265" t="n">
        <v>1208000</v>
      </c>
      <c r="N94" s="265" t="n">
        <v>2170000</v>
      </c>
      <c r="O94" s="265" t="n">
        <v>1782000</v>
      </c>
      <c r="P94" s="265" t="n">
        <v>1836000</v>
      </c>
      <c r="Q94" s="265" t="n">
        <v>1045000</v>
      </c>
      <c r="S94" s="265" t="n">
        <v>1650000</v>
      </c>
      <c r="T94" s="265" t="n">
        <v>1162000</v>
      </c>
      <c r="U94" s="265" t="n">
        <v>657000</v>
      </c>
      <c r="V94" s="265" t="n">
        <v>338000</v>
      </c>
      <c r="X94" s="265" t="n">
        <v>1148000</v>
      </c>
      <c r="Y94" s="265" t="n">
        <v>580000</v>
      </c>
      <c r="Z94" s="265" t="n">
        <v>605000</v>
      </c>
      <c r="AA94" s="265" t="n">
        <v>139000</v>
      </c>
      <c r="AC94" s="265" t="n">
        <v>706000</v>
      </c>
      <c r="AD94" s="265" t="n">
        <v>527000</v>
      </c>
    </row>
    <row r="95">
      <c r="A95" t="inlineStr">
        <is>
          <t>Small Agriculture &amp; Turf - receita (USD) · fonte · unid. moeda</t>
        </is>
      </c>
      <c r="B95" t="n">
        <v>47</v>
      </c>
      <c r="C95" t="inlineStr">
        <is>
          <t>Small Agriculture &amp; Turf - receita (USD)</t>
        </is>
      </c>
      <c r="D95" s="265" t="n">
        <v>3427000</v>
      </c>
      <c r="E95" s="265" t="n">
        <v>3212000</v>
      </c>
      <c r="F95" s="265" t="n">
        <v>2857000</v>
      </c>
      <c r="G95" s="265" t="n">
        <v>2674000</v>
      </c>
      <c r="I95" s="265" t="n">
        <v>3606000</v>
      </c>
      <c r="J95" s="265" t="n">
        <v>3691000</v>
      </c>
      <c r="K95" s="265" t="n">
        <v>3598000</v>
      </c>
      <c r="L95" s="265" t="n">
        <v>3054000</v>
      </c>
      <c r="N95" s="265" t="n">
        <v>4200000</v>
      </c>
      <c r="O95" s="265" t="n">
        <v>3806000</v>
      </c>
      <c r="P95" s="265" t="n">
        <v>3164000</v>
      </c>
      <c r="Q95" s="265" t="n">
        <v>2492000</v>
      </c>
      <c r="S95" s="265" t="n">
        <v>3253000</v>
      </c>
      <c r="T95" s="265" t="n">
        <v>3128000</v>
      </c>
      <c r="U95" s="265" t="n">
        <v>2342000</v>
      </c>
      <c r="V95" s="265" t="n">
        <v>1795000</v>
      </c>
      <c r="X95" s="265" t="n">
        <v>3044000</v>
      </c>
      <c r="Y95" s="265" t="n">
        <v>3082000</v>
      </c>
      <c r="Z95" s="265" t="n">
        <v>2511000</v>
      </c>
      <c r="AA95" s="265" t="n">
        <v>2223000</v>
      </c>
      <c r="AC95" s="265" t="n">
        <v>3540000</v>
      </c>
      <c r="AD95" s="265" t="n">
        <v>3445000</v>
      </c>
    </row>
    <row r="96">
      <c r="A96" t="inlineStr">
        <is>
          <t>Small Agriculture &amp; Turf - lucro do segmento (USD) · fonte · unid. moeda</t>
        </is>
      </c>
      <c r="B96" t="n">
        <v>48</v>
      </c>
      <c r="C96" t="inlineStr">
        <is>
          <t>Small Agriculture &amp; Turf - lucro do segmento (USD)</t>
        </is>
      </c>
      <c r="D96" s="265" t="n">
        <v>648000</v>
      </c>
      <c r="E96" s="265" t="n">
        <v>583000</v>
      </c>
      <c r="F96" s="265" t="n">
        <v>346000</v>
      </c>
      <c r="G96" s="265" t="n">
        <v>371000</v>
      </c>
      <c r="I96" s="265" t="n">
        <v>520000</v>
      </c>
      <c r="J96" s="265" t="n">
        <v>552000</v>
      </c>
      <c r="K96" s="265" t="n">
        <v>506000</v>
      </c>
      <c r="L96" s="265" t="n">
        <v>447000</v>
      </c>
      <c r="N96" s="265" t="n">
        <v>849000</v>
      </c>
      <c r="O96" s="265" t="n">
        <v>732000</v>
      </c>
      <c r="P96" s="265" t="n">
        <v>444000</v>
      </c>
      <c r="Q96" s="265" t="n">
        <v>326000</v>
      </c>
      <c r="S96" s="265" t="n">
        <v>571000</v>
      </c>
      <c r="T96" s="265" t="n">
        <v>496000</v>
      </c>
      <c r="U96" s="265" t="n">
        <v>234000</v>
      </c>
      <c r="V96" s="265" t="n">
        <v>124000</v>
      </c>
      <c r="X96" s="265" t="n">
        <v>574000</v>
      </c>
      <c r="Y96" s="265" t="n">
        <v>485000</v>
      </c>
      <c r="Z96" s="265" t="n">
        <v>25000</v>
      </c>
      <c r="AA96" s="265" t="n">
        <v>196000</v>
      </c>
      <c r="AC96" s="265" t="n">
        <v>719000</v>
      </c>
      <c r="AD96" s="265" t="n">
        <v>622000</v>
      </c>
    </row>
    <row r="97">
      <c r="A97" t="inlineStr">
        <is>
          <t>Construction &amp; Forestry - receita (USD) · fonte · unid. moeda</t>
        </is>
      </c>
      <c r="B97" t="n">
        <v>49</v>
      </c>
      <c r="C97" t="inlineStr">
        <is>
          <t>Construction &amp; Forestry - receita (USD)</t>
        </is>
      </c>
      <c r="D97" s="265" t="n">
        <v>3137000</v>
      </c>
      <c r="E97" s="265" t="n">
        <v>3075000</v>
      </c>
      <c r="F97" s="265" t="n">
        <v>2871000</v>
      </c>
      <c r="G97" s="265" t="n">
        <v>2592000</v>
      </c>
      <c r="I97" s="265" t="n">
        <v>3724000</v>
      </c>
      <c r="J97" s="265" t="n">
        <v>3323000</v>
      </c>
      <c r="K97" s="265" t="n">
        <v>3426000</v>
      </c>
      <c r="L97" s="265" t="n">
        <v>3255000</v>
      </c>
      <c r="N97" s="265" t="n">
        <v>4168000</v>
      </c>
      <c r="O97" s="265" t="n">
        <v>3795000</v>
      </c>
      <c r="P97" s="265" t="n">
        <v>3768000</v>
      </c>
      <c r="Q97" s="265" t="n">
        <v>3274000</v>
      </c>
      <c r="S97" s="265" t="n">
        <v>3908000</v>
      </c>
      <c r="T97" s="265" t="n">
        <v>3293000</v>
      </c>
      <c r="U97" s="265" t="n">
        <v>2730000</v>
      </c>
      <c r="V97" s="265" t="n">
        <v>2043000</v>
      </c>
      <c r="X97" s="265" t="n">
        <v>2996000</v>
      </c>
      <c r="Y97" s="265" t="n">
        <v>3112000</v>
      </c>
      <c r="Z97" s="265" t="n">
        <v>3492000</v>
      </c>
      <c r="AA97" s="265" t="n">
        <v>2731000</v>
      </c>
      <c r="AC97" s="265" t="n">
        <v>3854000</v>
      </c>
      <c r="AD97" s="265" t="n">
        <v>3682000</v>
      </c>
    </row>
    <row r="98">
      <c r="A98" t="inlineStr">
        <is>
          <t>Construction &amp; Forestry - lucro do segmento (USD) · fonte · unid. moeda</t>
        </is>
      </c>
      <c r="B98" t="n">
        <v>50</v>
      </c>
      <c r="C98" t="inlineStr">
        <is>
          <t>Construction &amp; Forestry - lucro do segmento (USD)</t>
        </is>
      </c>
      <c r="D98" s="265" t="n">
        <v>489000</v>
      </c>
      <c r="E98" s="265" t="n">
        <v>463000</v>
      </c>
      <c r="F98" s="265" t="n">
        <v>269000</v>
      </c>
      <c r="G98" s="265" t="n">
        <v>272000</v>
      </c>
      <c r="I98" s="265" t="n">
        <v>814000</v>
      </c>
      <c r="J98" s="265" t="n">
        <v>514000</v>
      </c>
      <c r="K98" s="265" t="n">
        <v>415000</v>
      </c>
      <c r="L98" s="265" t="n">
        <v>625000</v>
      </c>
      <c r="N98" s="265" t="n">
        <v>838000</v>
      </c>
      <c r="O98" s="265" t="n">
        <v>716000</v>
      </c>
      <c r="P98" s="265" t="n">
        <v>516000</v>
      </c>
      <c r="Q98" s="265" t="n">
        <v>566000</v>
      </c>
      <c r="S98" s="265" t="n">
        <v>668000</v>
      </c>
      <c r="T98" s="265" t="n">
        <v>448000</v>
      </c>
      <c r="U98" s="265" t="n">
        <v>327000</v>
      </c>
      <c r="V98" s="265" t="n">
        <v>65000</v>
      </c>
      <c r="X98" s="265" t="n">
        <v>379000</v>
      </c>
      <c r="Y98" s="265" t="n">
        <v>237000</v>
      </c>
      <c r="Z98" s="265" t="n">
        <v>347000</v>
      </c>
      <c r="AA98" s="265" t="n">
        <v>137000</v>
      </c>
      <c r="AC98" s="265" t="n">
        <v>561000</v>
      </c>
      <c r="AD98" s="265" t="n">
        <v>436000</v>
      </c>
    </row>
    <row r="99">
      <c r="A99" t="inlineStr">
        <is>
          <t>Financial Services - receita (USD) · fonte · unid. moeda</t>
        </is>
      </c>
      <c r="B99" t="n">
        <v>51</v>
      </c>
      <c r="C99" t="inlineStr">
        <is>
          <t>Financial Services - receita (USD)</t>
        </is>
      </c>
      <c r="D99" s="265" t="n">
        <v>892000</v>
      </c>
      <c r="E99" s="265" t="n">
        <v>902000</v>
      </c>
      <c r="F99" s="265" t="n">
        <v>869000</v>
      </c>
      <c r="G99" s="265" t="n">
        <v>870000</v>
      </c>
      <c r="I99" s="265" t="n">
        <v>864000</v>
      </c>
      <c r="J99" s="265" t="n">
        <v>903000</v>
      </c>
      <c r="K99" s="265" t="n">
        <v>988000</v>
      </c>
      <c r="L99" s="265" t="n">
        <v>1040000</v>
      </c>
      <c r="N99" s="265" t="n">
        <v>1107000</v>
      </c>
      <c r="O99" s="265" t="n">
        <v>1228000</v>
      </c>
      <c r="P99" s="265" t="n">
        <v>1346000</v>
      </c>
      <c r="Q99" s="265" t="n">
        <v>1376000</v>
      </c>
      <c r="S99" s="265" t="n">
        <v>1395000</v>
      </c>
      <c r="T99" s="265" t="n">
        <v>1489000</v>
      </c>
      <c r="U99" s="265" t="n">
        <v>1523000</v>
      </c>
      <c r="V99" s="265" t="n">
        <v>1573000</v>
      </c>
      <c r="X99" s="265" t="n">
        <v>1501000</v>
      </c>
      <c r="Y99" s="265" t="n">
        <v>1544000</v>
      </c>
      <c r="Z99" s="265" t="n">
        <v>1671000</v>
      </c>
      <c r="AA99" s="265" t="n">
        <v>1488000</v>
      </c>
      <c r="AC99" s="265" t="n">
        <v>1509000</v>
      </c>
      <c r="AD99" s="265" t="n">
        <v>1505000</v>
      </c>
    </row>
    <row r="100">
      <c r="A100" t="inlineStr">
        <is>
          <t>Financial Services - lucro do segmento (USD) · fonte · unid. moeda</t>
        </is>
      </c>
      <c r="B100" t="n">
        <v>52</v>
      </c>
      <c r="C100" t="inlineStr">
        <is>
          <t>Financial Services - lucro do segmento (USD)</t>
        </is>
      </c>
      <c r="D100" s="265" t="n">
        <v>295000</v>
      </c>
      <c r="E100" s="265" t="n">
        <v>291000</v>
      </c>
      <c r="F100" s="265" t="n">
        <v>300000</v>
      </c>
      <c r="G100" s="265" t="n">
        <v>296000</v>
      </c>
      <c r="I100" s="265" t="n">
        <v>279000</v>
      </c>
      <c r="J100" s="265" t="n">
        <v>287000</v>
      </c>
      <c r="K100" s="265" t="n">
        <v>295000</v>
      </c>
      <c r="L100" s="265" t="n">
        <v>238000</v>
      </c>
      <c r="N100" s="265" t="n">
        <v>41000</v>
      </c>
      <c r="O100" s="265" t="n">
        <v>286000</v>
      </c>
      <c r="P100" s="265" t="n">
        <v>230000</v>
      </c>
      <c r="Q100" s="265" t="n">
        <v>257000</v>
      </c>
      <c r="S100" s="265" t="n">
        <v>209000</v>
      </c>
      <c r="T100" s="265" t="n">
        <v>191000</v>
      </c>
      <c r="U100" s="265" t="n">
        <v>232000</v>
      </c>
      <c r="V100" s="265" t="n">
        <v>266000</v>
      </c>
      <c r="X100" s="265" t="n">
        <v>207000</v>
      </c>
      <c r="Y100" s="265" t="n">
        <v>266000</v>
      </c>
      <c r="Z100" s="265" t="n">
        <v>374000</v>
      </c>
      <c r="AA100" s="265" t="n">
        <v>301000</v>
      </c>
      <c r="AC100" s="265" t="n">
        <v>251000</v>
      </c>
      <c r="AD100" s="265" t="n">
        <v>271000</v>
      </c>
    </row>
    <row r="101">
      <c r="A101" t="inlineStr">
        <is>
          <t>Notas: ano fiscal da Deere termina no fim de outubro/início de novembro (fechamento de jan -&gt; 4T anterior, abr -&gt; 1T, jul -&gt; 2T, out -&gt; 3T). Segmentos agrícolas atuais desde 2020. A diferença para a linha 15 são outras receitas e eliminações.</t>
        </is>
      </c>
      <c r="C101" t="inlineStr">
        <is>
          <t>[linha bruta, sem código; lançada nas linhas abaixo]</t>
        </is>
      </c>
      <c r="D101" s="265" t="n"/>
      <c r="E101" s="265" t="n"/>
      <c r="F101" s="265" t="n"/>
      <c r="G101" s="265" t="n"/>
      <c r="I101" s="265" t="n"/>
      <c r="J101" s="265" t="n"/>
      <c r="K101" s="265" t="n"/>
      <c r="L101" s="265" t="n"/>
      <c r="N101" s="265" t="n"/>
      <c r="O101" s="265" t="n"/>
      <c r="P101" s="265" t="n"/>
      <c r="Q101" s="265" t="n"/>
      <c r="S101" s="265" t="n"/>
      <c r="T101" s="265" t="n"/>
      <c r="U101" s="265" t="n"/>
      <c r="V101" s="265" t="n"/>
      <c r="X101" s="265" t="n"/>
      <c r="Y101" s="265" t="n"/>
      <c r="Z101" s="265" t="n"/>
      <c r="AA101" s="265" t="n"/>
      <c r="AC101" s="265" t="n"/>
      <c r="AD101" s="265" t="n"/>
    </row>
    <row r="103">
      <c r="A103" t="inlineStr">
        <is>
          <t>Linhas de origem: 4 a 101. A Inputs (2) varre as linhas 4 a 150; as linhas 102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Deere &amp; Company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12058</v>
      </c>
      <c r="E4" s="11">
        <f>IF(E$3=0,"",SUMIFS(INDEX(Inputs!$D$4:$AG$150,0,MATCH(E$2,Inputs!$D$2:$AG$2,0)),Inputs!$B$4:$B$150,$B4)/1000)</f>
        <v>11527</v>
      </c>
      <c r="F4" s="11">
        <f>IF(F$3=0,"",SUMIFS(INDEX(Inputs!$D$4:$AG$150,0,MATCH(F$2,Inputs!$D$2:$AG$2,0)),Inputs!$B$4:$B$150,$B4)/1000)</f>
        <v>11327</v>
      </c>
      <c r="G4" s="11">
        <f>IF(G$3=0,"",SUMIFS(INDEX(Inputs!$D$4:$AG$150,0,MATCH(G$2,Inputs!$D$2:$AG$2,0)),Inputs!$B$4:$B$150,$B4)/1000)</f>
        <v>9569</v>
      </c>
      <c r="H4" s="12">
        <f>IF(COUNT(D4:G4)=4,SUM(D4:G4),"")</f>
        <v>44481</v>
      </c>
      <c r="I4" s="11">
        <f>IF(I$3=0,"",SUMIFS(INDEX(Inputs!$D$4:$AG$150,0,MATCH(I$2,Inputs!$D$2:$AG$2,0)),Inputs!$B$4:$B$150,$B4)/1000)</f>
        <v>13370</v>
      </c>
      <c r="J4" s="11">
        <f>IF(J$3=0,"",SUMIFS(INDEX(Inputs!$D$4:$AG$150,0,MATCH(J$2,Inputs!$D$2:$AG$2,0)),Inputs!$B$4:$B$150,$B4)/1000)</f>
        <v>14102</v>
      </c>
      <c r="K4" s="11">
        <f>IF(K$3=0,"",SUMIFS(INDEX(Inputs!$D$4:$AG$150,0,MATCH(K$2,Inputs!$D$2:$AG$2,0)),Inputs!$B$4:$B$150,$B4)/1000)</f>
        <v>15536</v>
      </c>
      <c r="L4" s="11">
        <f>IF(L$3=0,"",SUMIFS(INDEX(Inputs!$D$4:$AG$150,0,MATCH(L$2,Inputs!$D$2:$AG$2,0)),Inputs!$B$4:$B$150,$B4)/1000)</f>
        <v>12652</v>
      </c>
      <c r="M4" s="12">
        <f>IF(COUNT(I4:L4)=4,SUM(I4:L4),"")</f>
        <v>55660</v>
      </c>
      <c r="N4" s="11">
        <f>IF(N$3=0,"",SUMIFS(INDEX(Inputs!$D$4:$AG$150,0,MATCH(N$2,Inputs!$D$2:$AG$2,0)),Inputs!$B$4:$B$150,$B4)/1000)</f>
        <v>17387</v>
      </c>
      <c r="O4" s="11">
        <f>IF(O$3=0,"",SUMIFS(INDEX(Inputs!$D$4:$AG$150,0,MATCH(O$2,Inputs!$D$2:$AG$2,0)),Inputs!$B$4:$B$150,$B4)/1000)</f>
        <v>15801</v>
      </c>
      <c r="P4" s="11">
        <f>IF(P$3=0,"",SUMIFS(INDEX(Inputs!$D$4:$AG$150,0,MATCH(P$2,Inputs!$D$2:$AG$2,0)),Inputs!$B$4:$B$150,$B4)/1000)</f>
        <v>15412</v>
      </c>
      <c r="Q4" s="11">
        <f>IF(Q$3=0,"",SUMIFS(INDEX(Inputs!$D$4:$AG$150,0,MATCH(Q$2,Inputs!$D$2:$AG$2,0)),Inputs!$B$4:$B$150,$B4)/1000)</f>
        <v>12185</v>
      </c>
      <c r="R4" s="12">
        <f>IF(COUNT(N4:Q4)=4,SUM(N4:Q4),"")</f>
        <v>60785</v>
      </c>
      <c r="S4" s="11">
        <f>IF(S$3=0,"",SUMIFS(INDEX(Inputs!$D$4:$AG$150,0,MATCH(S$2,Inputs!$D$2:$AG$2,0)),Inputs!$B$4:$B$150,$B4)/1000)</f>
        <v>15235</v>
      </c>
      <c r="T4" s="11">
        <f>IF(T$3=0,"",SUMIFS(INDEX(Inputs!$D$4:$AG$150,0,MATCH(T$2,Inputs!$D$2:$AG$2,0)),Inputs!$B$4:$B$150,$B4)/1000)</f>
        <v>13152</v>
      </c>
      <c r="U4" s="11">
        <f>IF(U$3=0,"",SUMIFS(INDEX(Inputs!$D$4:$AG$150,0,MATCH(U$2,Inputs!$D$2:$AG$2,0)),Inputs!$B$4:$B$150,$B4)/1000)</f>
        <v>11144</v>
      </c>
      <c r="V4" s="11">
        <f>IF(V$3=0,"",SUMIFS(INDEX(Inputs!$D$4:$AG$150,0,MATCH(V$2,Inputs!$D$2:$AG$2,0)),Inputs!$B$4:$B$150,$B4)/1000)</f>
        <v>8508</v>
      </c>
      <c r="W4" s="12">
        <f>IF(COUNT(S4:V4)=4,SUM(S4:V4),"")</f>
        <v>48039</v>
      </c>
      <c r="X4" s="11">
        <f>IF(X$3=0,"",SUMIFS(INDEX(Inputs!$D$4:$AG$150,0,MATCH(X$2,Inputs!$D$2:$AG$2,0)),Inputs!$B$4:$B$150,$B4)/1000)</f>
        <v>12763</v>
      </c>
      <c r="Y4" s="11">
        <f>IF(Y$3=0,"",SUMIFS(INDEX(Inputs!$D$4:$AG$150,0,MATCH(Y$2,Inputs!$D$2:$AG$2,0)),Inputs!$B$4:$B$150,$B4)/1000)</f>
        <v>12018</v>
      </c>
      <c r="Z4" s="11">
        <f>IF(Z$3=0,"",SUMIFS(INDEX(Inputs!$D$4:$AG$150,0,MATCH(Z$2,Inputs!$D$2:$AG$2,0)),Inputs!$B$4:$B$150,$B4)/1000)</f>
        <v>12394</v>
      </c>
      <c r="AA4" s="11">
        <f>IF(AA$3=0,"",SUMIFS(INDEX(Inputs!$D$4:$AG$150,0,MATCH(AA$2,Inputs!$D$2:$AG$2,0)),Inputs!$B$4:$B$150,$B4)/1000)</f>
        <v>9611</v>
      </c>
      <c r="AB4" s="12">
        <f>IF(COUNT(X4:AA4)=4,SUM(X4:AA4),"")</f>
        <v>46786</v>
      </c>
      <c r="AC4" s="11">
        <f>IF(AC$3=0,"",SUMIFS(INDEX(Inputs!$D$4:$AG$150,0,MATCH(AC$2,Inputs!$D$2:$AG$2,0)),Inputs!$B$4:$B$150,$B4)/1000)</f>
        <v>13369</v>
      </c>
      <c r="AD4" s="11">
        <f>IF(AD$3=0,"",SUMIFS(INDEX(Inputs!$D$4:$AG$150,0,MATCH(AD$2,Inputs!$D$2:$AG$2,0)),Inputs!$B$4:$B$150,$B4)/1000)</f>
        <v>12608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0</v>
      </c>
      <c r="E5" s="11">
        <f>IF(E$3=0,"",SUMIFS(INDEX(Inputs!$D$4:$AG$150,0,MATCH(E$2,Inputs!$D$2:$AG$2,0)),Inputs!$B$4:$B$150,$B5)/1000)</f>
        <v>0</v>
      </c>
      <c r="F5" s="11">
        <f>IF(F$3=0,"",SUMIFS(INDEX(Inputs!$D$4:$AG$150,0,MATCH(F$2,Inputs!$D$2:$AG$2,0)),Inputs!$B$4:$B$150,$B5)/1000)</f>
        <v>0</v>
      </c>
      <c r="G5" s="11">
        <f>IF(G$3=0,"",SUMIFS(INDEX(Inputs!$D$4:$AG$150,0,MATCH(G$2,Inputs!$D$2:$AG$2,0)),Inputs!$B$4:$B$150,$B5)/1000)</f>
        <v>0</v>
      </c>
      <c r="H5" s="12">
        <f>IF(COUNT(D5:G5)=4,SUM(D5:G5),"")</f>
        <v>0</v>
      </c>
      <c r="I5" s="11">
        <f>IF(I$3=0,"",SUMIFS(INDEX(Inputs!$D$4:$AG$150,0,MATCH(I$2,Inputs!$D$2:$AG$2,0)),Inputs!$B$4:$B$150,$B5)/1000)</f>
        <v>0</v>
      </c>
      <c r="J5" s="11">
        <f>IF(J$3=0,"",SUMIFS(INDEX(Inputs!$D$4:$AG$150,0,MATCH(J$2,Inputs!$D$2:$AG$2,0)),Inputs!$B$4:$B$150,$B5)/1000)</f>
        <v>0</v>
      </c>
      <c r="K5" s="11">
        <f>IF(K$3=0,"",SUMIFS(INDEX(Inputs!$D$4:$AG$150,0,MATCH(K$2,Inputs!$D$2:$AG$2,0)),Inputs!$B$4:$B$150,$B5)/1000)</f>
        <v>0</v>
      </c>
      <c r="L5" s="11">
        <f>IF(L$3=0,"",SUMIFS(INDEX(Inputs!$D$4:$AG$150,0,MATCH(L$2,Inputs!$D$2:$AG$2,0)),Inputs!$B$4:$B$150,$B5)/1000)</f>
        <v>0</v>
      </c>
      <c r="M5" s="12">
        <f>IF(COUNT(I5:L5)=4,SUM(I5:L5),"")</f>
        <v>0</v>
      </c>
      <c r="N5" s="11">
        <f>IF(N$3=0,"",SUMIFS(INDEX(Inputs!$D$4:$AG$150,0,MATCH(N$2,Inputs!$D$2:$AG$2,0)),Inputs!$B$4:$B$150,$B5)/1000)</f>
        <v>0</v>
      </c>
      <c r="O5" s="11">
        <f>IF(O$3=0,"",SUMIFS(INDEX(Inputs!$D$4:$AG$150,0,MATCH(O$2,Inputs!$D$2:$AG$2,0)),Inputs!$B$4:$B$150,$B5)/1000)</f>
        <v>0</v>
      </c>
      <c r="P5" s="11">
        <f>IF(P$3=0,"",SUMIFS(INDEX(Inputs!$D$4:$AG$150,0,MATCH(P$2,Inputs!$D$2:$AG$2,0)),Inputs!$B$4:$B$150,$B5)/1000)</f>
        <v>0</v>
      </c>
      <c r="Q5" s="11">
        <f>IF(Q$3=0,"",SUMIFS(INDEX(Inputs!$D$4:$AG$150,0,MATCH(Q$2,Inputs!$D$2:$AG$2,0)),Inputs!$B$4:$B$150,$B5)/1000)</f>
        <v>0</v>
      </c>
      <c r="R5" s="12">
        <f>IF(COUNT(N5:Q5)=4,SUM(N5:Q5),"")</f>
        <v>0</v>
      </c>
      <c r="S5" s="11">
        <f>IF(S$3=0,"",SUMIFS(INDEX(Inputs!$D$4:$AG$150,0,MATCH(S$2,Inputs!$D$2:$AG$2,0)),Inputs!$B$4:$B$150,$B5)/1000)</f>
        <v>0</v>
      </c>
      <c r="T5" s="11">
        <f>IF(T$3=0,"",SUMIFS(INDEX(Inputs!$D$4:$AG$150,0,MATCH(T$2,Inputs!$D$2:$AG$2,0)),Inputs!$B$4:$B$150,$B5)/1000)</f>
        <v>0</v>
      </c>
      <c r="U5" s="11">
        <f>IF(U$3=0,"",SUMIFS(INDEX(Inputs!$D$4:$AG$150,0,MATCH(U$2,Inputs!$D$2:$AG$2,0)),Inputs!$B$4:$B$150,$B5)/1000)</f>
        <v>0</v>
      </c>
      <c r="V5" s="11">
        <f>IF(V$3=0,"",SUMIFS(INDEX(Inputs!$D$4:$AG$150,0,MATCH(V$2,Inputs!$D$2:$AG$2,0)),Inputs!$B$4:$B$150,$B5)/1000)</f>
        <v>0</v>
      </c>
      <c r="W5" s="12">
        <f>IF(COUNT(S5:V5)=4,SUM(S5:V5),"")</f>
        <v>0</v>
      </c>
      <c r="X5" s="11">
        <f>IF(X$3=0,"",SUMIFS(INDEX(Inputs!$D$4:$AG$150,0,MATCH(X$2,Inputs!$D$2:$AG$2,0)),Inputs!$B$4:$B$150,$B5)/1000)</f>
        <v>0</v>
      </c>
      <c r="Y5" s="11">
        <f>IF(Y$3=0,"",SUMIFS(INDEX(Inputs!$D$4:$AG$150,0,MATCH(Y$2,Inputs!$D$2:$AG$2,0)),Inputs!$B$4:$B$150,$B5)/1000)</f>
        <v>0</v>
      </c>
      <c r="Z5" s="11">
        <f>IF(Z$3=0,"",SUMIFS(INDEX(Inputs!$D$4:$AG$150,0,MATCH(Z$2,Inputs!$D$2:$AG$2,0)),Inputs!$B$4:$B$150,$B5)/1000)</f>
        <v>0</v>
      </c>
      <c r="AA5" s="11">
        <f>IF(AA$3=0,"",SUMIFS(INDEX(Inputs!$D$4:$AG$150,0,MATCH(AA$2,Inputs!$D$2:$AG$2,0)),Inputs!$B$4:$B$150,$B5)/1000)</f>
        <v>0</v>
      </c>
      <c r="AB5" s="12">
        <f>IF(COUNT(X5:AA5)=4,SUM(X5:AA5),"")</f>
        <v>0</v>
      </c>
      <c r="AC5" s="11">
        <f>IF(AC$3=0,"",SUMIFS(INDEX(Inputs!$D$4:$AG$150,0,MATCH(AC$2,Inputs!$D$2:$AG$2,0)),Inputs!$B$4:$B$150,$B5)/1000)</f>
        <v>0</v>
      </c>
      <c r="AD5" s="11">
        <f>IF(AD$3=0,"",SUMIFS(INDEX(Inputs!$D$4:$AG$150,0,MATCH(AD$2,Inputs!$D$2:$AG$2,0)),Inputs!$B$4:$B$150,$B5)/1000)</f>
        <v>0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-9103</v>
      </c>
      <c r="E6" s="11">
        <f>IF(E$3=0,"",SUMIFS(INDEX(Inputs!$D$4:$AG$150,0,MATCH(E$2,Inputs!$D$2:$AG$2,0)),Inputs!$B$4:$B$150,$B6)/1000)</f>
        <v>-8769</v>
      </c>
      <c r="F6" s="11">
        <f>IF(F$3=0,"",SUMIFS(INDEX(Inputs!$D$4:$AG$150,0,MATCH(F$2,Inputs!$D$2:$AG$2,0)),Inputs!$B$4:$B$150,$B6)/1000)</f>
        <v>-9154</v>
      </c>
      <c r="G6" s="11">
        <f>IF(G$3=0,"",SUMIFS(INDEX(Inputs!$D$4:$AG$150,0,MATCH(G$2,Inputs!$D$2:$AG$2,0)),Inputs!$B$4:$B$150,$B6)/1000)</f>
        <v>-7848</v>
      </c>
      <c r="H6" s="12">
        <f>IF(COUNT(D6:G6)=4,SUM(D6:G6),"")</f>
        <v>-34874</v>
      </c>
      <c r="I6" s="11">
        <f>IF(I$3=0,"",SUMIFS(INDEX(Inputs!$D$4:$AG$150,0,MATCH(I$2,Inputs!$D$2:$AG$2,0)),Inputs!$B$4:$B$150,$B6)/1000)</f>
        <v>-10253</v>
      </c>
      <c r="J6" s="11">
        <f>IF(J$3=0,"",SUMIFS(INDEX(Inputs!$D$4:$AG$150,0,MATCH(J$2,Inputs!$D$2:$AG$2,0)),Inputs!$B$4:$B$150,$B6)/1000)</f>
        <v>-10946</v>
      </c>
      <c r="K6" s="11">
        <f>IF(K$3=0,"",SUMIFS(INDEX(Inputs!$D$4:$AG$150,0,MATCH(K$2,Inputs!$D$2:$AG$2,0)),Inputs!$B$4:$B$150,$B6)/1000)</f>
        <v>-12128</v>
      </c>
      <c r="L6" s="11">
        <f>IF(L$3=0,"",SUMIFS(INDEX(Inputs!$D$4:$AG$150,0,MATCH(L$2,Inputs!$D$2:$AG$2,0)),Inputs!$B$4:$B$150,$B6)/1000)</f>
        <v>-9640</v>
      </c>
      <c r="M6" s="12">
        <f>IF(COUNT(I6:L6)=4,SUM(I6:L6),"")</f>
        <v>-42967</v>
      </c>
      <c r="N6" s="11">
        <f>IF(N$3=0,"",SUMIFS(INDEX(Inputs!$D$4:$AG$150,0,MATCH(N$2,Inputs!$D$2:$AG$2,0)),Inputs!$B$4:$B$150,$B6)/1000)</f>
        <v>-12988</v>
      </c>
      <c r="O6" s="11">
        <f>IF(O$3=0,"",SUMIFS(INDEX(Inputs!$D$4:$AG$150,0,MATCH(O$2,Inputs!$D$2:$AG$2,0)),Inputs!$B$4:$B$150,$B6)/1000)</f>
        <v>-11753</v>
      </c>
      <c r="P6" s="11">
        <f>IF(P$3=0,"",SUMIFS(INDEX(Inputs!$D$4:$AG$150,0,MATCH(P$2,Inputs!$D$2:$AG$2,0)),Inputs!$B$4:$B$150,$B6)/1000)</f>
        <v>-11909</v>
      </c>
      <c r="Q6" s="11">
        <f>IF(Q$3=0,"",SUMIFS(INDEX(Inputs!$D$4:$AG$150,0,MATCH(Q$2,Inputs!$D$2:$AG$2,0)),Inputs!$B$4:$B$150,$B6)/1000)</f>
        <v>-11665</v>
      </c>
      <c r="R6" s="12">
        <f>IF(COUNT(N6:Q6)=4,SUM(N6:Q6),"")</f>
        <v>-48315</v>
      </c>
      <c r="S6" s="11">
        <f>IF(S$3=0,"",SUMIFS(INDEX(Inputs!$D$4:$AG$150,0,MATCH(S$2,Inputs!$D$2:$AG$2,0)),Inputs!$B$4:$B$150,$B6)/1000)</f>
        <v>-14710</v>
      </c>
      <c r="T6" s="11">
        <f>IF(T$3=0,"",SUMIFS(INDEX(Inputs!$D$4:$AG$150,0,MATCH(T$2,Inputs!$D$2:$AG$2,0)),Inputs!$B$4:$B$150,$B6)/1000)</f>
        <v>-12599</v>
      </c>
      <c r="U6" s="11">
        <f>IF(U$3=0,"",SUMIFS(INDEX(Inputs!$D$4:$AG$150,0,MATCH(U$2,Inputs!$D$2:$AG$2,0)),Inputs!$B$4:$B$150,$B6)/1000)</f>
        <v>-10624</v>
      </c>
      <c r="V6" s="11">
        <f>IF(V$3=0,"",SUMIFS(INDEX(Inputs!$D$4:$AG$150,0,MATCH(V$2,Inputs!$D$2:$AG$2,0)),Inputs!$B$4:$B$150,$B6)/1000)</f>
        <v>-7959</v>
      </c>
      <c r="W6" s="12">
        <f>IF(COUNT(S6:V6)=4,SUM(S6:V6),"")</f>
        <v>-45892</v>
      </c>
      <c r="X6" s="11">
        <f>IF(X$3=0,"",SUMIFS(INDEX(Inputs!$D$4:$AG$150,0,MATCH(X$2,Inputs!$D$2:$AG$2,0)),Inputs!$B$4:$B$150,$B6)/1000)</f>
        <v>-12208</v>
      </c>
      <c r="Y6" s="11">
        <f>IF(Y$3=0,"",SUMIFS(INDEX(Inputs!$D$4:$AG$150,0,MATCH(Y$2,Inputs!$D$2:$AG$2,0)),Inputs!$B$4:$B$150,$B6)/1000)</f>
        <v>-11454</v>
      </c>
      <c r="Z6" s="11">
        <f>IF(Z$3=0,"",SUMIFS(INDEX(Inputs!$D$4:$AG$150,0,MATCH(Z$2,Inputs!$D$2:$AG$2,0)),Inputs!$B$4:$B$150,$B6)/1000)</f>
        <v>-11833</v>
      </c>
      <c r="AA6" s="11">
        <f>IF(AA$3=0,"",SUMIFS(INDEX(Inputs!$D$4:$AG$150,0,MATCH(AA$2,Inputs!$D$2:$AG$2,0)),Inputs!$B$4:$B$150,$B6)/1000)</f>
        <v>-9021</v>
      </c>
      <c r="AB6" s="12">
        <f>IF(COUNT(X6:AA6)=4,SUM(X6:AA6),"")</f>
        <v>-44516</v>
      </c>
      <c r="AC6" s="11">
        <f>IF(AC$3=0,"",SUMIFS(INDEX(Inputs!$D$4:$AG$150,0,MATCH(AC$2,Inputs!$D$2:$AG$2,0)),Inputs!$B$4:$B$150,$B6)/1000)</f>
        <v>-12775</v>
      </c>
      <c r="AD6" s="11">
        <f>IF(AD$3=0,"",SUMIFS(INDEX(Inputs!$D$4:$AG$150,0,MATCH(AD$2,Inputs!$D$2:$AG$2,0)),Inputs!$B$4:$B$150,$B6)/1000)</f>
        <v>-12005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-516</v>
      </c>
      <c r="E7" s="11">
        <f>IF(E$3=0,"",SUMIFS(INDEX(Inputs!$D$4:$AG$150,0,MATCH(E$2,Inputs!$D$2:$AG$2,0)),Inputs!$B$4:$B$150,$B7)/1000)</f>
        <v>-515</v>
      </c>
      <c r="F7" s="11">
        <f>IF(F$3=0,"",SUMIFS(INDEX(Inputs!$D$4:$AG$150,0,MATCH(F$2,Inputs!$D$2:$AG$2,0)),Inputs!$B$4:$B$150,$B7)/1000)</f>
        <v>-481</v>
      </c>
      <c r="G7" s="11">
        <f>IF(G$3=0,"",SUMIFS(INDEX(Inputs!$D$4:$AG$150,0,MATCH(G$2,Inputs!$D$2:$AG$2,0)),Inputs!$B$4:$B$150,$B7)/1000)</f>
        <v>-486</v>
      </c>
      <c r="H7" s="12">
        <f>IF(COUNT(D7:G7)=4,SUM(D7:G7),"")</f>
        <v>-1998</v>
      </c>
      <c r="I7" s="11">
        <f>IF(I$3=0,"",SUMIFS(INDEX(Inputs!$D$4:$AG$150,0,MATCH(I$2,Inputs!$D$2:$AG$2,0)),Inputs!$B$4:$B$150,$B7)/1000)</f>
        <v>-447</v>
      </c>
      <c r="J7" s="11">
        <f>IF(J$3=0,"",SUMIFS(INDEX(Inputs!$D$4:$AG$150,0,MATCH(J$2,Inputs!$D$2:$AG$2,0)),Inputs!$B$4:$B$150,$B7)/1000)</f>
        <v>-510</v>
      </c>
      <c r="K7" s="11">
        <f>IF(K$3=0,"",SUMIFS(INDEX(Inputs!$D$4:$AG$150,0,MATCH(K$2,Inputs!$D$2:$AG$2,0)),Inputs!$B$4:$B$150,$B7)/1000)</f>
        <v>-452</v>
      </c>
      <c r="L7" s="11">
        <f>IF(L$3=0,"",SUMIFS(INDEX(Inputs!$D$4:$AG$150,0,MATCH(L$2,Inputs!$D$2:$AG$2,0)),Inputs!$B$4:$B$150,$B7)/1000)</f>
        <v>-494</v>
      </c>
      <c r="M7" s="12">
        <f>IF(COUNT(I7:L7)=4,SUM(I7:L7),"")</f>
        <v>-1903</v>
      </c>
      <c r="N7" s="11">
        <f>IF(N$3=0,"",SUMIFS(INDEX(Inputs!$D$4:$AG$150,0,MATCH(N$2,Inputs!$D$2:$AG$2,0)),Inputs!$B$4:$B$150,$B7)/1000)</f>
        <v>-501</v>
      </c>
      <c r="O7" s="11">
        <f>IF(O$3=0,"",SUMIFS(INDEX(Inputs!$D$4:$AG$150,0,MATCH(O$2,Inputs!$D$2:$AG$2,0)),Inputs!$B$4:$B$150,$B7)/1000)</f>
        <v>-532</v>
      </c>
      <c r="P7" s="11">
        <f>IF(P$3=0,"",SUMIFS(INDEX(Inputs!$D$4:$AG$150,0,MATCH(P$2,Inputs!$D$2:$AG$2,0)),Inputs!$B$4:$B$150,$B7)/1000)</f>
        <v>-477</v>
      </c>
      <c r="Q7" s="11">
        <f>IF(Q$3=0,"",SUMIFS(INDEX(Inputs!$D$4:$AG$150,0,MATCH(Q$2,Inputs!$D$2:$AG$2,0)),Inputs!$B$4:$B$150,$B7)/1000)</f>
        <v>-520</v>
      </c>
      <c r="R7" s="12">
        <f>IF(COUNT(N7:Q7)=4,SUM(N7:Q7),"")</f>
        <v>-2030</v>
      </c>
      <c r="S7" s="11">
        <f>IF(S$3=0,"",SUMIFS(INDEX(Inputs!$D$4:$AG$150,0,MATCH(S$2,Inputs!$D$2:$AG$2,0)),Inputs!$B$4:$B$150,$B7)/1000)</f>
        <v>-525</v>
      </c>
      <c r="T7" s="11">
        <f>IF(T$3=0,"",SUMIFS(INDEX(Inputs!$D$4:$AG$150,0,MATCH(T$2,Inputs!$D$2:$AG$2,0)),Inputs!$B$4:$B$150,$B7)/1000)</f>
        <v>-553</v>
      </c>
      <c r="U7" s="11">
        <f>IF(U$3=0,"",SUMIFS(INDEX(Inputs!$D$4:$AG$150,0,MATCH(U$2,Inputs!$D$2:$AG$2,0)),Inputs!$B$4:$B$150,$B7)/1000)</f>
        <v>-520</v>
      </c>
      <c r="V7" s="11">
        <f>IF(V$3=0,"",SUMIFS(INDEX(Inputs!$D$4:$AG$150,0,MATCH(V$2,Inputs!$D$2:$AG$2,0)),Inputs!$B$4:$B$150,$B7)/1000)</f>
        <v>-549</v>
      </c>
      <c r="W7" s="12">
        <f>IF(COUNT(S7:V7)=4,SUM(S7:V7),"")</f>
        <v>-2147</v>
      </c>
      <c r="X7" s="11">
        <f>IF(X$3=0,"",SUMIFS(INDEX(Inputs!$D$4:$AG$150,0,MATCH(X$2,Inputs!$D$2:$AG$2,0)),Inputs!$B$4:$B$150,$B7)/1000)</f>
        <v>-555</v>
      </c>
      <c r="Y7" s="11">
        <f>IF(Y$3=0,"",SUMIFS(INDEX(Inputs!$D$4:$AG$150,0,MATCH(Y$2,Inputs!$D$2:$AG$2,0)),Inputs!$B$4:$B$150,$B7)/1000)</f>
        <v>-564</v>
      </c>
      <c r="Z7" s="11">
        <f>IF(Z$3=0,"",SUMIFS(INDEX(Inputs!$D$4:$AG$150,0,MATCH(Z$2,Inputs!$D$2:$AG$2,0)),Inputs!$B$4:$B$150,$B7)/1000)</f>
        <v>-561</v>
      </c>
      <c r="AA7" s="11">
        <f>IF(AA$3=0,"",SUMIFS(INDEX(Inputs!$D$4:$AG$150,0,MATCH(AA$2,Inputs!$D$2:$AG$2,0)),Inputs!$B$4:$B$150,$B7)/1000)</f>
        <v>-590</v>
      </c>
      <c r="AB7" s="12">
        <f>IF(COUNT(X7:AA7)=4,SUM(X7:AA7),"")</f>
        <v>-2270</v>
      </c>
      <c r="AC7" s="11">
        <f>IF(AC$3=0,"",SUMIFS(INDEX(Inputs!$D$4:$AG$150,0,MATCH(AC$2,Inputs!$D$2:$AG$2,0)),Inputs!$B$4:$B$150,$B7)/1000)</f>
        <v>-594</v>
      </c>
      <c r="AD7" s="11">
        <f>IF(AD$3=0,"",SUMIFS(INDEX(Inputs!$D$4:$AG$150,0,MATCH(AD$2,Inputs!$D$2:$AG$2,0)),Inputs!$B$4:$B$150,$B7)/1000)</f>
        <v>-603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-268</v>
      </c>
      <c r="E8" s="11">
        <f>IF(E$3=0,"",SUMIFS(INDEX(Inputs!$D$4:$AG$150,0,MATCH(E$2,Inputs!$D$2:$AG$2,0)),Inputs!$B$4:$B$150,$B8)/1000)</f>
        <v>-244</v>
      </c>
      <c r="F8" s="11">
        <f>IF(F$3=0,"",SUMIFS(INDEX(Inputs!$D$4:$AG$150,0,MATCH(F$2,Inputs!$D$2:$AG$2,0)),Inputs!$B$4:$B$150,$B8)/1000)</f>
        <v>-210</v>
      </c>
      <c r="G8" s="11">
        <f>IF(G$3=0,"",SUMIFS(INDEX(Inputs!$D$4:$AG$150,0,MATCH(G$2,Inputs!$D$2:$AG$2,0)),Inputs!$B$4:$B$150,$B8)/1000)</f>
        <v>-229</v>
      </c>
      <c r="H8" s="12">
        <f>IF(COUNT(D8:G8)=4,SUM(D8:G8),"")</f>
        <v>-951</v>
      </c>
      <c r="I8" s="11">
        <f>IF(I$3=0,"",SUMIFS(INDEX(Inputs!$D$4:$AG$150,0,MATCH(I$2,Inputs!$D$2:$AG$2,0)),Inputs!$B$4:$B$150,$B8)/1000)</f>
        <v>-187</v>
      </c>
      <c r="J8" s="11">
        <f>IF(J$3=0,"",SUMIFS(INDEX(Inputs!$D$4:$AG$150,0,MATCH(J$2,Inputs!$D$2:$AG$2,0)),Inputs!$B$4:$B$150,$B8)/1000)</f>
        <v>-296</v>
      </c>
      <c r="K8" s="11">
        <f>IF(K$3=0,"",SUMIFS(INDEX(Inputs!$D$4:$AG$150,0,MATCH(K$2,Inputs!$D$2:$AG$2,0)),Inputs!$B$4:$B$150,$B8)/1000)</f>
        <v>-349</v>
      </c>
      <c r="L8" s="11">
        <f>IF(L$3=0,"",SUMIFS(INDEX(Inputs!$D$4:$AG$150,0,MATCH(L$2,Inputs!$D$2:$AG$2,0)),Inputs!$B$4:$B$150,$B8)/1000)</f>
        <v>-479</v>
      </c>
      <c r="M8" s="12">
        <f>IF(COUNT(I8:L8)=4,SUM(I8:L8),"")</f>
        <v>-1311</v>
      </c>
      <c r="N8" s="11">
        <f>IF(N$3=0,"",SUMIFS(INDEX(Inputs!$D$4:$AG$150,0,MATCH(N$2,Inputs!$D$2:$AG$2,0)),Inputs!$B$4:$B$150,$B8)/1000)</f>
        <v>-569</v>
      </c>
      <c r="O8" s="11">
        <f>IF(O$3=0,"",SUMIFS(INDEX(Inputs!$D$4:$AG$150,0,MATCH(O$2,Inputs!$D$2:$AG$2,0)),Inputs!$B$4:$B$150,$B8)/1000)</f>
        <v>-623</v>
      </c>
      <c r="P8" s="11">
        <f>IF(P$3=0,"",SUMIFS(INDEX(Inputs!$D$4:$AG$150,0,MATCH(P$2,Inputs!$D$2:$AG$2,0)),Inputs!$B$4:$B$150,$B8)/1000)</f>
        <v>-782</v>
      </c>
      <c r="Q8" s="11">
        <f>IF(Q$3=0,"",SUMIFS(INDEX(Inputs!$D$4:$AG$150,0,MATCH(Q$2,Inputs!$D$2:$AG$2,0)),Inputs!$B$4:$B$150,$B8)/1000)</f>
        <v>-802</v>
      </c>
      <c r="R8" s="12">
        <f>IF(COUNT(N8:Q8)=4,SUM(N8:Q8),"")</f>
        <v>-2776</v>
      </c>
      <c r="S8" s="11">
        <f>IF(S$3=0,"",SUMIFS(INDEX(Inputs!$D$4:$AG$150,0,MATCH(S$2,Inputs!$D$2:$AG$2,0)),Inputs!$B$4:$B$150,$B8)/1000)</f>
        <v>-836</v>
      </c>
      <c r="T8" s="11">
        <f>IF(T$3=0,"",SUMIFS(INDEX(Inputs!$D$4:$AG$150,0,MATCH(T$2,Inputs!$D$2:$AG$2,0)),Inputs!$B$4:$B$150,$B8)/1000)</f>
        <v>-840</v>
      </c>
      <c r="U8" s="11">
        <f>IF(U$3=0,"",SUMIFS(INDEX(Inputs!$D$4:$AG$150,0,MATCH(U$2,Inputs!$D$2:$AG$2,0)),Inputs!$B$4:$B$150,$B8)/1000)</f>
        <v>-870</v>
      </c>
      <c r="V8" s="11">
        <f>IF(V$3=0,"",SUMIFS(INDEX(Inputs!$D$4:$AG$150,0,MATCH(V$2,Inputs!$D$2:$AG$2,0)),Inputs!$B$4:$B$150,$B8)/1000)</f>
        <v>-829</v>
      </c>
      <c r="W8" s="12">
        <f>IF(COUNT(S8:V8)=4,SUM(S8:V8),"")</f>
        <v>-3375</v>
      </c>
      <c r="X8" s="11">
        <f>IF(X$3=0,"",SUMIFS(INDEX(Inputs!$D$4:$AG$150,0,MATCH(X$2,Inputs!$D$2:$AG$2,0)),Inputs!$B$4:$B$150,$B8)/1000)</f>
        <v>-784</v>
      </c>
      <c r="Y8" s="11">
        <f>IF(Y$3=0,"",SUMIFS(INDEX(Inputs!$D$4:$AG$150,0,MATCH(Y$2,Inputs!$D$2:$AG$2,0)),Inputs!$B$4:$B$150,$B8)/1000)</f>
        <v>-794</v>
      </c>
      <c r="Z8" s="11">
        <f>IF(Z$3=0,"",SUMIFS(INDEX(Inputs!$D$4:$AG$150,0,MATCH(Z$2,Inputs!$D$2:$AG$2,0)),Inputs!$B$4:$B$150,$B8)/1000)</f>
        <v>-762</v>
      </c>
      <c r="AA8" s="11">
        <f>IF(AA$3=0,"",SUMIFS(INDEX(Inputs!$D$4:$AG$150,0,MATCH(AA$2,Inputs!$D$2:$AG$2,0)),Inputs!$B$4:$B$150,$B8)/1000)</f>
        <v>-719</v>
      </c>
      <c r="AB8" s="12">
        <f>IF(COUNT(X8:AA8)=4,SUM(X8:AA8),"")</f>
        <v>-3059</v>
      </c>
      <c r="AC8" s="11">
        <f>IF(AC$3=0,"",SUMIFS(INDEX(Inputs!$D$4:$AG$150,0,MATCH(AC$2,Inputs!$D$2:$AG$2,0)),Inputs!$B$4:$B$150,$B8)/1000)</f>
        <v>-712</v>
      </c>
      <c r="AD8" s="11">
        <f>IF(AD$3=0,"",SUMIFS(INDEX(Inputs!$D$4:$AG$150,0,MATCH(AD$2,Inputs!$D$2:$AG$2,0)),Inputs!$B$4:$B$150,$B8)/1000)</f>
        <v>-710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141</v>
      </c>
      <c r="E9" s="11">
        <f>IF(E$3=0,"",SUMIFS(INDEX(Inputs!$D$4:$AG$150,0,MATCH(E$2,Inputs!$D$2:$AG$2,0)),Inputs!$B$4:$B$150,$B9)/1000)</f>
        <v>151</v>
      </c>
      <c r="F9" s="11">
        <f>IF(F$3=0,"",SUMIFS(INDEX(Inputs!$D$4:$AG$150,0,MATCH(F$2,Inputs!$D$2:$AG$2,0)),Inputs!$B$4:$B$150,$B9)/1000)</f>
        <v>131</v>
      </c>
      <c r="G9" s="11">
        <f>IF(G$3=0,"",SUMIFS(INDEX(Inputs!$D$4:$AG$150,0,MATCH(G$2,Inputs!$D$2:$AG$2,0)),Inputs!$B$4:$B$150,$B9)/1000)</f>
        <v>145</v>
      </c>
      <c r="H9" s="12">
        <f>IF(COUNT(D9:G9)=4,SUM(D9:G9),"")</f>
        <v>568</v>
      </c>
      <c r="I9" s="11">
        <f>IF(I$3=0,"",SUMIFS(INDEX(Inputs!$D$4:$AG$150,0,MATCH(I$2,Inputs!$D$2:$AG$2,0)),Inputs!$B$4:$B$150,$B9)/1000)</f>
        <v>69</v>
      </c>
      <c r="J9" s="11">
        <f>IF(J$3=0,"",SUMIFS(INDEX(Inputs!$D$4:$AG$150,0,MATCH(J$2,Inputs!$D$2:$AG$2,0)),Inputs!$B$4:$B$150,$B9)/1000)</f>
        <v>189</v>
      </c>
      <c r="K9" s="11">
        <f>IF(K$3=0,"",SUMIFS(INDEX(Inputs!$D$4:$AG$150,0,MATCH(K$2,Inputs!$D$2:$AG$2,0)),Inputs!$B$4:$B$150,$B9)/1000)</f>
        <v>278</v>
      </c>
      <c r="L9" s="11">
        <f>IF(L$3=0,"",SUMIFS(INDEX(Inputs!$D$4:$AG$150,0,MATCH(L$2,Inputs!$D$2:$AG$2,0)),Inputs!$B$4:$B$150,$B9)/1000)</f>
        <v>454</v>
      </c>
      <c r="M9" s="12">
        <f>IF(COUNT(I9:L9)=4,SUM(I9:L9),"")</f>
        <v>990</v>
      </c>
      <c r="N9" s="11">
        <f>IF(N$3=0,"",SUMIFS(INDEX(Inputs!$D$4:$AG$150,0,MATCH(N$2,Inputs!$D$2:$AG$2,0)),Inputs!$B$4:$B$150,$B9)/1000)</f>
        <v>519</v>
      </c>
      <c r="O9" s="11">
        <f>IF(O$3=0,"",SUMIFS(INDEX(Inputs!$D$4:$AG$150,0,MATCH(O$2,Inputs!$D$2:$AG$2,0)),Inputs!$B$4:$B$150,$B9)/1000)</f>
        <v>713</v>
      </c>
      <c r="P9" s="11">
        <f>IF(P$3=0,"",SUMIFS(INDEX(Inputs!$D$4:$AG$150,0,MATCH(P$2,Inputs!$D$2:$AG$2,0)),Inputs!$B$4:$B$150,$B9)/1000)</f>
        <v>829</v>
      </c>
      <c r="Q9" s="11">
        <f>IF(Q$3=0,"",SUMIFS(INDEX(Inputs!$D$4:$AG$150,0,MATCH(Q$2,Inputs!$D$2:$AG$2,0)),Inputs!$B$4:$B$150,$B9)/1000)</f>
        <v>3017</v>
      </c>
      <c r="R9" s="12">
        <f>IF(COUNT(N9:Q9)=4,SUM(N9:Q9),"")</f>
        <v>5078</v>
      </c>
      <c r="S9" s="11">
        <f>IF(S$3=0,"",SUMIFS(INDEX(Inputs!$D$4:$AG$150,0,MATCH(S$2,Inputs!$D$2:$AG$2,0)),Inputs!$B$4:$B$150,$B9)/1000)</f>
        <v>3953</v>
      </c>
      <c r="T9" s="11">
        <f>IF(T$3=0,"",SUMIFS(INDEX(Inputs!$D$4:$AG$150,0,MATCH(T$2,Inputs!$D$2:$AG$2,0)),Inputs!$B$4:$B$150,$B9)/1000)</f>
        <v>3195</v>
      </c>
      <c r="U9" s="11">
        <f>IF(U$3=0,"",SUMIFS(INDEX(Inputs!$D$4:$AG$150,0,MATCH(U$2,Inputs!$D$2:$AG$2,0)),Inputs!$B$4:$B$150,$B9)/1000)</f>
        <v>2389</v>
      </c>
      <c r="V9" s="11">
        <f>IF(V$3=0,"",SUMIFS(INDEX(Inputs!$D$4:$AG$150,0,MATCH(V$2,Inputs!$D$2:$AG$2,0)),Inputs!$B$4:$B$150,$B9)/1000)</f>
        <v>1724</v>
      </c>
      <c r="W9" s="12">
        <f>IF(COUNT(S9:V9)=4,SUM(S9:V9),"")</f>
        <v>11261</v>
      </c>
      <c r="X9" s="11">
        <f>IF(X$3=0,"",SUMIFS(INDEX(Inputs!$D$4:$AG$150,0,MATCH(X$2,Inputs!$D$2:$AG$2,0)),Inputs!$B$4:$B$150,$B9)/1000)</f>
        <v>3121</v>
      </c>
      <c r="Y9" s="11">
        <f>IF(Y$3=0,"",SUMIFS(INDEX(Inputs!$D$4:$AG$150,0,MATCH(Y$2,Inputs!$D$2:$AG$2,0)),Inputs!$B$4:$B$150,$B9)/1000)</f>
        <v>2394</v>
      </c>
      <c r="Z9" s="11">
        <f>IF(Z$3=0,"",SUMIFS(INDEX(Inputs!$D$4:$AG$150,0,MATCH(Z$2,Inputs!$D$2:$AG$2,0)),Inputs!$B$4:$B$150,$B9)/1000)</f>
        <v>2187</v>
      </c>
      <c r="AA9" s="11">
        <f>IF(AA$3=0,"",SUMIFS(INDEX(Inputs!$D$4:$AG$150,0,MATCH(AA$2,Inputs!$D$2:$AG$2,0)),Inputs!$B$4:$B$150,$B9)/1000)</f>
        <v>1555</v>
      </c>
      <c r="AB9" s="12">
        <f>IF(COUNT(X9:AA9)=4,SUM(X9:AA9),"")</f>
        <v>9257</v>
      </c>
      <c r="AC9" s="11">
        <f>IF(AC$3=0,"",SUMIFS(INDEX(Inputs!$D$4:$AG$150,0,MATCH(AC$2,Inputs!$D$2:$AG$2,0)),Inputs!$B$4:$B$150,$B9)/1000)</f>
        <v>3005</v>
      </c>
      <c r="AD9" s="11">
        <f>IF(AD$3=0,"",SUMIFS(INDEX(Inputs!$D$4:$AG$150,0,MATCH(AD$2,Inputs!$D$2:$AG$2,0)),Inputs!$B$4:$B$150,$B9)/1000)</f>
        <v>2592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-530</v>
      </c>
      <c r="E10" s="11">
        <f>IF(E$3=0,"",SUMIFS(INDEX(Inputs!$D$4:$AG$150,0,MATCH(E$2,Inputs!$D$2:$AG$2,0)),Inputs!$B$4:$B$150,$B10)/1000)</f>
        <v>-491</v>
      </c>
      <c r="F10" s="11">
        <f>IF(F$3=0,"",SUMIFS(INDEX(Inputs!$D$4:$AG$150,0,MATCH(F$2,Inputs!$D$2:$AG$2,0)),Inputs!$B$4:$B$150,$B10)/1000)</f>
        <v>-330</v>
      </c>
      <c r="G10" s="11">
        <f>IF(G$3=0,"",SUMIFS(INDEX(Inputs!$D$4:$AG$150,0,MATCH(G$2,Inputs!$D$2:$AG$2,0)),Inputs!$B$4:$B$150,$B10)/1000)</f>
        <v>-250</v>
      </c>
      <c r="H10" s="12">
        <f>IF(COUNT(D10:G10)=4,SUM(D10:G10),"")</f>
        <v>-1601</v>
      </c>
      <c r="I10" s="11">
        <f>IF(I$3=0,"",SUMIFS(INDEX(Inputs!$D$4:$AG$150,0,MATCH(I$2,Inputs!$D$2:$AG$2,0)),Inputs!$B$4:$B$150,$B10)/1000)</f>
        <v>-461</v>
      </c>
      <c r="J10" s="11">
        <f>IF(J$3=0,"",SUMIFS(INDEX(Inputs!$D$4:$AG$150,0,MATCH(J$2,Inputs!$D$2:$AG$2,0)),Inputs!$B$4:$B$150,$B10)/1000)</f>
        <v>-654</v>
      </c>
      <c r="K10" s="11">
        <f>IF(K$3=0,"",SUMIFS(INDEX(Inputs!$D$4:$AG$150,0,MATCH(K$2,Inputs!$D$2:$AG$2,0)),Inputs!$B$4:$B$150,$B10)/1000)</f>
        <v>-643</v>
      </c>
      <c r="L10" s="11">
        <f>IF(L$3=0,"",SUMIFS(INDEX(Inputs!$D$4:$AG$150,0,MATCH(L$2,Inputs!$D$2:$AG$2,0)),Inputs!$B$4:$B$150,$B10)/1000)</f>
        <v>-537</v>
      </c>
      <c r="M10" s="12">
        <f>IF(COUNT(I10:L10)=4,SUM(I10:L10),"")</f>
        <v>-2295</v>
      </c>
      <c r="N10" s="11">
        <f>IF(N$3=0,"",SUMIFS(INDEX(Inputs!$D$4:$AG$150,0,MATCH(N$2,Inputs!$D$2:$AG$2,0)),Inputs!$B$4:$B$150,$B10)/1000)</f>
        <v>-991</v>
      </c>
      <c r="O10" s="11">
        <f>IF(O$3=0,"",SUMIFS(INDEX(Inputs!$D$4:$AG$150,0,MATCH(O$2,Inputs!$D$2:$AG$2,0)),Inputs!$B$4:$B$150,$B10)/1000)</f>
        <v>-636</v>
      </c>
      <c r="P10" s="11">
        <f>IF(P$3=0,"",SUMIFS(INDEX(Inputs!$D$4:$AG$150,0,MATCH(P$2,Inputs!$D$2:$AG$2,0)),Inputs!$B$4:$B$150,$B10)/1000)</f>
        <v>-707</v>
      </c>
      <c r="Q10" s="11">
        <f>IF(Q$3=0,"",SUMIFS(INDEX(Inputs!$D$4:$AG$150,0,MATCH(Q$2,Inputs!$D$2:$AG$2,0)),Inputs!$B$4:$B$150,$B10)/1000)</f>
        <v>-469</v>
      </c>
      <c r="R10" s="12">
        <f>IF(COUNT(N10:Q10)=4,SUM(N10:Q10),"")</f>
        <v>-2803</v>
      </c>
      <c r="S10" s="11">
        <f>IF(S$3=0,"",SUMIFS(INDEX(Inputs!$D$4:$AG$150,0,MATCH(S$2,Inputs!$D$2:$AG$2,0)),Inputs!$B$4:$B$150,$B10)/1000)</f>
        <v>-751</v>
      </c>
      <c r="T10" s="11">
        <f>IF(T$3=0,"",SUMIFS(INDEX(Inputs!$D$4:$AG$150,0,MATCH(T$2,Inputs!$D$2:$AG$2,0)),Inputs!$B$4:$B$150,$B10)/1000)</f>
        <v>-625</v>
      </c>
      <c r="U10" s="11">
        <f>IF(U$3=0,"",SUMIFS(INDEX(Inputs!$D$4:$AG$150,0,MATCH(U$2,Inputs!$D$2:$AG$2,0)),Inputs!$B$4:$B$150,$B10)/1000)</f>
        <v>-249</v>
      </c>
      <c r="V10" s="11">
        <f>IF(V$3=0,"",SUMIFS(INDEX(Inputs!$D$4:$AG$150,0,MATCH(V$2,Inputs!$D$2:$AG$2,0)),Inputs!$B$4:$B$150,$B10)/1000)</f>
        <v>-27</v>
      </c>
      <c r="W10" s="12">
        <f>IF(COUNT(S10:V10)=4,SUM(S10:V10),"")</f>
        <v>-1652</v>
      </c>
      <c r="X10" s="11">
        <f>IF(X$3=0,"",SUMIFS(INDEX(Inputs!$D$4:$AG$150,0,MATCH(X$2,Inputs!$D$2:$AG$2,0)),Inputs!$B$4:$B$150,$B10)/1000)</f>
        <v>-539</v>
      </c>
      <c r="Y10" s="11">
        <f>IF(Y$3=0,"",SUMIFS(INDEX(Inputs!$D$4:$AG$150,0,MATCH(Y$2,Inputs!$D$2:$AG$2,0)),Inputs!$B$4:$B$150,$B10)/1000)</f>
        <v>-339</v>
      </c>
      <c r="Z10" s="11">
        <f>IF(Z$3=0,"",SUMIFS(INDEX(Inputs!$D$4:$AG$150,0,MATCH(Z$2,Inputs!$D$2:$AG$2,0)),Inputs!$B$4:$B$150,$B10)/1000)</f>
        <v>-354</v>
      </c>
      <c r="AA10" s="11">
        <f>IF(AA$3=0,"",SUMIFS(INDEX(Inputs!$D$4:$AG$150,0,MATCH(AA$2,Inputs!$D$2:$AG$2,0)),Inputs!$B$4:$B$150,$B10)/1000)</f>
        <v>-196</v>
      </c>
      <c r="AB10" s="12">
        <f>IF(COUNT(X10:AA10)=4,SUM(X10:AA10),"")</f>
        <v>-1428</v>
      </c>
      <c r="AC10" s="11">
        <f>IF(AC$3=0,"",SUMIFS(INDEX(Inputs!$D$4:$AG$150,0,MATCH(AC$2,Inputs!$D$2:$AG$2,0)),Inputs!$B$4:$B$150,$B10)/1000)</f>
        <v>-518</v>
      </c>
      <c r="AD10" s="11">
        <f>IF(AD$3=0,"",SUMIFS(INDEX(Inputs!$D$4:$AG$150,0,MATCH(AD$2,Inputs!$D$2:$AG$2,0)),Inputs!$B$4:$B$150,$B10)/1000)</f>
        <v>-529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9</v>
      </c>
      <c r="E11" s="11">
        <f>IF(E$3=0,"",SUMIFS(INDEX(Inputs!$D$4:$AG$150,0,MATCH(E$2,Inputs!$D$2:$AG$2,0)),Inputs!$B$4:$B$150,$B11)/1000)</f>
        <v>9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3</v>
      </c>
      <c r="H11" s="12">
        <f>IF(COUNT(D11:G11)=4,SUM(D11:G11),"")</f>
        <v>21</v>
      </c>
      <c r="I11" s="11">
        <f>IF(I$3=0,"",SUMIFS(INDEX(Inputs!$D$4:$AG$150,0,MATCH(I$2,Inputs!$D$2:$AG$2,0)),Inputs!$B$4:$B$150,$B11)/1000)</f>
        <v>6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2</v>
      </c>
      <c r="L11" s="11">
        <f>IF(L$3=0,"",SUMIFS(INDEX(Inputs!$D$4:$AG$150,0,MATCH(L$2,Inputs!$D$2:$AG$2,0)),Inputs!$B$4:$B$150,$B11)/1000)</f>
        <v>1</v>
      </c>
      <c r="M11" s="12">
        <f>IF(COUNT(I11:L11)=4,SUM(I11:L11),"")</f>
        <v>9</v>
      </c>
      <c r="N11" s="11">
        <f>IF(N$3=0,"",SUMIFS(INDEX(Inputs!$D$4:$AG$150,0,MATCH(N$2,Inputs!$D$2:$AG$2,0)),Inputs!$B$4:$B$150,$B11)/1000)</f>
        <v>2</v>
      </c>
      <c r="O11" s="11">
        <f>IF(O$3=0,"",SUMIFS(INDEX(Inputs!$D$4:$AG$150,0,MATCH(O$2,Inputs!$D$2:$AG$2,0)),Inputs!$B$4:$B$150,$B11)/1000)</f>
        <v>2</v>
      </c>
      <c r="P11" s="11">
        <f>IF(P$3=0,"",SUMIFS(INDEX(Inputs!$D$4:$AG$150,0,MATCH(P$2,Inputs!$D$2:$AG$2,0)),Inputs!$B$4:$B$150,$B11)/1000)</f>
        <v>2</v>
      </c>
      <c r="Q11" s="11">
        <f>IF(Q$3=0,"",SUMIFS(INDEX(Inputs!$D$4:$AG$150,0,MATCH(Q$2,Inputs!$D$2:$AG$2,0)),Inputs!$B$4:$B$150,$B11)/1000)</f>
        <v>2</v>
      </c>
      <c r="R11" s="12">
        <f>IF(COUNT(N11:Q11)=4,SUM(N11:Q11),"")</f>
        <v>8</v>
      </c>
      <c r="S11" s="11">
        <f>IF(S$3=0,"",SUMIFS(INDEX(Inputs!$D$4:$AG$150,0,MATCH(S$2,Inputs!$D$2:$AG$2,0)),Inputs!$B$4:$B$150,$B11)/1000)</f>
        <v>2</v>
      </c>
      <c r="T11" s="11">
        <f>IF(T$3=0,"",SUMIFS(INDEX(Inputs!$D$4:$AG$150,0,MATCH(T$2,Inputs!$D$2:$AG$2,0)),Inputs!$B$4:$B$150,$B11)/1000)</f>
        <v>1</v>
      </c>
      <c r="U11" s="11">
        <f>IF(U$3=0,"",SUMIFS(INDEX(Inputs!$D$4:$AG$150,0,MATCH(U$2,Inputs!$D$2:$AG$2,0)),Inputs!$B$4:$B$150,$B11)/1000)</f>
        <v>-28</v>
      </c>
      <c r="V11" s="11">
        <f>IF(V$3=0,"",SUMIFS(INDEX(Inputs!$D$4:$AG$150,0,MATCH(V$2,Inputs!$D$2:$AG$2,0)),Inputs!$B$4:$B$150,$B11)/1000)</f>
        <v>-1</v>
      </c>
      <c r="W11" s="12">
        <f>IF(COUNT(S11:V11)=4,SUM(S11:V11),"")</f>
        <v>-26</v>
      </c>
      <c r="X11" s="11">
        <f>IF(X$3=0,"",SUMIFS(INDEX(Inputs!$D$4:$AG$150,0,MATCH(X$2,Inputs!$D$2:$AG$2,0)),Inputs!$B$4:$B$150,$B11)/1000)</f>
        <v>3</v>
      </c>
      <c r="Y11" s="11">
        <f>IF(Y$3=0,"",SUMIFS(INDEX(Inputs!$D$4:$AG$150,0,MATCH(Y$2,Inputs!$D$2:$AG$2,0)),Inputs!$B$4:$B$150,$B11)/1000)</f>
        <v>10</v>
      </c>
      <c r="Z11" s="11">
        <f>IF(Z$3=0,"",SUMIFS(INDEX(Inputs!$D$4:$AG$150,0,MATCH(Z$2,Inputs!$D$2:$AG$2,0)),Inputs!$B$4:$B$150,$B11)/1000)</f>
        <v>-11</v>
      </c>
      <c r="AA11" s="11">
        <f>IF(AA$3=0,"",SUMIFS(INDEX(Inputs!$D$4:$AG$150,0,MATCH(AA$2,Inputs!$D$2:$AG$2,0)),Inputs!$B$4:$B$150,$B11)/1000)</f>
        <v>15</v>
      </c>
      <c r="AB11" s="12">
        <f>IF(COUNT(X11:AA11)=4,SUM(X11:AA11),"")</f>
        <v>17</v>
      </c>
      <c r="AC11" s="11">
        <f>IF(AC$3=0,"",SUMIFS(INDEX(Inputs!$D$4:$AG$150,0,MATCH(AC$2,Inputs!$D$2:$AG$2,0)),Inputs!$B$4:$B$150,$B11)/1000)</f>
        <v>-5</v>
      </c>
      <c r="AD11" s="11">
        <f>IF(AD$3=0,"",SUMIFS(INDEX(Inputs!$D$4:$AG$150,0,MATCH(AD$2,Inputs!$D$2:$AG$2,0)),Inputs!$B$4:$B$150,$B11)/1000)</f>
        <v>24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-1</v>
      </c>
      <c r="E12" s="11">
        <f>IF(E$3=0,"",SUMIFS(INDEX(Inputs!$D$4:$AG$150,0,MATCH(E$2,Inputs!$D$2:$AG$2,0)),Inputs!$B$4:$B$150,$B12)/1000)</f>
        <v>-1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-1</v>
      </c>
      <c r="H12" s="12">
        <f>IF(COUNT(D12:G12)=4,SUM(D12:G12),"")</f>
        <v>-3</v>
      </c>
      <c r="I12" s="11">
        <f>IF(I$3=0,"",SUMIFS(INDEX(Inputs!$D$4:$AG$150,0,MATCH(I$2,Inputs!$D$2:$AG$2,0)),Inputs!$B$4:$B$150,$B12)/1000)</f>
        <v>1</v>
      </c>
      <c r="J12" s="11">
        <f>IF(J$3=0,"",SUMIFS(INDEX(Inputs!$D$4:$AG$150,0,MATCH(J$2,Inputs!$D$2:$AG$2,0)),Inputs!$B$4:$B$150,$B12)/1000)</f>
        <v>-1</v>
      </c>
      <c r="K12" s="11">
        <f>IF(K$3=0,"",SUMIFS(INDEX(Inputs!$D$4:$AG$150,0,MATCH(K$2,Inputs!$D$2:$AG$2,0)),Inputs!$B$4:$B$150,$B12)/1000)</f>
        <v>2</v>
      </c>
      <c r="L12" s="11">
        <f>IF(L$3=0,"",SUMIFS(INDEX(Inputs!$D$4:$AG$150,0,MATCH(L$2,Inputs!$D$2:$AG$2,0)),Inputs!$B$4:$B$150,$B12)/1000)</f>
        <v>2</v>
      </c>
      <c r="M12" s="12">
        <f>IF(COUNT(I12:L12)=4,SUM(I12:L12),"")</f>
        <v>4</v>
      </c>
      <c r="N12" s="11">
        <f>IF(N$3=0,"",SUMIFS(INDEX(Inputs!$D$4:$AG$150,0,MATCH(N$2,Inputs!$D$2:$AG$2,0)),Inputs!$B$4:$B$150,$B12)/1000)</f>
        <v>1</v>
      </c>
      <c r="O12" s="11">
        <f>IF(O$3=0,"",SUMIFS(INDEX(Inputs!$D$4:$AG$150,0,MATCH(O$2,Inputs!$D$2:$AG$2,0)),Inputs!$B$4:$B$150,$B12)/1000)</f>
        <v>6</v>
      </c>
      <c r="P12" s="11">
        <f>IF(P$3=0,"",SUMIFS(INDEX(Inputs!$D$4:$AG$150,0,MATCH(P$2,Inputs!$D$2:$AG$2,0)),Inputs!$B$4:$B$150,$B12)/1000)</f>
        <v>1</v>
      </c>
      <c r="Q12" s="11">
        <f>IF(Q$3=0,"",SUMIFS(INDEX(Inputs!$D$4:$AG$150,0,MATCH(Q$2,Inputs!$D$2:$AG$2,0)),Inputs!$B$4:$B$150,$B12)/1000)</f>
        <v>3</v>
      </c>
      <c r="R12" s="12">
        <f>IF(COUNT(N12:Q12)=4,SUM(N12:Q12),"")</f>
        <v>11</v>
      </c>
      <c r="S12" s="11">
        <f>IF(S$3=0,"",SUMIFS(INDEX(Inputs!$D$4:$AG$150,0,MATCH(S$2,Inputs!$D$2:$AG$2,0)),Inputs!$B$4:$B$150,$B12)/1000)</f>
        <v>2</v>
      </c>
      <c r="T12" s="11">
        <f>IF(T$3=0,"",SUMIFS(INDEX(Inputs!$D$4:$AG$150,0,MATCH(T$2,Inputs!$D$2:$AG$2,0)),Inputs!$B$4:$B$150,$B12)/1000)</f>
        <v>3</v>
      </c>
      <c r="U12" s="11">
        <f>IF(U$3=0,"",SUMIFS(INDEX(Inputs!$D$4:$AG$150,0,MATCH(U$2,Inputs!$D$2:$AG$2,0)),Inputs!$B$4:$B$150,$B12)/1000)</f>
        <v>3</v>
      </c>
      <c r="V12" s="11">
        <f>IF(V$3=0,"",SUMIFS(INDEX(Inputs!$D$4:$AG$150,0,MATCH(V$2,Inputs!$D$2:$AG$2,0)),Inputs!$B$4:$B$150,$B12)/1000)</f>
        <v>2</v>
      </c>
      <c r="W12" s="12">
        <f>IF(COUNT(S12:V12)=4,SUM(S12:V12),"")</f>
        <v>10</v>
      </c>
      <c r="X12" s="11">
        <f>IF(X$3=0,"",SUMIFS(INDEX(Inputs!$D$4:$AG$150,0,MATCH(X$2,Inputs!$D$2:$AG$2,0)),Inputs!$B$4:$B$150,$B12)/1000)</f>
        <v>3</v>
      </c>
      <c r="Y12" s="11">
        <f>IF(Y$3=0,"",SUMIFS(INDEX(Inputs!$D$4:$AG$150,0,MATCH(Y$2,Inputs!$D$2:$AG$2,0)),Inputs!$B$4:$B$150,$B12)/1000)</f>
        <v>18</v>
      </c>
      <c r="Z12" s="11">
        <f>IF(Z$3=0,"",SUMIFS(INDEX(Inputs!$D$4:$AG$150,0,MATCH(Z$2,Inputs!$D$2:$AG$2,0)),Inputs!$B$4:$B$150,$B12)/1000)</f>
        <v>5</v>
      </c>
      <c r="AA12" s="11">
        <f>IF(AA$3=0,"",SUMIFS(INDEX(Inputs!$D$4:$AG$150,0,MATCH(AA$2,Inputs!$D$2:$AG$2,0)),Inputs!$B$4:$B$150,$B12)/1000)</f>
        <v>1</v>
      </c>
      <c r="AB12" s="12">
        <f>IF(COUNT(X12:AA12)=4,SUM(X12:AA12),"")</f>
        <v>27</v>
      </c>
      <c r="AC12" s="11">
        <f>IF(AC$3=0,"",SUMIFS(INDEX(Inputs!$D$4:$AG$150,0,MATCH(AC$2,Inputs!$D$2:$AG$2,0)),Inputs!$B$4:$B$150,$B12)/1000)</f>
        <v>3</v>
      </c>
      <c r="AD12" s="11">
        <f>IF(AD$3=0,"",SUMIFS(INDEX(Inputs!$D$4:$AG$150,0,MATCH(AD$2,Inputs!$D$2:$AG$2,0)),Inputs!$B$4:$B$150,$B12)/1000)</f>
        <v>2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-238</v>
      </c>
      <c r="E13" s="11">
        <f>IF(E$3=0,"",SUMIFS(INDEX(Inputs!$D$4:$AG$150,0,MATCH(E$2,Inputs!$D$2:$AG$2,0)),Inputs!$B$4:$B$150,$B13)/1000)</f>
        <v>-281</v>
      </c>
      <c r="F13" s="11">
        <f>IF(F$3=0,"",SUMIFS(INDEX(Inputs!$D$4:$AG$150,0,MATCH(F$2,Inputs!$D$2:$AG$2,0)),Inputs!$B$4:$B$150,$B13)/1000)</f>
        <v>-279</v>
      </c>
      <c r="G13" s="11">
        <f>IF(G$3=0,"",SUMIFS(INDEX(Inputs!$D$4:$AG$150,0,MATCH(G$2,Inputs!$D$2:$AG$2,0)),Inputs!$B$4:$B$150,$B13)/1000)</f>
        <v>-327</v>
      </c>
      <c r="H13" s="12">
        <f>IF(COUNT(D13:G13)=4,SUM(D13:G13),"")</f>
        <v>-1125</v>
      </c>
      <c r="I13" s="11">
        <f>IF(I$3=0,"",SUMIFS(INDEX(Inputs!$D$4:$AG$150,0,MATCH(I$2,Inputs!$D$2:$AG$2,0)),Inputs!$B$4:$B$150,$B13)/1000)</f>
        <v>-322</v>
      </c>
      <c r="J13" s="11">
        <f>IF(J$3=0,"",SUMIFS(INDEX(Inputs!$D$4:$AG$150,0,MATCH(J$2,Inputs!$D$2:$AG$2,0)),Inputs!$B$4:$B$150,$B13)/1000)</f>
        <v>-322</v>
      </c>
      <c r="K13" s="11">
        <f>IF(K$3=0,"",SUMIFS(INDEX(Inputs!$D$4:$AG$150,0,MATCH(K$2,Inputs!$D$2:$AG$2,0)),Inputs!$B$4:$B$150,$B13)/1000)</f>
        <v>-342</v>
      </c>
      <c r="L13" s="11">
        <f>IF(L$3=0,"",SUMIFS(INDEX(Inputs!$D$4:$AG$150,0,MATCH(L$2,Inputs!$D$2:$AG$2,0)),Inputs!$B$4:$B$150,$B13)/1000)</f>
        <v>-341</v>
      </c>
      <c r="M13" s="12">
        <f>IF(COUNT(I13:L13)=4,SUM(I13:L13),"")</f>
        <v>-1327</v>
      </c>
      <c r="N13" s="11">
        <f>IF(N$3=0,"",SUMIFS(INDEX(Inputs!$D$4:$AG$150,0,MATCH(N$2,Inputs!$D$2:$AG$2,0)),Inputs!$B$4:$B$150,$B13)/1000)</f>
        <v>-356</v>
      </c>
      <c r="O13" s="11">
        <f>IF(O$3=0,"",SUMIFS(INDEX(Inputs!$D$4:$AG$150,0,MATCH(O$2,Inputs!$D$2:$AG$2,0)),Inputs!$B$4:$B$150,$B13)/1000)</f>
        <v>-368</v>
      </c>
      <c r="P13" s="11">
        <f>IF(P$3=0,"",SUMIFS(INDEX(Inputs!$D$4:$AG$150,0,MATCH(P$2,Inputs!$D$2:$AG$2,0)),Inputs!$B$4:$B$150,$B13)/1000)</f>
        <v>-362</v>
      </c>
      <c r="Q13" s="11">
        <f>IF(Q$3=0,"",SUMIFS(INDEX(Inputs!$D$4:$AG$150,0,MATCH(Q$2,Inputs!$D$2:$AG$2,0)),Inputs!$B$4:$B$150,$B13)/1000)</f>
        <v>-386</v>
      </c>
      <c r="R13" s="12">
        <f>IF(COUNT(N13:Q13)=4,SUM(N13:Q13),"")</f>
        <v>-1472</v>
      </c>
      <c r="S13" s="11">
        <f>IF(S$3=0,"",SUMIFS(INDEX(Inputs!$D$4:$AG$150,0,MATCH(S$2,Inputs!$D$2:$AG$2,0)),Inputs!$B$4:$B$150,$B13)/1000)</f>
        <v>-410</v>
      </c>
      <c r="T13" s="11">
        <f>IF(T$3=0,"",SUMIFS(INDEX(Inputs!$D$4:$AG$150,0,MATCH(T$2,Inputs!$D$2:$AG$2,0)),Inputs!$B$4:$B$150,$B13)/1000)</f>
        <v>-406</v>
      </c>
      <c r="U13" s="11">
        <f>IF(U$3=0,"",SUMIFS(INDEX(Inputs!$D$4:$AG$150,0,MATCH(U$2,Inputs!$D$2:$AG$2,0)),Inputs!$B$4:$B$150,$B13)/1000)</f>
        <v>-403</v>
      </c>
      <c r="V13" s="11">
        <f>IF(V$3=0,"",SUMIFS(INDEX(Inputs!$D$4:$AG$150,0,MATCH(V$2,Inputs!$D$2:$AG$2,0)),Inputs!$B$4:$B$150,$B13)/1000)</f>
        <v>-403</v>
      </c>
      <c r="W13" s="12">
        <f>IF(COUNT(S13:V13)=4,SUM(S13:V13),"")</f>
        <v>-1622</v>
      </c>
      <c r="X13" s="11">
        <f>IF(X$3=0,"",SUMIFS(INDEX(Inputs!$D$4:$AG$150,0,MATCH(X$2,Inputs!$D$2:$AG$2,0)),Inputs!$B$4:$B$150,$B13)/1000)</f>
        <v>-440</v>
      </c>
      <c r="Y13" s="11">
        <f>IF(Y$3=0,"",SUMIFS(INDEX(Inputs!$D$4:$AG$150,0,MATCH(Y$2,Inputs!$D$2:$AG$2,0)),Inputs!$B$4:$B$150,$B13)/1000)</f>
        <v>-439</v>
      </c>
      <c r="Z13" s="11">
        <f>IF(Z$3=0,"",SUMIFS(INDEX(Inputs!$D$4:$AG$150,0,MATCH(Z$2,Inputs!$D$2:$AG$2,0)),Inputs!$B$4:$B$150,$B13)/1000)</f>
        <v>-438</v>
      </c>
      <c r="AA13" s="11">
        <f>IF(AA$3=0,"",SUMIFS(INDEX(Inputs!$D$4:$AG$150,0,MATCH(AA$2,Inputs!$D$2:$AG$2,0)),Inputs!$B$4:$B$150,$B13)/1000)</f>
        <v>-441</v>
      </c>
      <c r="AB13" s="12">
        <f>IF(COUNT(X13:AA13)=4,SUM(X13:AA13),"")</f>
        <v>-1758</v>
      </c>
      <c r="AC13" s="11">
        <f>IF(AC$3=0,"",SUMIFS(INDEX(Inputs!$D$4:$AG$150,0,MATCH(AC$2,Inputs!$D$2:$AG$2,0)),Inputs!$B$4:$B$150,$B13)/1000)</f>
        <v>-437</v>
      </c>
      <c r="AD13" s="11">
        <f>IF(AD$3=0,"",SUMIFS(INDEX(Inputs!$D$4:$AG$150,0,MATCH(AD$2,Inputs!$D$2:$AG$2,0)),Inputs!$B$4:$B$150,$B13)/1000)</f>
        <v>-438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7182</v>
      </c>
      <c r="E15" s="11">
        <f>IF(E$3=0,"",SUMIFS(INDEX(Inputs!$D$4:$AG$150,0,MATCH(E$2,Inputs!$D$2:$AG$2,0)),Inputs!$B$4:$B$150,$B15)/1000)</f>
        <v>7519</v>
      </c>
      <c r="F15" s="11">
        <f>IF(F$3=0,"",SUMIFS(INDEX(Inputs!$D$4:$AG$150,0,MATCH(F$2,Inputs!$D$2:$AG$2,0)),Inputs!$B$4:$B$150,$B15)/1000)</f>
        <v>8017</v>
      </c>
      <c r="G15" s="11">
        <f>IF(G$3=0,"",SUMIFS(INDEX(Inputs!$D$4:$AG$150,0,MATCH(G$2,Inputs!$D$2:$AG$2,0)),Inputs!$B$4:$B$150,$B15)/1000)</f>
        <v>4472</v>
      </c>
      <c r="H15" s="12">
        <f>IF(G15="","",G15)</f>
        <v>4472</v>
      </c>
      <c r="I15" s="11">
        <f>IF(I$3=0,"",SUMIFS(INDEX(Inputs!$D$4:$AG$150,0,MATCH(I$2,Inputs!$D$2:$AG$2,0)),Inputs!$B$4:$B$150,$B15)/1000)</f>
        <v>3878</v>
      </c>
      <c r="J15" s="11">
        <f>IF(J$3=0,"",SUMIFS(INDEX(Inputs!$D$4:$AG$150,0,MATCH(J$2,Inputs!$D$2:$AG$2,0)),Inputs!$B$4:$B$150,$B15)/1000)</f>
        <v>4359</v>
      </c>
      <c r="K15" s="11">
        <f>IF(K$3=0,"",SUMIFS(INDEX(Inputs!$D$4:$AG$150,0,MATCH(K$2,Inputs!$D$2:$AG$2,0)),Inputs!$B$4:$B$150,$B15)/1000)</f>
        <v>4774</v>
      </c>
      <c r="L15" s="11">
        <f>IF(L$3=0,"",SUMIFS(INDEX(Inputs!$D$4:$AG$150,0,MATCH(L$2,Inputs!$D$2:$AG$2,0)),Inputs!$B$4:$B$150,$B15)/1000)</f>
        <v>3976</v>
      </c>
      <c r="M15" s="12">
        <f>IF(L15="","",L15)</f>
        <v>3976</v>
      </c>
      <c r="N15" s="11">
        <f>IF(N$3=0,"",SUMIFS(INDEX(Inputs!$D$4:$AG$150,0,MATCH(N$2,Inputs!$D$2:$AG$2,0)),Inputs!$B$4:$B$150,$B15)/1000)</f>
        <v>5267</v>
      </c>
      <c r="O15" s="11">
        <f>IF(O$3=0,"",SUMIFS(INDEX(Inputs!$D$4:$AG$150,0,MATCH(O$2,Inputs!$D$2:$AG$2,0)),Inputs!$B$4:$B$150,$B15)/1000)</f>
        <v>6576</v>
      </c>
      <c r="P15" s="11">
        <f>IF(P$3=0,"",SUMIFS(INDEX(Inputs!$D$4:$AG$150,0,MATCH(P$2,Inputs!$D$2:$AG$2,0)),Inputs!$B$4:$B$150,$B15)/1000)</f>
        <v>7458</v>
      </c>
      <c r="Q15" s="11">
        <f>IF(Q$3=0,"",SUMIFS(INDEX(Inputs!$D$4:$AG$150,0,MATCH(Q$2,Inputs!$D$2:$AG$2,0)),Inputs!$B$4:$B$150,$B15)/1000)</f>
        <v>5137</v>
      </c>
      <c r="R15" s="12">
        <f>IF(Q15="","",Q15)</f>
        <v>5137</v>
      </c>
      <c r="S15" s="11">
        <f>IF(S$3=0,"",SUMIFS(INDEX(Inputs!$D$4:$AG$150,0,MATCH(S$2,Inputs!$D$2:$AG$2,0)),Inputs!$B$4:$B$150,$B15)/1000)</f>
        <v>5553</v>
      </c>
      <c r="T15" s="11">
        <f>IF(T$3=0,"",SUMIFS(INDEX(Inputs!$D$4:$AG$150,0,MATCH(T$2,Inputs!$D$2:$AG$2,0)),Inputs!$B$4:$B$150,$B15)/1000)</f>
        <v>7004</v>
      </c>
      <c r="U15" s="11">
        <f>IF(U$3=0,"",SUMIFS(INDEX(Inputs!$D$4:$AG$150,0,MATCH(U$2,Inputs!$D$2:$AG$2,0)),Inputs!$B$4:$B$150,$B15)/1000)</f>
        <v>7324</v>
      </c>
      <c r="V15" s="11">
        <f>IF(V$3=0,"",SUMIFS(INDEX(Inputs!$D$4:$AG$150,0,MATCH(V$2,Inputs!$D$2:$AG$2,0)),Inputs!$B$4:$B$150,$B15)/1000)</f>
        <v>6601</v>
      </c>
      <c r="W15" s="12">
        <f>IF(V15="","",V15)</f>
        <v>6601</v>
      </c>
      <c r="X15" s="11">
        <f>IF(X$3=0,"",SUMIFS(INDEX(Inputs!$D$4:$AG$150,0,MATCH(X$2,Inputs!$D$2:$AG$2,0)),Inputs!$B$4:$B$150,$B15)/1000)</f>
        <v>7991</v>
      </c>
      <c r="Y15" s="11">
        <f>IF(Y$3=0,"",SUMIFS(INDEX(Inputs!$D$4:$AG$150,0,MATCH(Y$2,Inputs!$D$2:$AG$2,0)),Inputs!$B$4:$B$150,$B15)/1000)</f>
        <v>8580</v>
      </c>
      <c r="Z15" s="11">
        <f>IF(Z$3=0,"",SUMIFS(INDEX(Inputs!$D$4:$AG$150,0,MATCH(Z$2,Inputs!$D$2:$AG$2,0)),Inputs!$B$4:$B$150,$B15)/1000)</f>
        <v>8276</v>
      </c>
      <c r="AA15" s="11">
        <f>IF(AA$3=0,"",SUMIFS(INDEX(Inputs!$D$4:$AG$150,0,MATCH(AA$2,Inputs!$D$2:$AG$2,0)),Inputs!$B$4:$B$150,$B15)/1000)</f>
        <v>6798</v>
      </c>
      <c r="AB15" s="12">
        <f>IF(AA15="","",AA15)</f>
        <v>6798</v>
      </c>
      <c r="AC15" s="11">
        <f>IF(AC$3=0,"",SUMIFS(INDEX(Inputs!$D$4:$AG$150,0,MATCH(AC$2,Inputs!$D$2:$AG$2,0)),Inputs!$B$4:$B$150,$B15)/1000)</f>
        <v>7905</v>
      </c>
      <c r="AD15" s="11">
        <f>IF(AD$3=0,"",SUMIFS(INDEX(Inputs!$D$4:$AG$150,0,MATCH(AD$2,Inputs!$D$2:$AG$2,0)),Inputs!$B$4:$B$150,$B15)/1000)</f>
        <v>8928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0</v>
      </c>
      <c r="E16" s="11">
        <f>IF(E$3=0,"",SUMIFS(INDEX(Inputs!$D$4:$AG$150,0,MATCH(E$2,Inputs!$D$2:$AG$2,0)),Inputs!$B$4:$B$150,$B16)/1000)</f>
        <v>0</v>
      </c>
      <c r="F16" s="11">
        <f>IF(F$3=0,"",SUMIFS(INDEX(Inputs!$D$4:$AG$150,0,MATCH(F$2,Inputs!$D$2:$AG$2,0)),Inputs!$B$4:$B$150,$B16)/1000)</f>
        <v>0</v>
      </c>
      <c r="G16" s="11">
        <f>IF(G$3=0,"",SUMIFS(INDEX(Inputs!$D$4:$AG$150,0,MATCH(G$2,Inputs!$D$2:$AG$2,0)),Inputs!$B$4:$B$150,$B16)/1000)</f>
        <v>0</v>
      </c>
      <c r="H16" s="12">
        <f>IF(G16="","",G16)</f>
        <v>0</v>
      </c>
      <c r="I16" s="11">
        <f>IF(I$3=0,"",SUMIFS(INDEX(Inputs!$D$4:$AG$150,0,MATCH(I$2,Inputs!$D$2:$AG$2,0)),Inputs!$B$4:$B$150,$B16)/1000)</f>
        <v>0</v>
      </c>
      <c r="J16" s="11">
        <f>IF(J$3=0,"",SUMIFS(INDEX(Inputs!$D$4:$AG$150,0,MATCH(J$2,Inputs!$D$2:$AG$2,0)),Inputs!$B$4:$B$150,$B16)/1000)</f>
        <v>0</v>
      </c>
      <c r="K16" s="11">
        <f>IF(K$3=0,"",SUMIFS(INDEX(Inputs!$D$4:$AG$150,0,MATCH(K$2,Inputs!$D$2:$AG$2,0)),Inputs!$B$4:$B$150,$B16)/1000)</f>
        <v>0</v>
      </c>
      <c r="L16" s="11">
        <f>IF(L$3=0,"",SUMIFS(INDEX(Inputs!$D$4:$AG$150,0,MATCH(L$2,Inputs!$D$2:$AG$2,0)),Inputs!$B$4:$B$150,$B16)/1000)</f>
        <v>0</v>
      </c>
      <c r="M16" s="12">
        <f>IF(L16="","",L16)</f>
        <v>0</v>
      </c>
      <c r="N16" s="11">
        <f>IF(N$3=0,"",SUMIFS(INDEX(Inputs!$D$4:$AG$150,0,MATCH(N$2,Inputs!$D$2:$AG$2,0)),Inputs!$B$4:$B$150,$B16)/1000)</f>
        <v>0</v>
      </c>
      <c r="O16" s="11">
        <f>IF(O$3=0,"",SUMIFS(INDEX(Inputs!$D$4:$AG$150,0,MATCH(O$2,Inputs!$D$2:$AG$2,0)),Inputs!$B$4:$B$150,$B16)/1000)</f>
        <v>0</v>
      </c>
      <c r="P16" s="11">
        <f>IF(P$3=0,"",SUMIFS(INDEX(Inputs!$D$4:$AG$150,0,MATCH(P$2,Inputs!$D$2:$AG$2,0)),Inputs!$B$4:$B$150,$B16)/1000)</f>
        <v>0</v>
      </c>
      <c r="Q16" s="11">
        <f>IF(Q$3=0,"",SUMIFS(INDEX(Inputs!$D$4:$AG$150,0,MATCH(Q$2,Inputs!$D$2:$AG$2,0)),Inputs!$B$4:$B$150,$B16)/1000)</f>
        <v>0</v>
      </c>
      <c r="R16" s="12">
        <f>IF(Q16="","",Q16)</f>
        <v>0</v>
      </c>
      <c r="S16" s="11">
        <f>IF(S$3=0,"",SUMIFS(INDEX(Inputs!$D$4:$AG$150,0,MATCH(S$2,Inputs!$D$2:$AG$2,0)),Inputs!$B$4:$B$150,$B16)/1000)</f>
        <v>0</v>
      </c>
      <c r="T16" s="11">
        <f>IF(T$3=0,"",SUMIFS(INDEX(Inputs!$D$4:$AG$150,0,MATCH(T$2,Inputs!$D$2:$AG$2,0)),Inputs!$B$4:$B$150,$B16)/1000)</f>
        <v>0</v>
      </c>
      <c r="U16" s="11">
        <f>IF(U$3=0,"",SUMIFS(INDEX(Inputs!$D$4:$AG$150,0,MATCH(U$2,Inputs!$D$2:$AG$2,0)),Inputs!$B$4:$B$150,$B16)/1000)</f>
        <v>0</v>
      </c>
      <c r="V16" s="11">
        <f>IF(V$3=0,"",SUMIFS(INDEX(Inputs!$D$4:$AG$150,0,MATCH(V$2,Inputs!$D$2:$AG$2,0)),Inputs!$B$4:$B$150,$B16)/1000)</f>
        <v>0</v>
      </c>
      <c r="W16" s="12">
        <f>IF(V16="","",V16)</f>
        <v>0</v>
      </c>
      <c r="X16" s="11">
        <f>IF(X$3=0,"",SUMIFS(INDEX(Inputs!$D$4:$AG$150,0,MATCH(X$2,Inputs!$D$2:$AG$2,0)),Inputs!$B$4:$B$150,$B16)/1000)</f>
        <v>0</v>
      </c>
      <c r="Y16" s="11">
        <f>IF(Y$3=0,"",SUMIFS(INDEX(Inputs!$D$4:$AG$150,0,MATCH(Y$2,Inputs!$D$2:$AG$2,0)),Inputs!$B$4:$B$150,$B16)/1000)</f>
        <v>0</v>
      </c>
      <c r="Z16" s="11">
        <f>IF(Z$3=0,"",SUMIFS(INDEX(Inputs!$D$4:$AG$150,0,MATCH(Z$2,Inputs!$D$2:$AG$2,0)),Inputs!$B$4:$B$150,$B16)/1000)</f>
        <v>0</v>
      </c>
      <c r="AA16" s="11">
        <f>IF(AA$3=0,"",SUMIFS(INDEX(Inputs!$D$4:$AG$150,0,MATCH(AA$2,Inputs!$D$2:$AG$2,0)),Inputs!$B$4:$B$150,$B16)/1000)</f>
        <v>0</v>
      </c>
      <c r="AB16" s="12">
        <f>IF(AA16="","",AA16)</f>
        <v>0</v>
      </c>
      <c r="AC16" s="11">
        <f>IF(AC$3=0,"",SUMIFS(INDEX(Inputs!$D$4:$AG$150,0,MATCH(AC$2,Inputs!$D$2:$AG$2,0)),Inputs!$B$4:$B$150,$B16)/1000)</f>
        <v>0</v>
      </c>
      <c r="AD16" s="11">
        <f>IF(AD$3=0,"",SUMIFS(INDEX(Inputs!$D$4:$AG$150,0,MATCH(AD$2,Inputs!$D$2:$AG$2,0)),Inputs!$B$4:$B$150,$B16)/1000)</f>
        <v>0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6042</v>
      </c>
      <c r="E17" s="11">
        <f>IF(E$3=0,"",SUMIFS(INDEX(Inputs!$D$4:$AG$150,0,MATCH(E$2,Inputs!$D$2:$AG$2,0)),Inputs!$B$4:$B$150,$B17)/1000)</f>
        <v>6410</v>
      </c>
      <c r="F17" s="11">
        <f>IF(F$3=0,"",SUMIFS(INDEX(Inputs!$D$4:$AG$150,0,MATCH(F$2,Inputs!$D$2:$AG$2,0)),Inputs!$B$4:$B$150,$B17)/1000)</f>
        <v>6781</v>
      </c>
      <c r="G17" s="11">
        <f>IF(G$3=0,"",SUMIFS(INDEX(Inputs!$D$4:$AG$150,0,MATCH(G$2,Inputs!$D$2:$AG$2,0)),Inputs!$B$4:$B$150,$B17)/1000)</f>
        <v>7935</v>
      </c>
      <c r="H17" s="12">
        <f>IF(G17="","",G17)</f>
        <v>7935</v>
      </c>
      <c r="I17" s="11">
        <f>IF(I$3=0,"",SUMIFS(INDEX(Inputs!$D$4:$AG$150,0,MATCH(I$2,Inputs!$D$2:$AG$2,0)),Inputs!$B$4:$B$150,$B17)/1000)</f>
        <v>9030</v>
      </c>
      <c r="J17" s="11">
        <f>IF(J$3=0,"",SUMIFS(INDEX(Inputs!$D$4:$AG$150,0,MATCH(J$2,Inputs!$D$2:$AG$2,0)),Inputs!$B$4:$B$150,$B17)/1000)</f>
        <v>9121</v>
      </c>
      <c r="K17" s="11">
        <f>IF(K$3=0,"",SUMIFS(INDEX(Inputs!$D$4:$AG$150,0,MATCH(K$2,Inputs!$D$2:$AG$2,0)),Inputs!$B$4:$B$150,$B17)/1000)</f>
        <v>8495</v>
      </c>
      <c r="L17" s="11">
        <f>IF(L$3=0,"",SUMIFS(INDEX(Inputs!$D$4:$AG$150,0,MATCH(L$2,Inputs!$D$2:$AG$2,0)),Inputs!$B$4:$B$150,$B17)/1000)</f>
        <v>10056</v>
      </c>
      <c r="M17" s="12">
        <f>IF(L17="","",L17)</f>
        <v>10056</v>
      </c>
      <c r="N17" s="11">
        <f>IF(N$3=0,"",SUMIFS(INDEX(Inputs!$D$4:$AG$150,0,MATCH(N$2,Inputs!$D$2:$AG$2,0)),Inputs!$B$4:$B$150,$B17)/1000)</f>
        <v>9713</v>
      </c>
      <c r="O17" s="11">
        <f>IF(O$3=0,"",SUMIFS(INDEX(Inputs!$D$4:$AG$150,0,MATCH(O$2,Inputs!$D$2:$AG$2,0)),Inputs!$B$4:$B$150,$B17)/1000)</f>
        <v>9350</v>
      </c>
      <c r="P17" s="11">
        <f>IF(P$3=0,"",SUMIFS(INDEX(Inputs!$D$4:$AG$150,0,MATCH(P$2,Inputs!$D$2:$AG$2,0)),Inputs!$B$4:$B$150,$B17)/1000)</f>
        <v>8160</v>
      </c>
      <c r="Q17" s="11">
        <f>IF(Q$3=0,"",SUMIFS(INDEX(Inputs!$D$4:$AG$150,0,MATCH(Q$2,Inputs!$D$2:$AG$2,0)),Inputs!$B$4:$B$150,$B17)/1000)</f>
        <v>8937</v>
      </c>
      <c r="R17" s="12">
        <f>IF(Q17="","",Q17)</f>
        <v>8937</v>
      </c>
      <c r="S17" s="11">
        <f>IF(S$3=0,"",SUMIFS(INDEX(Inputs!$D$4:$AG$150,0,MATCH(S$2,Inputs!$D$2:$AG$2,0)),Inputs!$B$4:$B$150,$B17)/1000)</f>
        <v>8443</v>
      </c>
      <c r="T17" s="11">
        <f>IF(T$3=0,"",SUMIFS(INDEX(Inputs!$D$4:$AG$150,0,MATCH(T$2,Inputs!$D$2:$AG$2,0)),Inputs!$B$4:$B$150,$B17)/1000)</f>
        <v>7696</v>
      </c>
      <c r="U17" s="11">
        <f>IF(U$3=0,"",SUMIFS(INDEX(Inputs!$D$4:$AG$150,0,MATCH(U$2,Inputs!$D$2:$AG$2,0)),Inputs!$B$4:$B$150,$B17)/1000)</f>
        <v>7093</v>
      </c>
      <c r="V17" s="11">
        <f>IF(V$3=0,"",SUMIFS(INDEX(Inputs!$D$4:$AG$150,0,MATCH(V$2,Inputs!$D$2:$AG$2,0)),Inputs!$B$4:$B$150,$B17)/1000)</f>
        <v>7744</v>
      </c>
      <c r="W17" s="12">
        <f>IF(V17="","",V17)</f>
        <v>7744</v>
      </c>
      <c r="X17" s="11">
        <f>IF(X$3=0,"",SUMIFS(INDEX(Inputs!$D$4:$AG$150,0,MATCH(X$2,Inputs!$D$2:$AG$2,0)),Inputs!$B$4:$B$150,$B17)/1000)</f>
        <v>7870</v>
      </c>
      <c r="Y17" s="11">
        <f>IF(Y$3=0,"",SUMIFS(INDEX(Inputs!$D$4:$AG$150,0,MATCH(Y$2,Inputs!$D$2:$AG$2,0)),Inputs!$B$4:$B$150,$B17)/1000)</f>
        <v>7713</v>
      </c>
      <c r="Z17" s="11">
        <f>IF(Z$3=0,"",SUMIFS(INDEX(Inputs!$D$4:$AG$150,0,MATCH(Z$2,Inputs!$D$2:$AG$2,0)),Inputs!$B$4:$B$150,$B17)/1000)</f>
        <v>7406</v>
      </c>
      <c r="AA17" s="11">
        <f>IF(AA$3=0,"",SUMIFS(INDEX(Inputs!$D$4:$AG$150,0,MATCH(AA$2,Inputs!$D$2:$AG$2,0)),Inputs!$B$4:$B$150,$B17)/1000)</f>
        <v>8286</v>
      </c>
      <c r="AB17" s="12">
        <f>IF(AA17="","",AA17)</f>
        <v>8286</v>
      </c>
      <c r="AC17" s="11">
        <f>IF(AC$3=0,"",SUMIFS(INDEX(Inputs!$D$4:$AG$150,0,MATCH(AC$2,Inputs!$D$2:$AG$2,0)),Inputs!$B$4:$B$150,$B17)/1000)</f>
        <v>8188</v>
      </c>
      <c r="AD17" s="11">
        <f>IF(AD$3=0,"",SUMIFS(INDEX(Inputs!$D$4:$AG$150,0,MATCH(AD$2,Inputs!$D$2:$AG$2,0)),Inputs!$B$4:$B$150,$B17)/1000)</f>
        <v>7811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1724</v>
      </c>
      <c r="E18" s="11">
        <f>IF(E$3=0,"",SUMIFS(INDEX(Inputs!$D$4:$AG$150,0,MATCH(E$2,Inputs!$D$2:$AG$2,0)),Inputs!$B$4:$B$150,$B18)/1000)</f>
        <v>1767</v>
      </c>
      <c r="F18" s="11">
        <f>IF(F$3=0,"",SUMIFS(INDEX(Inputs!$D$4:$AG$150,0,MATCH(F$2,Inputs!$D$2:$AG$2,0)),Inputs!$B$4:$B$150,$B18)/1000)</f>
        <v>1037</v>
      </c>
      <c r="G18" s="11">
        <f>IF(G$3=0,"",SUMIFS(INDEX(Inputs!$D$4:$AG$150,0,MATCH(G$2,Inputs!$D$2:$AG$2,0)),Inputs!$B$4:$B$150,$B18)/1000)</f>
        <v>923</v>
      </c>
      <c r="H18" s="12">
        <f>IF(G18="","",G18)</f>
        <v>923</v>
      </c>
      <c r="I18" s="11">
        <f>IF(I$3=0,"",SUMIFS(INDEX(Inputs!$D$4:$AG$150,0,MATCH(I$2,Inputs!$D$2:$AG$2,0)),Inputs!$B$4:$B$150,$B18)/1000)</f>
        <v>1104</v>
      </c>
      <c r="J18" s="11">
        <f>IF(J$3=0,"",SUMIFS(INDEX(Inputs!$D$4:$AG$150,0,MATCH(J$2,Inputs!$D$2:$AG$2,0)),Inputs!$B$4:$B$150,$B18)/1000)</f>
        <v>1110</v>
      </c>
      <c r="K18" s="11">
        <f>IF(K$3=0,"",SUMIFS(INDEX(Inputs!$D$4:$AG$150,0,MATCH(K$2,Inputs!$D$2:$AG$2,0)),Inputs!$B$4:$B$150,$B18)/1000)</f>
        <v>824</v>
      </c>
      <c r="L18" s="11">
        <f>IF(L$3=0,"",SUMIFS(INDEX(Inputs!$D$4:$AG$150,0,MATCH(L$2,Inputs!$D$2:$AG$2,0)),Inputs!$B$4:$B$150,$B18)/1000)</f>
        <v>914</v>
      </c>
      <c r="M18" s="12">
        <f>IF(L18="","",L18)</f>
        <v>914</v>
      </c>
      <c r="N18" s="11">
        <f>IF(N$3=0,"",SUMIFS(INDEX(Inputs!$D$4:$AG$150,0,MATCH(N$2,Inputs!$D$2:$AG$2,0)),Inputs!$B$4:$B$150,$B18)/1000)</f>
        <v>1308</v>
      </c>
      <c r="O18" s="11">
        <f>IF(O$3=0,"",SUMIFS(INDEX(Inputs!$D$4:$AG$150,0,MATCH(O$2,Inputs!$D$2:$AG$2,0)),Inputs!$B$4:$B$150,$B18)/1000)</f>
        <v>1360</v>
      </c>
      <c r="P18" s="11">
        <f>IF(P$3=0,"",SUMIFS(INDEX(Inputs!$D$4:$AG$150,0,MATCH(P$2,Inputs!$D$2:$AG$2,0)),Inputs!$B$4:$B$150,$B18)/1000)</f>
        <v>1814</v>
      </c>
      <c r="Q18" s="11">
        <f>IF(Q$3=0,"",SUMIFS(INDEX(Inputs!$D$4:$AG$150,0,MATCH(Q$2,Inputs!$D$2:$AG$2,0)),Inputs!$B$4:$B$150,$B18)/1000)</f>
        <v>1833</v>
      </c>
      <c r="R18" s="12">
        <f>IF(Q18="","",Q18)</f>
        <v>1833</v>
      </c>
      <c r="S18" s="11">
        <f>IF(S$3=0,"",SUMIFS(INDEX(Inputs!$D$4:$AG$150,0,MATCH(S$2,Inputs!$D$2:$AG$2,0)),Inputs!$B$4:$B$150,$B18)/1000)</f>
        <v>1936</v>
      </c>
      <c r="T18" s="11">
        <f>IF(T$3=0,"",SUMIFS(INDEX(Inputs!$D$4:$AG$150,0,MATCH(T$2,Inputs!$D$2:$AG$2,0)),Inputs!$B$4:$B$150,$B18)/1000)</f>
        <v>1898</v>
      </c>
      <c r="U18" s="11">
        <f>IF(U$3=0,"",SUMIFS(INDEX(Inputs!$D$4:$AG$150,0,MATCH(U$2,Inputs!$D$2:$AG$2,0)),Inputs!$B$4:$B$150,$B18)/1000)</f>
        <v>2086</v>
      </c>
      <c r="V18" s="11">
        <f>IF(V$3=0,"",SUMIFS(INDEX(Inputs!$D$4:$AG$150,0,MATCH(V$2,Inputs!$D$2:$AG$2,0)),Inputs!$B$4:$B$150,$B18)/1000)</f>
        <v>1852</v>
      </c>
      <c r="W18" s="12">
        <f>IF(V18="","",V18)</f>
        <v>1852</v>
      </c>
      <c r="X18" s="11">
        <f>IF(X$3=0,"",SUMIFS(INDEX(Inputs!$D$4:$AG$150,0,MATCH(X$2,Inputs!$D$2:$AG$2,0)),Inputs!$B$4:$B$150,$B18)/1000)</f>
        <v>2088</v>
      </c>
      <c r="Y18" s="11">
        <f>IF(Y$3=0,"",SUMIFS(INDEX(Inputs!$D$4:$AG$150,0,MATCH(Y$2,Inputs!$D$2:$AG$2,0)),Inputs!$B$4:$B$150,$B18)/1000)</f>
        <v>2209</v>
      </c>
      <c r="Z18" s="11">
        <f>IF(Z$3=0,"",SUMIFS(INDEX(Inputs!$D$4:$AG$150,0,MATCH(Z$2,Inputs!$D$2:$AG$2,0)),Inputs!$B$4:$B$150,$B18)/1000)</f>
        <v>2284</v>
      </c>
      <c r="AA18" s="11">
        <f>IF(AA$3=0,"",SUMIFS(INDEX(Inputs!$D$4:$AG$150,0,MATCH(AA$2,Inputs!$D$2:$AG$2,0)),Inputs!$B$4:$B$150,$B18)/1000)</f>
        <v>2268</v>
      </c>
      <c r="AB18" s="12">
        <f>IF(AA18="","",AA18)</f>
        <v>2268</v>
      </c>
      <c r="AC18" s="11">
        <f>IF(AC$3=0,"",SUMIFS(INDEX(Inputs!$D$4:$AG$150,0,MATCH(AC$2,Inputs!$D$2:$AG$2,0)),Inputs!$B$4:$B$150,$B18)/1000)</f>
        <v>2361</v>
      </c>
      <c r="AD18" s="11">
        <f>IF(AD$3=0,"",SUMIFS(INDEX(Inputs!$D$4:$AG$150,0,MATCH(AD$2,Inputs!$D$2:$AG$2,0)),Inputs!$B$4:$B$150,$B18)/1000)</f>
        <v>2343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59531</v>
      </c>
      <c r="E20" s="11">
        <f>IF(E$3=0,"",SUMIFS(INDEX(Inputs!$D$4:$AG$150,0,MATCH(E$2,Inputs!$D$2:$AG$2,0)),Inputs!$B$4:$B$150,$B20)/1000)</f>
        <v>60577</v>
      </c>
      <c r="F20" s="11">
        <f>IF(F$3=0,"",SUMIFS(INDEX(Inputs!$D$4:$AG$150,0,MATCH(F$2,Inputs!$D$2:$AG$2,0)),Inputs!$B$4:$B$150,$B20)/1000)</f>
        <v>63713</v>
      </c>
      <c r="G20" s="11">
        <f>IF(G$3=0,"",SUMIFS(INDEX(Inputs!$D$4:$AG$150,0,MATCH(G$2,Inputs!$D$2:$AG$2,0)),Inputs!$B$4:$B$150,$B20)/1000)</f>
        <v>61883</v>
      </c>
      <c r="H20" s="12">
        <f>IF(G20="","",G20)</f>
        <v>61883</v>
      </c>
      <c r="I20" s="11">
        <f>IF(I$3=0,"",SUMIFS(INDEX(Inputs!$D$4:$AG$150,0,MATCH(I$2,Inputs!$D$2:$AG$2,0)),Inputs!$B$4:$B$150,$B20)/1000)</f>
        <v>64923</v>
      </c>
      <c r="J20" s="11">
        <f>IF(J$3=0,"",SUMIFS(INDEX(Inputs!$D$4:$AG$150,0,MATCH(J$2,Inputs!$D$2:$AG$2,0)),Inputs!$B$4:$B$150,$B20)/1000)</f>
        <v>26995</v>
      </c>
      <c r="K20" s="11">
        <f>IF(K$3=0,"",SUMIFS(INDEX(Inputs!$D$4:$AG$150,0,MATCH(K$2,Inputs!$D$2:$AG$2,0)),Inputs!$B$4:$B$150,$B20)/1000)</f>
        <v>28462</v>
      </c>
      <c r="L20" s="11">
        <f>IF(L$3=0,"",SUMIFS(INDEX(Inputs!$D$4:$AG$150,0,MATCH(L$2,Inputs!$D$2:$AG$2,0)),Inputs!$B$4:$B$150,$B20)/1000)</f>
        <v>29557</v>
      </c>
      <c r="M20" s="12">
        <f>IF(L20="","",L20)</f>
        <v>29557</v>
      </c>
      <c r="N20" s="11">
        <f>IF(N$3=0,"",SUMIFS(INDEX(Inputs!$D$4:$AG$150,0,MATCH(N$2,Inputs!$D$2:$AG$2,0)),Inputs!$B$4:$B$150,$B20)/1000)</f>
        <v>32261</v>
      </c>
      <c r="O20" s="11">
        <f>IF(O$3=0,"",SUMIFS(INDEX(Inputs!$D$4:$AG$150,0,MATCH(O$2,Inputs!$D$2:$AG$2,0)),Inputs!$B$4:$B$150,$B20)/1000)</f>
        <v>32615</v>
      </c>
      <c r="P20" s="11">
        <f>IF(P$3=0,"",SUMIFS(INDEX(Inputs!$D$4:$AG$150,0,MATCH(P$2,Inputs!$D$2:$AG$2,0)),Inputs!$B$4:$B$150,$B20)/1000)</f>
        <v>30614</v>
      </c>
      <c r="Q20" s="11">
        <f>IF(Q$3=0,"",SUMIFS(INDEX(Inputs!$D$4:$AG$150,0,MATCH(Q$2,Inputs!$D$2:$AG$2,0)),Inputs!$B$4:$B$150,$B20)/1000)</f>
        <v>30278</v>
      </c>
      <c r="R20" s="12">
        <f>IF(Q20="","",Q20)</f>
        <v>30278</v>
      </c>
      <c r="S20" s="11">
        <f>IF(S$3=0,"",SUMIFS(INDEX(Inputs!$D$4:$AG$150,0,MATCH(S$2,Inputs!$D$2:$AG$2,0)),Inputs!$B$4:$B$150,$B20)/1000)</f>
        <v>32156</v>
      </c>
      <c r="T20" s="11">
        <f>IF(T$3=0,"",SUMIFS(INDEX(Inputs!$D$4:$AG$150,0,MATCH(T$2,Inputs!$D$2:$AG$2,0)),Inputs!$B$4:$B$150,$B20)/1000)</f>
        <v>34083</v>
      </c>
      <c r="U20" s="11">
        <f>IF(U$3=0,"",SUMIFS(INDEX(Inputs!$D$4:$AG$150,0,MATCH(U$2,Inputs!$D$2:$AG$2,0)),Inputs!$B$4:$B$150,$B20)/1000)</f>
        <v>32827</v>
      </c>
      <c r="V20" s="11">
        <f>IF(V$3=0,"",SUMIFS(INDEX(Inputs!$D$4:$AG$150,0,MATCH(V$2,Inputs!$D$2:$AG$2,0)),Inputs!$B$4:$B$150,$B20)/1000)</f>
        <v>32460</v>
      </c>
      <c r="W20" s="12">
        <f>IF(V20="","",V20)</f>
        <v>32460</v>
      </c>
      <c r="X20" s="11">
        <f>IF(X$3=0,"",SUMIFS(INDEX(Inputs!$D$4:$AG$150,0,MATCH(X$2,Inputs!$D$2:$AG$2,0)),Inputs!$B$4:$B$150,$B20)/1000)</f>
        <v>32502</v>
      </c>
      <c r="Y20" s="11">
        <f>IF(Y$3=0,"",SUMIFS(INDEX(Inputs!$D$4:$AG$150,0,MATCH(Y$2,Inputs!$D$2:$AG$2,0)),Inputs!$B$4:$B$150,$B20)/1000)</f>
        <v>32302</v>
      </c>
      <c r="Z20" s="11">
        <f>IF(Z$3=0,"",SUMIFS(INDEX(Inputs!$D$4:$AG$150,0,MATCH(Z$2,Inputs!$D$2:$AG$2,0)),Inputs!$B$4:$B$150,$B20)/1000)</f>
        <v>31544</v>
      </c>
      <c r="AA20" s="11">
        <f>IF(AA$3=0,"",SUMIFS(INDEX(Inputs!$D$4:$AG$150,0,MATCH(AA$2,Inputs!$D$2:$AG$2,0)),Inputs!$B$4:$B$150,$B20)/1000)</f>
        <v>32332</v>
      </c>
      <c r="AB20" s="12">
        <f>IF(AA20="","",AA20)</f>
        <v>32332</v>
      </c>
      <c r="AC20" s="11">
        <f>IF(AC$3=0,"",SUMIFS(INDEX(Inputs!$D$4:$AG$150,0,MATCH(AC$2,Inputs!$D$2:$AG$2,0)),Inputs!$B$4:$B$150,$B20)/1000)</f>
        <v>34043</v>
      </c>
      <c r="AD20" s="11">
        <f>IF(AD$3=0,"",SUMIFS(INDEX(Inputs!$D$4:$AG$150,0,MATCH(AD$2,Inputs!$D$2:$AG$2,0)),Inputs!$B$4:$B$150,$B20)/1000)</f>
        <v>33943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0</v>
      </c>
      <c r="E22" s="11">
        <f>IF(E$3=0,"",SUMIFS(INDEX(Inputs!$D$4:$AG$150,0,MATCH(E$2,Inputs!$D$2:$AG$2,0)),Inputs!$B$4:$B$150,$B22)/1000)</f>
        <v>0</v>
      </c>
      <c r="F22" s="11">
        <f>IF(F$3=0,"",SUMIFS(INDEX(Inputs!$D$4:$AG$150,0,MATCH(F$2,Inputs!$D$2:$AG$2,0)),Inputs!$B$4:$B$150,$B22)/1000)</f>
        <v>0</v>
      </c>
      <c r="G22" s="11">
        <f>IF(G$3=0,"",SUMIFS(INDEX(Inputs!$D$4:$AG$150,0,MATCH(G$2,Inputs!$D$2:$AG$2,0)),Inputs!$B$4:$B$150,$B22)/1000)</f>
        <v>0</v>
      </c>
      <c r="H22" s="12">
        <f>IF(G22="","",G22)</f>
        <v>0</v>
      </c>
      <c r="I22" s="11">
        <f>IF(I$3=0,"",SUMIFS(INDEX(Inputs!$D$4:$AG$150,0,MATCH(I$2,Inputs!$D$2:$AG$2,0)),Inputs!$B$4:$B$150,$B22)/1000)</f>
        <v>0</v>
      </c>
      <c r="J22" s="11">
        <f>IF(J$3=0,"",SUMIFS(INDEX(Inputs!$D$4:$AG$150,0,MATCH(J$2,Inputs!$D$2:$AG$2,0)),Inputs!$B$4:$B$150,$B22)/1000)</f>
        <v>0</v>
      </c>
      <c r="K22" s="11">
        <f>IF(K$3=0,"",SUMIFS(INDEX(Inputs!$D$4:$AG$150,0,MATCH(K$2,Inputs!$D$2:$AG$2,0)),Inputs!$B$4:$B$150,$B22)/1000)</f>
        <v>0</v>
      </c>
      <c r="L22" s="11">
        <f>IF(L$3=0,"",SUMIFS(INDEX(Inputs!$D$4:$AG$150,0,MATCH(L$2,Inputs!$D$2:$AG$2,0)),Inputs!$B$4:$B$150,$B22)/1000)</f>
        <v>0</v>
      </c>
      <c r="M22" s="12">
        <f>IF(L22="","",L22)</f>
        <v>0</v>
      </c>
      <c r="N22" s="11">
        <f>IF(N$3=0,"",SUMIFS(INDEX(Inputs!$D$4:$AG$150,0,MATCH(N$2,Inputs!$D$2:$AG$2,0)),Inputs!$B$4:$B$150,$B22)/1000)</f>
        <v>0</v>
      </c>
      <c r="O22" s="11">
        <f>IF(O$3=0,"",SUMIFS(INDEX(Inputs!$D$4:$AG$150,0,MATCH(O$2,Inputs!$D$2:$AG$2,0)),Inputs!$B$4:$B$150,$B22)/1000)</f>
        <v>0</v>
      </c>
      <c r="P22" s="11">
        <f>IF(P$3=0,"",SUMIFS(INDEX(Inputs!$D$4:$AG$150,0,MATCH(P$2,Inputs!$D$2:$AG$2,0)),Inputs!$B$4:$B$150,$B22)/1000)</f>
        <v>0</v>
      </c>
      <c r="Q22" s="11">
        <f>IF(Q$3=0,"",SUMIFS(INDEX(Inputs!$D$4:$AG$150,0,MATCH(Q$2,Inputs!$D$2:$AG$2,0)),Inputs!$B$4:$B$150,$B22)/1000)</f>
        <v>0</v>
      </c>
      <c r="R22" s="12">
        <f>IF(Q22="","",Q22)</f>
        <v>0</v>
      </c>
      <c r="S22" s="11">
        <f>IF(S$3=0,"",SUMIFS(INDEX(Inputs!$D$4:$AG$150,0,MATCH(S$2,Inputs!$D$2:$AG$2,0)),Inputs!$B$4:$B$150,$B22)/1000)</f>
        <v>0</v>
      </c>
      <c r="T22" s="11">
        <f>IF(T$3=0,"",SUMIFS(INDEX(Inputs!$D$4:$AG$150,0,MATCH(T$2,Inputs!$D$2:$AG$2,0)),Inputs!$B$4:$B$150,$B22)/1000)</f>
        <v>0</v>
      </c>
      <c r="U22" s="11">
        <f>IF(U$3=0,"",SUMIFS(INDEX(Inputs!$D$4:$AG$150,0,MATCH(U$2,Inputs!$D$2:$AG$2,0)),Inputs!$B$4:$B$150,$B22)/1000)</f>
        <v>0</v>
      </c>
      <c r="V22" s="11">
        <f>IF(V$3=0,"",SUMIFS(INDEX(Inputs!$D$4:$AG$150,0,MATCH(V$2,Inputs!$D$2:$AG$2,0)),Inputs!$B$4:$B$150,$B22)/1000)</f>
        <v>0</v>
      </c>
      <c r="W22" s="12">
        <f>IF(V22="","",V22)</f>
        <v>0</v>
      </c>
      <c r="X22" s="11">
        <f>IF(X$3=0,"",SUMIFS(INDEX(Inputs!$D$4:$AG$150,0,MATCH(X$2,Inputs!$D$2:$AG$2,0)),Inputs!$B$4:$B$150,$B22)/1000)</f>
        <v>0</v>
      </c>
      <c r="Y22" s="11">
        <f>IF(Y$3=0,"",SUMIFS(INDEX(Inputs!$D$4:$AG$150,0,MATCH(Y$2,Inputs!$D$2:$AG$2,0)),Inputs!$B$4:$B$150,$B22)/1000)</f>
        <v>0</v>
      </c>
      <c r="Z22" s="11">
        <f>IF(Z$3=0,"",SUMIFS(INDEX(Inputs!$D$4:$AG$150,0,MATCH(Z$2,Inputs!$D$2:$AG$2,0)),Inputs!$B$4:$B$150,$B22)/1000)</f>
        <v>0</v>
      </c>
      <c r="AA22" s="11">
        <f>IF(AA$3=0,"",SUMIFS(INDEX(Inputs!$D$4:$AG$150,0,MATCH(AA$2,Inputs!$D$2:$AG$2,0)),Inputs!$B$4:$B$150,$B22)/1000)</f>
        <v>0</v>
      </c>
      <c r="AB22" s="12">
        <f>IF(AA22="","",AA22)</f>
        <v>0</v>
      </c>
      <c r="AC22" s="11">
        <f>IF(AC$3=0,"",SUMIFS(INDEX(Inputs!$D$4:$AG$150,0,MATCH(AC$2,Inputs!$D$2:$AG$2,0)),Inputs!$B$4:$B$150,$B22)/1000)</f>
        <v>0</v>
      </c>
      <c r="AD22" s="11">
        <f>IF(AD$3=0,"",SUMIFS(INDEX(Inputs!$D$4:$AG$150,0,MATCH(AD$2,Inputs!$D$2:$AG$2,0)),Inputs!$B$4:$B$150,$B22)/1000)</f>
        <v>0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3190</v>
      </c>
      <c r="E24" s="11">
        <f>IF(E$3=0,"",SUMIFS(INDEX(Inputs!$D$4:$AG$150,0,MATCH(E$2,Inputs!$D$2:$AG$2,0)),Inputs!$B$4:$B$150,$B24)/1000)</f>
        <v>3148</v>
      </c>
      <c r="F24" s="11">
        <f>IF(F$3=0,"",SUMIFS(INDEX(Inputs!$D$4:$AG$150,0,MATCH(F$2,Inputs!$D$2:$AG$2,0)),Inputs!$B$4:$B$150,$B24)/1000)</f>
        <v>3291</v>
      </c>
      <c r="G24" s="11">
        <f>IF(G$3=0,"",SUMIFS(INDEX(Inputs!$D$4:$AG$150,0,MATCH(G$2,Inputs!$D$2:$AG$2,0)),Inputs!$B$4:$B$150,$B24)/1000)</f>
        <v>3192</v>
      </c>
      <c r="H24" s="12">
        <f>IF(G24="","",G24)</f>
        <v>3192</v>
      </c>
      <c r="I24" s="11">
        <f>IF(I$3=0,"",SUMIFS(INDEX(Inputs!$D$4:$AG$150,0,MATCH(I$2,Inputs!$D$2:$AG$2,0)),Inputs!$B$4:$B$150,$B24)/1000)</f>
        <v>3812</v>
      </c>
      <c r="J24" s="11">
        <f>IF(J$3=0,"",SUMIFS(INDEX(Inputs!$D$4:$AG$150,0,MATCH(J$2,Inputs!$D$2:$AG$2,0)),Inputs!$B$4:$B$150,$B24)/1000)</f>
        <v>3754</v>
      </c>
      <c r="K24" s="11">
        <f>IF(K$3=0,"",SUMIFS(INDEX(Inputs!$D$4:$AG$150,0,MATCH(K$2,Inputs!$D$2:$AG$2,0)),Inputs!$B$4:$B$150,$B24)/1000)</f>
        <v>3687</v>
      </c>
      <c r="L24" s="11">
        <f>IF(L$3=0,"",SUMIFS(INDEX(Inputs!$D$4:$AG$150,0,MATCH(L$2,Inputs!$D$2:$AG$2,0)),Inputs!$B$4:$B$150,$B24)/1000)</f>
        <v>3891</v>
      </c>
      <c r="M24" s="12">
        <f>IF(L24="","",L24)</f>
        <v>3891</v>
      </c>
      <c r="N24" s="11">
        <f>IF(N$3=0,"",SUMIFS(INDEX(Inputs!$D$4:$AG$150,0,MATCH(N$2,Inputs!$D$2:$AG$2,0)),Inputs!$B$4:$B$150,$B24)/1000)</f>
        <v>3963</v>
      </c>
      <c r="O24" s="11">
        <f>IF(O$3=0,"",SUMIFS(INDEX(Inputs!$D$4:$AG$150,0,MATCH(O$2,Inputs!$D$2:$AG$2,0)),Inputs!$B$4:$B$150,$B24)/1000)</f>
        <v>3994</v>
      </c>
      <c r="P24" s="11">
        <f>IF(P$3=0,"",SUMIFS(INDEX(Inputs!$D$4:$AG$150,0,MATCH(P$2,Inputs!$D$2:$AG$2,0)),Inputs!$B$4:$B$150,$B24)/1000)</f>
        <v>3900</v>
      </c>
      <c r="Q24" s="11">
        <f>IF(Q$3=0,"",SUMIFS(INDEX(Inputs!$D$4:$AG$150,0,MATCH(Q$2,Inputs!$D$2:$AG$2,0)),Inputs!$B$4:$B$150,$B24)/1000)</f>
        <v>3966</v>
      </c>
      <c r="R24" s="12">
        <f>IF(Q24="","",Q24)</f>
        <v>3966</v>
      </c>
      <c r="S24" s="11">
        <f>IF(S$3=0,"",SUMIFS(INDEX(Inputs!$D$4:$AG$150,0,MATCH(S$2,Inputs!$D$2:$AG$2,0)),Inputs!$B$4:$B$150,$B24)/1000)</f>
        <v>3936</v>
      </c>
      <c r="T24" s="11">
        <f>IF(T$3=0,"",SUMIFS(INDEX(Inputs!$D$4:$AG$150,0,MATCH(T$2,Inputs!$D$2:$AG$2,0)),Inputs!$B$4:$B$150,$B24)/1000)</f>
        <v>3960</v>
      </c>
      <c r="U24" s="11">
        <f>IF(U$3=0,"",SUMIFS(INDEX(Inputs!$D$4:$AG$150,0,MATCH(U$2,Inputs!$D$2:$AG$2,0)),Inputs!$B$4:$B$150,$B24)/1000)</f>
        <v>3959</v>
      </c>
      <c r="V24" s="11">
        <f>IF(V$3=0,"",SUMIFS(INDEX(Inputs!$D$4:$AG$150,0,MATCH(V$2,Inputs!$D$2:$AG$2,0)),Inputs!$B$4:$B$150,$B24)/1000)</f>
        <v>3872</v>
      </c>
      <c r="W24" s="12">
        <f>IF(V24="","",V24)</f>
        <v>3872</v>
      </c>
      <c r="X24" s="11">
        <f>IF(X$3=0,"",SUMIFS(INDEX(Inputs!$D$4:$AG$150,0,MATCH(X$2,Inputs!$D$2:$AG$2,0)),Inputs!$B$4:$B$150,$B24)/1000)</f>
        <v>4094</v>
      </c>
      <c r="Y24" s="11">
        <f>IF(Y$3=0,"",SUMIFS(INDEX(Inputs!$D$4:$AG$150,0,MATCH(Y$2,Inputs!$D$2:$AG$2,0)),Inputs!$B$4:$B$150,$B24)/1000)</f>
        <v>4209</v>
      </c>
      <c r="Z24" s="11">
        <f>IF(Z$3=0,"",SUMIFS(INDEX(Inputs!$D$4:$AG$150,0,MATCH(Z$2,Inputs!$D$2:$AG$2,0)),Inputs!$B$4:$B$150,$B24)/1000)</f>
        <v>4188</v>
      </c>
      <c r="AA24" s="11">
        <f>IF(AA$3=0,"",SUMIFS(INDEX(Inputs!$D$4:$AG$150,0,MATCH(AA$2,Inputs!$D$2:$AG$2,0)),Inputs!$B$4:$B$150,$B24)/1000)</f>
        <v>4280</v>
      </c>
      <c r="AB24" s="12">
        <f>IF(AA24="","",AA24)</f>
        <v>4280</v>
      </c>
      <c r="AC24" s="11">
        <f>IF(AC$3=0,"",SUMIFS(INDEX(Inputs!$D$4:$AG$150,0,MATCH(AC$2,Inputs!$D$2:$AG$2,0)),Inputs!$B$4:$B$150,$B24)/1000)</f>
        <v>4513</v>
      </c>
      <c r="AD24" s="11">
        <f>IF(AD$3=0,"",SUMIFS(INDEX(Inputs!$D$4:$AG$150,0,MATCH(AD$2,Inputs!$D$2:$AG$2,0)),Inputs!$B$4:$B$150,$B24)/1000)</f>
        <v>4466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1310</v>
      </c>
      <c r="E25" s="11">
        <f>IF(E$3=0,"",SUMIFS(INDEX(Inputs!$D$4:$AG$150,0,MATCH(E$2,Inputs!$D$2:$AG$2,0)),Inputs!$B$4:$B$150,$B25)/1000)</f>
        <v>1267</v>
      </c>
      <c r="F25" s="11">
        <f>IF(F$3=0,"",SUMIFS(INDEX(Inputs!$D$4:$AG$150,0,MATCH(F$2,Inputs!$D$2:$AG$2,0)),Inputs!$B$4:$B$150,$B25)/1000)</f>
        <v>1275</v>
      </c>
      <c r="G25" s="11">
        <f>IF(G$3=0,"",SUMIFS(INDEX(Inputs!$D$4:$AG$150,0,MATCH(G$2,Inputs!$D$2:$AG$2,0)),Inputs!$B$4:$B$150,$B25)/1000)</f>
        <v>1209</v>
      </c>
      <c r="H25" s="12">
        <f>IF(G25="","",G25)</f>
        <v>1209</v>
      </c>
      <c r="I25" s="11">
        <f>IF(I$3=0,"",SUMIFS(INDEX(Inputs!$D$4:$AG$150,0,MATCH(I$2,Inputs!$D$2:$AG$2,0)),Inputs!$B$4:$B$150,$B25)/1000)</f>
        <v>1352</v>
      </c>
      <c r="J25" s="11">
        <f>IF(J$3=0,"",SUMIFS(INDEX(Inputs!$D$4:$AG$150,0,MATCH(J$2,Inputs!$D$2:$AG$2,0)),Inputs!$B$4:$B$150,$B25)/1000)</f>
        <v>1281</v>
      </c>
      <c r="K25" s="11">
        <f>IF(K$3=0,"",SUMIFS(INDEX(Inputs!$D$4:$AG$150,0,MATCH(K$2,Inputs!$D$2:$AG$2,0)),Inputs!$B$4:$B$150,$B25)/1000)</f>
        <v>1218</v>
      </c>
      <c r="L25" s="11">
        <f>IF(L$3=0,"",SUMIFS(INDEX(Inputs!$D$4:$AG$150,0,MATCH(L$2,Inputs!$D$2:$AG$2,0)),Inputs!$B$4:$B$150,$B25)/1000)</f>
        <v>1255</v>
      </c>
      <c r="M25" s="12">
        <f>IF(L25="","",L25)</f>
        <v>1255</v>
      </c>
      <c r="N25" s="11">
        <f>IF(N$3=0,"",SUMIFS(INDEX(Inputs!$D$4:$AG$150,0,MATCH(N$2,Inputs!$D$2:$AG$2,0)),Inputs!$B$4:$B$150,$B25)/1000)</f>
        <v>1222</v>
      </c>
      <c r="O25" s="11">
        <f>IF(O$3=0,"",SUMIFS(INDEX(Inputs!$D$4:$AG$150,0,MATCH(O$2,Inputs!$D$2:$AG$2,0)),Inputs!$B$4:$B$150,$B25)/1000)</f>
        <v>1199</v>
      </c>
      <c r="P25" s="11">
        <f>IF(P$3=0,"",SUMIFS(INDEX(Inputs!$D$4:$AG$150,0,MATCH(P$2,Inputs!$D$2:$AG$2,0)),Inputs!$B$4:$B$150,$B25)/1000)</f>
        <v>1133</v>
      </c>
      <c r="Q25" s="11">
        <f>IF(Q$3=0,"",SUMIFS(INDEX(Inputs!$D$4:$AG$150,0,MATCH(Q$2,Inputs!$D$2:$AG$2,0)),Inputs!$B$4:$B$150,$B25)/1000)</f>
        <v>1112</v>
      </c>
      <c r="R25" s="12">
        <f>IF(Q25="","",Q25)</f>
        <v>1112</v>
      </c>
      <c r="S25" s="11">
        <f>IF(S$3=0,"",SUMIFS(INDEX(Inputs!$D$4:$AG$150,0,MATCH(S$2,Inputs!$D$2:$AG$2,0)),Inputs!$B$4:$B$150,$B25)/1000)</f>
        <v>1064</v>
      </c>
      <c r="T25" s="11">
        <f>IF(T$3=0,"",SUMIFS(INDEX(Inputs!$D$4:$AG$150,0,MATCH(T$2,Inputs!$D$2:$AG$2,0)),Inputs!$B$4:$B$150,$B25)/1000)</f>
        <v>1030</v>
      </c>
      <c r="U25" s="11">
        <f>IF(U$3=0,"",SUMIFS(INDEX(Inputs!$D$4:$AG$150,0,MATCH(U$2,Inputs!$D$2:$AG$2,0)),Inputs!$B$4:$B$150,$B25)/1000)</f>
        <v>999</v>
      </c>
      <c r="V25" s="11">
        <f>IF(V$3=0,"",SUMIFS(INDEX(Inputs!$D$4:$AG$150,0,MATCH(V$2,Inputs!$D$2:$AG$2,0)),Inputs!$B$4:$B$150,$B25)/1000)</f>
        <v>937</v>
      </c>
      <c r="W25" s="12">
        <f>IF(V25="","",V25)</f>
        <v>937</v>
      </c>
      <c r="X25" s="11">
        <f>IF(X$3=0,"",SUMIFS(INDEX(Inputs!$D$4:$AG$150,0,MATCH(X$2,Inputs!$D$2:$AG$2,0)),Inputs!$B$4:$B$150,$B25)/1000)</f>
        <v>964</v>
      </c>
      <c r="Y25" s="11">
        <f>IF(Y$3=0,"",SUMIFS(INDEX(Inputs!$D$4:$AG$150,0,MATCH(Y$2,Inputs!$D$2:$AG$2,0)),Inputs!$B$4:$B$150,$B25)/1000)</f>
        <v>926</v>
      </c>
      <c r="Z25" s="11">
        <f>IF(Z$3=0,"",SUMIFS(INDEX(Inputs!$D$4:$AG$150,0,MATCH(Z$2,Inputs!$D$2:$AG$2,0)),Inputs!$B$4:$B$150,$B25)/1000)</f>
        <v>892</v>
      </c>
      <c r="AA25" s="11">
        <f>IF(AA$3=0,"",SUMIFS(INDEX(Inputs!$D$4:$AG$150,0,MATCH(AA$2,Inputs!$D$2:$AG$2,0)),Inputs!$B$4:$B$150,$B25)/1000)</f>
        <v>880</v>
      </c>
      <c r="AB25" s="12">
        <f>IF(AA25="","",AA25)</f>
        <v>880</v>
      </c>
      <c r="AC25" s="11">
        <f>IF(AC$3=0,"",SUMIFS(INDEX(Inputs!$D$4:$AG$150,0,MATCH(AC$2,Inputs!$D$2:$AG$2,0)),Inputs!$B$4:$B$150,$B25)/1000)</f>
        <v>975</v>
      </c>
      <c r="AD25" s="11">
        <f>IF(AD$3=0,"",SUMIFS(INDEX(Inputs!$D$4:$AG$150,0,MATCH(AD$2,Inputs!$D$2:$AG$2,0)),Inputs!$B$4:$B$150,$B25)/1000)</f>
        <v>940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0</v>
      </c>
      <c r="E26" s="11">
        <f>IF(E$3=0,"",SUMIFS(INDEX(Inputs!$D$4:$AG$150,0,MATCH(E$2,Inputs!$D$2:$AG$2,0)),Inputs!$B$4:$B$150,$B26)/1000)</f>
        <v>0</v>
      </c>
      <c r="F26" s="11">
        <f>IF(F$3=0,"",SUMIFS(INDEX(Inputs!$D$4:$AG$150,0,MATCH(F$2,Inputs!$D$2:$AG$2,0)),Inputs!$B$4:$B$150,$B26)/1000)</f>
        <v>0</v>
      </c>
      <c r="G26" s="11">
        <f>IF(G$3=0,"",SUMIFS(INDEX(Inputs!$D$4:$AG$150,0,MATCH(G$2,Inputs!$D$2:$AG$2,0)),Inputs!$B$4:$B$150,$B26)/1000)</f>
        <v>0</v>
      </c>
      <c r="H26" s="12">
        <f>IF(G26="","",G26)</f>
        <v>0</v>
      </c>
      <c r="I26" s="11">
        <f>IF(I$3=0,"",SUMIFS(INDEX(Inputs!$D$4:$AG$150,0,MATCH(I$2,Inputs!$D$2:$AG$2,0)),Inputs!$B$4:$B$150,$B26)/1000)</f>
        <v>0</v>
      </c>
      <c r="J26" s="11">
        <f>IF(J$3=0,"",SUMIFS(INDEX(Inputs!$D$4:$AG$150,0,MATCH(J$2,Inputs!$D$2:$AG$2,0)),Inputs!$B$4:$B$150,$B26)/1000)</f>
        <v>40197</v>
      </c>
      <c r="K26" s="11">
        <f>IF(K$3=0,"",SUMIFS(INDEX(Inputs!$D$4:$AG$150,0,MATCH(K$2,Inputs!$D$2:$AG$2,0)),Inputs!$B$4:$B$150,$B26)/1000)</f>
        <v>42570</v>
      </c>
      <c r="L26" s="11">
        <f>IF(L$3=0,"",SUMIFS(INDEX(Inputs!$D$4:$AG$150,0,MATCH(L$2,Inputs!$D$2:$AG$2,0)),Inputs!$B$4:$B$150,$B26)/1000)</f>
        <v>41971</v>
      </c>
      <c r="M26" s="12">
        <f>IF(L26="","",L26)</f>
        <v>41971</v>
      </c>
      <c r="N26" s="11">
        <f>IF(N$3=0,"",SUMIFS(INDEX(Inputs!$D$4:$AG$150,0,MATCH(N$2,Inputs!$D$2:$AG$2,0)),Inputs!$B$4:$B$150,$B26)/1000)</f>
        <v>44613</v>
      </c>
      <c r="O26" s="11">
        <f>IF(O$3=0,"",SUMIFS(INDEX(Inputs!$D$4:$AG$150,0,MATCH(O$2,Inputs!$D$2:$AG$2,0)),Inputs!$B$4:$B$150,$B26)/1000)</f>
        <v>48303</v>
      </c>
      <c r="P26" s="11">
        <f>IF(P$3=0,"",SUMIFS(INDEX(Inputs!$D$4:$AG$150,0,MATCH(P$2,Inputs!$D$2:$AG$2,0)),Inputs!$B$4:$B$150,$B26)/1000)</f>
        <v>51008</v>
      </c>
      <c r="Q26" s="11">
        <f>IF(Q$3=0,"",SUMIFS(INDEX(Inputs!$D$4:$AG$150,0,MATCH(Q$2,Inputs!$D$2:$AG$2,0)),Inputs!$B$4:$B$150,$B26)/1000)</f>
        <v>50108</v>
      </c>
      <c r="R26" s="12">
        <f>IF(Q26="","",Q26)</f>
        <v>50108</v>
      </c>
      <c r="S26" s="11">
        <f>IF(S$3=0,"",SUMIFS(INDEX(Inputs!$D$4:$AG$150,0,MATCH(S$2,Inputs!$D$2:$AG$2,0)),Inputs!$B$4:$B$150,$B26)/1000)</f>
        <v>52540</v>
      </c>
      <c r="T26" s="11">
        <f>IF(T$3=0,"",SUMIFS(INDEX(Inputs!$D$4:$AG$150,0,MATCH(T$2,Inputs!$D$2:$AG$2,0)),Inputs!$B$4:$B$150,$B26)/1000)</f>
        <v>52170</v>
      </c>
      <c r="U26" s="11">
        <f>IF(U$3=0,"",SUMIFS(INDEX(Inputs!$D$4:$AG$150,0,MATCH(U$2,Inputs!$D$2:$AG$2,0)),Inputs!$B$4:$B$150,$B26)/1000)</f>
        <v>53032</v>
      </c>
      <c r="V26" s="11">
        <f>IF(V$3=0,"",SUMIFS(INDEX(Inputs!$D$4:$AG$150,0,MATCH(V$2,Inputs!$D$2:$AG$2,0)),Inputs!$B$4:$B$150,$B26)/1000)</f>
        <v>49653</v>
      </c>
      <c r="W26" s="12">
        <f>IF(V26="","",V26)</f>
        <v>49653</v>
      </c>
      <c r="X26" s="11">
        <f>IF(X$3=0,"",SUMIFS(INDEX(Inputs!$D$4:$AG$150,0,MATCH(X$2,Inputs!$D$2:$AG$2,0)),Inputs!$B$4:$B$150,$B26)/1000)</f>
        <v>50794</v>
      </c>
      <c r="Y26" s="11">
        <f>IF(Y$3=0,"",SUMIFS(INDEX(Inputs!$D$4:$AG$150,0,MATCH(Y$2,Inputs!$D$2:$AG$2,0)),Inputs!$B$4:$B$150,$B26)/1000)</f>
        <v>51878</v>
      </c>
      <c r="Z26" s="11">
        <f>IF(Z$3=0,"",SUMIFS(INDEX(Inputs!$D$4:$AG$150,0,MATCH(Z$2,Inputs!$D$2:$AG$2,0)),Inputs!$B$4:$B$150,$B26)/1000)</f>
        <v>51406</v>
      </c>
      <c r="AA26" s="11">
        <f>IF(AA$3=0,"",SUMIFS(INDEX(Inputs!$D$4:$AG$150,0,MATCH(AA$2,Inputs!$D$2:$AG$2,0)),Inputs!$B$4:$B$150,$B26)/1000)</f>
        <v>48592</v>
      </c>
      <c r="AB26" s="12">
        <f>IF(AA26="","",AA26)</f>
        <v>48592</v>
      </c>
      <c r="AC26" s="11">
        <f>IF(AC$3=0,"",SUMIFS(INDEX(Inputs!$D$4:$AG$150,0,MATCH(AC$2,Inputs!$D$2:$AG$2,0)),Inputs!$B$4:$B$150,$B26)/1000)</f>
        <v>49016</v>
      </c>
      <c r="AD26" s="11">
        <f>IF(AD$3=0,"",SUMIFS(INDEX(Inputs!$D$4:$AG$150,0,MATCH(AD$2,Inputs!$D$2:$AG$2,0)),Inputs!$B$4:$B$150,$B26)/1000)</f>
        <v>49176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0</v>
      </c>
      <c r="E28" s="11">
        <f>IF(E$3=0,"",SUMIFS(INDEX(Inputs!$D$4:$AG$150,0,MATCH(E$2,Inputs!$D$2:$AG$2,0)),Inputs!$B$4:$B$150,$B28)/1000)</f>
        <v>0</v>
      </c>
      <c r="F28" s="11">
        <f>IF(F$3=0,"",SUMIFS(INDEX(Inputs!$D$4:$AG$150,0,MATCH(F$2,Inputs!$D$2:$AG$2,0)),Inputs!$B$4:$B$150,$B28)/1000)</f>
        <v>0</v>
      </c>
      <c r="G28" s="11">
        <f>IF(G$3=0,"",SUMIFS(INDEX(Inputs!$D$4:$AG$150,0,MATCH(G$2,Inputs!$D$2:$AG$2,0)),Inputs!$B$4:$B$150,$B28)/1000)</f>
        <v>0</v>
      </c>
      <c r="H28" s="12">
        <f>IF(G28="","",G28)</f>
        <v>0</v>
      </c>
      <c r="I28" s="11">
        <f>IF(I$3=0,"",SUMIFS(INDEX(Inputs!$D$4:$AG$150,0,MATCH(I$2,Inputs!$D$2:$AG$2,0)),Inputs!$B$4:$B$150,$B28)/1000)</f>
        <v>0</v>
      </c>
      <c r="J28" s="11">
        <f>IF(J$3=0,"",SUMIFS(INDEX(Inputs!$D$4:$AG$150,0,MATCH(J$2,Inputs!$D$2:$AG$2,0)),Inputs!$B$4:$B$150,$B28)/1000)</f>
        <v>0</v>
      </c>
      <c r="K28" s="11">
        <f>IF(K$3=0,"",SUMIFS(INDEX(Inputs!$D$4:$AG$150,0,MATCH(K$2,Inputs!$D$2:$AG$2,0)),Inputs!$B$4:$B$150,$B28)/1000)</f>
        <v>0</v>
      </c>
      <c r="L28" s="11">
        <f>IF(L$3=0,"",SUMIFS(INDEX(Inputs!$D$4:$AG$150,0,MATCH(L$2,Inputs!$D$2:$AG$2,0)),Inputs!$B$4:$B$150,$B28)/1000)</f>
        <v>0</v>
      </c>
      <c r="M28" s="12">
        <f>IF(L28="","",L28)</f>
        <v>0</v>
      </c>
      <c r="N28" s="11">
        <f>IF(N$3=0,"",SUMIFS(INDEX(Inputs!$D$4:$AG$150,0,MATCH(N$2,Inputs!$D$2:$AG$2,0)),Inputs!$B$4:$B$150,$B28)/1000)</f>
        <v>0</v>
      </c>
      <c r="O28" s="11">
        <f>IF(O$3=0,"",SUMIFS(INDEX(Inputs!$D$4:$AG$150,0,MATCH(O$2,Inputs!$D$2:$AG$2,0)),Inputs!$B$4:$B$150,$B28)/1000)</f>
        <v>0</v>
      </c>
      <c r="P28" s="11">
        <f>IF(P$3=0,"",SUMIFS(INDEX(Inputs!$D$4:$AG$150,0,MATCH(P$2,Inputs!$D$2:$AG$2,0)),Inputs!$B$4:$B$150,$B28)/1000)</f>
        <v>0</v>
      </c>
      <c r="Q28" s="11">
        <f>IF(Q$3=0,"",SUMIFS(INDEX(Inputs!$D$4:$AG$150,0,MATCH(Q$2,Inputs!$D$2:$AG$2,0)),Inputs!$B$4:$B$150,$B28)/1000)</f>
        <v>0</v>
      </c>
      <c r="R28" s="12">
        <f>IF(Q28="","",Q28)</f>
        <v>0</v>
      </c>
      <c r="S28" s="11">
        <f>IF(S$3=0,"",SUMIFS(INDEX(Inputs!$D$4:$AG$150,0,MATCH(S$2,Inputs!$D$2:$AG$2,0)),Inputs!$B$4:$B$150,$B28)/1000)</f>
        <v>0</v>
      </c>
      <c r="T28" s="11">
        <f>IF(T$3=0,"",SUMIFS(INDEX(Inputs!$D$4:$AG$150,0,MATCH(T$2,Inputs!$D$2:$AG$2,0)),Inputs!$B$4:$B$150,$B28)/1000)</f>
        <v>0</v>
      </c>
      <c r="U28" s="11">
        <f>IF(U$3=0,"",SUMIFS(INDEX(Inputs!$D$4:$AG$150,0,MATCH(U$2,Inputs!$D$2:$AG$2,0)),Inputs!$B$4:$B$150,$B28)/1000)</f>
        <v>0</v>
      </c>
      <c r="V28" s="11">
        <f>IF(V$3=0,"",SUMIFS(INDEX(Inputs!$D$4:$AG$150,0,MATCH(V$2,Inputs!$D$2:$AG$2,0)),Inputs!$B$4:$B$150,$B28)/1000)</f>
        <v>0</v>
      </c>
      <c r="W28" s="12">
        <f>IF(V28="","",V28)</f>
        <v>0</v>
      </c>
      <c r="X28" s="11">
        <f>IF(X$3=0,"",SUMIFS(INDEX(Inputs!$D$4:$AG$150,0,MATCH(X$2,Inputs!$D$2:$AG$2,0)),Inputs!$B$4:$B$150,$B28)/1000)</f>
        <v>0</v>
      </c>
      <c r="Y28" s="11">
        <f>IF(Y$3=0,"",SUMIFS(INDEX(Inputs!$D$4:$AG$150,0,MATCH(Y$2,Inputs!$D$2:$AG$2,0)),Inputs!$B$4:$B$150,$B28)/1000)</f>
        <v>0</v>
      </c>
      <c r="Z28" s="11">
        <f>IF(Z$3=0,"",SUMIFS(INDEX(Inputs!$D$4:$AG$150,0,MATCH(Z$2,Inputs!$D$2:$AG$2,0)),Inputs!$B$4:$B$150,$B28)/1000)</f>
        <v>0</v>
      </c>
      <c r="AA28" s="11">
        <f>IF(AA$3=0,"",SUMIFS(INDEX(Inputs!$D$4:$AG$150,0,MATCH(AA$2,Inputs!$D$2:$AG$2,0)),Inputs!$B$4:$B$150,$B28)/1000)</f>
        <v>0</v>
      </c>
      <c r="AB28" s="12">
        <f>IF(AA28="","",AA28)</f>
        <v>0</v>
      </c>
      <c r="AC28" s="11">
        <f>IF(AC$3=0,"",SUMIFS(INDEX(Inputs!$D$4:$AG$150,0,MATCH(AC$2,Inputs!$D$2:$AG$2,0)),Inputs!$B$4:$B$150,$B28)/1000)</f>
        <v>0</v>
      </c>
      <c r="AD28" s="11">
        <f>IF(AD$3=0,"",SUMIFS(INDEX(Inputs!$D$4:$AG$150,0,MATCH(AD$2,Inputs!$D$2:$AG$2,0)),Inputs!$B$4:$B$150,$B28)/1000)</f>
        <v>0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0</v>
      </c>
      <c r="E29" s="11">
        <f>IF(E$3=0,"",SUMIFS(INDEX(Inputs!$D$4:$AG$150,0,MATCH(E$2,Inputs!$D$2:$AG$2,0)),Inputs!$B$4:$B$150,$B29)/1000)</f>
        <v>0</v>
      </c>
      <c r="F29" s="11">
        <f>IF(F$3=0,"",SUMIFS(INDEX(Inputs!$D$4:$AG$150,0,MATCH(F$2,Inputs!$D$2:$AG$2,0)),Inputs!$B$4:$B$150,$B29)/1000)</f>
        <v>0</v>
      </c>
      <c r="G29" s="11">
        <f>IF(G$3=0,"",SUMIFS(INDEX(Inputs!$D$4:$AG$150,0,MATCH(G$2,Inputs!$D$2:$AG$2,0)),Inputs!$B$4:$B$150,$B29)/1000)</f>
        <v>0</v>
      </c>
      <c r="H29" s="12">
        <f>IF(G29="","",G29)</f>
        <v>0</v>
      </c>
      <c r="I29" s="11">
        <f>IF(I$3=0,"",SUMIFS(INDEX(Inputs!$D$4:$AG$150,0,MATCH(I$2,Inputs!$D$2:$AG$2,0)),Inputs!$B$4:$B$150,$B29)/1000)</f>
        <v>0</v>
      </c>
      <c r="J29" s="11">
        <f>IF(J$3=0,"",SUMIFS(INDEX(Inputs!$D$4:$AG$150,0,MATCH(J$2,Inputs!$D$2:$AG$2,0)),Inputs!$B$4:$B$150,$B29)/1000)</f>
        <v>0</v>
      </c>
      <c r="K29" s="11">
        <f>IF(K$3=0,"",SUMIFS(INDEX(Inputs!$D$4:$AG$150,0,MATCH(K$2,Inputs!$D$2:$AG$2,0)),Inputs!$B$4:$B$150,$B29)/1000)</f>
        <v>0</v>
      </c>
      <c r="L29" s="11">
        <f>IF(L$3=0,"",SUMIFS(INDEX(Inputs!$D$4:$AG$150,0,MATCH(L$2,Inputs!$D$2:$AG$2,0)),Inputs!$B$4:$B$150,$B29)/1000)</f>
        <v>0</v>
      </c>
      <c r="M29" s="12">
        <f>IF(L29="","",L29)</f>
        <v>0</v>
      </c>
      <c r="N29" s="11">
        <f>IF(N$3=0,"",SUMIFS(INDEX(Inputs!$D$4:$AG$150,0,MATCH(N$2,Inputs!$D$2:$AG$2,0)),Inputs!$B$4:$B$150,$B29)/1000)</f>
        <v>0</v>
      </c>
      <c r="O29" s="11">
        <f>IF(O$3=0,"",SUMIFS(INDEX(Inputs!$D$4:$AG$150,0,MATCH(O$2,Inputs!$D$2:$AG$2,0)),Inputs!$B$4:$B$150,$B29)/1000)</f>
        <v>0</v>
      </c>
      <c r="P29" s="11">
        <f>IF(P$3=0,"",SUMIFS(INDEX(Inputs!$D$4:$AG$150,0,MATCH(P$2,Inputs!$D$2:$AG$2,0)),Inputs!$B$4:$B$150,$B29)/1000)</f>
        <v>0</v>
      </c>
      <c r="Q29" s="11">
        <f>IF(Q$3=0,"",SUMIFS(INDEX(Inputs!$D$4:$AG$150,0,MATCH(Q$2,Inputs!$D$2:$AG$2,0)),Inputs!$B$4:$B$150,$B29)/1000)</f>
        <v>0</v>
      </c>
      <c r="R29" s="12">
        <f>IF(Q29="","",Q29)</f>
        <v>0</v>
      </c>
      <c r="S29" s="11">
        <f>IF(S$3=0,"",SUMIFS(INDEX(Inputs!$D$4:$AG$150,0,MATCH(S$2,Inputs!$D$2:$AG$2,0)),Inputs!$B$4:$B$150,$B29)/1000)</f>
        <v>0</v>
      </c>
      <c r="T29" s="11">
        <f>IF(T$3=0,"",SUMIFS(INDEX(Inputs!$D$4:$AG$150,0,MATCH(T$2,Inputs!$D$2:$AG$2,0)),Inputs!$B$4:$B$150,$B29)/1000)</f>
        <v>0</v>
      </c>
      <c r="U29" s="11">
        <f>IF(U$3=0,"",SUMIFS(INDEX(Inputs!$D$4:$AG$150,0,MATCH(U$2,Inputs!$D$2:$AG$2,0)),Inputs!$B$4:$B$150,$B29)/1000)</f>
        <v>0</v>
      </c>
      <c r="V29" s="11">
        <f>IF(V$3=0,"",SUMIFS(INDEX(Inputs!$D$4:$AG$150,0,MATCH(V$2,Inputs!$D$2:$AG$2,0)),Inputs!$B$4:$B$150,$B29)/1000)</f>
        <v>0</v>
      </c>
      <c r="W29" s="12">
        <f>IF(V29="","",V29)</f>
        <v>0</v>
      </c>
      <c r="X29" s="11">
        <f>IF(X$3=0,"",SUMIFS(INDEX(Inputs!$D$4:$AG$150,0,MATCH(X$2,Inputs!$D$2:$AG$2,0)),Inputs!$B$4:$B$150,$B29)/1000)</f>
        <v>0</v>
      </c>
      <c r="Y29" s="11">
        <f>IF(Y$3=0,"",SUMIFS(INDEX(Inputs!$D$4:$AG$150,0,MATCH(Y$2,Inputs!$D$2:$AG$2,0)),Inputs!$B$4:$B$150,$B29)/1000)</f>
        <v>0</v>
      </c>
      <c r="Z29" s="11">
        <f>IF(Z$3=0,"",SUMIFS(INDEX(Inputs!$D$4:$AG$150,0,MATCH(Z$2,Inputs!$D$2:$AG$2,0)),Inputs!$B$4:$B$150,$B29)/1000)</f>
        <v>0</v>
      </c>
      <c r="AA29" s="11">
        <f>IF(AA$3=0,"",SUMIFS(INDEX(Inputs!$D$4:$AG$150,0,MATCH(AA$2,Inputs!$D$2:$AG$2,0)),Inputs!$B$4:$B$150,$B29)/1000)</f>
        <v>0</v>
      </c>
      <c r="AB29" s="12">
        <f>IF(AA29="","",AA29)</f>
        <v>0</v>
      </c>
      <c r="AC29" s="11">
        <f>IF(AC$3=0,"",SUMIFS(INDEX(Inputs!$D$4:$AG$150,0,MATCH(AC$2,Inputs!$D$2:$AG$2,0)),Inputs!$B$4:$B$150,$B29)/1000)</f>
        <v>0</v>
      </c>
      <c r="AD29" s="11">
        <f>IF(AD$3=0,"",SUMIFS(INDEX(Inputs!$D$4:$AG$150,0,MATCH(AD$2,Inputs!$D$2:$AG$2,0)),Inputs!$B$4:$B$150,$B29)/1000)</f>
        <v>0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30004</v>
      </c>
      <c r="E31" s="11">
        <f>IF(E$3=0,"",SUMIFS(INDEX(Inputs!$D$4:$AG$150,0,MATCH(E$2,Inputs!$D$2:$AG$2,0)),Inputs!$B$4:$B$150,$B31)/1000)</f>
        <v>21756</v>
      </c>
      <c r="F31" s="11">
        <f>IF(F$3=0,"",SUMIFS(INDEX(Inputs!$D$4:$AG$150,0,MATCH(F$2,Inputs!$D$2:$AG$2,0)),Inputs!$B$4:$B$150,$B31)/1000)</f>
        <v>21297</v>
      </c>
      <c r="G31" s="11">
        <f>IF(G$3=0,"",SUMIFS(INDEX(Inputs!$D$4:$AG$150,0,MATCH(G$2,Inputs!$D$2:$AG$2,0)),Inputs!$B$4:$B$150,$B31)/1000)</f>
        <v>17422</v>
      </c>
      <c r="H31" s="12">
        <f>IF(G31="","",G31)</f>
        <v>17422</v>
      </c>
      <c r="I31" s="11">
        <f>IF(I$3=0,"",SUMIFS(INDEX(Inputs!$D$4:$AG$150,0,MATCH(I$2,Inputs!$D$2:$AG$2,0)),Inputs!$B$4:$B$150,$B31)/1000)</f>
        <v>19649</v>
      </c>
      <c r="J31" s="11">
        <f>IF(J$3=0,"",SUMIFS(INDEX(Inputs!$D$4:$AG$150,0,MATCH(J$2,Inputs!$D$2:$AG$2,0)),Inputs!$B$4:$B$150,$B31)/1000)</f>
        <v>52949</v>
      </c>
      <c r="K31" s="11">
        <f>IF(K$3=0,"",SUMIFS(INDEX(Inputs!$D$4:$AG$150,0,MATCH(K$2,Inputs!$D$2:$AG$2,0)),Inputs!$B$4:$B$150,$B31)/1000)</f>
        <v>56586</v>
      </c>
      <c r="L31" s="11">
        <f>IF(L$3=0,"",SUMIFS(INDEX(Inputs!$D$4:$AG$150,0,MATCH(L$2,Inputs!$D$2:$AG$2,0)),Inputs!$B$4:$B$150,$B31)/1000)</f>
        <v>55536</v>
      </c>
      <c r="M31" s="12">
        <f>IF(L31="","",L31)</f>
        <v>55536</v>
      </c>
      <c r="N31" s="11">
        <f>IF(N$3=0,"",SUMIFS(INDEX(Inputs!$D$4:$AG$150,0,MATCH(N$2,Inputs!$D$2:$AG$2,0)),Inputs!$B$4:$B$150,$B31)/1000)</f>
        <v>58226</v>
      </c>
      <c r="O31" s="11">
        <f>IF(O$3=0,"",SUMIFS(INDEX(Inputs!$D$4:$AG$150,0,MATCH(O$2,Inputs!$D$2:$AG$2,0)),Inputs!$B$4:$B$150,$B31)/1000)</f>
        <v>62596</v>
      </c>
      <c r="P31" s="11">
        <f>IF(P$3=0,"",SUMIFS(INDEX(Inputs!$D$4:$AG$150,0,MATCH(P$2,Inputs!$D$2:$AG$2,0)),Inputs!$B$4:$B$150,$B31)/1000)</f>
        <v>63742</v>
      </c>
      <c r="Q31" s="11">
        <f>IF(Q$3=0,"",SUMIFS(INDEX(Inputs!$D$4:$AG$150,0,MATCH(Q$2,Inputs!$D$2:$AG$2,0)),Inputs!$B$4:$B$150,$B31)/1000)</f>
        <v>61525</v>
      </c>
      <c r="R31" s="12">
        <f>IF(Q31="","",Q31)</f>
        <v>61525</v>
      </c>
      <c r="S31" s="11">
        <f>IF(S$3=0,"",SUMIFS(INDEX(Inputs!$D$4:$AG$150,0,MATCH(S$2,Inputs!$D$2:$AG$2,0)),Inputs!$B$4:$B$150,$B31)/1000)</f>
        <v>64652</v>
      </c>
      <c r="T31" s="11">
        <f>IF(T$3=0,"",SUMIFS(INDEX(Inputs!$D$4:$AG$150,0,MATCH(T$2,Inputs!$D$2:$AG$2,0)),Inputs!$B$4:$B$150,$B31)/1000)</f>
        <v>68917</v>
      </c>
      <c r="U31" s="11">
        <f>IF(U$3=0,"",SUMIFS(INDEX(Inputs!$D$4:$AG$150,0,MATCH(U$2,Inputs!$D$2:$AG$2,0)),Inputs!$B$4:$B$150,$B31)/1000)</f>
        <v>70384</v>
      </c>
      <c r="V31" s="11">
        <f>IF(V$3=0,"",SUMIFS(INDEX(Inputs!$D$4:$AG$150,0,MATCH(V$2,Inputs!$D$2:$AG$2,0)),Inputs!$B$4:$B$150,$B31)/1000)</f>
        <v>67296</v>
      </c>
      <c r="W31" s="12">
        <f>IF(V31="","",V31)</f>
        <v>67296</v>
      </c>
      <c r="X31" s="11">
        <f>IF(X$3=0,"",SUMIFS(INDEX(Inputs!$D$4:$AG$150,0,MATCH(X$2,Inputs!$D$2:$AG$2,0)),Inputs!$B$4:$B$150,$B31)/1000)</f>
        <v>65481</v>
      </c>
      <c r="Y31" s="11">
        <f>IF(Y$3=0,"",SUMIFS(INDEX(Inputs!$D$4:$AG$150,0,MATCH(Y$2,Inputs!$D$2:$AG$2,0)),Inputs!$B$4:$B$150,$B31)/1000)</f>
        <v>67457</v>
      </c>
      <c r="Z31" s="11">
        <f>IF(Z$3=0,"",SUMIFS(INDEX(Inputs!$D$4:$AG$150,0,MATCH(Z$2,Inputs!$D$2:$AG$2,0)),Inputs!$B$4:$B$150,$B31)/1000)</f>
        <v>65759</v>
      </c>
      <c r="AA31" s="11">
        <f>IF(AA$3=0,"",SUMIFS(INDEX(Inputs!$D$4:$AG$150,0,MATCH(AA$2,Inputs!$D$2:$AG$2,0)),Inputs!$B$4:$B$150,$B31)/1000)</f>
        <v>62253</v>
      </c>
      <c r="AB31" s="12">
        <f>IF(AA31="","",AA31)</f>
        <v>62253</v>
      </c>
      <c r="AC31" s="11">
        <f>IF(AC$3=0,"",SUMIFS(INDEX(Inputs!$D$4:$AG$150,0,MATCH(AC$2,Inputs!$D$2:$AG$2,0)),Inputs!$B$4:$B$150,$B31)/1000)</f>
        <v>63487</v>
      </c>
      <c r="AD31" s="11">
        <f>IF(AD$3=0,"",SUMIFS(INDEX(Inputs!$D$4:$AG$150,0,MATCH(AD$2,Inputs!$D$2:$AG$2,0)),Inputs!$B$4:$B$150,$B31)/1000)</f>
        <v>62040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33346</v>
      </c>
      <c r="E32" s="11">
        <f>IF(E$3=0,"",SUMIFS(INDEX(Inputs!$D$4:$AG$150,0,MATCH(E$2,Inputs!$D$2:$AG$2,0)),Inputs!$B$4:$B$150,$B32)/1000)</f>
        <v>42684</v>
      </c>
      <c r="F32" s="11">
        <f>IF(F$3=0,"",SUMIFS(INDEX(Inputs!$D$4:$AG$150,0,MATCH(F$2,Inputs!$D$2:$AG$2,0)),Inputs!$B$4:$B$150,$B32)/1000)</f>
        <v>43807</v>
      </c>
      <c r="G32" s="11">
        <f>IF(G$3=0,"",SUMIFS(INDEX(Inputs!$D$4:$AG$150,0,MATCH(G$2,Inputs!$D$2:$AG$2,0)),Inputs!$B$4:$B$150,$B32)/1000)</f>
        <v>43828</v>
      </c>
      <c r="H32" s="12">
        <f>IF(G32="","",G32)</f>
        <v>43828</v>
      </c>
      <c r="I32" s="11">
        <f>IF(I$3=0,"",SUMIFS(INDEX(Inputs!$D$4:$AG$150,0,MATCH(I$2,Inputs!$D$2:$AG$2,0)),Inputs!$B$4:$B$150,$B32)/1000)</f>
        <v>44860</v>
      </c>
      <c r="J32" s="11">
        <f>IF(J$3=0,"",SUMIFS(INDEX(Inputs!$D$4:$AG$150,0,MATCH(J$2,Inputs!$D$2:$AG$2,0)),Inputs!$B$4:$B$150,$B32)/1000)</f>
        <v>14176</v>
      </c>
      <c r="K32" s="11">
        <f>IF(K$3=0,"",SUMIFS(INDEX(Inputs!$D$4:$AG$150,0,MATCH(K$2,Inputs!$D$2:$AG$2,0)),Inputs!$B$4:$B$150,$B32)/1000)</f>
        <v>12592</v>
      </c>
      <c r="L32" s="11">
        <f>IF(L$3=0,"",SUMIFS(INDEX(Inputs!$D$4:$AG$150,0,MATCH(L$2,Inputs!$D$2:$AG$2,0)),Inputs!$B$4:$B$150,$B32)/1000)</f>
        <v>14129</v>
      </c>
      <c r="M32" s="12">
        <f>IF(L32="","",L32)</f>
        <v>14129</v>
      </c>
      <c r="N32" s="11">
        <f>IF(N$3=0,"",SUMIFS(INDEX(Inputs!$D$4:$AG$150,0,MATCH(N$2,Inputs!$D$2:$AG$2,0)),Inputs!$B$4:$B$150,$B32)/1000)</f>
        <v>17109</v>
      </c>
      <c r="O32" s="11">
        <f>IF(O$3=0,"",SUMIFS(INDEX(Inputs!$D$4:$AG$150,0,MATCH(O$2,Inputs!$D$2:$AG$2,0)),Inputs!$B$4:$B$150,$B32)/1000)</f>
        <v>17143</v>
      </c>
      <c r="P32" s="11">
        <f>IF(P$3=0,"",SUMIFS(INDEX(Inputs!$D$4:$AG$150,0,MATCH(P$2,Inputs!$D$2:$AG$2,0)),Inputs!$B$4:$B$150,$B32)/1000)</f>
        <v>17939</v>
      </c>
      <c r="Q32" s="11">
        <f>IF(Q$3=0,"",SUMIFS(INDEX(Inputs!$D$4:$AG$150,0,MATCH(Q$2,Inputs!$D$2:$AG$2,0)),Inputs!$B$4:$B$150,$B32)/1000)</f>
        <v>17117</v>
      </c>
      <c r="R32" s="12">
        <f>IF(Q32="","",Q32)</f>
        <v>17117</v>
      </c>
      <c r="S32" s="11">
        <f>IF(S$3=0,"",SUMIFS(INDEX(Inputs!$D$4:$AG$150,0,MATCH(S$2,Inputs!$D$2:$AG$2,0)),Inputs!$B$4:$B$150,$B32)/1000)</f>
        <v>17699</v>
      </c>
      <c r="T32" s="11">
        <f>IF(T$3=0,"",SUMIFS(INDEX(Inputs!$D$4:$AG$150,0,MATCH(T$2,Inputs!$D$2:$AG$2,0)),Inputs!$B$4:$B$150,$B32)/1000)</f>
        <v>15294</v>
      </c>
      <c r="U32" s="11">
        <f>IF(U$3=0,"",SUMIFS(INDEX(Inputs!$D$4:$AG$150,0,MATCH(U$2,Inputs!$D$2:$AG$2,0)),Inputs!$B$4:$B$150,$B32)/1000)</f>
        <v>13533</v>
      </c>
      <c r="V32" s="11">
        <f>IF(V$3=0,"",SUMIFS(INDEX(Inputs!$D$4:$AG$150,0,MATCH(V$2,Inputs!$D$2:$AG$2,0)),Inputs!$B$4:$B$150,$B32)/1000)</f>
        <v>12811</v>
      </c>
      <c r="W32" s="12">
        <f>IF(V32="","",V32)</f>
        <v>12811</v>
      </c>
      <c r="X32" s="11">
        <f>IF(X$3=0,"",SUMIFS(INDEX(Inputs!$D$4:$AG$150,0,MATCH(X$2,Inputs!$D$2:$AG$2,0)),Inputs!$B$4:$B$150,$B32)/1000)</f>
        <v>15948</v>
      </c>
      <c r="Y32" s="11">
        <f>IF(Y$3=0,"",SUMIFS(INDEX(Inputs!$D$4:$AG$150,0,MATCH(Y$2,Inputs!$D$2:$AG$2,0)),Inputs!$B$4:$B$150,$B32)/1000)</f>
        <v>14607</v>
      </c>
      <c r="Z32" s="11">
        <f>IF(Z$3=0,"",SUMIFS(INDEX(Inputs!$D$4:$AG$150,0,MATCH(Z$2,Inputs!$D$2:$AG$2,0)),Inputs!$B$4:$B$150,$B32)/1000)</f>
        <v>13796</v>
      </c>
      <c r="AA32" s="11">
        <f>IF(AA$3=0,"",SUMIFS(INDEX(Inputs!$D$4:$AG$150,0,MATCH(AA$2,Inputs!$D$2:$AG$2,0)),Inputs!$B$4:$B$150,$B32)/1000)</f>
        <v>14392</v>
      </c>
      <c r="AB32" s="12">
        <f>IF(AA32="","",AA32)</f>
        <v>14392</v>
      </c>
      <c r="AC32" s="11">
        <f>IF(AC$3=0,"",SUMIFS(INDEX(Inputs!$D$4:$AG$150,0,MATCH(AC$2,Inputs!$D$2:$AG$2,0)),Inputs!$B$4:$B$150,$B32)/1000)</f>
        <v>15632</v>
      </c>
      <c r="AD32" s="11">
        <f>IF(AD$3=0,"",SUMIFS(INDEX(Inputs!$D$4:$AG$150,0,MATCH(AD$2,Inputs!$D$2:$AG$2,0)),Inputs!$B$4:$B$150,$B32)/1000)</f>
        <v>17115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0</v>
      </c>
      <c r="E35" s="11">
        <f>IF(E$3=0,"",SUMIFS(INDEX(Inputs!$D$4:$AG$150,0,MATCH(E$2,Inputs!$D$2:$AG$2,0)),Inputs!$B$4:$B$150,$B35)/1000)</f>
        <v>0</v>
      </c>
      <c r="F35" s="11">
        <f>IF(F$3=0,"",SUMIFS(INDEX(Inputs!$D$4:$AG$150,0,MATCH(F$2,Inputs!$D$2:$AG$2,0)),Inputs!$B$4:$B$150,$B35)/1000)</f>
        <v>0</v>
      </c>
      <c r="G35" s="11">
        <f>IF(G$3=0,"",SUMIFS(INDEX(Inputs!$D$4:$AG$150,0,MATCH(G$2,Inputs!$D$2:$AG$2,0)),Inputs!$B$4:$B$150,$B35)/1000)</f>
        <v>0</v>
      </c>
      <c r="H35" s="12">
        <f>IF(G35="","",G35)</f>
        <v>0</v>
      </c>
      <c r="I35" s="11">
        <f>IF(I$3=0,"",SUMIFS(INDEX(Inputs!$D$4:$AG$150,0,MATCH(I$2,Inputs!$D$2:$AG$2,0)),Inputs!$B$4:$B$150,$B35)/1000)</f>
        <v>0</v>
      </c>
      <c r="J35" s="11">
        <f>IF(J$3=0,"",SUMIFS(INDEX(Inputs!$D$4:$AG$150,0,MATCH(J$2,Inputs!$D$2:$AG$2,0)),Inputs!$B$4:$B$150,$B35)/1000)</f>
        <v>0</v>
      </c>
      <c r="K35" s="11">
        <f>IF(K$3=0,"",SUMIFS(INDEX(Inputs!$D$4:$AG$150,0,MATCH(K$2,Inputs!$D$2:$AG$2,0)),Inputs!$B$4:$B$150,$B35)/1000)</f>
        <v>0</v>
      </c>
      <c r="L35" s="11">
        <f>IF(L$3=0,"",SUMIFS(INDEX(Inputs!$D$4:$AG$150,0,MATCH(L$2,Inputs!$D$2:$AG$2,0)),Inputs!$B$4:$B$150,$B35)/1000)</f>
        <v>0</v>
      </c>
      <c r="M35" s="12">
        <f>IF(L35="","",L35)</f>
        <v>0</v>
      </c>
      <c r="N35" s="11">
        <f>IF(N$3=0,"",SUMIFS(INDEX(Inputs!$D$4:$AG$150,0,MATCH(N$2,Inputs!$D$2:$AG$2,0)),Inputs!$B$4:$B$150,$B35)/1000)</f>
        <v>0</v>
      </c>
      <c r="O35" s="11">
        <f>IF(O$3=0,"",SUMIFS(INDEX(Inputs!$D$4:$AG$150,0,MATCH(O$2,Inputs!$D$2:$AG$2,0)),Inputs!$B$4:$B$150,$B35)/1000)</f>
        <v>0</v>
      </c>
      <c r="P35" s="11">
        <f>IF(P$3=0,"",SUMIFS(INDEX(Inputs!$D$4:$AG$150,0,MATCH(P$2,Inputs!$D$2:$AG$2,0)),Inputs!$B$4:$B$150,$B35)/1000)</f>
        <v>0</v>
      </c>
      <c r="Q35" s="11">
        <f>IF(Q$3=0,"",SUMIFS(INDEX(Inputs!$D$4:$AG$150,0,MATCH(Q$2,Inputs!$D$2:$AG$2,0)),Inputs!$B$4:$B$150,$B35)/1000)</f>
        <v>0</v>
      </c>
      <c r="R35" s="12">
        <f>IF(Q35="","",Q35)</f>
        <v>0</v>
      </c>
      <c r="S35" s="11">
        <f>IF(S$3=0,"",SUMIFS(INDEX(Inputs!$D$4:$AG$150,0,MATCH(S$2,Inputs!$D$2:$AG$2,0)),Inputs!$B$4:$B$150,$B35)/1000)</f>
        <v>0</v>
      </c>
      <c r="T35" s="11">
        <f>IF(T$3=0,"",SUMIFS(INDEX(Inputs!$D$4:$AG$150,0,MATCH(T$2,Inputs!$D$2:$AG$2,0)),Inputs!$B$4:$B$150,$B35)/1000)</f>
        <v>0</v>
      </c>
      <c r="U35" s="11">
        <f>IF(U$3=0,"",SUMIFS(INDEX(Inputs!$D$4:$AG$150,0,MATCH(U$2,Inputs!$D$2:$AG$2,0)),Inputs!$B$4:$B$150,$B35)/1000)</f>
        <v>0</v>
      </c>
      <c r="V35" s="11">
        <f>IF(V$3=0,"",SUMIFS(INDEX(Inputs!$D$4:$AG$150,0,MATCH(V$2,Inputs!$D$2:$AG$2,0)),Inputs!$B$4:$B$150,$B35)/1000)</f>
        <v>0</v>
      </c>
      <c r="W35" s="12">
        <f>IF(V35="","",V35)</f>
        <v>0</v>
      </c>
      <c r="X35" s="11">
        <f>IF(X$3=0,"",SUMIFS(INDEX(Inputs!$D$4:$AG$150,0,MATCH(X$2,Inputs!$D$2:$AG$2,0)),Inputs!$B$4:$B$150,$B35)/1000)</f>
        <v>0</v>
      </c>
      <c r="Y35" s="11">
        <f>IF(Y$3=0,"",SUMIFS(INDEX(Inputs!$D$4:$AG$150,0,MATCH(Y$2,Inputs!$D$2:$AG$2,0)),Inputs!$B$4:$B$150,$B35)/1000)</f>
        <v>0</v>
      </c>
      <c r="Z35" s="11">
        <f>IF(Z$3=0,"",SUMIFS(INDEX(Inputs!$D$4:$AG$150,0,MATCH(Z$2,Inputs!$D$2:$AG$2,0)),Inputs!$B$4:$B$150,$B35)/1000)</f>
        <v>0</v>
      </c>
      <c r="AA35" s="11">
        <f>IF(AA$3=0,"",SUMIFS(INDEX(Inputs!$D$4:$AG$150,0,MATCH(AA$2,Inputs!$D$2:$AG$2,0)),Inputs!$B$4:$B$150,$B35)/1000)</f>
        <v>0</v>
      </c>
      <c r="AB35" s="12">
        <f>IF(AA35="","",AA35)</f>
        <v>0</v>
      </c>
      <c r="AC35" s="11">
        <f>IF(AC$3=0,"",SUMIFS(INDEX(Inputs!$D$4:$AG$150,0,MATCH(AC$2,Inputs!$D$2:$AG$2,0)),Inputs!$B$4:$B$150,$B35)/1000)</f>
        <v>0</v>
      </c>
      <c r="AD35" s="11">
        <f>IF(AD$3=0,"",SUMIFS(INDEX(Inputs!$D$4:$AG$150,0,MATCH(AD$2,Inputs!$D$2:$AG$2,0)),Inputs!$B$4:$B$150,$B35)/1000)</f>
        <v>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533</v>
      </c>
      <c r="E38" s="11">
        <f>IF(E$3=0,"",SUMIFS(INDEX(Inputs!$D$4:$AG$150,0,MATCH(E$2,Inputs!$D$2:$AG$2,0)),Inputs!$B$4:$B$150,$B38)/1000)</f>
        <v>515</v>
      </c>
      <c r="F38" s="11">
        <f>IF(F$3=0,"",SUMIFS(INDEX(Inputs!$D$4:$AG$150,0,MATCH(F$2,Inputs!$D$2:$AG$2,0)),Inputs!$B$4:$B$150,$B38)/1000)</f>
        <v>576</v>
      </c>
      <c r="G38" s="11">
        <f>IF(G$3=0,"",SUMIFS(INDEX(Inputs!$D$4:$AG$150,0,MATCH(G$2,Inputs!$D$2:$AG$2,0)),Inputs!$B$4:$B$150,$B38)/1000)</f>
        <v>556</v>
      </c>
      <c r="H38" s="12">
        <f>IF(G38="","",G38)</f>
        <v>556</v>
      </c>
      <c r="I38" s="11">
        <f>IF(I$3=0,"",SUMIFS(INDEX(Inputs!$D$4:$AG$150,0,MATCH(I$2,Inputs!$D$2:$AG$2,0)),Inputs!$B$4:$B$150,$B38)/1000)</f>
        <v>584</v>
      </c>
      <c r="J38" s="11">
        <f>IF(J$3=0,"",SUMIFS(INDEX(Inputs!$D$4:$AG$150,0,MATCH(J$2,Inputs!$D$2:$AG$2,0)),Inputs!$B$4:$B$150,$B38)/1000)</f>
        <v>561</v>
      </c>
      <c r="K38" s="11">
        <f>IF(K$3=0,"",SUMIFS(INDEX(Inputs!$D$4:$AG$150,0,MATCH(K$2,Inputs!$D$2:$AG$2,0)),Inputs!$B$4:$B$150,$B38)/1000)</f>
        <v>495</v>
      </c>
      <c r="L38" s="11">
        <f>IF(L$3=0,"",SUMIFS(INDEX(Inputs!$D$4:$AG$150,0,MATCH(L$2,Inputs!$D$2:$AG$2,0)),Inputs!$B$4:$B$150,$B38)/1000)</f>
        <v>519</v>
      </c>
      <c r="M38" s="12">
        <f>IF(L38="","",L38)</f>
        <v>519</v>
      </c>
      <c r="N38" s="11">
        <f>IF(N$3=0,"",SUMIFS(INDEX(Inputs!$D$4:$AG$150,0,MATCH(N$2,Inputs!$D$2:$AG$2,0)),Inputs!$B$4:$B$150,$B38)/1000)</f>
        <v>511</v>
      </c>
      <c r="O38" s="11">
        <f>IF(O$3=0,"",SUMIFS(INDEX(Inputs!$D$4:$AG$150,0,MATCH(O$2,Inputs!$D$2:$AG$2,0)),Inputs!$B$4:$B$150,$B38)/1000)</f>
        <v>506</v>
      </c>
      <c r="P38" s="11">
        <f>IF(P$3=0,"",SUMIFS(INDEX(Inputs!$D$4:$AG$150,0,MATCH(P$2,Inputs!$D$2:$AG$2,0)),Inputs!$B$4:$B$150,$B38)/1000)</f>
        <v>520</v>
      </c>
      <c r="Q38" s="11">
        <f>IF(Q$3=0,"",SUMIFS(INDEX(Inputs!$D$4:$AG$150,0,MATCH(Q$2,Inputs!$D$2:$AG$2,0)),Inputs!$B$4:$B$150,$B38)/1000)</f>
        <v>550</v>
      </c>
      <c r="R38" s="12">
        <f>IF(Q38="","",Q38)</f>
        <v>550</v>
      </c>
      <c r="S38" s="11">
        <f>IF(S$3=0,"",SUMIFS(INDEX(Inputs!$D$4:$AG$150,0,MATCH(S$2,Inputs!$D$2:$AG$2,0)),Inputs!$B$4:$B$150,$B38)/1000)</f>
        <v>491</v>
      </c>
      <c r="T38" s="11">
        <f>IF(T$3=0,"",SUMIFS(INDEX(Inputs!$D$4:$AG$150,0,MATCH(T$2,Inputs!$D$2:$AG$2,0)),Inputs!$B$4:$B$150,$B38)/1000)</f>
        <v>481</v>
      </c>
      <c r="U38" s="11">
        <f>IF(U$3=0,"",SUMIFS(INDEX(Inputs!$D$4:$AG$150,0,MATCH(U$2,Inputs!$D$2:$AG$2,0)),Inputs!$B$4:$B$150,$B38)/1000)</f>
        <v>478</v>
      </c>
      <c r="V38" s="11">
        <f>IF(V$3=0,"",SUMIFS(INDEX(Inputs!$D$4:$AG$150,0,MATCH(V$2,Inputs!$D$2:$AG$2,0)),Inputs!$B$4:$B$150,$B38)/1000)</f>
        <v>448</v>
      </c>
      <c r="W38" s="12">
        <f>IF(V38="","",V38)</f>
        <v>448</v>
      </c>
      <c r="X38" s="11">
        <f>IF(X$3=0,"",SUMIFS(INDEX(Inputs!$D$4:$AG$150,0,MATCH(X$2,Inputs!$D$2:$AG$2,0)),Inputs!$B$4:$B$150,$B38)/1000)</f>
        <v>496</v>
      </c>
      <c r="Y38" s="11">
        <f>IF(Y$3=0,"",SUMIFS(INDEX(Inputs!$D$4:$AG$150,0,MATCH(Y$2,Inputs!$D$2:$AG$2,0)),Inputs!$B$4:$B$150,$B38)/1000)</f>
        <v>489</v>
      </c>
      <c r="Z38" s="11">
        <f>IF(Z$3=0,"",SUMIFS(INDEX(Inputs!$D$4:$AG$150,0,MATCH(Z$2,Inputs!$D$2:$AG$2,0)),Inputs!$B$4:$B$150,$B38)/1000)</f>
        <v>434</v>
      </c>
      <c r="AA38" s="11">
        <f>IF(AA$3=0,"",SUMIFS(INDEX(Inputs!$D$4:$AG$150,0,MATCH(AA$2,Inputs!$D$2:$AG$2,0)),Inputs!$B$4:$B$150,$B38)/1000)</f>
        <v>434</v>
      </c>
      <c r="AB38" s="12">
        <f>IF(AA38="","",AA38)</f>
        <v>434</v>
      </c>
      <c r="AC38" s="11">
        <f>IF(AC$3=0,"",SUMIFS(INDEX(Inputs!$D$4:$AG$150,0,MATCH(AC$2,Inputs!$D$2:$AG$2,0)),Inputs!$B$4:$B$150,$B38)/1000)</f>
        <v>422</v>
      </c>
      <c r="AD38" s="11">
        <f>IF(AD$3=0,"",SUMIFS(INDEX(Inputs!$D$4:$AG$150,0,MATCH(AD$2,Inputs!$D$2:$AG$2,0)),Inputs!$B$4:$B$150,$B38)/1000)</f>
        <v>411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0</v>
      </c>
      <c r="E39" s="11">
        <f>IF(E$3=0,"",SUMIFS(INDEX(Inputs!$D$4:$AG$150,0,MATCH(E$2,Inputs!$D$2:$AG$2,0)),Inputs!$B$4:$B$150,$B39)/1000)</f>
        <v>0</v>
      </c>
      <c r="F39" s="11">
        <f>IF(F$3=0,"",SUMIFS(INDEX(Inputs!$D$4:$AG$150,0,MATCH(F$2,Inputs!$D$2:$AG$2,0)),Inputs!$B$4:$B$150,$B39)/1000)</f>
        <v>0</v>
      </c>
      <c r="G39" s="11">
        <f>IF(G$3=0,"",SUMIFS(INDEX(Inputs!$D$4:$AG$150,0,MATCH(G$2,Inputs!$D$2:$AG$2,0)),Inputs!$B$4:$B$150,$B39)/1000)</f>
        <v>0</v>
      </c>
      <c r="H39" s="12">
        <f>IF(G39="","",G39)</f>
        <v>0</v>
      </c>
      <c r="I39" s="11">
        <f>IF(I$3=0,"",SUMIFS(INDEX(Inputs!$D$4:$AG$150,0,MATCH(I$2,Inputs!$D$2:$AG$2,0)),Inputs!$B$4:$B$150,$B39)/1000)</f>
        <v>0</v>
      </c>
      <c r="J39" s="11">
        <f>IF(J$3=0,"",SUMIFS(INDEX(Inputs!$D$4:$AG$150,0,MATCH(J$2,Inputs!$D$2:$AG$2,0)),Inputs!$B$4:$B$150,$B39)/1000)</f>
        <v>0</v>
      </c>
      <c r="K39" s="11">
        <f>IF(K$3=0,"",SUMIFS(INDEX(Inputs!$D$4:$AG$150,0,MATCH(K$2,Inputs!$D$2:$AG$2,0)),Inputs!$B$4:$B$150,$B39)/1000)</f>
        <v>0</v>
      </c>
      <c r="L39" s="11">
        <f>IF(L$3=0,"",SUMIFS(INDEX(Inputs!$D$4:$AG$150,0,MATCH(L$2,Inputs!$D$2:$AG$2,0)),Inputs!$B$4:$B$150,$B39)/1000)</f>
        <v>0</v>
      </c>
      <c r="M39" s="12">
        <f>IF(L39="","",L39)</f>
        <v>0</v>
      </c>
      <c r="N39" s="11">
        <f>IF(N$3=0,"",SUMIFS(INDEX(Inputs!$D$4:$AG$150,0,MATCH(N$2,Inputs!$D$2:$AG$2,0)),Inputs!$B$4:$B$150,$B39)/1000)</f>
        <v>0</v>
      </c>
      <c r="O39" s="11">
        <f>IF(O$3=0,"",SUMIFS(INDEX(Inputs!$D$4:$AG$150,0,MATCH(O$2,Inputs!$D$2:$AG$2,0)),Inputs!$B$4:$B$150,$B39)/1000)</f>
        <v>0</v>
      </c>
      <c r="P39" s="11">
        <f>IF(P$3=0,"",SUMIFS(INDEX(Inputs!$D$4:$AG$150,0,MATCH(P$2,Inputs!$D$2:$AG$2,0)),Inputs!$B$4:$B$150,$B39)/1000)</f>
        <v>0</v>
      </c>
      <c r="Q39" s="11">
        <f>IF(Q$3=0,"",SUMIFS(INDEX(Inputs!$D$4:$AG$150,0,MATCH(Q$2,Inputs!$D$2:$AG$2,0)),Inputs!$B$4:$B$150,$B39)/1000)</f>
        <v>0</v>
      </c>
      <c r="R39" s="12">
        <f>IF(Q39="","",Q39)</f>
        <v>0</v>
      </c>
      <c r="S39" s="11">
        <f>IF(S$3=0,"",SUMIFS(INDEX(Inputs!$D$4:$AG$150,0,MATCH(S$2,Inputs!$D$2:$AG$2,0)),Inputs!$B$4:$B$150,$B39)/1000)</f>
        <v>0</v>
      </c>
      <c r="T39" s="11">
        <f>IF(T$3=0,"",SUMIFS(INDEX(Inputs!$D$4:$AG$150,0,MATCH(T$2,Inputs!$D$2:$AG$2,0)),Inputs!$B$4:$B$150,$B39)/1000)</f>
        <v>0</v>
      </c>
      <c r="U39" s="11">
        <f>IF(U$3=0,"",SUMIFS(INDEX(Inputs!$D$4:$AG$150,0,MATCH(U$2,Inputs!$D$2:$AG$2,0)),Inputs!$B$4:$B$150,$B39)/1000)</f>
        <v>0</v>
      </c>
      <c r="V39" s="11">
        <f>IF(V$3=0,"",SUMIFS(INDEX(Inputs!$D$4:$AG$150,0,MATCH(V$2,Inputs!$D$2:$AG$2,0)),Inputs!$B$4:$B$150,$B39)/1000)</f>
        <v>0</v>
      </c>
      <c r="W39" s="12">
        <f>IF(V39="","",V39)</f>
        <v>0</v>
      </c>
      <c r="X39" s="11">
        <f>IF(X$3=0,"",SUMIFS(INDEX(Inputs!$D$4:$AG$150,0,MATCH(X$2,Inputs!$D$2:$AG$2,0)),Inputs!$B$4:$B$150,$B39)/1000)</f>
        <v>0</v>
      </c>
      <c r="Y39" s="11">
        <f>IF(Y$3=0,"",SUMIFS(INDEX(Inputs!$D$4:$AG$150,0,MATCH(Y$2,Inputs!$D$2:$AG$2,0)),Inputs!$B$4:$B$150,$B39)/1000)</f>
        <v>0</v>
      </c>
      <c r="Z39" s="11">
        <f>IF(Z$3=0,"",SUMIFS(INDEX(Inputs!$D$4:$AG$150,0,MATCH(Z$2,Inputs!$D$2:$AG$2,0)),Inputs!$B$4:$B$150,$B39)/1000)</f>
        <v>0</v>
      </c>
      <c r="AA39" s="11">
        <f>IF(AA$3=0,"",SUMIFS(INDEX(Inputs!$D$4:$AG$150,0,MATCH(AA$2,Inputs!$D$2:$AG$2,0)),Inputs!$B$4:$B$150,$B39)/1000)</f>
        <v>0</v>
      </c>
      <c r="AB39" s="12">
        <f>IF(AA39="","",AA39)</f>
        <v>0</v>
      </c>
      <c r="AC39" s="11">
        <f>IF(AC$3=0,"",SUMIFS(INDEX(Inputs!$D$4:$AG$150,0,MATCH(AC$2,Inputs!$D$2:$AG$2,0)),Inputs!$B$4:$B$150,$B39)/1000)</f>
        <v>0</v>
      </c>
      <c r="AD39" s="11">
        <f>IF(AD$3=0,"",SUMIFS(INDEX(Inputs!$D$4:$AG$150,0,MATCH(AD$2,Inputs!$D$2:$AG$2,0)),Inputs!$B$4:$B$150,$B39)/1000)</f>
        <v>0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4</v>
      </c>
      <c r="E41" s="11">
        <f>IF(E$3=0,"",SUMIFS(INDEX(Inputs!$D$4:$AG$150,0,MATCH(E$2,Inputs!$D$2:$AG$2,0)),Inputs!$B$4:$B$150,$B41)/1000)</f>
        <v>2</v>
      </c>
      <c r="F41" s="11">
        <f>IF(F$3=0,"",SUMIFS(INDEX(Inputs!$D$4:$AG$150,0,MATCH(F$2,Inputs!$D$2:$AG$2,0)),Inputs!$B$4:$B$150,$B41)/1000)</f>
        <v>3</v>
      </c>
      <c r="G41" s="11">
        <f>IF(G$3=0,"",SUMIFS(INDEX(Inputs!$D$4:$AG$150,0,MATCH(G$2,Inputs!$D$2:$AG$2,0)),Inputs!$B$4:$B$150,$B41)/1000)</f>
        <v>4</v>
      </c>
      <c r="H41" s="12">
        <f>IF(G41="","",G41)</f>
        <v>4</v>
      </c>
      <c r="I41" s="11">
        <f>IF(I$3=0,"",SUMIFS(INDEX(Inputs!$D$4:$AG$150,0,MATCH(I$2,Inputs!$D$2:$AG$2,0)),Inputs!$B$4:$B$150,$B41)/1000)</f>
        <v>102</v>
      </c>
      <c r="J41" s="11">
        <f>IF(J$3=0,"",SUMIFS(INDEX(Inputs!$D$4:$AG$150,0,MATCH(J$2,Inputs!$D$2:$AG$2,0)),Inputs!$B$4:$B$150,$B41)/1000)</f>
        <v>98</v>
      </c>
      <c r="K41" s="11">
        <f>IF(K$3=0,"",SUMIFS(INDEX(Inputs!$D$4:$AG$150,0,MATCH(K$2,Inputs!$D$2:$AG$2,0)),Inputs!$B$4:$B$150,$B41)/1000)</f>
        <v>95</v>
      </c>
      <c r="L41" s="11">
        <f>IF(L$3=0,"",SUMIFS(INDEX(Inputs!$D$4:$AG$150,0,MATCH(L$2,Inputs!$D$2:$AG$2,0)),Inputs!$B$4:$B$150,$B41)/1000)</f>
        <v>104</v>
      </c>
      <c r="M41" s="12">
        <f>IF(L41="","",L41)</f>
        <v>104</v>
      </c>
      <c r="N41" s="11">
        <f>IF(N$3=0,"",SUMIFS(INDEX(Inputs!$D$4:$AG$150,0,MATCH(N$2,Inputs!$D$2:$AG$2,0)),Inputs!$B$4:$B$150,$B41)/1000)</f>
        <v>106</v>
      </c>
      <c r="O41" s="11">
        <f>IF(O$3=0,"",SUMIFS(INDEX(Inputs!$D$4:$AG$150,0,MATCH(O$2,Inputs!$D$2:$AG$2,0)),Inputs!$B$4:$B$150,$B41)/1000)</f>
        <v>104</v>
      </c>
      <c r="P41" s="11">
        <f>IF(P$3=0,"",SUMIFS(INDEX(Inputs!$D$4:$AG$150,0,MATCH(P$2,Inputs!$D$2:$AG$2,0)),Inputs!$B$4:$B$150,$B41)/1000)</f>
        <v>101</v>
      </c>
      <c r="Q41" s="11">
        <f>IF(Q$3=0,"",SUMIFS(INDEX(Inputs!$D$4:$AG$150,0,MATCH(Q$2,Inputs!$D$2:$AG$2,0)),Inputs!$B$4:$B$150,$B41)/1000)</f>
        <v>104</v>
      </c>
      <c r="R41" s="12">
        <f>IF(Q41="","",Q41)</f>
        <v>104</v>
      </c>
      <c r="S41" s="11">
        <f>IF(S$3=0,"",SUMIFS(INDEX(Inputs!$D$4:$AG$150,0,MATCH(S$2,Inputs!$D$2:$AG$2,0)),Inputs!$B$4:$B$150,$B41)/1000)</f>
        <v>102</v>
      </c>
      <c r="T41" s="11">
        <f>IF(T$3=0,"",SUMIFS(INDEX(Inputs!$D$4:$AG$150,0,MATCH(T$2,Inputs!$D$2:$AG$2,0)),Inputs!$B$4:$B$150,$B41)/1000)</f>
        <v>87</v>
      </c>
      <c r="U41" s="11">
        <f>IF(U$3=0,"",SUMIFS(INDEX(Inputs!$D$4:$AG$150,0,MATCH(U$2,Inputs!$D$2:$AG$2,0)),Inputs!$B$4:$B$150,$B41)/1000)</f>
        <v>89</v>
      </c>
      <c r="V41" s="11">
        <f>IF(V$3=0,"",SUMIFS(INDEX(Inputs!$D$4:$AG$150,0,MATCH(V$2,Inputs!$D$2:$AG$2,0)),Inputs!$B$4:$B$150,$B41)/1000)</f>
        <v>85</v>
      </c>
      <c r="W41" s="12">
        <f>IF(V41="","",V41)</f>
        <v>85</v>
      </c>
      <c r="X41" s="11">
        <f>IF(X$3=0,"",SUMIFS(INDEX(Inputs!$D$4:$AG$150,0,MATCH(X$2,Inputs!$D$2:$AG$2,0)),Inputs!$B$4:$B$150,$B41)/1000)</f>
        <v>91</v>
      </c>
      <c r="Y41" s="11">
        <f>IF(Y$3=0,"",SUMIFS(INDEX(Inputs!$D$4:$AG$150,0,MATCH(Y$2,Inputs!$D$2:$AG$2,0)),Inputs!$B$4:$B$150,$B41)/1000)</f>
        <v>89</v>
      </c>
      <c r="Z41" s="11">
        <f>IF(Z$3=0,"",SUMIFS(INDEX(Inputs!$D$4:$AG$150,0,MATCH(Z$2,Inputs!$D$2:$AG$2,0)),Inputs!$B$4:$B$150,$B41)/1000)</f>
        <v>57</v>
      </c>
      <c r="AA41" s="11">
        <f>IF(AA$3=0,"",SUMIFS(INDEX(Inputs!$D$4:$AG$150,0,MATCH(AA$2,Inputs!$D$2:$AG$2,0)),Inputs!$B$4:$B$150,$B41)/1000)</f>
        <v>57</v>
      </c>
      <c r="AB41" s="12">
        <f>IF(AA41="","",AA41)</f>
        <v>57</v>
      </c>
      <c r="AC41" s="11">
        <f>IF(AC$3=0,"",SUMIFS(INDEX(Inputs!$D$4:$AG$150,0,MATCH(AC$2,Inputs!$D$2:$AG$2,0)),Inputs!$B$4:$B$150,$B41)/1000)</f>
        <v>54</v>
      </c>
      <c r="AD41" s="11">
        <f>IF(AD$3=0,"",SUMIFS(INDEX(Inputs!$D$4:$AG$150,0,MATCH(AD$2,Inputs!$D$2:$AG$2,0)),Inputs!$B$4:$B$150,$B41)/1000)</f>
        <v>51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4999</v>
      </c>
      <c r="E43" s="11">
        <f>IF(E$3=0,"",SUMIFS(INDEX(Inputs!$D$4:$AG$150,0,MATCH(E$2,Inputs!$D$2:$AG$2,0)),Inputs!$B$4:$B$150,$B43)/1000)</f>
        <v>5031</v>
      </c>
      <c r="F43" s="11">
        <f>IF(F$3=0,"",SUMIFS(INDEX(Inputs!$D$4:$AG$150,0,MATCH(F$2,Inputs!$D$2:$AG$2,0)),Inputs!$B$4:$B$150,$B43)/1000)</f>
        <v>5054</v>
      </c>
      <c r="G43" s="11">
        <f>IF(G$3=0,"",SUMIFS(INDEX(Inputs!$D$4:$AG$150,0,MATCH(G$2,Inputs!$D$2:$AG$2,0)),Inputs!$B$4:$B$150,$B43)/1000)</f>
        <v>5066</v>
      </c>
      <c r="H43" s="12">
        <f>IF(G43="","",G43)</f>
        <v>5066</v>
      </c>
      <c r="I43" s="11">
        <f>IF(I$3=0,"",SUMIFS(INDEX(Inputs!$D$4:$AG$150,0,MATCH(I$2,Inputs!$D$2:$AG$2,0)),Inputs!$B$4:$B$150,$B43)/1000)</f>
        <v>5117</v>
      </c>
      <c r="J43" s="11">
        <f>IF(J$3=0,"",SUMIFS(INDEX(Inputs!$D$4:$AG$150,0,MATCH(J$2,Inputs!$D$2:$AG$2,0)),Inputs!$B$4:$B$150,$B43)/1000)</f>
        <v>5139</v>
      </c>
      <c r="K43" s="11">
        <f>IF(K$3=0,"",SUMIFS(INDEX(Inputs!$D$4:$AG$150,0,MATCH(K$2,Inputs!$D$2:$AG$2,0)),Inputs!$B$4:$B$150,$B43)/1000)</f>
        <v>5165</v>
      </c>
      <c r="L43" s="11">
        <f>IF(L$3=0,"",SUMIFS(INDEX(Inputs!$D$4:$AG$150,0,MATCH(L$2,Inputs!$D$2:$AG$2,0)),Inputs!$B$4:$B$150,$B43)/1000)</f>
        <v>5191</v>
      </c>
      <c r="M43" s="12">
        <f>IF(L43="","",L43)</f>
        <v>5191</v>
      </c>
      <c r="N43" s="11">
        <f>IF(N$3=0,"",SUMIFS(INDEX(Inputs!$D$4:$AG$150,0,MATCH(N$2,Inputs!$D$2:$AG$2,0)),Inputs!$B$4:$B$150,$B43)/1000)</f>
        <v>5227</v>
      </c>
      <c r="O43" s="11">
        <f>IF(O$3=0,"",SUMIFS(INDEX(Inputs!$D$4:$AG$150,0,MATCH(O$2,Inputs!$D$2:$AG$2,0)),Inputs!$B$4:$B$150,$B43)/1000)</f>
        <v>5272</v>
      </c>
      <c r="P43" s="11">
        <f>IF(P$3=0,"",SUMIFS(INDEX(Inputs!$D$4:$AG$150,0,MATCH(P$2,Inputs!$D$2:$AG$2,0)),Inputs!$B$4:$B$150,$B43)/1000)</f>
        <v>5303</v>
      </c>
      <c r="Q43" s="11">
        <f>IF(Q$3=0,"",SUMIFS(INDEX(Inputs!$D$4:$AG$150,0,MATCH(Q$2,Inputs!$D$2:$AG$2,0)),Inputs!$B$4:$B$150,$B43)/1000)</f>
        <v>5335</v>
      </c>
      <c r="R43" s="12">
        <f>IF(Q43="","",Q43)</f>
        <v>5335</v>
      </c>
      <c r="S43" s="11">
        <f>IF(S$3=0,"",SUMIFS(INDEX(Inputs!$D$4:$AG$150,0,MATCH(S$2,Inputs!$D$2:$AG$2,0)),Inputs!$B$4:$B$150,$B43)/1000)</f>
        <v>5391</v>
      </c>
      <c r="T43" s="11">
        <f>IF(T$3=0,"",SUMIFS(INDEX(Inputs!$D$4:$AG$150,0,MATCH(T$2,Inputs!$D$2:$AG$2,0)),Inputs!$B$4:$B$150,$B43)/1000)</f>
        <v>5441</v>
      </c>
      <c r="U43" s="11">
        <f>IF(U$3=0,"",SUMIFS(INDEX(Inputs!$D$4:$AG$150,0,MATCH(U$2,Inputs!$D$2:$AG$2,0)),Inputs!$B$4:$B$150,$B43)/1000)</f>
        <v>5489</v>
      </c>
      <c r="V43" s="11">
        <f>IF(V$3=0,"",SUMIFS(INDEX(Inputs!$D$4:$AG$150,0,MATCH(V$2,Inputs!$D$2:$AG$2,0)),Inputs!$B$4:$B$150,$B43)/1000)</f>
        <v>5526</v>
      </c>
      <c r="W43" s="12">
        <f>IF(V43="","",V43)</f>
        <v>5526</v>
      </c>
      <c r="X43" s="11">
        <f>IF(X$3=0,"",SUMIFS(INDEX(Inputs!$D$4:$AG$150,0,MATCH(X$2,Inputs!$D$2:$AG$2,0)),Inputs!$B$4:$B$150,$B43)/1000)</f>
        <v>5565</v>
      </c>
      <c r="Y43" s="11">
        <f>IF(Y$3=0,"",SUMIFS(INDEX(Inputs!$D$4:$AG$150,0,MATCH(Y$2,Inputs!$D$2:$AG$2,0)),Inputs!$B$4:$B$150,$B43)/1000)</f>
        <v>5620</v>
      </c>
      <c r="Z43" s="11">
        <f>IF(Z$3=0,"",SUMIFS(INDEX(Inputs!$D$4:$AG$150,0,MATCH(Z$2,Inputs!$D$2:$AG$2,0)),Inputs!$B$4:$B$150,$B43)/1000)</f>
        <v>5668</v>
      </c>
      <c r="AA43" s="11">
        <f>IF(AA$3=0,"",SUMIFS(INDEX(Inputs!$D$4:$AG$150,0,MATCH(AA$2,Inputs!$D$2:$AG$2,0)),Inputs!$B$4:$B$150,$B43)/1000)</f>
        <v>5715</v>
      </c>
      <c r="AB43" s="12">
        <f>IF(AA43="","",AA43)</f>
        <v>5715</v>
      </c>
      <c r="AC43" s="11">
        <f>IF(AC$3=0,"",SUMIFS(INDEX(Inputs!$D$4:$AG$150,0,MATCH(AC$2,Inputs!$D$2:$AG$2,0)),Inputs!$B$4:$B$150,$B43)/1000)</f>
        <v>5777</v>
      </c>
      <c r="AD43" s="11">
        <f>IF(AD$3=0,"",SUMIFS(INDEX(Inputs!$D$4:$AG$150,0,MATCH(AD$2,Inputs!$D$2:$AG$2,0)),Inputs!$B$4:$B$150,$B43)/1000)</f>
        <v>5826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-19052</v>
      </c>
      <c r="E44" s="11">
        <f>IF(E$3=0,"",SUMIFS(INDEX(Inputs!$D$4:$AG$150,0,MATCH(E$2,Inputs!$D$2:$AG$2,0)),Inputs!$B$4:$B$150,$B44)/1000)</f>
        <v>-19780</v>
      </c>
      <c r="F44" s="11">
        <f>IF(F$3=0,"",SUMIFS(INDEX(Inputs!$D$4:$AG$150,0,MATCH(F$2,Inputs!$D$2:$AG$2,0)),Inputs!$B$4:$B$150,$B44)/1000)</f>
        <v>-20533</v>
      </c>
      <c r="G44" s="11">
        <f>IF(G$3=0,"",SUMIFS(INDEX(Inputs!$D$4:$AG$150,0,MATCH(G$2,Inputs!$D$2:$AG$2,0)),Inputs!$B$4:$B$150,$B44)/1000)</f>
        <v>-21139</v>
      </c>
      <c r="H44" s="12">
        <f>IF(G44="","",G44)</f>
        <v>-21139</v>
      </c>
      <c r="I44" s="11">
        <f>IF(I$3=0,"",SUMIFS(INDEX(Inputs!$D$4:$AG$150,0,MATCH(I$2,Inputs!$D$2:$AG$2,0)),Inputs!$B$4:$B$150,$B44)/1000)</f>
        <v>-21727</v>
      </c>
      <c r="J44" s="11">
        <f>IF(J$3=0,"",SUMIFS(INDEX(Inputs!$D$4:$AG$150,0,MATCH(J$2,Inputs!$D$2:$AG$2,0)),Inputs!$B$4:$B$150,$B44)/1000)</f>
        <v>-22976</v>
      </c>
      <c r="K44" s="11">
        <f>IF(K$3=0,"",SUMIFS(INDEX(Inputs!$D$4:$AG$150,0,MATCH(K$2,Inputs!$D$2:$AG$2,0)),Inputs!$B$4:$B$150,$B44)/1000)</f>
        <v>-24094</v>
      </c>
      <c r="L44" s="11">
        <f>IF(L$3=0,"",SUMIFS(INDEX(Inputs!$D$4:$AG$150,0,MATCH(L$2,Inputs!$D$2:$AG$2,0)),Inputs!$B$4:$B$150,$B44)/1000)</f>
        <v>-25333</v>
      </c>
      <c r="M44" s="12">
        <f>IF(L44="","",L44)</f>
        <v>-25333</v>
      </c>
      <c r="N44" s="11">
        <f>IF(N$3=0,"",SUMIFS(INDEX(Inputs!$D$4:$AG$150,0,MATCH(N$2,Inputs!$D$2:$AG$2,0)),Inputs!$B$4:$B$150,$B44)/1000)</f>
        <v>-26630</v>
      </c>
      <c r="O44" s="11">
        <f>IF(O$3=0,"",SUMIFS(INDEX(Inputs!$D$4:$AG$150,0,MATCH(O$2,Inputs!$D$2:$AG$2,0)),Inputs!$B$4:$B$150,$B44)/1000)</f>
        <v>-28760</v>
      </c>
      <c r="P44" s="11">
        <f>IF(P$3=0,"",SUMIFS(INDEX(Inputs!$D$4:$AG$150,0,MATCH(P$2,Inputs!$D$2:$AG$2,0)),Inputs!$B$4:$B$150,$B44)/1000)</f>
        <v>-31335</v>
      </c>
      <c r="Q44" s="11">
        <f>IF(Q$3=0,"",SUMIFS(INDEX(Inputs!$D$4:$AG$150,0,MATCH(Q$2,Inputs!$D$2:$AG$2,0)),Inputs!$B$4:$B$150,$B44)/1000)</f>
        <v>-32663</v>
      </c>
      <c r="R44" s="12">
        <f>IF(Q44="","",Q44)</f>
        <v>-32663</v>
      </c>
      <c r="S44" s="11">
        <f>IF(S$3=0,"",SUMIFS(INDEX(Inputs!$D$4:$AG$150,0,MATCH(S$2,Inputs!$D$2:$AG$2,0)),Inputs!$B$4:$B$150,$B44)/1000)</f>
        <v>-33764</v>
      </c>
      <c r="T44" s="11">
        <f>IF(T$3=0,"",SUMIFS(INDEX(Inputs!$D$4:$AG$150,0,MATCH(T$2,Inputs!$D$2:$AG$2,0)),Inputs!$B$4:$B$150,$B44)/1000)</f>
        <v>-34570</v>
      </c>
      <c r="U44" s="11">
        <f>IF(U$3=0,"",SUMIFS(INDEX(Inputs!$D$4:$AG$150,0,MATCH(U$2,Inputs!$D$2:$AG$2,0)),Inputs!$B$4:$B$150,$B44)/1000)</f>
        <v>-35349</v>
      </c>
      <c r="V44" s="11">
        <f>IF(V$3=0,"",SUMIFS(INDEX(Inputs!$D$4:$AG$150,0,MATCH(V$2,Inputs!$D$2:$AG$2,0)),Inputs!$B$4:$B$150,$B44)/1000)</f>
        <v>-35709</v>
      </c>
      <c r="W44" s="12">
        <f>IF(V44="","",V44)</f>
        <v>-35709</v>
      </c>
      <c r="X44" s="11">
        <f>IF(X$3=0,"",SUMIFS(INDEX(Inputs!$D$4:$AG$150,0,MATCH(X$2,Inputs!$D$2:$AG$2,0)),Inputs!$B$4:$B$150,$B44)/1000)</f>
        <v>-36064</v>
      </c>
      <c r="Y44" s="11">
        <f>IF(Y$3=0,"",SUMIFS(INDEX(Inputs!$D$4:$AG$150,0,MATCH(Y$2,Inputs!$D$2:$AG$2,0)),Inputs!$B$4:$B$150,$B44)/1000)</f>
        <v>-36361</v>
      </c>
      <c r="Z44" s="11">
        <f>IF(Z$3=0,"",SUMIFS(INDEX(Inputs!$D$4:$AG$150,0,MATCH(Z$2,Inputs!$D$2:$AG$2,0)),Inputs!$B$4:$B$150,$B44)/1000)</f>
        <v>-36362</v>
      </c>
      <c r="AA44" s="11">
        <f>IF(AA$3=0,"",SUMIFS(INDEX(Inputs!$D$4:$AG$150,0,MATCH(AA$2,Inputs!$D$2:$AG$2,0)),Inputs!$B$4:$B$150,$B44)/1000)</f>
        <v>-36645</v>
      </c>
      <c r="AB44" s="12">
        <f>IF(AA44="","",AA44)</f>
        <v>-36645</v>
      </c>
      <c r="AC44" s="11">
        <f>IF(AC$3=0,"",SUMIFS(INDEX(Inputs!$D$4:$AG$150,0,MATCH(AC$2,Inputs!$D$2:$AG$2,0)),Inputs!$B$4:$B$150,$B44)/1000)</f>
        <v>-36831</v>
      </c>
      <c r="AD44" s="11">
        <f>IF(AD$3=0,"",SUMIFS(INDEX(Inputs!$D$4:$AG$150,0,MATCH(AD$2,Inputs!$D$2:$AG$2,0)),Inputs!$B$4:$B$150,$B44)/1000)</f>
        <v>-37029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-4960</v>
      </c>
      <c r="E45" s="11">
        <f>IF(E$3=0,"",SUMIFS(INDEX(Inputs!$D$4:$AG$150,0,MATCH(E$2,Inputs!$D$2:$AG$2,0)),Inputs!$B$4:$B$150,$B45)/1000)</f>
        <v>-5011</v>
      </c>
      <c r="F45" s="11">
        <f>IF(F$3=0,"",SUMIFS(INDEX(Inputs!$D$4:$AG$150,0,MATCH(F$2,Inputs!$D$2:$AG$2,0)),Inputs!$B$4:$B$150,$B45)/1000)</f>
        <v>-2539</v>
      </c>
      <c r="G45" s="11">
        <f>IF(G$3=0,"",SUMIFS(INDEX(Inputs!$D$4:$AG$150,0,MATCH(G$2,Inputs!$D$2:$AG$2,0)),Inputs!$B$4:$B$150,$B45)/1000)</f>
        <v>-3152</v>
      </c>
      <c r="H45" s="12">
        <f>IF(G45="","",G45)</f>
        <v>-3152</v>
      </c>
      <c r="I45" s="11">
        <f>IF(I$3=0,"",SUMIFS(INDEX(Inputs!$D$4:$AG$150,0,MATCH(I$2,Inputs!$D$2:$AG$2,0)),Inputs!$B$4:$B$150,$B45)/1000)</f>
        <v>-3291</v>
      </c>
      <c r="J45" s="11">
        <f>IF(J$3=0,"",SUMIFS(INDEX(Inputs!$D$4:$AG$150,0,MATCH(J$2,Inputs!$D$2:$AG$2,0)),Inputs!$B$4:$B$150,$B45)/1000)</f>
        <v>-3476</v>
      </c>
      <c r="K45" s="11">
        <f>IF(K$3=0,"",SUMIFS(INDEX(Inputs!$D$4:$AG$150,0,MATCH(K$2,Inputs!$D$2:$AG$2,0)),Inputs!$B$4:$B$150,$B45)/1000)</f>
        <v>-3056</v>
      </c>
      <c r="L45" s="11">
        <f>IF(L$3=0,"",SUMIFS(INDEX(Inputs!$D$4:$AG$150,0,MATCH(L$2,Inputs!$D$2:$AG$2,0)),Inputs!$B$4:$B$150,$B45)/1000)</f>
        <v>-2372</v>
      </c>
      <c r="M45" s="12">
        <f>IF(L45="","",L45)</f>
        <v>-2372</v>
      </c>
      <c r="N45" s="11">
        <f>IF(N$3=0,"",SUMIFS(INDEX(Inputs!$D$4:$AG$150,0,MATCH(N$2,Inputs!$D$2:$AG$2,0)),Inputs!$B$4:$B$150,$B45)/1000)</f>
        <v>-2538</v>
      </c>
      <c r="O45" s="11">
        <f>IF(O$3=0,"",SUMIFS(INDEX(Inputs!$D$4:$AG$150,0,MATCH(O$2,Inputs!$D$2:$AG$2,0)),Inputs!$B$4:$B$150,$B45)/1000)</f>
        <v>-2411</v>
      </c>
      <c r="P45" s="11">
        <f>IF(P$3=0,"",SUMIFS(INDEX(Inputs!$D$4:$AG$150,0,MATCH(P$2,Inputs!$D$2:$AG$2,0)),Inputs!$B$4:$B$150,$B45)/1000)</f>
        <v>-3114</v>
      </c>
      <c r="Q45" s="11">
        <f>IF(Q$3=0,"",SUMIFS(INDEX(Inputs!$D$4:$AG$150,0,MATCH(Q$2,Inputs!$D$2:$AG$2,0)),Inputs!$B$4:$B$150,$B45)/1000)</f>
        <v>-2863</v>
      </c>
      <c r="R45" s="12">
        <f>IF(Q45="","",Q45)</f>
        <v>-2863</v>
      </c>
      <c r="S45" s="11">
        <f>IF(S$3=0,"",SUMIFS(INDEX(Inputs!$D$4:$AG$150,0,MATCH(S$2,Inputs!$D$2:$AG$2,0)),Inputs!$B$4:$B$150,$B45)/1000)</f>
        <v>-3171</v>
      </c>
      <c r="T45" s="11">
        <f>IF(T$3=0,"",SUMIFS(INDEX(Inputs!$D$4:$AG$150,0,MATCH(T$2,Inputs!$D$2:$AG$2,0)),Inputs!$B$4:$B$150,$B45)/1000)</f>
        <v>-3368</v>
      </c>
      <c r="U45" s="11">
        <f>IF(U$3=0,"",SUMIFS(INDEX(Inputs!$D$4:$AG$150,0,MATCH(U$2,Inputs!$D$2:$AG$2,0)),Inputs!$B$4:$B$150,$B45)/1000)</f>
        <v>-3706</v>
      </c>
      <c r="V45" s="11">
        <f>IF(V$3=0,"",SUMIFS(INDEX(Inputs!$D$4:$AG$150,0,MATCH(V$2,Inputs!$D$2:$AG$2,0)),Inputs!$B$4:$B$150,$B45)/1000)</f>
        <v>-4167</v>
      </c>
      <c r="W45" s="12">
        <f>IF(V45="","",V45)</f>
        <v>-4167</v>
      </c>
      <c r="X45" s="11">
        <f>IF(X$3=0,"",SUMIFS(INDEX(Inputs!$D$4:$AG$150,0,MATCH(X$2,Inputs!$D$2:$AG$2,0)),Inputs!$B$4:$B$150,$B45)/1000)</f>
        <v>-3405</v>
      </c>
      <c r="Y45" s="11">
        <f>IF(Y$3=0,"",SUMIFS(INDEX(Inputs!$D$4:$AG$150,0,MATCH(Y$2,Inputs!$D$2:$AG$2,0)),Inputs!$B$4:$B$150,$B45)/1000)</f>
        <v>-3107</v>
      </c>
      <c r="Z45" s="11">
        <f>IF(Z$3=0,"",SUMIFS(INDEX(Inputs!$D$4:$AG$150,0,MATCH(Z$2,Inputs!$D$2:$AG$2,0)),Inputs!$B$4:$B$150,$B45)/1000)</f>
        <v>-3032</v>
      </c>
      <c r="AA45" s="11">
        <f>IF(AA$3=0,"",SUMIFS(INDEX(Inputs!$D$4:$AG$150,0,MATCH(AA$2,Inputs!$D$2:$AG$2,0)),Inputs!$B$4:$B$150,$B45)/1000)</f>
        <v>-2665</v>
      </c>
      <c r="AB45" s="12">
        <f>IF(AA45="","",AA45)</f>
        <v>-2665</v>
      </c>
      <c r="AC45" s="11">
        <f>IF(AC$3=0,"",SUMIFS(INDEX(Inputs!$D$4:$AG$150,0,MATCH(AC$2,Inputs!$D$2:$AG$2,0)),Inputs!$B$4:$B$150,$B45)/1000)</f>
        <v>-2768</v>
      </c>
      <c r="AD45" s="11">
        <f>IF(AD$3=0,"",SUMIFS(INDEX(Inputs!$D$4:$AG$150,0,MATCH(AD$2,Inputs!$D$2:$AG$2,0)),Inputs!$B$4:$B$150,$B45)/1000)</f>
        <v>-2976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34105</v>
      </c>
      <c r="E47" s="11">
        <f>IF(E$3=0,"",SUMIFS(INDEX(Inputs!$D$4:$AG$150,0,MATCH(E$2,Inputs!$D$2:$AG$2,0)),Inputs!$B$4:$B$150,$B47)/1000)</f>
        <v>35491</v>
      </c>
      <c r="F47" s="11">
        <f>IF(F$3=0,"",SUMIFS(INDEX(Inputs!$D$4:$AG$150,0,MATCH(F$2,Inputs!$D$2:$AG$2,0)),Inputs!$B$4:$B$150,$B47)/1000)</f>
        <v>36449</v>
      </c>
      <c r="G47" s="11">
        <f>IF(G$3=0,"",SUMIFS(INDEX(Inputs!$D$4:$AG$150,0,MATCH(G$2,Inputs!$D$2:$AG$2,0)),Inputs!$B$4:$B$150,$B47)/1000)</f>
        <v>37029</v>
      </c>
      <c r="H47" s="12">
        <f>IF(G47="","",G47)</f>
        <v>37029</v>
      </c>
      <c r="I47" s="11">
        <f>IF(I$3=0,"",SUMIFS(INDEX(Inputs!$D$4:$AG$150,0,MATCH(I$2,Inputs!$D$2:$AG$2,0)),Inputs!$B$4:$B$150,$B47)/1000)</f>
        <v>38805</v>
      </c>
      <c r="J47" s="11">
        <f>IF(J$3=0,"",SUMIFS(INDEX(Inputs!$D$4:$AG$150,0,MATCH(J$2,Inputs!$D$2:$AG$2,0)),Inputs!$B$4:$B$150,$B47)/1000)</f>
        <v>40346</v>
      </c>
      <c r="K47" s="11">
        <f>IF(K$3=0,"",SUMIFS(INDEX(Inputs!$D$4:$AG$150,0,MATCH(K$2,Inputs!$D$2:$AG$2,0)),Inputs!$B$4:$B$150,$B47)/1000)</f>
        <v>42247</v>
      </c>
      <c r="L47" s="11">
        <f>IF(L$3=0,"",SUMIFS(INDEX(Inputs!$D$4:$AG$150,0,MATCH(L$2,Inputs!$D$2:$AG$2,0)),Inputs!$B$4:$B$150,$B47)/1000)</f>
        <v>43846</v>
      </c>
      <c r="M47" s="12">
        <f>IF(L47="","",L47)</f>
        <v>43846</v>
      </c>
      <c r="N47" s="11">
        <f>IF(N$3=0,"",SUMIFS(INDEX(Inputs!$D$4:$AG$150,0,MATCH(N$2,Inputs!$D$2:$AG$2,0)),Inputs!$B$4:$B$150,$B47)/1000)</f>
        <v>46336</v>
      </c>
      <c r="O47" s="11">
        <f>IF(O$3=0,"",SUMIFS(INDEX(Inputs!$D$4:$AG$150,0,MATCH(O$2,Inputs!$D$2:$AG$2,0)),Inputs!$B$4:$B$150,$B47)/1000)</f>
        <v>48947</v>
      </c>
      <c r="P47" s="11">
        <f>IF(P$3=0,"",SUMIFS(INDEX(Inputs!$D$4:$AG$150,0,MATCH(P$2,Inputs!$D$2:$AG$2,0)),Inputs!$B$4:$B$150,$B47)/1000)</f>
        <v>50931</v>
      </c>
      <c r="Q47" s="11">
        <f>IF(Q$3=0,"",SUMIFS(INDEX(Inputs!$D$4:$AG$150,0,MATCH(Q$2,Inputs!$D$2:$AG$2,0)),Inputs!$B$4:$B$150,$B47)/1000)</f>
        <v>52266</v>
      </c>
      <c r="R47" s="12">
        <f>IF(Q47="","",Q47)</f>
        <v>52266</v>
      </c>
      <c r="S47" s="11">
        <f>IF(S$3=0,"",SUMIFS(INDEX(Inputs!$D$4:$AG$150,0,MATCH(S$2,Inputs!$D$2:$AG$2,0)),Inputs!$B$4:$B$150,$B47)/1000)</f>
        <v>54228</v>
      </c>
      <c r="T47" s="11">
        <f>IF(T$3=0,"",SUMIFS(INDEX(Inputs!$D$4:$AG$150,0,MATCH(T$2,Inputs!$D$2:$AG$2,0)),Inputs!$B$4:$B$150,$B47)/1000)</f>
        <v>55559</v>
      </c>
      <c r="U47" s="11">
        <f>IF(U$3=0,"",SUMIFS(INDEX(Inputs!$D$4:$AG$150,0,MATCH(U$2,Inputs!$D$2:$AG$2,0)),Inputs!$B$4:$B$150,$B47)/1000)</f>
        <v>56402</v>
      </c>
      <c r="V47" s="11">
        <f>IF(V$3=0,"",SUMIFS(INDEX(Inputs!$D$4:$AG$150,0,MATCH(V$2,Inputs!$D$2:$AG$2,0)),Inputs!$B$4:$B$150,$B47)/1000)</f>
        <v>56829</v>
      </c>
      <c r="W47" s="12">
        <f>IF(V47="","",V47)</f>
        <v>56829</v>
      </c>
      <c r="X47" s="11">
        <f>IF(X$3=0,"",SUMIFS(INDEX(Inputs!$D$4:$AG$150,0,MATCH(X$2,Inputs!$D$2:$AG$2,0)),Inputs!$B$4:$B$150,$B47)/1000)</f>
        <v>58191</v>
      </c>
      <c r="Y47" s="11">
        <f>IF(Y$3=0,"",SUMIFS(INDEX(Inputs!$D$4:$AG$150,0,MATCH(Y$2,Inputs!$D$2:$AG$2,0)),Inputs!$B$4:$B$150,$B47)/1000)</f>
        <v>59023</v>
      </c>
      <c r="Z47" s="11">
        <f>IF(Z$3=0,"",SUMIFS(INDEX(Inputs!$D$4:$AG$150,0,MATCH(Z$2,Inputs!$D$2:$AG$2,0)),Inputs!$B$4:$B$150,$B47)/1000)</f>
        <v>59676</v>
      </c>
      <c r="AA47" s="11">
        <f>IF(AA$3=0,"",SUMIFS(INDEX(Inputs!$D$4:$AG$150,0,MATCH(AA$2,Inputs!$D$2:$AG$2,0)),Inputs!$B$4:$B$150,$B47)/1000)</f>
        <v>59895</v>
      </c>
      <c r="AB47" s="12">
        <f>IF(AA47="","",AA47)</f>
        <v>59895</v>
      </c>
      <c r="AC47" s="11">
        <f>IF(AC$3=0,"",SUMIFS(INDEX(Inputs!$D$4:$AG$150,0,MATCH(AC$2,Inputs!$D$2:$AG$2,0)),Inputs!$B$4:$B$150,$B47)/1000)</f>
        <v>61228</v>
      </c>
      <c r="AD47" s="11">
        <f>IF(AD$3=0,"",SUMIFS(INDEX(Inputs!$D$4:$AG$150,0,MATCH(AD$2,Inputs!$D$2:$AG$2,0)),Inputs!$B$4:$B$150,$B47)/1000)</f>
        <v>62169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1790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1667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1283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903</v>
      </c>
      <c r="H50" s="12">
        <f>IF(COUNT(D50:G50)=4,SUM(D50:G50),"")</f>
        <v>5643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2098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1884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2246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1959</v>
      </c>
      <c r="M50" s="12">
        <f>IF(COUNT(I50:L50)=4,SUM(I50:L50),"")</f>
        <v>8187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2860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2978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2369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1751</v>
      </c>
      <c r="R50" s="12">
        <f>IF(COUNT(N50:Q50)=4,SUM(N50:Q50),"")</f>
        <v>9958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2370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1734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1245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869</v>
      </c>
      <c r="W50" s="12">
        <f>IF(COUNT(S50:V50)=4,SUM(S50:V50),"")</f>
        <v>6218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1804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1289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1065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656</v>
      </c>
      <c r="AB50" s="12">
        <f>IF(COUNT(X50:AA50)=4,SUM(X50:AA50),"")</f>
        <v>4814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1773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1379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Production &amp; Precision Agriculture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4602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4338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4730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3433</v>
      </c>
      <c r="H53" s="12">
        <f>IF(COUNT(D53:G53)=4,SUM(D53:G53),"")</f>
        <v>17103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5176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6185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7524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5303</v>
      </c>
      <c r="M53" s="12">
        <f>IF(COUNT(I53:L53)=4,SUM(I53:L53),"")</f>
        <v>24188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7912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6972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7103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5043</v>
      </c>
      <c r="R53" s="12">
        <f>IF(COUNT(N53:Q53)=4,SUM(N53:Q53),"")</f>
        <v>27030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6679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5242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4416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3189</v>
      </c>
      <c r="W53" s="12">
        <f>IF(COUNT(S53:V53)=4,SUM(S53:V53),"")</f>
        <v>19526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5334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4379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4849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3286</v>
      </c>
      <c r="AB53" s="12">
        <f>IF(COUNT(X53:AA53)=4,SUM(X53:AA53),"")</f>
        <v>17848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4612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4105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Production &amp; Precision Agriculture - lucro do segmento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1007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906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777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296</v>
      </c>
      <c r="H54" s="12">
        <f>IF(COUNT(D54:G54)=4,SUM(D54:G54),"")</f>
        <v>2986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1057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1293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1740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1208</v>
      </c>
      <c r="M54" s="12">
        <f>IF(COUNT(I54:L54)=4,SUM(I54:L54),"")</f>
        <v>5298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2170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1782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1836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1045</v>
      </c>
      <c r="R54" s="12">
        <f>IF(COUNT(N54:Q54)=4,SUM(N54:Q54),"")</f>
        <v>6833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1650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1162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657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338</v>
      </c>
      <c r="W54" s="12">
        <f>IF(COUNT(S54:V54)=4,SUM(S54:V54),"")</f>
        <v>3807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1148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580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605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139</v>
      </c>
      <c r="AB54" s="12">
        <f>IF(COUNT(X54:AA54)=4,SUM(X54:AA54),"")</f>
        <v>2472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706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527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Small Agriculture &amp; Turf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3427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3212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2857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2674</v>
      </c>
      <c r="H55" s="12">
        <f>IF(COUNT(D55:G55)=4,SUM(D55:G55),"")</f>
        <v>12170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3606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3691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3598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3054</v>
      </c>
      <c r="M55" s="12">
        <f>IF(COUNT(I55:L55)=4,SUM(I55:L55),"")</f>
        <v>13949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4200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3806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3164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2492</v>
      </c>
      <c r="R55" s="12">
        <f>IF(COUNT(N55:Q55)=4,SUM(N55:Q55),"")</f>
        <v>13662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3253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3128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2342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1795</v>
      </c>
      <c r="W55" s="12">
        <f>IF(COUNT(S55:V55)=4,SUM(S55:V55),"")</f>
        <v>10518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3044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3082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2511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2223</v>
      </c>
      <c r="AB55" s="12">
        <f>IF(COUNT(X55:AA55)=4,SUM(X55:AA55),"")</f>
        <v>10860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3540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3445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Small Agriculture &amp; Turf - lucro do segmento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648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583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346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371</v>
      </c>
      <c r="H56" s="12">
        <f>IF(COUNT(D56:G56)=4,SUM(D56:G56),"")</f>
        <v>1948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520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552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506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447</v>
      </c>
      <c r="M56" s="12">
        <f>IF(COUNT(I56:L56)=4,SUM(I56:L56),"")</f>
        <v>2025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849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732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444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326</v>
      </c>
      <c r="R56" s="12">
        <f>IF(COUNT(N56:Q56)=4,SUM(N56:Q56),"")</f>
        <v>2351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571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496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234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124</v>
      </c>
      <c r="W56" s="12">
        <f>IF(COUNT(S56:V56)=4,SUM(S56:V56),"")</f>
        <v>1425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574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485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25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196</v>
      </c>
      <c r="AB56" s="12">
        <f>IF(COUNT(X56:AA56)=4,SUM(X56:AA56),"")</f>
        <v>1280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719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622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Construction &amp; Forestry - receita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3137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3075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2871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2592</v>
      </c>
      <c r="H57" s="12">
        <f>IF(COUNT(D57:G57)=4,SUM(D57:G57),"")</f>
        <v>11675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3724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3323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3426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3255</v>
      </c>
      <c r="M57" s="12">
        <f>IF(COUNT(I57:L57)=4,SUM(I57:L57),"")</f>
        <v>13728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4168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3795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3768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3274</v>
      </c>
      <c r="R57" s="12">
        <f>IF(COUNT(N57:Q57)=4,SUM(N57:Q57),"")</f>
        <v>15005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3908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3293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2730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2043</v>
      </c>
      <c r="W57" s="12">
        <f>IF(COUNT(S57:V57)=4,SUM(S57:V57),"")</f>
        <v>11974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2996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3112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3492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2731</v>
      </c>
      <c r="AB57" s="12">
        <f>IF(COUNT(X57:AA57)=4,SUM(X57:AA57),"")</f>
        <v>12331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3854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3682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Construction &amp; Forestry - lucro do segmento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489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463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269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272</v>
      </c>
      <c r="H58" s="12">
        <f>IF(COUNT(D58:G58)=4,SUM(D58:G58),"")</f>
        <v>1493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814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514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415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625</v>
      </c>
      <c r="M58" s="12">
        <f>IF(COUNT(I58:L58)=4,SUM(I58:L58),"")</f>
        <v>2368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838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716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516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566</v>
      </c>
      <c r="R58" s="12">
        <f>IF(COUNT(N58:Q58)=4,SUM(N58:Q58),"")</f>
        <v>2636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668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448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327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65</v>
      </c>
      <c r="W58" s="12">
        <f>IF(COUNT(S58:V58)=4,SUM(S58:V58),"")</f>
        <v>1508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379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237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347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137</v>
      </c>
      <c r="AB58" s="12">
        <f>IF(COUNT(X58:AA58)=4,SUM(X58:AA58),"")</f>
        <v>1100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561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436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Financial Services - receita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892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902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869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870</v>
      </c>
      <c r="H59" s="12">
        <f>IF(COUNT(D59:G59)=4,SUM(D59:G59),"")</f>
        <v>3533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864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903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988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1040</v>
      </c>
      <c r="M59" s="12">
        <f>IF(COUNT(I59:L59)=4,SUM(I59:L59),"")</f>
        <v>3795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1107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1228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1346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1376</v>
      </c>
      <c r="R59" s="12">
        <f>IF(COUNT(N59:Q59)=4,SUM(N59:Q59),"")</f>
        <v>5057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1395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1489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1523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1573</v>
      </c>
      <c r="W59" s="12">
        <f>IF(COUNT(S59:V59)=4,SUM(S59:V59),"")</f>
        <v>5980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1501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1544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1671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1488</v>
      </c>
      <c r="AB59" s="12">
        <f>IF(COUNT(X59:AA59)=4,SUM(X59:AA59),"")</f>
        <v>6204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1509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1505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Financial Services - lucro do segmento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295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291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300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296</v>
      </c>
      <c r="H60" s="12">
        <f>IF(COUNT(D60:G60)=4,SUM(D60:G60),"")</f>
        <v>1182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279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287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295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238</v>
      </c>
      <c r="M60" s="12">
        <f>IF(COUNT(I60:L60)=4,SUM(I60:L60),"")</f>
        <v>1099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41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286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230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257</v>
      </c>
      <c r="R60" s="12">
        <f>IF(COUNT(N60:Q60)=4,SUM(N60:Q60),"")</f>
        <v>814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209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191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232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266</v>
      </c>
      <c r="W60" s="12">
        <f>IF(COUNT(S60:V60)=4,SUM(S60:V60),"")</f>
        <v>898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207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266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374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301</v>
      </c>
      <c r="AB60" s="12">
        <f>IF(COUNT(X60:AA60)=4,SUM(X60:AA60),"")</f>
        <v>1148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251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271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9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1954.98293153485</v>
      </c>
      <c r="AK1" s="12">
        <f>IF(AK2="","",SUM(AK2,AK3))</f>
        <v>1516.00298168319</v>
      </c>
      <c r="AL1" s="12">
        <f>IF(AL2="","",SUM(AL2,AL3))</f>
        <v>6622.98591321804</v>
      </c>
      <c r="AM1" s="12">
        <f>IF(AM2="","",SUM(AM2,AM3))</f>
        <v>2108.77576340886</v>
      </c>
      <c r="AN1" s="12">
        <f>IF(AN2="","",SUM(AN2,AN3))</f>
        <v>1988.73848642822</v>
      </c>
      <c r="AO1" s="12">
        <f>IF(AO2="","",SUM(AO2,AO3))</f>
        <v>1984.27643244032</v>
      </c>
      <c r="AP1" s="12">
        <f>IF(AP2="","",SUM(AP2,AP3))</f>
        <v>1538.71879878844</v>
      </c>
      <c r="AQ1" s="12">
        <f>IF(AQ2="","",SUM(AQ2,AQ3))</f>
        <v>7620.50948106584</v>
      </c>
      <c r="AR1" s="12">
        <f>IF(AR2="","",SUM(AR2,AR3))</f>
        <v>2129.82982017397</v>
      </c>
      <c r="AS1" s="12">
        <f>IF(AS2="","",SUM(AS2,AS3))</f>
        <v>2008.59408876905</v>
      </c>
      <c r="AT1" s="12">
        <f>IF(AT2="","",SUM(AT2,AT3))</f>
        <v>2004.08748555046</v>
      </c>
      <c r="AU1" s="12">
        <f>IF(AU2="","",SUM(AU2,AU3))</f>
        <v>1554.08139612922</v>
      </c>
      <c r="AV1" s="12">
        <f>IF(AV2="","",SUM(AV2,AV3))</f>
        <v>7696.5927906227</v>
      </c>
      <c r="AW1" s="12">
        <f>IF(AW2="","",SUM(AW2,AW3))</f>
        <v>2140.44493193576</v>
      </c>
      <c r="AX1" s="12">
        <f>IF(AX2="","",SUM(AX2,AX3))</f>
        <v>2018.60495937213</v>
      </c>
      <c r="AY1" s="12">
        <f>IF(AY2="","",SUM(AY2,AY3))</f>
        <v>2014.0758951586</v>
      </c>
      <c r="AZ1" s="12">
        <f>IF(AZ2="","",SUM(AZ2,AZ3))</f>
        <v>1561.82696694927</v>
      </c>
      <c r="BA1" s="12">
        <f>IF(BA2="","",SUM(BA2,BA3))</f>
        <v>7734.95275341576</v>
      </c>
      <c r="BB1" s="12">
        <f>IF(BB2="","",SUM(BB2,BB3))</f>
        <v>2140.44493193576</v>
      </c>
      <c r="BC1" s="12">
        <f>IF(BC2="","",SUM(BC2,BC3))</f>
        <v>2018.60495937213</v>
      </c>
      <c r="BD1" s="12">
        <f>IF(BD2="","",SUM(BD2,BD3))</f>
        <v>2014.0758951586</v>
      </c>
      <c r="BE1" s="12">
        <f>IF(BE2="","",SUM(BE2,BE3))</f>
        <v>1561.82696694927</v>
      </c>
      <c r="BF1" s="12">
        <f>IF(BF2="","",SUM(BF2,BF3))</f>
        <v>7734.95275341576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IF(COUNT(I184,I260)&lt;2,"",ABS(I184-I260))</f>
        <v>0</v>
      </c>
      <c r="J2" s="12">
        <f>IF(COUNT(J184,J260)&lt;2,"",ABS(J184-J260))</f>
        <v>0</v>
      </c>
      <c r="K2" s="12">
        <f>IF(COUNT(K184,K260)&lt;2,"",ABS(K184-K260))</f>
        <v>0</v>
      </c>
      <c r="L2" s="12">
        <f>IF(COUNT(L184,L260)&lt;2,"",ABS(L184-L260))</f>
        <v>0</v>
      </c>
      <c r="M2" s="12">
        <f>IF(COUNT(M184,M260)&lt;2,"",ABS(M184-M260))</f>
        <v>0</v>
      </c>
      <c r="N2" s="12">
        <f>IF(COUNT(N184,N260)&lt;2,"",ABS(N184-N260))</f>
        <v>0</v>
      </c>
      <c r="O2" s="12">
        <f>IF(COUNT(O184,O260)&lt;2,"",ABS(O184-O260))</f>
        <v>0</v>
      </c>
      <c r="P2" s="12">
        <f>IF(COUNT(P184,P260)&lt;2,"",ABS(P184-P260))</f>
        <v>0</v>
      </c>
      <c r="Q2" s="12">
        <f>IF(COUNT(Q184,Q260)&lt;2,"",ABS(Q184-Q260))</f>
        <v>0</v>
      </c>
      <c r="R2" s="12">
        <f>IF(COUNT(R184,R260)&lt;2,"",ABS(R184-R260))</f>
        <v>0</v>
      </c>
      <c r="S2" s="12">
        <f>IF(COUNT(S184,S260)&lt;2,"",ABS(S184-S260))</f>
        <v>0</v>
      </c>
      <c r="T2" s="12">
        <f>IF(COUNT(T184,T260)&lt;2,"",ABS(T184-T260))</f>
        <v>0</v>
      </c>
      <c r="U2" s="12">
        <f>IF(COUNT(U184,U260)&lt;2,"",ABS(U184-U260))</f>
        <v>0</v>
      </c>
      <c r="V2" s="12">
        <f>IF(COUNT(V184,V260)&lt;2,"",ABS(V184-V260))</f>
        <v>0</v>
      </c>
      <c r="W2" s="12">
        <f>IF(COUNT(W184,W260)&lt;2,"",ABS(W184-W260))</f>
        <v>0</v>
      </c>
      <c r="X2" s="12">
        <f>IF(COUNT(X184,X260)&lt;2,"",ABS(X184-X260))</f>
        <v>0</v>
      </c>
      <c r="Y2" s="12">
        <f>IF(COUNT(Y184,Y260)&lt;2,"",ABS(Y184-Y260))</f>
        <v>0</v>
      </c>
      <c r="Z2" s="12">
        <f>IF(COUNT(Z184,Z260)&lt;2,"",ABS(Z184-Z260))</f>
        <v>0</v>
      </c>
      <c r="AA2" s="12">
        <f>IF(COUNT(AA184,AA260)&lt;2,"",ABS(AA184-AA260))</f>
        <v>0</v>
      </c>
      <c r="AB2" s="12">
        <f>IF(COUNT(AB184,AB260)&lt;2,"",ABS(AB184-AB260))</f>
        <v>0</v>
      </c>
      <c r="AC2" s="12">
        <f>IF(COUNT(AC184,AC260)&lt;2,"",ABS(AC184-AC260))</f>
        <v>0</v>
      </c>
      <c r="AD2" s="12">
        <f>IF(COUNT(AD184,AD260)&lt;2,"",ABS(AD184-AD260))</f>
        <v>0</v>
      </c>
      <c r="AE2" s="12">
        <f>IF(COUNT(AE184,AE260)&lt;2,"",ABS(AE184-AE260))</f>
        <v>0</v>
      </c>
      <c r="AF2" s="12">
        <f>IF(COUNT(AF184,AF260)&lt;2,"",ABS(AF184-AF260))</f>
        <v>0</v>
      </c>
      <c r="AG2" s="12">
        <f>IF(COUNT(AG184,AG260)&lt;2,"",ABS(AG184-AG260))</f>
        <v>0</v>
      </c>
      <c r="AH2" s="12">
        <f>IF(COUNT(AH184,AH260)&lt;2,"",ABS(AH184-AH260))</f>
        <v>0</v>
      </c>
      <c r="AI2" s="12">
        <f>IF(COUNT(AI184,AI260)&lt;2,"",ABS(AI184-AI260))</f>
        <v>0</v>
      </c>
      <c r="AJ2" s="12">
        <f>IF(COUNT(AJ184,AJ260)&lt;2,"",ABS(AJ184-AJ260))</f>
        <v>0</v>
      </c>
      <c r="AK2" s="12">
        <f>IF(COUNT(AK184,AK260)&lt;2,"",ABS(AK184-AK260))</f>
        <v>0</v>
      </c>
      <c r="AL2" s="12">
        <f>IF(COUNT(AL184,AL260)&lt;2,"",ABS(AL184-AL260))</f>
        <v>0</v>
      </c>
      <c r="AM2" s="12">
        <f>IF(COUNT(AM184,AM260)&lt;2,"",ABS(AM184-AM260))</f>
        <v>0</v>
      </c>
      <c r="AN2" s="12">
        <f>IF(COUNT(AN184,AN260)&lt;2,"",ABS(AN184-AN260))</f>
        <v>0</v>
      </c>
      <c r="AO2" s="12">
        <f>IF(COUNT(AO184,AO260)&lt;2,"",ABS(AO184-AO260))</f>
        <v>0</v>
      </c>
      <c r="AP2" s="12">
        <f>IF(COUNT(AP184,AP260)&lt;2,"",ABS(AP184-AP260))</f>
        <v>0</v>
      </c>
      <c r="AQ2" s="12">
        <f>IF(COUNT(AQ184,AQ260)&lt;2,"",ABS(AQ184-AQ260))</f>
        <v>0</v>
      </c>
      <c r="AR2" s="12">
        <f>IF(COUNT(AR184,AR260)&lt;2,"",ABS(AR184-AR260))</f>
        <v>0</v>
      </c>
      <c r="AS2" s="12">
        <f>IF(COUNT(AS184,AS260)&lt;2,"",ABS(AS184-AS260))</f>
        <v>0</v>
      </c>
      <c r="AT2" s="12">
        <f>IF(COUNT(AT184,AT260)&lt;2,"",ABS(AT184-AT260))</f>
        <v>0</v>
      </c>
      <c r="AU2" s="12">
        <f>IF(COUNT(AU184,AU260)&lt;2,"",ABS(AU184-AU260))</f>
        <v>0</v>
      </c>
      <c r="AV2" s="12">
        <f>IF(COUNT(AV184,AV260)&lt;2,"",ABS(AV184-AV260))</f>
        <v>0</v>
      </c>
      <c r="AW2" s="12">
        <f>IF(COUNT(AW184,AW260)&lt;2,"",ABS(AW184-AW260))</f>
        <v>0</v>
      </c>
      <c r="AX2" s="12">
        <f>IF(COUNT(AX184,AX260)&lt;2,"",ABS(AX184-AX260))</f>
        <v>0</v>
      </c>
      <c r="AY2" s="12">
        <f>IF(COUNT(AY184,AY260)&lt;2,"",ABS(AY184-AY260))</f>
        <v>0</v>
      </c>
      <c r="AZ2" s="12">
        <f>IF(COUNT(AZ184,AZ260)&lt;2,"",ABS(AZ184-AZ260))</f>
        <v>0</v>
      </c>
      <c r="BA2" s="12">
        <f>IF(COUNT(BA184,BA260)&lt;2,"",ABS(BA184-BA260))</f>
        <v>0</v>
      </c>
      <c r="BB2" s="12">
        <f>IF(COUNT(BB184,BB260)&lt;2,"",ABS(BB184-BB260))</f>
        <v>0</v>
      </c>
      <c r="BC2" s="12">
        <f>IF(COUNT(BC184,BC260)&lt;2,"",ABS(BC184-BC260))</f>
        <v>0</v>
      </c>
      <c r="BD2" s="12">
        <f>IF(COUNT(BD184,BD260)&lt;2,"",ABS(BD184-BD260))</f>
        <v>0</v>
      </c>
      <c r="BE2" s="12">
        <f>IF(COUNT(BE184,BE260)&lt;2,"",ABS(BE184-BE260))</f>
        <v>0</v>
      </c>
      <c r="BF2" s="12">
        <f>IF(COUNT(BF184,BF260)&lt;2,"",ABS(BF184-BF260))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IF(COUNT(I124,I4)&lt;2,"",ABS(I124-I4))</f>
        <v>0</v>
      </c>
      <c r="J3" s="12">
        <f>IF(COUNT(J124,J4)&lt;2,"",ABS(J124-J4))</f>
        <v>0</v>
      </c>
      <c r="K3" s="12">
        <f>IF(COUNT(K124,K4)&lt;2,"",ABS(K124-K4))</f>
        <v>0</v>
      </c>
      <c r="L3" s="12">
        <f>IF(COUNT(L124,L4)&lt;2,"",ABS(L124-L4))</f>
        <v>0</v>
      </c>
      <c r="M3" s="12">
        <f>IF(COUNT(M124,M4)&lt;2,"",ABS(M124-M4))</f>
        <v>0</v>
      </c>
      <c r="N3" s="12">
        <f>IF(COUNT(N124,N4)&lt;2,"",ABS(N124-N4))</f>
        <v>0</v>
      </c>
      <c r="O3" s="12">
        <f>IF(COUNT(O124,O4)&lt;2,"",ABS(O124-O4))</f>
        <v>0</v>
      </c>
      <c r="P3" s="12">
        <f>IF(COUNT(P124,P4)&lt;2,"",ABS(P124-P4))</f>
        <v>0</v>
      </c>
      <c r="Q3" s="12">
        <f>IF(COUNT(Q124,Q4)&lt;2,"",ABS(Q124-Q4))</f>
        <v>0</v>
      </c>
      <c r="R3" s="12">
        <f>IF(COUNT(R124,R4)&lt;2,"",ABS(R124-R4))</f>
        <v>0</v>
      </c>
      <c r="S3" s="12">
        <f>IF(COUNT(S124,S4)&lt;2,"",ABS(S124-S4))</f>
        <v>0</v>
      </c>
      <c r="T3" s="12">
        <f>IF(COUNT(T124,T4)&lt;2,"",ABS(T124-T4))</f>
        <v>0</v>
      </c>
      <c r="U3" s="12">
        <f>IF(COUNT(U124,U4)&lt;2,"",ABS(U124-U4))</f>
        <v>0</v>
      </c>
      <c r="V3" s="12">
        <f>IF(COUNT(V124,V4)&lt;2,"",ABS(V124-V4))</f>
        <v>0</v>
      </c>
      <c r="W3" s="12">
        <f>IF(COUNT(W124,W4)&lt;2,"",ABS(W124-W4))</f>
        <v>0</v>
      </c>
      <c r="X3" s="12">
        <f>IF(COUNT(X124,X4)&lt;2,"",ABS(X124-X4))</f>
        <v>0</v>
      </c>
      <c r="Y3" s="12">
        <f>IF(COUNT(Y124,Y4)&lt;2,"",ABS(Y124-Y4))</f>
        <v>0</v>
      </c>
      <c r="Z3" s="12">
        <f>IF(COUNT(Z124,Z4)&lt;2,"",ABS(Z124-Z4))</f>
        <v>0</v>
      </c>
      <c r="AA3" s="12">
        <f>IF(COUNT(AA124,AA4)&lt;2,"",ABS(AA124-AA4))</f>
        <v>0</v>
      </c>
      <c r="AB3" s="12">
        <f>IF(COUNT(AB124,AB4)&lt;2,"",ABS(AB124-AB4))</f>
        <v>0</v>
      </c>
      <c r="AC3" s="12">
        <f>IF(COUNT(AC124,AC4)&lt;2,"",ABS(AC124-AC4))</f>
        <v>0</v>
      </c>
      <c r="AD3" s="12">
        <f>IF(COUNT(AD124,AD4)&lt;2,"",ABS(AD124-AD4))</f>
        <v>0</v>
      </c>
      <c r="AE3" s="12">
        <f>IF(COUNT(AE124,AE4)&lt;2,"",ABS(AE124-AE4))</f>
        <v>0</v>
      </c>
      <c r="AF3" s="12">
        <f>IF(COUNT(AF124,AF4)&lt;2,"",ABS(AF124-AF4))</f>
        <v>0</v>
      </c>
      <c r="AG3" s="12">
        <f>IF(COUNT(AG124,AG4)&lt;2,"",ABS(AG124-AG4))</f>
        <v>0</v>
      </c>
      <c r="AH3" s="12">
        <f>IF(COUNT(AH124,AH4)&lt;2,"",ABS(AH124-AH4))</f>
        <v>0</v>
      </c>
      <c r="AI3" s="12">
        <f>IF(COUNT(AI124,AI4)&lt;2,"",ABS(AI124-AI4))</f>
        <v>0</v>
      </c>
      <c r="AJ3" s="12">
        <f>ABS(AJ124-AJ4)</f>
        <v>1954.98293153485</v>
      </c>
      <c r="AK3" s="12">
        <f>ABS(AK124-AK4)</f>
        <v>1516.00298168319</v>
      </c>
      <c r="AL3" s="12">
        <f>ABS(AL124-AL4)</f>
        <v>6622.98591321804</v>
      </c>
      <c r="AM3" s="12">
        <f>ABS(AM124-AM4)</f>
        <v>2108.77576340886</v>
      </c>
      <c r="AN3" s="12">
        <f>ABS(AN124-AN4)</f>
        <v>1988.73848642822</v>
      </c>
      <c r="AO3" s="12">
        <f>ABS(AO124-AO4)</f>
        <v>1984.27643244032</v>
      </c>
      <c r="AP3" s="12">
        <f>ABS(AP124-AP4)</f>
        <v>1538.71879878844</v>
      </c>
      <c r="AQ3" s="12">
        <f>ABS(AQ124-AQ4)</f>
        <v>7620.50948106584</v>
      </c>
      <c r="AR3" s="12">
        <f>ABS(AR124-AR4)</f>
        <v>2129.82982017397</v>
      </c>
      <c r="AS3" s="12">
        <f>ABS(AS124-AS4)</f>
        <v>2008.59408876905</v>
      </c>
      <c r="AT3" s="12">
        <f>ABS(AT124-AT4)</f>
        <v>2004.08748555046</v>
      </c>
      <c r="AU3" s="12">
        <f>ABS(AU124-AU4)</f>
        <v>1554.08139612922</v>
      </c>
      <c r="AV3" s="12">
        <f>ABS(AV124-AV4)</f>
        <v>7696.5927906227</v>
      </c>
      <c r="AW3" s="12">
        <f>ABS(AW124-AW4)</f>
        <v>2140.44493193576</v>
      </c>
      <c r="AX3" s="12">
        <f>ABS(AX124-AX4)</f>
        <v>2018.60495937213</v>
      </c>
      <c r="AY3" s="12">
        <f>ABS(AY124-AY4)</f>
        <v>2014.0758951586</v>
      </c>
      <c r="AZ3" s="12">
        <f>ABS(AZ124-AZ4)</f>
        <v>1561.82696694927</v>
      </c>
      <c r="BA3" s="12">
        <f>ABS(BA124-BA4)</f>
        <v>7734.95275341576</v>
      </c>
      <c r="BB3" s="12">
        <f>ABS(BB124-BB4)</f>
        <v>2140.44493193576</v>
      </c>
      <c r="BC3" s="12">
        <f>ABS(BC124-BC4)</f>
        <v>2018.60495937213</v>
      </c>
      <c r="BD3" s="12">
        <f>ABS(BD124-BD4)</f>
        <v>2014.0758951586</v>
      </c>
      <c r="BE3" s="12">
        <f>ABS(BE124-BE4)</f>
        <v>1561.82696694927</v>
      </c>
      <c r="BF3" s="12">
        <f>ABS(BF124-BF4)</f>
        <v>7734.95275341576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1790</v>
      </c>
      <c r="J4">
        <f>IF(ISNUMBER('Inputs (2)'!E50),'Inputs (2)'!E50,"")</f>
        <v>1667</v>
      </c>
      <c r="K4">
        <f>IF(ISNUMBER('Inputs (2)'!F50),'Inputs (2)'!F50,"")</f>
        <v>1283</v>
      </c>
      <c r="L4">
        <f>IF(ISNUMBER('Inputs (2)'!G50),'Inputs (2)'!G50,"")</f>
        <v>903</v>
      </c>
      <c r="M4" s="11">
        <f>IF(COUNT(I4:L4)=4,SUM(I4:L4),"")</f>
        <v>5643</v>
      </c>
      <c r="N4">
        <f>IF(ISNUMBER('Inputs (2)'!I50),'Inputs (2)'!I50,"")</f>
        <v>2098</v>
      </c>
      <c r="O4">
        <f>IF(ISNUMBER('Inputs (2)'!J50),'Inputs (2)'!J50,"")</f>
        <v>1884</v>
      </c>
      <c r="P4">
        <f>IF(ISNUMBER('Inputs (2)'!K50),'Inputs (2)'!K50,"")</f>
        <v>2246</v>
      </c>
      <c r="Q4">
        <f>IF(ISNUMBER('Inputs (2)'!L50),'Inputs (2)'!L50,"")</f>
        <v>1959</v>
      </c>
      <c r="R4" s="11">
        <f>IF(COUNT(N4:Q4)=4,SUM(N4:Q4),"")</f>
        <v>8187</v>
      </c>
      <c r="S4">
        <f>IF(ISNUMBER('Inputs (2)'!N50),'Inputs (2)'!N50,"")</f>
        <v>2860</v>
      </c>
      <c r="T4">
        <f>IF(ISNUMBER('Inputs (2)'!O50),'Inputs (2)'!O50,"")</f>
        <v>2978</v>
      </c>
      <c r="U4">
        <f>IF(ISNUMBER('Inputs (2)'!P50),'Inputs (2)'!P50,"")</f>
        <v>2369</v>
      </c>
      <c r="V4">
        <f>IF(ISNUMBER('Inputs (2)'!Q50),'Inputs (2)'!Q50,"")</f>
        <v>1751</v>
      </c>
      <c r="W4" s="11">
        <f>IF(COUNT(S4:V4)=4,SUM(S4:V4),"")</f>
        <v>9958</v>
      </c>
      <c r="X4">
        <f>IF(ISNUMBER('Inputs (2)'!S50),'Inputs (2)'!S50,"")</f>
        <v>2370</v>
      </c>
      <c r="Y4">
        <f>IF(ISNUMBER('Inputs (2)'!T50),'Inputs (2)'!T50,"")</f>
        <v>1734</v>
      </c>
      <c r="Z4">
        <f>IF(ISNUMBER('Inputs (2)'!U50),'Inputs (2)'!U50,"")</f>
        <v>1245</v>
      </c>
      <c r="AA4">
        <f>IF(ISNUMBER('Inputs (2)'!V50),'Inputs (2)'!V50,"")</f>
        <v>869</v>
      </c>
      <c r="AB4" s="11">
        <f>IF(COUNT(X4:AA4)=4,SUM(X4:AA4),"")</f>
        <v>6218</v>
      </c>
      <c r="AC4">
        <f>IF(ISNUMBER('Inputs (2)'!X50),'Inputs (2)'!X50,"")</f>
        <v>1804</v>
      </c>
      <c r="AD4">
        <f>IF(ISNUMBER('Inputs (2)'!Y50),'Inputs (2)'!Y50,"")</f>
        <v>1289</v>
      </c>
      <c r="AE4">
        <f>IF(ISNUMBER('Inputs (2)'!Z50),'Inputs (2)'!Z50,"")</f>
        <v>1065</v>
      </c>
      <c r="AF4">
        <f>IF(ISNUMBER('Inputs (2)'!AA50),'Inputs (2)'!AA50,"")</f>
        <v>656</v>
      </c>
      <c r="AG4" s="11">
        <f>IF(COUNT(AC4:AF4)=4,SUM(AC4:AF4),"")</f>
        <v>4814</v>
      </c>
      <c r="AH4" s="11">
        <f>IF(ISNUMBER('Inputs (2)'!AC50),'Inputs (2)'!AC50,"")</f>
        <v>1773</v>
      </c>
      <c r="AI4" s="11">
        <f>IF(ISNUMBER('Inputs (2)'!AD50),'Inputs (2)'!AD50,"")</f>
        <v>1379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12058</v>
      </c>
      <c r="J15" s="34">
        <f>'Inputs (2)'!E4</f>
        <v>11527</v>
      </c>
      <c r="K15" s="34">
        <f>'Inputs (2)'!F4</f>
        <v>11327</v>
      </c>
      <c r="L15" s="34">
        <f>'Inputs (2)'!G4</f>
        <v>9569</v>
      </c>
      <c r="M15" s="35">
        <f>'Inputs (2)'!H4</f>
        <v>44481</v>
      </c>
      <c r="N15" s="34">
        <f>'Inputs (2)'!I4</f>
        <v>13370</v>
      </c>
      <c r="O15" s="34">
        <f>'Inputs (2)'!J4</f>
        <v>14102</v>
      </c>
      <c r="P15" s="34">
        <f>'Inputs (2)'!K4</f>
        <v>15536</v>
      </c>
      <c r="Q15" s="34">
        <f>'Inputs (2)'!L4</f>
        <v>12652</v>
      </c>
      <c r="R15" s="35">
        <f>'Inputs (2)'!M4</f>
        <v>55660</v>
      </c>
      <c r="S15" s="34">
        <f>'Inputs (2)'!N4</f>
        <v>17387</v>
      </c>
      <c r="T15" s="34">
        <f>'Inputs (2)'!O4</f>
        <v>15801</v>
      </c>
      <c r="U15" s="34">
        <f>'Inputs (2)'!P4</f>
        <v>15412</v>
      </c>
      <c r="V15" s="34">
        <f>'Inputs (2)'!Q4</f>
        <v>12185</v>
      </c>
      <c r="W15" s="35">
        <f>'Inputs (2)'!R4</f>
        <v>60785</v>
      </c>
      <c r="X15" s="34">
        <f>'Inputs (2)'!S4</f>
        <v>15235</v>
      </c>
      <c r="Y15" s="34">
        <f>'Inputs (2)'!T4</f>
        <v>13152</v>
      </c>
      <c r="Z15" s="34">
        <f>'Inputs (2)'!U4</f>
        <v>11144</v>
      </c>
      <c r="AA15" s="34">
        <f>'Inputs (2)'!V4</f>
        <v>8508</v>
      </c>
      <c r="AB15" s="35">
        <f>'Inputs (2)'!W4</f>
        <v>48039</v>
      </c>
      <c r="AC15" s="34">
        <f>'Inputs (2)'!X4</f>
        <v>12763</v>
      </c>
      <c r="AD15" s="34">
        <f>'Inputs (2)'!Y4</f>
        <v>12018</v>
      </c>
      <c r="AE15" s="34">
        <f>'Inputs (2)'!Z4</f>
        <v>12394</v>
      </c>
      <c r="AF15" s="34">
        <f>'Inputs (2)'!AA4</f>
        <v>9611</v>
      </c>
      <c r="AG15" s="35">
        <f>'Inputs (2)'!AB4</f>
        <v>46786</v>
      </c>
      <c r="AH15" s="35">
        <f>'Inputs (2)'!AC4</f>
        <v>13369</v>
      </c>
      <c r="AI15" s="35">
        <f>'Inputs (2)'!AD4</f>
        <v>12608</v>
      </c>
      <c r="AJ15" s="35">
        <f>AE15*(1+AJ16)</f>
        <v>12579.7119284092</v>
      </c>
      <c r="AK15" s="35">
        <f>AF15*(1+AK16)</f>
        <v>9755.01140422308</v>
      </c>
      <c r="AL15" s="35">
        <f>SUM(AH15:AK15)</f>
        <v>48311.7233326323</v>
      </c>
      <c r="AM15" s="35">
        <f>AH15*(1+AM16)</f>
        <v>13569.3213466922</v>
      </c>
      <c r="AN15" s="35">
        <f>AI15*(1+AN16)</f>
        <v>12796.9185084221</v>
      </c>
      <c r="AO15" s="35">
        <f>AJ15*(1+AO16)</f>
        <v>12768.2065678361</v>
      </c>
      <c r="AP15" s="35">
        <f>AK15*(1+AP16)</f>
        <v>9901.18067802751</v>
      </c>
      <c r="AQ15" s="35">
        <f>SUM(AM15:AP15)</f>
        <v>49035.6271009779</v>
      </c>
      <c r="AR15" s="35">
        <f>AM15*(1+AR16)</f>
        <v>13704.7977054661</v>
      </c>
      <c r="AS15" s="35">
        <f>AN15*(1+AS16)</f>
        <v>12924.6831827748</v>
      </c>
      <c r="AT15" s="35">
        <f>AO15*(1+AT16)</f>
        <v>12895.6845816356</v>
      </c>
      <c r="AU15" s="35">
        <f>AP15*(1+AU16)</f>
        <v>10000.0342515814</v>
      </c>
      <c r="AV15" s="35">
        <f>SUM(AR15:AU15)</f>
        <v>49525.1997214579</v>
      </c>
      <c r="AW15" s="35">
        <f>AR15*(1+AW16)</f>
        <v>13773.1026742191</v>
      </c>
      <c r="AX15" s="35">
        <f>AS15*(1+AX16)</f>
        <v>12989.1000461182</v>
      </c>
      <c r="AY15" s="35">
        <f>AT15*(1+AY16)</f>
        <v>12959.9569154072</v>
      </c>
      <c r="AZ15" s="35">
        <f>AU15*(1+AZ16)</f>
        <v>10049.8746098094</v>
      </c>
      <c r="BA15" s="35">
        <f>SUM(AW15:AZ15)</f>
        <v>49772.0342455539</v>
      </c>
      <c r="BB15" s="35">
        <f>AW15*(1+BB16)</f>
        <v>13773.1026742191</v>
      </c>
      <c r="BC15" s="35">
        <f>AX15*(1+BC16)</f>
        <v>12989.1000461182</v>
      </c>
      <c r="BD15" s="35">
        <f>AY15*(1+BD16)</f>
        <v>12959.9569154072</v>
      </c>
      <c r="BE15" s="35">
        <f>AZ15*(1+BE16)</f>
        <v>10049.8746098094</v>
      </c>
      <c r="BF15" s="35">
        <f>SUM(BB15:BE15)</f>
        <v>49772.0342455539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0.108807430751368</v>
      </c>
      <c r="O16" s="40">
        <f>IFERROR(O15/J15-1,"")</f>
        <v>0.223388565975536</v>
      </c>
      <c r="P16" s="40">
        <f>IFERROR(P15/K15-1,"")</f>
        <v>0.371590006179924</v>
      </c>
      <c r="Q16" s="40">
        <f>IFERROR(Q15/L15-1,"")</f>
        <v>0.322186226355941</v>
      </c>
      <c r="R16" s="40">
        <f>IFERROR(R15/M15-1,"")</f>
        <v>0.251320788651334</v>
      </c>
      <c r="S16" s="40">
        <f>IFERROR(S15/N15-1,"")</f>
        <v>0.300448765893792</v>
      </c>
      <c r="T16" s="40">
        <f>IFERROR(T15/O15-1,"")</f>
        <v>0.120479364629131</v>
      </c>
      <c r="U16" s="40">
        <f>IFERROR(U15/P15-1,"")</f>
        <v>-0.00798146240988673</v>
      </c>
      <c r="V16" s="40">
        <f>IFERROR(V15/Q15-1,"")</f>
        <v>-0.0369111602908631</v>
      </c>
      <c r="W16" s="40">
        <f>IFERROR(W15/R15-1,"")</f>
        <v>0.0920768954365792</v>
      </c>
      <c r="X16" s="40">
        <f>IFERROR(X15/S15-1,"")</f>
        <v>-0.123770633231725</v>
      </c>
      <c r="Y16" s="40">
        <f>IFERROR(Y15/T15-1,"")</f>
        <v>-0.167647617239415</v>
      </c>
      <c r="Z16" s="40">
        <f>IFERROR(Z15/U15-1,"")</f>
        <v>-0.276927069815728</v>
      </c>
      <c r="AA16" s="40">
        <f>IFERROR(AA15/V15-1,"")</f>
        <v>-0.30176446450554</v>
      </c>
      <c r="AB16" s="40">
        <f>IFERROR(AB15/W15-1,"")</f>
        <v>-0.209689890598009</v>
      </c>
      <c r="AC16" s="40">
        <f>IFERROR(AC15/X15-1,"")</f>
        <v>-0.16225795864785</v>
      </c>
      <c r="AD16" s="40">
        <f>IFERROR(AD15/Y15-1,"")</f>
        <v>-0.0862226277372263</v>
      </c>
      <c r="AE16" s="40">
        <f>IFERROR(AE15/Z15-1,"")</f>
        <v>0.112167982770998</v>
      </c>
      <c r="AF16" s="41">
        <f>IFERROR(AF15/AA15-1,"")</f>
        <v>0.129642689233662</v>
      </c>
      <c r="AG16" s="40">
        <f>IFERROR(AG15/AB15-1,"")</f>
        <v>-0.0260829742500884</v>
      </c>
      <c r="AH16" s="41">
        <f>IFERROR(AH15/AC15-1,"")</f>
        <v>0.0474809997649455</v>
      </c>
      <c r="AI16" s="41">
        <f>IFERROR(AI15/AD15-1,"")</f>
        <v>0.0490930271259777</v>
      </c>
      <c r="AJ16" s="41">
        <f>Control!$B$18</f>
        <v>0.0149840187517511</v>
      </c>
      <c r="AK16" s="41">
        <f>Control!$B$18</f>
        <v>0.0149840187517511</v>
      </c>
      <c r="AL16" s="42">
        <f>IFERROR(AL15/AG15-1,"")</f>
        <v>0.0326106812429419</v>
      </c>
      <c r="AM16" s="41">
        <f>Control!$C$18</f>
        <v>0.0149840187517511</v>
      </c>
      <c r="AN16" s="41">
        <f>Control!$C$18</f>
        <v>0.0149840187517511</v>
      </c>
      <c r="AO16" s="41">
        <f>Control!$C$18</f>
        <v>0.0149840187517511</v>
      </c>
      <c r="AP16" s="41">
        <f>Control!$C$18</f>
        <v>0.0149840187517511</v>
      </c>
      <c r="AQ16" s="42">
        <f>IFERROR(AQ15/AL15-1,"")</f>
        <v>0.0149840187517514</v>
      </c>
      <c r="AR16" s="41">
        <f>Control!$D$18</f>
        <v>0.00998401875175113</v>
      </c>
      <c r="AS16" s="41">
        <f>Control!$D$18</f>
        <v>0.00998401875175113</v>
      </c>
      <c r="AT16" s="41">
        <f>Control!$D$18</f>
        <v>0.00998401875175113</v>
      </c>
      <c r="AU16" s="41">
        <f>Control!$D$18</f>
        <v>0.00998401875175113</v>
      </c>
      <c r="AV16" s="42">
        <f>IFERROR(AV15/AQ15-1,"")</f>
        <v>0.00998401875175103</v>
      </c>
      <c r="AW16" s="41">
        <f>Control!$E$18</f>
        <v>0.00498401875175113</v>
      </c>
      <c r="AX16" s="41">
        <f>Control!$E$18</f>
        <v>0.00498401875175113</v>
      </c>
      <c r="AY16" s="41">
        <f>Control!$E$18</f>
        <v>0.00498401875175113</v>
      </c>
      <c r="AZ16" s="41">
        <f>Control!$E$18</f>
        <v>0.00498401875175113</v>
      </c>
      <c r="BA16" s="42">
        <f>IFERROR(BA15/AV15-1,"")</f>
        <v>0.00498401875175114</v>
      </c>
      <c r="BB16" s="41">
        <f>Control!$F$18</f>
        <v>0</v>
      </c>
      <c r="BC16" s="41">
        <f>Control!$F$18</f>
        <v>0</v>
      </c>
      <c r="BD16" s="41">
        <f>Control!$F$18</f>
        <v>0</v>
      </c>
      <c r="BE16" s="41">
        <f>Control!$F$18</f>
        <v>0</v>
      </c>
      <c r="BF16" s="42">
        <f>IFERROR(BF15/BA15-1,"")</f>
        <v>0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n"/>
      <c r="J17" s="40" t="n"/>
      <c r="K17" s="40" t="n"/>
      <c r="L17" s="40" t="n"/>
      <c r="M17" s="39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1" t="n"/>
      <c r="AI17" s="41" t="n"/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Production &amp; Precision Agriculture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4602</v>
      </c>
      <c r="J19" s="269">
        <f>IFERROR(INDEX('Inputs (2)'!$D$53:$AL$53,MATCH(J$7&amp;"",'Inputs (2)'!$D$2:$AL$2,0)),"")</f>
        <v>4338</v>
      </c>
      <c r="K19" s="269">
        <f>IFERROR(INDEX('Inputs (2)'!$D$53:$AL$53,MATCH(K$7&amp;"",'Inputs (2)'!$D$2:$AL$2,0)),"")</f>
        <v>4730</v>
      </c>
      <c r="L19" s="269">
        <f>IFERROR(INDEX('Inputs (2)'!$D$53:$AL$53,MATCH(L$7&amp;"",'Inputs (2)'!$D$2:$AL$2,0)),"")</f>
        <v>3433</v>
      </c>
      <c r="M19" s="270">
        <f>IF(COUNT(I19:L19)=4,SUM(I19:L19),"")</f>
        <v>17103</v>
      </c>
      <c r="N19" s="269">
        <f>IFERROR(INDEX('Inputs (2)'!$D$53:$AL$53,MATCH(N$7&amp;"",'Inputs (2)'!$D$2:$AL$2,0)),"")</f>
        <v>5176</v>
      </c>
      <c r="O19" s="269">
        <f>IFERROR(INDEX('Inputs (2)'!$D$53:$AL$53,MATCH(O$7&amp;"",'Inputs (2)'!$D$2:$AL$2,0)),"")</f>
        <v>6185</v>
      </c>
      <c r="P19" s="269">
        <f>IFERROR(INDEX('Inputs (2)'!$D$53:$AL$53,MATCH(P$7&amp;"",'Inputs (2)'!$D$2:$AL$2,0)),"")</f>
        <v>7524</v>
      </c>
      <c r="Q19" s="269">
        <f>IFERROR(INDEX('Inputs (2)'!$D$53:$AL$53,MATCH(Q$7&amp;"",'Inputs (2)'!$D$2:$AL$2,0)),"")</f>
        <v>5303</v>
      </c>
      <c r="R19" s="270">
        <f>IF(COUNT(N19:Q19)=4,SUM(N19:Q19),"")</f>
        <v>24188</v>
      </c>
      <c r="S19" s="269">
        <f>IFERROR(INDEX('Inputs (2)'!$D$53:$AL$53,MATCH(S$7&amp;"",'Inputs (2)'!$D$2:$AL$2,0)),"")</f>
        <v>7912</v>
      </c>
      <c r="T19" s="269">
        <f>IFERROR(INDEX('Inputs (2)'!$D$53:$AL$53,MATCH(T$7&amp;"",'Inputs (2)'!$D$2:$AL$2,0)),"")</f>
        <v>6972</v>
      </c>
      <c r="U19" s="269">
        <f>IFERROR(INDEX('Inputs (2)'!$D$53:$AL$53,MATCH(U$7&amp;"",'Inputs (2)'!$D$2:$AL$2,0)),"")</f>
        <v>7103</v>
      </c>
      <c r="V19" s="269">
        <f>IFERROR(INDEX('Inputs (2)'!$D$53:$AL$53,MATCH(V$7&amp;"",'Inputs (2)'!$D$2:$AL$2,0)),"")</f>
        <v>5043</v>
      </c>
      <c r="W19" s="270">
        <f>IF(COUNT(S19:V19)=4,SUM(S19:V19),"")</f>
        <v>27030</v>
      </c>
      <c r="X19" s="269">
        <f>IFERROR(INDEX('Inputs (2)'!$D$53:$AL$53,MATCH(X$7&amp;"",'Inputs (2)'!$D$2:$AL$2,0)),"")</f>
        <v>6679</v>
      </c>
      <c r="Y19" s="269">
        <f>IFERROR(INDEX('Inputs (2)'!$D$53:$AL$53,MATCH(Y$7&amp;"",'Inputs (2)'!$D$2:$AL$2,0)),"")</f>
        <v>5242</v>
      </c>
      <c r="Z19" s="269">
        <f>IFERROR(INDEX('Inputs (2)'!$D$53:$AL$53,MATCH(Z$7&amp;"",'Inputs (2)'!$D$2:$AL$2,0)),"")</f>
        <v>4416</v>
      </c>
      <c r="AA19" s="269">
        <f>IFERROR(INDEX('Inputs (2)'!$D$53:$AL$53,MATCH(AA$7&amp;"",'Inputs (2)'!$D$2:$AL$2,0)),"")</f>
        <v>3189</v>
      </c>
      <c r="AB19" s="270">
        <f>IF(COUNT(X19:AA19)=4,SUM(X19:AA19),"")</f>
        <v>19526</v>
      </c>
      <c r="AC19" s="269">
        <f>IFERROR(INDEX('Inputs (2)'!$D$53:$AL$53,MATCH(AC$7&amp;"",'Inputs (2)'!$D$2:$AL$2,0)),"")</f>
        <v>5334</v>
      </c>
      <c r="AD19" s="269">
        <f>IFERROR(INDEX('Inputs (2)'!$D$53:$AL$53,MATCH(AD$7&amp;"",'Inputs (2)'!$D$2:$AL$2,0)),"")</f>
        <v>4379</v>
      </c>
      <c r="AE19" s="269">
        <f>IFERROR(INDEX('Inputs (2)'!$D$53:$AL$53,MATCH(AE$7&amp;"",'Inputs (2)'!$D$2:$AL$2,0)),"")</f>
        <v>4849</v>
      </c>
      <c r="AF19" s="269">
        <f>IFERROR(INDEX('Inputs (2)'!$D$53:$AL$53,MATCH(AF$7&amp;"",'Inputs (2)'!$D$2:$AL$2,0)),"")</f>
        <v>3286</v>
      </c>
      <c r="AG19" s="270">
        <f>IF(COUNT(AC19:AF19)=4,SUM(AC19:AF19),"")</f>
        <v>17848</v>
      </c>
      <c r="AH19" s="270">
        <f>IFERROR(INDEX('Inputs (2)'!$D$53:$AL$53,MATCH(AH$7&amp;"",'Inputs (2)'!$D$2:$AL$2,0)),"")</f>
        <v>4612</v>
      </c>
      <c r="AI19" s="270">
        <f>IFERROR(INDEX('Inputs (2)'!$D$53:$AL$53,MATCH(AI$7&amp;"",'Inputs (2)'!$D$2:$AL$2,0)),"")</f>
        <v>4105</v>
      </c>
    </row>
    <row r="20">
      <c r="C20" s="268" t="inlineStr">
        <is>
          <t xml:space="preserve">   Small Agriculture &amp; Turf</t>
        </is>
      </c>
      <c r="D20" s="269" t="str">
        <f>IFERROR(INDEX('Inputs (2)'!$D$55:$AL$55,MATCH(D$7&amp;"",'Inputs (2)'!$D$2:$AL$2,0)),"")</f>
        <v/>
      </c>
      <c r="E20" s="269" t="str">
        <f>IFERROR(INDEX('Inputs (2)'!$D$55:$AL$55,MATCH(E$7&amp;"",'Inputs (2)'!$D$2:$AL$2,0)),"")</f>
        <v/>
      </c>
      <c r="F20" s="269" t="str">
        <f>IFERROR(INDEX('Inputs (2)'!$D$55:$AL$55,MATCH(F$7&amp;"",'Inputs (2)'!$D$2:$AL$2,0)),"")</f>
        <v/>
      </c>
      <c r="G20" s="269" t="str">
        <f>IFERROR(INDEX('Inputs (2)'!$D$55:$AL$55,MATCH(G$7&amp;"",'Inputs (2)'!$D$2:$AL$2,0)),"")</f>
        <v/>
      </c>
      <c r="H20" s="270" t="str">
        <f>IF(COUNT(D20:G20)=4,SUM(D20:G20),"")</f>
        <v/>
      </c>
      <c r="I20" s="269">
        <f>IFERROR(INDEX('Inputs (2)'!$D$55:$AL$55,MATCH(I$7&amp;"",'Inputs (2)'!$D$2:$AL$2,0)),"")</f>
        <v>3427</v>
      </c>
      <c r="J20" s="269">
        <f>IFERROR(INDEX('Inputs (2)'!$D$55:$AL$55,MATCH(J$7&amp;"",'Inputs (2)'!$D$2:$AL$2,0)),"")</f>
        <v>3212</v>
      </c>
      <c r="K20" s="269">
        <f>IFERROR(INDEX('Inputs (2)'!$D$55:$AL$55,MATCH(K$7&amp;"",'Inputs (2)'!$D$2:$AL$2,0)),"")</f>
        <v>2857</v>
      </c>
      <c r="L20" s="269">
        <f>IFERROR(INDEX('Inputs (2)'!$D$55:$AL$55,MATCH(L$7&amp;"",'Inputs (2)'!$D$2:$AL$2,0)),"")</f>
        <v>2674</v>
      </c>
      <c r="M20" s="270">
        <f>IF(COUNT(I20:L20)=4,SUM(I20:L20),"")</f>
        <v>12170</v>
      </c>
      <c r="N20" s="269">
        <f>IFERROR(INDEX('Inputs (2)'!$D$55:$AL$55,MATCH(N$7&amp;"",'Inputs (2)'!$D$2:$AL$2,0)),"")</f>
        <v>3606</v>
      </c>
      <c r="O20" s="269">
        <f>IFERROR(INDEX('Inputs (2)'!$D$55:$AL$55,MATCH(O$7&amp;"",'Inputs (2)'!$D$2:$AL$2,0)),"")</f>
        <v>3691</v>
      </c>
      <c r="P20" s="269">
        <f>IFERROR(INDEX('Inputs (2)'!$D$55:$AL$55,MATCH(P$7&amp;"",'Inputs (2)'!$D$2:$AL$2,0)),"")</f>
        <v>3598</v>
      </c>
      <c r="Q20" s="269">
        <f>IFERROR(INDEX('Inputs (2)'!$D$55:$AL$55,MATCH(Q$7&amp;"",'Inputs (2)'!$D$2:$AL$2,0)),"")</f>
        <v>3054</v>
      </c>
      <c r="R20" s="270">
        <f>IF(COUNT(N20:Q20)=4,SUM(N20:Q20),"")</f>
        <v>13949</v>
      </c>
      <c r="S20" s="269">
        <f>IFERROR(INDEX('Inputs (2)'!$D$55:$AL$55,MATCH(S$7&amp;"",'Inputs (2)'!$D$2:$AL$2,0)),"")</f>
        <v>4200</v>
      </c>
      <c r="T20" s="269">
        <f>IFERROR(INDEX('Inputs (2)'!$D$55:$AL$55,MATCH(T$7&amp;"",'Inputs (2)'!$D$2:$AL$2,0)),"")</f>
        <v>3806</v>
      </c>
      <c r="U20" s="269">
        <f>IFERROR(INDEX('Inputs (2)'!$D$55:$AL$55,MATCH(U$7&amp;"",'Inputs (2)'!$D$2:$AL$2,0)),"")</f>
        <v>3164</v>
      </c>
      <c r="V20" s="269">
        <f>IFERROR(INDEX('Inputs (2)'!$D$55:$AL$55,MATCH(V$7&amp;"",'Inputs (2)'!$D$2:$AL$2,0)),"")</f>
        <v>2492</v>
      </c>
      <c r="W20" s="270">
        <f>IF(COUNT(S20:V20)=4,SUM(S20:V20),"")</f>
        <v>13662</v>
      </c>
      <c r="X20" s="269">
        <f>IFERROR(INDEX('Inputs (2)'!$D$55:$AL$55,MATCH(X$7&amp;"",'Inputs (2)'!$D$2:$AL$2,0)),"")</f>
        <v>3253</v>
      </c>
      <c r="Y20" s="269">
        <f>IFERROR(INDEX('Inputs (2)'!$D$55:$AL$55,MATCH(Y$7&amp;"",'Inputs (2)'!$D$2:$AL$2,0)),"")</f>
        <v>3128</v>
      </c>
      <c r="Z20" s="269">
        <f>IFERROR(INDEX('Inputs (2)'!$D$55:$AL$55,MATCH(Z$7&amp;"",'Inputs (2)'!$D$2:$AL$2,0)),"")</f>
        <v>2342</v>
      </c>
      <c r="AA20" s="269">
        <f>IFERROR(INDEX('Inputs (2)'!$D$55:$AL$55,MATCH(AA$7&amp;"",'Inputs (2)'!$D$2:$AL$2,0)),"")</f>
        <v>1795</v>
      </c>
      <c r="AB20" s="270">
        <f>IF(COUNT(X20:AA20)=4,SUM(X20:AA20),"")</f>
        <v>10518</v>
      </c>
      <c r="AC20" s="269">
        <f>IFERROR(INDEX('Inputs (2)'!$D$55:$AL$55,MATCH(AC$7&amp;"",'Inputs (2)'!$D$2:$AL$2,0)),"")</f>
        <v>3044</v>
      </c>
      <c r="AD20" s="269">
        <f>IFERROR(INDEX('Inputs (2)'!$D$55:$AL$55,MATCH(AD$7&amp;"",'Inputs (2)'!$D$2:$AL$2,0)),"")</f>
        <v>3082</v>
      </c>
      <c r="AE20" s="269">
        <f>IFERROR(INDEX('Inputs (2)'!$D$55:$AL$55,MATCH(AE$7&amp;"",'Inputs (2)'!$D$2:$AL$2,0)),"")</f>
        <v>2511</v>
      </c>
      <c r="AF20" s="269">
        <f>IFERROR(INDEX('Inputs (2)'!$D$55:$AL$55,MATCH(AF$7&amp;"",'Inputs (2)'!$D$2:$AL$2,0)),"")</f>
        <v>2223</v>
      </c>
      <c r="AG20" s="270">
        <f>IF(COUNT(AC20:AF20)=4,SUM(AC20:AF20),"")</f>
        <v>10860</v>
      </c>
      <c r="AH20" s="270">
        <f>IFERROR(INDEX('Inputs (2)'!$D$55:$AL$55,MATCH(AH$7&amp;"",'Inputs (2)'!$D$2:$AL$2,0)),"")</f>
        <v>3540</v>
      </c>
      <c r="AI20" s="270">
        <f>IFERROR(INDEX('Inputs (2)'!$D$55:$AL$55,MATCH(AI$7&amp;"",'Inputs (2)'!$D$2:$AL$2,0)),"")</f>
        <v>3445</v>
      </c>
    </row>
    <row r="21">
      <c r="C21" s="268" t="inlineStr">
        <is>
          <t xml:space="preserve">   Construction &amp; Forestry</t>
        </is>
      </c>
      <c r="D21" s="269" t="str">
        <f>IFERROR(INDEX('Inputs (2)'!$D$57:$AL$57,MATCH(D$7&amp;"",'Inputs (2)'!$D$2:$AL$2,0)),"")</f>
        <v/>
      </c>
      <c r="E21" s="269" t="str">
        <f>IFERROR(INDEX('Inputs (2)'!$D$57:$AL$57,MATCH(E$7&amp;"",'Inputs (2)'!$D$2:$AL$2,0)),"")</f>
        <v/>
      </c>
      <c r="F21" s="269" t="str">
        <f>IFERROR(INDEX('Inputs (2)'!$D$57:$AL$57,MATCH(F$7&amp;"",'Inputs (2)'!$D$2:$AL$2,0)),"")</f>
        <v/>
      </c>
      <c r="G21" s="269" t="str">
        <f>IFERROR(INDEX('Inputs (2)'!$D$57:$AL$57,MATCH(G$7&amp;"",'Inputs (2)'!$D$2:$AL$2,0)),"")</f>
        <v/>
      </c>
      <c r="H21" s="270" t="str">
        <f>IF(COUNT(D21:G21)=4,SUM(D21:G21),"")</f>
        <v/>
      </c>
      <c r="I21" s="269">
        <f>IFERROR(INDEX('Inputs (2)'!$D$57:$AL$57,MATCH(I$7&amp;"",'Inputs (2)'!$D$2:$AL$2,0)),"")</f>
        <v>3137</v>
      </c>
      <c r="J21" s="269">
        <f>IFERROR(INDEX('Inputs (2)'!$D$57:$AL$57,MATCH(J$7&amp;"",'Inputs (2)'!$D$2:$AL$2,0)),"")</f>
        <v>3075</v>
      </c>
      <c r="K21" s="269">
        <f>IFERROR(INDEX('Inputs (2)'!$D$57:$AL$57,MATCH(K$7&amp;"",'Inputs (2)'!$D$2:$AL$2,0)),"")</f>
        <v>2871</v>
      </c>
      <c r="L21" s="269">
        <f>IFERROR(INDEX('Inputs (2)'!$D$57:$AL$57,MATCH(L$7&amp;"",'Inputs (2)'!$D$2:$AL$2,0)),"")</f>
        <v>2592</v>
      </c>
      <c r="M21" s="270">
        <f>IF(COUNT(I21:L21)=4,SUM(I21:L21),"")</f>
        <v>11675</v>
      </c>
      <c r="N21" s="269">
        <f>IFERROR(INDEX('Inputs (2)'!$D$57:$AL$57,MATCH(N$7&amp;"",'Inputs (2)'!$D$2:$AL$2,0)),"")</f>
        <v>3724</v>
      </c>
      <c r="O21" s="269">
        <f>IFERROR(INDEX('Inputs (2)'!$D$57:$AL$57,MATCH(O$7&amp;"",'Inputs (2)'!$D$2:$AL$2,0)),"")</f>
        <v>3323</v>
      </c>
      <c r="P21" s="269">
        <f>IFERROR(INDEX('Inputs (2)'!$D$57:$AL$57,MATCH(P$7&amp;"",'Inputs (2)'!$D$2:$AL$2,0)),"")</f>
        <v>3426</v>
      </c>
      <c r="Q21" s="269">
        <f>IFERROR(INDEX('Inputs (2)'!$D$57:$AL$57,MATCH(Q$7&amp;"",'Inputs (2)'!$D$2:$AL$2,0)),"")</f>
        <v>3255</v>
      </c>
      <c r="R21" s="270">
        <f>IF(COUNT(N21:Q21)=4,SUM(N21:Q21),"")</f>
        <v>13728</v>
      </c>
      <c r="S21" s="269">
        <f>IFERROR(INDEX('Inputs (2)'!$D$57:$AL$57,MATCH(S$7&amp;"",'Inputs (2)'!$D$2:$AL$2,0)),"")</f>
        <v>4168</v>
      </c>
      <c r="T21" s="269">
        <f>IFERROR(INDEX('Inputs (2)'!$D$57:$AL$57,MATCH(T$7&amp;"",'Inputs (2)'!$D$2:$AL$2,0)),"")</f>
        <v>3795</v>
      </c>
      <c r="U21" s="269">
        <f>IFERROR(INDEX('Inputs (2)'!$D$57:$AL$57,MATCH(U$7&amp;"",'Inputs (2)'!$D$2:$AL$2,0)),"")</f>
        <v>3768</v>
      </c>
      <c r="V21" s="269">
        <f>IFERROR(INDEX('Inputs (2)'!$D$57:$AL$57,MATCH(V$7&amp;"",'Inputs (2)'!$D$2:$AL$2,0)),"")</f>
        <v>3274</v>
      </c>
      <c r="W21" s="270">
        <f>IF(COUNT(S21:V21)=4,SUM(S21:V21),"")</f>
        <v>15005</v>
      </c>
      <c r="X21" s="269">
        <f>IFERROR(INDEX('Inputs (2)'!$D$57:$AL$57,MATCH(X$7&amp;"",'Inputs (2)'!$D$2:$AL$2,0)),"")</f>
        <v>3908</v>
      </c>
      <c r="Y21" s="269">
        <f>IFERROR(INDEX('Inputs (2)'!$D$57:$AL$57,MATCH(Y$7&amp;"",'Inputs (2)'!$D$2:$AL$2,0)),"")</f>
        <v>3293</v>
      </c>
      <c r="Z21" s="269">
        <f>IFERROR(INDEX('Inputs (2)'!$D$57:$AL$57,MATCH(Z$7&amp;"",'Inputs (2)'!$D$2:$AL$2,0)),"")</f>
        <v>2730</v>
      </c>
      <c r="AA21" s="269">
        <f>IFERROR(INDEX('Inputs (2)'!$D$57:$AL$57,MATCH(AA$7&amp;"",'Inputs (2)'!$D$2:$AL$2,0)),"")</f>
        <v>2043</v>
      </c>
      <c r="AB21" s="270">
        <f>IF(COUNT(X21:AA21)=4,SUM(X21:AA21),"")</f>
        <v>11974</v>
      </c>
      <c r="AC21" s="269">
        <f>IFERROR(INDEX('Inputs (2)'!$D$57:$AL$57,MATCH(AC$7&amp;"",'Inputs (2)'!$D$2:$AL$2,0)),"")</f>
        <v>2996</v>
      </c>
      <c r="AD21" s="269">
        <f>IFERROR(INDEX('Inputs (2)'!$D$57:$AL$57,MATCH(AD$7&amp;"",'Inputs (2)'!$D$2:$AL$2,0)),"")</f>
        <v>3112</v>
      </c>
      <c r="AE21" s="269">
        <f>IFERROR(INDEX('Inputs (2)'!$D$57:$AL$57,MATCH(AE$7&amp;"",'Inputs (2)'!$D$2:$AL$2,0)),"")</f>
        <v>3492</v>
      </c>
      <c r="AF21" s="269">
        <f>IFERROR(INDEX('Inputs (2)'!$D$57:$AL$57,MATCH(AF$7&amp;"",'Inputs (2)'!$D$2:$AL$2,0)),"")</f>
        <v>2731</v>
      </c>
      <c r="AG21" s="270">
        <f>IF(COUNT(AC21:AF21)=4,SUM(AC21:AF21),"")</f>
        <v>12331</v>
      </c>
      <c r="AH21" s="270">
        <f>IFERROR(INDEX('Inputs (2)'!$D$57:$AL$57,MATCH(AH$7&amp;"",'Inputs (2)'!$D$2:$AL$2,0)),"")</f>
        <v>3854</v>
      </c>
      <c r="AI21" s="270">
        <f>IFERROR(INDEX('Inputs (2)'!$D$57:$AL$57,MATCH(AI$7&amp;"",'Inputs (2)'!$D$2:$AL$2,0)),"")</f>
        <v>3682</v>
      </c>
    </row>
    <row r="22">
      <c r="C22" s="268" t="inlineStr">
        <is>
          <t xml:space="preserve">   Financial Services</t>
        </is>
      </c>
      <c r="D22" s="269" t="str">
        <f>IFERROR(INDEX('Inputs (2)'!$D$59:$AL$59,MATCH(D$7&amp;"",'Inputs (2)'!$D$2:$AL$2,0)),"")</f>
        <v/>
      </c>
      <c r="E22" s="269" t="str">
        <f>IFERROR(INDEX('Inputs (2)'!$D$59:$AL$59,MATCH(E$7&amp;"",'Inputs (2)'!$D$2:$AL$2,0)),"")</f>
        <v/>
      </c>
      <c r="F22" s="269" t="str">
        <f>IFERROR(INDEX('Inputs (2)'!$D$59:$AL$59,MATCH(F$7&amp;"",'Inputs (2)'!$D$2:$AL$2,0)),"")</f>
        <v/>
      </c>
      <c r="G22" s="269" t="str">
        <f>IFERROR(INDEX('Inputs (2)'!$D$59:$AL$59,MATCH(G$7&amp;"",'Inputs (2)'!$D$2:$AL$2,0)),"")</f>
        <v/>
      </c>
      <c r="H22" s="270" t="str">
        <f>IF(COUNT(D22:G22)=4,SUM(D22:G22),"")</f>
        <v/>
      </c>
      <c r="I22" s="269">
        <f>IFERROR(INDEX('Inputs (2)'!$D$59:$AL$59,MATCH(I$7&amp;"",'Inputs (2)'!$D$2:$AL$2,0)),"")</f>
        <v>892</v>
      </c>
      <c r="J22" s="269">
        <f>IFERROR(INDEX('Inputs (2)'!$D$59:$AL$59,MATCH(J$7&amp;"",'Inputs (2)'!$D$2:$AL$2,0)),"")</f>
        <v>902</v>
      </c>
      <c r="K22" s="269">
        <f>IFERROR(INDEX('Inputs (2)'!$D$59:$AL$59,MATCH(K$7&amp;"",'Inputs (2)'!$D$2:$AL$2,0)),"")</f>
        <v>869</v>
      </c>
      <c r="L22" s="269">
        <f>IFERROR(INDEX('Inputs (2)'!$D$59:$AL$59,MATCH(L$7&amp;"",'Inputs (2)'!$D$2:$AL$2,0)),"")</f>
        <v>870</v>
      </c>
      <c r="M22" s="270">
        <f>IF(COUNT(I22:L22)=4,SUM(I22:L22),"")</f>
        <v>3533</v>
      </c>
      <c r="N22" s="269">
        <f>IFERROR(INDEX('Inputs (2)'!$D$59:$AL$59,MATCH(N$7&amp;"",'Inputs (2)'!$D$2:$AL$2,0)),"")</f>
        <v>864</v>
      </c>
      <c r="O22" s="269">
        <f>IFERROR(INDEX('Inputs (2)'!$D$59:$AL$59,MATCH(O$7&amp;"",'Inputs (2)'!$D$2:$AL$2,0)),"")</f>
        <v>903</v>
      </c>
      <c r="P22" s="269">
        <f>IFERROR(INDEX('Inputs (2)'!$D$59:$AL$59,MATCH(P$7&amp;"",'Inputs (2)'!$D$2:$AL$2,0)),"")</f>
        <v>988</v>
      </c>
      <c r="Q22" s="269">
        <f>IFERROR(INDEX('Inputs (2)'!$D$59:$AL$59,MATCH(Q$7&amp;"",'Inputs (2)'!$D$2:$AL$2,0)),"")</f>
        <v>1040</v>
      </c>
      <c r="R22" s="270">
        <f>IF(COUNT(N22:Q22)=4,SUM(N22:Q22),"")</f>
        <v>3795</v>
      </c>
      <c r="S22" s="269">
        <f>IFERROR(INDEX('Inputs (2)'!$D$59:$AL$59,MATCH(S$7&amp;"",'Inputs (2)'!$D$2:$AL$2,0)),"")</f>
        <v>1107</v>
      </c>
      <c r="T22" s="269">
        <f>IFERROR(INDEX('Inputs (2)'!$D$59:$AL$59,MATCH(T$7&amp;"",'Inputs (2)'!$D$2:$AL$2,0)),"")</f>
        <v>1228</v>
      </c>
      <c r="U22" s="269">
        <f>IFERROR(INDEX('Inputs (2)'!$D$59:$AL$59,MATCH(U$7&amp;"",'Inputs (2)'!$D$2:$AL$2,0)),"")</f>
        <v>1346</v>
      </c>
      <c r="V22" s="269">
        <f>IFERROR(INDEX('Inputs (2)'!$D$59:$AL$59,MATCH(V$7&amp;"",'Inputs (2)'!$D$2:$AL$2,0)),"")</f>
        <v>1376</v>
      </c>
      <c r="W22" s="270">
        <f>IF(COUNT(S22:V22)=4,SUM(S22:V22),"")</f>
        <v>5057</v>
      </c>
      <c r="X22" s="269">
        <f>IFERROR(INDEX('Inputs (2)'!$D$59:$AL$59,MATCH(X$7&amp;"",'Inputs (2)'!$D$2:$AL$2,0)),"")</f>
        <v>1395</v>
      </c>
      <c r="Y22" s="269">
        <f>IFERROR(INDEX('Inputs (2)'!$D$59:$AL$59,MATCH(Y$7&amp;"",'Inputs (2)'!$D$2:$AL$2,0)),"")</f>
        <v>1489</v>
      </c>
      <c r="Z22" s="269">
        <f>IFERROR(INDEX('Inputs (2)'!$D$59:$AL$59,MATCH(Z$7&amp;"",'Inputs (2)'!$D$2:$AL$2,0)),"")</f>
        <v>1523</v>
      </c>
      <c r="AA22" s="269">
        <f>IFERROR(INDEX('Inputs (2)'!$D$59:$AL$59,MATCH(AA$7&amp;"",'Inputs (2)'!$D$2:$AL$2,0)),"")</f>
        <v>1573</v>
      </c>
      <c r="AB22" s="270">
        <f>IF(COUNT(X22:AA22)=4,SUM(X22:AA22),"")</f>
        <v>5980</v>
      </c>
      <c r="AC22" s="269">
        <f>IFERROR(INDEX('Inputs (2)'!$D$59:$AL$59,MATCH(AC$7&amp;"",'Inputs (2)'!$D$2:$AL$2,0)),"")</f>
        <v>1501</v>
      </c>
      <c r="AD22" s="269">
        <f>IFERROR(INDEX('Inputs (2)'!$D$59:$AL$59,MATCH(AD$7&amp;"",'Inputs (2)'!$D$2:$AL$2,0)),"")</f>
        <v>1544</v>
      </c>
      <c r="AE22" s="269">
        <f>IFERROR(INDEX('Inputs (2)'!$D$59:$AL$59,MATCH(AE$7&amp;"",'Inputs (2)'!$D$2:$AL$2,0)),"")</f>
        <v>1671</v>
      </c>
      <c r="AF22" s="269">
        <f>IFERROR(INDEX('Inputs (2)'!$D$59:$AL$59,MATCH(AF$7&amp;"",'Inputs (2)'!$D$2:$AL$2,0)),"")</f>
        <v>1488</v>
      </c>
      <c r="AG22" s="270">
        <f>IF(COUNT(AC22:AF22)=4,SUM(AC22:AF22),"")</f>
        <v>6204</v>
      </c>
      <c r="AH22" s="270">
        <f>IFERROR(INDEX('Inputs (2)'!$D$59:$AL$59,MATCH(AH$7&amp;"",'Inputs (2)'!$D$2:$AL$2,0)),"")</f>
        <v>1509</v>
      </c>
      <c r="AI22" s="270">
        <f>IFERROR(INDEX('Inputs (2)'!$D$59:$AL$59,MATCH(AI$7&amp;"",'Inputs (2)'!$D$2:$AL$2,0)),"")</f>
        <v>1505</v>
      </c>
    </row>
    <row r="23">
      <c r="C23" s="271" t="inlineStr">
        <is>
          <t>Receita (soma dos segmentos)</t>
        </is>
      </c>
      <c r="D23" s="269" t="str">
        <f>IF(COUNT(D19,D20,D21,D22)=0,"",N(D19)+N(D20)+N(D21)+N(D22))</f>
        <v/>
      </c>
      <c r="E23" s="269" t="str">
        <f>IF(COUNT(E19,E20,E21,E22)=0,"",N(E19)+N(E20)+N(E21)+N(E22))</f>
        <v/>
      </c>
      <c r="F23" s="269" t="str">
        <f>IF(COUNT(F19,F20,F21,F22)=0,"",N(F19)+N(F20)+N(F21)+N(F22))</f>
        <v/>
      </c>
      <c r="G23" s="269" t="str">
        <f>IF(COUNT(G19,G20,G21,G22)=0,"",N(G19)+N(G20)+N(G21)+N(G22))</f>
        <v/>
      </c>
      <c r="H23" s="270" t="str">
        <f>IF(COUNT(H19,H20,H21,H22)=0,"",N(H19)+N(H20)+N(H21)+N(H22))</f>
        <v/>
      </c>
      <c r="I23" s="269">
        <f>IF(COUNT(I19,I20,I21,I22)=0,"",N(I19)+N(I20)+N(I21)+N(I22))</f>
        <v>12058</v>
      </c>
      <c r="J23" s="269">
        <f>IF(COUNT(J19,J20,J21,J22)=0,"",N(J19)+N(J20)+N(J21)+N(J22))</f>
        <v>11527</v>
      </c>
      <c r="K23" s="269">
        <f>IF(COUNT(K19,K20,K21,K22)=0,"",N(K19)+N(K20)+N(K21)+N(K22))</f>
        <v>11327</v>
      </c>
      <c r="L23" s="269">
        <f>IF(COUNT(L19,L20,L21,L22)=0,"",N(L19)+N(L20)+N(L21)+N(L22))</f>
        <v>9569</v>
      </c>
      <c r="M23" s="270">
        <f>IF(COUNT(M19,M20,M21,M22)=0,"",N(M19)+N(M20)+N(M21)+N(M22))</f>
        <v>44481</v>
      </c>
      <c r="N23" s="269">
        <f>IF(COUNT(N19,N20,N21,N22)=0,"",N(N19)+N(N20)+N(N21)+N(N22))</f>
        <v>13370</v>
      </c>
      <c r="O23" s="269">
        <f>IF(COUNT(O19,O20,O21,O22)=0,"",N(O19)+N(O20)+N(O21)+N(O22))</f>
        <v>14102</v>
      </c>
      <c r="P23" s="269">
        <f>IF(COUNT(P19,P20,P21,P22)=0,"",N(P19)+N(P20)+N(P21)+N(P22))</f>
        <v>15536</v>
      </c>
      <c r="Q23" s="269">
        <f>IF(COUNT(Q19,Q20,Q21,Q22)=0,"",N(Q19)+N(Q20)+N(Q21)+N(Q22))</f>
        <v>12652</v>
      </c>
      <c r="R23" s="270">
        <f>IF(COUNT(R19,R20,R21,R22)=0,"",N(R19)+N(R20)+N(R21)+N(R22))</f>
        <v>55660</v>
      </c>
      <c r="S23" s="269">
        <f>IF(COUNT(S19,S20,S21,S22)=0,"",N(S19)+N(S20)+N(S21)+N(S22))</f>
        <v>17387</v>
      </c>
      <c r="T23" s="269">
        <f>IF(COUNT(T19,T20,T21,T22)=0,"",N(T19)+N(T20)+N(T21)+N(T22))</f>
        <v>15801</v>
      </c>
      <c r="U23" s="269">
        <f>IF(COUNT(U19,U20,U21,U22)=0,"",N(U19)+N(U20)+N(U21)+N(U22))</f>
        <v>15381</v>
      </c>
      <c r="V23" s="269">
        <f>IF(COUNT(V19,V20,V21,V22)=0,"",N(V19)+N(V20)+N(V21)+N(V22))</f>
        <v>12185</v>
      </c>
      <c r="W23" s="270">
        <f>IF(COUNT(W19,W20,W21,W22)=0,"",N(W19)+N(W20)+N(W21)+N(W22))</f>
        <v>60754</v>
      </c>
      <c r="X23" s="269">
        <f>IF(COUNT(X19,X20,X21,X22)=0,"",N(X19)+N(X20)+N(X21)+N(X22))</f>
        <v>15235</v>
      </c>
      <c r="Y23" s="269">
        <f>IF(COUNT(Y19,Y20,Y21,Y22)=0,"",N(Y19)+N(Y20)+N(Y21)+N(Y22))</f>
        <v>13152</v>
      </c>
      <c r="Z23" s="269">
        <f>IF(COUNT(Z19,Z20,Z21,Z22)=0,"",N(Z19)+N(Z20)+N(Z21)+N(Z22))</f>
        <v>11011</v>
      </c>
      <c r="AA23" s="269">
        <f>IF(COUNT(AA19,AA20,AA21,AA22)=0,"",N(AA19)+N(AA20)+N(AA21)+N(AA22))</f>
        <v>8600</v>
      </c>
      <c r="AB23" s="270">
        <f>IF(COUNT(AB19,AB20,AB21,AB22)=0,"",N(AB19)+N(AB20)+N(AB21)+N(AB22))</f>
        <v>47998</v>
      </c>
      <c r="AC23" s="269">
        <f>IF(COUNT(AC19,AC20,AC21,AC22)=0,"",N(AC19)+N(AC20)+N(AC21)+N(AC22))</f>
        <v>12875</v>
      </c>
      <c r="AD23" s="269">
        <f>IF(COUNT(AD19,AD20,AD21,AD22)=0,"",N(AD19)+N(AD20)+N(AD21)+N(AD22))</f>
        <v>12117</v>
      </c>
      <c r="AE23" s="269">
        <f>IF(COUNT(AE19,AE20,AE21,AE22)=0,"",N(AE19)+N(AE20)+N(AE21)+N(AE22))</f>
        <v>12523</v>
      </c>
      <c r="AF23" s="269">
        <f>IF(COUNT(AF19,AF20,AF21,AF22)=0,"",N(AF19)+N(AF20)+N(AF21)+N(AF22))</f>
        <v>9728</v>
      </c>
      <c r="AG23" s="270">
        <f>IF(COUNT(AG19,AG20,AG21,AG22)=0,"",N(AG19)+N(AG20)+N(AG21)+N(AG22))</f>
        <v>47243</v>
      </c>
      <c r="AH23" s="270">
        <f>IF(COUNT(AH19,AH20,AH21,AH22)=0,"",N(AH19)+N(AH20)+N(AH21)+N(AH22))</f>
        <v>13515</v>
      </c>
      <c r="AI23" s="270">
        <f>IF(COUNT(AI19,AI20,AI21,AI22)=0,"",N(AI19)+N(AI20)+N(AI21)+N(AI22))</f>
        <v>12737</v>
      </c>
    </row>
    <row r="24">
      <c r="C24" s="268" t="inlineStr">
        <is>
          <t>Receita não alocada aos segmentos (linha 15 - soma)</t>
        </is>
      </c>
      <c r="D24" s="269" t="str">
        <f>IF(COUNT(D23)=0,"",ROUND(D15-D23,1))</f>
        <v/>
      </c>
      <c r="E24" s="269" t="str">
        <f>IF(COUNT(E23)=0,"",ROUND(E15-E23,1))</f>
        <v/>
      </c>
      <c r="F24" s="269" t="str">
        <f>IF(COUNT(F23)=0,"",ROUND(F15-F23,1))</f>
        <v/>
      </c>
      <c r="G24" s="269" t="str">
        <f>IF(COUNT(G23)=0,"",ROUND(G15-G23,1))</f>
        <v/>
      </c>
      <c r="H24" s="270" t="str">
        <f>IF(COUNT(H23)=0,"",ROUND(H15-H23,1))</f>
        <v/>
      </c>
      <c r="I24" s="269">
        <f>IF(COUNT(I23)=0,"",ROUND(I15-I23,1))</f>
        <v>0</v>
      </c>
      <c r="J24" s="269">
        <f>IF(COUNT(J23)=0,"",ROUND(J15-J23,1))</f>
        <v>0</v>
      </c>
      <c r="K24" s="269">
        <f>IF(COUNT(K23)=0,"",ROUND(K15-K23,1))</f>
        <v>0</v>
      </c>
      <c r="L24" s="269">
        <f>IF(COUNT(L23)=0,"",ROUND(L15-L23,1))</f>
        <v>0</v>
      </c>
      <c r="M24" s="270">
        <f>IF(COUNT(M23)=0,"",ROUND(M15-M23,1))</f>
        <v>0</v>
      </c>
      <c r="N24" s="269">
        <f>IF(COUNT(N23)=0,"",ROUND(N15-N23,1))</f>
        <v>0</v>
      </c>
      <c r="O24" s="269">
        <f>IF(COUNT(O23)=0,"",ROUND(O15-O23,1))</f>
        <v>0</v>
      </c>
      <c r="P24" s="269">
        <f>IF(COUNT(P23)=0,"",ROUND(P15-P23,1))</f>
        <v>0</v>
      </c>
      <c r="Q24" s="269">
        <f>IF(COUNT(Q23)=0,"",ROUND(Q15-Q23,1))</f>
        <v>0</v>
      </c>
      <c r="R24" s="270">
        <f>IF(COUNT(R23)=0,"",ROUND(R15-R23,1))</f>
        <v>0</v>
      </c>
      <c r="S24" s="269">
        <f>IF(COUNT(S23)=0,"",ROUND(S15-S23,1))</f>
        <v>0</v>
      </c>
      <c r="T24" s="269">
        <f>IF(COUNT(T23)=0,"",ROUND(T15-T23,1))</f>
        <v>0</v>
      </c>
      <c r="U24" s="269">
        <f>IF(COUNT(U23)=0,"",ROUND(U15-U23,1))</f>
        <v>31</v>
      </c>
      <c r="V24" s="269">
        <f>IF(COUNT(V23)=0,"",ROUND(V15-V23,1))</f>
        <v>0</v>
      </c>
      <c r="W24" s="270">
        <f>IF(COUNT(W23)=0,"",ROUND(W15-W23,1))</f>
        <v>31</v>
      </c>
      <c r="X24" s="269">
        <f>IF(COUNT(X23)=0,"",ROUND(X15-X23,1))</f>
        <v>0</v>
      </c>
      <c r="Y24" s="269">
        <f>IF(COUNT(Y23)=0,"",ROUND(Y15-Y23,1))</f>
        <v>0</v>
      </c>
      <c r="Z24" s="269">
        <f>IF(COUNT(Z23)=0,"",ROUND(Z15-Z23,1))</f>
        <v>133</v>
      </c>
      <c r="AA24" s="269">
        <f>IF(COUNT(AA23)=0,"",ROUND(AA15-AA23,1))</f>
        <v>-92</v>
      </c>
      <c r="AB24" s="270">
        <f>IF(COUNT(AB23)=0,"",ROUND(AB15-AB23,1))</f>
        <v>41</v>
      </c>
      <c r="AC24" s="269">
        <f>IF(COUNT(AC23)=0,"",ROUND(AC15-AC23,1))</f>
        <v>-112</v>
      </c>
      <c r="AD24" s="269">
        <f>IF(COUNT(AD23)=0,"",ROUND(AD15-AD23,1))</f>
        <v>-99</v>
      </c>
      <c r="AE24" s="269">
        <f>IF(COUNT(AE23)=0,"",ROUND(AE15-AE23,1))</f>
        <v>-129</v>
      </c>
      <c r="AF24" s="269">
        <f>IF(COUNT(AF23)=0,"",ROUND(AF15-AF23,1))</f>
        <v>-117</v>
      </c>
      <c r="AG24" s="270">
        <f>IF(COUNT(AG23)=0,"",ROUND(AG15-AG23,1))</f>
        <v>-457</v>
      </c>
      <c r="AH24" s="270">
        <f>IF(COUNT(AH23)=0,"",ROUND(AH15-AH23,1))</f>
        <v>-146</v>
      </c>
      <c r="AI24" s="270">
        <f>IF(COUNT(AI23)=0,"",ROUND(AI15-AI23,1))</f>
        <v>-129</v>
      </c>
    </row>
    <row r="25">
      <c r="C25" s="268" t="inlineStr">
        <is>
          <t xml:space="preserve">   % YoY Production &amp; Precision Agriculture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IFERROR(I19/D19-1,"")</f>
        <v/>
      </c>
      <c r="J25" s="272" t="str">
        <f>IFERROR(J19/E19-1,"")</f>
        <v/>
      </c>
      <c r="K25" s="272" t="str">
        <f>IFERROR(K19/F19-1,"")</f>
        <v/>
      </c>
      <c r="L25" s="272" t="str">
        <f>IFERROR(L19/G19-1,"")</f>
        <v/>
      </c>
      <c r="M25" s="273" t="str">
        <f>IFERROR(M19/H19-1,"")</f>
        <v/>
      </c>
      <c r="N25" s="272">
        <f>IFERROR(N19/I19-1,"")</f>
        <v>0.124728378965667</v>
      </c>
      <c r="O25" s="272">
        <f>IFERROR(O19/J19-1,"")</f>
        <v>0.42577224527432</v>
      </c>
      <c r="P25" s="272">
        <f>IFERROR(P19/K19-1,"")</f>
        <v>0.590697674418605</v>
      </c>
      <c r="Q25" s="272">
        <f>IFERROR(Q19/L19-1,"")</f>
        <v>0.544713078939703</v>
      </c>
      <c r="R25" s="273">
        <f>IFERROR(R19/M19-1,"")</f>
        <v>0.414254809097819</v>
      </c>
      <c r="S25" s="272">
        <f>IFERROR(S19/N19-1,"")</f>
        <v>0.528593508500773</v>
      </c>
      <c r="T25" s="272">
        <f>IFERROR(T19/O19-1,"")</f>
        <v>0.127243330638642</v>
      </c>
      <c r="U25" s="272">
        <f>IFERROR(U19/P19-1,"")</f>
        <v>-0.0559542796384902</v>
      </c>
      <c r="V25" s="272">
        <f>IFERROR(V19/Q19-1,"")</f>
        <v>-0.0490288515934377</v>
      </c>
      <c r="W25" s="273">
        <f>IFERROR(W19/R19-1,"")</f>
        <v>0.117496279146684</v>
      </c>
      <c r="X25" s="272">
        <f>IFERROR(X19/S19-1,"")</f>
        <v>-0.155839231547017</v>
      </c>
      <c r="Y25" s="272">
        <f>IFERROR(Y19/T19-1,"")</f>
        <v>-0.248135398737808</v>
      </c>
      <c r="Z25" s="272">
        <f>IFERROR(Z19/U19-1,"")</f>
        <v>-0.378290863015627</v>
      </c>
      <c r="AA25" s="272">
        <f>IFERROR(AA19/V19-1,"")</f>
        <v>-0.367638310529447</v>
      </c>
      <c r="AB25" s="273">
        <f>IFERROR(AB19/W19-1,"")</f>
        <v>-0.277617462079171</v>
      </c>
      <c r="AC25" s="272">
        <f>IFERROR(AC19/X19-1,"")</f>
        <v>-0.201377451714329</v>
      </c>
      <c r="AD25" s="272">
        <f>IFERROR(AD19/Y19-1,"")</f>
        <v>-0.164631819916063</v>
      </c>
      <c r="AE25" s="272">
        <f>IFERROR(AE19/Z19-1,"")</f>
        <v>0.098052536231884</v>
      </c>
      <c r="AF25" s="272">
        <f>IFERROR(AF19/AA19-1,"")</f>
        <v>0.0304170586390717</v>
      </c>
      <c r="AG25" s="273">
        <f>IFERROR(AG19/AB19-1,"")</f>
        <v>-0.0859366997849022</v>
      </c>
      <c r="AH25" s="273">
        <f>IFERROR(AH19/AC19-1,"")</f>
        <v>-0.13535808023997</v>
      </c>
      <c r="AI25" s="273">
        <f>IFERROR(AI19/AD19-1,"")</f>
        <v>-0.0625713633249601</v>
      </c>
    </row>
    <row r="26">
      <c r="C26" s="268" t="inlineStr">
        <is>
          <t xml:space="preserve">   % YoY Small Agriculture &amp; Turf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IFERROR(I20/D20-1,"")</f>
        <v/>
      </c>
      <c r="J26" s="272" t="str">
        <f>IFERROR(J20/E20-1,"")</f>
        <v/>
      </c>
      <c r="K26" s="272" t="str">
        <f>IFERROR(K20/F20-1,"")</f>
        <v/>
      </c>
      <c r="L26" s="272" t="str">
        <f>IFERROR(L20/G20-1,"")</f>
        <v/>
      </c>
      <c r="M26" s="273" t="str">
        <f>IFERROR(M20/H20-1,"")</f>
        <v/>
      </c>
      <c r="N26" s="272">
        <f>IFERROR(N20/I20-1,"")</f>
        <v>0.0522322731251823</v>
      </c>
      <c r="O26" s="272">
        <f>IFERROR(O20/J20-1,"")</f>
        <v>0.149128268991283</v>
      </c>
      <c r="P26" s="272">
        <f>IFERROR(P20/K20-1,"")</f>
        <v>0.259362968148407</v>
      </c>
      <c r="Q26" s="272">
        <f>IFERROR(Q20/L20-1,"")</f>
        <v>0.142109199700823</v>
      </c>
      <c r="R26" s="273">
        <f>IFERROR(R20/M20-1,"")</f>
        <v>0.146179129005752</v>
      </c>
      <c r="S26" s="272">
        <f>IFERROR(S20/N20-1,"")</f>
        <v>0.164725457570716</v>
      </c>
      <c r="T26" s="272">
        <f>IFERROR(T20/O20-1,"")</f>
        <v>0.031156868057437</v>
      </c>
      <c r="U26" s="272">
        <f>IFERROR(U20/P20-1,"")</f>
        <v>-0.120622568093385</v>
      </c>
      <c r="V26" s="272">
        <f>IFERROR(V20/Q20-1,"")</f>
        <v>-0.184020956123117</v>
      </c>
      <c r="W26" s="273">
        <f>IFERROR(W20/R20-1,"")</f>
        <v>-0.0205749516094343</v>
      </c>
      <c r="X26" s="272">
        <f>IFERROR(X20/S20-1,"")</f>
        <v>-0.225476190476191</v>
      </c>
      <c r="Y26" s="272">
        <f>IFERROR(Y20/T20-1,"")</f>
        <v>-0.178139779295849</v>
      </c>
      <c r="Z26" s="272">
        <f>IFERROR(Z20/U20-1,"")</f>
        <v>-0.259797724399494</v>
      </c>
      <c r="AA26" s="272">
        <f>IFERROR(AA20/V20-1,"")</f>
        <v>-0.279695024077047</v>
      </c>
      <c r="AB26" s="273">
        <f>IFERROR(AB20/W20-1,"")</f>
        <v>-0.230127360562143</v>
      </c>
      <c r="AC26" s="272">
        <f>IFERROR(AC20/X20-1,"")</f>
        <v>-0.0642483861051337</v>
      </c>
      <c r="AD26" s="272">
        <f>IFERROR(AD20/Y20-1,"")</f>
        <v>-0.0147058823529411</v>
      </c>
      <c r="AE26" s="272">
        <f>IFERROR(AE20/Z20-1,"")</f>
        <v>0.0721605465414177</v>
      </c>
      <c r="AF26" s="272">
        <f>IFERROR(AF20/AA20-1,"")</f>
        <v>0.238440111420613</v>
      </c>
      <c r="AG26" s="273">
        <f>IFERROR(AG20/AB20-1,"")</f>
        <v>0.0325156873930406</v>
      </c>
      <c r="AH26" s="273">
        <f>IFERROR(AH20/AC20-1,"")</f>
        <v>0.162943495400788</v>
      </c>
      <c r="AI26" s="273">
        <f>IFERROR(AI20/AD20-1,"")</f>
        <v>0.117780661907852</v>
      </c>
    </row>
    <row r="27">
      <c r="C27" s="268" t="inlineStr">
        <is>
          <t xml:space="preserve">   % YoY Construction &amp; Forestry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IFERROR(I21/D21-1,"")</f>
        <v/>
      </c>
      <c r="J27" s="272" t="str">
        <f>IFERROR(J21/E21-1,"")</f>
        <v/>
      </c>
      <c r="K27" s="272" t="str">
        <f>IFERROR(K21/F21-1,"")</f>
        <v/>
      </c>
      <c r="L27" s="272" t="str">
        <f>IFERROR(L21/G21-1,"")</f>
        <v/>
      </c>
      <c r="M27" s="273" t="str">
        <f>IFERROR(M21/H21-1,"")</f>
        <v/>
      </c>
      <c r="N27" s="272">
        <f>IFERROR(N21/I21-1,"")</f>
        <v>0.187121453618107</v>
      </c>
      <c r="O27" s="272">
        <f>IFERROR(O21/J21-1,"")</f>
        <v>0.080650406504065</v>
      </c>
      <c r="P27" s="272">
        <f>IFERROR(P21/K21-1,"")</f>
        <v>0.193312434691745</v>
      </c>
      <c r="Q27" s="272">
        <f>IFERROR(Q21/L21-1,"")</f>
        <v>0.255787037037037</v>
      </c>
      <c r="R27" s="273">
        <f>IFERROR(R21/M21-1,"")</f>
        <v>0.175845824411135</v>
      </c>
      <c r="S27" s="272">
        <f>IFERROR(S21/N21-1,"")</f>
        <v>0.11922663802363</v>
      </c>
      <c r="T27" s="272">
        <f>IFERROR(T21/O21-1,"")</f>
        <v>0.142040325007523</v>
      </c>
      <c r="U27" s="272">
        <f>IFERROR(U21/P21-1,"")</f>
        <v>0.0998248686514887</v>
      </c>
      <c r="V27" s="272">
        <f>IFERROR(V21/Q21-1,"")</f>
        <v>0.00583717357910896</v>
      </c>
      <c r="W27" s="273">
        <f>IFERROR(W21/R21-1,"")</f>
        <v>0.0930215617715617</v>
      </c>
      <c r="X27" s="272">
        <f>IFERROR(X21/S21-1,"")</f>
        <v>-0.0623800383877159</v>
      </c>
      <c r="Y27" s="272">
        <f>IFERROR(Y21/T21-1,"")</f>
        <v>-0.132279314888011</v>
      </c>
      <c r="Z27" s="272">
        <f>IFERROR(Z21/U21-1,"")</f>
        <v>-0.275477707006369</v>
      </c>
      <c r="AA27" s="272">
        <f>IFERROR(AA21/V21-1,"")</f>
        <v>-0.37599266951741</v>
      </c>
      <c r="AB27" s="273">
        <f>IFERROR(AB21/W21-1,"")</f>
        <v>-0.201999333555482</v>
      </c>
      <c r="AC27" s="272">
        <f>IFERROR(AC21/X21-1,"")</f>
        <v>-0.233367451381781</v>
      </c>
      <c r="AD27" s="272">
        <f>IFERROR(AD21/Y21-1,"")</f>
        <v>-0.0549650774369875</v>
      </c>
      <c r="AE27" s="272">
        <f>IFERROR(AE21/Z21-1,"")</f>
        <v>0.279120879120879</v>
      </c>
      <c r="AF27" s="272">
        <f>IFERROR(AF21/AA21-1,"")</f>
        <v>0.336759667156143</v>
      </c>
      <c r="AG27" s="273">
        <f>IFERROR(AG21/AB21-1,"")</f>
        <v>0.0298145982963087</v>
      </c>
      <c r="AH27" s="273">
        <f>IFERROR(AH21/AC21-1,"")</f>
        <v>0.286381842456609</v>
      </c>
      <c r="AI27" s="273">
        <f>IFERROR(AI21/AD21-1,"")</f>
        <v>0.183161953727506</v>
      </c>
    </row>
    <row r="28"/>
    <row r="29">
      <c r="C29" s="267" t="inlineStr">
        <is>
          <t>Segmentos - lucro e margem (USD milhões)</t>
        </is>
      </c>
      <c r="D29" s="267">
        <f>D7</f>
        <v>0</v>
      </c>
      <c r="E29" s="267">
        <f>E7</f>
        <v>0</v>
      </c>
      <c r="F29" s="267">
        <f>F7</f>
        <v>0</v>
      </c>
      <c r="G29" s="267">
        <f>G7</f>
        <v>0</v>
      </c>
      <c r="H29" s="267">
        <f>H7</f>
        <v>2020</v>
      </c>
      <c r="I29" s="267" t="str">
        <f>I7</f>
        <v>1Q21</v>
      </c>
      <c r="J29" s="267" t="str">
        <f>J7</f>
        <v>2Q21</v>
      </c>
      <c r="K29" s="267" t="str">
        <f>K7</f>
        <v>3Q21</v>
      </c>
      <c r="L29" s="267" t="str">
        <f>L7</f>
        <v>4Q21</v>
      </c>
      <c r="M29" s="267">
        <f>M7</f>
        <v>2021</v>
      </c>
      <c r="N29" s="267" t="str">
        <f>N7</f>
        <v>1Q22</v>
      </c>
      <c r="O29" s="267" t="str">
        <f>O7</f>
        <v>2Q22</v>
      </c>
      <c r="P29" s="267" t="str">
        <f>P7</f>
        <v>3Q22</v>
      </c>
      <c r="Q29" s="267" t="str">
        <f>Q7</f>
        <v>4Q22</v>
      </c>
      <c r="R29" s="267">
        <f>R7</f>
        <v>2022</v>
      </c>
      <c r="S29" s="267" t="str">
        <f>S7</f>
        <v>1Q23</v>
      </c>
      <c r="T29" s="267" t="str">
        <f>T7</f>
        <v>2Q23</v>
      </c>
      <c r="U29" s="267" t="str">
        <f>U7</f>
        <v>3Q23</v>
      </c>
      <c r="V29" s="267" t="str">
        <f>V7</f>
        <v>4Q23</v>
      </c>
      <c r="W29" s="267">
        <f>W7</f>
        <v>2023</v>
      </c>
      <c r="X29" s="267" t="str">
        <f>X7</f>
        <v>1Q24</v>
      </c>
      <c r="Y29" s="267" t="str">
        <f>Y7</f>
        <v>2Q24</v>
      </c>
      <c r="Z29" s="267" t="str">
        <f>Z7</f>
        <v>3Q24</v>
      </c>
      <c r="AA29" s="267" t="str">
        <f>AA7</f>
        <v>4Q24</v>
      </c>
      <c r="AB29" s="267">
        <f>AB7</f>
        <v>2024</v>
      </c>
      <c r="AC29" s="267" t="str">
        <f>AC7</f>
        <v>1Q25</v>
      </c>
      <c r="AD29" s="267" t="str">
        <f>AD7</f>
        <v>2Q25</v>
      </c>
      <c r="AE29" s="267" t="str">
        <f>AE7</f>
        <v>3Q25</v>
      </c>
      <c r="AF29" s="267" t="str">
        <f>AF7</f>
        <v>4Q25</v>
      </c>
      <c r="AG29" s="267">
        <f>AG7</f>
        <v>2025</v>
      </c>
      <c r="AH29" s="267" t="str">
        <f>AH7</f>
        <v>1Q26</v>
      </c>
      <c r="AI29" s="267" t="str">
        <f>AI7</f>
        <v>2Q26</v>
      </c>
    </row>
    <row r="30">
      <c r="C30" s="268" t="inlineStr">
        <is>
          <t xml:space="preserve">   Production &amp; Precision Agriculture</t>
        </is>
      </c>
      <c r="D30" s="269" t="str">
        <f>IFERROR(INDEX('Inputs (2)'!$D$54:$AL$54,MATCH(D$7&amp;"",'Inputs (2)'!$D$2:$AL$2,0)),"")</f>
        <v/>
      </c>
      <c r="E30" s="269" t="str">
        <f>IFERROR(INDEX('Inputs (2)'!$D$54:$AL$54,MATCH(E$7&amp;"",'Inputs (2)'!$D$2:$AL$2,0)),"")</f>
        <v/>
      </c>
      <c r="F30" s="269" t="str">
        <f>IFERROR(INDEX('Inputs (2)'!$D$54:$AL$54,MATCH(F$7&amp;"",'Inputs (2)'!$D$2:$AL$2,0)),"")</f>
        <v/>
      </c>
      <c r="G30" s="269" t="str">
        <f>IFERROR(INDEX('Inputs (2)'!$D$54:$AL$54,MATCH(G$7&amp;"",'Inputs (2)'!$D$2:$AL$2,0)),"")</f>
        <v/>
      </c>
      <c r="H30" s="270" t="str">
        <f>IF(COUNT(D30:G30)=4,SUM(D30:G30),"")</f>
        <v/>
      </c>
      <c r="I30" s="269">
        <f>IFERROR(INDEX('Inputs (2)'!$D$54:$AL$54,MATCH(I$7&amp;"",'Inputs (2)'!$D$2:$AL$2,0)),"")</f>
        <v>1007</v>
      </c>
      <c r="J30" s="269">
        <f>IFERROR(INDEX('Inputs (2)'!$D$54:$AL$54,MATCH(J$7&amp;"",'Inputs (2)'!$D$2:$AL$2,0)),"")</f>
        <v>906</v>
      </c>
      <c r="K30" s="269">
        <f>IFERROR(INDEX('Inputs (2)'!$D$54:$AL$54,MATCH(K$7&amp;"",'Inputs (2)'!$D$2:$AL$2,0)),"")</f>
        <v>777</v>
      </c>
      <c r="L30" s="269">
        <f>IFERROR(INDEX('Inputs (2)'!$D$54:$AL$54,MATCH(L$7&amp;"",'Inputs (2)'!$D$2:$AL$2,0)),"")</f>
        <v>296</v>
      </c>
      <c r="M30" s="270">
        <f>IF(COUNT(I30:L30)=4,SUM(I30:L30),"")</f>
        <v>2986</v>
      </c>
      <c r="N30" s="269">
        <f>IFERROR(INDEX('Inputs (2)'!$D$54:$AL$54,MATCH(N$7&amp;"",'Inputs (2)'!$D$2:$AL$2,0)),"")</f>
        <v>1057</v>
      </c>
      <c r="O30" s="269">
        <f>IFERROR(INDEX('Inputs (2)'!$D$54:$AL$54,MATCH(O$7&amp;"",'Inputs (2)'!$D$2:$AL$2,0)),"")</f>
        <v>1293</v>
      </c>
      <c r="P30" s="269">
        <f>IFERROR(INDEX('Inputs (2)'!$D$54:$AL$54,MATCH(P$7&amp;"",'Inputs (2)'!$D$2:$AL$2,0)),"")</f>
        <v>1740</v>
      </c>
      <c r="Q30" s="269">
        <f>IFERROR(INDEX('Inputs (2)'!$D$54:$AL$54,MATCH(Q$7&amp;"",'Inputs (2)'!$D$2:$AL$2,0)),"")</f>
        <v>1208</v>
      </c>
      <c r="R30" s="270">
        <f>IF(COUNT(N30:Q30)=4,SUM(N30:Q30),"")</f>
        <v>5298</v>
      </c>
      <c r="S30" s="269">
        <f>IFERROR(INDEX('Inputs (2)'!$D$54:$AL$54,MATCH(S$7&amp;"",'Inputs (2)'!$D$2:$AL$2,0)),"")</f>
        <v>2170</v>
      </c>
      <c r="T30" s="269">
        <f>IFERROR(INDEX('Inputs (2)'!$D$54:$AL$54,MATCH(T$7&amp;"",'Inputs (2)'!$D$2:$AL$2,0)),"")</f>
        <v>1782</v>
      </c>
      <c r="U30" s="269">
        <f>IFERROR(INDEX('Inputs (2)'!$D$54:$AL$54,MATCH(U$7&amp;"",'Inputs (2)'!$D$2:$AL$2,0)),"")</f>
        <v>1836</v>
      </c>
      <c r="V30" s="269">
        <f>IFERROR(INDEX('Inputs (2)'!$D$54:$AL$54,MATCH(V$7&amp;"",'Inputs (2)'!$D$2:$AL$2,0)),"")</f>
        <v>1045</v>
      </c>
      <c r="W30" s="270">
        <f>IF(COUNT(S30:V30)=4,SUM(S30:V30),"")</f>
        <v>6833</v>
      </c>
      <c r="X30" s="269">
        <f>IFERROR(INDEX('Inputs (2)'!$D$54:$AL$54,MATCH(X$7&amp;"",'Inputs (2)'!$D$2:$AL$2,0)),"")</f>
        <v>1650</v>
      </c>
      <c r="Y30" s="269">
        <f>IFERROR(INDEX('Inputs (2)'!$D$54:$AL$54,MATCH(Y$7&amp;"",'Inputs (2)'!$D$2:$AL$2,0)),"")</f>
        <v>1162</v>
      </c>
      <c r="Z30" s="269">
        <f>IFERROR(INDEX('Inputs (2)'!$D$54:$AL$54,MATCH(Z$7&amp;"",'Inputs (2)'!$D$2:$AL$2,0)),"")</f>
        <v>657</v>
      </c>
      <c r="AA30" s="269">
        <f>IFERROR(INDEX('Inputs (2)'!$D$54:$AL$54,MATCH(AA$7&amp;"",'Inputs (2)'!$D$2:$AL$2,0)),"")</f>
        <v>338</v>
      </c>
      <c r="AB30" s="270">
        <f>IF(COUNT(X30:AA30)=4,SUM(X30:AA30),"")</f>
        <v>3807</v>
      </c>
      <c r="AC30" s="269">
        <f>IFERROR(INDEX('Inputs (2)'!$D$54:$AL$54,MATCH(AC$7&amp;"",'Inputs (2)'!$D$2:$AL$2,0)),"")</f>
        <v>1148</v>
      </c>
      <c r="AD30" s="269">
        <f>IFERROR(INDEX('Inputs (2)'!$D$54:$AL$54,MATCH(AD$7&amp;"",'Inputs (2)'!$D$2:$AL$2,0)),"")</f>
        <v>580</v>
      </c>
      <c r="AE30" s="269">
        <f>IFERROR(INDEX('Inputs (2)'!$D$54:$AL$54,MATCH(AE$7&amp;"",'Inputs (2)'!$D$2:$AL$2,0)),"")</f>
        <v>605</v>
      </c>
      <c r="AF30" s="269">
        <f>IFERROR(INDEX('Inputs (2)'!$D$54:$AL$54,MATCH(AF$7&amp;"",'Inputs (2)'!$D$2:$AL$2,0)),"")</f>
        <v>139</v>
      </c>
      <c r="AG30" s="270">
        <f>IF(COUNT(AC30:AF30)=4,SUM(AC30:AF30),"")</f>
        <v>2472</v>
      </c>
      <c r="AH30" s="270">
        <f>IFERROR(INDEX('Inputs (2)'!$D$54:$AL$54,MATCH(AH$7&amp;"",'Inputs (2)'!$D$2:$AL$2,0)),"")</f>
        <v>706</v>
      </c>
      <c r="AI30" s="270">
        <f>IFERROR(INDEX('Inputs (2)'!$D$54:$AL$54,MATCH(AI$7&amp;"",'Inputs (2)'!$D$2:$AL$2,0)),"")</f>
        <v>527</v>
      </c>
    </row>
    <row r="31">
      <c r="C31" s="268" t="inlineStr">
        <is>
          <t xml:space="preserve">   Small Agriculture &amp; Turf</t>
        </is>
      </c>
      <c r="D31" s="269" t="str">
        <f>IFERROR(INDEX('Inputs (2)'!$D$56:$AL$56,MATCH(D$7&amp;"",'Inputs (2)'!$D$2:$AL$2,0)),"")</f>
        <v/>
      </c>
      <c r="E31" s="269" t="str">
        <f>IFERROR(INDEX('Inputs (2)'!$D$56:$AL$56,MATCH(E$7&amp;"",'Inputs (2)'!$D$2:$AL$2,0)),"")</f>
        <v/>
      </c>
      <c r="F31" s="269" t="str">
        <f>IFERROR(INDEX('Inputs (2)'!$D$56:$AL$56,MATCH(F$7&amp;"",'Inputs (2)'!$D$2:$AL$2,0)),"")</f>
        <v/>
      </c>
      <c r="G31" s="269" t="str">
        <f>IFERROR(INDEX('Inputs (2)'!$D$56:$AL$56,MATCH(G$7&amp;"",'Inputs (2)'!$D$2:$AL$2,0)),"")</f>
        <v/>
      </c>
      <c r="H31" s="270" t="str">
        <f>IF(COUNT(D31:G31)=4,SUM(D31:G31),"")</f>
        <v/>
      </c>
      <c r="I31" s="269">
        <f>IFERROR(INDEX('Inputs (2)'!$D$56:$AL$56,MATCH(I$7&amp;"",'Inputs (2)'!$D$2:$AL$2,0)),"")</f>
        <v>648</v>
      </c>
      <c r="J31" s="269">
        <f>IFERROR(INDEX('Inputs (2)'!$D$56:$AL$56,MATCH(J$7&amp;"",'Inputs (2)'!$D$2:$AL$2,0)),"")</f>
        <v>583</v>
      </c>
      <c r="K31" s="269">
        <f>IFERROR(INDEX('Inputs (2)'!$D$56:$AL$56,MATCH(K$7&amp;"",'Inputs (2)'!$D$2:$AL$2,0)),"")</f>
        <v>346</v>
      </c>
      <c r="L31" s="269">
        <f>IFERROR(INDEX('Inputs (2)'!$D$56:$AL$56,MATCH(L$7&amp;"",'Inputs (2)'!$D$2:$AL$2,0)),"")</f>
        <v>371</v>
      </c>
      <c r="M31" s="270">
        <f>IF(COUNT(I31:L31)=4,SUM(I31:L31),"")</f>
        <v>1948</v>
      </c>
      <c r="N31" s="269">
        <f>IFERROR(INDEX('Inputs (2)'!$D$56:$AL$56,MATCH(N$7&amp;"",'Inputs (2)'!$D$2:$AL$2,0)),"")</f>
        <v>520</v>
      </c>
      <c r="O31" s="269">
        <f>IFERROR(INDEX('Inputs (2)'!$D$56:$AL$56,MATCH(O$7&amp;"",'Inputs (2)'!$D$2:$AL$2,0)),"")</f>
        <v>552</v>
      </c>
      <c r="P31" s="269">
        <f>IFERROR(INDEX('Inputs (2)'!$D$56:$AL$56,MATCH(P$7&amp;"",'Inputs (2)'!$D$2:$AL$2,0)),"")</f>
        <v>506</v>
      </c>
      <c r="Q31" s="269">
        <f>IFERROR(INDEX('Inputs (2)'!$D$56:$AL$56,MATCH(Q$7&amp;"",'Inputs (2)'!$D$2:$AL$2,0)),"")</f>
        <v>447</v>
      </c>
      <c r="R31" s="270">
        <f>IF(COUNT(N31:Q31)=4,SUM(N31:Q31),"")</f>
        <v>2025</v>
      </c>
      <c r="S31" s="269">
        <f>IFERROR(INDEX('Inputs (2)'!$D$56:$AL$56,MATCH(S$7&amp;"",'Inputs (2)'!$D$2:$AL$2,0)),"")</f>
        <v>849</v>
      </c>
      <c r="T31" s="269">
        <f>IFERROR(INDEX('Inputs (2)'!$D$56:$AL$56,MATCH(T$7&amp;"",'Inputs (2)'!$D$2:$AL$2,0)),"")</f>
        <v>732</v>
      </c>
      <c r="U31" s="269">
        <f>IFERROR(INDEX('Inputs (2)'!$D$56:$AL$56,MATCH(U$7&amp;"",'Inputs (2)'!$D$2:$AL$2,0)),"")</f>
        <v>444</v>
      </c>
      <c r="V31" s="269">
        <f>IFERROR(INDEX('Inputs (2)'!$D$56:$AL$56,MATCH(V$7&amp;"",'Inputs (2)'!$D$2:$AL$2,0)),"")</f>
        <v>326</v>
      </c>
      <c r="W31" s="270">
        <f>IF(COUNT(S31:V31)=4,SUM(S31:V31),"")</f>
        <v>2351</v>
      </c>
      <c r="X31" s="269">
        <f>IFERROR(INDEX('Inputs (2)'!$D$56:$AL$56,MATCH(X$7&amp;"",'Inputs (2)'!$D$2:$AL$2,0)),"")</f>
        <v>571</v>
      </c>
      <c r="Y31" s="269">
        <f>IFERROR(INDEX('Inputs (2)'!$D$56:$AL$56,MATCH(Y$7&amp;"",'Inputs (2)'!$D$2:$AL$2,0)),"")</f>
        <v>496</v>
      </c>
      <c r="Z31" s="269">
        <f>IFERROR(INDEX('Inputs (2)'!$D$56:$AL$56,MATCH(Z$7&amp;"",'Inputs (2)'!$D$2:$AL$2,0)),"")</f>
        <v>234</v>
      </c>
      <c r="AA31" s="269">
        <f>IFERROR(INDEX('Inputs (2)'!$D$56:$AL$56,MATCH(AA$7&amp;"",'Inputs (2)'!$D$2:$AL$2,0)),"")</f>
        <v>124</v>
      </c>
      <c r="AB31" s="270">
        <f>IF(COUNT(X31:AA31)=4,SUM(X31:AA31),"")</f>
        <v>1425</v>
      </c>
      <c r="AC31" s="269">
        <f>IFERROR(INDEX('Inputs (2)'!$D$56:$AL$56,MATCH(AC$7&amp;"",'Inputs (2)'!$D$2:$AL$2,0)),"")</f>
        <v>574</v>
      </c>
      <c r="AD31" s="269">
        <f>IFERROR(INDEX('Inputs (2)'!$D$56:$AL$56,MATCH(AD$7&amp;"",'Inputs (2)'!$D$2:$AL$2,0)),"")</f>
        <v>485</v>
      </c>
      <c r="AE31" s="269">
        <f>IFERROR(INDEX('Inputs (2)'!$D$56:$AL$56,MATCH(AE$7&amp;"",'Inputs (2)'!$D$2:$AL$2,0)),"")</f>
        <v>25</v>
      </c>
      <c r="AF31" s="269">
        <f>IFERROR(INDEX('Inputs (2)'!$D$56:$AL$56,MATCH(AF$7&amp;"",'Inputs (2)'!$D$2:$AL$2,0)),"")</f>
        <v>196</v>
      </c>
      <c r="AG31" s="270">
        <f>IF(COUNT(AC31:AF31)=4,SUM(AC31:AF31),"")</f>
        <v>1280</v>
      </c>
      <c r="AH31" s="270">
        <f>IFERROR(INDEX('Inputs (2)'!$D$56:$AL$56,MATCH(AH$7&amp;"",'Inputs (2)'!$D$2:$AL$2,0)),"")</f>
        <v>719</v>
      </c>
      <c r="AI31" s="270">
        <f>IFERROR(INDEX('Inputs (2)'!$D$56:$AL$56,MATCH(AI$7&amp;"",'Inputs (2)'!$D$2:$AL$2,0)),"")</f>
        <v>622</v>
      </c>
    </row>
    <row r="32">
      <c r="C32" s="268" t="inlineStr">
        <is>
          <t xml:space="preserve">   Construction &amp; Forestry</t>
        </is>
      </c>
      <c r="D32" s="269" t="str">
        <f>IFERROR(INDEX('Inputs (2)'!$D$58:$AL$58,MATCH(D$7&amp;"",'Inputs (2)'!$D$2:$AL$2,0)),"")</f>
        <v/>
      </c>
      <c r="E32" s="269" t="str">
        <f>IFERROR(INDEX('Inputs (2)'!$D$58:$AL$58,MATCH(E$7&amp;"",'Inputs (2)'!$D$2:$AL$2,0)),"")</f>
        <v/>
      </c>
      <c r="F32" s="269" t="str">
        <f>IFERROR(INDEX('Inputs (2)'!$D$58:$AL$58,MATCH(F$7&amp;"",'Inputs (2)'!$D$2:$AL$2,0)),"")</f>
        <v/>
      </c>
      <c r="G32" s="269" t="str">
        <f>IFERROR(INDEX('Inputs (2)'!$D$58:$AL$58,MATCH(G$7&amp;"",'Inputs (2)'!$D$2:$AL$2,0)),"")</f>
        <v/>
      </c>
      <c r="H32" s="270" t="str">
        <f>IF(COUNT(D32:G32)=4,SUM(D32:G32),"")</f>
        <v/>
      </c>
      <c r="I32" s="269">
        <f>IFERROR(INDEX('Inputs (2)'!$D$58:$AL$58,MATCH(I$7&amp;"",'Inputs (2)'!$D$2:$AL$2,0)),"")</f>
        <v>489</v>
      </c>
      <c r="J32" s="269">
        <f>IFERROR(INDEX('Inputs (2)'!$D$58:$AL$58,MATCH(J$7&amp;"",'Inputs (2)'!$D$2:$AL$2,0)),"")</f>
        <v>463</v>
      </c>
      <c r="K32" s="269">
        <f>IFERROR(INDEX('Inputs (2)'!$D$58:$AL$58,MATCH(K$7&amp;"",'Inputs (2)'!$D$2:$AL$2,0)),"")</f>
        <v>269</v>
      </c>
      <c r="L32" s="269">
        <f>IFERROR(INDEX('Inputs (2)'!$D$58:$AL$58,MATCH(L$7&amp;"",'Inputs (2)'!$D$2:$AL$2,0)),"")</f>
        <v>272</v>
      </c>
      <c r="M32" s="270">
        <f>IF(COUNT(I32:L32)=4,SUM(I32:L32),"")</f>
        <v>1493</v>
      </c>
      <c r="N32" s="269">
        <f>IFERROR(INDEX('Inputs (2)'!$D$58:$AL$58,MATCH(N$7&amp;"",'Inputs (2)'!$D$2:$AL$2,0)),"")</f>
        <v>814</v>
      </c>
      <c r="O32" s="269">
        <f>IFERROR(INDEX('Inputs (2)'!$D$58:$AL$58,MATCH(O$7&amp;"",'Inputs (2)'!$D$2:$AL$2,0)),"")</f>
        <v>514</v>
      </c>
      <c r="P32" s="269">
        <f>IFERROR(INDEX('Inputs (2)'!$D$58:$AL$58,MATCH(P$7&amp;"",'Inputs (2)'!$D$2:$AL$2,0)),"")</f>
        <v>415</v>
      </c>
      <c r="Q32" s="269">
        <f>IFERROR(INDEX('Inputs (2)'!$D$58:$AL$58,MATCH(Q$7&amp;"",'Inputs (2)'!$D$2:$AL$2,0)),"")</f>
        <v>625</v>
      </c>
      <c r="R32" s="270">
        <f>IF(COUNT(N32:Q32)=4,SUM(N32:Q32),"")</f>
        <v>2368</v>
      </c>
      <c r="S32" s="269">
        <f>IFERROR(INDEX('Inputs (2)'!$D$58:$AL$58,MATCH(S$7&amp;"",'Inputs (2)'!$D$2:$AL$2,0)),"")</f>
        <v>838</v>
      </c>
      <c r="T32" s="269">
        <f>IFERROR(INDEX('Inputs (2)'!$D$58:$AL$58,MATCH(T$7&amp;"",'Inputs (2)'!$D$2:$AL$2,0)),"")</f>
        <v>716</v>
      </c>
      <c r="U32" s="269">
        <f>IFERROR(INDEX('Inputs (2)'!$D$58:$AL$58,MATCH(U$7&amp;"",'Inputs (2)'!$D$2:$AL$2,0)),"")</f>
        <v>516</v>
      </c>
      <c r="V32" s="269">
        <f>IFERROR(INDEX('Inputs (2)'!$D$58:$AL$58,MATCH(V$7&amp;"",'Inputs (2)'!$D$2:$AL$2,0)),"")</f>
        <v>566</v>
      </c>
      <c r="W32" s="270">
        <f>IF(COUNT(S32:V32)=4,SUM(S32:V32),"")</f>
        <v>2636</v>
      </c>
      <c r="X32" s="269">
        <f>IFERROR(INDEX('Inputs (2)'!$D$58:$AL$58,MATCH(X$7&amp;"",'Inputs (2)'!$D$2:$AL$2,0)),"")</f>
        <v>668</v>
      </c>
      <c r="Y32" s="269">
        <f>IFERROR(INDEX('Inputs (2)'!$D$58:$AL$58,MATCH(Y$7&amp;"",'Inputs (2)'!$D$2:$AL$2,0)),"")</f>
        <v>448</v>
      </c>
      <c r="Z32" s="269">
        <f>IFERROR(INDEX('Inputs (2)'!$D$58:$AL$58,MATCH(Z$7&amp;"",'Inputs (2)'!$D$2:$AL$2,0)),"")</f>
        <v>327</v>
      </c>
      <c r="AA32" s="269">
        <f>IFERROR(INDEX('Inputs (2)'!$D$58:$AL$58,MATCH(AA$7&amp;"",'Inputs (2)'!$D$2:$AL$2,0)),"")</f>
        <v>65</v>
      </c>
      <c r="AB32" s="270">
        <f>IF(COUNT(X32:AA32)=4,SUM(X32:AA32),"")</f>
        <v>1508</v>
      </c>
      <c r="AC32" s="269">
        <f>IFERROR(INDEX('Inputs (2)'!$D$58:$AL$58,MATCH(AC$7&amp;"",'Inputs (2)'!$D$2:$AL$2,0)),"")</f>
        <v>379</v>
      </c>
      <c r="AD32" s="269">
        <f>IFERROR(INDEX('Inputs (2)'!$D$58:$AL$58,MATCH(AD$7&amp;"",'Inputs (2)'!$D$2:$AL$2,0)),"")</f>
        <v>237</v>
      </c>
      <c r="AE32" s="269">
        <f>IFERROR(INDEX('Inputs (2)'!$D$58:$AL$58,MATCH(AE$7&amp;"",'Inputs (2)'!$D$2:$AL$2,0)),"")</f>
        <v>347</v>
      </c>
      <c r="AF32" s="269">
        <f>IFERROR(INDEX('Inputs (2)'!$D$58:$AL$58,MATCH(AF$7&amp;"",'Inputs (2)'!$D$2:$AL$2,0)),"")</f>
        <v>137</v>
      </c>
      <c r="AG32" s="270">
        <f>IF(COUNT(AC32:AF32)=4,SUM(AC32:AF32),"")</f>
        <v>1100</v>
      </c>
      <c r="AH32" s="270">
        <f>IFERROR(INDEX('Inputs (2)'!$D$58:$AL$58,MATCH(AH$7&amp;"",'Inputs (2)'!$D$2:$AL$2,0)),"")</f>
        <v>561</v>
      </c>
      <c r="AI32" s="270">
        <f>IFERROR(INDEX('Inputs (2)'!$D$58:$AL$58,MATCH(AI$7&amp;"",'Inputs (2)'!$D$2:$AL$2,0)),"")</f>
        <v>436</v>
      </c>
    </row>
    <row r="33">
      <c r="C33" s="268" t="inlineStr">
        <is>
          <t xml:space="preserve">   Financial Services</t>
        </is>
      </c>
      <c r="D33" s="269" t="str">
        <f>IFERROR(INDEX('Inputs (2)'!$D$60:$AL$60,MATCH(D$7&amp;"",'Inputs (2)'!$D$2:$AL$2,0)),"")</f>
        <v/>
      </c>
      <c r="E33" s="269" t="str">
        <f>IFERROR(INDEX('Inputs (2)'!$D$60:$AL$60,MATCH(E$7&amp;"",'Inputs (2)'!$D$2:$AL$2,0)),"")</f>
        <v/>
      </c>
      <c r="F33" s="269" t="str">
        <f>IFERROR(INDEX('Inputs (2)'!$D$60:$AL$60,MATCH(F$7&amp;"",'Inputs (2)'!$D$2:$AL$2,0)),"")</f>
        <v/>
      </c>
      <c r="G33" s="269" t="str">
        <f>IFERROR(INDEX('Inputs (2)'!$D$60:$AL$60,MATCH(G$7&amp;"",'Inputs (2)'!$D$2:$AL$2,0)),"")</f>
        <v/>
      </c>
      <c r="H33" s="270" t="str">
        <f>IF(COUNT(D33:G33)=4,SUM(D33:G33),"")</f>
        <v/>
      </c>
      <c r="I33" s="269">
        <f>IFERROR(INDEX('Inputs (2)'!$D$60:$AL$60,MATCH(I$7&amp;"",'Inputs (2)'!$D$2:$AL$2,0)),"")</f>
        <v>295</v>
      </c>
      <c r="J33" s="269">
        <f>IFERROR(INDEX('Inputs (2)'!$D$60:$AL$60,MATCH(J$7&amp;"",'Inputs (2)'!$D$2:$AL$2,0)),"")</f>
        <v>291</v>
      </c>
      <c r="K33" s="269">
        <f>IFERROR(INDEX('Inputs (2)'!$D$60:$AL$60,MATCH(K$7&amp;"",'Inputs (2)'!$D$2:$AL$2,0)),"")</f>
        <v>300</v>
      </c>
      <c r="L33" s="269">
        <f>IFERROR(INDEX('Inputs (2)'!$D$60:$AL$60,MATCH(L$7&amp;"",'Inputs (2)'!$D$2:$AL$2,0)),"")</f>
        <v>296</v>
      </c>
      <c r="M33" s="270">
        <f>IF(COUNT(I33:L33)=4,SUM(I33:L33),"")</f>
        <v>1182</v>
      </c>
      <c r="N33" s="269">
        <f>IFERROR(INDEX('Inputs (2)'!$D$60:$AL$60,MATCH(N$7&amp;"",'Inputs (2)'!$D$2:$AL$2,0)),"")</f>
        <v>279</v>
      </c>
      <c r="O33" s="269">
        <f>IFERROR(INDEX('Inputs (2)'!$D$60:$AL$60,MATCH(O$7&amp;"",'Inputs (2)'!$D$2:$AL$2,0)),"")</f>
        <v>287</v>
      </c>
      <c r="P33" s="269">
        <f>IFERROR(INDEX('Inputs (2)'!$D$60:$AL$60,MATCH(P$7&amp;"",'Inputs (2)'!$D$2:$AL$2,0)),"")</f>
        <v>295</v>
      </c>
      <c r="Q33" s="269">
        <f>IFERROR(INDEX('Inputs (2)'!$D$60:$AL$60,MATCH(Q$7&amp;"",'Inputs (2)'!$D$2:$AL$2,0)),"")</f>
        <v>238</v>
      </c>
      <c r="R33" s="270">
        <f>IF(COUNT(N33:Q33)=4,SUM(N33:Q33),"")</f>
        <v>1099</v>
      </c>
      <c r="S33" s="269">
        <f>IFERROR(INDEX('Inputs (2)'!$D$60:$AL$60,MATCH(S$7&amp;"",'Inputs (2)'!$D$2:$AL$2,0)),"")</f>
        <v>41</v>
      </c>
      <c r="T33" s="269">
        <f>IFERROR(INDEX('Inputs (2)'!$D$60:$AL$60,MATCH(T$7&amp;"",'Inputs (2)'!$D$2:$AL$2,0)),"")</f>
        <v>286</v>
      </c>
      <c r="U33" s="269">
        <f>IFERROR(INDEX('Inputs (2)'!$D$60:$AL$60,MATCH(U$7&amp;"",'Inputs (2)'!$D$2:$AL$2,0)),"")</f>
        <v>230</v>
      </c>
      <c r="V33" s="269">
        <f>IFERROR(INDEX('Inputs (2)'!$D$60:$AL$60,MATCH(V$7&amp;"",'Inputs (2)'!$D$2:$AL$2,0)),"")</f>
        <v>257</v>
      </c>
      <c r="W33" s="270">
        <f>IF(COUNT(S33:V33)=4,SUM(S33:V33),"")</f>
        <v>814</v>
      </c>
      <c r="X33" s="269">
        <f>IFERROR(INDEX('Inputs (2)'!$D$60:$AL$60,MATCH(X$7&amp;"",'Inputs (2)'!$D$2:$AL$2,0)),"")</f>
        <v>209</v>
      </c>
      <c r="Y33" s="269">
        <f>IFERROR(INDEX('Inputs (2)'!$D$60:$AL$60,MATCH(Y$7&amp;"",'Inputs (2)'!$D$2:$AL$2,0)),"")</f>
        <v>191</v>
      </c>
      <c r="Z33" s="269">
        <f>IFERROR(INDEX('Inputs (2)'!$D$60:$AL$60,MATCH(Z$7&amp;"",'Inputs (2)'!$D$2:$AL$2,0)),"")</f>
        <v>232</v>
      </c>
      <c r="AA33" s="269">
        <f>IFERROR(INDEX('Inputs (2)'!$D$60:$AL$60,MATCH(AA$7&amp;"",'Inputs (2)'!$D$2:$AL$2,0)),"")</f>
        <v>266</v>
      </c>
      <c r="AB33" s="270">
        <f>IF(COUNT(X33:AA33)=4,SUM(X33:AA33),"")</f>
        <v>898</v>
      </c>
      <c r="AC33" s="269">
        <f>IFERROR(INDEX('Inputs (2)'!$D$60:$AL$60,MATCH(AC$7&amp;"",'Inputs (2)'!$D$2:$AL$2,0)),"")</f>
        <v>207</v>
      </c>
      <c r="AD33" s="269">
        <f>IFERROR(INDEX('Inputs (2)'!$D$60:$AL$60,MATCH(AD$7&amp;"",'Inputs (2)'!$D$2:$AL$2,0)),"")</f>
        <v>266</v>
      </c>
      <c r="AE33" s="269">
        <f>IFERROR(INDEX('Inputs (2)'!$D$60:$AL$60,MATCH(AE$7&amp;"",'Inputs (2)'!$D$2:$AL$2,0)),"")</f>
        <v>374</v>
      </c>
      <c r="AF33" s="269">
        <f>IFERROR(INDEX('Inputs (2)'!$D$60:$AL$60,MATCH(AF$7&amp;"",'Inputs (2)'!$D$2:$AL$2,0)),"")</f>
        <v>301</v>
      </c>
      <c r="AG33" s="270">
        <f>IF(COUNT(AC33:AF33)=4,SUM(AC33:AF33),"")</f>
        <v>1148</v>
      </c>
      <c r="AH33" s="270">
        <f>IFERROR(INDEX('Inputs (2)'!$D$60:$AL$60,MATCH(AH$7&amp;"",'Inputs (2)'!$D$2:$AL$2,0)),"")</f>
        <v>251</v>
      </c>
      <c r="AI33" s="270">
        <f>IFERROR(INDEX('Inputs (2)'!$D$60:$AL$60,MATCH(AI$7&amp;"",'Inputs (2)'!$D$2:$AL$2,0)),"")</f>
        <v>271</v>
      </c>
    </row>
    <row r="34">
      <c r="C34" s="268" t="inlineStr">
        <is>
          <t xml:space="preserve">   Margem Production &amp; Precision Agriculture</t>
        </is>
      </c>
      <c r="D34" s="272" t="str">
        <f>IFERROR(D30/D19,"")</f>
        <v/>
      </c>
      <c r="E34" s="272" t="str">
        <f>IFERROR(E30/E19,"")</f>
        <v/>
      </c>
      <c r="F34" s="272" t="str">
        <f>IFERROR(F30/F19,"")</f>
        <v/>
      </c>
      <c r="G34" s="272" t="str">
        <f>IFERROR(G30/G19,"")</f>
        <v/>
      </c>
      <c r="H34" s="273" t="str">
        <f>IFERROR(H30/H19,"")</f>
        <v/>
      </c>
      <c r="I34" s="272">
        <f>IFERROR(I30/I19,"")</f>
        <v>0.218817905258583</v>
      </c>
      <c r="J34" s="272">
        <f>IFERROR(J30/J19,"")</f>
        <v>0.208852005532503</v>
      </c>
      <c r="K34" s="272">
        <f>IFERROR(K30/K19,"")</f>
        <v>0.164270613107822</v>
      </c>
      <c r="L34" s="272">
        <f>IFERROR(L30/L19,"")</f>
        <v>0.0862219632974075</v>
      </c>
      <c r="M34" s="273">
        <f>IFERROR(M30/M19,"")</f>
        <v>0.174589253347366</v>
      </c>
      <c r="N34" s="272">
        <f>IFERROR(N30/N19,"")</f>
        <v>0.204211746522411</v>
      </c>
      <c r="O34" s="272">
        <f>IFERROR(O30/O19,"")</f>
        <v>0.209054163298302</v>
      </c>
      <c r="P34" s="272">
        <f>IFERROR(P30/P19,"")</f>
        <v>0.231259968102073</v>
      </c>
      <c r="Q34" s="272">
        <f>IFERROR(Q30/Q19,"")</f>
        <v>0.227795587403357</v>
      </c>
      <c r="R34" s="273">
        <f>IFERROR(R30/R19,"")</f>
        <v>0.219034231850504</v>
      </c>
      <c r="S34" s="272">
        <f>IFERROR(S30/S19,"")</f>
        <v>0.274266936299292</v>
      </c>
      <c r="T34" s="272">
        <f>IFERROR(T30/T19,"")</f>
        <v>0.255593803786575</v>
      </c>
      <c r="U34" s="272">
        <f>IFERROR(U30/U19,"")</f>
        <v>0.258482331409264</v>
      </c>
      <c r="V34" s="272">
        <f>IFERROR(V30/V19,"")</f>
        <v>0.207217925837795</v>
      </c>
      <c r="W34" s="273">
        <f>IFERROR(W30/W19,"")</f>
        <v>0.252793192748798</v>
      </c>
      <c r="X34" s="272">
        <f>IFERROR(X30/X19,"")</f>
        <v>0.247042970504567</v>
      </c>
      <c r="Y34" s="272">
        <f>IFERROR(Y30/Y19,"")</f>
        <v>0.221671117893934</v>
      </c>
      <c r="Z34" s="272">
        <f>IFERROR(Z30/Z19,"")</f>
        <v>0.148777173913044</v>
      </c>
      <c r="AA34" s="272">
        <f>IFERROR(AA30/AA19,"")</f>
        <v>0.10598933835058</v>
      </c>
      <c r="AB34" s="273">
        <f>IFERROR(AB30/AB19,"")</f>
        <v>0.194970808153232</v>
      </c>
      <c r="AC34" s="272">
        <f>IFERROR(AC30/AC19,"")</f>
        <v>0.215223097112861</v>
      </c>
      <c r="AD34" s="272">
        <f>IFERROR(AD30/AD19,"")</f>
        <v>0.132450331125828</v>
      </c>
      <c r="AE34" s="272">
        <f>IFERROR(AE30/AE19,"")</f>
        <v>0.124767993400701</v>
      </c>
      <c r="AF34" s="272">
        <f>IFERROR(AF30/AF19,"")</f>
        <v>0.0423006695069994</v>
      </c>
      <c r="AG34" s="273">
        <f>IFERROR(AG30/AG19,"")</f>
        <v>0.138502913491708</v>
      </c>
      <c r="AH34" s="273">
        <f>IFERROR(AH30/AH19,"")</f>
        <v>0.153078924544666</v>
      </c>
      <c r="AI34" s="273">
        <f>IFERROR(AI30/AI19,"")</f>
        <v>0.128380024360536</v>
      </c>
    </row>
    <row r="35">
      <c r="C35" s="268" t="inlineStr">
        <is>
          <t xml:space="preserve">   Margem Small Agriculture &amp; Turf</t>
        </is>
      </c>
      <c r="D35" s="272" t="str">
        <f>IFERROR(D31/D20,"")</f>
        <v/>
      </c>
      <c r="E35" s="272" t="str">
        <f>IFERROR(E31/E20,"")</f>
        <v/>
      </c>
      <c r="F35" s="272" t="str">
        <f>IFERROR(F31/F20,"")</f>
        <v/>
      </c>
      <c r="G35" s="272" t="str">
        <f>IFERROR(G31/G20,"")</f>
        <v/>
      </c>
      <c r="H35" s="273" t="str">
        <f>IFERROR(H31/H20,"")</f>
        <v/>
      </c>
      <c r="I35" s="272">
        <f>IFERROR(I31/I20,"")</f>
        <v>0.189086664721331</v>
      </c>
      <c r="J35" s="272">
        <f>IFERROR(J31/J20,"")</f>
        <v>0.181506849315069</v>
      </c>
      <c r="K35" s="272">
        <f>IFERROR(K31/K20,"")</f>
        <v>0.121106055302765</v>
      </c>
      <c r="L35" s="272">
        <f>IFERROR(L31/L20,"")</f>
        <v>0.138743455497382</v>
      </c>
      <c r="M35" s="273">
        <f>IFERROR(M31/M20,"")</f>
        <v>0.160065735414955</v>
      </c>
      <c r="N35" s="272">
        <f>IFERROR(N31/N20,"")</f>
        <v>0.14420410427066</v>
      </c>
      <c r="O35" s="272">
        <f>IFERROR(O31/O20,"")</f>
        <v>0.149552966675698</v>
      </c>
      <c r="P35" s="272">
        <f>IFERROR(P31/P20,"")</f>
        <v>0.140633685380767</v>
      </c>
      <c r="Q35" s="272">
        <f>IFERROR(Q31/Q20,"")</f>
        <v>0.146365422396857</v>
      </c>
      <c r="R35" s="273">
        <f>IFERROR(R31/R20,"")</f>
        <v>0.145171696895835</v>
      </c>
      <c r="S35" s="272">
        <f>IFERROR(S31/S20,"")</f>
        <v>0.202142857142857</v>
      </c>
      <c r="T35" s="272">
        <f>IFERROR(T31/T20,"")</f>
        <v>0.192327903310562</v>
      </c>
      <c r="U35" s="272">
        <f>IFERROR(U31/U20,"")</f>
        <v>0.140328697850822</v>
      </c>
      <c r="V35" s="272">
        <f>IFERROR(V31/V20,"")</f>
        <v>0.130818619582665</v>
      </c>
      <c r="W35" s="273">
        <f>IFERROR(W31/W20,"")</f>
        <v>0.17208315034402</v>
      </c>
      <c r="X35" s="272">
        <f>IFERROR(X31/X20,"")</f>
        <v>0.175530279741777</v>
      </c>
      <c r="Y35" s="272">
        <f>IFERROR(Y31/Y20,"")</f>
        <v>0.158567774936061</v>
      </c>
      <c r="Z35" s="272">
        <f>IFERROR(Z31/Z20,"")</f>
        <v>0.0999146029035013</v>
      </c>
      <c r="AA35" s="272">
        <f>IFERROR(AA31/AA20,"")</f>
        <v>0.0690807799442897</v>
      </c>
      <c r="AB35" s="273">
        <f>IFERROR(AB31/AB20,"")</f>
        <v>0.135482030804335</v>
      </c>
      <c r="AC35" s="272">
        <f>IFERROR(AC31/AC20,"")</f>
        <v>0.188567674113009</v>
      </c>
      <c r="AD35" s="272">
        <f>IFERROR(AD31/AD20,"")</f>
        <v>0.157365347177158</v>
      </c>
      <c r="AE35" s="272">
        <f>IFERROR(AE31/AE20,"")</f>
        <v>0.00995619275189168</v>
      </c>
      <c r="AF35" s="272">
        <f>IFERROR(AF31/AF20,"")</f>
        <v>0.0881691408007198</v>
      </c>
      <c r="AG35" s="273">
        <f>IFERROR(AG31/AG20,"")</f>
        <v>0.117863720073665</v>
      </c>
      <c r="AH35" s="273">
        <f>IFERROR(AH31/AH20,"")</f>
        <v>0.203107344632768</v>
      </c>
      <c r="AI35" s="273">
        <f>IFERROR(AI31/AI20,"")</f>
        <v>0.18055152394775</v>
      </c>
    </row>
    <row r="36">
      <c r="C36" s="268" t="inlineStr">
        <is>
          <t xml:space="preserve">   Margem Construction &amp; Forestry</t>
        </is>
      </c>
      <c r="D36" s="272" t="str">
        <f>IFERROR(D32/D21,"")</f>
        <v/>
      </c>
      <c r="E36" s="272" t="str">
        <f>IFERROR(E32/E21,"")</f>
        <v/>
      </c>
      <c r="F36" s="272" t="str">
        <f>IFERROR(F32/F21,"")</f>
        <v/>
      </c>
      <c r="G36" s="272" t="str">
        <f>IFERROR(G32/G21,"")</f>
        <v/>
      </c>
      <c r="H36" s="273" t="str">
        <f>IFERROR(H32/H21,"")</f>
        <v/>
      </c>
      <c r="I36" s="272">
        <f>IFERROR(I32/I21,"")</f>
        <v>0.155881415364998</v>
      </c>
      <c r="J36" s="272">
        <f>IFERROR(J32/J21,"")</f>
        <v>0.150569105691057</v>
      </c>
      <c r="K36" s="272">
        <f>IFERROR(K32/K21,"")</f>
        <v>0.0936955764541971</v>
      </c>
      <c r="L36" s="272">
        <f>IFERROR(L32/L21,"")</f>
        <v>0.104938271604938</v>
      </c>
      <c r="M36" s="273">
        <f>IFERROR(M32/M21,"")</f>
        <v>0.127880085653105</v>
      </c>
      <c r="N36" s="272">
        <f>IFERROR(N32/N21,"")</f>
        <v>0.218582169709989</v>
      </c>
      <c r="O36" s="272">
        <f>IFERROR(O32/O21,"")</f>
        <v>0.154679506470057</v>
      </c>
      <c r="P36" s="272">
        <f>IFERROR(P32/P21,"")</f>
        <v>0.121132516053707</v>
      </c>
      <c r="Q36" s="272">
        <f>IFERROR(Q32/Q21,"")</f>
        <v>0.192012288786482</v>
      </c>
      <c r="R36" s="273">
        <f>IFERROR(R32/R21,"")</f>
        <v>0.172494172494172</v>
      </c>
      <c r="S36" s="272">
        <f>IFERROR(S32/S21,"")</f>
        <v>0.2010556621881</v>
      </c>
      <c r="T36" s="272">
        <f>IFERROR(T32/T21,"")</f>
        <v>0.18866930171278</v>
      </c>
      <c r="U36" s="272">
        <f>IFERROR(U32/U21,"")</f>
        <v>0.136942675159236</v>
      </c>
      <c r="V36" s="272">
        <f>IFERROR(V32/V21,"")</f>
        <v>0.172877214416616</v>
      </c>
      <c r="W36" s="273">
        <f>IFERROR(W32/W21,"")</f>
        <v>0.175674775074975</v>
      </c>
      <c r="X36" s="272">
        <f>IFERROR(X32/X21,"")</f>
        <v>0.17093142272262</v>
      </c>
      <c r="Y36" s="272">
        <f>IFERROR(Y32/Y21,"")</f>
        <v>0.136046158518069</v>
      </c>
      <c r="Z36" s="272">
        <f>IFERROR(Z32/Z21,"")</f>
        <v>0.11978021978022</v>
      </c>
      <c r="AA36" s="272">
        <f>IFERROR(AA32/AA21,"")</f>
        <v>0.0318159569260891</v>
      </c>
      <c r="AB36" s="273">
        <f>IFERROR(AB32/AB21,"")</f>
        <v>0.125939535660598</v>
      </c>
      <c r="AC36" s="272">
        <f>IFERROR(AC32/AC21,"")</f>
        <v>0.126502002670227</v>
      </c>
      <c r="AD36" s="272">
        <f>IFERROR(AD32/AD21,"")</f>
        <v>0.0761568123393316</v>
      </c>
      <c r="AE36" s="272">
        <f>IFERROR(AE32/AE21,"")</f>
        <v>0.0993699885452463</v>
      </c>
      <c r="AF36" s="272">
        <f>IFERROR(AF32/AF21,"")</f>
        <v>0.0501647748077627</v>
      </c>
      <c r="AG36" s="273">
        <f>IFERROR(AG32/AG21,"")</f>
        <v>0.0892060660124888</v>
      </c>
      <c r="AH36" s="273">
        <f>IFERROR(AH32/AH21,"")</f>
        <v>0.145563051375195</v>
      </c>
      <c r="AI36" s="273">
        <f>IFERROR(AI32/AI21,"")</f>
        <v>0.118413905486149</v>
      </c>
    </row>
    <row r="37">
      <c r="C37" s="268" t="inlineStr">
        <is>
          <t xml:space="preserve">   Margem Financial Services</t>
        </is>
      </c>
      <c r="D37" s="272" t="str">
        <f>IFERROR(D33/D22,"")</f>
        <v/>
      </c>
      <c r="E37" s="272" t="str">
        <f>IFERROR(E33/E22,"")</f>
        <v/>
      </c>
      <c r="F37" s="272" t="str">
        <f>IFERROR(F33/F22,"")</f>
        <v/>
      </c>
      <c r="G37" s="272" t="str">
        <f>IFERROR(G33/G22,"")</f>
        <v/>
      </c>
      <c r="H37" s="273" t="str">
        <f>IFERROR(H33/H22,"")</f>
        <v/>
      </c>
      <c r="I37" s="272">
        <f>IFERROR(I33/I22,"")</f>
        <v>0.330717488789238</v>
      </c>
      <c r="J37" s="272">
        <f>IFERROR(J33/J22,"")</f>
        <v>0.322616407982262</v>
      </c>
      <c r="K37" s="272">
        <f>IFERROR(K33/K22,"")</f>
        <v>0.345224395857307</v>
      </c>
      <c r="L37" s="272">
        <f>IFERROR(L33/L22,"")</f>
        <v>0.340229885057471</v>
      </c>
      <c r="M37" s="273">
        <f>IFERROR(M33/M22,"")</f>
        <v>0.334559864138126</v>
      </c>
      <c r="N37" s="272">
        <f>IFERROR(N33/N22,"")</f>
        <v>0.322916666666667</v>
      </c>
      <c r="O37" s="272">
        <f>IFERROR(O33/O22,"")</f>
        <v>0.317829457364341</v>
      </c>
      <c r="P37" s="272">
        <f>IFERROR(P33/P22,"")</f>
        <v>0.298582995951417</v>
      </c>
      <c r="Q37" s="272">
        <f>IFERROR(Q33/Q22,"")</f>
        <v>0.228846153846154</v>
      </c>
      <c r="R37" s="273">
        <f>IFERROR(R33/R22,"")</f>
        <v>0.289591567852437</v>
      </c>
      <c r="S37" s="272">
        <f>IFERROR(S33/S22,"")</f>
        <v>0.037037037037037</v>
      </c>
      <c r="T37" s="272">
        <f>IFERROR(T33/T22,"")</f>
        <v>0.232899022801303</v>
      </c>
      <c r="U37" s="272">
        <f>IFERROR(U33/U22,"")</f>
        <v>0.170876671619614</v>
      </c>
      <c r="V37" s="272">
        <f>IFERROR(V33/V22,"")</f>
        <v>0.186773255813954</v>
      </c>
      <c r="W37" s="273">
        <f>IFERROR(W33/W22,"")</f>
        <v>0.160964999011272</v>
      </c>
      <c r="X37" s="272">
        <f>IFERROR(X33/X22,"")</f>
        <v>0.149820788530466</v>
      </c>
      <c r="Y37" s="272">
        <f>IFERROR(Y33/Y22,"")</f>
        <v>0.128274009402283</v>
      </c>
      <c r="Z37" s="272">
        <f>IFERROR(Z33/Z22,"")</f>
        <v>0.152330925804334</v>
      </c>
      <c r="AA37" s="272">
        <f>IFERROR(AA33/AA22,"")</f>
        <v>0.169103623649078</v>
      </c>
      <c r="AB37" s="273">
        <f>IFERROR(AB33/AB22,"")</f>
        <v>0.150167224080268</v>
      </c>
      <c r="AC37" s="272">
        <f>IFERROR(AC33/AC22,"")</f>
        <v>0.137908061292472</v>
      </c>
      <c r="AD37" s="272">
        <f>IFERROR(AD33/AD22,"")</f>
        <v>0.172279792746114</v>
      </c>
      <c r="AE37" s="272">
        <f>IFERROR(AE33/AE22,"")</f>
        <v>0.223818073010174</v>
      </c>
      <c r="AF37" s="272">
        <f>IFERROR(AF33/AF22,"")</f>
        <v>0.202284946236559</v>
      </c>
      <c r="AG37" s="273">
        <f>IFERROR(AG33/AG22,"")</f>
        <v>0.185041908446164</v>
      </c>
      <c r="AH37" s="273">
        <f>IFERROR(AH33/AH22,"")</f>
        <v>0.166335321404904</v>
      </c>
      <c r="AI37" s="273">
        <f>IFERROR(AI33/AI22,"")</f>
        <v>0.180066445182724</v>
      </c>
    </row>
    <row r="38"/>
    <row r="39" hidden="1" outlineLevel="1" customFormat="1" s="43">
      <c r="A39" s="36" t="n"/>
      <c r="B39" s="37" t="n"/>
      <c r="C39" s="45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39" t="n"/>
      <c r="BB39" s="39" t="n"/>
      <c r="BC39" s="39" t="n"/>
      <c r="BD39" s="39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39" t="n"/>
      <c r="BQ39" s="39" t="n"/>
      <c r="BR39" s="39" t="n"/>
      <c r="BS39" s="39" t="n"/>
      <c r="BT39" s="39" t="n"/>
      <c r="BU39" s="39" t="n"/>
      <c r="BV39" s="39" t="n"/>
      <c r="BW39" s="39" t="n"/>
      <c r="BX39" s="39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39" t="n"/>
      <c r="CH39" s="39" t="n"/>
      <c r="CI39" s="39" t="n"/>
      <c r="CJ39" s="39" t="n"/>
      <c r="CK39" s="39" t="n"/>
      <c r="CL39" s="39" t="n"/>
      <c r="CM39" s="39" t="n"/>
      <c r="CN39" s="39" t="n"/>
      <c r="CO39" s="39" t="n"/>
      <c r="CP39" s="39" t="n"/>
      <c r="CQ39" s="39" t="n"/>
      <c r="CR39" s="39" t="n"/>
      <c r="CS39" s="39" t="n"/>
      <c r="CT39" s="39" t="n"/>
      <c r="CU39" s="39" t="n"/>
      <c r="CV39" s="39" t="n"/>
      <c r="CW39" s="39" t="n"/>
      <c r="CX39" s="39" t="n"/>
      <c r="CY39" s="39" t="n"/>
    </row>
    <row r="40" hidden="1" outlineLevel="1" customFormat="1" s="43">
      <c r="A40" s="36" t="n"/>
      <c r="B40" s="37" t="n"/>
      <c r="C40" s="45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39" t="n"/>
      <c r="BB40" s="39" t="n"/>
      <c r="BC40" s="39" t="n"/>
      <c r="BD40" s="39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39" t="n"/>
      <c r="BQ40" s="39" t="n"/>
      <c r="BR40" s="39" t="n"/>
      <c r="BS40" s="39" t="n"/>
      <c r="BT40" s="39" t="n"/>
      <c r="BU40" s="39" t="n"/>
      <c r="BV40" s="39" t="n"/>
      <c r="BW40" s="39" t="n"/>
      <c r="BX40" s="39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39" t="n"/>
      <c r="CH40" s="39" t="n"/>
      <c r="CI40" s="39" t="n"/>
      <c r="CJ40" s="39" t="n"/>
      <c r="CK40" s="39" t="n"/>
      <c r="CL40" s="39" t="n"/>
      <c r="CM40" s="39" t="n"/>
      <c r="CN40" s="39" t="n"/>
      <c r="CO40" s="39" t="n"/>
      <c r="CP40" s="39" t="n"/>
      <c r="CQ40" s="39" t="n"/>
      <c r="CR40" s="39" t="n"/>
      <c r="CS40" s="39" t="n"/>
      <c r="CT40" s="39" t="n"/>
      <c r="CU40" s="39" t="n"/>
      <c r="CV40" s="39" t="n"/>
      <c r="CW40" s="39" t="n"/>
      <c r="CX40" s="39" t="n"/>
      <c r="CY40" s="39" t="n"/>
    </row>
    <row r="41" collapsed="1">
      <c r="C41" s="13" t="inlineStr">
        <is>
          <t>COGS (cash)</t>
        </is>
      </c>
      <c r="D41" s="46" t="n"/>
      <c r="E41" s="46" t="n"/>
      <c r="F41" s="46" t="n"/>
      <c r="G41" s="46" t="n"/>
      <c r="H41" s="12" t="n"/>
      <c r="I41" s="46">
        <f>'Inputs (2)'!D5</f>
        <v>0</v>
      </c>
      <c r="J41" s="46">
        <f>'Inputs (2)'!E5</f>
        <v>0</v>
      </c>
      <c r="K41" s="46">
        <f>'Inputs (2)'!F5</f>
        <v>0</v>
      </c>
      <c r="L41" s="46">
        <f>'Inputs (2)'!G5</f>
        <v>0</v>
      </c>
      <c r="M41" s="12">
        <f>'Inputs (2)'!H5</f>
        <v>0</v>
      </c>
      <c r="N41" s="46">
        <f>'Inputs (2)'!I5</f>
        <v>0</v>
      </c>
      <c r="O41" s="46">
        <f>'Inputs (2)'!J5</f>
        <v>0</v>
      </c>
      <c r="P41" s="46">
        <f>'Inputs (2)'!K5</f>
        <v>0</v>
      </c>
      <c r="Q41" s="46">
        <f>'Inputs (2)'!L5</f>
        <v>0</v>
      </c>
      <c r="R41" s="12">
        <f>'Inputs (2)'!M5</f>
        <v>0</v>
      </c>
      <c r="S41" s="46">
        <f>'Inputs (2)'!N5</f>
        <v>0</v>
      </c>
      <c r="T41" s="46">
        <f>'Inputs (2)'!O5</f>
        <v>0</v>
      </c>
      <c r="U41" s="46">
        <f>'Inputs (2)'!P5</f>
        <v>0</v>
      </c>
      <c r="V41" s="46">
        <f>'Inputs (2)'!Q5</f>
        <v>0</v>
      </c>
      <c r="W41" s="12">
        <f>'Inputs (2)'!R5</f>
        <v>0</v>
      </c>
      <c r="X41" s="46">
        <f>'Inputs (2)'!S5</f>
        <v>0</v>
      </c>
      <c r="Y41" s="46">
        <f>'Inputs (2)'!T5</f>
        <v>0</v>
      </c>
      <c r="Z41" s="46">
        <f>'Inputs (2)'!U5</f>
        <v>0</v>
      </c>
      <c r="AA41" s="46">
        <f>'Inputs (2)'!V5</f>
        <v>0</v>
      </c>
      <c r="AB41" s="12">
        <f>'Inputs (2)'!W5</f>
        <v>0</v>
      </c>
      <c r="AC41" s="46">
        <f>'Inputs (2)'!X5</f>
        <v>0</v>
      </c>
      <c r="AD41" s="46">
        <f>'Inputs (2)'!Y5</f>
        <v>0</v>
      </c>
      <c r="AE41" s="46">
        <f>'Inputs (2)'!Z5</f>
        <v>0</v>
      </c>
      <c r="AF41" s="46">
        <f>'Inputs (2)'!AA5</f>
        <v>0</v>
      </c>
      <c r="AG41" s="12">
        <f>'Inputs (2)'!AB5</f>
        <v>0</v>
      </c>
      <c r="AH41" s="12">
        <f>'Inputs (2)'!AC5</f>
        <v>0</v>
      </c>
      <c r="AI41" s="12">
        <f>'Inputs (2)'!AD5</f>
        <v>0</v>
      </c>
      <c r="AJ41" s="12">
        <f>-(1-AJ42)*AJ15</f>
        <v>0</v>
      </c>
      <c r="AK41" s="12">
        <f>-(1-AK42)*AK15</f>
        <v>0</v>
      </c>
      <c r="AL41" s="12">
        <f>SUM(AH41:AK41)</f>
        <v>0</v>
      </c>
      <c r="AM41" s="12">
        <f>-(1-AM42)*AM15</f>
        <v>0</v>
      </c>
      <c r="AN41" s="12">
        <f>-(1-AN42)*AN15</f>
        <v>0</v>
      </c>
      <c r="AO41" s="12">
        <f>-(1-AO42)*AO15</f>
        <v>0</v>
      </c>
      <c r="AP41" s="12">
        <f>-(1-AP42)*AP15</f>
        <v>0</v>
      </c>
      <c r="AQ41" s="12">
        <f>SUM(AM41:AP41)</f>
        <v>0</v>
      </c>
      <c r="AR41" s="12">
        <f>-(1-AR42)*AR15</f>
        <v>0</v>
      </c>
      <c r="AS41" s="12">
        <f>-(1-AS42)*AS15</f>
        <v>0</v>
      </c>
      <c r="AT41" s="12">
        <f>-(1-AT42)*AT15</f>
        <v>0</v>
      </c>
      <c r="AU41" s="12">
        <f>-(1-AU42)*AU15</f>
        <v>0</v>
      </c>
      <c r="AV41" s="12">
        <f>SUM(AR41:AU41)</f>
        <v>0</v>
      </c>
      <c r="AW41" s="12">
        <f>-(1-AW42)*AW15</f>
        <v>0</v>
      </c>
      <c r="AX41" s="12">
        <f>-(1-AX42)*AX15</f>
        <v>0</v>
      </c>
      <c r="AY41" s="12">
        <f>-(1-AY42)*AY15</f>
        <v>0</v>
      </c>
      <c r="AZ41" s="12">
        <f>-(1-AZ42)*AZ15</f>
        <v>0</v>
      </c>
      <c r="BA41" s="12">
        <f>SUM(AW41:AZ41)</f>
        <v>0</v>
      </c>
      <c r="BB41" s="12">
        <f>-(1-BB42)*BB15</f>
        <v>0</v>
      </c>
      <c r="BC41" s="12">
        <f>-(1-BC42)*BC15</f>
        <v>0</v>
      </c>
      <c r="BD41" s="12">
        <f>-(1-BD42)*BD15</f>
        <v>0</v>
      </c>
      <c r="BE41" s="12">
        <f>-(1-BE42)*BE15</f>
        <v>0</v>
      </c>
      <c r="BF41" s="12">
        <f>SUM(BB41:BE41)</f>
        <v>0</v>
      </c>
      <c r="BG41" s="12" t="n"/>
      <c r="BH41" s="12" t="n"/>
      <c r="BI41" s="12" t="n"/>
      <c r="BJ41" s="12" t="n"/>
      <c r="BK41" s="12" t="n"/>
      <c r="BL41" s="12" t="n"/>
      <c r="BM41" s="12" t="n"/>
      <c r="BN41" s="12" t="n"/>
      <c r="BO41" s="12" t="n"/>
      <c r="BP41" s="12" t="n"/>
      <c r="BQ41" s="12" t="n"/>
      <c r="BR41" s="12" t="n"/>
      <c r="BS41" s="12" t="n"/>
      <c r="BT41" s="12" t="n"/>
      <c r="BU41" s="12" t="n"/>
      <c r="BV41" s="12" t="n"/>
      <c r="BW41" s="12" t="n"/>
      <c r="BX41" s="12" t="n"/>
      <c r="BY41" s="12" t="n"/>
      <c r="BZ41" s="12" t="n"/>
      <c r="CA41" s="12" t="n"/>
      <c r="CB41" s="12" t="n"/>
      <c r="CC41" s="12" t="n"/>
      <c r="CD41" s="12" t="n"/>
      <c r="CE41" s="12" t="n"/>
      <c r="CF41" s="12" t="n"/>
      <c r="CG41" s="12" t="n"/>
      <c r="CH41" s="12" t="n"/>
      <c r="CI41" s="12" t="n"/>
      <c r="CJ41" s="12" t="n"/>
      <c r="CK41" s="12" t="n"/>
      <c r="CL41" s="12" t="n"/>
      <c r="CM41" s="12" t="n"/>
      <c r="CN41" s="12" t="n"/>
      <c r="CO41" s="12" t="n"/>
      <c r="CP41" s="12" t="n"/>
      <c r="CQ41" s="12" t="n"/>
      <c r="CR41" s="12" t="n"/>
      <c r="CS41" s="12" t="n"/>
      <c r="CT41" s="12" t="n"/>
      <c r="CU41" s="12" t="n"/>
      <c r="CV41" s="12" t="n"/>
      <c r="CW41" s="12" t="n"/>
      <c r="CX41" s="12" t="n"/>
      <c r="CY41" s="12" t="n"/>
    </row>
    <row r="42" hidden="1" outlineLevel="1" customFormat="1" s="3">
      <c r="C42" s="47" t="inlineStr">
        <is>
          <t>% Gross Margin</t>
        </is>
      </c>
      <c r="D42" s="48" t="n"/>
      <c r="E42" s="48" t="n"/>
      <c r="F42" s="48" t="n"/>
      <c r="G42" s="48" t="n"/>
      <c r="H42" s="48" t="n"/>
      <c r="I42" s="48">
        <f>IFERROR((I15+I41)/I$15,"")</f>
        <v>1</v>
      </c>
      <c r="J42" s="48">
        <f>IFERROR((J15+J41)/J$15,"")</f>
        <v>1</v>
      </c>
      <c r="K42" s="48">
        <f>IFERROR((K15+K41)/K$15,"")</f>
        <v>1</v>
      </c>
      <c r="L42" s="48">
        <f>IFERROR((L15+L41)/L$15,"")</f>
        <v>1</v>
      </c>
      <c r="M42" s="48">
        <f>IFERROR((M15+M41)/M$15,"")</f>
        <v>1</v>
      </c>
      <c r="N42" s="48">
        <f>IFERROR((N15+N41)/N$15,"")</f>
        <v>1</v>
      </c>
      <c r="O42" s="48">
        <f>IFERROR((O15+O41)/O$15,"")</f>
        <v>1</v>
      </c>
      <c r="P42" s="48">
        <f>IFERROR((P15+P41)/P$15,"")</f>
        <v>1</v>
      </c>
      <c r="Q42" s="48">
        <f>IFERROR((Q15+Q41)/Q$15,"")</f>
        <v>1</v>
      </c>
      <c r="R42" s="48">
        <f>IFERROR((R15+R41)/R$15,"")</f>
        <v>1</v>
      </c>
      <c r="S42" s="48">
        <f>IFERROR((S15+S41)/S$15,"")</f>
        <v>1</v>
      </c>
      <c r="T42" s="48">
        <f>IFERROR((T15+T41)/T$15,"")</f>
        <v>1</v>
      </c>
      <c r="U42" s="48">
        <f>IFERROR((U15+U41)/U$15,"")</f>
        <v>1</v>
      </c>
      <c r="V42" s="48">
        <f>IFERROR((V15+V41)/V$15,"")</f>
        <v>1</v>
      </c>
      <c r="W42" s="48">
        <f>IFERROR((W15+W41)/W$15,"")</f>
        <v>1</v>
      </c>
      <c r="X42" s="48">
        <f>IFERROR((X15+X41)/X$15,"")</f>
        <v>1</v>
      </c>
      <c r="Y42" s="48">
        <f>IFERROR((Y15+Y41)/Y$15,"")</f>
        <v>1</v>
      </c>
      <c r="Z42" s="48">
        <f>IFERROR((Z15+Z41)/Z$15,"")</f>
        <v>1</v>
      </c>
      <c r="AA42" s="48">
        <f>IFERROR((AA15+AA41)/AA$15,"")</f>
        <v>1</v>
      </c>
      <c r="AB42" s="48">
        <f>IFERROR((AB15+AB41)/AB$15,"")</f>
        <v>1</v>
      </c>
      <c r="AC42" s="48">
        <f>IFERROR((AC15+AC41)/AC$15,"")</f>
        <v>1</v>
      </c>
      <c r="AD42" s="48">
        <f>IFERROR((AD15+AD41)/AD$15,"")</f>
        <v>1</v>
      </c>
      <c r="AE42" s="48">
        <f>IFERROR((AE15+AE41)/AE$15,"")</f>
        <v>1</v>
      </c>
      <c r="AF42" s="41">
        <f>IFERROR((AF15+AF41)/AF$15,"")</f>
        <v>1</v>
      </c>
      <c r="AG42" s="48">
        <f>IFERROR((AG15+AG41)/AG$15,"")</f>
        <v>1</v>
      </c>
      <c r="AH42" s="49">
        <f>IFERROR((AH15+AH41)/AH$15,"")</f>
        <v>1</v>
      </c>
      <c r="AI42" s="49">
        <f>IFERROR((AI15+AI41)/AI$15,"")</f>
        <v>1</v>
      </c>
      <c r="AJ42" s="49">
        <f>Control!$B$19</f>
        <v>1</v>
      </c>
      <c r="AK42" s="49">
        <f>Control!$B$19</f>
        <v>1</v>
      </c>
      <c r="AL42" s="48">
        <f>IFERROR((AL15+AL41)/AL$15,"")</f>
        <v>1</v>
      </c>
      <c r="AM42" s="49">
        <f>Control!$C$19</f>
        <v>1</v>
      </c>
      <c r="AN42" s="49">
        <f>Control!$C$19</f>
        <v>1</v>
      </c>
      <c r="AO42" s="49">
        <f>Control!$C$19</f>
        <v>1</v>
      </c>
      <c r="AP42" s="49">
        <f>Control!$C$19</f>
        <v>1</v>
      </c>
      <c r="AQ42" s="48">
        <f>IFERROR((AQ15+AQ41)/AQ$15,"")</f>
        <v>1</v>
      </c>
      <c r="AR42" s="49">
        <f>Control!$D$19</f>
        <v>1</v>
      </c>
      <c r="AS42" s="49">
        <f>Control!$D$19</f>
        <v>1</v>
      </c>
      <c r="AT42" s="49">
        <f>Control!$D$19</f>
        <v>1</v>
      </c>
      <c r="AU42" s="49">
        <f>Control!$D$19</f>
        <v>1</v>
      </c>
      <c r="AV42" s="48">
        <f>IFERROR((AV15+AV41)/AV$15,"")</f>
        <v>1</v>
      </c>
      <c r="AW42" s="49">
        <f>Control!$E$19</f>
        <v>1</v>
      </c>
      <c r="AX42" s="49">
        <f>Control!$E$19</f>
        <v>1</v>
      </c>
      <c r="AY42" s="49">
        <f>Control!$E$19</f>
        <v>1</v>
      </c>
      <c r="AZ42" s="49">
        <f>Control!$E$19</f>
        <v>1</v>
      </c>
      <c r="BA42" s="48">
        <f>IFERROR((BA15+BA41)/BA$15,"")</f>
        <v>1</v>
      </c>
      <c r="BB42" s="49">
        <f>Control!$F$19</f>
        <v>1</v>
      </c>
      <c r="BC42" s="49">
        <f>Control!$F$19</f>
        <v>1</v>
      </c>
      <c r="BD42" s="49">
        <f>Control!$F$19</f>
        <v>1</v>
      </c>
      <c r="BE42" s="49">
        <f>Control!$F$19</f>
        <v>1</v>
      </c>
      <c r="BF42" s="48">
        <f>IFERROR((BF15+BF41)/BF$15,"")</f>
        <v>1</v>
      </c>
      <c r="BG42" s="49" t="n"/>
      <c r="BH42" s="49" t="n"/>
      <c r="BI42" s="49" t="n"/>
      <c r="BJ42" s="49" t="n"/>
      <c r="BK42" s="48" t="n"/>
      <c r="BL42" s="49" t="n"/>
      <c r="BM42" s="49" t="n"/>
      <c r="BN42" s="49" t="n"/>
      <c r="BO42" s="49" t="n"/>
      <c r="BP42" s="48" t="n"/>
      <c r="BQ42" s="49" t="n"/>
      <c r="BR42" s="49" t="n"/>
      <c r="BS42" s="49" t="n"/>
      <c r="BT42" s="49" t="n"/>
      <c r="BU42" s="48" t="n"/>
      <c r="BV42" s="49" t="n"/>
      <c r="BW42" s="49" t="n"/>
      <c r="BX42" s="49" t="n"/>
      <c r="BY42" s="49" t="n"/>
      <c r="BZ42" s="48" t="n"/>
      <c r="CA42" s="49" t="n"/>
      <c r="CB42" s="49" t="n"/>
      <c r="CC42" s="49" t="n"/>
      <c r="CD42" s="49" t="n"/>
      <c r="CE42" s="48" t="n"/>
      <c r="CF42" s="49" t="n"/>
      <c r="CG42" s="49" t="n"/>
      <c r="CH42" s="49" t="n"/>
      <c r="CI42" s="49" t="n"/>
      <c r="CJ42" s="48" t="n"/>
      <c r="CK42" s="49" t="n"/>
      <c r="CL42" s="49" t="n"/>
      <c r="CM42" s="49" t="n"/>
      <c r="CN42" s="49" t="n"/>
      <c r="CO42" s="48" t="n"/>
      <c r="CP42" s="49" t="n"/>
      <c r="CQ42" s="49" t="n"/>
      <c r="CR42" s="49" t="n"/>
      <c r="CS42" s="49" t="n"/>
      <c r="CT42" s="48" t="n"/>
      <c r="CU42" s="49" t="n"/>
      <c r="CV42" s="49" t="n"/>
      <c r="CW42" s="49" t="n"/>
      <c r="CX42" s="49" t="n"/>
      <c r="CY42" s="48" t="n"/>
    </row>
    <row r="43" hidden="1" outlineLevel="1"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50" t="n"/>
      <c r="BE43" s="50" t="n"/>
      <c r="BF43" s="50" t="n"/>
      <c r="BG43" s="50" t="n"/>
      <c r="BH43" s="50" t="n"/>
      <c r="BI43" s="50" t="n"/>
      <c r="BJ43" s="50" t="n"/>
      <c r="BK43" s="50" t="n"/>
      <c r="BL43" s="50" t="n"/>
      <c r="BM43" s="50" t="n"/>
      <c r="BN43" s="50" t="n"/>
      <c r="BO43" s="50" t="n"/>
      <c r="BP43" s="50" t="n"/>
      <c r="BQ43" s="50" t="n"/>
      <c r="BR43" s="50" t="n"/>
      <c r="BS43" s="50" t="n"/>
      <c r="BT43" s="50" t="n"/>
      <c r="BU43" s="50" t="n"/>
      <c r="BV43" s="50" t="n"/>
      <c r="BW43" s="50" t="n"/>
      <c r="BX43" s="50" t="n"/>
      <c r="BY43" s="50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</row>
    <row r="44" hidden="1" outlineLevel="1"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50" t="n"/>
      <c r="BB44" s="50" t="n"/>
      <c r="BC44" s="50" t="n"/>
      <c r="BD44" s="50" t="n"/>
      <c r="BE44" s="50" t="n"/>
      <c r="BF44" s="50" t="n"/>
      <c r="BG44" s="50" t="n"/>
      <c r="BH44" s="50" t="n"/>
      <c r="BI44" s="50" t="n"/>
      <c r="BJ44" s="50" t="n"/>
      <c r="BK44" s="50" t="n"/>
      <c r="BL44" s="50" t="n"/>
      <c r="BM44" s="50" t="n"/>
      <c r="BN44" s="50" t="n"/>
      <c r="BO44" s="50" t="n"/>
      <c r="BP44" s="50" t="n"/>
      <c r="BQ44" s="50" t="n"/>
      <c r="BR44" s="50" t="n"/>
      <c r="BS44" s="50" t="n"/>
      <c r="BT44" s="50" t="n"/>
      <c r="BU44" s="50" t="n"/>
      <c r="BV44" s="50" t="n"/>
      <c r="BW44" s="50" t="n"/>
      <c r="BX44" s="50" t="n"/>
      <c r="BY44" s="50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</row>
    <row r="45" collapsed="1">
      <c r="C45" s="13" t="inlineStr">
        <is>
          <t>SG&amp;A and Other (cash)</t>
        </is>
      </c>
      <c r="D45" s="46" t="n"/>
      <c r="E45" s="46" t="n"/>
      <c r="F45" s="46" t="n"/>
      <c r="G45" s="46" t="n"/>
      <c r="H45" s="12" t="n"/>
      <c r="I45" s="46">
        <f>'Inputs (2)'!D6</f>
        <v>-9103</v>
      </c>
      <c r="J45" s="46">
        <f>'Inputs (2)'!E6</f>
        <v>-8769</v>
      </c>
      <c r="K45" s="46">
        <f>'Inputs (2)'!F6</f>
        <v>-9154</v>
      </c>
      <c r="L45" s="46">
        <f>'Inputs (2)'!G6</f>
        <v>-7848</v>
      </c>
      <c r="M45" s="12">
        <f>'Inputs (2)'!H6</f>
        <v>-34874</v>
      </c>
      <c r="N45" s="46">
        <f>'Inputs (2)'!I6</f>
        <v>-10253</v>
      </c>
      <c r="O45" s="46">
        <f>'Inputs (2)'!J6</f>
        <v>-10946</v>
      </c>
      <c r="P45" s="46">
        <f>'Inputs (2)'!K6</f>
        <v>-12128</v>
      </c>
      <c r="Q45" s="46">
        <f>'Inputs (2)'!L6</f>
        <v>-9640</v>
      </c>
      <c r="R45" s="12">
        <f>'Inputs (2)'!M6</f>
        <v>-42967</v>
      </c>
      <c r="S45" s="46">
        <f>'Inputs (2)'!N6</f>
        <v>-12988</v>
      </c>
      <c r="T45" s="46">
        <f>'Inputs (2)'!O6</f>
        <v>-11753</v>
      </c>
      <c r="U45" s="46">
        <f>'Inputs (2)'!P6</f>
        <v>-11909</v>
      </c>
      <c r="V45" s="46">
        <f>'Inputs (2)'!Q6</f>
        <v>-11665</v>
      </c>
      <c r="W45" s="12">
        <f>'Inputs (2)'!R6</f>
        <v>-48315</v>
      </c>
      <c r="X45" s="46">
        <f>'Inputs (2)'!S6</f>
        <v>-14710</v>
      </c>
      <c r="Y45" s="46">
        <f>'Inputs (2)'!T6</f>
        <v>-12599</v>
      </c>
      <c r="Z45" s="46">
        <f>'Inputs (2)'!U6</f>
        <v>-10624</v>
      </c>
      <c r="AA45" s="46">
        <f>'Inputs (2)'!V6</f>
        <v>-7959</v>
      </c>
      <c r="AB45" s="12">
        <f>'Inputs (2)'!W6</f>
        <v>-45892</v>
      </c>
      <c r="AC45" s="46">
        <f>'Inputs (2)'!X6</f>
        <v>-12208</v>
      </c>
      <c r="AD45" s="46">
        <f>'Inputs (2)'!Y6</f>
        <v>-11454</v>
      </c>
      <c r="AE45" s="46">
        <f>'Inputs (2)'!Z6</f>
        <v>-11833</v>
      </c>
      <c r="AF45" s="46">
        <f>'Inputs (2)'!AA6</f>
        <v>-9021</v>
      </c>
      <c r="AG45" s="12">
        <f>'Inputs (2)'!AB6</f>
        <v>-44516</v>
      </c>
      <c r="AH45" s="12">
        <f>'Inputs (2)'!AC6</f>
        <v>-12775</v>
      </c>
      <c r="AI45" s="12">
        <f>'Inputs (2)'!AD6</f>
        <v>-12005</v>
      </c>
      <c r="AJ45" s="12">
        <f>-AJ15*AJ46</f>
        <v>-11973.1089244253</v>
      </c>
      <c r="AK45" s="12">
        <f>-AK15*AK46</f>
        <v>-9284.61754660738</v>
      </c>
      <c r="AL45" s="12">
        <f>SUM(AH45:AK45)</f>
        <v>-46037.7264710327</v>
      </c>
      <c r="AM45" s="12">
        <f>-AM15*AM46</f>
        <v>-12914.9986453641</v>
      </c>
      <c r="AN45" s="12">
        <f>-AN15*AN46</f>
        <v>-12179.8416426621</v>
      </c>
      <c r="AO45" s="12">
        <f>-AO15*AO46</f>
        <v>-12152.5142130657</v>
      </c>
      <c r="AP45" s="12">
        <f>-AP15*AP46</f>
        <v>-9423.73843002858</v>
      </c>
      <c r="AQ45" s="12">
        <f>SUM(AM45:AP45)</f>
        <v>-46671.0929311205</v>
      </c>
      <c r="AR45" s="12">
        <f>-AR15*AR46</f>
        <v>-13043.9422340182</v>
      </c>
      <c r="AS45" s="12">
        <f>-AS15*AS46</f>
        <v>-12301.4454100158</v>
      </c>
      <c r="AT45" s="12">
        <f>-AT15*AT46</f>
        <v>-12273.8451428498</v>
      </c>
      <c r="AU45" s="12">
        <f>-AU15*AU46</f>
        <v>-9517.82521122558</v>
      </c>
      <c r="AV45" s="12">
        <f>SUM(AR45:AU45)</f>
        <v>-47137.0579981095</v>
      </c>
      <c r="AW45" s="12">
        <f>-AW15*AW46</f>
        <v>-13108.9534867093</v>
      </c>
      <c r="AX45" s="12">
        <f>-AX15*AX46</f>
        <v>-12362.756044613</v>
      </c>
      <c r="AY45" s="12">
        <f>-AY15*AY46</f>
        <v>-12335.0182171979</v>
      </c>
      <c r="AZ45" s="12">
        <f>-AZ15*AZ46</f>
        <v>-9565.26223055422</v>
      </c>
      <c r="BA45" s="12">
        <f>SUM(AW45:AZ45)</f>
        <v>-47371.9899790744</v>
      </c>
      <c r="BB45" s="12">
        <f>-BB15*BB46</f>
        <v>-13108.9534867093</v>
      </c>
      <c r="BC45" s="12">
        <f>-BC15*BC46</f>
        <v>-12362.756044613</v>
      </c>
      <c r="BD45" s="12">
        <f>-BD15*BD46</f>
        <v>-12335.0182171979</v>
      </c>
      <c r="BE45" s="12">
        <f>-BE15*BE46</f>
        <v>-9565.26223055422</v>
      </c>
      <c r="BF45" s="12">
        <f>SUM(BB45:BE45)</f>
        <v>-47371.9899790744</v>
      </c>
      <c r="BG45" s="12" t="n"/>
      <c r="BH45" s="12" t="n"/>
      <c r="BI45" s="12" t="n"/>
      <c r="BJ45" s="12" t="n"/>
      <c r="BK45" s="12" t="n"/>
      <c r="BL45" s="12" t="n"/>
      <c r="BM45" s="12" t="n"/>
      <c r="BN45" s="12" t="n"/>
      <c r="BO45" s="12" t="n"/>
      <c r="BP45" s="12" t="n"/>
      <c r="BQ45" s="12" t="n"/>
      <c r="BR45" s="12" t="n"/>
      <c r="BS45" s="12" t="n"/>
      <c r="BT45" s="12" t="n"/>
      <c r="BU45" s="12" t="n"/>
      <c r="BV45" s="12" t="n"/>
      <c r="BW45" s="12" t="n"/>
      <c r="BX45" s="12" t="n"/>
      <c r="BY45" s="12" t="n"/>
      <c r="BZ45" s="12" t="n"/>
      <c r="CA45" s="12" t="n"/>
      <c r="CB45" s="12" t="n"/>
      <c r="CC45" s="12" t="n"/>
      <c r="CD45" s="12" t="n"/>
      <c r="CE45" s="12" t="n"/>
      <c r="CF45" s="12" t="n"/>
      <c r="CG45" s="12" t="n"/>
      <c r="CH45" s="12" t="n"/>
      <c r="CI45" s="12" t="n"/>
      <c r="CJ45" s="12" t="n"/>
      <c r="CK45" s="12" t="n"/>
      <c r="CL45" s="12" t="n"/>
      <c r="CM45" s="12" t="n"/>
      <c r="CN45" s="12" t="n"/>
      <c r="CO45" s="12" t="n"/>
      <c r="CP45" s="12" t="n"/>
      <c r="CQ45" s="12" t="n"/>
      <c r="CR45" s="12" t="n"/>
      <c r="CS45" s="12" t="n"/>
      <c r="CT45" s="12" t="n"/>
      <c r="CU45" s="12" t="n"/>
      <c r="CV45" s="12" t="n"/>
      <c r="CW45" s="12" t="n"/>
      <c r="CX45" s="12" t="n"/>
      <c r="CY45" s="12" t="n"/>
    </row>
    <row r="46" hidden="1" outlineLevel="1">
      <c r="C46" s="38" t="inlineStr">
        <is>
          <t>% SG&amp;A and Other Margin</t>
        </is>
      </c>
      <c r="D46" s="51" t="n"/>
      <c r="E46" s="51" t="n"/>
      <c r="F46" s="51" t="n"/>
      <c r="G46" s="51" t="n"/>
      <c r="H46" s="51" t="n"/>
      <c r="I46" s="51">
        <f>IFERROR(-(I45/I$15),"")</f>
        <v>0.754934483330569</v>
      </c>
      <c r="J46" s="51">
        <f>IFERROR(-(J45/J$15),"")</f>
        <v>0.760735664092999</v>
      </c>
      <c r="K46" s="51">
        <f>IFERROR(-(K45/K$15),"")</f>
        <v>0.808157499779288</v>
      </c>
      <c r="L46" s="51">
        <f>IFERROR(-(L45/L$15),"")</f>
        <v>0.820148395861637</v>
      </c>
      <c r="M46" s="51">
        <f>IFERROR(-(M45/M$15),"")</f>
        <v>0.784020143432027</v>
      </c>
      <c r="N46" s="51">
        <f>IFERROR(-(N45/N$15),"")</f>
        <v>0.766866118175019</v>
      </c>
      <c r="O46" s="51">
        <f>IFERROR(-(O45/O$15),"")</f>
        <v>0.776201957169196</v>
      </c>
      <c r="P46" s="51">
        <f>IFERROR(-(P45/P$15),"")</f>
        <v>0.780638516992791</v>
      </c>
      <c r="Q46" s="51">
        <f>IFERROR(-(Q45/Q$15),"")</f>
        <v>0.761934871957003</v>
      </c>
      <c r="R46" s="51">
        <f>IFERROR(-(R45/R$15),"")</f>
        <v>0.77195472511678</v>
      </c>
      <c r="S46" s="51">
        <f>IFERROR(-(S45/S$15),"")</f>
        <v>0.746994881233105</v>
      </c>
      <c r="T46" s="51">
        <f>IFERROR(-(T45/T$15),"")</f>
        <v>0.743813682678312</v>
      </c>
      <c r="U46" s="51">
        <f>IFERROR(-(U45/U$15),"")</f>
        <v>0.772709576953024</v>
      </c>
      <c r="V46" s="51">
        <f>IFERROR(-(V45/V$15),"")</f>
        <v>0.957324579400903</v>
      </c>
      <c r="W46" s="51">
        <f>IFERROR(-(W45/W$15),"")</f>
        <v>0.794850703298511</v>
      </c>
      <c r="X46" s="51">
        <f>IFERROR(-(X45/X$15),"")</f>
        <v>0.965539875287168</v>
      </c>
      <c r="Y46" s="51">
        <f>IFERROR(-(Y45/Y$15),"")</f>
        <v>0.957953163017032</v>
      </c>
      <c r="Z46" s="51">
        <f>IFERROR(-(Z45/Z$15),"")</f>
        <v>0.953338119167265</v>
      </c>
      <c r="AA46" s="51">
        <f>IFERROR(-(AA45/AA$15),"")</f>
        <v>0.935472496473907</v>
      </c>
      <c r="AB46" s="51">
        <f>IFERROR(-(AB45/AB$15),"")</f>
        <v>0.955307146276983</v>
      </c>
      <c r="AC46" s="51">
        <f>IFERROR(-(AC45/AC$15),"")</f>
        <v>0.956514925957847</v>
      </c>
      <c r="AD46" s="51">
        <f>IFERROR(-(AD45/AD$15),"")</f>
        <v>0.953070394408387</v>
      </c>
      <c r="AE46" s="51">
        <f>IFERROR(-(AE45/AE$15),"")</f>
        <v>0.954736162659351</v>
      </c>
      <c r="AF46" s="41">
        <f>IFERROR(-(AF45/AF$15),"")</f>
        <v>0.938612007075226</v>
      </c>
      <c r="AG46" s="51">
        <f>IFERROR(-(AG45/AG$15),"")</f>
        <v>0.951481212328474</v>
      </c>
      <c r="AH46" s="52">
        <f>IFERROR(-(AH45/AH$15),"")</f>
        <v>0.955568853317376</v>
      </c>
      <c r="AI46" s="52">
        <f>IFERROR(-(AI45/AI$15),"")</f>
        <v>0.952173223350254</v>
      </c>
      <c r="AJ46" s="52">
        <f>Control!$B$20</f>
        <v>0.951779261128074</v>
      </c>
      <c r="AK46" s="52">
        <f>Control!$B$20</f>
        <v>0.951779261128074</v>
      </c>
      <c r="AL46" s="51">
        <f>IFERROR(-(AL45/AL$15),"")</f>
        <v>0.952930744243114</v>
      </c>
      <c r="AM46" s="52">
        <f>Control!$C$20</f>
        <v>0.951779261128074</v>
      </c>
      <c r="AN46" s="52">
        <f>Control!$C$20</f>
        <v>0.951779261128074</v>
      </c>
      <c r="AO46" s="52">
        <f>Control!$C$20</f>
        <v>0.951779261128074</v>
      </c>
      <c r="AP46" s="52">
        <f>Control!$C$20</f>
        <v>0.951779261128074</v>
      </c>
      <c r="AQ46" s="51">
        <f>IFERROR(-(AQ45/AQ$15),"")</f>
        <v>0.951779261128074</v>
      </c>
      <c r="AR46" s="52">
        <f>Control!$D$20</f>
        <v>0.951779261128074</v>
      </c>
      <c r="AS46" s="52">
        <f>Control!$D$20</f>
        <v>0.951779261128074</v>
      </c>
      <c r="AT46" s="52">
        <f>Control!$D$20</f>
        <v>0.951779261128074</v>
      </c>
      <c r="AU46" s="52">
        <f>Control!$D$20</f>
        <v>0.951779261128074</v>
      </c>
      <c r="AV46" s="51">
        <f>IFERROR(-(AV45/AV$15),"")</f>
        <v>0.951779261128074</v>
      </c>
      <c r="AW46" s="52">
        <f>Control!$E$20</f>
        <v>0.951779261128074</v>
      </c>
      <c r="AX46" s="52">
        <f>Control!$E$20</f>
        <v>0.951779261128074</v>
      </c>
      <c r="AY46" s="52">
        <f>Control!$E$20</f>
        <v>0.951779261128074</v>
      </c>
      <c r="AZ46" s="52">
        <f>Control!$E$20</f>
        <v>0.951779261128074</v>
      </c>
      <c r="BA46" s="51">
        <f>IFERROR(-(BA45/BA$15),"")</f>
        <v>0.951779261128074</v>
      </c>
      <c r="BB46" s="52">
        <f>Control!$F$20</f>
        <v>0.951779261128074</v>
      </c>
      <c r="BC46" s="52">
        <f>Control!$F$20</f>
        <v>0.951779261128074</v>
      </c>
      <c r="BD46" s="52">
        <f>Control!$F$20</f>
        <v>0.951779261128074</v>
      </c>
      <c r="BE46" s="52">
        <f>Control!$F$20</f>
        <v>0.951779261128074</v>
      </c>
      <c r="BF46" s="51">
        <f>IFERROR(-(BF45/BF$15),"")</f>
        <v>0.951779261128074</v>
      </c>
      <c r="BG46" s="52" t="n"/>
      <c r="BH46" s="52" t="n"/>
      <c r="BI46" s="52" t="n"/>
      <c r="BJ46" s="52" t="n"/>
      <c r="BK46" s="51" t="n"/>
      <c r="BL46" s="52" t="n"/>
      <c r="BM46" s="52" t="n"/>
      <c r="BN46" s="52" t="n"/>
      <c r="BO46" s="52" t="n"/>
      <c r="BP46" s="51" t="n"/>
      <c r="BQ46" s="52" t="n"/>
      <c r="BR46" s="52" t="n"/>
      <c r="BS46" s="52" t="n"/>
      <c r="BT46" s="52" t="n"/>
      <c r="BU46" s="51" t="n"/>
      <c r="BV46" s="52" t="n"/>
      <c r="BW46" s="52" t="n"/>
      <c r="BX46" s="52" t="n"/>
      <c r="BY46" s="52" t="n"/>
      <c r="BZ46" s="51" t="n"/>
      <c r="CA46" s="52" t="n"/>
      <c r="CB46" s="52" t="n"/>
      <c r="CC46" s="52" t="n"/>
      <c r="CD46" s="52" t="n"/>
      <c r="CE46" s="51" t="n"/>
      <c r="CF46" s="52" t="n"/>
      <c r="CG46" s="52" t="n"/>
      <c r="CH46" s="52" t="n"/>
      <c r="CI46" s="52" t="n"/>
      <c r="CJ46" s="51" t="n"/>
      <c r="CK46" s="52" t="n"/>
      <c r="CL46" s="52" t="n"/>
      <c r="CM46" s="52" t="n"/>
      <c r="CN46" s="52" t="n"/>
      <c r="CO46" s="51" t="n"/>
      <c r="CP46" s="52" t="n"/>
      <c r="CQ46" s="52" t="n"/>
      <c r="CR46" s="52" t="n"/>
      <c r="CS46" s="52" t="n"/>
      <c r="CT46" s="51" t="n"/>
      <c r="CU46" s="52" t="n"/>
      <c r="CV46" s="52" t="n"/>
      <c r="CW46" s="52" t="n"/>
      <c r="CX46" s="52" t="n"/>
      <c r="CY46" s="51" t="n"/>
    </row>
    <row r="47" hidden="1" outlineLevel="1"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</row>
    <row r="48" hidden="1" outlineLevel="1">
      <c r="C48" s="50" t="inlineStr">
        <is>
          <t>Com Vendas</t>
        </is>
      </c>
      <c r="D48" s="11" t="n"/>
      <c r="E48" s="11" t="n"/>
      <c r="F48" s="11" t="n"/>
      <c r="G48" s="11" t="n"/>
      <c r="H48" s="50" t="n"/>
      <c r="I48" s="11" t="n"/>
      <c r="J48" s="11" t="n"/>
      <c r="K48" s="11" t="n"/>
      <c r="L48" s="11" t="n"/>
      <c r="M48" s="50" t="n"/>
      <c r="N48" s="11" t="n"/>
      <c r="O48" s="11" t="n"/>
      <c r="P48" s="11" t="n"/>
      <c r="Q48" s="11" t="n"/>
      <c r="R48" s="50" t="n"/>
      <c r="S48" s="11" t="n"/>
      <c r="T48" s="11" t="n"/>
      <c r="U48" s="11" t="n"/>
      <c r="V48" s="11" t="n"/>
      <c r="W48" s="50" t="n"/>
      <c r="X48" s="11" t="n"/>
      <c r="Y48" s="11" t="n"/>
      <c r="Z48" s="11" t="n"/>
      <c r="AA48" s="11" t="n"/>
      <c r="AB48" s="50" t="n"/>
      <c r="AC48" s="11" t="n"/>
      <c r="AD48" s="11" t="n"/>
      <c r="AE48" s="11" t="n"/>
      <c r="AF48" s="11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inlineStr">
        <is>
          <t>Gerais &amp; Administrativas</t>
        </is>
      </c>
      <c r="D49" s="11" t="n"/>
      <c r="E49" s="11" t="n"/>
      <c r="F49" s="11" t="n"/>
      <c r="G49" s="11" t="n"/>
      <c r="H49" s="50" t="n"/>
      <c r="I49" s="11" t="n"/>
      <c r="J49" s="11" t="n"/>
      <c r="K49" s="11" t="n"/>
      <c r="L49" s="11" t="n"/>
      <c r="M49" s="50" t="n"/>
      <c r="N49" s="11" t="n"/>
      <c r="O49" s="11" t="n"/>
      <c r="P49" s="11" t="n"/>
      <c r="Q49" s="11" t="n"/>
      <c r="R49" s="50" t="n"/>
      <c r="S49" s="11" t="n"/>
      <c r="T49" s="11" t="n"/>
      <c r="U49" s="11" t="n"/>
      <c r="V49" s="11" t="n"/>
      <c r="W49" s="50" t="n"/>
      <c r="X49" s="11" t="n"/>
      <c r="Y49" s="11" t="n"/>
      <c r="Z49" s="11" t="n"/>
      <c r="AA49" s="11" t="n"/>
      <c r="AB49" s="50" t="n"/>
      <c r="AC49" s="11" t="n"/>
      <c r="AD49" s="11" t="n"/>
      <c r="AE49" s="11" t="n"/>
      <c r="AF49" s="11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hidden="1" outlineLevel="1">
      <c r="C50" s="50" t="inlineStr">
        <is>
          <t>Outras Receitas (Despesas) Operacionais, Líquidas</t>
        </is>
      </c>
      <c r="D50" s="11" t="n"/>
      <c r="E50" s="11" t="n"/>
      <c r="F50" s="11" t="n"/>
      <c r="G50" s="11" t="n"/>
      <c r="H50" s="50" t="n"/>
      <c r="I50" s="11" t="n"/>
      <c r="J50" s="11" t="n"/>
      <c r="K50" s="11" t="n"/>
      <c r="L50" s="11" t="n"/>
      <c r="M50" s="50" t="n"/>
      <c r="N50" s="11" t="n"/>
      <c r="O50" s="11" t="n"/>
      <c r="P50" s="11" t="n"/>
      <c r="Q50" s="11" t="n"/>
      <c r="R50" s="50" t="n"/>
      <c r="S50" s="11" t="n"/>
      <c r="T50" s="11" t="n"/>
      <c r="U50" s="11" t="n"/>
      <c r="V50" s="11" t="n"/>
      <c r="W50" s="50" t="n"/>
      <c r="X50" s="11" t="n"/>
      <c r="Y50" s="11" t="n"/>
      <c r="Z50" s="11" t="n"/>
      <c r="AA50" s="11" t="n"/>
      <c r="AB50" s="50" t="n"/>
      <c r="AC50" s="11" t="n"/>
      <c r="AD50" s="11" t="n"/>
      <c r="AE50" s="11" t="n"/>
      <c r="AF50" s="11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hidden="1" outlineLevel="1">
      <c r="C52" s="50" t="inlineStr">
        <is>
          <t>Com Vendas (%)</t>
        </is>
      </c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Gerais &amp; Administrativas (%)</t>
        </is>
      </c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inlineStr">
        <is>
          <t>Outras Receitas (Despesas) Operacionais, Líquidas (%)</t>
        </is>
      </c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collapsed="1" customFormat="1" s="32">
      <c r="A56" s="30" t="n"/>
      <c r="B56" s="3" t="n"/>
      <c r="C56" s="33" t="inlineStr">
        <is>
          <t>EBITDA</t>
        </is>
      </c>
      <c r="D56" s="35" t="n"/>
      <c r="E56" s="35" t="n"/>
      <c r="F56" s="35" t="n"/>
      <c r="G56" s="35" t="n"/>
      <c r="H56" s="35" t="n"/>
      <c r="I56" s="35">
        <f>SUM(I15,I41,I45)</f>
        <v>2955</v>
      </c>
      <c r="J56" s="35">
        <f>SUM(J15,J41,J45)</f>
        <v>2758</v>
      </c>
      <c r="K56" s="35">
        <f>SUM(K15,K41,K45)</f>
        <v>2173</v>
      </c>
      <c r="L56" s="35">
        <f>SUM(L15,L41,L45)</f>
        <v>1721</v>
      </c>
      <c r="M56" s="35">
        <f>SUM(I56:L56)</f>
        <v>9607</v>
      </c>
      <c r="N56" s="35">
        <f>SUM(N15,N41,N45)</f>
        <v>3117</v>
      </c>
      <c r="O56" s="35">
        <f>SUM(O15,O41,O45)</f>
        <v>3156</v>
      </c>
      <c r="P56" s="35">
        <f>SUM(P15,P41,P45)</f>
        <v>3408</v>
      </c>
      <c r="Q56" s="35">
        <f>SUM(Q15,Q41,Q45)</f>
        <v>3012</v>
      </c>
      <c r="R56" s="35">
        <f>SUM(N56:Q56)</f>
        <v>12693</v>
      </c>
      <c r="S56" s="35">
        <f>SUM(S15,S41,S45)</f>
        <v>4399</v>
      </c>
      <c r="T56" s="35">
        <f>SUM(T15,T41,T45)</f>
        <v>4048</v>
      </c>
      <c r="U56" s="35">
        <f>SUM(U15,U41,U45)</f>
        <v>3503</v>
      </c>
      <c r="V56" s="35">
        <f>SUM(V15,V41,V45)</f>
        <v>520</v>
      </c>
      <c r="W56" s="35">
        <f>SUM(S56:V56)</f>
        <v>12470</v>
      </c>
      <c r="X56" s="35">
        <f>SUM(X15,X41,X45)</f>
        <v>525</v>
      </c>
      <c r="Y56" s="35">
        <f>SUM(Y15,Y41,Y45)</f>
        <v>553</v>
      </c>
      <c r="Z56" s="35">
        <f>SUM(Z15,Z41,Z45)</f>
        <v>520</v>
      </c>
      <c r="AA56" s="35">
        <f>SUM(AA15,AA41,AA45)</f>
        <v>549</v>
      </c>
      <c r="AB56" s="35">
        <f>SUM(X56:AA56)</f>
        <v>2147</v>
      </c>
      <c r="AC56" s="35">
        <f>SUM(AC15,AC41,AC45)</f>
        <v>555</v>
      </c>
      <c r="AD56" s="35">
        <f>SUM(AD15,AD41,AD45)</f>
        <v>564</v>
      </c>
      <c r="AE56" s="35">
        <f>SUM(AE15,AE41,AE45)</f>
        <v>561</v>
      </c>
      <c r="AF56" s="35">
        <f>SUM(AF15,AF41,AF45)</f>
        <v>590</v>
      </c>
      <c r="AG56" s="35">
        <f>SUM(AC56:AF56)</f>
        <v>2270</v>
      </c>
      <c r="AH56" s="35">
        <f>SUM(AH15,AH41,AH45)</f>
        <v>594</v>
      </c>
      <c r="AI56" s="35">
        <f>SUM(AI15,AI41,AI45)</f>
        <v>603</v>
      </c>
      <c r="AJ56" s="35">
        <f>SUM(AJ15,AJ41,AJ45)</f>
        <v>606.603003983877</v>
      </c>
      <c r="AK56" s="35">
        <f>SUM(AK15,AK41,AK45)</f>
        <v>470.393857615705</v>
      </c>
      <c r="AL56" s="35">
        <f>SUM(AH56:AK56)</f>
        <v>2273.99686159958</v>
      </c>
      <c r="AM56" s="35">
        <f>SUM(AM15,AM41,AM45)</f>
        <v>654.322701328099</v>
      </c>
      <c r="AN56" s="35">
        <f>SUM(AN15,AN41,AN45)</f>
        <v>617.076865759942</v>
      </c>
      <c r="AO56" s="35">
        <f>SUM(AO15,AO41,AO45)</f>
        <v>615.692354770441</v>
      </c>
      <c r="AP56" s="35">
        <f>SUM(AP15,AP41,AP45)</f>
        <v>477.442247998926</v>
      </c>
      <c r="AQ56" s="35">
        <f>SUM(AM56:AP56)</f>
        <v>2364.53416985741</v>
      </c>
      <c r="AR56" s="35">
        <f>SUM(AR15,AR41,AR45)</f>
        <v>660.855471447854</v>
      </c>
      <c r="AS56" s="35">
        <f>SUM(AS15,AS41,AS45)</f>
        <v>623.237772758961</v>
      </c>
      <c r="AT56" s="35">
        <f>SUM(AT15,AT41,AT45)</f>
        <v>621.839438785779</v>
      </c>
      <c r="AU56" s="35">
        <f>SUM(AU15,AU41,AU45)</f>
        <v>482.209040355827</v>
      </c>
      <c r="AV56" s="35">
        <f>SUM(AR56:AU56)</f>
        <v>2388.14172334842</v>
      </c>
      <c r="AW56" s="35">
        <f>SUM(AW15,AW41,AW45)</f>
        <v>664.149187509749</v>
      </c>
      <c r="AX56" s="35">
        <f>SUM(AX15,AX41,AX45)</f>
        <v>626.344001505191</v>
      </c>
      <c r="AY56" s="35">
        <f>SUM(AY15,AY41,AY45)</f>
        <v>624.938698209266</v>
      </c>
      <c r="AZ56" s="35">
        <f>SUM(AZ15,AZ41,AZ45)</f>
        <v>484.612379255224</v>
      </c>
      <c r="BA56" s="35">
        <f>SUM(AW56:AZ56)</f>
        <v>2400.04426647943</v>
      </c>
      <c r="BB56" s="35">
        <f>SUM(BB15,BB41,BB45)</f>
        <v>664.149187509749</v>
      </c>
      <c r="BC56" s="35">
        <f>SUM(BC15,BC41,BC45)</f>
        <v>626.344001505191</v>
      </c>
      <c r="BD56" s="35">
        <f>SUM(BD15,BD41,BD45)</f>
        <v>624.938698209266</v>
      </c>
      <c r="BE56" s="35">
        <f>SUM(BE15,BE41,BE45)</f>
        <v>484.612379255224</v>
      </c>
      <c r="BF56" s="35">
        <f>SUM(BB56:BE56)</f>
        <v>2400.04426647943</v>
      </c>
      <c r="BG56" s="35" t="n"/>
      <c r="BH56" s="35" t="n"/>
      <c r="BI56" s="35" t="n"/>
      <c r="BJ56" s="35" t="n"/>
      <c r="BK56" s="35" t="n"/>
      <c r="BL56" s="35" t="n"/>
      <c r="BM56" s="35" t="n"/>
      <c r="BN56" s="35" t="n"/>
      <c r="BO56" s="35" t="n"/>
      <c r="BP56" s="35" t="n"/>
      <c r="BQ56" s="35" t="n"/>
      <c r="BR56" s="35" t="n"/>
      <c r="BS56" s="35" t="n"/>
      <c r="BT56" s="35" t="n"/>
      <c r="BU56" s="35" t="n"/>
      <c r="BV56" s="35" t="n"/>
      <c r="BW56" s="35" t="n"/>
      <c r="BX56" s="35" t="n"/>
      <c r="BY56" s="35" t="n"/>
      <c r="BZ56" s="35" t="n"/>
      <c r="CA56" s="35" t="n"/>
      <c r="CB56" s="35" t="n"/>
      <c r="CC56" s="35" t="n"/>
      <c r="CD56" s="35" t="n"/>
      <c r="CE56" s="35" t="n"/>
      <c r="CF56" s="35" t="n"/>
      <c r="CG56" s="35" t="n"/>
      <c r="CH56" s="35" t="n"/>
      <c r="CI56" s="35" t="n"/>
      <c r="CJ56" s="35" t="n"/>
      <c r="CK56" s="35" t="n"/>
      <c r="CL56" s="35" t="n"/>
      <c r="CM56" s="35" t="n"/>
      <c r="CN56" s="35" t="n"/>
      <c r="CO56" s="35" t="n"/>
      <c r="CP56" s="35" t="n"/>
      <c r="CQ56" s="35" t="n"/>
      <c r="CR56" s="35" t="n"/>
      <c r="CS56" s="35" t="n"/>
      <c r="CT56" s="35" t="n"/>
      <c r="CU56" s="35" t="n"/>
      <c r="CV56" s="35" t="n"/>
      <c r="CW56" s="35" t="n"/>
      <c r="CX56" s="35" t="n"/>
      <c r="CY56" s="35" t="n"/>
    </row>
    <row r="57" ht="13.5" customHeight="1">
      <c r="C57" s="13" t="inlineStr">
        <is>
          <t>D&amp;A</t>
        </is>
      </c>
      <c r="D57" s="46" t="n"/>
      <c r="E57" s="46" t="n"/>
      <c r="F57" s="46" t="n"/>
      <c r="G57" s="46" t="n"/>
      <c r="H57" s="12" t="n"/>
      <c r="I57" s="46">
        <f>'Inputs (2)'!D7</f>
        <v>-516</v>
      </c>
      <c r="J57" s="46">
        <f>'Inputs (2)'!E7</f>
        <v>-515</v>
      </c>
      <c r="K57" s="46">
        <f>'Inputs (2)'!F7</f>
        <v>-481</v>
      </c>
      <c r="L57" s="46">
        <f>'Inputs (2)'!G7</f>
        <v>-486</v>
      </c>
      <c r="M57" s="12">
        <f>'Inputs (2)'!H7</f>
        <v>-1998</v>
      </c>
      <c r="N57" s="46">
        <f>'Inputs (2)'!I7</f>
        <v>-447</v>
      </c>
      <c r="O57" s="46">
        <f>'Inputs (2)'!J7</f>
        <v>-510</v>
      </c>
      <c r="P57" s="46">
        <f>'Inputs (2)'!K7</f>
        <v>-452</v>
      </c>
      <c r="Q57" s="46">
        <f>'Inputs (2)'!L7</f>
        <v>-494</v>
      </c>
      <c r="R57" s="12">
        <f>'Inputs (2)'!M7</f>
        <v>-1903</v>
      </c>
      <c r="S57" s="46">
        <f>'Inputs (2)'!N7</f>
        <v>-501</v>
      </c>
      <c r="T57" s="46">
        <f>'Inputs (2)'!O7</f>
        <v>-532</v>
      </c>
      <c r="U57" s="46">
        <f>'Inputs (2)'!P7</f>
        <v>-477</v>
      </c>
      <c r="V57" s="46">
        <f>'Inputs (2)'!Q7</f>
        <v>-520</v>
      </c>
      <c r="W57" s="12">
        <f>'Inputs (2)'!R7</f>
        <v>-2030</v>
      </c>
      <c r="X57" s="46">
        <f>'Inputs (2)'!S7</f>
        <v>-525</v>
      </c>
      <c r="Y57" s="46">
        <f>'Inputs (2)'!T7</f>
        <v>-553</v>
      </c>
      <c r="Z57" s="46">
        <f>'Inputs (2)'!U7</f>
        <v>-520</v>
      </c>
      <c r="AA57" s="46">
        <f>'Inputs (2)'!V7</f>
        <v>-549</v>
      </c>
      <c r="AB57" s="12">
        <f>'Inputs (2)'!W7</f>
        <v>-2147</v>
      </c>
      <c r="AC57" s="46">
        <f>'Inputs (2)'!X7</f>
        <v>-555</v>
      </c>
      <c r="AD57" s="46">
        <f>'Inputs (2)'!Y7</f>
        <v>-564</v>
      </c>
      <c r="AE57" s="46">
        <f>'Inputs (2)'!Z7</f>
        <v>-561</v>
      </c>
      <c r="AF57" s="46">
        <f>'Inputs (2)'!AA7</f>
        <v>-590</v>
      </c>
      <c r="AG57" s="12">
        <f>'Inputs (2)'!AB7</f>
        <v>-2270</v>
      </c>
      <c r="AH57" s="12">
        <f>'Inputs (2)'!AC7</f>
        <v>-594</v>
      </c>
      <c r="AI57" s="12">
        <f>'Inputs (2)'!AD7</f>
        <v>-603</v>
      </c>
      <c r="AJ57" s="12">
        <f>-AJ58*AJ15</f>
        <v>-606.603003983878</v>
      </c>
      <c r="AK57" s="12">
        <f>-AK58*AK15</f>
        <v>-470.393857615705</v>
      </c>
      <c r="AL57" s="12">
        <f>SUM(AH57:AK57)</f>
        <v>-2273.99686159958</v>
      </c>
      <c r="AM57" s="12">
        <f>-AM58*AM15</f>
        <v>-654.322701328099</v>
      </c>
      <c r="AN57" s="12">
        <f>-AN58*AN15</f>
        <v>-617.076865759943</v>
      </c>
      <c r="AO57" s="12">
        <f>-AO58*AO15</f>
        <v>-615.692354770441</v>
      </c>
      <c r="AP57" s="12">
        <f>-AP58*AP15</f>
        <v>-477.442247998927</v>
      </c>
      <c r="AQ57" s="12">
        <f>SUM(AM57:AP57)</f>
        <v>-2364.53416985741</v>
      </c>
      <c r="AR57" s="12">
        <f>-AR58*AR15</f>
        <v>-660.855471447855</v>
      </c>
      <c r="AS57" s="12">
        <f>-AS58*AS15</f>
        <v>-623.237772758962</v>
      </c>
      <c r="AT57" s="12">
        <f>-AT58*AT15</f>
        <v>-621.839438785779</v>
      </c>
      <c r="AU57" s="12">
        <f>-AU58*AU15</f>
        <v>-482.209040355827</v>
      </c>
      <c r="AV57" s="12">
        <f>SUM(AR57:AU57)</f>
        <v>-2388.14172334842</v>
      </c>
      <c r="AW57" s="12">
        <f>-AW58*AW15</f>
        <v>-664.149187509749</v>
      </c>
      <c r="AX57" s="12">
        <f>-AX58*AX15</f>
        <v>-626.344001505192</v>
      </c>
      <c r="AY57" s="12">
        <f>-AY58*AY15</f>
        <v>-624.938698209265</v>
      </c>
      <c r="AZ57" s="12">
        <f>-AZ58*AZ15</f>
        <v>-484.612379255224</v>
      </c>
      <c r="BA57" s="12">
        <f>SUM(AW57:AZ57)</f>
        <v>-2400.04426647943</v>
      </c>
      <c r="BB57" s="12">
        <f>-BB58*BB15</f>
        <v>-664.149187509749</v>
      </c>
      <c r="BC57" s="12">
        <f>-BC58*BC15</f>
        <v>-626.344001505192</v>
      </c>
      <c r="BD57" s="12">
        <f>-BD58*BD15</f>
        <v>-624.938698209265</v>
      </c>
      <c r="BE57" s="12">
        <f>-BE58*BE15</f>
        <v>-484.612379255224</v>
      </c>
      <c r="BF57" s="12">
        <f>SUM(BB57:BE57)</f>
        <v>-2400.04426647943</v>
      </c>
      <c r="BG57" s="12" t="n"/>
      <c r="BH57" s="12" t="n"/>
      <c r="BI57" s="12" t="n"/>
      <c r="BJ57" s="12" t="n"/>
      <c r="BK57" s="12" t="n"/>
      <c r="BL57" s="12" t="n"/>
      <c r="BM57" s="12" t="n"/>
      <c r="BN57" s="12" t="n"/>
      <c r="BO57" s="12" t="n"/>
      <c r="BP57" s="12" t="n"/>
      <c r="BQ57" s="12" t="n"/>
      <c r="BR57" s="12" t="n"/>
      <c r="BS57" s="12" t="n"/>
      <c r="BT57" s="12" t="n"/>
      <c r="BU57" s="12" t="n"/>
      <c r="BV57" s="12" t="n"/>
      <c r="BW57" s="12" t="n"/>
      <c r="BX57" s="12" t="n"/>
      <c r="BY57" s="12" t="n"/>
      <c r="BZ57" s="12" t="n"/>
      <c r="CA57" s="12" t="n"/>
      <c r="CB57" s="12" t="n"/>
      <c r="CC57" s="12" t="n"/>
      <c r="CD57" s="12" t="n"/>
      <c r="CE57" s="12" t="n"/>
      <c r="CF57" s="12" t="n"/>
      <c r="CG57" s="12" t="n"/>
      <c r="CH57" s="12" t="n"/>
      <c r="CI57" s="12" t="n"/>
      <c r="CJ57" s="12" t="n"/>
      <c r="CK57" s="12" t="n"/>
      <c r="CL57" s="12" t="n"/>
      <c r="CM57" s="12" t="n"/>
      <c r="CN57" s="12" t="n"/>
      <c r="CO57" s="12" t="n"/>
      <c r="CP57" s="12" t="n"/>
      <c r="CQ57" s="12" t="n"/>
      <c r="CR57" s="12" t="n"/>
      <c r="CS57" s="12" t="n"/>
      <c r="CT57" s="12" t="n"/>
      <c r="CU57" s="12" t="n"/>
      <c r="CV57" s="12" t="n"/>
      <c r="CW57" s="12" t="n"/>
      <c r="CX57" s="12" t="n"/>
      <c r="CY57" s="12" t="n"/>
    </row>
    <row r="58" hidden="1" outlineLevel="1" customFormat="1" s="56">
      <c r="A58" s="53" t="n"/>
      <c r="B58" s="53" t="n"/>
      <c r="C58" s="54" t="inlineStr">
        <is>
          <t>% of Revenue</t>
        </is>
      </c>
      <c r="D58" s="53" t="n"/>
      <c r="E58" s="53" t="n"/>
      <c r="F58" s="53" t="n"/>
      <c r="G58" s="53" t="n"/>
      <c r="H58" s="53" t="n"/>
      <c r="I58" s="53">
        <f>IFERROR(-I57/I15,"")</f>
        <v>0.0427931663625809</v>
      </c>
      <c r="J58" s="53">
        <f>IFERROR(-J57/J15,"")</f>
        <v>0.0446777131951071</v>
      </c>
      <c r="K58" s="53">
        <f>IFERROR(-K57/K15,"")</f>
        <v>0.0424649068597157</v>
      </c>
      <c r="L58" s="53">
        <f>IFERROR(-L57/L15,"")</f>
        <v>0.0507890061657436</v>
      </c>
      <c r="M58" s="53" t="n"/>
      <c r="N58" s="53">
        <f>IFERROR(-N57/N15,"")</f>
        <v>0.0334330590875094</v>
      </c>
      <c r="O58" s="53">
        <f>IFERROR(-O57/O15,"")</f>
        <v>0.036165082966955</v>
      </c>
      <c r="P58" s="53">
        <f>IFERROR(-P57/P15,"")</f>
        <v>0.0290937178166838</v>
      </c>
      <c r="Q58" s="53">
        <f>IFERROR(-Q57/Q15,"")</f>
        <v>0.0390452102434398</v>
      </c>
      <c r="R58" s="53" t="n"/>
      <c r="S58" s="53">
        <f>IFERROR(-S57/S15,"")</f>
        <v>0.0288146316213263</v>
      </c>
      <c r="T58" s="53">
        <f>IFERROR(-T57/T15,"")</f>
        <v>0.0336687551420796</v>
      </c>
      <c r="U58" s="53">
        <f>IFERROR(-U57/U15,"")</f>
        <v>0.0309499091616922</v>
      </c>
      <c r="V58" s="53">
        <f>IFERROR(-V57/V15,"")</f>
        <v>0.0426754205990973</v>
      </c>
      <c r="W58" s="53" t="n"/>
      <c r="X58" s="53">
        <f>IFERROR(-X57/X15,"")</f>
        <v>0.0344601247128323</v>
      </c>
      <c r="Y58" s="53">
        <f>IFERROR(-Y57/Y15,"")</f>
        <v>0.0420468369829684</v>
      </c>
      <c r="Z58" s="53">
        <f>IFERROR(-Z57/Z15,"")</f>
        <v>0.0466618808327351</v>
      </c>
      <c r="AA58" s="53">
        <f>IFERROR(-AA57/AA15,"")</f>
        <v>0.0645275035260931</v>
      </c>
      <c r="AB58" s="53" t="n"/>
      <c r="AC58" s="53">
        <f>IFERROR(-AC57/AC15,"")</f>
        <v>0.0434850740421531</v>
      </c>
      <c r="AD58" s="53">
        <f>IFERROR(-AD57/AD15,"")</f>
        <v>0.0469296055916126</v>
      </c>
      <c r="AE58" s="53">
        <f>IFERROR(-AE57/AE15,"")</f>
        <v>0.0452638373406487</v>
      </c>
      <c r="AF58" s="55">
        <f>IFERROR(-AF57/AF15,"")</f>
        <v>0.0613879929247737</v>
      </c>
      <c r="AG58" s="53" t="n"/>
      <c r="AH58" s="55">
        <f>IFERROR(-AH57/AH15,"")</f>
        <v>0.044431146682624</v>
      </c>
      <c r="AI58" s="55">
        <f>IFERROR(-AI57/AI15,"")</f>
        <v>0.0478267766497462</v>
      </c>
      <c r="AJ58" s="55">
        <f>Control!$B$21</f>
        <v>0.0482207388719264</v>
      </c>
      <c r="AK58" s="55">
        <f>Control!$B$21</f>
        <v>0.0482207388719264</v>
      </c>
      <c r="AL58" s="53" t="n"/>
      <c r="AM58" s="55">
        <f>Control!$C$21</f>
        <v>0.0482207388719264</v>
      </c>
      <c r="AN58" s="55">
        <f>Control!$C$21</f>
        <v>0.0482207388719264</v>
      </c>
      <c r="AO58" s="55">
        <f>Control!$C$21</f>
        <v>0.0482207388719264</v>
      </c>
      <c r="AP58" s="55">
        <f>Control!$C$21</f>
        <v>0.0482207388719264</v>
      </c>
      <c r="AQ58" s="53" t="n"/>
      <c r="AR58" s="55">
        <f>Control!$D$21</f>
        <v>0.0482207388719264</v>
      </c>
      <c r="AS58" s="55">
        <f>Control!$D$21</f>
        <v>0.0482207388719264</v>
      </c>
      <c r="AT58" s="55">
        <f>Control!$D$21</f>
        <v>0.0482207388719264</v>
      </c>
      <c r="AU58" s="55">
        <f>Control!$D$21</f>
        <v>0.0482207388719264</v>
      </c>
      <c r="AV58" s="53" t="n"/>
      <c r="AW58" s="55">
        <f>Control!$E$21</f>
        <v>0.0482207388719264</v>
      </c>
      <c r="AX58" s="55">
        <f>Control!$E$21</f>
        <v>0.0482207388719264</v>
      </c>
      <c r="AY58" s="55">
        <f>Control!$E$21</f>
        <v>0.0482207388719264</v>
      </c>
      <c r="AZ58" s="55">
        <f>Control!$E$21</f>
        <v>0.0482207388719264</v>
      </c>
      <c r="BA58" s="53" t="n"/>
      <c r="BB58" s="55">
        <f>Control!$F$21</f>
        <v>0.0482207388719264</v>
      </c>
      <c r="BC58" s="55">
        <f>Control!$F$21</f>
        <v>0.0482207388719264</v>
      </c>
      <c r="BD58" s="55">
        <f>Control!$F$21</f>
        <v>0.0482207388719264</v>
      </c>
      <c r="BE58" s="55">
        <f>Control!$F$21</f>
        <v>0.0482207388719264</v>
      </c>
      <c r="BF58" s="53" t="n"/>
      <c r="BG58" s="55" t="n"/>
      <c r="BH58" s="55" t="n"/>
      <c r="BI58" s="55" t="n"/>
      <c r="BJ58" s="55" t="n"/>
      <c r="BK58" s="53" t="n"/>
      <c r="BL58" s="55" t="n"/>
      <c r="BM58" s="55" t="n"/>
      <c r="BN58" s="55" t="n"/>
      <c r="BO58" s="55" t="n"/>
      <c r="BP58" s="53" t="n"/>
      <c r="BQ58" s="55" t="n"/>
      <c r="BR58" s="55" t="n"/>
      <c r="BS58" s="55" t="n"/>
      <c r="BT58" s="55" t="n"/>
      <c r="BU58" s="53" t="n"/>
      <c r="BV58" s="55" t="n"/>
      <c r="BW58" s="55" t="n"/>
      <c r="BX58" s="55" t="n"/>
      <c r="BY58" s="55" t="n"/>
      <c r="BZ58" s="53" t="n"/>
      <c r="CA58" s="55" t="n"/>
      <c r="CB58" s="55" t="n"/>
      <c r="CC58" s="55" t="n"/>
      <c r="CD58" s="55" t="n"/>
      <c r="CE58" s="53" t="n"/>
      <c r="CF58" s="55" t="n"/>
      <c r="CG58" s="55" t="n"/>
      <c r="CH58" s="55" t="n"/>
      <c r="CI58" s="55" t="n"/>
      <c r="CJ58" s="53" t="n"/>
      <c r="CK58" s="55" t="n"/>
      <c r="CL58" s="55" t="n"/>
      <c r="CM58" s="55" t="n"/>
      <c r="CN58" s="55" t="n"/>
      <c r="CO58" s="53" t="n"/>
      <c r="CP58" s="55" t="n"/>
      <c r="CQ58" s="55" t="n"/>
      <c r="CR58" s="55" t="n"/>
      <c r="CS58" s="55" t="n"/>
      <c r="CT58" s="53" t="n"/>
      <c r="CU58" s="55" t="n"/>
      <c r="CV58" s="55" t="n"/>
      <c r="CW58" s="55" t="n"/>
      <c r="CX58" s="55" t="n"/>
      <c r="CY58" s="53" t="n"/>
    </row>
    <row r="59" hidden="1" outlineLevel="1">
      <c r="C59" s="50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  <c r="BJ59" s="12" t="n"/>
      <c r="BK59" s="12" t="n"/>
      <c r="BL59" s="12" t="n"/>
      <c r="BM59" s="12" t="n"/>
      <c r="BN59" s="12" t="n"/>
      <c r="BO59" s="12" t="n"/>
      <c r="BP59" s="12" t="n"/>
      <c r="BQ59" s="12" t="n"/>
      <c r="BR59" s="12" t="n"/>
      <c r="BS59" s="12" t="n"/>
      <c r="BT59" s="12" t="n"/>
      <c r="BU59" s="12" t="n"/>
      <c r="BV59" s="12" t="n"/>
      <c r="BW59" s="12" t="n"/>
      <c r="BX59" s="12" t="n"/>
      <c r="BY59" s="12" t="n"/>
      <c r="BZ59" s="12" t="n"/>
      <c r="CA59" s="12" t="n"/>
      <c r="CB59" s="12" t="n"/>
      <c r="CC59" s="12" t="n"/>
      <c r="CD59" s="12" t="n"/>
      <c r="CE59" s="12" t="n"/>
      <c r="CF59" s="12" t="n"/>
      <c r="CG59" s="12" t="n"/>
      <c r="CH59" s="12" t="n"/>
      <c r="CI59" s="12" t="n"/>
      <c r="CJ59" s="12" t="n"/>
      <c r="CK59" s="12" t="n"/>
      <c r="CL59" s="12" t="n"/>
      <c r="CM59" s="12" t="n"/>
      <c r="CN59" s="12" t="n"/>
      <c r="CO59" s="12" t="n"/>
      <c r="CP59" s="12" t="n"/>
      <c r="CQ59" s="12" t="n"/>
      <c r="CR59" s="12" t="n"/>
      <c r="CS59" s="12" t="n"/>
      <c r="CT59" s="12" t="n"/>
      <c r="CU59" s="12" t="n"/>
      <c r="CV59" s="12" t="n"/>
      <c r="CW59" s="12" t="n"/>
      <c r="CX59" s="12" t="n"/>
      <c r="CY59" s="12" t="n"/>
    </row>
    <row r="60" collapsed="1" customFormat="1" s="32">
      <c r="A60" s="30" t="n"/>
      <c r="B60" s="3" t="n"/>
      <c r="C60" s="33" t="inlineStr">
        <is>
          <t>Operating Profit - EBIT</t>
        </is>
      </c>
      <c r="D60" s="35" t="n"/>
      <c r="E60" s="35" t="n"/>
      <c r="F60" s="35" t="n"/>
      <c r="G60" s="35" t="n"/>
      <c r="H60" s="35" t="n"/>
      <c r="I60" s="35">
        <f>SUM(I56,I57)</f>
        <v>2439</v>
      </c>
      <c r="J60" s="35">
        <f>SUM(J56,J57)</f>
        <v>2243</v>
      </c>
      <c r="K60" s="35">
        <f>SUM(K56,K57)</f>
        <v>1692</v>
      </c>
      <c r="L60" s="35">
        <f>SUM(L56,L57)</f>
        <v>1235</v>
      </c>
      <c r="M60" s="35">
        <f>SUM(I60:L60)</f>
        <v>7609</v>
      </c>
      <c r="N60" s="35">
        <f>SUM(N56,N57)</f>
        <v>2670</v>
      </c>
      <c r="O60" s="35">
        <f>SUM(O56,O57)</f>
        <v>2646</v>
      </c>
      <c r="P60" s="35">
        <f>SUM(P56,P57)</f>
        <v>2956</v>
      </c>
      <c r="Q60" s="35">
        <f>SUM(Q56,Q57)</f>
        <v>2518</v>
      </c>
      <c r="R60" s="35">
        <f>SUM(N60:Q60)</f>
        <v>10790</v>
      </c>
      <c r="S60" s="35">
        <f>SUM(S56,S57)</f>
        <v>3898</v>
      </c>
      <c r="T60" s="35">
        <f>SUM(T56,T57)</f>
        <v>3516</v>
      </c>
      <c r="U60" s="35">
        <f>SUM(U56,U57)</f>
        <v>3026</v>
      </c>
      <c r="V60" s="35">
        <f>SUM(V56,V57)</f>
        <v>0</v>
      </c>
      <c r="W60" s="35">
        <f>SUM(S60:V60)</f>
        <v>10440</v>
      </c>
      <c r="X60" s="35">
        <f>SUM(X56,X57)</f>
        <v>0</v>
      </c>
      <c r="Y60" s="35">
        <f>SUM(Y56,Y57)</f>
        <v>0</v>
      </c>
      <c r="Z60" s="35">
        <f>SUM(Z56,Z57)</f>
        <v>0</v>
      </c>
      <c r="AA60" s="35">
        <f>SUM(AA56,AA57)</f>
        <v>0</v>
      </c>
      <c r="AB60" s="35">
        <f>SUM(X60:AA60)</f>
        <v>0</v>
      </c>
      <c r="AC60" s="35">
        <f>SUM(AC56,AC57)</f>
        <v>0</v>
      </c>
      <c r="AD60" s="35">
        <f>SUM(AD56,AD57)</f>
        <v>0</v>
      </c>
      <c r="AE60" s="35">
        <f>SUM(AE56,AE57)</f>
        <v>0</v>
      </c>
      <c r="AF60" s="35">
        <f>SUM(AF56,AF57)</f>
        <v>0</v>
      </c>
      <c r="AG60" s="35">
        <f>SUM(AC60:AF60)</f>
        <v>0</v>
      </c>
      <c r="AH60" s="35">
        <f>SUM(AH56,AH57)</f>
        <v>0</v>
      </c>
      <c r="AI60" s="35">
        <f>SUM(AI56,AI57)</f>
        <v>0</v>
      </c>
      <c r="AJ60" s="35">
        <f>SUM(AJ56,AJ57)</f>
        <v>0</v>
      </c>
      <c r="AK60" s="35">
        <f>SUM(AK56,AK57)</f>
        <v>0</v>
      </c>
      <c r="AL60" s="35">
        <f>SUM(AL56,AL57)</f>
        <v>0</v>
      </c>
      <c r="AM60" s="35">
        <f>SUM(AM56,AM57)</f>
        <v>0</v>
      </c>
      <c r="AN60" s="35">
        <f>SUM(AN56,AN57)</f>
        <v>0</v>
      </c>
      <c r="AO60" s="35">
        <f>SUM(AO56,AO57)</f>
        <v>0</v>
      </c>
      <c r="AP60" s="35">
        <f>SUM(AP56,AP57)</f>
        <v>0</v>
      </c>
      <c r="AQ60" s="35">
        <f>SUM(AQ56,AQ57)</f>
        <v>0</v>
      </c>
      <c r="AR60" s="35">
        <f>SUM(AR56,AR57)</f>
        <v>0</v>
      </c>
      <c r="AS60" s="35">
        <f>SUM(AS56,AS57)</f>
        <v>0</v>
      </c>
      <c r="AT60" s="35">
        <f>SUM(AT56,AT57)</f>
        <v>0</v>
      </c>
      <c r="AU60" s="35">
        <f>SUM(AU56,AU57)</f>
        <v>0</v>
      </c>
      <c r="AV60" s="35">
        <f>SUM(AV56,AV57)</f>
        <v>0</v>
      </c>
      <c r="AW60" s="35">
        <f>SUM(AW56,AW57)</f>
        <v>0</v>
      </c>
      <c r="AX60" s="35">
        <f>SUM(AX56,AX57)</f>
        <v>0</v>
      </c>
      <c r="AY60" s="35">
        <f>SUM(AY56,AY57)</f>
        <v>0</v>
      </c>
      <c r="AZ60" s="35">
        <f>SUM(AZ56,AZ57)</f>
        <v>0</v>
      </c>
      <c r="BA60" s="35">
        <f>SUM(BA56,BA57)</f>
        <v>0</v>
      </c>
      <c r="BB60" s="35">
        <f>SUM(BB56,BB57)</f>
        <v>0</v>
      </c>
      <c r="BC60" s="35">
        <f>SUM(BC56,BC57)</f>
        <v>0</v>
      </c>
      <c r="BD60" s="35">
        <f>SUM(BD56,BD57)</f>
        <v>0</v>
      </c>
      <c r="BE60" s="35">
        <f>SUM(BE56,BE57)</f>
        <v>0</v>
      </c>
      <c r="BF60" s="35">
        <f>SUM(BF56,BF57)</f>
        <v>0</v>
      </c>
      <c r="BG60" s="35" t="n"/>
      <c r="BH60" s="35" t="n"/>
      <c r="BI60" s="35" t="n"/>
      <c r="BJ60" s="35" t="n"/>
      <c r="BK60" s="35" t="n"/>
      <c r="BL60" s="35" t="n"/>
      <c r="BM60" s="35" t="n"/>
      <c r="BN60" s="35" t="n"/>
      <c r="BO60" s="35" t="n"/>
      <c r="BP60" s="35" t="n"/>
      <c r="BQ60" s="35" t="n"/>
      <c r="BR60" s="35" t="n"/>
      <c r="BS60" s="35" t="n"/>
      <c r="BT60" s="35" t="n"/>
      <c r="BU60" s="35" t="n"/>
      <c r="BV60" s="35" t="n"/>
      <c r="BW60" s="35" t="n"/>
      <c r="BX60" s="35" t="n"/>
      <c r="BY60" s="35" t="n"/>
      <c r="BZ60" s="35" t="n"/>
      <c r="CA60" s="35" t="n"/>
      <c r="CB60" s="35" t="n"/>
      <c r="CC60" s="35" t="n"/>
      <c r="CD60" s="35" t="n"/>
      <c r="CE60" s="35" t="n"/>
      <c r="CF60" s="35" t="n"/>
      <c r="CG60" s="35" t="n"/>
      <c r="CH60" s="35" t="n"/>
      <c r="CI60" s="35" t="n"/>
      <c r="CJ60" s="35" t="n"/>
      <c r="CK60" s="35" t="n"/>
      <c r="CL60" s="35" t="n"/>
      <c r="CM60" s="35" t="n"/>
      <c r="CN60" s="35" t="n"/>
      <c r="CO60" s="35" t="n"/>
      <c r="CP60" s="35" t="n"/>
      <c r="CQ60" s="35" t="n"/>
      <c r="CR60" s="35" t="n"/>
      <c r="CS60" s="35" t="n"/>
      <c r="CT60" s="35" t="n"/>
      <c r="CU60" s="35" t="n"/>
      <c r="CV60" s="35" t="n"/>
      <c r="CW60" s="35" t="n"/>
      <c r="CX60" s="35" t="n"/>
      <c r="CY60" s="35" t="n"/>
    </row>
    <row r="61">
      <c r="C61" s="14" t="inlineStr">
        <is>
          <t>Interest Expense</t>
        </is>
      </c>
      <c r="D61" s="46" t="n"/>
      <c r="E61" s="46" t="n"/>
      <c r="F61" s="46" t="n"/>
      <c r="G61" s="46" t="n"/>
      <c r="H61" s="12" t="n"/>
      <c r="I61" s="46">
        <f>'Inputs (2)'!D8</f>
        <v>-268</v>
      </c>
      <c r="J61" s="46">
        <f>'Inputs (2)'!E8</f>
        <v>-244</v>
      </c>
      <c r="K61" s="46">
        <f>'Inputs (2)'!F8</f>
        <v>-210</v>
      </c>
      <c r="L61" s="46">
        <f>'Inputs (2)'!G8</f>
        <v>-229</v>
      </c>
      <c r="M61" s="12">
        <f>'Inputs (2)'!H8</f>
        <v>-951</v>
      </c>
      <c r="N61" s="46">
        <f>'Inputs (2)'!I8</f>
        <v>-187</v>
      </c>
      <c r="O61" s="46">
        <f>'Inputs (2)'!J8</f>
        <v>-296</v>
      </c>
      <c r="P61" s="46">
        <f>'Inputs (2)'!K8</f>
        <v>-349</v>
      </c>
      <c r="Q61" s="46">
        <f>'Inputs (2)'!L8</f>
        <v>-479</v>
      </c>
      <c r="R61" s="12">
        <f>'Inputs (2)'!M8</f>
        <v>-1311</v>
      </c>
      <c r="S61" s="46">
        <f>'Inputs (2)'!N8</f>
        <v>-569</v>
      </c>
      <c r="T61" s="46">
        <f>'Inputs (2)'!O8</f>
        <v>-623</v>
      </c>
      <c r="U61" s="46">
        <f>'Inputs (2)'!P8</f>
        <v>-782</v>
      </c>
      <c r="V61" s="46">
        <f>'Inputs (2)'!Q8</f>
        <v>-802</v>
      </c>
      <c r="W61" s="12">
        <f>'Inputs (2)'!R8</f>
        <v>-2776</v>
      </c>
      <c r="X61" s="46">
        <f>'Inputs (2)'!S8</f>
        <v>-836</v>
      </c>
      <c r="Y61" s="46">
        <f>'Inputs (2)'!T8</f>
        <v>-840</v>
      </c>
      <c r="Z61" s="46">
        <f>'Inputs (2)'!U8</f>
        <v>-870</v>
      </c>
      <c r="AA61" s="46">
        <f>'Inputs (2)'!V8</f>
        <v>-829</v>
      </c>
      <c r="AB61" s="12">
        <f>'Inputs (2)'!W8</f>
        <v>-3375</v>
      </c>
      <c r="AC61" s="46">
        <f>'Inputs (2)'!X8</f>
        <v>-784</v>
      </c>
      <c r="AD61" s="46">
        <f>'Inputs (2)'!Y8</f>
        <v>-794</v>
      </c>
      <c r="AE61" s="46">
        <f>'Inputs (2)'!Z8</f>
        <v>-762</v>
      </c>
      <c r="AF61" s="46">
        <f>'Inputs (2)'!AA8</f>
        <v>-719</v>
      </c>
      <c r="AG61" s="12">
        <f>'Inputs (2)'!AB8</f>
        <v>-3059</v>
      </c>
      <c r="AH61" s="12">
        <f>'Inputs (2)'!AC8</f>
        <v>-712</v>
      </c>
      <c r="AI61" s="12">
        <f>'Inputs (2)'!AD8</f>
        <v>-710</v>
      </c>
      <c r="AJ61" s="12" t="str">
        <f>IF(Control!$E$9="","",-AI79*Control!$E$9/4)</f>
        <v/>
      </c>
      <c r="AK61" s="12" t="str">
        <f>IF(Control!$E$9="","",-AJ79*Control!$E$9/4)</f>
        <v/>
      </c>
      <c r="AL61" s="12">
        <f>SUM(AH61:AK61)</f>
        <v>-1422</v>
      </c>
      <c r="AM61" s="12" t="str">
        <f>IF(Control!$E$9="","",-AL79*Control!$E$9/4)</f>
        <v/>
      </c>
      <c r="AN61" s="12" t="str">
        <f>IF(Control!$E$9="","",-AM79*Control!$E$9/4)</f>
        <v/>
      </c>
      <c r="AO61" s="12" t="str">
        <f>IF(Control!$E$9="","",-AN79*Control!$E$9/4)</f>
        <v/>
      </c>
      <c r="AP61" s="12" t="str">
        <f>IF(Control!$E$9="","",-AO79*Control!$E$9/4)</f>
        <v/>
      </c>
      <c r="AQ61" s="12">
        <f>SUM(AM61:AP61)</f>
        <v>0</v>
      </c>
      <c r="AR61" s="12" t="str">
        <f>IF(Control!$E$9="","",-AQ79*Control!$E$9/4)</f>
        <v/>
      </c>
      <c r="AS61" s="12" t="str">
        <f>IF(Control!$E$9="","",-AR79*Control!$E$9/4)</f>
        <v/>
      </c>
      <c r="AT61" s="12" t="str">
        <f>IF(Control!$E$9="","",-AS79*Control!$E$9/4)</f>
        <v/>
      </c>
      <c r="AU61" s="12" t="str">
        <f>IF(Control!$E$9="","",-AT79*Control!$E$9/4)</f>
        <v/>
      </c>
      <c r="AV61" s="12">
        <f>SUM(AR61:AU61)</f>
        <v>0</v>
      </c>
      <c r="AW61" s="12" t="str">
        <f>IF(Control!$E$9="","",-AV79*Control!$E$9/4)</f>
        <v/>
      </c>
      <c r="AX61" s="12" t="str">
        <f>IF(Control!$E$9="","",-AW79*Control!$E$9/4)</f>
        <v/>
      </c>
      <c r="AY61" s="12" t="str">
        <f>IF(Control!$E$9="","",-AX79*Control!$E$9/4)</f>
        <v/>
      </c>
      <c r="AZ61" s="12" t="str">
        <f>IF(Control!$E$9="","",-AY79*Control!$E$9/4)</f>
        <v/>
      </c>
      <c r="BA61" s="12">
        <f>SUM(AW61:AZ61)</f>
        <v>0</v>
      </c>
      <c r="BB61" s="12" t="str">
        <f>IF(Control!$E$9="","",-BA79*Control!$E$9/4)</f>
        <v/>
      </c>
      <c r="BC61" s="12" t="str">
        <f>IF(Control!$E$9="","",-BB79*Control!$E$9/4)</f>
        <v/>
      </c>
      <c r="BD61" s="12" t="str">
        <f>IF(Control!$E$9="","",-BC79*Control!$E$9/4)</f>
        <v/>
      </c>
      <c r="BE61" s="12" t="str">
        <f>IF(Control!$E$9="","",-BD79*Control!$E$9/4)</f>
        <v/>
      </c>
      <c r="BF61" s="12">
        <f>SUM(BB61:BE61)</f>
        <v>0</v>
      </c>
      <c r="BG61" s="12" t="n"/>
      <c r="BH61" s="12" t="n"/>
      <c r="BI61" s="12" t="n"/>
      <c r="BJ61" s="12" t="n"/>
      <c r="BK61" s="12" t="n"/>
      <c r="BL61" s="12" t="n"/>
      <c r="BM61" s="12" t="n"/>
      <c r="BN61" s="12" t="n"/>
      <c r="BO61" s="12" t="n"/>
      <c r="BP61" s="12" t="n"/>
      <c r="BQ61" s="12" t="n"/>
      <c r="BR61" s="12" t="n"/>
      <c r="BS61" s="12" t="n"/>
      <c r="BT61" s="12" t="n"/>
      <c r="BU61" s="12" t="n"/>
      <c r="BV61" s="12" t="n"/>
      <c r="BW61" s="12" t="n"/>
      <c r="BX61" s="12" t="n"/>
      <c r="BY61" s="12" t="n"/>
      <c r="BZ61" s="12" t="n"/>
      <c r="CA61" s="12" t="n"/>
      <c r="CB61" s="12" t="n"/>
      <c r="CC61" s="12" t="n"/>
      <c r="CD61" s="12" t="n"/>
      <c r="CE61" s="12" t="n"/>
      <c r="CF61" s="12" t="n"/>
      <c r="CG61" s="12" t="n"/>
      <c r="CH61" s="12" t="n"/>
      <c r="CI61" s="12" t="n"/>
      <c r="CJ61" s="12" t="n"/>
      <c r="CK61" s="12" t="n"/>
      <c r="CL61" s="12" t="n"/>
      <c r="CM61" s="12" t="n"/>
      <c r="CN61" s="12" t="n"/>
      <c r="CO61" s="12" t="n"/>
      <c r="CP61" s="12" t="n"/>
      <c r="CQ61" s="12" t="n"/>
      <c r="CR61" s="12" t="n"/>
      <c r="CS61" s="12" t="n"/>
      <c r="CT61" s="12" t="n"/>
      <c r="CU61" s="12" t="n"/>
      <c r="CV61" s="12" t="n"/>
      <c r="CW61" s="12" t="n"/>
      <c r="CX61" s="12" t="n"/>
      <c r="CY61" s="12" t="n"/>
    </row>
    <row r="62" hidden="1" outlineLevel="1">
      <c r="C62" s="50" t="inlineStr">
        <is>
          <t>% of Debt</t>
        </is>
      </c>
      <c r="D62" s="53" t="n"/>
      <c r="E62" s="53" t="n"/>
      <c r="F62" s="53" t="n"/>
      <c r="G62" s="53" t="n"/>
      <c r="H62" s="12" t="n"/>
      <c r="I62" s="53">
        <f>IFERROR(-I61/SUM(I199+I204),"")</f>
        <v>0.008036945960535</v>
      </c>
      <c r="J62" s="53">
        <f>IFERROR(-J61/SUM(J199+J204),"")</f>
        <v>0.00571642770124637</v>
      </c>
      <c r="K62" s="53">
        <f>IFERROR(-K61/SUM(K199+K204),"")</f>
        <v>0.00479375442280914</v>
      </c>
      <c r="L62" s="53">
        <f>IFERROR(-L61/SUM(L199+L204),"")</f>
        <v>0.00522497033859633</v>
      </c>
      <c r="M62" s="12" t="n"/>
      <c r="N62" s="53">
        <f>IFERROR(-N61/SUM(N199+N204),"")</f>
        <v>0.00416852429781543</v>
      </c>
      <c r="O62" s="53">
        <f>IFERROR(-O61/SUM(O199+O204),"")</f>
        <v>0.0208803611738149</v>
      </c>
      <c r="P62" s="53">
        <f>IFERROR(-P61/SUM(P199+P204),"")</f>
        <v>0.0277160101651842</v>
      </c>
      <c r="Q62" s="53">
        <f>IFERROR(-Q61/SUM(Q199+Q204),"")</f>
        <v>0.0339019038856253</v>
      </c>
      <c r="R62" s="12" t="n"/>
      <c r="S62" s="53">
        <f>IFERROR(-S61/SUM(S199+S204),"")</f>
        <v>0.0332573499327839</v>
      </c>
      <c r="T62" s="53">
        <f>IFERROR(-T61/SUM(T199+T204),"")</f>
        <v>0.0363413638219682</v>
      </c>
      <c r="U62" s="53">
        <f>IFERROR(-U61/SUM(U199+U204),"")</f>
        <v>0.0435921734767824</v>
      </c>
      <c r="V62" s="53">
        <f>IFERROR(-V61/SUM(V199+V204),"")</f>
        <v>0.0468540047905591</v>
      </c>
      <c r="W62" s="12" t="n"/>
      <c r="X62" s="53">
        <f>IFERROR(-X61/SUM(X199+X204),"")</f>
        <v>0.0472343070229957</v>
      </c>
      <c r="Y62" s="53">
        <f>IFERROR(-Y61/SUM(Y199+Y204),"")</f>
        <v>0.0549234994115339</v>
      </c>
      <c r="Z62" s="53">
        <f>IFERROR(-Z61/SUM(Z199+Z204),"")</f>
        <v>0.0642872977166925</v>
      </c>
      <c r="AA62" s="53">
        <f>IFERROR(-AA61/SUM(AA199+AA204),"")</f>
        <v>0.0647100148310046</v>
      </c>
      <c r="AB62" s="12" t="n"/>
      <c r="AC62" s="53">
        <f>IFERROR(-AC61/SUM(AC199+AC204),"")</f>
        <v>0.0491597692500627</v>
      </c>
      <c r="AD62" s="53">
        <f>IFERROR(-AD61/SUM(AD199+AD204),"")</f>
        <v>0.0543574998288492</v>
      </c>
      <c r="AE62" s="53">
        <f>IFERROR(-AE61/SUM(AE199+AE204),"")</f>
        <v>0.055233400985793</v>
      </c>
      <c r="AF62" s="55">
        <f>IFERROR(-AF61/SUM(AF199+AF204),"")</f>
        <v>0.049958310172318</v>
      </c>
      <c r="AG62" s="12" t="n"/>
      <c r="AH62" s="11">
        <f>IFERROR(-AH61/SUM(AH199+AH204),"")</f>
        <v>0.0455475946775844</v>
      </c>
      <c r="AI62" s="11">
        <f>IFERROR(-AI61/SUM(AI199+AI204),"")</f>
        <v>0.0414840782938942</v>
      </c>
      <c r="AJ62" s="11" t="str">
        <f>IFERROR(Control!$E$9,0)</f>
        <v/>
      </c>
      <c r="AK62" s="11" t="str">
        <f>IFERROR(Control!$E$9,0)</f>
        <v/>
      </c>
      <c r="AL62" s="12" t="n"/>
      <c r="AM62" s="11" t="str">
        <f>IFERROR(Control!$E$9,0)</f>
        <v/>
      </c>
      <c r="AN62" s="11" t="str">
        <f>IFERROR(Control!$E$9,0)</f>
        <v/>
      </c>
      <c r="AO62" s="11" t="str">
        <f>IFERROR(Control!$E$9,0)</f>
        <v/>
      </c>
      <c r="AP62" s="11" t="str">
        <f>IFERROR(Control!$E$9,0)</f>
        <v/>
      </c>
      <c r="AQ62" s="12" t="n"/>
      <c r="AR62" s="11" t="str">
        <f>IFERROR(Control!$E$9,0)</f>
        <v/>
      </c>
      <c r="AS62" s="11" t="str">
        <f>IFERROR(Control!$E$9,0)</f>
        <v/>
      </c>
      <c r="AT62" s="11" t="str">
        <f>IFERROR(Control!$E$9,0)</f>
        <v/>
      </c>
      <c r="AU62" s="11" t="str">
        <f>IFERROR(Control!$E$9,0)</f>
        <v/>
      </c>
      <c r="AV62" s="12" t="n"/>
      <c r="AW62" s="11" t="str">
        <f>IFERROR(Control!$E$9,0)</f>
        <v/>
      </c>
      <c r="AX62" s="11" t="str">
        <f>IFERROR(Control!$E$9,0)</f>
        <v/>
      </c>
      <c r="AY62" s="11" t="str">
        <f>IFERROR(Control!$E$9,0)</f>
        <v/>
      </c>
      <c r="AZ62" s="11" t="str">
        <f>IFERROR(Control!$E$9,0)</f>
        <v/>
      </c>
      <c r="BA62" s="12" t="n"/>
      <c r="BB62" s="11" t="str">
        <f>IFERROR(Control!$E$9,0)</f>
        <v/>
      </c>
      <c r="BC62" s="11" t="str">
        <f>IFERROR(Control!$E$9,0)</f>
        <v/>
      </c>
      <c r="BD62" s="11" t="str">
        <f>IFERROR(Control!$E$9,0)</f>
        <v/>
      </c>
      <c r="BE62" s="11" t="str">
        <f>IFERROR(Control!$E$9,0)</f>
        <v/>
      </c>
      <c r="BF62" s="12" t="n"/>
      <c r="BG62" s="11" t="n"/>
      <c r="BH62" s="11" t="n"/>
      <c r="BI62" s="11" t="n"/>
      <c r="BJ62" s="11" t="n"/>
      <c r="BK62" s="12" t="n"/>
      <c r="BL62" s="11" t="n"/>
      <c r="BM62" s="11" t="n"/>
      <c r="BN62" s="11" t="n"/>
      <c r="BO62" s="11" t="n"/>
      <c r="BP62" s="12" t="n"/>
      <c r="BQ62" s="11" t="n"/>
      <c r="BR62" s="11" t="n"/>
      <c r="BS62" s="11" t="n"/>
      <c r="BT62" s="11" t="n"/>
      <c r="BU62" s="12" t="n"/>
      <c r="BV62" s="11" t="n"/>
      <c r="BW62" s="11" t="n"/>
      <c r="BX62" s="11" t="n"/>
      <c r="BY62" s="11" t="n"/>
      <c r="BZ62" s="12" t="n"/>
      <c r="CA62" s="11" t="n"/>
      <c r="CB62" s="11" t="n"/>
      <c r="CC62" s="11" t="n"/>
      <c r="CD62" s="11" t="n"/>
      <c r="CE62" s="12" t="n"/>
      <c r="CF62" s="11" t="n"/>
      <c r="CG62" s="11" t="n"/>
      <c r="CH62" s="11" t="n"/>
      <c r="CI62" s="11" t="n"/>
      <c r="CJ62" s="12" t="n"/>
      <c r="CK62" s="11" t="n"/>
      <c r="CL62" s="11" t="n"/>
      <c r="CM62" s="11" t="n"/>
      <c r="CN62" s="11" t="n"/>
      <c r="CO62" s="12" t="n"/>
      <c r="CP62" s="11" t="n"/>
      <c r="CQ62" s="11" t="n"/>
      <c r="CR62" s="11" t="n"/>
      <c r="CS62" s="11" t="n"/>
      <c r="CT62" s="12" t="n"/>
      <c r="CU62" s="11" t="n"/>
      <c r="CV62" s="11" t="n"/>
      <c r="CW62" s="11" t="n"/>
      <c r="CX62" s="11" t="n"/>
      <c r="CY62" s="12" t="n"/>
    </row>
    <row r="63" hidden="1" outlineLevel="1">
      <c r="C63" s="50" t="inlineStr">
        <is>
          <t>%CDI</t>
        </is>
      </c>
      <c r="D63" s="11" t="n"/>
      <c r="E63" s="11" t="n"/>
      <c r="F63" s="11" t="n"/>
      <c r="G63" s="11" t="n"/>
      <c r="H63" s="12" t="n"/>
      <c r="I63" s="11" t="n"/>
      <c r="J63" s="11" t="n"/>
      <c r="K63" s="11" t="n"/>
      <c r="L63" s="11" t="n"/>
      <c r="M63" s="12" t="n"/>
      <c r="N63" s="11" t="n"/>
      <c r="O63" s="11" t="n"/>
      <c r="P63" s="11" t="n"/>
      <c r="Q63" s="11" t="n"/>
      <c r="R63" s="12" t="n"/>
      <c r="S63" s="11" t="n"/>
      <c r="T63" s="11" t="n"/>
      <c r="U63" s="11" t="n"/>
      <c r="V63" s="11" t="n"/>
      <c r="W63" s="12" t="n"/>
      <c r="X63" s="11" t="n"/>
      <c r="Y63" s="11" t="n"/>
      <c r="Z63" s="11" t="n"/>
      <c r="AA63" s="11" t="n"/>
      <c r="AB63" s="12" t="n"/>
      <c r="AC63" s="11" t="n"/>
      <c r="AD63" s="11" t="n"/>
      <c r="AE63" s="11" t="n"/>
      <c r="AF63" s="11" t="n"/>
      <c r="AG63" s="12" t="n"/>
      <c r="AH63" s="11" t="n"/>
      <c r="AI63" s="11" t="n"/>
      <c r="AJ63" s="11" t="n"/>
      <c r="AK63" s="11" t="n"/>
      <c r="AL63" s="12" t="n"/>
      <c r="AM63" s="11" t="n"/>
      <c r="AN63" s="11" t="n"/>
      <c r="AO63" s="11" t="n"/>
      <c r="AP63" s="11" t="n"/>
      <c r="AQ63" s="12" t="n"/>
      <c r="AR63" s="11" t="n"/>
      <c r="AS63" s="11" t="n"/>
      <c r="AT63" s="11" t="n"/>
      <c r="AU63" s="11" t="n"/>
      <c r="AV63" s="12" t="n"/>
      <c r="AW63" s="11" t="n"/>
      <c r="AX63" s="11" t="n"/>
      <c r="AY63" s="11" t="n"/>
      <c r="AZ63" s="11" t="n"/>
      <c r="BA63" s="12" t="n"/>
      <c r="BB63" s="11" t="n"/>
      <c r="BC63" s="11" t="n"/>
      <c r="BD63" s="11" t="n"/>
      <c r="BE63" s="11" t="n"/>
      <c r="BF63" s="12" t="n"/>
      <c r="BG63" s="11" t="n"/>
      <c r="BH63" s="11" t="n"/>
      <c r="BI63" s="11" t="n"/>
      <c r="BJ63" s="11" t="n"/>
      <c r="BK63" s="12" t="n"/>
      <c r="BL63" s="11" t="n"/>
      <c r="BM63" s="11" t="n"/>
      <c r="BN63" s="11" t="n"/>
      <c r="BO63" s="11" t="n"/>
      <c r="BP63" s="12" t="n"/>
      <c r="BQ63" s="11" t="n"/>
      <c r="BR63" s="11" t="n"/>
      <c r="BS63" s="11" t="n"/>
      <c r="BT63" s="11" t="n"/>
      <c r="BU63" s="12" t="n"/>
      <c r="BV63" s="11" t="n"/>
      <c r="BW63" s="11" t="n"/>
      <c r="BX63" s="11" t="n"/>
      <c r="BY63" s="11" t="n"/>
      <c r="BZ63" s="12" t="n"/>
      <c r="CA63" s="11" t="n"/>
      <c r="CB63" s="11" t="n"/>
      <c r="CC63" s="11" t="n"/>
      <c r="CD63" s="11" t="n"/>
      <c r="CE63" s="12" t="n"/>
      <c r="CF63" s="11" t="n"/>
      <c r="CG63" s="11" t="n"/>
      <c r="CH63" s="11" t="n"/>
      <c r="CI63" s="11" t="n"/>
      <c r="CJ63" s="12" t="n"/>
      <c r="CK63" s="11" t="n"/>
      <c r="CL63" s="11" t="n"/>
      <c r="CM63" s="11" t="n"/>
      <c r="CN63" s="11" t="n"/>
      <c r="CO63" s="12" t="n"/>
      <c r="CP63" s="11" t="n"/>
      <c r="CQ63" s="11" t="n"/>
      <c r="CR63" s="11" t="n"/>
      <c r="CS63" s="11" t="n"/>
      <c r="CT63" s="12" t="n"/>
      <c r="CU63" s="11" t="n"/>
      <c r="CV63" s="11" t="n"/>
      <c r="CW63" s="11" t="n"/>
      <c r="CX63" s="11" t="n"/>
      <c r="CY63" s="12" t="n"/>
    </row>
    <row r="64" hidden="1" outlineLevel="1">
      <c r="C64" s="57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>
      <c r="C65" s="57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7" t="inlineStr">
        <is>
          <t>RECEITA FINANCEIRA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7" t="inlineStr">
        <is>
          <t>DESPESA FINANCEIRA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  <c r="BN67" s="12" t="n"/>
      <c r="BO67" s="12" t="n"/>
      <c r="BP67" s="12" t="n"/>
      <c r="BQ67" s="12" t="n"/>
      <c r="BR67" s="12" t="n"/>
      <c r="BS67" s="12" t="n"/>
      <c r="BT67" s="12" t="n"/>
      <c r="BU67" s="12" t="n"/>
      <c r="BV67" s="12" t="n"/>
      <c r="BW67" s="12" t="n"/>
      <c r="BX67" s="12" t="n"/>
      <c r="BY67" s="12" t="n"/>
      <c r="BZ67" s="12" t="n"/>
      <c r="CA67" s="12" t="n"/>
      <c r="CB67" s="12" t="n"/>
      <c r="CC67" s="12" t="n"/>
      <c r="CD67" s="12" t="n"/>
      <c r="CE67" s="12" t="n"/>
      <c r="CF67" s="12" t="n"/>
      <c r="CG67" s="12" t="n"/>
      <c r="CH67" s="12" t="n"/>
      <c r="CI67" s="12" t="n"/>
      <c r="CJ67" s="12" t="n"/>
      <c r="CK67" s="12" t="n"/>
      <c r="CL67" s="12" t="n"/>
      <c r="CM67" s="12" t="n"/>
      <c r="CN67" s="12" t="n"/>
      <c r="CO67" s="12" t="n"/>
      <c r="CP67" s="12" t="n"/>
      <c r="CQ67" s="12" t="n"/>
      <c r="CR67" s="12" t="n"/>
      <c r="CS67" s="12" t="n"/>
      <c r="CT67" s="12" t="n"/>
      <c r="CU67" s="12" t="n"/>
      <c r="CV67" s="12" t="n"/>
      <c r="CW67" s="12" t="n"/>
      <c r="CX67" s="12" t="n"/>
      <c r="CY67" s="12" t="n"/>
    </row>
    <row r="68" hidden="1" outlineLevel="1">
      <c r="C68" s="57" t="inlineStr">
        <is>
          <t>OUTROS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inlineStr">
        <is>
          <t>Cash and equivalents (inc. investment securities)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Interest on cash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Average interest rate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% CDI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Current portion of long-term debt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Short term debt (Revolving credit facility)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Long term debt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Convertible debt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Total debt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Interest expense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Average interest rate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Stake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PRE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CDI+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Spread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PRE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CDI+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RECEITAS FINANCEIRAS - Rendimentos de aplicações financeiras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RECEITAS FINANCEIRAS - Variação cambial ativa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RECEITAS FINANCEIRAS - Atualização de contas a pagar por aquisição de empresas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RECEITAS FINANCEIRAS - Resultado positivo com instrumentos derivativos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RECEITAS FINANCEIRAS - Descontos obtidos de fornecedores por antecipação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Atualização monetária sobre Exclusão ICMS da base de PIS/COFINS (nota explicativa nº 7)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RECEITAS FINANCEIRAS - Outras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DESPESAS FINANCEIRAS - Encargos sobre empréstimos, financiamentos e debêntures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DESPESAS FINANCEIRAS - Variação cambial passiva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DESPESAS FINANCEIRAS - Resultado negativo com instrumentos derivativos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DESPESAS FINANCEIRAS - Juros sobre arrendamento - IFRS16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DESPESAS FINANCEIRAS - Despesas bancárias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Despesas com obtenção de empréstimos e financiamentos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Atualização de contas a pagar por aquisição de empresas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Outras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CHECK [EX IFRS-16]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collapsed="1">
      <c r="C110" s="14" t="inlineStr">
        <is>
          <t>Nonoperating Income / (Loss)</t>
        </is>
      </c>
      <c r="D110" s="46" t="n"/>
      <c r="E110" s="46" t="n"/>
      <c r="F110" s="46" t="n"/>
      <c r="G110" s="46" t="n"/>
      <c r="H110" s="12" t="n"/>
      <c r="I110" s="46">
        <f>'Inputs (2)'!D9</f>
        <v>141</v>
      </c>
      <c r="J110" s="46">
        <f>'Inputs (2)'!E9</f>
        <v>151</v>
      </c>
      <c r="K110" s="46">
        <f>'Inputs (2)'!F9</f>
        <v>131</v>
      </c>
      <c r="L110" s="46">
        <f>'Inputs (2)'!G9</f>
        <v>145</v>
      </c>
      <c r="M110" s="12">
        <f>'Inputs (2)'!H9</f>
        <v>568</v>
      </c>
      <c r="N110" s="46">
        <f>'Inputs (2)'!I9</f>
        <v>69</v>
      </c>
      <c r="O110" s="46">
        <f>'Inputs (2)'!J9</f>
        <v>189</v>
      </c>
      <c r="P110" s="46">
        <f>'Inputs (2)'!K9</f>
        <v>278</v>
      </c>
      <c r="Q110" s="46">
        <f>'Inputs (2)'!L9</f>
        <v>454</v>
      </c>
      <c r="R110" s="12">
        <f>'Inputs (2)'!M9</f>
        <v>990</v>
      </c>
      <c r="S110" s="46">
        <f>'Inputs (2)'!N9</f>
        <v>519</v>
      </c>
      <c r="T110" s="46">
        <f>'Inputs (2)'!O9</f>
        <v>713</v>
      </c>
      <c r="U110" s="46">
        <f>'Inputs (2)'!P9</f>
        <v>829</v>
      </c>
      <c r="V110" s="46">
        <f>'Inputs (2)'!Q9</f>
        <v>3017</v>
      </c>
      <c r="W110" s="12">
        <f>'Inputs (2)'!R9</f>
        <v>5078</v>
      </c>
      <c r="X110" s="46">
        <f>'Inputs (2)'!S9</f>
        <v>3953</v>
      </c>
      <c r="Y110" s="46">
        <f>'Inputs (2)'!T9</f>
        <v>3195</v>
      </c>
      <c r="Z110" s="46">
        <f>'Inputs (2)'!U9</f>
        <v>2389</v>
      </c>
      <c r="AA110" s="46">
        <f>'Inputs (2)'!V9</f>
        <v>1724</v>
      </c>
      <c r="AB110" s="12">
        <f>'Inputs (2)'!W9</f>
        <v>11261</v>
      </c>
      <c r="AC110" s="46">
        <f>'Inputs (2)'!X9</f>
        <v>3121</v>
      </c>
      <c r="AD110" s="46">
        <f>'Inputs (2)'!Y9</f>
        <v>2394</v>
      </c>
      <c r="AE110" s="46">
        <f>'Inputs (2)'!Z9</f>
        <v>2187</v>
      </c>
      <c r="AF110" s="46">
        <f>'Inputs (2)'!AA9</f>
        <v>1555</v>
      </c>
      <c r="AG110" s="12">
        <f>'Inputs (2)'!AB9</f>
        <v>9257</v>
      </c>
      <c r="AH110" s="12">
        <f>'Inputs (2)'!AC9</f>
        <v>3005</v>
      </c>
      <c r="AI110" s="12">
        <f>'Inputs (2)'!AD9</f>
        <v>2592</v>
      </c>
      <c r="AJ110" s="12">
        <f>AJ15*Control!$B$23</f>
        <v>2568.05025884846</v>
      </c>
      <c r="AK110" s="12">
        <f>AK15*Control!$B$23</f>
        <v>1991.40963674298</v>
      </c>
      <c r="AL110" s="12">
        <f>SUM(AH110:AK110)</f>
        <v>10156.4598955914</v>
      </c>
      <c r="AM110" s="12">
        <f>AM15*Control!$C$23</f>
        <v>2770.07131761699</v>
      </c>
      <c r="AN110" s="12">
        <f>AN15*Control!$C$23</f>
        <v>2612.39129123458</v>
      </c>
      <c r="AO110" s="12">
        <f>AO15*Control!$C$23</f>
        <v>2606.52997208248</v>
      </c>
      <c r="AP110" s="12">
        <f>AP15*Control!$C$23</f>
        <v>2021.24895608236</v>
      </c>
      <c r="AQ110" s="12">
        <f>SUM(AM110:AP110)</f>
        <v>10010.2415370164</v>
      </c>
      <c r="AR110" s="12">
        <f>AR15*Control!$D$23</f>
        <v>2797.72776159577</v>
      </c>
      <c r="AS110" s="12">
        <f>AS15*Control!$D$23</f>
        <v>2638.47345487318</v>
      </c>
      <c r="AT110" s="12">
        <f>AT15*Control!$D$23</f>
        <v>2632.55361620075</v>
      </c>
      <c r="AU110" s="12">
        <f>AU15*Control!$D$23</f>
        <v>2041.42914356184</v>
      </c>
      <c r="AV110" s="12">
        <f>SUM(AR110:AU110)</f>
        <v>10110.1839762315</v>
      </c>
      <c r="AW110" s="12">
        <f>AW15*Control!$E$23</f>
        <v>2811.67168922186</v>
      </c>
      <c r="AX110" s="12">
        <f>AX15*Control!$E$23</f>
        <v>2651.62365604826</v>
      </c>
      <c r="AY110" s="12">
        <f>AY15*Control!$E$23</f>
        <v>2645.67431278889</v>
      </c>
      <c r="AZ110" s="12">
        <f>AZ15*Control!$E$23</f>
        <v>2051.60366469372</v>
      </c>
      <c r="BA110" s="12">
        <f>SUM(AW110:AZ110)</f>
        <v>10160.5733227527</v>
      </c>
      <c r="BB110" s="12">
        <f>BB15*Control!$F$23</f>
        <v>2811.67168922186</v>
      </c>
      <c r="BC110" s="12">
        <f>BC15*Control!$F$23</f>
        <v>2651.62365604826</v>
      </c>
      <c r="BD110" s="12">
        <f>BD15*Control!$F$23</f>
        <v>2645.67431278889</v>
      </c>
      <c r="BE110" s="12">
        <f>BE15*Control!$F$23</f>
        <v>2051.60366469372</v>
      </c>
      <c r="BF110" s="12">
        <f>SUM(BB110:BE110)</f>
        <v>10160.5733227527</v>
      </c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0" t="inlineStr">
        <is>
          <t>Resultado Não Recorrente</t>
        </is>
      </c>
      <c r="D112" s="11" t="n"/>
      <c r="E112" s="11" t="n"/>
      <c r="F112" s="11" t="n"/>
      <c r="G112" s="11" t="n"/>
      <c r="H112" s="12" t="n"/>
      <c r="I112" s="11" t="n"/>
      <c r="J112" s="11" t="n"/>
      <c r="K112" s="11" t="n"/>
      <c r="L112" s="11" t="n"/>
      <c r="M112" s="12" t="n"/>
      <c r="N112" s="11" t="n"/>
      <c r="O112" s="11" t="n"/>
      <c r="P112" s="11" t="n"/>
      <c r="Q112" s="11" t="n"/>
      <c r="R112" s="12" t="n"/>
      <c r="S112" s="11" t="n"/>
      <c r="T112" s="11" t="n"/>
      <c r="U112" s="11" t="n"/>
      <c r="V112" s="11" t="n"/>
      <c r="W112" s="12" t="n"/>
      <c r="X112" s="11" t="n"/>
      <c r="Y112" s="11" t="n"/>
      <c r="Z112" s="11" t="n"/>
      <c r="AA112" s="11" t="n"/>
      <c r="AB112" s="12" t="n"/>
      <c r="AC112" s="11" t="n"/>
      <c r="AD112" s="11" t="n"/>
      <c r="AE112" s="11" t="n"/>
      <c r="AF112" s="11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0" t="inlineStr">
        <is>
          <t>Plano de Opção de Compra de Ações</t>
        </is>
      </c>
      <c r="D113" s="11" t="n"/>
      <c r="E113" s="11" t="n"/>
      <c r="F113" s="11" t="n"/>
      <c r="G113" s="11" t="n"/>
      <c r="H113" s="12" t="n"/>
      <c r="I113" s="11" t="n"/>
      <c r="J113" s="11" t="n"/>
      <c r="K113" s="11" t="n"/>
      <c r="L113" s="11" t="n"/>
      <c r="M113" s="12" t="n"/>
      <c r="N113" s="11" t="n"/>
      <c r="O113" s="11" t="n"/>
      <c r="P113" s="11" t="n"/>
      <c r="Q113" s="11" t="n"/>
      <c r="R113" s="12" t="n"/>
      <c r="S113" s="11" t="n"/>
      <c r="T113" s="11" t="n"/>
      <c r="U113" s="11" t="n"/>
      <c r="V113" s="11" t="n"/>
      <c r="W113" s="12" t="n"/>
      <c r="X113" s="11" t="n"/>
      <c r="Y113" s="11" t="n"/>
      <c r="Z113" s="11" t="n"/>
      <c r="AA113" s="11" t="n"/>
      <c r="AB113" s="12" t="n"/>
      <c r="AC113" s="11" t="n"/>
      <c r="AD113" s="11" t="n"/>
      <c r="AE113" s="11" t="n"/>
      <c r="AF113" s="11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0" t="inlineStr">
        <is>
          <t>Baixa Imobilizado</t>
        </is>
      </c>
      <c r="D114" s="11" t="n"/>
      <c r="E114" s="11" t="n"/>
      <c r="F114" s="11" t="n"/>
      <c r="G114" s="11" t="n"/>
      <c r="H114" s="12" t="n"/>
      <c r="I114" s="11" t="n"/>
      <c r="J114" s="11" t="n"/>
      <c r="K114" s="11" t="n"/>
      <c r="L114" s="11" t="n"/>
      <c r="M114" s="12" t="n"/>
      <c r="N114" s="11" t="n"/>
      <c r="O114" s="11" t="n"/>
      <c r="P114" s="11" t="n"/>
      <c r="Q114" s="11" t="n"/>
      <c r="R114" s="12" t="n"/>
      <c r="S114" s="11" t="n"/>
      <c r="T114" s="11" t="n"/>
      <c r="U114" s="11" t="n"/>
      <c r="V114" s="11" t="n"/>
      <c r="W114" s="12" t="n"/>
      <c r="X114" s="11" t="n"/>
      <c r="Y114" s="11" t="n"/>
      <c r="Z114" s="11" t="n"/>
      <c r="AA114" s="11" t="n"/>
      <c r="AB114" s="12" t="n"/>
      <c r="AC114" s="11" t="n"/>
      <c r="AD114" s="11" t="n"/>
      <c r="AE114" s="11" t="n"/>
      <c r="AF114" s="11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collapsed="1" customFormat="1" s="32">
      <c r="A117" s="30" t="n"/>
      <c r="B117" s="3" t="n"/>
      <c r="C117" s="33" t="inlineStr">
        <is>
          <t>Pretax Income - EBT</t>
        </is>
      </c>
      <c r="D117" s="35" t="n"/>
      <c r="E117" s="35" t="n"/>
      <c r="F117" s="35" t="n"/>
      <c r="G117" s="35" t="n"/>
      <c r="H117" s="35" t="n"/>
      <c r="I117" s="35">
        <f>SUM(I60,I61,I110)</f>
        <v>2312</v>
      </c>
      <c r="J117" s="35">
        <f>SUM(J60,J61,J110)</f>
        <v>2150</v>
      </c>
      <c r="K117" s="35">
        <f>SUM(K60,K61,K110)</f>
        <v>1613</v>
      </c>
      <c r="L117" s="35">
        <f>SUM(L60,L61,L110)</f>
        <v>1151</v>
      </c>
      <c r="M117" s="35">
        <f>SUM(I117:L117)</f>
        <v>7226</v>
      </c>
      <c r="N117" s="35">
        <f>SUM(N60,N61,N110)</f>
        <v>2552</v>
      </c>
      <c r="O117" s="35">
        <f>SUM(O60,O61,O110)</f>
        <v>2539</v>
      </c>
      <c r="P117" s="35">
        <f>SUM(P60,P61,P110)</f>
        <v>2885</v>
      </c>
      <c r="Q117" s="35">
        <f>SUM(Q60,Q61,Q110)</f>
        <v>2493</v>
      </c>
      <c r="R117" s="35">
        <f>SUM(N117:Q117)</f>
        <v>10469</v>
      </c>
      <c r="S117" s="35">
        <f>SUM(S60,S61,S110)</f>
        <v>3848</v>
      </c>
      <c r="T117" s="35">
        <f>SUM(T60,T61,T110)</f>
        <v>3606</v>
      </c>
      <c r="U117" s="35">
        <f>SUM(U60,U61,U110)</f>
        <v>3073</v>
      </c>
      <c r="V117" s="35">
        <f>SUM(V60,V61,V110)</f>
        <v>2215</v>
      </c>
      <c r="W117" s="35">
        <f>SUM(S117:V117)</f>
        <v>12742</v>
      </c>
      <c r="X117" s="35">
        <f>SUM(X60,X61,X110)</f>
        <v>3117</v>
      </c>
      <c r="Y117" s="35">
        <f>SUM(Y60,Y61,Y110)</f>
        <v>2355</v>
      </c>
      <c r="Z117" s="35">
        <f>SUM(Z60,Z61,Z110)</f>
        <v>1519</v>
      </c>
      <c r="AA117" s="35">
        <f>SUM(AA60,AA61,AA110)</f>
        <v>895</v>
      </c>
      <c r="AB117" s="35">
        <f>SUM(X117:AA117)</f>
        <v>7886</v>
      </c>
      <c r="AC117" s="35">
        <f>SUM(AC60,AC61,AC110)</f>
        <v>2337</v>
      </c>
      <c r="AD117" s="35">
        <f>SUM(AD60,AD61,AD110)</f>
        <v>1600</v>
      </c>
      <c r="AE117" s="35">
        <f>SUM(AE60,AE61,AE110)</f>
        <v>1425</v>
      </c>
      <c r="AF117" s="35">
        <f>SUM(AF60,AF61,AF110)</f>
        <v>836</v>
      </c>
      <c r="AG117" s="35">
        <f>SUM(AC117:AF117)</f>
        <v>6198</v>
      </c>
      <c r="AH117" s="35">
        <f>SUM(AH60,AH61,AH110)</f>
        <v>2293</v>
      </c>
      <c r="AI117" s="35">
        <f>SUM(AI60,AI61,AI110)</f>
        <v>1882</v>
      </c>
      <c r="AJ117" s="35">
        <f>SUM(AJ60,AJ61,AJ110:AJ115)</f>
        <v>2568.05025884846</v>
      </c>
      <c r="AK117" s="35">
        <f>SUM(AK60,AK61,AK110:AK115)</f>
        <v>1991.40963674298</v>
      </c>
      <c r="AL117" s="35">
        <f>SUM(AH117:AK117)</f>
        <v>8734.45989559144</v>
      </c>
      <c r="AM117" s="35">
        <f>SUM(AM60,AM61,AM110:AM115)</f>
        <v>2770.07131761699</v>
      </c>
      <c r="AN117" s="35">
        <f>SUM(AN60,AN61,AN110:AN115)</f>
        <v>2612.39129123458</v>
      </c>
      <c r="AO117" s="35">
        <f>SUM(AO60,AO61,AO110:AO115)</f>
        <v>2606.52997208248</v>
      </c>
      <c r="AP117" s="35">
        <f>SUM(AP60,AP61,AP110:AP115)</f>
        <v>2021.24895608236</v>
      </c>
      <c r="AQ117" s="35">
        <f>SUM(AM117:AP117)</f>
        <v>10010.2415370164</v>
      </c>
      <c r="AR117" s="35">
        <f>SUM(AR60,AR61,AR110:AR115)</f>
        <v>2797.72776159577</v>
      </c>
      <c r="AS117" s="35">
        <f>SUM(AS60,AS61,AS110:AS115)</f>
        <v>2638.47345487318</v>
      </c>
      <c r="AT117" s="35">
        <f>SUM(AT60,AT61,AT110:AT115)</f>
        <v>2632.55361620075</v>
      </c>
      <c r="AU117" s="35">
        <f>SUM(AU60,AU61,AU110:AU115)</f>
        <v>2041.42914356184</v>
      </c>
      <c r="AV117" s="35">
        <f>SUM(AR117:AU117)</f>
        <v>10110.1839762315</v>
      </c>
      <c r="AW117" s="35">
        <f>SUM(AW60,AW61,AW110:AW115)</f>
        <v>2811.67168922186</v>
      </c>
      <c r="AX117" s="35">
        <f>SUM(AX60,AX61,AX110:AX115)</f>
        <v>2651.62365604826</v>
      </c>
      <c r="AY117" s="35">
        <f>SUM(AY60,AY61,AY110:AY115)</f>
        <v>2645.67431278889</v>
      </c>
      <c r="AZ117" s="35">
        <f>SUM(AZ60,AZ61,AZ110:AZ115)</f>
        <v>2051.60366469372</v>
      </c>
      <c r="BA117" s="35">
        <f>SUM(AW117:AZ117)</f>
        <v>10160.5733227527</v>
      </c>
      <c r="BB117" s="35">
        <f>SUM(BB60,BB61,BB110:BB115)</f>
        <v>2811.67168922186</v>
      </c>
      <c r="BC117" s="35">
        <f>SUM(BC60,BC61,BC110:BC115)</f>
        <v>2651.62365604826</v>
      </c>
      <c r="BD117" s="35">
        <f>SUM(BD60,BD61,BD110:BD115)</f>
        <v>2645.67431278889</v>
      </c>
      <c r="BE117" s="35">
        <f>SUM(BE60,BE61,BE110:BE115)</f>
        <v>2051.60366469372</v>
      </c>
      <c r="BF117" s="35">
        <f>SUM(BB117:BE117)</f>
        <v>10160.5733227527</v>
      </c>
      <c r="BG117" s="35" t="n"/>
      <c r="BH117" s="35" t="n"/>
      <c r="BI117" s="35" t="n"/>
      <c r="BJ117" s="35" t="n"/>
      <c r="BK117" s="35" t="n"/>
      <c r="BL117" s="35" t="n"/>
      <c r="BM117" s="35" t="n"/>
      <c r="BN117" s="35" t="n"/>
      <c r="BO117" s="35" t="n"/>
      <c r="BP117" s="35" t="n"/>
      <c r="BQ117" s="35" t="n"/>
      <c r="BR117" s="35" t="n"/>
      <c r="BS117" s="35" t="n"/>
      <c r="BT117" s="35" t="n"/>
      <c r="BU117" s="35" t="n"/>
      <c r="BV117" s="35" t="n"/>
      <c r="BW117" s="35" t="n"/>
      <c r="BX117" s="35" t="n"/>
      <c r="BY117" s="35" t="n"/>
      <c r="BZ117" s="35" t="n"/>
      <c r="CA117" s="35" t="n"/>
      <c r="CB117" s="35" t="n"/>
      <c r="CC117" s="35" t="n"/>
      <c r="CD117" s="35" t="n"/>
      <c r="CE117" s="35" t="n"/>
      <c r="CF117" s="35" t="n"/>
      <c r="CG117" s="35" t="n"/>
      <c r="CH117" s="35" t="n"/>
      <c r="CI117" s="35" t="n"/>
      <c r="CJ117" s="35" t="n"/>
      <c r="CK117" s="35" t="n"/>
      <c r="CL117" s="35" t="n"/>
      <c r="CM117" s="35" t="n"/>
      <c r="CN117" s="35" t="n"/>
      <c r="CO117" s="35" t="n"/>
      <c r="CP117" s="35" t="n"/>
      <c r="CQ117" s="35" t="n"/>
      <c r="CR117" s="35" t="n"/>
      <c r="CS117" s="35" t="n"/>
      <c r="CT117" s="35" t="n"/>
      <c r="CU117" s="35" t="n"/>
      <c r="CV117" s="35" t="n"/>
      <c r="CW117" s="35" t="n"/>
      <c r="CX117" s="35" t="n"/>
      <c r="CY117" s="35" t="n"/>
    </row>
    <row r="118">
      <c r="C118" s="14" t="inlineStr">
        <is>
          <t>Taxes</t>
        </is>
      </c>
      <c r="D118" s="46" t="n"/>
      <c r="E118" s="46" t="n"/>
      <c r="F118" s="46" t="n"/>
      <c r="G118" s="46" t="n"/>
      <c r="H118" s="12" t="n"/>
      <c r="I118" s="46">
        <f>'Inputs (2)'!D10</f>
        <v>-530</v>
      </c>
      <c r="J118" s="46">
        <f>'Inputs (2)'!E10</f>
        <v>-491</v>
      </c>
      <c r="K118" s="46">
        <f>'Inputs (2)'!F10</f>
        <v>-330</v>
      </c>
      <c r="L118" s="46">
        <f>'Inputs (2)'!G10</f>
        <v>-250</v>
      </c>
      <c r="M118" s="12">
        <f>'Inputs (2)'!H10</f>
        <v>-1601</v>
      </c>
      <c r="N118" s="46">
        <f>'Inputs (2)'!I10</f>
        <v>-461</v>
      </c>
      <c r="O118" s="46">
        <f>'Inputs (2)'!J10</f>
        <v>-654</v>
      </c>
      <c r="P118" s="46">
        <f>'Inputs (2)'!K10</f>
        <v>-643</v>
      </c>
      <c r="Q118" s="46">
        <f>'Inputs (2)'!L10</f>
        <v>-537</v>
      </c>
      <c r="R118" s="12">
        <f>'Inputs (2)'!M10</f>
        <v>-2295</v>
      </c>
      <c r="S118" s="46">
        <f>'Inputs (2)'!N10</f>
        <v>-991</v>
      </c>
      <c r="T118" s="46">
        <f>'Inputs (2)'!O10</f>
        <v>-636</v>
      </c>
      <c r="U118" s="46">
        <f>'Inputs (2)'!P10</f>
        <v>-707</v>
      </c>
      <c r="V118" s="46">
        <f>'Inputs (2)'!Q10</f>
        <v>-469</v>
      </c>
      <c r="W118" s="12">
        <f>'Inputs (2)'!R10</f>
        <v>-2803</v>
      </c>
      <c r="X118" s="46">
        <f>'Inputs (2)'!S10</f>
        <v>-751</v>
      </c>
      <c r="Y118" s="46">
        <f>'Inputs (2)'!T10</f>
        <v>-625</v>
      </c>
      <c r="Z118" s="46">
        <f>'Inputs (2)'!U10</f>
        <v>-249</v>
      </c>
      <c r="AA118" s="46">
        <f>'Inputs (2)'!V10</f>
        <v>-27</v>
      </c>
      <c r="AB118" s="12">
        <f>'Inputs (2)'!W10</f>
        <v>-1652</v>
      </c>
      <c r="AC118" s="46">
        <f>'Inputs (2)'!X10</f>
        <v>-539</v>
      </c>
      <c r="AD118" s="46">
        <f>'Inputs (2)'!Y10</f>
        <v>-339</v>
      </c>
      <c r="AE118" s="46">
        <f>'Inputs (2)'!Z10</f>
        <v>-354</v>
      </c>
      <c r="AF118" s="46">
        <f>'Inputs (2)'!AA10</f>
        <v>-196</v>
      </c>
      <c r="AG118" s="12">
        <f>'Inputs (2)'!AB10</f>
        <v>-1428</v>
      </c>
      <c r="AH118" s="12">
        <f>'Inputs (2)'!AC10</f>
        <v>-518</v>
      </c>
      <c r="AI118" s="12">
        <f>'Inputs (2)'!AD10</f>
        <v>-529</v>
      </c>
      <c r="AJ118" s="12">
        <f>-AJ117*AJ119</f>
        <v>-613.067327313608</v>
      </c>
      <c r="AK118" s="12">
        <f>-AK117*AK119</f>
        <v>-475.406655059794</v>
      </c>
      <c r="AL118" s="12">
        <f>SUM(AH118:AK118)</f>
        <v>-2135.4739823734</v>
      </c>
      <c r="AM118" s="12">
        <f>-AM117*AM119</f>
        <v>-661.295554208135</v>
      </c>
      <c r="AN118" s="12">
        <f>-AN117*AN119</f>
        <v>-623.652804806356</v>
      </c>
      <c r="AO118" s="12">
        <f>-AO117*AO119</f>
        <v>-622.253539642161</v>
      </c>
      <c r="AP118" s="12">
        <f>-AP117*AP119</f>
        <v>-482.530157293917</v>
      </c>
      <c r="AQ118" s="12">
        <f>SUM(AM118:AP118)</f>
        <v>-2389.73205595057</v>
      </c>
      <c r="AR118" s="12">
        <f>-AR117*AR119</f>
        <v>-667.897941421799</v>
      </c>
      <c r="AS118" s="12">
        <f>-AS117*AS119</f>
        <v>-629.879366104124</v>
      </c>
      <c r="AT118" s="12">
        <f>-AT117*AT119</f>
        <v>-628.466130650292</v>
      </c>
      <c r="AU118" s="12">
        <f>-AU117*AU119</f>
        <v>-487.347747432625</v>
      </c>
      <c r="AV118" s="12">
        <f>SUM(AR118:AU118)</f>
        <v>-2413.59118560884</v>
      </c>
      <c r="AW118" s="12">
        <f>-AW117*AW119</f>
        <v>-671.226757286101</v>
      </c>
      <c r="AX118" s="12">
        <f>-AX117*AX119</f>
        <v>-633.018696676128</v>
      </c>
      <c r="AY118" s="12">
        <f>-AY117*AY119</f>
        <v>-631.598417630293</v>
      </c>
      <c r="AZ118" s="12">
        <f>-AZ117*AZ119</f>
        <v>-489.776697744453</v>
      </c>
      <c r="BA118" s="12">
        <f>SUM(AW118:AZ118)</f>
        <v>-2425.62056933698</v>
      </c>
      <c r="BB118" s="12">
        <f>-BB117*BB119</f>
        <v>-671.226757286101</v>
      </c>
      <c r="BC118" s="12">
        <f>-BC117*BC119</f>
        <v>-633.018696676128</v>
      </c>
      <c r="BD118" s="12">
        <f>-BD117*BD119</f>
        <v>-631.598417630293</v>
      </c>
      <c r="BE118" s="12">
        <f>-BE117*BE119</f>
        <v>-489.776697744453</v>
      </c>
      <c r="BF118" s="12">
        <f>SUM(BB118:BE118)</f>
        <v>-2425.62056933698</v>
      </c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% ETR</t>
        </is>
      </c>
      <c r="D119" s="53" t="n"/>
      <c r="E119" s="53" t="n"/>
      <c r="F119" s="53" t="n"/>
      <c r="G119" s="53" t="n"/>
      <c r="H119" s="53" t="n"/>
      <c r="I119" s="53">
        <f>IFERROR(-I118/I117,"")</f>
        <v>0.22923875432526</v>
      </c>
      <c r="J119" s="53">
        <f>IFERROR(-J118/J117,"")</f>
        <v>0.228372093023256</v>
      </c>
      <c r="K119" s="53">
        <f>IFERROR(-K118/K117,"")</f>
        <v>0.204587724736516</v>
      </c>
      <c r="L119" s="53">
        <f>IFERROR(-L118/L117,"")</f>
        <v>0.217202432667246</v>
      </c>
      <c r="M119" s="53">
        <f>IFERROR(-M118/M117,"")</f>
        <v>0.221561029615278</v>
      </c>
      <c r="N119" s="53">
        <f>IFERROR(-N118/N117,"")</f>
        <v>0.18064263322884</v>
      </c>
      <c r="O119" s="53">
        <f>IFERROR(-O118/O117,"")</f>
        <v>0.257581725088618</v>
      </c>
      <c r="P119" s="53">
        <f>IFERROR(-P118/P117,"")</f>
        <v>0.222876949740035</v>
      </c>
      <c r="Q119" s="53">
        <f>IFERROR(-Q118/Q117,"")</f>
        <v>0.215403128760529</v>
      </c>
      <c r="R119" s="53">
        <f>IFERROR(-R118/R117,"")</f>
        <v>0.219218645524883</v>
      </c>
      <c r="S119" s="53">
        <f>IFERROR(-S118/S117,"")</f>
        <v>0.257536382536383</v>
      </c>
      <c r="T119" s="53">
        <f>IFERROR(-T118/T117,"")</f>
        <v>0.176372712146423</v>
      </c>
      <c r="U119" s="53">
        <f>IFERROR(-U118/U117,"")</f>
        <v>0.230068337129841</v>
      </c>
      <c r="V119" s="53">
        <f>IFERROR(-V118/V117,"")</f>
        <v>0.211738148984199</v>
      </c>
      <c r="W119" s="53">
        <f>IFERROR(-W118/W117,"")</f>
        <v>0.219981164652331</v>
      </c>
      <c r="X119" s="53">
        <f>IFERROR(-X118/X117,"")</f>
        <v>0.240936798203401</v>
      </c>
      <c r="Y119" s="53">
        <f>IFERROR(-Y118/Y117,"")</f>
        <v>0.265392781316348</v>
      </c>
      <c r="Z119" s="53">
        <f>IFERROR(-Z118/Z117,"")</f>
        <v>0.163923633969717</v>
      </c>
      <c r="AA119" s="53">
        <f>IFERROR(-AA118/AA117,"")</f>
        <v>0.0301675977653631</v>
      </c>
      <c r="AB119" s="53">
        <f>IFERROR(-AB118/AB117,"")</f>
        <v>0.20948516358103</v>
      </c>
      <c r="AC119" s="53">
        <f>IFERROR(-AC118/AC117,"")</f>
        <v>0.23063756953359</v>
      </c>
      <c r="AD119" s="53">
        <f>IFERROR(-AD118/AD117,"")</f>
        <v>0.211875</v>
      </c>
      <c r="AE119" s="53">
        <f>IFERROR(-AE118/AE117,"")</f>
        <v>0.248421052631579</v>
      </c>
      <c r="AF119" s="41">
        <f>IFERROR(-AF118/AF117,"")</f>
        <v>0.23444976076555</v>
      </c>
      <c r="AG119" s="53">
        <f>IFERROR(-AG118/AG117,"")</f>
        <v>0.230396902226525</v>
      </c>
      <c r="AH119" s="41">
        <f>IFERROR(-AH118/AH117,"")</f>
        <v>0.225904928041867</v>
      </c>
      <c r="AI119" s="41">
        <f>IFERROR(-AI118/AI117,"")</f>
        <v>0.281083953241233</v>
      </c>
      <c r="AJ119" s="41">
        <f>Control!$B$22</f>
        <v>0.238728710702303</v>
      </c>
      <c r="AK119" s="41">
        <f>Control!$B$22</f>
        <v>0.238728710702303</v>
      </c>
      <c r="AL119" s="53">
        <f>IFERROR(-AL118/AL117,"")</f>
        <v>0.244488383700891</v>
      </c>
      <c r="AM119" s="41">
        <f>Control!$C$22</f>
        <v>0.238728710702303</v>
      </c>
      <c r="AN119" s="41">
        <f>Control!$C$22</f>
        <v>0.238728710702303</v>
      </c>
      <c r="AO119" s="41">
        <f>Control!$C$22</f>
        <v>0.238728710702303</v>
      </c>
      <c r="AP119" s="41">
        <f>Control!$C$22</f>
        <v>0.238728710702303</v>
      </c>
      <c r="AQ119" s="53">
        <f>IFERROR(-AQ118/AQ117,"")</f>
        <v>0.238728710702303</v>
      </c>
      <c r="AR119" s="41">
        <f>Control!$D$22</f>
        <v>0.238728710702303</v>
      </c>
      <c r="AS119" s="41">
        <f>Control!$D$22</f>
        <v>0.238728710702303</v>
      </c>
      <c r="AT119" s="41">
        <f>Control!$D$22</f>
        <v>0.238728710702303</v>
      </c>
      <c r="AU119" s="41">
        <f>Control!$D$22</f>
        <v>0.238728710702303</v>
      </c>
      <c r="AV119" s="53">
        <f>IFERROR(-AV118/AV117,"")</f>
        <v>0.238728710702303</v>
      </c>
      <c r="AW119" s="41">
        <f>Control!$E$22</f>
        <v>0.238728710702303</v>
      </c>
      <c r="AX119" s="41">
        <f>Control!$E$22</f>
        <v>0.238728710702303</v>
      </c>
      <c r="AY119" s="41">
        <f>Control!$E$22</f>
        <v>0.238728710702303</v>
      </c>
      <c r="AZ119" s="41">
        <f>Control!$E$22</f>
        <v>0.238728710702303</v>
      </c>
      <c r="BA119" s="53">
        <f>IFERROR(-BA118/BA117,"")</f>
        <v>0.238728710702303</v>
      </c>
      <c r="BB119" s="41">
        <f>Control!$F$22</f>
        <v>0.238728710702303</v>
      </c>
      <c r="BC119" s="41">
        <f>Control!$F$22</f>
        <v>0.238728710702303</v>
      </c>
      <c r="BD119" s="41">
        <f>Control!$F$22</f>
        <v>0.238728710702303</v>
      </c>
      <c r="BE119" s="41">
        <f>Control!$F$22</f>
        <v>0.238728710702303</v>
      </c>
      <c r="BF119" s="53">
        <f>IFERROR(-BF118/BF117,"")</f>
        <v>0.238728710702303</v>
      </c>
      <c r="BG119" s="41" t="n"/>
      <c r="BH119" s="41" t="n"/>
      <c r="BI119" s="41" t="n"/>
      <c r="BJ119" s="41" t="n"/>
      <c r="BK119" s="53" t="n"/>
      <c r="BL119" s="41" t="n"/>
      <c r="BM119" s="41" t="n"/>
      <c r="BN119" s="41" t="n"/>
      <c r="BO119" s="41" t="n"/>
      <c r="BP119" s="53" t="n"/>
      <c r="BQ119" s="41" t="n"/>
      <c r="BR119" s="41" t="n"/>
      <c r="BS119" s="41" t="n"/>
      <c r="BT119" s="41" t="n"/>
      <c r="BU119" s="53" t="n"/>
      <c r="BV119" s="41" t="n"/>
      <c r="BW119" s="41" t="n"/>
      <c r="BX119" s="41" t="n"/>
      <c r="BY119" s="41" t="n"/>
      <c r="BZ119" s="53" t="n"/>
      <c r="CA119" s="41" t="n"/>
      <c r="CB119" s="41" t="n"/>
      <c r="CC119" s="41" t="n"/>
      <c r="CD119" s="41" t="n"/>
      <c r="CE119" s="53" t="n"/>
      <c r="CF119" s="41" t="n"/>
      <c r="CG119" s="41" t="n"/>
      <c r="CH119" s="41" t="n"/>
      <c r="CI119" s="41" t="n"/>
      <c r="CJ119" s="53" t="n"/>
      <c r="CK119" s="41" t="n"/>
      <c r="CL119" s="41" t="n"/>
      <c r="CM119" s="41" t="n"/>
      <c r="CN119" s="41" t="n"/>
      <c r="CO119" s="53" t="n"/>
      <c r="CP119" s="41" t="n"/>
      <c r="CQ119" s="41" t="n"/>
      <c r="CR119" s="41" t="n"/>
      <c r="CS119" s="41" t="n"/>
      <c r="CT119" s="53" t="n"/>
      <c r="CU119" s="41" t="n"/>
      <c r="CV119" s="41" t="n"/>
      <c r="CW119" s="41" t="n"/>
      <c r="CX119" s="41" t="n"/>
      <c r="CY119" s="53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ollapsed="1">
      <c r="C122" s="14" t="inlineStr">
        <is>
          <t>Equity in Income of Affiliates, after tax (enter as +)</t>
        </is>
      </c>
      <c r="D122" s="46" t="n"/>
      <c r="E122" s="46" t="n"/>
      <c r="F122" s="46" t="n"/>
      <c r="G122" s="46" t="n"/>
      <c r="H122" s="12" t="n"/>
      <c r="I122" s="46">
        <f>'Inputs (2)'!D11</f>
        <v>9</v>
      </c>
      <c r="J122" s="46">
        <f>'Inputs (2)'!E11</f>
        <v>9</v>
      </c>
      <c r="K122" s="46">
        <f>'Inputs (2)'!F11</f>
        <v>0</v>
      </c>
      <c r="L122" s="46">
        <f>'Inputs (2)'!G11</f>
        <v>3</v>
      </c>
      <c r="M122" s="12">
        <f>'Inputs (2)'!H11</f>
        <v>21</v>
      </c>
      <c r="N122" s="46">
        <f>'Inputs (2)'!I11</f>
        <v>6</v>
      </c>
      <c r="O122" s="46">
        <f>'Inputs (2)'!J11</f>
        <v>0</v>
      </c>
      <c r="P122" s="46">
        <f>'Inputs (2)'!K11</f>
        <v>2</v>
      </c>
      <c r="Q122" s="46">
        <f>'Inputs (2)'!L11</f>
        <v>1</v>
      </c>
      <c r="R122" s="12">
        <f>'Inputs (2)'!M11</f>
        <v>9</v>
      </c>
      <c r="S122" s="46">
        <f>'Inputs (2)'!N11</f>
        <v>2</v>
      </c>
      <c r="T122" s="46">
        <f>'Inputs (2)'!O11</f>
        <v>2</v>
      </c>
      <c r="U122" s="46">
        <f>'Inputs (2)'!P11</f>
        <v>2</v>
      </c>
      <c r="V122" s="46">
        <f>'Inputs (2)'!Q11</f>
        <v>2</v>
      </c>
      <c r="W122" s="12">
        <f>'Inputs (2)'!R11</f>
        <v>8</v>
      </c>
      <c r="X122" s="46">
        <f>'Inputs (2)'!S11</f>
        <v>2</v>
      </c>
      <c r="Y122" s="46">
        <f>'Inputs (2)'!T11</f>
        <v>1</v>
      </c>
      <c r="Z122" s="46">
        <f>'Inputs (2)'!U11</f>
        <v>-28</v>
      </c>
      <c r="AA122" s="46">
        <f>'Inputs (2)'!V11</f>
        <v>-1</v>
      </c>
      <c r="AB122" s="12">
        <f>'Inputs (2)'!W11</f>
        <v>-26</v>
      </c>
      <c r="AC122" s="46">
        <f>'Inputs (2)'!X11</f>
        <v>3</v>
      </c>
      <c r="AD122" s="46">
        <f>'Inputs (2)'!Y11</f>
        <v>10</v>
      </c>
      <c r="AE122" s="46">
        <f>'Inputs (2)'!Z11</f>
        <v>-11</v>
      </c>
      <c r="AF122" s="46">
        <f>'Inputs (2)'!AA11</f>
        <v>15</v>
      </c>
      <c r="AG122" s="12">
        <f>'Inputs (2)'!AB11</f>
        <v>17</v>
      </c>
      <c r="AH122" s="12">
        <f>'Inputs (2)'!AC11</f>
        <v>-5</v>
      </c>
      <c r="AI122" s="12">
        <f>'Inputs (2)'!AD11</f>
        <v>24</v>
      </c>
      <c r="AJ122" s="12">
        <f>0</f>
        <v>0</v>
      </c>
      <c r="AK122" s="12">
        <f>0</f>
        <v>0</v>
      </c>
      <c r="AL122" s="12">
        <f>SUM(AH122:AK122)</f>
        <v>19</v>
      </c>
      <c r="AM122" s="12">
        <f>0</f>
        <v>0</v>
      </c>
      <c r="AN122" s="12">
        <f>0</f>
        <v>0</v>
      </c>
      <c r="AO122" s="12">
        <f>0</f>
        <v>0</v>
      </c>
      <c r="AP122" s="12">
        <f>0</f>
        <v>0</v>
      </c>
      <c r="AQ122" s="12">
        <f>SUM(AM122:AP122)</f>
        <v>0</v>
      </c>
      <c r="AR122" s="12">
        <f>0</f>
        <v>0</v>
      </c>
      <c r="AS122" s="12">
        <f>0</f>
        <v>0</v>
      </c>
      <c r="AT122" s="12">
        <f>0</f>
        <v>0</v>
      </c>
      <c r="AU122" s="12">
        <f>0</f>
        <v>0</v>
      </c>
      <c r="AV122" s="12">
        <f>SUM(AR122:AU122)</f>
        <v>0</v>
      </c>
      <c r="AW122" s="12">
        <f>0</f>
        <v>0</v>
      </c>
      <c r="AX122" s="12">
        <f>0</f>
        <v>0</v>
      </c>
      <c r="AY122" s="12">
        <f>0</f>
        <v>0</v>
      </c>
      <c r="AZ122" s="12">
        <f>0</f>
        <v>0</v>
      </c>
      <c r="BA122" s="12">
        <f>SUM(AW122:AZ122)</f>
        <v>0</v>
      </c>
      <c r="BB122" s="12">
        <f>0</f>
        <v>0</v>
      </c>
      <c r="BC122" s="12">
        <f>0</f>
        <v>0</v>
      </c>
      <c r="BD122" s="12">
        <f>0</f>
        <v>0</v>
      </c>
      <c r="BE122" s="12">
        <f>0</f>
        <v>0</v>
      </c>
      <c r="BF122" s="12">
        <f>SUM(BB122:BE122)</f>
        <v>0</v>
      </c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>
      <c r="C123" s="14" t="inlineStr">
        <is>
          <t>Minority Interest Expense, after tax (enter as - )</t>
        </is>
      </c>
      <c r="D123" s="46" t="n"/>
      <c r="E123" s="46" t="n"/>
      <c r="F123" s="46" t="n"/>
      <c r="G123" s="46" t="n"/>
      <c r="H123" s="12" t="n"/>
      <c r="I123" s="46">
        <f>'Inputs (2)'!D12</f>
        <v>-1</v>
      </c>
      <c r="J123" s="46">
        <f>'Inputs (2)'!E12</f>
        <v>-1</v>
      </c>
      <c r="K123" s="46">
        <f>'Inputs (2)'!F12</f>
        <v>0</v>
      </c>
      <c r="L123" s="46">
        <f>'Inputs (2)'!G12</f>
        <v>-1</v>
      </c>
      <c r="M123" s="12">
        <f>'Inputs (2)'!H12</f>
        <v>-3</v>
      </c>
      <c r="N123" s="46">
        <f>'Inputs (2)'!I12</f>
        <v>1</v>
      </c>
      <c r="O123" s="46">
        <f>'Inputs (2)'!J12</f>
        <v>-1</v>
      </c>
      <c r="P123" s="46">
        <f>'Inputs (2)'!K12</f>
        <v>2</v>
      </c>
      <c r="Q123" s="46">
        <f>'Inputs (2)'!L12</f>
        <v>2</v>
      </c>
      <c r="R123" s="12">
        <f>'Inputs (2)'!M12</f>
        <v>4</v>
      </c>
      <c r="S123" s="46">
        <f>'Inputs (2)'!N12</f>
        <v>1</v>
      </c>
      <c r="T123" s="46">
        <f>'Inputs (2)'!O12</f>
        <v>6</v>
      </c>
      <c r="U123" s="46">
        <f>'Inputs (2)'!P12</f>
        <v>1</v>
      </c>
      <c r="V123" s="46">
        <f>'Inputs (2)'!Q12</f>
        <v>3</v>
      </c>
      <c r="W123" s="12">
        <f>'Inputs (2)'!R12</f>
        <v>11</v>
      </c>
      <c r="X123" s="46">
        <f>'Inputs (2)'!S12</f>
        <v>2</v>
      </c>
      <c r="Y123" s="46">
        <f>'Inputs (2)'!T12</f>
        <v>3</v>
      </c>
      <c r="Z123" s="46">
        <f>'Inputs (2)'!U12</f>
        <v>3</v>
      </c>
      <c r="AA123" s="46">
        <f>'Inputs (2)'!V12</f>
        <v>2</v>
      </c>
      <c r="AB123" s="12">
        <f>'Inputs (2)'!W12</f>
        <v>10</v>
      </c>
      <c r="AC123" s="46">
        <f>'Inputs (2)'!X12</f>
        <v>3</v>
      </c>
      <c r="AD123" s="46">
        <f>'Inputs (2)'!Y12</f>
        <v>18</v>
      </c>
      <c r="AE123" s="46">
        <f>'Inputs (2)'!Z12</f>
        <v>5</v>
      </c>
      <c r="AF123" s="46">
        <f>'Inputs (2)'!AA12</f>
        <v>1</v>
      </c>
      <c r="AG123" s="12">
        <f>'Inputs (2)'!AB12</f>
        <v>27</v>
      </c>
      <c r="AH123" s="12">
        <f>'Inputs (2)'!AC12</f>
        <v>3</v>
      </c>
      <c r="AI123" s="12">
        <f>'Inputs (2)'!AD12</f>
        <v>2</v>
      </c>
      <c r="AJ123" s="12">
        <f>0</f>
        <v>0</v>
      </c>
      <c r="AK123" s="12">
        <f>0</f>
        <v>0</v>
      </c>
      <c r="AL123" s="12">
        <f>SUM(AH123:AK123)</f>
        <v>5</v>
      </c>
      <c r="AM123" s="12">
        <f>0</f>
        <v>0</v>
      </c>
      <c r="AN123" s="12">
        <f>0</f>
        <v>0</v>
      </c>
      <c r="AO123" s="12">
        <f>0</f>
        <v>0</v>
      </c>
      <c r="AP123" s="12">
        <f>0</f>
        <v>0</v>
      </c>
      <c r="AQ123" s="12">
        <f>SUM(AM123:AP123)</f>
        <v>0</v>
      </c>
      <c r="AR123" s="12">
        <f>0</f>
        <v>0</v>
      </c>
      <c r="AS123" s="12">
        <f>0</f>
        <v>0</v>
      </c>
      <c r="AT123" s="12">
        <f>0</f>
        <v>0</v>
      </c>
      <c r="AU123" s="12">
        <f>0</f>
        <v>0</v>
      </c>
      <c r="AV123" s="12">
        <f>SUM(AR123:AU123)</f>
        <v>0</v>
      </c>
      <c r="AW123" s="12">
        <f>0</f>
        <v>0</v>
      </c>
      <c r="AX123" s="12">
        <f>0</f>
        <v>0</v>
      </c>
      <c r="AY123" s="12">
        <f>0</f>
        <v>0</v>
      </c>
      <c r="AZ123" s="12">
        <f>0</f>
        <v>0</v>
      </c>
      <c r="BA123" s="12">
        <f>SUM(AW123:AZ123)</f>
        <v>0</v>
      </c>
      <c r="BB123" s="12">
        <f>0</f>
        <v>0</v>
      </c>
      <c r="BC123" s="12">
        <f>0</f>
        <v>0</v>
      </c>
      <c r="BD123" s="12">
        <f>0</f>
        <v>0</v>
      </c>
      <c r="BE123" s="12">
        <f>0</f>
        <v>0</v>
      </c>
      <c r="BF123" s="12">
        <f>SUM(BB123:BE123)</f>
        <v>0</v>
      </c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customFormat="1" s="32">
      <c r="A124" s="30" t="n"/>
      <c r="B124" s="3" t="n"/>
      <c r="C124" s="33" t="inlineStr">
        <is>
          <t>Net Income</t>
        </is>
      </c>
      <c r="D124" s="35" t="n"/>
      <c r="E124" s="35" t="n"/>
      <c r="F124" s="35" t="n"/>
      <c r="G124" s="35" t="n"/>
      <c r="H124" s="35" t="n"/>
      <c r="I124" s="35">
        <f>SUM(I117,I118,I122,I123)</f>
        <v>1790</v>
      </c>
      <c r="J124" s="35">
        <f>SUM(J117,J118,J122,J123)</f>
        <v>1667</v>
      </c>
      <c r="K124" s="35">
        <f>SUM(K117,K118,K122,K123)</f>
        <v>1283</v>
      </c>
      <c r="L124" s="35">
        <f>SUM(L117,L118,L122,L123)</f>
        <v>903</v>
      </c>
      <c r="M124" s="35">
        <f>SUM(I124:L124)</f>
        <v>5643</v>
      </c>
      <c r="N124" s="35">
        <f>SUM(N117,N118,N122,N123)</f>
        <v>2098</v>
      </c>
      <c r="O124" s="35">
        <f>SUM(O117,O118,O122,O123)</f>
        <v>1884</v>
      </c>
      <c r="P124" s="35">
        <f>SUM(P117,P118,P122,P123)</f>
        <v>2246</v>
      </c>
      <c r="Q124" s="35">
        <f>SUM(Q117,Q118,Q122,Q123)</f>
        <v>1959</v>
      </c>
      <c r="R124" s="35">
        <f>SUM(N124:Q124)</f>
        <v>8187</v>
      </c>
      <c r="S124" s="35">
        <f>SUM(S117,S118,S122,S123)</f>
        <v>2860</v>
      </c>
      <c r="T124" s="35">
        <f>SUM(T117,T118,T122,T123)</f>
        <v>2978</v>
      </c>
      <c r="U124" s="35">
        <f>SUM(U117,U118,U122,U123)</f>
        <v>2369</v>
      </c>
      <c r="V124" s="35">
        <f>SUM(V117,V118,V122,V123)</f>
        <v>1751</v>
      </c>
      <c r="W124" s="35">
        <f>SUM(S124:V124)</f>
        <v>9958</v>
      </c>
      <c r="X124" s="35">
        <f>SUM(X117,X118,X122,X123)</f>
        <v>2370</v>
      </c>
      <c r="Y124" s="35">
        <f>SUM(Y117,Y118,Y122,Y123)</f>
        <v>1734</v>
      </c>
      <c r="Z124" s="35">
        <f>SUM(Z117,Z118,Z122,Z123)</f>
        <v>1245</v>
      </c>
      <c r="AA124" s="35">
        <f>SUM(AA117,AA118,AA122,AA123)</f>
        <v>869</v>
      </c>
      <c r="AB124" s="35">
        <f>SUM(X124:AA124)</f>
        <v>6218</v>
      </c>
      <c r="AC124" s="35">
        <f>SUM(AC117,AC118,AC122,AC123)</f>
        <v>1804</v>
      </c>
      <c r="AD124" s="35">
        <f>SUM(AD117,AD118,AD122,AD123)</f>
        <v>1289</v>
      </c>
      <c r="AE124" s="35">
        <f>SUM(AE117,AE118,AE122,AE123)</f>
        <v>1065</v>
      </c>
      <c r="AF124" s="35">
        <f>SUM(AF117,AF118,AF122,AF123)</f>
        <v>656</v>
      </c>
      <c r="AG124" s="35">
        <f>SUM(AC124:AF124)</f>
        <v>4814</v>
      </c>
      <c r="AH124" s="35">
        <f>SUM(AH117,AH118,AH122,AH123)</f>
        <v>1773</v>
      </c>
      <c r="AI124" s="35">
        <f>SUM(AI117,AI118,AI122,AI123)</f>
        <v>1379</v>
      </c>
      <c r="AJ124" s="35">
        <f>SUM(AJ117,AJ118,AJ122,AJ123)</f>
        <v>1954.98293153485</v>
      </c>
      <c r="AK124" s="35">
        <f>SUM(AK117,AK118,AK122,AK123)</f>
        <v>1516.00298168319</v>
      </c>
      <c r="AL124" s="35">
        <f>SUM(AH124:AK124)</f>
        <v>6622.98591321804</v>
      </c>
      <c r="AM124" s="35">
        <f>SUM(AM117,AM118,AM122,AM123)</f>
        <v>2108.77576340886</v>
      </c>
      <c r="AN124" s="35">
        <f>SUM(AN117,AN118,AN122,AN123)</f>
        <v>1988.73848642822</v>
      </c>
      <c r="AO124" s="35">
        <f>SUM(AO117,AO118,AO122,AO123)</f>
        <v>1984.27643244032</v>
      </c>
      <c r="AP124" s="35">
        <f>SUM(AP117,AP118,AP122,AP123)</f>
        <v>1538.71879878844</v>
      </c>
      <c r="AQ124" s="35">
        <f>SUM(AM124:AP124)</f>
        <v>7620.50948106584</v>
      </c>
      <c r="AR124" s="35">
        <f>SUM(AR117,AR118,AR122,AR123)</f>
        <v>2129.82982017397</v>
      </c>
      <c r="AS124" s="35">
        <f>SUM(AS117,AS118,AS122,AS123)</f>
        <v>2008.59408876905</v>
      </c>
      <c r="AT124" s="35">
        <f>SUM(AT117,AT118,AT122,AT123)</f>
        <v>2004.08748555046</v>
      </c>
      <c r="AU124" s="35">
        <f>SUM(AU117,AU118,AU122,AU123)</f>
        <v>1554.08139612922</v>
      </c>
      <c r="AV124" s="35">
        <f>SUM(AR124:AU124)</f>
        <v>7696.5927906227</v>
      </c>
      <c r="AW124" s="35">
        <f>SUM(AW117,AW118,AW122,AW123)</f>
        <v>2140.44493193576</v>
      </c>
      <c r="AX124" s="35">
        <f>SUM(AX117,AX118,AX122,AX123)</f>
        <v>2018.60495937213</v>
      </c>
      <c r="AY124" s="35">
        <f>SUM(AY117,AY118,AY122,AY123)</f>
        <v>2014.0758951586</v>
      </c>
      <c r="AZ124" s="35">
        <f>SUM(AZ117,AZ118,AZ122,AZ123)</f>
        <v>1561.82696694927</v>
      </c>
      <c r="BA124" s="35">
        <f>SUM(AW124:AZ124)</f>
        <v>7734.95275341576</v>
      </c>
      <c r="BB124" s="35">
        <f>SUM(BB117,BB118,BB122,BB123)</f>
        <v>2140.44493193576</v>
      </c>
      <c r="BC124" s="35">
        <f>SUM(BC117,BC118,BC122,BC123)</f>
        <v>2018.60495937213</v>
      </c>
      <c r="BD124" s="35">
        <f>SUM(BD117,BD118,BD122,BD123)</f>
        <v>2014.0758951586</v>
      </c>
      <c r="BE124" s="35">
        <f>SUM(BE117,BE118,BE122,BE123)</f>
        <v>1561.82696694927</v>
      </c>
      <c r="BF124" s="35">
        <f>SUM(BB124:BE124)</f>
        <v>7734.95275341576</v>
      </c>
      <c r="BG124" s="35" t="n"/>
      <c r="BH124" s="35" t="n"/>
      <c r="BI124" s="35" t="n"/>
      <c r="BJ124" s="35" t="n"/>
      <c r="BK124" s="35" t="n"/>
      <c r="BL124" s="35" t="n"/>
      <c r="BM124" s="35" t="n"/>
      <c r="BN124" s="35" t="n"/>
      <c r="BO124" s="35" t="n"/>
      <c r="BP124" s="35" t="n"/>
      <c r="BQ124" s="35" t="n"/>
      <c r="BR124" s="35" t="n"/>
      <c r="BS124" s="35" t="n"/>
      <c r="BT124" s="35" t="n"/>
      <c r="BU124" s="35" t="n"/>
      <c r="BV124" s="35" t="n"/>
      <c r="BW124" s="35" t="n"/>
      <c r="BX124" s="35" t="n"/>
      <c r="BY124" s="35" t="n"/>
      <c r="BZ124" s="35" t="n"/>
      <c r="CA124" s="35" t="n"/>
      <c r="CB124" s="35" t="n"/>
      <c r="CC124" s="35" t="n"/>
      <c r="CD124" s="35" t="n"/>
      <c r="CE124" s="35" t="n"/>
      <c r="CF124" s="35" t="n"/>
      <c r="CG124" s="35" t="n"/>
      <c r="CH124" s="35" t="n"/>
      <c r="CI124" s="35" t="n"/>
      <c r="CJ124" s="35" t="n"/>
      <c r="CK124" s="35" t="n"/>
      <c r="CL124" s="35" t="n"/>
      <c r="CM124" s="35" t="n"/>
      <c r="CN124" s="35" t="n"/>
      <c r="CO124" s="35" t="n"/>
      <c r="CP124" s="35" t="n"/>
      <c r="CQ124" s="35" t="n"/>
      <c r="CR124" s="35" t="n"/>
      <c r="CS124" s="35" t="n"/>
      <c r="CT124" s="35" t="n"/>
      <c r="CU124" s="35" t="n"/>
      <c r="CV124" s="35" t="n"/>
      <c r="CW124" s="35" t="n"/>
      <c r="CX124" s="35" t="n"/>
      <c r="CY124" s="35" t="n"/>
    </row>
    <row r="125">
      <c r="C125" s="13" t="inlineStr">
        <is>
          <t>Common Dividends</t>
        </is>
      </c>
      <c r="D125" s="46" t="n"/>
      <c r="E125" s="46" t="n"/>
      <c r="F125" s="46" t="n"/>
      <c r="G125" s="46" t="n"/>
      <c r="H125" s="12" t="n"/>
      <c r="I125" s="46">
        <f>'Inputs (2)'!D13</f>
        <v>-238</v>
      </c>
      <c r="J125" s="46">
        <f>'Inputs (2)'!E13</f>
        <v>-281</v>
      </c>
      <c r="K125" s="46">
        <f>'Inputs (2)'!F13</f>
        <v>-279</v>
      </c>
      <c r="L125" s="46">
        <f>'Inputs (2)'!G13</f>
        <v>-327</v>
      </c>
      <c r="M125" s="12">
        <f>'Inputs (2)'!H13</f>
        <v>-1125</v>
      </c>
      <c r="N125" s="46">
        <f>'Inputs (2)'!I13</f>
        <v>-322</v>
      </c>
      <c r="O125" s="46">
        <f>'Inputs (2)'!J13</f>
        <v>-322</v>
      </c>
      <c r="P125" s="46">
        <f>'Inputs (2)'!K13</f>
        <v>-342</v>
      </c>
      <c r="Q125" s="46">
        <f>'Inputs (2)'!L13</f>
        <v>-341</v>
      </c>
      <c r="R125" s="12">
        <f>'Inputs (2)'!M13</f>
        <v>-1327</v>
      </c>
      <c r="S125" s="46">
        <f>'Inputs (2)'!N13</f>
        <v>-356</v>
      </c>
      <c r="T125" s="46">
        <f>'Inputs (2)'!O13</f>
        <v>-368</v>
      </c>
      <c r="U125" s="46">
        <f>'Inputs (2)'!P13</f>
        <v>-362</v>
      </c>
      <c r="V125" s="46">
        <f>'Inputs (2)'!Q13</f>
        <v>-386</v>
      </c>
      <c r="W125" s="12">
        <f>'Inputs (2)'!R13</f>
        <v>-1472</v>
      </c>
      <c r="X125" s="46">
        <f>'Inputs (2)'!S13</f>
        <v>-410</v>
      </c>
      <c r="Y125" s="46">
        <f>'Inputs (2)'!T13</f>
        <v>-406</v>
      </c>
      <c r="Z125" s="46">
        <f>'Inputs (2)'!U13</f>
        <v>-403</v>
      </c>
      <c r="AA125" s="46">
        <f>'Inputs (2)'!V13</f>
        <v>-403</v>
      </c>
      <c r="AB125" s="12">
        <f>'Inputs (2)'!W13</f>
        <v>-1622</v>
      </c>
      <c r="AC125" s="46">
        <f>'Inputs (2)'!X13</f>
        <v>-440</v>
      </c>
      <c r="AD125" s="46">
        <f>'Inputs (2)'!Y13</f>
        <v>-439</v>
      </c>
      <c r="AE125" s="46">
        <f>'Inputs (2)'!Z13</f>
        <v>-438</v>
      </c>
      <c r="AF125" s="46">
        <f>'Inputs (2)'!AA13</f>
        <v>-441</v>
      </c>
      <c r="AG125" s="12">
        <f>'Inputs (2)'!AB13</f>
        <v>-1758</v>
      </c>
      <c r="AH125" s="12">
        <f>'Inputs (2)'!AC13</f>
        <v>-437</v>
      </c>
      <c r="AI125" s="12">
        <f>'Inputs (2)'!AD13</f>
        <v>-438</v>
      </c>
      <c r="AJ125" s="12">
        <f>-MAX(0,AJ124)*Control!$E$15</f>
        <v>0</v>
      </c>
      <c r="AK125" s="12">
        <f>-MAX(0,AK124)*Control!$E$15</f>
        <v>0</v>
      </c>
      <c r="AL125" s="12">
        <f>SUM(AH125:AK125)</f>
        <v>-875</v>
      </c>
      <c r="AM125" s="12">
        <f>-MAX(0,AM124)*Control!$E$15</f>
        <v>0</v>
      </c>
      <c r="AN125" s="12">
        <f>-MAX(0,AN124)*Control!$E$15</f>
        <v>0</v>
      </c>
      <c r="AO125" s="12">
        <f>-MAX(0,AO124)*Control!$E$15</f>
        <v>0</v>
      </c>
      <c r="AP125" s="12">
        <f>-MAX(0,AP124)*Control!$E$15</f>
        <v>0</v>
      </c>
      <c r="AQ125" s="12">
        <f>SUM(AM125:AP125)</f>
        <v>0</v>
      </c>
      <c r="AR125" s="12">
        <f>-MAX(0,AR124)*Control!$E$15</f>
        <v>0</v>
      </c>
      <c r="AS125" s="12">
        <f>-MAX(0,AS124)*Control!$E$15</f>
        <v>0</v>
      </c>
      <c r="AT125" s="12">
        <f>-MAX(0,AT124)*Control!$E$15</f>
        <v>0</v>
      </c>
      <c r="AU125" s="12">
        <f>-MAX(0,AU124)*Control!$E$15</f>
        <v>0</v>
      </c>
      <c r="AV125" s="12">
        <f>SUM(AR125:AU125)</f>
        <v>0</v>
      </c>
      <c r="AW125" s="12">
        <f>-MAX(0,AW124)*Control!$E$15</f>
        <v>0</v>
      </c>
      <c r="AX125" s="12">
        <f>-MAX(0,AX124)*Control!$E$15</f>
        <v>0</v>
      </c>
      <c r="AY125" s="12">
        <f>-MAX(0,AY124)*Control!$E$15</f>
        <v>0</v>
      </c>
      <c r="AZ125" s="12">
        <f>-MAX(0,AZ124)*Control!$E$15</f>
        <v>0</v>
      </c>
      <c r="BA125" s="12">
        <f>SUM(AW125:AZ125)</f>
        <v>0</v>
      </c>
      <c r="BB125" s="12">
        <f>-MAX(0,BB124)*Control!$E$15</f>
        <v>0</v>
      </c>
      <c r="BC125" s="12">
        <f>-MAX(0,BC124)*Control!$E$15</f>
        <v>0</v>
      </c>
      <c r="BD125" s="12">
        <f>-MAX(0,BD124)*Control!$E$15</f>
        <v>0</v>
      </c>
      <c r="BE125" s="12">
        <f>-MAX(0,BE124)*Control!$E$15</f>
        <v>0</v>
      </c>
      <c r="BF125" s="12">
        <f>SUM(BB125:BE125)</f>
        <v>0</v>
      </c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0" t="inlineStr">
        <is>
          <t>% DVD Payout</t>
        </is>
      </c>
      <c r="D126" s="58" t="n"/>
      <c r="E126" s="58" t="n"/>
      <c r="F126" s="58" t="n"/>
      <c r="G126" s="58" t="n"/>
      <c r="H126" s="58" t="n"/>
      <c r="I126" s="58">
        <f>IF(I124=0,"",-I125/I124)</f>
        <v>0.132960893854749</v>
      </c>
      <c r="J126" s="58">
        <f>IF(J124=0,"",-J125/J124)</f>
        <v>0.168566286742651</v>
      </c>
      <c r="K126" s="58">
        <f>IF(K124=0,"",-K125/K124)</f>
        <v>0.217459080280592</v>
      </c>
      <c r="L126" s="58">
        <f>IF(L124=0,"",-L125/L124)</f>
        <v>0.362126245847176</v>
      </c>
      <c r="M126" s="58">
        <f>IF(M124=0,"",-M125/M124)</f>
        <v>0.199362041467305</v>
      </c>
      <c r="N126" s="58">
        <f>IF(N124=0,"",-N125/N124)</f>
        <v>0.1534795042898</v>
      </c>
      <c r="O126" s="58">
        <f>IF(O124=0,"",-O125/O124)</f>
        <v>0.170912951167728</v>
      </c>
      <c r="P126" s="58">
        <f>IF(P124=0,"",-P125/P124)</f>
        <v>0.152270703472841</v>
      </c>
      <c r="Q126" s="58">
        <f>IF(Q124=0,"",-Q125/Q124)</f>
        <v>0.174068402246044</v>
      </c>
      <c r="R126" s="58">
        <f>IF(R124=0,"",-R125/R124)</f>
        <v>0.162086234273849</v>
      </c>
      <c r="S126" s="58">
        <f>IF(S124=0,"",-S125/S124)</f>
        <v>0.124475524475524</v>
      </c>
      <c r="T126" s="58">
        <f>IF(T124=0,"",-T125/T124)</f>
        <v>0.123572867696441</v>
      </c>
      <c r="U126" s="58">
        <f>IF(U124=0,"",-U125/U124)</f>
        <v>0.152807091599831</v>
      </c>
      <c r="V126" s="58">
        <f>IF(V124=0,"",-V125/V124)</f>
        <v>0.220445459737293</v>
      </c>
      <c r="W126" s="58">
        <f>IF(W124=0,"",-W125/W124)</f>
        <v>0.147820847559751</v>
      </c>
      <c r="X126" s="58">
        <f>IF(X124=0,"",-X125/X124)</f>
        <v>0.172995780590717</v>
      </c>
      <c r="Y126" s="58">
        <f>IF(Y124=0,"",-Y125/Y124)</f>
        <v>0.234140715109573</v>
      </c>
      <c r="Z126" s="58">
        <f>IF(Z124=0,"",-Z125/Z124)</f>
        <v>0.323694779116466</v>
      </c>
      <c r="AA126" s="58">
        <f>IF(AA124=0,"",-AA125/AA124)</f>
        <v>0.463751438434983</v>
      </c>
      <c r="AB126" s="58">
        <f>IF(AB124=0,"",-AB125/AB124)</f>
        <v>0.260855580572531</v>
      </c>
      <c r="AC126" s="58">
        <f>IF(AC124=0,"",-AC125/AC124)</f>
        <v>0.24390243902439</v>
      </c>
      <c r="AD126" s="58">
        <f>IF(AD124=0,"",-AD125/AD124)</f>
        <v>0.340574088440652</v>
      </c>
      <c r="AE126" s="58">
        <f>IF(AE124=0,"",-AE125/AE124)</f>
        <v>0.411267605633803</v>
      </c>
      <c r="AF126" s="41">
        <f>IF(AF124=0,"",-AF125/AF124)</f>
        <v>0.672256097560976</v>
      </c>
      <c r="AG126" s="12">
        <f>IF(AG124=0,"",-AG125/AG124)</f>
        <v>0.365184877440798</v>
      </c>
      <c r="AH126" s="41">
        <f>IF(AH124=0,"",-AH125/AH124)</f>
        <v>0.246474901297236</v>
      </c>
      <c r="AI126" s="41">
        <f>IF(AI124=0,"",-AI125/AI124)</f>
        <v>0.317621464829587</v>
      </c>
      <c r="AJ126" s="41">
        <f>IF(AJ124=0,"",-AJ125/AJ124)</f>
        <v>0</v>
      </c>
      <c r="AK126" s="41">
        <f>IF(AK124=0,"",-AK125/AK124)</f>
        <v>0</v>
      </c>
      <c r="AL126" s="12">
        <f>IF(AL124=0,"",-AL125/AL124)</f>
        <v>0.132115636582239</v>
      </c>
      <c r="AM126" s="41">
        <f>IF(AM124=0,"",-AM125/AM124)</f>
        <v>0</v>
      </c>
      <c r="AN126" s="41">
        <f>IF(AN124=0,"",-AN125/AN124)</f>
        <v>0</v>
      </c>
      <c r="AO126" s="41">
        <f>IF(AO124=0,"",-AO125/AO124)</f>
        <v>0</v>
      </c>
      <c r="AP126" s="41">
        <f>IF(AP124=0,"",-AP125/AP124)</f>
        <v>0</v>
      </c>
      <c r="AQ126" s="12">
        <f>IF(AQ124=0,"",-AQ125/AQ124)</f>
        <v>0</v>
      </c>
      <c r="AR126" s="41">
        <f>IF(AR124=0,"",-AR125/AR124)</f>
        <v>0</v>
      </c>
      <c r="AS126" s="41">
        <f>IF(AS124=0,"",-AS125/AS124)</f>
        <v>0</v>
      </c>
      <c r="AT126" s="41">
        <f>IF(AT124=0,"",-AT125/AT124)</f>
        <v>0</v>
      </c>
      <c r="AU126" s="41">
        <f>IF(AU124=0,"",-AU125/AU124)</f>
        <v>0</v>
      </c>
      <c r="AV126" s="12">
        <f>IF(AV124=0,"",-AV125/AV124)</f>
        <v>0</v>
      </c>
      <c r="AW126" s="41">
        <f>IF(AW124=0,"",-AW125/AW124)</f>
        <v>0</v>
      </c>
      <c r="AX126" s="41">
        <f>IF(AX124=0,"",-AX125/AX124)</f>
        <v>0</v>
      </c>
      <c r="AY126" s="41">
        <f>IF(AY124=0,"",-AY125/AY124)</f>
        <v>0</v>
      </c>
      <c r="AZ126" s="41">
        <f>IF(AZ124=0,"",-AZ125/AZ124)</f>
        <v>0</v>
      </c>
      <c r="BA126" s="12">
        <f>IF(BA124=0,"",-BA125/BA124)</f>
        <v>0</v>
      </c>
      <c r="BB126" s="41">
        <f>IF(BB124=0,"",-BB125/BB124)</f>
        <v>0</v>
      </c>
      <c r="BC126" s="41">
        <f>IF(BC124=0,"",-BC125/BC124)</f>
        <v>0</v>
      </c>
      <c r="BD126" s="41">
        <f>IF(BD124=0,"",-BD125/BD124)</f>
        <v>0</v>
      </c>
      <c r="BE126" s="41">
        <f>IF(BE124=0,"",-BE125/BE124)</f>
        <v>0</v>
      </c>
      <c r="BF126" s="12">
        <f>IF(BF124=0,"",-BF125/BF124)</f>
        <v>0</v>
      </c>
      <c r="BG126" s="41" t="n"/>
      <c r="BH126" s="41" t="n"/>
      <c r="BI126" s="41" t="n"/>
      <c r="BJ126" s="41" t="n"/>
      <c r="BK126" s="12" t="n"/>
      <c r="BL126" s="41" t="n"/>
      <c r="BM126" s="41" t="n"/>
      <c r="BN126" s="41" t="n"/>
      <c r="BO126" s="41" t="n"/>
      <c r="BP126" s="12" t="n"/>
      <c r="BQ126" s="41" t="n"/>
      <c r="BR126" s="41" t="n"/>
      <c r="BS126" s="41" t="n"/>
      <c r="BT126" s="41" t="n"/>
      <c r="BU126" s="12" t="n"/>
      <c r="BV126" s="41" t="n"/>
      <c r="BW126" s="41" t="n"/>
      <c r="BX126" s="41" t="n"/>
      <c r="BY126" s="41" t="n"/>
      <c r="BZ126" s="12" t="n"/>
      <c r="CA126" s="41" t="n"/>
      <c r="CB126" s="41" t="n"/>
      <c r="CC126" s="41" t="n"/>
      <c r="CD126" s="41" t="n"/>
      <c r="CE126" s="12" t="n"/>
      <c r="CF126" s="41" t="n"/>
      <c r="CG126" s="41" t="n"/>
      <c r="CH126" s="41" t="n"/>
      <c r="CI126" s="41" t="n"/>
      <c r="CJ126" s="12" t="n"/>
      <c r="CK126" s="41" t="n"/>
      <c r="CL126" s="41" t="n"/>
      <c r="CM126" s="41" t="n"/>
      <c r="CN126" s="41" t="n"/>
      <c r="CO126" s="12" t="n"/>
      <c r="CP126" s="41" t="n"/>
      <c r="CQ126" s="41" t="n"/>
      <c r="CR126" s="41" t="n"/>
      <c r="CS126" s="41" t="n"/>
      <c r="CT126" s="12" t="n"/>
      <c r="CU126" s="41" t="n"/>
      <c r="CV126" s="41" t="n"/>
      <c r="CW126" s="41" t="n"/>
      <c r="CX126" s="41" t="n"/>
      <c r="CY126" s="12" t="n"/>
    </row>
    <row r="127" hidden="1" outlineLevel="1">
      <c r="C127" s="18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18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 ht="11.25" customHeight="1">
      <c r="C129" s="31" t="inlineStr">
        <is>
          <t>Balance Sheet</t>
        </is>
      </c>
      <c r="D129" s="31" t="n"/>
      <c r="E129" s="31" t="n"/>
      <c r="F129" s="31" t="n"/>
      <c r="G129" s="31" t="n"/>
      <c r="H129" s="31" t="n"/>
      <c r="I129" s="31" t="str">
        <f>I13</f>
        <v>1Q21</v>
      </c>
      <c r="J129" s="31" t="str">
        <f>J13</f>
        <v>2Q21</v>
      </c>
      <c r="K129" s="31" t="str">
        <f>K13</f>
        <v>3Q21</v>
      </c>
      <c r="L129" s="31" t="str">
        <f>L13</f>
        <v>4Q21</v>
      </c>
      <c r="M129" s="31">
        <f>M13</f>
        <v>2021</v>
      </c>
      <c r="N129" s="31" t="str">
        <f>N13</f>
        <v>1Q22</v>
      </c>
      <c r="O129" s="31" t="str">
        <f>O13</f>
        <v>2Q22</v>
      </c>
      <c r="P129" s="31" t="str">
        <f>P13</f>
        <v>3Q22</v>
      </c>
      <c r="Q129" s="31" t="str">
        <f>Q13</f>
        <v>4Q22</v>
      </c>
      <c r="R129" s="31">
        <f>R13</f>
        <v>2022</v>
      </c>
      <c r="S129" s="31" t="str">
        <f>S13</f>
        <v>1Q23</v>
      </c>
      <c r="T129" s="31" t="str">
        <f>T13</f>
        <v>2Q23</v>
      </c>
      <c r="U129" s="31" t="str">
        <f>U13</f>
        <v>3Q23</v>
      </c>
      <c r="V129" s="31" t="str">
        <f>V13</f>
        <v>4Q23</v>
      </c>
      <c r="W129" s="31">
        <f>W13</f>
        <v>2023</v>
      </c>
      <c r="X129" s="31" t="str">
        <f>X13</f>
        <v>1Q24</v>
      </c>
      <c r="Y129" s="31" t="str">
        <f>Y13</f>
        <v>2Q24</v>
      </c>
      <c r="Z129" s="31" t="str">
        <f>Z13</f>
        <v>3Q24</v>
      </c>
      <c r="AA129" s="31" t="str">
        <f>AA13</f>
        <v>4Q24</v>
      </c>
      <c r="AB129" s="31">
        <f>AB13</f>
        <v>2024</v>
      </c>
      <c r="AC129" s="31" t="str">
        <f>AC13</f>
        <v>1Q25</v>
      </c>
      <c r="AD129" s="31" t="str">
        <f>AD13</f>
        <v>2Q25</v>
      </c>
      <c r="AE129" s="31" t="str">
        <f>AE13</f>
        <v>3Q25</v>
      </c>
      <c r="AF129" s="31" t="str">
        <f>AF13</f>
        <v>4Q25</v>
      </c>
      <c r="AG129" s="31">
        <f>AG13</f>
        <v>2025</v>
      </c>
      <c r="AH129" s="31" t="str">
        <f>AH13</f>
        <v>1Q26</v>
      </c>
      <c r="AI129" s="31" t="str">
        <f>AI13</f>
        <v>2Q26</v>
      </c>
      <c r="AJ129" s="31" t="str">
        <f>AJ13</f>
        <v>3Q26</v>
      </c>
      <c r="AK129" s="31" t="str">
        <f>AK13</f>
        <v>4Q26</v>
      </c>
      <c r="AL129" s="31">
        <f>AL13</f>
        <v>2026</v>
      </c>
      <c r="AM129" s="31" t="str">
        <f>AM13</f>
        <v>1Q27</v>
      </c>
      <c r="AN129" s="31" t="str">
        <f>AN13</f>
        <v>2Q27</v>
      </c>
      <c r="AO129" s="31" t="str">
        <f>AO13</f>
        <v>3Q27</v>
      </c>
      <c r="AP129" s="31" t="str">
        <f>AP13</f>
        <v>4Q27</v>
      </c>
      <c r="AQ129" s="31">
        <f>AQ13</f>
        <v>2027</v>
      </c>
      <c r="AR129" s="31" t="str">
        <f>AR13</f>
        <v>1Q28</v>
      </c>
      <c r="AS129" s="31" t="str">
        <f>AS13</f>
        <v>2Q28</v>
      </c>
      <c r="AT129" s="31" t="str">
        <f>AT13</f>
        <v>3Q28</v>
      </c>
      <c r="AU129" s="31" t="str">
        <f>AU13</f>
        <v>4Q28</v>
      </c>
      <c r="AV129" s="31">
        <f>AV13</f>
        <v>2028</v>
      </c>
      <c r="AW129" s="31" t="str">
        <f>AW13</f>
        <v>1Q29</v>
      </c>
      <c r="AX129" s="31" t="str">
        <f>AX13</f>
        <v>2Q29</v>
      </c>
      <c r="AY129" s="31" t="str">
        <f>AY13</f>
        <v>3Q29</v>
      </c>
      <c r="AZ129" s="31" t="str">
        <f>AZ13</f>
        <v>4Q29</v>
      </c>
      <c r="BA129" s="31">
        <f>BA13</f>
        <v>2029</v>
      </c>
      <c r="BB129" s="31" t="str">
        <f>BB13</f>
        <v>1Q30</v>
      </c>
      <c r="BC129" s="31" t="str">
        <f>BC13</f>
        <v>2Q30</v>
      </c>
      <c r="BD129" s="31" t="str">
        <f>BD13</f>
        <v>3Q30</v>
      </c>
      <c r="BE129" s="31" t="str">
        <f>BE13</f>
        <v>4Q30</v>
      </c>
      <c r="BF129" s="31">
        <f>BF13</f>
        <v>2030</v>
      </c>
      <c r="BG129" s="31" t="n"/>
      <c r="BH129" s="31" t="n"/>
      <c r="BI129" s="31" t="n"/>
      <c r="BJ129" s="31" t="n"/>
      <c r="BK129" s="31" t="n"/>
      <c r="BL129" s="31" t="n"/>
      <c r="BM129" s="31" t="n"/>
      <c r="BN129" s="31" t="n"/>
      <c r="BO129" s="31" t="n"/>
      <c r="BP129" s="31" t="n"/>
      <c r="BQ129" s="31" t="n"/>
      <c r="BR129" s="31" t="n"/>
      <c r="BS129" s="31" t="n"/>
      <c r="BT129" s="31" t="n"/>
      <c r="BU129" s="31" t="n"/>
      <c r="BV129" s="31" t="n"/>
      <c r="BW129" s="31" t="n"/>
      <c r="BX129" s="31" t="n"/>
      <c r="BY129" s="31" t="n"/>
      <c r="BZ129" s="31" t="n"/>
      <c r="CA129" s="31" t="n"/>
      <c r="CB129" s="31" t="n"/>
      <c r="CC129" s="31" t="n"/>
      <c r="CD129" s="31" t="n"/>
      <c r="CE129" s="31" t="n"/>
      <c r="CF129" s="31" t="n"/>
      <c r="CG129" s="31" t="n"/>
      <c r="CH129" s="31" t="n"/>
      <c r="CI129" s="31" t="n"/>
      <c r="CJ129" s="31" t="n"/>
      <c r="CK129" s="31" t="n"/>
      <c r="CL129" s="31" t="n"/>
      <c r="CM129" s="31" t="n"/>
      <c r="CN129" s="31" t="n"/>
      <c r="CO129" s="31" t="n"/>
      <c r="CP129" s="31" t="n"/>
      <c r="CQ129" s="31" t="n"/>
      <c r="CR129" s="31" t="n"/>
      <c r="CS129" s="31" t="n"/>
      <c r="CT129" s="31" t="n"/>
      <c r="CU129" s="31" t="n"/>
      <c r="CV129" s="31" t="n"/>
      <c r="CW129" s="31" t="n"/>
      <c r="CX129" s="31" t="n"/>
      <c r="CY129" s="31" t="n"/>
    </row>
    <row r="130">
      <c r="C130" s="18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>
      <c r="C131" s="13" t="inlineStr">
        <is>
          <t>Cash and equivalents (inc. investment securities)</t>
        </is>
      </c>
      <c r="D131" s="46" t="n"/>
      <c r="E131" s="46" t="n"/>
      <c r="F131" s="46" t="n"/>
      <c r="G131" s="46" t="n"/>
      <c r="H131" s="12" t="n"/>
      <c r="I131" s="46">
        <f>'Inputs (2)'!D15</f>
        <v>7182</v>
      </c>
      <c r="J131" s="46">
        <f>'Inputs (2)'!E15</f>
        <v>7519</v>
      </c>
      <c r="K131" s="46">
        <f>'Inputs (2)'!F15</f>
        <v>8017</v>
      </c>
      <c r="L131" s="46">
        <f>'Inputs (2)'!G15</f>
        <v>4472</v>
      </c>
      <c r="M131" s="12">
        <f>'Inputs (2)'!H15</f>
        <v>4472</v>
      </c>
      <c r="N131" s="46">
        <f>'Inputs (2)'!I15</f>
        <v>3878</v>
      </c>
      <c r="O131" s="46">
        <f>'Inputs (2)'!J15</f>
        <v>4359</v>
      </c>
      <c r="P131" s="46">
        <f>'Inputs (2)'!K15</f>
        <v>4774</v>
      </c>
      <c r="Q131" s="46">
        <f>'Inputs (2)'!L15</f>
        <v>3976</v>
      </c>
      <c r="R131" s="12">
        <f>'Inputs (2)'!M15</f>
        <v>3976</v>
      </c>
      <c r="S131" s="46">
        <f>'Inputs (2)'!N15</f>
        <v>5267</v>
      </c>
      <c r="T131" s="46">
        <f>'Inputs (2)'!O15</f>
        <v>6576</v>
      </c>
      <c r="U131" s="46">
        <f>'Inputs (2)'!P15</f>
        <v>7458</v>
      </c>
      <c r="V131" s="46">
        <f>'Inputs (2)'!Q15</f>
        <v>5137</v>
      </c>
      <c r="W131" s="12">
        <f>'Inputs (2)'!R15</f>
        <v>5137</v>
      </c>
      <c r="X131" s="46">
        <f>'Inputs (2)'!S15</f>
        <v>5553</v>
      </c>
      <c r="Y131" s="46">
        <f>'Inputs (2)'!T15</f>
        <v>7004</v>
      </c>
      <c r="Z131" s="46">
        <f>'Inputs (2)'!U15</f>
        <v>7324</v>
      </c>
      <c r="AA131" s="46">
        <f>'Inputs (2)'!V15</f>
        <v>6601</v>
      </c>
      <c r="AB131" s="12">
        <f>'Inputs (2)'!W15</f>
        <v>6601</v>
      </c>
      <c r="AC131" s="46">
        <f>'Inputs (2)'!X15</f>
        <v>7991</v>
      </c>
      <c r="AD131" s="46">
        <f>'Inputs (2)'!Y15</f>
        <v>8580</v>
      </c>
      <c r="AE131" s="46">
        <f>'Inputs (2)'!Z15</f>
        <v>8276</v>
      </c>
      <c r="AF131" s="46">
        <f>'Inputs (2)'!AA15</f>
        <v>6798</v>
      </c>
      <c r="AG131" s="12">
        <f>'Inputs (2)'!AB15</f>
        <v>6798</v>
      </c>
      <c r="AH131" s="12">
        <f>'Inputs (2)'!AC15</f>
        <v>7905</v>
      </c>
      <c r="AI131" s="12">
        <f>'Inputs (2)'!AD15</f>
        <v>8928</v>
      </c>
      <c r="AJ131" s="12">
        <f>AJ260-SUM(AJ132,AJ136,AJ140,AJ141,AJ142,AJ148,AJ153,AJ163,AJ166,AJ167,AJ176)</f>
        <v>18701.1897966048</v>
      </c>
      <c r="AK131" s="12">
        <f>AK260-SUM(AK132,AK136,AK140,AK141,AK142,AK148,AK153,AK163,AK166,AK167,AK176)</f>
        <v>20222.7813840801</v>
      </c>
      <c r="AL131" s="12">
        <f>AK131</f>
        <v>20222.7813840801</v>
      </c>
      <c r="AM131" s="12">
        <f>AM260-SUM(AM132,AM136,AM140,AM141,AM142,AM148,AM153,AM163,AM166,AM167,AM176)</f>
        <v>22339.3309557123</v>
      </c>
      <c r="AN131" s="12">
        <f>AN260-SUM(AN132,AN136,AN140,AN141,AN142,AN148,AN153,AN163,AN166,AN167,AN176)</f>
        <v>24335.4007439641</v>
      </c>
      <c r="AO131" s="12">
        <f>AO260-SUM(AO132,AO136,AO140,AO141,AO142,AO148,AO153,AO163,AO166,AO167,AO176)</f>
        <v>26326.9920292757</v>
      </c>
      <c r="AP131" s="12">
        <f>AP260-SUM(AP132,AP136,AP140,AP141,AP142,AP148,AP153,AP163,AP166,AP167,AP176)</f>
        <v>27871.3831736302</v>
      </c>
      <c r="AQ131" s="12">
        <f>AP131</f>
        <v>27871.3831736302</v>
      </c>
      <c r="AR131" s="12">
        <f>AR260-SUM(AR132,AR136,AR140,AR141,AR142,AR148,AR153,AR163,AR166,AR167,AR176)</f>
        <v>30009.0644158746</v>
      </c>
      <c r="AS131" s="12">
        <f>AS260-SUM(AS132,AS136,AS140,AS141,AS142,AS148,AS153,AS163,AS166,AS167,AS176)</f>
        <v>32025.0630023222</v>
      </c>
      <c r="AT131" s="12">
        <f>AT260-SUM(AT132,AT136,AT140,AT141,AT142,AT148,AT153,AT163,AT166,AT167,AT176)</f>
        <v>34036.5383723721</v>
      </c>
      <c r="AU131" s="12">
        <f>AU260-SUM(AU132,AU136,AU140,AU141,AU142,AU148,AU153,AU163,AU166,AU167,AU176)</f>
        <v>35596.3487468719</v>
      </c>
      <c r="AV131" s="12">
        <f>AU131</f>
        <v>35596.3487468719</v>
      </c>
      <c r="AW131" s="12">
        <f>AW260-SUM(AW132,AW136,AW140,AW141,AW142,AW148,AW153,AW163,AW166,AW167,AW176)</f>
        <v>37744.6842325129</v>
      </c>
      <c r="AX131" s="12">
        <f>AX260-SUM(AX132,AX136,AX140,AX141,AX142,AX148,AX153,AX163,AX166,AX167,AX176)</f>
        <v>39770.7305937188</v>
      </c>
      <c r="AY131" s="12">
        <f>AY260-SUM(AY132,AY136,AY140,AY141,AY142,AY148,AY153,AY163,AY166,AY167,AY176)</f>
        <v>41792.2311947318</v>
      </c>
      <c r="AZ131" s="12">
        <f>AZ260-SUM(AZ132,AZ136,AZ140,AZ141,AZ142,AZ148,AZ153,AZ163,AZ166,AZ167,AZ176)</f>
        <v>43359.8156933873</v>
      </c>
      <c r="BA131" s="12">
        <f>AZ131</f>
        <v>43359.8156933873</v>
      </c>
      <c r="BB131" s="12">
        <f>BB260-SUM(BB132,BB136,BB140,BB141,BB142,BB148,BB153,BB163,BB166,BB167,BB176)</f>
        <v>45508.1511790283</v>
      </c>
      <c r="BC131" s="12">
        <f>BC260-SUM(BC132,BC136,BC140,BC141,BC142,BC148,BC153,BC163,BC166,BC167,BC176)</f>
        <v>47534.1975402342</v>
      </c>
      <c r="BD131" s="12">
        <f>BD260-SUM(BD132,BD136,BD140,BD141,BD142,BD148,BD153,BD163,BD166,BD167,BD176)</f>
        <v>49555.6981412472</v>
      </c>
      <c r="BE131" s="12">
        <f>BE260-SUM(BE132,BE136,BE140,BE141,BE142,BE148,BE153,BE163,BE166,BE167,BE176)</f>
        <v>51123.2826399027</v>
      </c>
      <c r="BF131" s="12">
        <f>BE131</f>
        <v>51123.2826399027</v>
      </c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>
      <c r="C132" s="14" t="inlineStr">
        <is>
          <t>Accounts receivable</t>
        </is>
      </c>
      <c r="D132" s="46" t="n"/>
      <c r="E132" s="46" t="n"/>
      <c r="F132" s="46" t="n"/>
      <c r="G132" s="46" t="n"/>
      <c r="H132" s="12" t="n"/>
      <c r="I132" s="46">
        <f>'Inputs (2)'!D16</f>
        <v>0</v>
      </c>
      <c r="J132" s="46">
        <f>'Inputs (2)'!E16</f>
        <v>0</v>
      </c>
      <c r="K132" s="46">
        <f>'Inputs (2)'!F16</f>
        <v>0</v>
      </c>
      <c r="L132" s="46">
        <f>'Inputs (2)'!G16</f>
        <v>0</v>
      </c>
      <c r="M132" s="12">
        <f>'Inputs (2)'!H16</f>
        <v>0</v>
      </c>
      <c r="N132" s="46">
        <f>'Inputs (2)'!I16</f>
        <v>0</v>
      </c>
      <c r="O132" s="46">
        <f>'Inputs (2)'!J16</f>
        <v>0</v>
      </c>
      <c r="P132" s="46">
        <f>'Inputs (2)'!K16</f>
        <v>0</v>
      </c>
      <c r="Q132" s="46">
        <f>'Inputs (2)'!L16</f>
        <v>0</v>
      </c>
      <c r="R132" s="12">
        <f>'Inputs (2)'!M16</f>
        <v>0</v>
      </c>
      <c r="S132" s="46">
        <f>'Inputs (2)'!N16</f>
        <v>0</v>
      </c>
      <c r="T132" s="46">
        <f>'Inputs (2)'!O16</f>
        <v>0</v>
      </c>
      <c r="U132" s="46">
        <f>'Inputs (2)'!P16</f>
        <v>0</v>
      </c>
      <c r="V132" s="46">
        <f>'Inputs (2)'!Q16</f>
        <v>0</v>
      </c>
      <c r="W132" s="12">
        <f>'Inputs (2)'!R16</f>
        <v>0</v>
      </c>
      <c r="X132" s="46">
        <f>'Inputs (2)'!S16</f>
        <v>0</v>
      </c>
      <c r="Y132" s="46">
        <f>'Inputs (2)'!T16</f>
        <v>0</v>
      </c>
      <c r="Z132" s="46">
        <f>'Inputs (2)'!U16</f>
        <v>0</v>
      </c>
      <c r="AA132" s="46">
        <f>'Inputs (2)'!V16</f>
        <v>0</v>
      </c>
      <c r="AB132" s="12">
        <f>'Inputs (2)'!W16</f>
        <v>0</v>
      </c>
      <c r="AC132" s="46">
        <f>'Inputs (2)'!X16</f>
        <v>0</v>
      </c>
      <c r="AD132" s="46">
        <f>'Inputs (2)'!Y16</f>
        <v>0</v>
      </c>
      <c r="AE132" s="46">
        <f>'Inputs (2)'!Z16</f>
        <v>0</v>
      </c>
      <c r="AF132" s="46">
        <f>'Inputs (2)'!AA16</f>
        <v>0</v>
      </c>
      <c r="AG132" s="12">
        <f>'Inputs (2)'!AB16</f>
        <v>0</v>
      </c>
      <c r="AH132" s="12">
        <f>'Inputs (2)'!AC16</f>
        <v>0</v>
      </c>
      <c r="AI132" s="12">
        <f>'Inputs (2)'!AD16</f>
        <v>0</v>
      </c>
      <c r="AJ132" s="12">
        <f>(AJ133/(AJ$5-AI$5))*AJ$15</f>
        <v>0</v>
      </c>
      <c r="AK132" s="12">
        <f>(AK133/(AK$5-AJ$5))*AK$15</f>
        <v>0</v>
      </c>
      <c r="AL132" s="12">
        <f>AK132</f>
        <v>0</v>
      </c>
      <c r="AM132" s="12">
        <f>(AM133/(AM$5-AL$5))*AM$15</f>
        <v>0</v>
      </c>
      <c r="AN132" s="12">
        <f>(AN133/(AN$5-AM$5))*AN$15</f>
        <v>0</v>
      </c>
      <c r="AO132" s="12">
        <f>(AO133/(AO$5-AN$5))*AO$15</f>
        <v>0</v>
      </c>
      <c r="AP132" s="12">
        <f>(AP133/(AP$5-AO$5))*AP$15</f>
        <v>0</v>
      </c>
      <c r="AQ132" s="12">
        <f>AP132</f>
        <v>0</v>
      </c>
      <c r="AR132" s="12">
        <f>(AR133/(AR$5-AQ$5))*AR$15</f>
        <v>0</v>
      </c>
      <c r="AS132" s="12">
        <f>(AS133/(AS$5-AR$5))*AS$15</f>
        <v>0</v>
      </c>
      <c r="AT132" s="12">
        <f>(AT133/(AT$5-AS$5))*AT$15</f>
        <v>0</v>
      </c>
      <c r="AU132" s="12">
        <f>(AU133/(AU$5-AT$5))*AU$15</f>
        <v>0</v>
      </c>
      <c r="AV132" s="12">
        <f>AU132</f>
        <v>0</v>
      </c>
      <c r="AW132" s="12">
        <f>(AW133/(AW$5-AV$5))*AW$15</f>
        <v>0</v>
      </c>
      <c r="AX132" s="12">
        <f>(AX133/(AX$5-AW$5))*AX$15</f>
        <v>0</v>
      </c>
      <c r="AY132" s="12">
        <f>(AY133/(AY$5-AX$5))*AY$15</f>
        <v>0</v>
      </c>
      <c r="AZ132" s="12">
        <f>(AZ133/(AZ$5-AY$5))*AZ$15</f>
        <v>0</v>
      </c>
      <c r="BA132" s="12">
        <f>AZ132</f>
        <v>0</v>
      </c>
      <c r="BB132" s="12">
        <f>(BB133/(BB$5-BA$5))*BB$15</f>
        <v>0</v>
      </c>
      <c r="BC132" s="12">
        <f>(BC133/(BC$5-BB$5))*BC$15</f>
        <v>0</v>
      </c>
      <c r="BD132" s="12">
        <f>(BD133/(BD$5-BC$5))*BD$15</f>
        <v>0</v>
      </c>
      <c r="BE132" s="12">
        <f>(BE133/(BE$5-BD$5))*BE$15</f>
        <v>0</v>
      </c>
      <c r="BF132" s="12">
        <f>BE132</f>
        <v>0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inlineStr">
        <is>
          <t>DSO</t>
        </is>
      </c>
      <c r="D133" s="12" t="n"/>
      <c r="E133" s="12" t="n"/>
      <c r="F133" s="12" t="n"/>
      <c r="G133" s="12" t="n"/>
      <c r="H133" s="12" t="n"/>
      <c r="I133" s="12">
        <f>IFERROR((I132/I$15)*(I$5-H$5),"")</f>
        <v>0</v>
      </c>
      <c r="J133" s="12">
        <f>IFERROR((J132/J$15)*(J$5-I$5),"")</f>
        <v>0</v>
      </c>
      <c r="K133" s="12">
        <f>IFERROR((K132/K$15)*(K$5-J$5),"")</f>
        <v>0</v>
      </c>
      <c r="L133" s="12">
        <f>IFERROR((L132/L$15)*(L$5-K$5),"")</f>
        <v>0</v>
      </c>
      <c r="M133" s="12" t="n"/>
      <c r="N133" s="12">
        <f>IFERROR((N132/N$15)*(N$5-M$5),"")</f>
        <v>0</v>
      </c>
      <c r="O133" s="12">
        <f>IFERROR((O132/O$15)*(O$5-N$5),"")</f>
        <v>0</v>
      </c>
      <c r="P133" s="12">
        <f>IFERROR((P132/P$15)*(P$5-O$5),"")</f>
        <v>0</v>
      </c>
      <c r="Q133" s="12">
        <f>IFERROR((Q132/Q$15)*(Q$5-P$5),"")</f>
        <v>0</v>
      </c>
      <c r="R133" s="12" t="n"/>
      <c r="S133" s="12">
        <f>IFERROR((S132/S$15)*(S$5-R$5),"")</f>
        <v>0</v>
      </c>
      <c r="T133" s="12">
        <f>IFERROR((T132/T$15)*(T$5-S$5),"")</f>
        <v>0</v>
      </c>
      <c r="U133" s="12">
        <f>IFERROR((U132/U$15)*(U$5-T$5),"")</f>
        <v>0</v>
      </c>
      <c r="V133" s="12">
        <f>IFERROR((V132/V$15)*(V$5-U$5),"")</f>
        <v>0</v>
      </c>
      <c r="W133" s="12" t="n"/>
      <c r="X133" s="12">
        <f>IFERROR((X132/X$15)*(X$5-W$5),"")</f>
        <v>0</v>
      </c>
      <c r="Y133" s="12">
        <f>IFERROR((Y132/Y$15)*(Y$5-X$5),"")</f>
        <v>0</v>
      </c>
      <c r="Z133" s="12">
        <f>IFERROR((Z132/Z$15)*(Z$5-Y$5),"")</f>
        <v>0</v>
      </c>
      <c r="AA133" s="12">
        <f>IFERROR((AA132/AA$15)*(AA$5-Z$5),"")</f>
        <v>0</v>
      </c>
      <c r="AB133" s="12" t="n"/>
      <c r="AC133" s="12">
        <f>IFERROR((AC132/AC$15)*(AC$5-AB$5),"")</f>
        <v>0</v>
      </c>
      <c r="AD133" s="12">
        <f>IFERROR((AD132/AD$15)*(AD$5-AC$5),"")</f>
        <v>0</v>
      </c>
      <c r="AE133" s="12">
        <f>IFERROR((AE132/AE$15)*(AE$5-AD$5),"")</f>
        <v>0</v>
      </c>
      <c r="AF133" s="11">
        <f>IFERROR((AF132/AF$15)*(AF$5-AE$5),"")</f>
        <v>0</v>
      </c>
      <c r="AG133" s="12" t="n"/>
      <c r="AH133" s="11">
        <f>IFERROR((AH132/AH$15)*(AH$5-AG$5),"")</f>
        <v>0</v>
      </c>
      <c r="AI133" s="11">
        <f>IFERROR((AI132/AI$15)*(AI$5-AH$5),"")</f>
        <v>0</v>
      </c>
      <c r="AJ133" s="11">
        <f>Control!$B$25</f>
        <v>0</v>
      </c>
      <c r="AK133" s="11">
        <f>Control!$B$25</f>
        <v>0</v>
      </c>
      <c r="AL133" s="12" t="n"/>
      <c r="AM133" s="11">
        <f>Control!$C$25</f>
        <v>0</v>
      </c>
      <c r="AN133" s="11">
        <f>Control!$C$25</f>
        <v>0</v>
      </c>
      <c r="AO133" s="11">
        <f>Control!$C$25</f>
        <v>0</v>
      </c>
      <c r="AP133" s="11">
        <f>Control!$C$25</f>
        <v>0</v>
      </c>
      <c r="AQ133" s="12" t="n"/>
      <c r="AR133" s="11">
        <f>Control!$D$25</f>
        <v>0</v>
      </c>
      <c r="AS133" s="11">
        <f>Control!$D$25</f>
        <v>0</v>
      </c>
      <c r="AT133" s="11">
        <f>Control!$D$25</f>
        <v>0</v>
      </c>
      <c r="AU133" s="11">
        <f>Control!$D$25</f>
        <v>0</v>
      </c>
      <c r="AV133" s="12" t="n"/>
      <c r="AW133" s="11">
        <f>Control!$E$25</f>
        <v>0</v>
      </c>
      <c r="AX133" s="11">
        <f>Control!$E$25</f>
        <v>0</v>
      </c>
      <c r="AY133" s="11">
        <f>Control!$E$25</f>
        <v>0</v>
      </c>
      <c r="AZ133" s="11">
        <f>Control!$E$25</f>
        <v>0</v>
      </c>
      <c r="BA133" s="12" t="n"/>
      <c r="BB133" s="11">
        <f>Control!$F$25</f>
        <v>0</v>
      </c>
      <c r="BC133" s="11">
        <f>Control!$F$25</f>
        <v>0</v>
      </c>
      <c r="BD133" s="11">
        <f>Control!$F$25</f>
        <v>0</v>
      </c>
      <c r="BE133" s="11">
        <f>Control!$F$25</f>
        <v>0</v>
      </c>
      <c r="BF133" s="12" t="n"/>
      <c r="BG133" s="11" t="n"/>
      <c r="BH133" s="11" t="n"/>
      <c r="BI133" s="11" t="n"/>
      <c r="BJ133" s="11" t="n"/>
      <c r="BK133" s="12" t="n"/>
      <c r="BL133" s="11" t="n"/>
      <c r="BM133" s="11" t="n"/>
      <c r="BN133" s="11" t="n"/>
      <c r="BO133" s="11" t="n"/>
      <c r="BP133" s="12" t="n"/>
      <c r="BQ133" s="11" t="n"/>
      <c r="BR133" s="11" t="n"/>
      <c r="BS133" s="11" t="n"/>
      <c r="BT133" s="11" t="n"/>
      <c r="BU133" s="12" t="n"/>
      <c r="BV133" s="11" t="n"/>
      <c r="BW133" s="11" t="n"/>
      <c r="BX133" s="11" t="n"/>
      <c r="BY133" s="11" t="n"/>
      <c r="BZ133" s="12" t="n"/>
      <c r="CA133" s="11" t="n"/>
      <c r="CB133" s="11" t="n"/>
      <c r="CC133" s="11" t="n"/>
      <c r="CD133" s="11" t="n"/>
      <c r="CE133" s="12" t="n"/>
      <c r="CF133" s="11" t="n"/>
      <c r="CG133" s="11" t="n"/>
      <c r="CH133" s="11" t="n"/>
      <c r="CI133" s="11" t="n"/>
      <c r="CJ133" s="12" t="n"/>
      <c r="CK133" s="11" t="n"/>
      <c r="CL133" s="11" t="n"/>
      <c r="CM133" s="11" t="n"/>
      <c r="CN133" s="11" t="n"/>
      <c r="CO133" s="12" t="n"/>
      <c r="CP133" s="11" t="n"/>
      <c r="CQ133" s="11" t="n"/>
      <c r="CR133" s="11" t="n"/>
      <c r="CS133" s="11" t="n"/>
      <c r="CT133" s="12" t="n"/>
      <c r="CU133" s="11" t="n"/>
      <c r="CV133" s="11" t="n"/>
      <c r="CW133" s="11" t="n"/>
      <c r="CX133" s="11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collapsed="1">
      <c r="C136" s="14" t="inlineStr">
        <is>
          <t>Inventories</t>
        </is>
      </c>
      <c r="D136" s="46" t="n"/>
      <c r="E136" s="46" t="n"/>
      <c r="F136" s="46" t="n"/>
      <c r="G136" s="46" t="n"/>
      <c r="H136" s="12" t="n"/>
      <c r="I136" s="46">
        <f>'Inputs (2)'!D17</f>
        <v>6042</v>
      </c>
      <c r="J136" s="46">
        <f>'Inputs (2)'!E17</f>
        <v>6410</v>
      </c>
      <c r="K136" s="46">
        <f>'Inputs (2)'!F17</f>
        <v>6781</v>
      </c>
      <c r="L136" s="46">
        <f>'Inputs (2)'!G17</f>
        <v>7935</v>
      </c>
      <c r="M136" s="12">
        <f>'Inputs (2)'!H17</f>
        <v>7935</v>
      </c>
      <c r="N136" s="46">
        <f>'Inputs (2)'!I17</f>
        <v>9030</v>
      </c>
      <c r="O136" s="46">
        <f>'Inputs (2)'!J17</f>
        <v>9121</v>
      </c>
      <c r="P136" s="46">
        <f>'Inputs (2)'!K17</f>
        <v>8495</v>
      </c>
      <c r="Q136" s="46">
        <f>'Inputs (2)'!L17</f>
        <v>10056</v>
      </c>
      <c r="R136" s="12">
        <f>'Inputs (2)'!M17</f>
        <v>10056</v>
      </c>
      <c r="S136" s="46">
        <f>'Inputs (2)'!N17</f>
        <v>9713</v>
      </c>
      <c r="T136" s="46">
        <f>'Inputs (2)'!O17</f>
        <v>9350</v>
      </c>
      <c r="U136" s="46">
        <f>'Inputs (2)'!P17</f>
        <v>8160</v>
      </c>
      <c r="V136" s="46">
        <f>'Inputs (2)'!Q17</f>
        <v>8937</v>
      </c>
      <c r="W136" s="12">
        <f>'Inputs (2)'!R17</f>
        <v>8937</v>
      </c>
      <c r="X136" s="46">
        <f>'Inputs (2)'!S17</f>
        <v>8443</v>
      </c>
      <c r="Y136" s="46">
        <f>'Inputs (2)'!T17</f>
        <v>7696</v>
      </c>
      <c r="Z136" s="46">
        <f>'Inputs (2)'!U17</f>
        <v>7093</v>
      </c>
      <c r="AA136" s="46">
        <f>'Inputs (2)'!V17</f>
        <v>7744</v>
      </c>
      <c r="AB136" s="12">
        <f>'Inputs (2)'!W17</f>
        <v>7744</v>
      </c>
      <c r="AC136" s="46">
        <f>'Inputs (2)'!X17</f>
        <v>7870</v>
      </c>
      <c r="AD136" s="46">
        <f>'Inputs (2)'!Y17</f>
        <v>7713</v>
      </c>
      <c r="AE136" s="46">
        <f>'Inputs (2)'!Z17</f>
        <v>7406</v>
      </c>
      <c r="AF136" s="46">
        <f>'Inputs (2)'!AA17</f>
        <v>8286</v>
      </c>
      <c r="AG136" s="12">
        <f>'Inputs (2)'!AB17</f>
        <v>8286</v>
      </c>
      <c r="AH136" s="12">
        <f>'Inputs (2)'!AC17</f>
        <v>8188</v>
      </c>
      <c r="AI136" s="12">
        <f>'Inputs (2)'!AD17</f>
        <v>7811</v>
      </c>
      <c r="AJ136" s="12">
        <f>(AJ137/(AJ$5-AI$5))*-AJ$41</f>
        <v>0</v>
      </c>
      <c r="AK136" s="12">
        <f>(AK137/(AK$5-AJ$5))*-AK$41</f>
        <v>0</v>
      </c>
      <c r="AL136" s="12">
        <f>AK136</f>
        <v>0</v>
      </c>
      <c r="AM136" s="12">
        <f>(AM137/(AM$5-AL$5))*-AM$41</f>
        <v>0</v>
      </c>
      <c r="AN136" s="12">
        <f>(AN137/(AN$5-AM$5))*-AN$41</f>
        <v>0</v>
      </c>
      <c r="AO136" s="12">
        <f>(AO137/(AO$5-AN$5))*-AO$41</f>
        <v>0</v>
      </c>
      <c r="AP136" s="12">
        <f>(AP137/(AP$5-AO$5))*-AP$41</f>
        <v>0</v>
      </c>
      <c r="AQ136" s="12">
        <f>AP136</f>
        <v>0</v>
      </c>
      <c r="AR136" s="12">
        <f>(AR137/(AR$5-AQ$5))*-AR$41</f>
        <v>0</v>
      </c>
      <c r="AS136" s="12">
        <f>(AS137/(AS$5-AR$5))*-AS$41</f>
        <v>0</v>
      </c>
      <c r="AT136" s="12">
        <f>(AT137/(AT$5-AS$5))*-AT$41</f>
        <v>0</v>
      </c>
      <c r="AU136" s="12">
        <f>(AU137/(AU$5-AT$5))*-AU$41</f>
        <v>0</v>
      </c>
      <c r="AV136" s="12">
        <f>AU136</f>
        <v>0</v>
      </c>
      <c r="AW136" s="12">
        <f>(AW137/(AW$5-AV$5))*-AW$41</f>
        <v>0</v>
      </c>
      <c r="AX136" s="12">
        <f>(AX137/(AX$5-AW$5))*-AX$41</f>
        <v>0</v>
      </c>
      <c r="AY136" s="12">
        <f>(AY137/(AY$5-AX$5))*-AY$41</f>
        <v>0</v>
      </c>
      <c r="AZ136" s="12">
        <f>(AZ137/(AZ$5-AY$5))*-AZ$41</f>
        <v>0</v>
      </c>
      <c r="BA136" s="12">
        <f>AZ136</f>
        <v>0</v>
      </c>
      <c r="BB136" s="12">
        <f>(BB137/(BB$5-BA$5))*-BB$41</f>
        <v>0</v>
      </c>
      <c r="BC136" s="12">
        <f>(BC137/(BC$5-BB$5))*-BC$41</f>
        <v>0</v>
      </c>
      <c r="BD136" s="12">
        <f>(BD137/(BD$5-BC$5))*-BD$41</f>
        <v>0</v>
      </c>
      <c r="BE136" s="12">
        <f>(BE137/(BE$5-BD$5))*-BE$41</f>
        <v>0</v>
      </c>
      <c r="BF136" s="12">
        <f>BE136</f>
        <v>0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hidden="1" outlineLevel="1">
      <c r="C137" s="57" t="inlineStr">
        <is>
          <t>DIO</t>
        </is>
      </c>
      <c r="D137" s="12" t="n"/>
      <c r="E137" s="12" t="n"/>
      <c r="F137" s="12" t="n"/>
      <c r="G137" s="12" t="n"/>
      <c r="H137" s="12" t="n"/>
      <c r="I137" s="12" t="str">
        <f>IFERROR(((I136/I$41)*(I$5-H$5))*-1,"")</f>
        <v/>
      </c>
      <c r="J137" s="12" t="str">
        <f>IFERROR(((J136/J$41)*(J$5-I$5))*-1,"")</f>
        <v/>
      </c>
      <c r="K137" s="12" t="str">
        <f>IFERROR(((K136/K$41)*(K$5-J$5))*-1,"")</f>
        <v/>
      </c>
      <c r="L137" s="12" t="str">
        <f>IFERROR(((L136/L$41)*(L$5-K$5))*-1,"")</f>
        <v/>
      </c>
      <c r="M137" s="12" t="n"/>
      <c r="N137" s="12" t="str">
        <f>IFERROR(((N136/N$41)*(N$5-M$5))*-1,"")</f>
        <v/>
      </c>
      <c r="O137" s="12" t="str">
        <f>IFERROR(((O136/O$41)*(O$5-N$5))*-1,"")</f>
        <v/>
      </c>
      <c r="P137" s="12" t="str">
        <f>IFERROR(((P136/P$41)*(P$5-O$5))*-1,"")</f>
        <v/>
      </c>
      <c r="Q137" s="12" t="str">
        <f>IFERROR(((Q136/Q$41)*(Q$5-P$5))*-1,"")</f>
        <v/>
      </c>
      <c r="R137" s="12" t="n"/>
      <c r="S137" s="12" t="str">
        <f>IFERROR(((S136/S$41)*(S$5-R$5))*-1,"")</f>
        <v/>
      </c>
      <c r="T137" s="12" t="str">
        <f>IFERROR(((T136/T$41)*(T$5-S$5))*-1,"")</f>
        <v/>
      </c>
      <c r="U137" s="12" t="str">
        <f>IFERROR(((U136/U$41)*(U$5-T$5))*-1,"")</f>
        <v/>
      </c>
      <c r="V137" s="12" t="str">
        <f>IFERROR(((V136/V$41)*(V$5-U$5))*-1,"")</f>
        <v/>
      </c>
      <c r="W137" s="12" t="n"/>
      <c r="X137" s="12" t="str">
        <f>IFERROR(((X136/X$41)*(X$5-W$5))*-1,"")</f>
        <v/>
      </c>
      <c r="Y137" s="12" t="str">
        <f>IFERROR(((Y136/Y$41)*(Y$5-X$5))*-1,"")</f>
        <v/>
      </c>
      <c r="Z137" s="12" t="str">
        <f>IFERROR(((Z136/Z$41)*(Z$5-Y$5))*-1,"")</f>
        <v/>
      </c>
      <c r="AA137" s="12" t="str">
        <f>IFERROR(((AA136/AA$41)*(AA$5-Z$5))*-1,"")</f>
        <v/>
      </c>
      <c r="AB137" s="12" t="n"/>
      <c r="AC137" s="12" t="str">
        <f>IFERROR(((AC136/AC$41)*(AC$5-AB$5))*-1,"")</f>
        <v/>
      </c>
      <c r="AD137" s="12" t="str">
        <f>IFERROR(((AD136/AD$41)*(AD$5-AC$5))*-1,"")</f>
        <v/>
      </c>
      <c r="AE137" s="12" t="str">
        <f>IFERROR(((AE136/AE$41)*(AE$5-AD$5))*-1,"")</f>
        <v/>
      </c>
      <c r="AF137" s="11" t="str">
        <f>IFERROR(((AF136/AF$41)*(AF$5-AE$5))*-1,"")</f>
        <v/>
      </c>
      <c r="AG137" s="12" t="n"/>
      <c r="AH137" s="11" t="str">
        <f>IFERROR(((AH136/AH$41)*(AH$5-AG$5))*-1,"")</f>
        <v/>
      </c>
      <c r="AI137" s="11" t="str">
        <f>IFERROR(((AI136/AI$41)*(AI$5-AH$5))*-1,"")</f>
        <v/>
      </c>
      <c r="AJ137" s="11">
        <f>Control!$B$26</f>
        <v>0</v>
      </c>
      <c r="AK137" s="11">
        <f>Control!$B$26</f>
        <v>0</v>
      </c>
      <c r="AL137" s="12" t="n"/>
      <c r="AM137" s="11">
        <f>Control!$C$26</f>
        <v>0</v>
      </c>
      <c r="AN137" s="11">
        <f>Control!$C$26</f>
        <v>0</v>
      </c>
      <c r="AO137" s="11">
        <f>Control!$C$26</f>
        <v>0</v>
      </c>
      <c r="AP137" s="11">
        <f>Control!$C$26</f>
        <v>0</v>
      </c>
      <c r="AQ137" s="12" t="n"/>
      <c r="AR137" s="11">
        <f>Control!$D$26</f>
        <v>0</v>
      </c>
      <c r="AS137" s="11">
        <f>Control!$D$26</f>
        <v>0</v>
      </c>
      <c r="AT137" s="11">
        <f>Control!$D$26</f>
        <v>0</v>
      </c>
      <c r="AU137" s="11">
        <f>Control!$D$26</f>
        <v>0</v>
      </c>
      <c r="AV137" s="12" t="n"/>
      <c r="AW137" s="11">
        <f>Control!$E$26</f>
        <v>0</v>
      </c>
      <c r="AX137" s="11">
        <f>Control!$E$26</f>
        <v>0</v>
      </c>
      <c r="AY137" s="11">
        <f>Control!$E$26</f>
        <v>0</v>
      </c>
      <c r="AZ137" s="11">
        <f>Control!$E$26</f>
        <v>0</v>
      </c>
      <c r="BA137" s="12" t="n"/>
      <c r="BB137" s="11">
        <f>Control!$F$26</f>
        <v>0</v>
      </c>
      <c r="BC137" s="11">
        <f>Control!$F$26</f>
        <v>0</v>
      </c>
      <c r="BD137" s="11">
        <f>Control!$F$26</f>
        <v>0</v>
      </c>
      <c r="BE137" s="11">
        <f>Control!$F$26</f>
        <v>0</v>
      </c>
      <c r="BF137" s="12" t="n"/>
      <c r="BG137" s="11" t="n"/>
      <c r="BH137" s="11" t="n"/>
      <c r="BI137" s="11" t="n"/>
      <c r="BJ137" s="11" t="n"/>
      <c r="BK137" s="12" t="n"/>
      <c r="BL137" s="11" t="n"/>
      <c r="BM137" s="11" t="n"/>
      <c r="BN137" s="11" t="n"/>
      <c r="BO137" s="11" t="n"/>
      <c r="BP137" s="12" t="n"/>
      <c r="BQ137" s="11" t="n"/>
      <c r="BR137" s="11" t="n"/>
      <c r="BS137" s="11" t="n"/>
      <c r="BT137" s="11" t="n"/>
      <c r="BU137" s="12" t="n"/>
      <c r="BV137" s="11" t="n"/>
      <c r="BW137" s="11" t="n"/>
      <c r="BX137" s="11" t="n"/>
      <c r="BY137" s="11" t="n"/>
      <c r="BZ137" s="12" t="n"/>
      <c r="CA137" s="11" t="n"/>
      <c r="CB137" s="11" t="n"/>
      <c r="CC137" s="11" t="n"/>
      <c r="CD137" s="11" t="n"/>
      <c r="CE137" s="12" t="n"/>
      <c r="CF137" s="11" t="n"/>
      <c r="CG137" s="11" t="n"/>
      <c r="CH137" s="11" t="n"/>
      <c r="CI137" s="11" t="n"/>
      <c r="CJ137" s="12" t="n"/>
      <c r="CK137" s="11" t="n"/>
      <c r="CL137" s="11" t="n"/>
      <c r="CM137" s="11" t="n"/>
      <c r="CN137" s="11" t="n"/>
      <c r="CO137" s="12" t="n"/>
      <c r="CP137" s="11" t="n"/>
      <c r="CQ137" s="11" t="n"/>
      <c r="CR137" s="11" t="n"/>
      <c r="CS137" s="11" t="n"/>
      <c r="CT137" s="12" t="n"/>
      <c r="CU137" s="11" t="n"/>
      <c r="CV137" s="11" t="n"/>
      <c r="CW137" s="11" t="n"/>
      <c r="CX137" s="11" t="n"/>
      <c r="CY137" s="12" t="n"/>
    </row>
    <row r="138" hidden="1" outlineLevel="1">
      <c r="C138" s="57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collapsed="1">
      <c r="C140" s="14" t="inlineStr">
        <is>
          <t>Deferred income taxes</t>
        </is>
      </c>
      <c r="D140" s="46" t="n"/>
      <c r="E140" s="46" t="n"/>
      <c r="F140" s="46" t="n"/>
      <c r="G140" s="46" t="n"/>
      <c r="H140" s="12" t="n"/>
      <c r="I140" s="46">
        <f>'Inputs (2)'!D18</f>
        <v>1724</v>
      </c>
      <c r="J140" s="46">
        <f>'Inputs (2)'!E18</f>
        <v>1767</v>
      </c>
      <c r="K140" s="46">
        <f>'Inputs (2)'!F18</f>
        <v>1037</v>
      </c>
      <c r="L140" s="46">
        <f>'Inputs (2)'!G18</f>
        <v>923</v>
      </c>
      <c r="M140" s="12">
        <f>'Inputs (2)'!H18</f>
        <v>923</v>
      </c>
      <c r="N140" s="46">
        <f>'Inputs (2)'!I18</f>
        <v>1104</v>
      </c>
      <c r="O140" s="46">
        <f>'Inputs (2)'!J18</f>
        <v>1110</v>
      </c>
      <c r="P140" s="46">
        <f>'Inputs (2)'!K18</f>
        <v>824</v>
      </c>
      <c r="Q140" s="46">
        <f>'Inputs (2)'!L18</f>
        <v>914</v>
      </c>
      <c r="R140" s="12">
        <f>'Inputs (2)'!M18</f>
        <v>914</v>
      </c>
      <c r="S140" s="46">
        <f>'Inputs (2)'!N18</f>
        <v>1308</v>
      </c>
      <c r="T140" s="46">
        <f>'Inputs (2)'!O18</f>
        <v>1360</v>
      </c>
      <c r="U140" s="46">
        <f>'Inputs (2)'!P18</f>
        <v>1814</v>
      </c>
      <c r="V140" s="46">
        <f>'Inputs (2)'!Q18</f>
        <v>1833</v>
      </c>
      <c r="W140" s="12">
        <f>'Inputs (2)'!R18</f>
        <v>1833</v>
      </c>
      <c r="X140" s="46">
        <f>'Inputs (2)'!S18</f>
        <v>1936</v>
      </c>
      <c r="Y140" s="46">
        <f>'Inputs (2)'!T18</f>
        <v>1898</v>
      </c>
      <c r="Z140" s="46">
        <f>'Inputs (2)'!U18</f>
        <v>2086</v>
      </c>
      <c r="AA140" s="46">
        <f>'Inputs (2)'!V18</f>
        <v>1852</v>
      </c>
      <c r="AB140" s="12">
        <f>'Inputs (2)'!W18</f>
        <v>1852</v>
      </c>
      <c r="AC140" s="46">
        <f>'Inputs (2)'!X18</f>
        <v>2088</v>
      </c>
      <c r="AD140" s="46">
        <f>'Inputs (2)'!Y18</f>
        <v>2209</v>
      </c>
      <c r="AE140" s="46">
        <f>'Inputs (2)'!Z18</f>
        <v>2284</v>
      </c>
      <c r="AF140" s="46">
        <f>'Inputs (2)'!AA18</f>
        <v>2268</v>
      </c>
      <c r="AG140" s="12">
        <f>'Inputs (2)'!AB18</f>
        <v>2268</v>
      </c>
      <c r="AH140" s="12">
        <f>'Inputs (2)'!AC18</f>
        <v>2361</v>
      </c>
      <c r="AI140" s="12">
        <f>'Inputs (2)'!AD18</f>
        <v>2343</v>
      </c>
      <c r="AJ140" s="12">
        <f>AI140</f>
        <v>2343</v>
      </c>
      <c r="AK140" s="12">
        <f>AJ140</f>
        <v>2343</v>
      </c>
      <c r="AL140" s="12">
        <f>AK140</f>
        <v>2343</v>
      </c>
      <c r="AM140" s="12">
        <f>AL140</f>
        <v>2343</v>
      </c>
      <c r="AN140" s="12">
        <f>AM140</f>
        <v>2343</v>
      </c>
      <c r="AO140" s="12">
        <f>AN140</f>
        <v>2343</v>
      </c>
      <c r="AP140" s="12">
        <f>AO140</f>
        <v>2343</v>
      </c>
      <c r="AQ140" s="12">
        <f>AP140</f>
        <v>2343</v>
      </c>
      <c r="AR140" s="12">
        <f>AQ140</f>
        <v>2343</v>
      </c>
      <c r="AS140" s="12">
        <f>AR140</f>
        <v>2343</v>
      </c>
      <c r="AT140" s="12">
        <f>AS140</f>
        <v>2343</v>
      </c>
      <c r="AU140" s="12">
        <f>AT140</f>
        <v>2343</v>
      </c>
      <c r="AV140" s="12">
        <f>AU140</f>
        <v>2343</v>
      </c>
      <c r="AW140" s="12">
        <f>AV140</f>
        <v>2343</v>
      </c>
      <c r="AX140" s="12">
        <f>AW140</f>
        <v>2343</v>
      </c>
      <c r="AY140" s="12">
        <f>AX140</f>
        <v>2343</v>
      </c>
      <c r="AZ140" s="12">
        <f>AY140</f>
        <v>2343</v>
      </c>
      <c r="BA140" s="12">
        <f>AZ140</f>
        <v>2343</v>
      </c>
      <c r="BB140" s="12">
        <f>BA140</f>
        <v>2343</v>
      </c>
      <c r="BC140" s="12">
        <f>BB140</f>
        <v>2343</v>
      </c>
      <c r="BD140" s="12">
        <f>BC140</f>
        <v>2343</v>
      </c>
      <c r="BE140" s="12">
        <f>BD140</f>
        <v>2343</v>
      </c>
      <c r="BF140" s="12">
        <f>BE140</f>
        <v>2343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>
      <c r="C141" s="14" t="inlineStr">
        <is>
          <t>Prepaid expenses</t>
        </is>
      </c>
      <c r="D141" s="46" t="n"/>
      <c r="E141" s="46" t="n"/>
      <c r="F141" s="46" t="n"/>
      <c r="G141" s="46" t="n"/>
      <c r="H141" s="12" t="n"/>
      <c r="I141" s="46">
        <f>'Inputs (2)'!D19</f>
        <v>0</v>
      </c>
      <c r="J141" s="46">
        <f>'Inputs (2)'!E19</f>
        <v>0</v>
      </c>
      <c r="K141" s="46">
        <f>'Inputs (2)'!F19</f>
        <v>0</v>
      </c>
      <c r="L141" s="46">
        <f>'Inputs (2)'!G19</f>
        <v>0</v>
      </c>
      <c r="M141" s="12">
        <f>'Inputs (2)'!H19</f>
        <v>0</v>
      </c>
      <c r="N141" s="46">
        <f>'Inputs (2)'!I19</f>
        <v>0</v>
      </c>
      <c r="O141" s="46">
        <f>'Inputs (2)'!J19</f>
        <v>0</v>
      </c>
      <c r="P141" s="46">
        <f>'Inputs (2)'!K19</f>
        <v>0</v>
      </c>
      <c r="Q141" s="46">
        <f>'Inputs (2)'!L19</f>
        <v>0</v>
      </c>
      <c r="R141" s="12">
        <f>'Inputs (2)'!M19</f>
        <v>0</v>
      </c>
      <c r="S141" s="46">
        <f>'Inputs (2)'!N19</f>
        <v>0</v>
      </c>
      <c r="T141" s="46">
        <f>'Inputs (2)'!O19</f>
        <v>0</v>
      </c>
      <c r="U141" s="46">
        <f>'Inputs (2)'!P19</f>
        <v>0</v>
      </c>
      <c r="V141" s="46">
        <f>'Inputs (2)'!Q19</f>
        <v>0</v>
      </c>
      <c r="W141" s="12">
        <f>'Inputs (2)'!R19</f>
        <v>0</v>
      </c>
      <c r="X141" s="46">
        <f>'Inputs (2)'!S19</f>
        <v>0</v>
      </c>
      <c r="Y141" s="46">
        <f>'Inputs (2)'!T19</f>
        <v>0</v>
      </c>
      <c r="Z141" s="46">
        <f>'Inputs (2)'!U19</f>
        <v>0</v>
      </c>
      <c r="AA141" s="46">
        <f>'Inputs (2)'!V19</f>
        <v>0</v>
      </c>
      <c r="AB141" s="12">
        <f>'Inputs (2)'!W19</f>
        <v>0</v>
      </c>
      <c r="AC141" s="46">
        <f>'Inputs (2)'!X19</f>
        <v>0</v>
      </c>
      <c r="AD141" s="46">
        <f>'Inputs (2)'!Y19</f>
        <v>0</v>
      </c>
      <c r="AE141" s="46">
        <f>'Inputs (2)'!Z19</f>
        <v>0</v>
      </c>
      <c r="AF141" s="46">
        <f>'Inputs (2)'!AA19</f>
        <v>0</v>
      </c>
      <c r="AG141" s="12">
        <f>'Inputs (2)'!AB19</f>
        <v>0</v>
      </c>
      <c r="AH141" s="12">
        <f>'Inputs (2)'!AC19</f>
        <v>0</v>
      </c>
      <c r="AI141" s="12">
        <f>'Inputs (2)'!AD19</f>
        <v>0</v>
      </c>
      <c r="AJ141" s="12">
        <f>AI141</f>
        <v>0</v>
      </c>
      <c r="AK141" s="12">
        <f>AJ141</f>
        <v>0</v>
      </c>
      <c r="AL141" s="12">
        <f>AK141</f>
        <v>0</v>
      </c>
      <c r="AM141" s="12">
        <f>AL141</f>
        <v>0</v>
      </c>
      <c r="AN141" s="12">
        <f>AM141</f>
        <v>0</v>
      </c>
      <c r="AO141" s="12">
        <f>AN141</f>
        <v>0</v>
      </c>
      <c r="AP141" s="12">
        <f>AO141</f>
        <v>0</v>
      </c>
      <c r="AQ141" s="12">
        <f>AP141</f>
        <v>0</v>
      </c>
      <c r="AR141" s="12">
        <f>AQ141</f>
        <v>0</v>
      </c>
      <c r="AS141" s="12">
        <f>AR141</f>
        <v>0</v>
      </c>
      <c r="AT141" s="12">
        <f>AS141</f>
        <v>0</v>
      </c>
      <c r="AU141" s="12">
        <f>AT141</f>
        <v>0</v>
      </c>
      <c r="AV141" s="12">
        <f>AU141</f>
        <v>0</v>
      </c>
      <c r="AW141" s="12">
        <f>AV141</f>
        <v>0</v>
      </c>
      <c r="AX141" s="12">
        <f>AW141</f>
        <v>0</v>
      </c>
      <c r="AY141" s="12">
        <f>AX141</f>
        <v>0</v>
      </c>
      <c r="AZ141" s="12">
        <f>AY141</f>
        <v>0</v>
      </c>
      <c r="BA141" s="12">
        <f>AZ141</f>
        <v>0</v>
      </c>
      <c r="BB141" s="12">
        <f>BA141</f>
        <v>0</v>
      </c>
      <c r="BC141" s="12">
        <f>BB141</f>
        <v>0</v>
      </c>
      <c r="BD141" s="12">
        <f>BC141</f>
        <v>0</v>
      </c>
      <c r="BE141" s="12">
        <f>BD141</f>
        <v>0</v>
      </c>
      <c r="BF141" s="12">
        <f>BE141</f>
        <v>0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>
      <c r="C142" s="14" t="inlineStr">
        <is>
          <t>Other current assets</t>
        </is>
      </c>
      <c r="D142" s="46" t="n"/>
      <c r="E142" s="46" t="n"/>
      <c r="F142" s="46" t="n"/>
      <c r="G142" s="46" t="n"/>
      <c r="H142" s="12" t="n"/>
      <c r="I142" s="46">
        <f>'Inputs (2)'!D20</f>
        <v>59531</v>
      </c>
      <c r="J142" s="46">
        <f>'Inputs (2)'!E20</f>
        <v>60577</v>
      </c>
      <c r="K142" s="46">
        <f>'Inputs (2)'!F20</f>
        <v>63713</v>
      </c>
      <c r="L142" s="46">
        <f>'Inputs (2)'!G20</f>
        <v>61883</v>
      </c>
      <c r="M142" s="12">
        <f>'Inputs (2)'!H20</f>
        <v>61883</v>
      </c>
      <c r="N142" s="46">
        <f>'Inputs (2)'!I20</f>
        <v>64923</v>
      </c>
      <c r="O142" s="46">
        <f>'Inputs (2)'!J20</f>
        <v>26995</v>
      </c>
      <c r="P142" s="46">
        <f>'Inputs (2)'!K20</f>
        <v>28462</v>
      </c>
      <c r="Q142" s="46">
        <f>'Inputs (2)'!L20</f>
        <v>29557</v>
      </c>
      <c r="R142" s="12">
        <f>'Inputs (2)'!M20</f>
        <v>29557</v>
      </c>
      <c r="S142" s="46">
        <f>'Inputs (2)'!N20</f>
        <v>32261</v>
      </c>
      <c r="T142" s="46">
        <f>'Inputs (2)'!O20</f>
        <v>32615</v>
      </c>
      <c r="U142" s="46">
        <f>'Inputs (2)'!P20</f>
        <v>30614</v>
      </c>
      <c r="V142" s="46">
        <f>'Inputs (2)'!Q20</f>
        <v>30278</v>
      </c>
      <c r="W142" s="12">
        <f>'Inputs (2)'!R20</f>
        <v>30278</v>
      </c>
      <c r="X142" s="46">
        <f>'Inputs (2)'!S20</f>
        <v>32156</v>
      </c>
      <c r="Y142" s="46">
        <f>'Inputs (2)'!T20</f>
        <v>34083</v>
      </c>
      <c r="Z142" s="46">
        <f>'Inputs (2)'!U20</f>
        <v>32827</v>
      </c>
      <c r="AA142" s="46">
        <f>'Inputs (2)'!V20</f>
        <v>32460</v>
      </c>
      <c r="AB142" s="12">
        <f>'Inputs (2)'!W20</f>
        <v>32460</v>
      </c>
      <c r="AC142" s="46">
        <f>'Inputs (2)'!X20</f>
        <v>32502</v>
      </c>
      <c r="AD142" s="46">
        <f>'Inputs (2)'!Y20</f>
        <v>32302</v>
      </c>
      <c r="AE142" s="46">
        <f>'Inputs (2)'!Z20</f>
        <v>31544</v>
      </c>
      <c r="AF142" s="46">
        <f>'Inputs (2)'!AA20</f>
        <v>32332</v>
      </c>
      <c r="AG142" s="12">
        <f>'Inputs (2)'!AB20</f>
        <v>32332</v>
      </c>
      <c r="AH142" s="12">
        <f>'Inputs (2)'!AC20</f>
        <v>34043</v>
      </c>
      <c r="AI142" s="12">
        <f>'Inputs (2)'!AD20</f>
        <v>33943</v>
      </c>
      <c r="AJ142" s="12">
        <f>AI142</f>
        <v>33943</v>
      </c>
      <c r="AK142" s="12">
        <f>AJ142</f>
        <v>33943</v>
      </c>
      <c r="AL142" s="12">
        <f>AK142</f>
        <v>33943</v>
      </c>
      <c r="AM142" s="12">
        <f>AL142</f>
        <v>33943</v>
      </c>
      <c r="AN142" s="12">
        <f>AM142</f>
        <v>33943</v>
      </c>
      <c r="AO142" s="12">
        <f>AN142</f>
        <v>33943</v>
      </c>
      <c r="AP142" s="12">
        <f>AO142</f>
        <v>33943</v>
      </c>
      <c r="AQ142" s="12">
        <f>AP142</f>
        <v>33943</v>
      </c>
      <c r="AR142" s="12">
        <f>AQ142</f>
        <v>33943</v>
      </c>
      <c r="AS142" s="12">
        <f>AR142</f>
        <v>33943</v>
      </c>
      <c r="AT142" s="12">
        <f>AS142</f>
        <v>33943</v>
      </c>
      <c r="AU142" s="12">
        <f>AT142</f>
        <v>33943</v>
      </c>
      <c r="AV142" s="12">
        <f>AU142</f>
        <v>33943</v>
      </c>
      <c r="AW142" s="12">
        <f>AV142</f>
        <v>33943</v>
      </c>
      <c r="AX142" s="12">
        <f>AW142</f>
        <v>33943</v>
      </c>
      <c r="AY142" s="12">
        <f>AX142</f>
        <v>33943</v>
      </c>
      <c r="AZ142" s="12">
        <f>AY142</f>
        <v>33943</v>
      </c>
      <c r="BA142" s="12">
        <f>AZ142</f>
        <v>33943</v>
      </c>
      <c r="BB142" s="12">
        <f>BA142</f>
        <v>33943</v>
      </c>
      <c r="BC142" s="12">
        <f>BB142</f>
        <v>33943</v>
      </c>
      <c r="BD142" s="12">
        <f>BC142</f>
        <v>33943</v>
      </c>
      <c r="BE142" s="12">
        <f>BD142</f>
        <v>33943</v>
      </c>
      <c r="BF142" s="12">
        <f>BE142</f>
        <v>33943</v>
      </c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9" t="inlineStr">
        <is>
          <t>%(Var.)</t>
        </is>
      </c>
      <c r="D143" s="12" t="n"/>
      <c r="E143" s="40" t="n"/>
      <c r="F143" s="40" t="n"/>
      <c r="G143" s="40" t="n"/>
      <c r="H143" s="12" t="n"/>
      <c r="I143" s="40" t="str">
        <f>""</f>
        <v/>
      </c>
      <c r="J143" s="40">
        <f>IFERROR(IF(I142=0,"",J142/I142-1),"")</f>
        <v>0.0175706774621627</v>
      </c>
      <c r="K143" s="40">
        <f>IFERROR(IF(J142=0,"",K142/J142-1),"")</f>
        <v>0.0517688231507008</v>
      </c>
      <c r="L143" s="40">
        <f>IFERROR(IF(K142=0,"",L142/K142-1),"")</f>
        <v>-0.0287225526972518</v>
      </c>
      <c r="M143" s="12">
        <f>IFERROR(IF(L142=0,"",M142/L142-1),"")</f>
        <v>0</v>
      </c>
      <c r="N143" s="40">
        <f>IFERROR(IF(M142=0,"",N142/M142-1),"")</f>
        <v>0.0491249616211238</v>
      </c>
      <c r="O143" s="40">
        <f>IFERROR(IF(N142=0,"",O142/N142-1),"")</f>
        <v>-0.584199744312493</v>
      </c>
      <c r="P143" s="40">
        <f>IFERROR(IF(O142=0,"",P142/O142-1),"")</f>
        <v>0.0543433969253566</v>
      </c>
      <c r="Q143" s="40">
        <f>IFERROR(IF(P142=0,"",Q142/P142-1),"")</f>
        <v>0.0384723490970418</v>
      </c>
      <c r="R143" s="12">
        <f>IFERROR(IF(Q142=0,"",R142/Q142-1),"")</f>
        <v>0</v>
      </c>
      <c r="S143" s="40">
        <f>IFERROR(IF(R142=0,"",S142/R142-1),"")</f>
        <v>0.0914842507696991</v>
      </c>
      <c r="T143" s="40">
        <f>IFERROR(IF(S142=0,"",T142/S142-1),"")</f>
        <v>0.0109730014568674</v>
      </c>
      <c r="U143" s="40">
        <f>IFERROR(IF(T142=0,"",U142/T142-1),"")</f>
        <v>-0.06135213858654</v>
      </c>
      <c r="V143" s="40">
        <f>IFERROR(IF(U142=0,"",V142/U142-1),"")</f>
        <v>-0.0109753707454106</v>
      </c>
      <c r="W143" s="12">
        <f>IFERROR(IF(V142=0,"",W142/V142-1),"")</f>
        <v>0</v>
      </c>
      <c r="X143" s="40">
        <f>IFERROR(IF(W142=0,"",X142/W142-1),"")</f>
        <v>0.0620252328423279</v>
      </c>
      <c r="Y143" s="40">
        <f>IFERROR(IF(X142=0,"",Y142/X142-1),"")</f>
        <v>0.0599266077870382</v>
      </c>
      <c r="Z143" s="40">
        <f>IFERROR(IF(Y142=0,"",Z142/Y142-1),"")</f>
        <v>-0.0368512161488132</v>
      </c>
      <c r="AA143" s="40">
        <f>IFERROR(IF(Z142=0,"",AA142/Z142-1),"")</f>
        <v>-0.0111798214884089</v>
      </c>
      <c r="AB143" s="12">
        <f>IFERROR(IF(AA142=0,"",AB142/AA142-1),"")</f>
        <v>0</v>
      </c>
      <c r="AC143" s="40">
        <f>IFERROR(IF(AB142=0,"",AC142/AB142-1),"")</f>
        <v>0.00129390018484288</v>
      </c>
      <c r="AD143" s="40">
        <f>IFERROR(IF(AC142=0,"",AD142/AC142-1),"")</f>
        <v>-0.00615346747892442</v>
      </c>
      <c r="AE143" s="40">
        <f>IFERROR(IF(AD142=0,"",AE142/AD142-1),"")</f>
        <v>-0.0234660392545353</v>
      </c>
      <c r="AF143" s="55">
        <f>IFERROR(IF(AE142=0,"",AF142/AE142-1),"")</f>
        <v>0.0249809789500381</v>
      </c>
      <c r="AG143" s="12">
        <f>IFERROR(IF(AF142=0,"",AG142/AF142-1),"")</f>
        <v>0</v>
      </c>
      <c r="AH143" s="12">
        <f>IFERROR(IF(AG142=0,"",AH142/AG142-1),"")</f>
        <v>0.052919708029197</v>
      </c>
      <c r="AI143" s="12">
        <f>IFERROR(IF(AH142=0,"",AI142/AH142-1),"")</f>
        <v>-0.00293746144581852</v>
      </c>
      <c r="AJ143" s="12">
        <f>IFERROR(IF(AI142=0,"",AJ142/AI142-1),"")</f>
        <v>0</v>
      </c>
      <c r="AK143" s="12">
        <f>IFERROR(IF(AJ142=0,"",AK142/AJ142-1),"")</f>
        <v>0</v>
      </c>
      <c r="AL143" s="12">
        <f>IFERROR(IF(AK142=0,"",AL142/AK142-1),"")</f>
        <v>0</v>
      </c>
      <c r="AM143" s="12">
        <f>IFERROR(IF(AL142=0,"",AM142/AL142-1),"")</f>
        <v>0</v>
      </c>
      <c r="AN143" s="12">
        <f>IFERROR(IF(AM142=0,"",AN142/AM142-1),"")</f>
        <v>0</v>
      </c>
      <c r="AO143" s="12">
        <f>IFERROR(IF(AN142=0,"",AO142/AN142-1),"")</f>
        <v>0</v>
      </c>
      <c r="AP143" s="12">
        <f>IFERROR(IF(AO142=0,"",AP142/AO142-1),"")</f>
        <v>0</v>
      </c>
      <c r="AQ143" s="12">
        <f>IFERROR(IF(AP142=0,"",AQ142/AP142-1),"")</f>
        <v>0</v>
      </c>
      <c r="AR143" s="12">
        <f>IFERROR(IF(AQ142=0,"",AR142/AQ142-1),"")</f>
        <v>0</v>
      </c>
      <c r="AS143" s="12">
        <f>IFERROR(IF(AR142=0,"",AS142/AR142-1),"")</f>
        <v>0</v>
      </c>
      <c r="AT143" s="12">
        <f>IFERROR(IF(AS142=0,"",AT142/AS142-1),"")</f>
        <v>0</v>
      </c>
      <c r="AU143" s="12">
        <f>IFERROR(IF(AT142=0,"",AU142/AT142-1),"")</f>
        <v>0</v>
      </c>
      <c r="AV143" s="12">
        <f>IFERROR(IF(AU142=0,"",AV142/AU142-1),"")</f>
        <v>0</v>
      </c>
      <c r="AW143" s="12">
        <f>IFERROR(IF(AV142=0,"",AW142/AV142-1),"")</f>
        <v>0</v>
      </c>
      <c r="AX143" s="12">
        <f>IFERROR(IF(AW142=0,"",AX142/AW142-1),"")</f>
        <v>0</v>
      </c>
      <c r="AY143" s="12">
        <f>IFERROR(IF(AX142=0,"",AY142/AX142-1),"")</f>
        <v>0</v>
      </c>
      <c r="AZ143" s="12">
        <f>IFERROR(IF(AY142=0,"",AZ142/AY142-1),"")</f>
        <v>0</v>
      </c>
      <c r="BA143" s="12">
        <f>IFERROR(IF(AZ142=0,"",BA142/AZ142-1),"")</f>
        <v>0</v>
      </c>
      <c r="BB143" s="12">
        <f>IFERROR(IF(BA142=0,"",BB142/BA142-1),"")</f>
        <v>0</v>
      </c>
      <c r="BC143" s="12">
        <f>IFERROR(IF(BB142=0,"",BC142/BB142-1),"")</f>
        <v>0</v>
      </c>
      <c r="BD143" s="12">
        <f>IFERROR(IF(BC142=0,"",BD142/BC142-1),"")</f>
        <v>0</v>
      </c>
      <c r="BE143" s="12">
        <f>IFERROR(IF(BD142=0,"",BE142/BD142-1),"")</f>
        <v>0</v>
      </c>
      <c r="BF143" s="12">
        <f>IFERROR(IF(BE142=0,"",BF142/BE142-1),"")</f>
        <v>0</v>
      </c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40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60" t="inlineStr">
        <is>
          <t xml:space="preserve">Impostos e Contribuições a Recuperar </t>
        </is>
      </c>
      <c r="D145" s="11" t="n"/>
      <c r="E145" s="11" t="n"/>
      <c r="F145" s="11" t="n"/>
      <c r="G145" s="11" t="n"/>
      <c r="H145" s="12" t="n"/>
      <c r="I145" s="11" t="n"/>
      <c r="J145" s="11" t="n"/>
      <c r="K145" s="11" t="n"/>
      <c r="L145" s="11" t="n"/>
      <c r="M145" s="12" t="n"/>
      <c r="N145" s="11" t="n"/>
      <c r="O145" s="11" t="n"/>
      <c r="P145" s="11" t="n"/>
      <c r="Q145" s="11" t="n"/>
      <c r="R145" s="12" t="n"/>
      <c r="S145" s="11" t="n"/>
      <c r="T145" s="11" t="n"/>
      <c r="U145" s="11" t="n"/>
      <c r="V145" s="11" t="n"/>
      <c r="W145" s="12" t="n"/>
      <c r="X145" s="11" t="n"/>
      <c r="Y145" s="11" t="n"/>
      <c r="Z145" s="11" t="n"/>
      <c r="AA145" s="11" t="n"/>
      <c r="AB145" s="12" t="n"/>
      <c r="AC145" s="11" t="n"/>
      <c r="AD145" s="11" t="n"/>
      <c r="AE145" s="11" t="n"/>
      <c r="AF145" s="11" t="n"/>
      <c r="AG145" s="12">
        <f>AF145</f>
        <v>0</v>
      </c>
      <c r="AH145" s="61">
        <f>IFERROR(AG145*AH15/AG15,"")</f>
        <v>0</v>
      </c>
      <c r="AI145" s="61">
        <f>IFERROR(AH145*AI15/AH15,"")</f>
        <v>0</v>
      </c>
      <c r="AJ145" s="61">
        <f>IFERROR(AI145*AJ15/AI15,"")</f>
        <v>0</v>
      </c>
      <c r="AK145" s="61">
        <f>IFERROR(AJ145*AK15/AJ15,"")</f>
        <v>0</v>
      </c>
      <c r="AL145" s="12">
        <f>IFERROR(AK145,"")</f>
        <v>0</v>
      </c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60" t="inlineStr">
        <is>
          <t>Outros Créditos</t>
        </is>
      </c>
      <c r="D146" s="11" t="n"/>
      <c r="E146" s="11" t="n"/>
      <c r="F146" s="11" t="n"/>
      <c r="G146" s="11" t="n"/>
      <c r="H146" s="12" t="n"/>
      <c r="I146" s="11" t="n"/>
      <c r="J146" s="11" t="n"/>
      <c r="K146" s="11" t="n"/>
      <c r="L146" s="11" t="n"/>
      <c r="M146" s="12" t="n"/>
      <c r="N146" s="11" t="n"/>
      <c r="O146" s="11" t="n"/>
      <c r="P146" s="11" t="n"/>
      <c r="Q146" s="11" t="n"/>
      <c r="R146" s="12" t="n"/>
      <c r="S146" s="11" t="n"/>
      <c r="T146" s="11" t="n"/>
      <c r="U146" s="11" t="n"/>
      <c r="V146" s="11" t="n"/>
      <c r="W146" s="12" t="n"/>
      <c r="X146" s="11" t="n"/>
      <c r="Y146" s="11" t="n"/>
      <c r="Z146" s="11" t="n"/>
      <c r="AA146" s="11" t="n"/>
      <c r="AB146" s="12" t="n"/>
      <c r="AC146" s="11" t="n"/>
      <c r="AD146" s="11" t="n"/>
      <c r="AE146" s="11" t="n"/>
      <c r="AF146" s="11" t="n"/>
      <c r="AG146" s="12">
        <f>AF146</f>
        <v>0</v>
      </c>
      <c r="AH146" s="12">
        <f>AG146</f>
        <v>0</v>
      </c>
      <c r="AI146" s="12">
        <f>AH146</f>
        <v>0</v>
      </c>
      <c r="AJ146" s="12">
        <f>AI146</f>
        <v>0</v>
      </c>
      <c r="AK146" s="12">
        <f>AJ146</f>
        <v>0</v>
      </c>
      <c r="AL146" s="12">
        <f>AK146</f>
        <v>0</v>
      </c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collapsed="1">
      <c r="C148" s="14" t="inlineStr">
        <is>
          <t>Equity in affiliates</t>
        </is>
      </c>
      <c r="D148" s="46" t="n"/>
      <c r="E148" s="46" t="n"/>
      <c r="F148" s="46" t="n"/>
      <c r="G148" s="46" t="n"/>
      <c r="H148" s="12" t="n"/>
      <c r="I148" s="46">
        <f>'Inputs (2)'!D21</f>
        <v>0</v>
      </c>
      <c r="J148" s="46">
        <f>'Inputs (2)'!E21</f>
        <v>0</v>
      </c>
      <c r="K148" s="46">
        <f>'Inputs (2)'!F21</f>
        <v>0</v>
      </c>
      <c r="L148" s="46">
        <f>'Inputs (2)'!G21</f>
        <v>0</v>
      </c>
      <c r="M148" s="12">
        <f>'Inputs (2)'!H21</f>
        <v>0</v>
      </c>
      <c r="N148" s="46">
        <f>'Inputs (2)'!I21</f>
        <v>0</v>
      </c>
      <c r="O148" s="46">
        <f>'Inputs (2)'!J21</f>
        <v>0</v>
      </c>
      <c r="P148" s="46">
        <f>'Inputs (2)'!K21</f>
        <v>0</v>
      </c>
      <c r="Q148" s="46">
        <f>'Inputs (2)'!L21</f>
        <v>0</v>
      </c>
      <c r="R148" s="12">
        <f>'Inputs (2)'!M21</f>
        <v>0</v>
      </c>
      <c r="S148" s="46">
        <f>'Inputs (2)'!N21</f>
        <v>0</v>
      </c>
      <c r="T148" s="46">
        <f>'Inputs (2)'!O21</f>
        <v>0</v>
      </c>
      <c r="U148" s="46">
        <f>'Inputs (2)'!P21</f>
        <v>0</v>
      </c>
      <c r="V148" s="46">
        <f>'Inputs (2)'!Q21</f>
        <v>0</v>
      </c>
      <c r="W148" s="12">
        <f>'Inputs (2)'!R21</f>
        <v>0</v>
      </c>
      <c r="X148" s="46">
        <f>'Inputs (2)'!S21</f>
        <v>0</v>
      </c>
      <c r="Y148" s="46">
        <f>'Inputs (2)'!T21</f>
        <v>0</v>
      </c>
      <c r="Z148" s="46">
        <f>'Inputs (2)'!U21</f>
        <v>0</v>
      </c>
      <c r="AA148" s="46">
        <f>'Inputs (2)'!V21</f>
        <v>0</v>
      </c>
      <c r="AB148" s="12">
        <f>'Inputs (2)'!W21</f>
        <v>0</v>
      </c>
      <c r="AC148" s="46">
        <f>'Inputs (2)'!X21</f>
        <v>0</v>
      </c>
      <c r="AD148" s="46">
        <f>'Inputs (2)'!Y21</f>
        <v>0</v>
      </c>
      <c r="AE148" s="46">
        <f>'Inputs (2)'!Z21</f>
        <v>0</v>
      </c>
      <c r="AF148" s="46">
        <f>'Inputs (2)'!AA21</f>
        <v>0</v>
      </c>
      <c r="AG148" s="12">
        <f>'Inputs (2)'!AB21</f>
        <v>0</v>
      </c>
      <c r="AH148" s="12">
        <f>'Inputs (2)'!AC21</f>
        <v>0</v>
      </c>
      <c r="AI148" s="12">
        <f>'Inputs (2)'!AD21</f>
        <v>0</v>
      </c>
      <c r="AJ148" s="12">
        <f>AI148+AJ122</f>
        <v>0</v>
      </c>
      <c r="AK148" s="12">
        <f>AJ148+AK122</f>
        <v>0</v>
      </c>
      <c r="AL148" s="12">
        <f>AK148</f>
        <v>0</v>
      </c>
      <c r="AM148" s="12">
        <f>AL148+AM122</f>
        <v>0</v>
      </c>
      <c r="AN148" s="12">
        <f>AM148+AN122</f>
        <v>0</v>
      </c>
      <c r="AO148" s="12">
        <f>AN148+AO122</f>
        <v>0</v>
      </c>
      <c r="AP148" s="12">
        <f>AO148+AP122</f>
        <v>0</v>
      </c>
      <c r="AQ148" s="12">
        <f>AP148</f>
        <v>0</v>
      </c>
      <c r="AR148" s="12">
        <f>AQ148+AR122</f>
        <v>0</v>
      </c>
      <c r="AS148" s="12">
        <f>AR148+AS122</f>
        <v>0</v>
      </c>
      <c r="AT148" s="12">
        <f>AS148+AT122</f>
        <v>0</v>
      </c>
      <c r="AU148" s="12">
        <f>AT148+AU122</f>
        <v>0</v>
      </c>
      <c r="AV148" s="12">
        <f>AU148</f>
        <v>0</v>
      </c>
      <c r="AW148" s="12">
        <f>AV148+AW122</f>
        <v>0</v>
      </c>
      <c r="AX148" s="12">
        <f>AW148+AX122</f>
        <v>0</v>
      </c>
      <c r="AY148" s="12">
        <f>AX148+AY122</f>
        <v>0</v>
      </c>
      <c r="AZ148" s="12">
        <f>AY148+AZ122</f>
        <v>0</v>
      </c>
      <c r="BA148" s="12">
        <f>AZ148</f>
        <v>0</v>
      </c>
      <c r="BB148" s="12">
        <f>BA148+BB122</f>
        <v>0</v>
      </c>
      <c r="BC148" s="12">
        <f>BB148+BC122</f>
        <v>0</v>
      </c>
      <c r="BD148" s="12">
        <f>BC148+BD122</f>
        <v>0</v>
      </c>
      <c r="BE148" s="12">
        <f>BD148+BE122</f>
        <v>0</v>
      </c>
      <c r="BF148" s="12">
        <f>BE148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7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inlineStr">
        <is>
          <t>Equity in Income - % YoY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>
        <f>IF(I122=0,0,N122/I122-1)</f>
        <v>-0.333333333333333</v>
      </c>
      <c r="O150" s="12">
        <f>IF(J122=0,0,O122/J122-1)</f>
        <v>-1</v>
      </c>
      <c r="P150" s="12">
        <f>IF(K122=0,0,P122/K122-1)</f>
        <v>0</v>
      </c>
      <c r="Q150" s="12">
        <f>IF(L122=0,0,Q122/L122-1)</f>
        <v>-0.666666666666667</v>
      </c>
      <c r="R150" s="12" t="n"/>
      <c r="S150" s="12">
        <f>IF(N122=0,0,S122/N122-1)</f>
        <v>-0.666666666666667</v>
      </c>
      <c r="T150" s="12">
        <f>IF(O122=0,0,T122/O122-1)</f>
        <v>0</v>
      </c>
      <c r="U150" s="12">
        <f>IF(P122=0,0,U122/P122-1)</f>
        <v>0</v>
      </c>
      <c r="V150" s="12">
        <f>IF(Q122=0,0,V122/Q122-1)</f>
        <v>1</v>
      </c>
      <c r="W150" s="12" t="n"/>
      <c r="X150" s="12">
        <f>IF(S122=0,0,X122/S122-1)</f>
        <v>0</v>
      </c>
      <c r="Y150" s="12">
        <f>IF(T122=0,0,Y122/T122-1)</f>
        <v>-0.5</v>
      </c>
      <c r="Z150" s="12">
        <f>IF(U122=0,0,Z122/U122-1)</f>
        <v>-15</v>
      </c>
      <c r="AA150" s="12">
        <f>IF(V122=0,0,AA122/V122-1)</f>
        <v>-1.5</v>
      </c>
      <c r="AB150" s="12" t="n"/>
      <c r="AC150" s="12">
        <f>IF(X122=0,0,AC122/X122-1)</f>
        <v>0.5</v>
      </c>
      <c r="AD150" s="12">
        <f>IF(Y122=0,0,AD122/Y122-1)</f>
        <v>9</v>
      </c>
      <c r="AE150" s="12">
        <f>IF(Z122=0,0,AE122/Z122-1)</f>
        <v>-0.607142857142857</v>
      </c>
      <c r="AF150" s="12">
        <f>IF(AA122=0,0,AF122/AA122-1)</f>
        <v>-16</v>
      </c>
      <c r="AG150" s="12" t="n"/>
      <c r="AH150" s="11">
        <f>IF(AC122=0,0,AH122/AC122-1)</f>
        <v>-2.66666666666667</v>
      </c>
      <c r="AI150" s="11">
        <f>IF(AD122=0,0,AI122/AD122-1)</f>
        <v>1.4</v>
      </c>
      <c r="AJ150" s="11" t="n"/>
      <c r="AK150" s="11" t="n"/>
      <c r="AL150" s="12" t="n"/>
      <c r="AM150" s="11" t="n"/>
      <c r="AN150" s="11" t="n"/>
      <c r="AO150" s="11" t="n"/>
      <c r="AP150" s="11" t="n"/>
      <c r="AQ150" s="12" t="n"/>
      <c r="AR150" s="11" t="n"/>
      <c r="AS150" s="11" t="n"/>
      <c r="AT150" s="11" t="n"/>
      <c r="AU150" s="11" t="n"/>
      <c r="AV150" s="12" t="n"/>
      <c r="AW150" s="11" t="n"/>
      <c r="AX150" s="11" t="n"/>
      <c r="AY150" s="11" t="n"/>
      <c r="AZ150" s="11" t="n"/>
      <c r="BA150" s="12" t="n"/>
      <c r="BB150" s="11" t="n"/>
      <c r="BC150" s="11" t="n"/>
      <c r="BD150" s="11" t="n"/>
      <c r="BE150" s="11" t="n"/>
      <c r="BF150" s="12" t="n"/>
      <c r="BG150" s="11" t="n"/>
      <c r="BH150" s="11" t="n"/>
      <c r="BI150" s="11" t="n"/>
      <c r="BJ150" s="11" t="n"/>
      <c r="BK150" s="12" t="n"/>
      <c r="BL150" s="11" t="n"/>
      <c r="BM150" s="11" t="n"/>
      <c r="BN150" s="11" t="n"/>
      <c r="BO150" s="11" t="n"/>
      <c r="BP150" s="12" t="n"/>
      <c r="BQ150" s="11" t="n"/>
      <c r="BR150" s="11" t="n"/>
      <c r="BS150" s="11" t="n"/>
      <c r="BT150" s="11" t="n"/>
      <c r="BU150" s="12" t="n"/>
      <c r="BV150" s="11" t="n"/>
      <c r="BW150" s="11" t="n"/>
      <c r="BX150" s="11" t="n"/>
      <c r="BY150" s="11" t="n"/>
      <c r="BZ150" s="12" t="n"/>
      <c r="CA150" s="11" t="n"/>
      <c r="CB150" s="11" t="n"/>
      <c r="CC150" s="11" t="n"/>
      <c r="CD150" s="11" t="n"/>
      <c r="CE150" s="12" t="n"/>
      <c r="CF150" s="11" t="n"/>
      <c r="CG150" s="11" t="n"/>
      <c r="CH150" s="11" t="n"/>
      <c r="CI150" s="11" t="n"/>
      <c r="CJ150" s="12" t="n"/>
      <c r="CK150" s="11" t="n"/>
      <c r="CL150" s="11" t="n"/>
      <c r="CM150" s="11" t="n"/>
      <c r="CN150" s="11" t="n"/>
      <c r="CO150" s="12" t="n"/>
      <c r="CP150" s="11" t="n"/>
      <c r="CQ150" s="11" t="n"/>
      <c r="CR150" s="11" t="n"/>
      <c r="CS150" s="11" t="n"/>
      <c r="CT150" s="12" t="n"/>
      <c r="CU150" s="11" t="n"/>
      <c r="CV150" s="11" t="n"/>
      <c r="CW150" s="11" t="n"/>
      <c r="CX150" s="11" t="n"/>
      <c r="CY150" s="12" t="n"/>
    </row>
    <row r="151" hidden="1" outlineLevel="1">
      <c r="C151" s="57" t="inlineStr">
        <is>
          <t>Dividends (enter as -)</t>
        </is>
      </c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1" t="n"/>
      <c r="AI151" s="11" t="n"/>
      <c r="AJ151" s="11" t="n"/>
      <c r="AK151" s="11" t="n"/>
      <c r="AL151" s="12" t="n"/>
      <c r="AM151" s="11" t="n"/>
      <c r="AN151" s="11" t="n"/>
      <c r="AO151" s="11" t="n"/>
      <c r="AP151" s="11" t="n"/>
      <c r="AQ151" s="12" t="n"/>
      <c r="AR151" s="11" t="n"/>
      <c r="AS151" s="11" t="n"/>
      <c r="AT151" s="11" t="n"/>
      <c r="AU151" s="11" t="n"/>
      <c r="AV151" s="12" t="n"/>
      <c r="AW151" s="11" t="n"/>
      <c r="AX151" s="11" t="n"/>
      <c r="AY151" s="11" t="n"/>
      <c r="AZ151" s="11" t="n"/>
      <c r="BA151" s="12" t="n"/>
      <c r="BB151" s="11" t="n"/>
      <c r="BC151" s="11" t="n"/>
      <c r="BD151" s="11" t="n"/>
      <c r="BE151" s="11" t="n"/>
      <c r="BF151" s="12" t="n"/>
      <c r="BG151" s="11" t="n"/>
      <c r="BH151" s="11" t="n"/>
      <c r="BI151" s="11" t="n"/>
      <c r="BJ151" s="11" t="n"/>
      <c r="BK151" s="12" t="n"/>
      <c r="BL151" s="11" t="n"/>
      <c r="BM151" s="11" t="n"/>
      <c r="BN151" s="11" t="n"/>
      <c r="BO151" s="11" t="n"/>
      <c r="BP151" s="12" t="n"/>
      <c r="BQ151" s="11" t="n"/>
      <c r="BR151" s="11" t="n"/>
      <c r="BS151" s="11" t="n"/>
      <c r="BT151" s="11" t="n"/>
      <c r="BU151" s="12" t="n"/>
      <c r="BV151" s="11" t="n"/>
      <c r="BW151" s="11" t="n"/>
      <c r="BX151" s="11" t="n"/>
      <c r="BY151" s="11" t="n"/>
      <c r="BZ151" s="12" t="n"/>
      <c r="CA151" s="11" t="n"/>
      <c r="CB151" s="11" t="n"/>
      <c r="CC151" s="11" t="n"/>
      <c r="CD151" s="11" t="n"/>
      <c r="CE151" s="12" t="n"/>
      <c r="CF151" s="11" t="n"/>
      <c r="CG151" s="11" t="n"/>
      <c r="CH151" s="11" t="n"/>
      <c r="CI151" s="11" t="n"/>
      <c r="CJ151" s="12" t="n"/>
      <c r="CK151" s="11" t="n"/>
      <c r="CL151" s="11" t="n"/>
      <c r="CM151" s="11" t="n"/>
      <c r="CN151" s="11" t="n"/>
      <c r="CO151" s="12" t="n"/>
      <c r="CP151" s="11" t="n"/>
      <c r="CQ151" s="11" t="n"/>
      <c r="CR151" s="11" t="n"/>
      <c r="CS151" s="11" t="n"/>
      <c r="CT151" s="12" t="n"/>
      <c r="CU151" s="11" t="n"/>
      <c r="CV151" s="11" t="n"/>
      <c r="CW151" s="11" t="n"/>
      <c r="CX151" s="11" t="n"/>
      <c r="CY151" s="12" t="n"/>
    </row>
    <row r="152" hidden="1" outlineLevel="1">
      <c r="C152" s="57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collapsed="1">
      <c r="C153" s="14" t="inlineStr">
        <is>
          <t>PP&amp;E</t>
        </is>
      </c>
      <c r="D153" s="46" t="n"/>
      <c r="E153" s="46" t="n"/>
      <c r="F153" s="46" t="n"/>
      <c r="G153" s="46" t="n"/>
      <c r="H153" s="12" t="n"/>
      <c r="I153" s="46">
        <f>'Inputs (2)'!D22</f>
        <v>0</v>
      </c>
      <c r="J153" s="46">
        <f>'Inputs (2)'!E22</f>
        <v>0</v>
      </c>
      <c r="K153" s="46">
        <f>'Inputs (2)'!F22</f>
        <v>0</v>
      </c>
      <c r="L153" s="46">
        <f>'Inputs (2)'!G22</f>
        <v>0</v>
      </c>
      <c r="M153" s="12">
        <f>'Inputs (2)'!H22</f>
        <v>0</v>
      </c>
      <c r="N153" s="46">
        <f>'Inputs (2)'!I22</f>
        <v>0</v>
      </c>
      <c r="O153" s="46">
        <f>'Inputs (2)'!J22</f>
        <v>0</v>
      </c>
      <c r="P153" s="46">
        <f>'Inputs (2)'!K22</f>
        <v>0</v>
      </c>
      <c r="Q153" s="46">
        <f>'Inputs (2)'!L22</f>
        <v>0</v>
      </c>
      <c r="R153" s="12">
        <f>'Inputs (2)'!M22</f>
        <v>0</v>
      </c>
      <c r="S153" s="46">
        <f>'Inputs (2)'!N22</f>
        <v>0</v>
      </c>
      <c r="T153" s="46">
        <f>'Inputs (2)'!O22</f>
        <v>0</v>
      </c>
      <c r="U153" s="46">
        <f>'Inputs (2)'!P22</f>
        <v>0</v>
      </c>
      <c r="V153" s="46">
        <f>'Inputs (2)'!Q22</f>
        <v>0</v>
      </c>
      <c r="W153" s="12">
        <f>'Inputs (2)'!R22</f>
        <v>0</v>
      </c>
      <c r="X153" s="46">
        <f>'Inputs (2)'!S22</f>
        <v>0</v>
      </c>
      <c r="Y153" s="46">
        <f>'Inputs (2)'!T22</f>
        <v>0</v>
      </c>
      <c r="Z153" s="46">
        <f>'Inputs (2)'!U22</f>
        <v>0</v>
      </c>
      <c r="AA153" s="46">
        <f>'Inputs (2)'!V22</f>
        <v>0</v>
      </c>
      <c r="AB153" s="12">
        <f>'Inputs (2)'!W22</f>
        <v>0</v>
      </c>
      <c r="AC153" s="46">
        <f>'Inputs (2)'!X22</f>
        <v>0</v>
      </c>
      <c r="AD153" s="46">
        <f>'Inputs (2)'!Y22</f>
        <v>0</v>
      </c>
      <c r="AE153" s="46">
        <f>'Inputs (2)'!Z22</f>
        <v>0</v>
      </c>
      <c r="AF153" s="46">
        <f>'Inputs (2)'!AA22</f>
        <v>0</v>
      </c>
      <c r="AG153" s="12">
        <f>'Inputs (2)'!AB22</f>
        <v>0</v>
      </c>
      <c r="AH153" s="12">
        <f>'Inputs (2)'!AC22</f>
        <v>0</v>
      </c>
      <c r="AI153" s="12">
        <f>'Inputs (2)'!AD22</f>
        <v>0</v>
      </c>
      <c r="AJ153" s="12">
        <f>AJ158</f>
        <v>-7.20686506994173</v>
      </c>
      <c r="AK153" s="12">
        <f>AK158</f>
        <v>-12.7954708620355</v>
      </c>
      <c r="AL153" s="12">
        <f>AK153</f>
        <v>-12.7954708620355</v>
      </c>
      <c r="AM153" s="12">
        <f>AM158</f>
        <v>-20.5692790853734</v>
      </c>
      <c r="AN153" s="12">
        <f>AN158</f>
        <v>-27.9005809089837</v>
      </c>
      <c r="AO153" s="12">
        <f>AO158</f>
        <v>-35.2154337802748</v>
      </c>
      <c r="AP153" s="12">
        <f>AP158</f>
        <v>-40.8877793463535</v>
      </c>
      <c r="AQ153" s="12">
        <f>AP153</f>
        <v>-40.8877793463535</v>
      </c>
      <c r="AR153" s="12">
        <f>AR158</f>
        <v>-48.7392014167657</v>
      </c>
      <c r="AS153" s="12">
        <f>AS158</f>
        <v>-56.1436990952576</v>
      </c>
      <c r="AT153" s="12">
        <f>AT158</f>
        <v>-63.531583594782</v>
      </c>
      <c r="AU153" s="12">
        <f>AU158</f>
        <v>-69.2605619653588</v>
      </c>
      <c r="AV153" s="12">
        <f>AU153</f>
        <v>-69.2605619653588</v>
      </c>
      <c r="AW153" s="12">
        <f>AW158</f>
        <v>-77.151115670598</v>
      </c>
      <c r="AX153" s="12">
        <f>AX158</f>
        <v>-84.5925175043669</v>
      </c>
      <c r="AY153" s="12">
        <f>AY158</f>
        <v>-92.0172233587727</v>
      </c>
      <c r="AZ153" s="12">
        <f>AZ158</f>
        <v>-97.7747550649768</v>
      </c>
      <c r="BA153" s="12">
        <f>AZ153</f>
        <v>-97.7747550649768</v>
      </c>
      <c r="BB153" s="12">
        <f>BB158</f>
        <v>-105.665308770216</v>
      </c>
      <c r="BC153" s="12">
        <f>BC158</f>
        <v>-113.106710603985</v>
      </c>
      <c r="BD153" s="12">
        <f>BD158</f>
        <v>-120.531416458391</v>
      </c>
      <c r="BE153" s="12">
        <f>BE158</f>
        <v>-126.288948164595</v>
      </c>
      <c r="BF153" s="12">
        <f>BE153</f>
        <v>-126.288948164595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inlineStr">
        <is>
          <t>Capital expenditures</t>
        </is>
      </c>
      <c r="D155" s="12" t="n"/>
      <c r="E155" s="12" t="n"/>
      <c r="F155" s="12" t="n"/>
      <c r="G155" s="12" t="n"/>
      <c r="H155" s="12" t="n"/>
      <c r="I155" s="12" t="n"/>
      <c r="J155" s="12">
        <f>J153-I153-J57</f>
        <v>515</v>
      </c>
      <c r="K155" s="12">
        <f>K153-J153-K57</f>
        <v>481</v>
      </c>
      <c r="L155" s="12">
        <f>L153-K153-L57</f>
        <v>486</v>
      </c>
      <c r="M155" s="12" t="n"/>
      <c r="N155" s="12">
        <f>N153-M153-N57</f>
        <v>447</v>
      </c>
      <c r="O155" s="12">
        <f>O153-N153-O57</f>
        <v>510</v>
      </c>
      <c r="P155" s="12">
        <f>P153-O153-P57</f>
        <v>452</v>
      </c>
      <c r="Q155" s="12">
        <f>Q153-P153-Q57</f>
        <v>494</v>
      </c>
      <c r="R155" s="12" t="n"/>
      <c r="S155" s="12">
        <f>S153-R153-S57</f>
        <v>501</v>
      </c>
      <c r="T155" s="12">
        <f>T153-S153-T57</f>
        <v>532</v>
      </c>
      <c r="U155" s="12">
        <f>U153-T153-U57</f>
        <v>477</v>
      </c>
      <c r="V155" s="12">
        <f>V153-U153-V57</f>
        <v>520</v>
      </c>
      <c r="W155" s="12" t="n"/>
      <c r="X155" s="12">
        <f>X153-W153-X57</f>
        <v>525</v>
      </c>
      <c r="Y155" s="12">
        <f>Y153-X153-Y57</f>
        <v>553</v>
      </c>
      <c r="Z155" s="12">
        <f>Z153-Y153-Z57</f>
        <v>520</v>
      </c>
      <c r="AA155" s="12">
        <f>AA153-Z153-AA57</f>
        <v>549</v>
      </c>
      <c r="AB155" s="12" t="n"/>
      <c r="AC155" s="12">
        <f>AC153-AB153-AC57</f>
        <v>555</v>
      </c>
      <c r="AD155" s="12">
        <f>AD153-AC153-AD57</f>
        <v>564</v>
      </c>
      <c r="AE155" s="12">
        <f>AE153-AD153-AE57</f>
        <v>561</v>
      </c>
      <c r="AF155" s="11">
        <f>AF153-AE153-AF57</f>
        <v>590</v>
      </c>
      <c r="AG155" s="12">
        <f>SUM(AC155:AF155)</f>
        <v>2270</v>
      </c>
      <c r="AH155" s="11">
        <f>AH153-AG153-AH57</f>
        <v>594</v>
      </c>
      <c r="AI155" s="11">
        <f>AI153-AH153-AI57</f>
        <v>603</v>
      </c>
      <c r="AJ155" s="11">
        <f>AJ15*Control!$B$24</f>
        <v>599.396138913936</v>
      </c>
      <c r="AK155" s="11">
        <f>AK15*Control!$B$24</f>
        <v>464.805251823611</v>
      </c>
      <c r="AL155" s="12" t="n"/>
      <c r="AM155" s="11">
        <f>AM15*Control!$C$24</f>
        <v>646.548893104761</v>
      </c>
      <c r="AN155" s="11">
        <f>AN15*Control!$C$24</f>
        <v>609.745563936332</v>
      </c>
      <c r="AO155" s="11">
        <f>AO15*Control!$C$24</f>
        <v>608.37750189915</v>
      </c>
      <c r="AP155" s="11">
        <f>AP15*Control!$C$24</f>
        <v>471.769902432849</v>
      </c>
      <c r="AQ155" s="12" t="n"/>
      <c r="AR155" s="11">
        <f>AR15*Control!$D$24</f>
        <v>653.004049377443</v>
      </c>
      <c r="AS155" s="11">
        <f>AS15*Control!$D$24</f>
        <v>615.83327508047</v>
      </c>
      <c r="AT155" s="11">
        <f>AT15*Control!$D$24</f>
        <v>614.451554286254</v>
      </c>
      <c r="AU155" s="11">
        <f>AU15*Control!$D$24</f>
        <v>476.48006198525</v>
      </c>
      <c r="AV155" s="12" t="n"/>
      <c r="AW155" s="11">
        <f>AW15*Control!$E$24</f>
        <v>656.25863380451</v>
      </c>
      <c r="AX155" s="11">
        <f>AX15*Control!$E$24</f>
        <v>618.902599671423</v>
      </c>
      <c r="AY155" s="11">
        <f>AY15*Control!$E$24</f>
        <v>617.513992354859</v>
      </c>
      <c r="AZ155" s="11">
        <f>AZ15*Control!$E$24</f>
        <v>478.85484754902</v>
      </c>
      <c r="BA155" s="12" t="n"/>
      <c r="BB155" s="11">
        <f>BB15*Control!$F$24</f>
        <v>656.25863380451</v>
      </c>
      <c r="BC155" s="11">
        <f>BC15*Control!$F$24</f>
        <v>618.902599671423</v>
      </c>
      <c r="BD155" s="11">
        <f>BD15*Control!$F$24</f>
        <v>617.513992354859</v>
      </c>
      <c r="BE155" s="11">
        <f>BE15*Control!$F$24</f>
        <v>478.85484754902</v>
      </c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inlineStr">
        <is>
          <t>Recurring asset sales (enter as -)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>
        <f>SUM(I156:L156)</f>
        <v>0</v>
      </c>
      <c r="N156" s="12" t="n"/>
      <c r="O156" s="12" t="n"/>
      <c r="P156" s="12" t="n"/>
      <c r="Q156" s="12" t="n"/>
      <c r="R156" s="12">
        <f>SUM(N156:Q156)</f>
        <v>0</v>
      </c>
      <c r="S156" s="12" t="n"/>
      <c r="T156" s="12" t="n"/>
      <c r="U156" s="12" t="n"/>
      <c r="V156" s="12" t="n"/>
      <c r="W156" s="12">
        <f>SUM(S156:V156)</f>
        <v>0</v>
      </c>
      <c r="X156" s="12" t="n"/>
      <c r="Y156" s="12" t="n"/>
      <c r="Z156" s="12" t="n"/>
      <c r="AA156" s="12" t="n"/>
      <c r="AB156" s="12">
        <f>SUM(X156:AA156)</f>
        <v>0</v>
      </c>
      <c r="AC156" s="12" t="n"/>
      <c r="AD156" s="12" t="n"/>
      <c r="AE156" s="12" t="n"/>
      <c r="AF156" s="11" t="n"/>
      <c r="AG156" s="12">
        <f>SUM(AC156:AF156)</f>
        <v>0</v>
      </c>
      <c r="AH156" s="11" t="n"/>
      <c r="AI156" s="11" t="n"/>
      <c r="AJ156" s="11">
        <f>0</f>
        <v>0</v>
      </c>
      <c r="AK156" s="11">
        <f>0</f>
        <v>0</v>
      </c>
      <c r="AL156" s="12" t="n"/>
      <c r="AM156" s="11">
        <f>0</f>
        <v>0</v>
      </c>
      <c r="AN156" s="11">
        <f>0</f>
        <v>0</v>
      </c>
      <c r="AO156" s="11">
        <f>0</f>
        <v>0</v>
      </c>
      <c r="AP156" s="11">
        <f>0</f>
        <v>0</v>
      </c>
      <c r="AQ156" s="12" t="n"/>
      <c r="AR156" s="11">
        <f>0</f>
        <v>0</v>
      </c>
      <c r="AS156" s="11">
        <f>0</f>
        <v>0</v>
      </c>
      <c r="AT156" s="11">
        <f>0</f>
        <v>0</v>
      </c>
      <c r="AU156" s="11">
        <f>0</f>
        <v>0</v>
      </c>
      <c r="AV156" s="12" t="n"/>
      <c r="AW156" s="11">
        <f>0</f>
        <v>0</v>
      </c>
      <c r="AX156" s="11">
        <f>0</f>
        <v>0</v>
      </c>
      <c r="AY156" s="11">
        <f>0</f>
        <v>0</v>
      </c>
      <c r="AZ156" s="11">
        <f>0</f>
        <v>0</v>
      </c>
      <c r="BA156" s="12" t="n"/>
      <c r="BB156" s="11">
        <f>0</f>
        <v>0</v>
      </c>
      <c r="BC156" s="11">
        <f>0</f>
        <v>0</v>
      </c>
      <c r="BD156" s="11">
        <f>0</f>
        <v>0</v>
      </c>
      <c r="BE156" s="11">
        <f>0</f>
        <v>0</v>
      </c>
      <c r="BF156" s="12" t="n"/>
      <c r="BG156" s="11" t="n"/>
      <c r="BH156" s="11" t="n"/>
      <c r="BI156" s="11" t="n"/>
      <c r="BJ156" s="11" t="n"/>
      <c r="BK156" s="12" t="n"/>
      <c r="BL156" s="11" t="n"/>
      <c r="BM156" s="11" t="n"/>
      <c r="BN156" s="11" t="n"/>
      <c r="BO156" s="11" t="n"/>
      <c r="BP156" s="12" t="n"/>
      <c r="BQ156" s="11" t="n"/>
      <c r="BR156" s="11" t="n"/>
      <c r="BS156" s="11" t="n"/>
      <c r="BT156" s="11" t="n"/>
      <c r="BU156" s="12" t="n"/>
      <c r="BV156" s="11" t="n"/>
      <c r="BW156" s="11" t="n"/>
      <c r="BX156" s="11" t="n"/>
      <c r="BY156" s="11" t="n"/>
      <c r="BZ156" s="12" t="n"/>
      <c r="CA156" s="11" t="n"/>
      <c r="CB156" s="11" t="n"/>
      <c r="CC156" s="11" t="n"/>
      <c r="CD156" s="11" t="n"/>
      <c r="CE156" s="12" t="n"/>
      <c r="CF156" s="11" t="n"/>
      <c r="CG156" s="11" t="n"/>
      <c r="CH156" s="11" t="n"/>
      <c r="CI156" s="11" t="n"/>
      <c r="CJ156" s="12" t="n"/>
      <c r="CK156" s="11" t="n"/>
      <c r="CL156" s="11" t="n"/>
      <c r="CM156" s="11" t="n"/>
      <c r="CN156" s="11" t="n"/>
      <c r="CO156" s="12" t="n"/>
      <c r="CP156" s="11" t="n"/>
      <c r="CQ156" s="11" t="n"/>
      <c r="CR156" s="11" t="n"/>
      <c r="CS156" s="11" t="n"/>
      <c r="CT156" s="12" t="n"/>
      <c r="CU156" s="11" t="n"/>
      <c r="CV156" s="11" t="n"/>
      <c r="CW156" s="11" t="n"/>
      <c r="CX156" s="11" t="n"/>
      <c r="CY156" s="12" t="n"/>
    </row>
    <row r="157" hidden="1" outlineLevel="1">
      <c r="C157" s="57" t="inlineStr">
        <is>
          <t>Depreciation</t>
        </is>
      </c>
      <c r="D157" s="12" t="n"/>
      <c r="E157" s="12" t="n"/>
      <c r="F157" s="12" t="n"/>
      <c r="G157" s="12" t="n"/>
      <c r="H157" s="12" t="n"/>
      <c r="I157" s="12">
        <f>I57</f>
        <v>-516</v>
      </c>
      <c r="J157" s="12">
        <f>J57</f>
        <v>-515</v>
      </c>
      <c r="K157" s="12">
        <f>K57</f>
        <v>-481</v>
      </c>
      <c r="L157" s="12">
        <f>L57</f>
        <v>-486</v>
      </c>
      <c r="M157" s="12" t="n"/>
      <c r="N157" s="12">
        <f>N57</f>
        <v>-447</v>
      </c>
      <c r="O157" s="12">
        <f>O57</f>
        <v>-510</v>
      </c>
      <c r="P157" s="12">
        <f>P57</f>
        <v>-452</v>
      </c>
      <c r="Q157" s="12">
        <f>Q57</f>
        <v>-494</v>
      </c>
      <c r="R157" s="12" t="n"/>
      <c r="S157" s="12">
        <f>S57</f>
        <v>-501</v>
      </c>
      <c r="T157" s="12">
        <f>T57</f>
        <v>-532</v>
      </c>
      <c r="U157" s="12">
        <f>U57</f>
        <v>-477</v>
      </c>
      <c r="V157" s="12">
        <f>V57</f>
        <v>-520</v>
      </c>
      <c r="W157" s="12" t="n"/>
      <c r="X157" s="12">
        <f>X57</f>
        <v>-525</v>
      </c>
      <c r="Y157" s="12">
        <f>Y57</f>
        <v>-553</v>
      </c>
      <c r="Z157" s="12">
        <f>Z57</f>
        <v>-520</v>
      </c>
      <c r="AA157" s="12">
        <f>AA57</f>
        <v>-549</v>
      </c>
      <c r="AB157" s="12" t="n"/>
      <c r="AC157" s="12">
        <f>AC57</f>
        <v>-555</v>
      </c>
      <c r="AD157" s="12">
        <f>AD57</f>
        <v>-564</v>
      </c>
      <c r="AE157" s="12">
        <f>AE57</f>
        <v>-561</v>
      </c>
      <c r="AF157" s="12">
        <f>AF57</f>
        <v>-590</v>
      </c>
      <c r="AG157" s="12" t="n"/>
      <c r="AH157" s="12">
        <f>AH57</f>
        <v>-594</v>
      </c>
      <c r="AI157" s="12">
        <f>AI57</f>
        <v>-603</v>
      </c>
      <c r="AJ157" s="12">
        <f>AJ57</f>
        <v>-606.603003983878</v>
      </c>
      <c r="AK157" s="12">
        <f>AK57</f>
        <v>-470.393857615705</v>
      </c>
      <c r="AL157" s="12" t="n"/>
      <c r="AM157" s="12">
        <f>AM57</f>
        <v>-654.322701328099</v>
      </c>
      <c r="AN157" s="12">
        <f>AN57</f>
        <v>-617.076865759943</v>
      </c>
      <c r="AO157" s="12">
        <f>AO57</f>
        <v>-615.692354770441</v>
      </c>
      <c r="AP157" s="12">
        <f>AP57</f>
        <v>-477.442247998927</v>
      </c>
      <c r="AQ157" s="12" t="n"/>
      <c r="AR157" s="12">
        <f>AR57</f>
        <v>-660.855471447855</v>
      </c>
      <c r="AS157" s="12">
        <f>AS57</f>
        <v>-623.237772758962</v>
      </c>
      <c r="AT157" s="12">
        <f>AT57</f>
        <v>-621.839438785779</v>
      </c>
      <c r="AU157" s="12">
        <f>AU57</f>
        <v>-482.209040355827</v>
      </c>
      <c r="AV157" s="12" t="n"/>
      <c r="AW157" s="12">
        <f>AW57</f>
        <v>-664.149187509749</v>
      </c>
      <c r="AX157" s="12">
        <f>AX57</f>
        <v>-626.344001505192</v>
      </c>
      <c r="AY157" s="12">
        <f>AY57</f>
        <v>-624.938698209265</v>
      </c>
      <c r="AZ157" s="12">
        <f>AZ57</f>
        <v>-484.612379255224</v>
      </c>
      <c r="BA157" s="12" t="n"/>
      <c r="BB157" s="12">
        <f>BB57</f>
        <v>-664.149187509749</v>
      </c>
      <c r="BC157" s="12">
        <f>BC57</f>
        <v>-626.344001505192</v>
      </c>
      <c r="BD157" s="12">
        <f>BD57</f>
        <v>-624.938698209265</v>
      </c>
      <c r="BE157" s="12">
        <f>BE57</f>
        <v>-484.612379255224</v>
      </c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inlineStr">
        <is>
          <t>PP&amp;E</t>
        </is>
      </c>
      <c r="D158" s="12" t="n"/>
      <c r="E158" s="12" t="n"/>
      <c r="F158" s="12" t="n"/>
      <c r="G158" s="12" t="n"/>
      <c r="H158" s="12" t="n"/>
      <c r="I158" s="12">
        <f>I153</f>
        <v>0</v>
      </c>
      <c r="J158" s="12">
        <f>J153</f>
        <v>0</v>
      </c>
      <c r="K158" s="12">
        <f>K153</f>
        <v>0</v>
      </c>
      <c r="L158" s="12">
        <f>L153</f>
        <v>0</v>
      </c>
      <c r="M158" s="12" t="n"/>
      <c r="N158" s="12">
        <f>N153</f>
        <v>0</v>
      </c>
      <c r="O158" s="12">
        <f>O153</f>
        <v>0</v>
      </c>
      <c r="P158" s="12">
        <f>P153</f>
        <v>0</v>
      </c>
      <c r="Q158" s="12">
        <f>Q153</f>
        <v>0</v>
      </c>
      <c r="R158" s="12" t="n"/>
      <c r="S158" s="12">
        <f>S153</f>
        <v>0</v>
      </c>
      <c r="T158" s="12">
        <f>T153</f>
        <v>0</v>
      </c>
      <c r="U158" s="12">
        <f>U153</f>
        <v>0</v>
      </c>
      <c r="V158" s="12">
        <f>V153</f>
        <v>0</v>
      </c>
      <c r="W158" s="12" t="n"/>
      <c r="X158" s="12">
        <f>X153</f>
        <v>0</v>
      </c>
      <c r="Y158" s="12">
        <f>Y153</f>
        <v>0</v>
      </c>
      <c r="Z158" s="12">
        <f>Z153</f>
        <v>0</v>
      </c>
      <c r="AA158" s="12">
        <f>Y158+SUM(AA155:AA157)</f>
        <v>0</v>
      </c>
      <c r="AB158" s="12" t="n"/>
      <c r="AC158" s="12">
        <f>AC153</f>
        <v>0</v>
      </c>
      <c r="AD158" s="12">
        <f>AD153</f>
        <v>0</v>
      </c>
      <c r="AE158" s="12">
        <f>AE153</f>
        <v>0</v>
      </c>
      <c r="AF158" s="12">
        <f>AF153</f>
        <v>0</v>
      </c>
      <c r="AG158" s="12" t="n"/>
      <c r="AH158" s="12">
        <f>AH153</f>
        <v>0</v>
      </c>
      <c r="AI158" s="12">
        <f>AI153</f>
        <v>0</v>
      </c>
      <c r="AJ158" s="12">
        <f>AI158+SUM(AJ155:AJ157)</f>
        <v>-7.20686506994173</v>
      </c>
      <c r="AK158" s="12">
        <f>AJ158+SUM(AK155:AK157)</f>
        <v>-12.7954708620355</v>
      </c>
      <c r="AL158" s="12" t="n"/>
      <c r="AM158" s="12">
        <f>AK158+SUM(AM155:AM157)</f>
        <v>-20.5692790853734</v>
      </c>
      <c r="AN158" s="12">
        <f>AM158+SUM(AN155:AN157)</f>
        <v>-27.9005809089837</v>
      </c>
      <c r="AO158" s="12">
        <f>AN158+SUM(AO155:AO157)</f>
        <v>-35.2154337802748</v>
      </c>
      <c r="AP158" s="12">
        <f>AO158+SUM(AP155:AP157)</f>
        <v>-40.8877793463535</v>
      </c>
      <c r="AQ158" s="12" t="n"/>
      <c r="AR158" s="12">
        <f>AP158+SUM(AR155:AR157)</f>
        <v>-48.7392014167657</v>
      </c>
      <c r="AS158" s="12">
        <f>AR158+SUM(AS155:AS157)</f>
        <v>-56.1436990952576</v>
      </c>
      <c r="AT158" s="12">
        <f>AS158+SUM(AT155:AT157)</f>
        <v>-63.531583594782</v>
      </c>
      <c r="AU158" s="12">
        <f>AT158+SUM(AU155:AU157)</f>
        <v>-69.2605619653588</v>
      </c>
      <c r="AV158" s="12" t="n"/>
      <c r="AW158" s="12">
        <f>AU158+SUM(AW155:AW157)</f>
        <v>-77.151115670598</v>
      </c>
      <c r="AX158" s="12">
        <f>AW158+SUM(AX155:AX157)</f>
        <v>-84.5925175043669</v>
      </c>
      <c r="AY158" s="12">
        <f>AX158+SUM(AY155:AY157)</f>
        <v>-92.0172233587727</v>
      </c>
      <c r="AZ158" s="12">
        <f>AY158+SUM(AZ155:AZ157)</f>
        <v>-97.7747550649768</v>
      </c>
      <c r="BA158" s="12" t="n"/>
      <c r="BB158" s="12">
        <f>AZ158+SUM(BB155:BB157)</f>
        <v>-105.665308770216</v>
      </c>
      <c r="BC158" s="12">
        <f>BB158+SUM(BC155:BC157)</f>
        <v>-113.106710603985</v>
      </c>
      <c r="BD158" s="12">
        <f>BC158+SUM(BD155:BD157)</f>
        <v>-120.531416458391</v>
      </c>
      <c r="BE158" s="12">
        <f>BD158+SUM(BE155:BE157)</f>
        <v>-126.288948164595</v>
      </c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>
        <f>IF(AJ15=0,"",AJ155/AJ15)</f>
        <v>0.0476478429971277</v>
      </c>
      <c r="AK159" s="12">
        <f>IF(AK15=0,"",AK155/AK15)</f>
        <v>0.0476478429971277</v>
      </c>
      <c r="AL159" s="12" t="n"/>
      <c r="AM159" s="12">
        <f>IF(AM15=0,"",AM155/AM15)</f>
        <v>0.0476478429971277</v>
      </c>
      <c r="AN159" s="12">
        <f>IF(AN15=0,"",AN155/AN15)</f>
        <v>0.0476478429971277</v>
      </c>
      <c r="AO159" s="12">
        <f>IF(AO15=0,"",AO155/AO15)</f>
        <v>0.0476478429971277</v>
      </c>
      <c r="AP159" s="12">
        <f>IF(AP15=0,"",AP155/AP15)</f>
        <v>0.0476478429971277</v>
      </c>
      <c r="AQ159" s="12" t="n"/>
      <c r="AR159" s="12">
        <f>IF(AR15=0,"",AR155/AR15)</f>
        <v>0.0476478429971277</v>
      </c>
      <c r="AS159" s="12">
        <f>IF(AS15=0,"",AS155/AS15)</f>
        <v>0.0476478429971277</v>
      </c>
      <c r="AT159" s="12">
        <f>IF(AT15=0,"",AT155/AT15)</f>
        <v>0.0476478429971277</v>
      </c>
      <c r="AU159" s="12">
        <f>IF(AU15=0,"",AU155/AU15)</f>
        <v>0.0476478429971277</v>
      </c>
      <c r="AV159" s="12" t="n"/>
      <c r="AW159" s="12">
        <f>IF(AW15=0,"",AW155/AW15)</f>
        <v>0.0476478429971277</v>
      </c>
      <c r="AX159" s="12">
        <f>IF(AX15=0,"",AX155/AX15)</f>
        <v>0.0476478429971277</v>
      </c>
      <c r="AY159" s="12">
        <f>IF(AY15=0,"",AY155/AY15)</f>
        <v>0.0476478429971277</v>
      </c>
      <c r="AZ159" s="12">
        <f>IF(AZ15=0,"",AZ155/AZ15)</f>
        <v>0.0476478429971277</v>
      </c>
      <c r="BA159" s="12" t="n"/>
      <c r="BB159" s="12">
        <f>IF(BB15=0,"",BB155/BB15)</f>
        <v>0.0476478429971277</v>
      </c>
      <c r="BC159" s="12">
        <f>IF(BC15=0,"",BC155/BC15)</f>
        <v>0.0476478429971277</v>
      </c>
      <c r="BD159" s="12">
        <f>IF(BD15=0,"",BD155/BD15)</f>
        <v>0.0476478429971277</v>
      </c>
      <c r="BE159" s="12">
        <f>IF(BE15=0,"",BE155/BE15)</f>
        <v>0.0476478429971277</v>
      </c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inlineStr">
        <is>
          <t>Capital expenditures (% Net Revenues)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58">
        <f>IFERROR(AF155/AF15,"")</f>
        <v>0.0613879929247737</v>
      </c>
      <c r="AG160" s="58">
        <f>IFERROR(AG155/AG15,"")</f>
        <v>0.0485187876715257</v>
      </c>
      <c r="AH160" s="58">
        <f>IFERROR(AH155/AH15,"")</f>
        <v>0.044431146682624</v>
      </c>
      <c r="AI160" s="58">
        <f>IFERROR(AI155/AI15,"")</f>
        <v>0.0478267766497462</v>
      </c>
      <c r="AJ160" s="58">
        <f>IFERROR(AJ155/AJ15,"")</f>
        <v>0.0476478429971277</v>
      </c>
      <c r="AK160" s="58">
        <f>IFERROR(AK155/AK15,"")</f>
        <v>0.0476478429971277</v>
      </c>
      <c r="AL160" s="58">
        <f>IFERROR(AL155/AL15,"")</f>
        <v>0</v>
      </c>
      <c r="AM160" s="58">
        <f>IFERROR(AM155/AM15,"")</f>
        <v>0.0476478429971277</v>
      </c>
      <c r="AN160" s="58">
        <f>IFERROR(AN155/AN15,"")</f>
        <v>0.0476478429971277</v>
      </c>
      <c r="AO160" s="58">
        <f>IFERROR(AO155/AO15,"")</f>
        <v>0.0476478429971277</v>
      </c>
      <c r="AP160" s="58">
        <f>IFERROR(AP155/AP15,"")</f>
        <v>0.0476478429971277</v>
      </c>
      <c r="AQ160" s="58">
        <f>IFERROR(AQ155/AQ15,"")</f>
        <v>0</v>
      </c>
      <c r="AR160" s="58">
        <f>IFERROR(AR155/AR15,"")</f>
        <v>0.0476478429971277</v>
      </c>
      <c r="AS160" s="58">
        <f>IFERROR(AS155/AS15,"")</f>
        <v>0.0476478429971277</v>
      </c>
      <c r="AT160" s="58">
        <f>IFERROR(AT155/AT15,"")</f>
        <v>0.0476478429971277</v>
      </c>
      <c r="AU160" s="58">
        <f>IFERROR(AU155/AU15,"")</f>
        <v>0.0476478429971277</v>
      </c>
      <c r="AV160" s="58">
        <f>IFERROR(AV155/AV15,"")</f>
        <v>0</v>
      </c>
      <c r="AW160" s="58">
        <f>IFERROR(AW155/AW15,"")</f>
        <v>0.0476478429971277</v>
      </c>
      <c r="AX160" s="58">
        <f>IFERROR(AX155/AX15,"")</f>
        <v>0.0476478429971277</v>
      </c>
      <c r="AY160" s="58">
        <f>IFERROR(AY155/AY15,"")</f>
        <v>0.0476478429971277</v>
      </c>
      <c r="AZ160" s="58">
        <f>IFERROR(AZ155/AZ15,"")</f>
        <v>0.0476478429971277</v>
      </c>
      <c r="BA160" s="58">
        <f>IFERROR(BA155/BA15,"")</f>
        <v>0</v>
      </c>
      <c r="BB160" s="58">
        <f>IFERROR(BB155/BB15,"")</f>
        <v>0.0476478429971277</v>
      </c>
      <c r="BC160" s="58">
        <f>IFERROR(BC155/BC15,"")</f>
        <v>0.0476478429971277</v>
      </c>
      <c r="BD160" s="58">
        <f>IFERROR(BD155/BD15,"")</f>
        <v>0.0476478429971277</v>
      </c>
      <c r="BE160" s="58">
        <f>IFERROR(BE155/BE15,"")</f>
        <v>0.0476478429971277</v>
      </c>
      <c r="BF160" s="58">
        <f>IFERROR(BF155/BF15,"")</f>
        <v>0</v>
      </c>
      <c r="BG160" s="58" t="n"/>
      <c r="BH160" s="58" t="n"/>
      <c r="BI160" s="58" t="n"/>
      <c r="BJ160" s="58" t="n"/>
      <c r="BK160" s="58" t="n"/>
      <c r="BL160" s="58" t="n"/>
      <c r="BM160" s="58" t="n"/>
      <c r="BN160" s="58" t="n"/>
      <c r="BO160" s="58" t="n"/>
      <c r="BP160" s="58" t="n"/>
      <c r="BQ160" s="58" t="n"/>
      <c r="BR160" s="58" t="n"/>
      <c r="BS160" s="58" t="n"/>
      <c r="BT160" s="58" t="n"/>
      <c r="BU160" s="58" t="n"/>
      <c r="BV160" s="58" t="n"/>
      <c r="BW160" s="58" t="n"/>
      <c r="BX160" s="58" t="n"/>
      <c r="BY160" s="58" t="n"/>
      <c r="BZ160" s="58" t="n"/>
      <c r="CA160" s="58" t="n"/>
      <c r="CB160" s="58" t="n"/>
      <c r="CC160" s="58" t="n"/>
      <c r="CD160" s="58" t="n"/>
      <c r="CE160" s="58" t="n"/>
      <c r="CF160" s="58" t="n"/>
      <c r="CG160" s="58" t="n"/>
      <c r="CH160" s="58" t="n"/>
      <c r="CI160" s="58" t="n"/>
      <c r="CJ160" s="58" t="n"/>
      <c r="CK160" s="58" t="n"/>
      <c r="CL160" s="58" t="n"/>
      <c r="CM160" s="58" t="n"/>
      <c r="CN160" s="58" t="n"/>
      <c r="CO160" s="58" t="n"/>
      <c r="CP160" s="58" t="n"/>
      <c r="CQ160" s="58" t="n"/>
      <c r="CR160" s="58" t="n"/>
      <c r="CS160" s="58" t="n"/>
      <c r="CT160" s="58" t="n"/>
      <c r="CU160" s="58" t="n"/>
      <c r="CV160" s="58" t="n"/>
      <c r="CW160" s="58" t="n"/>
      <c r="CX160" s="58" t="n"/>
      <c r="CY160" s="58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>
      <c r="C163" s="14" t="inlineStr">
        <is>
          <t>Right-of-use-assets</t>
        </is>
      </c>
      <c r="D163" s="46" t="n"/>
      <c r="E163" s="46" t="n"/>
      <c r="F163" s="46" t="n"/>
      <c r="G163" s="46" t="n"/>
      <c r="H163" s="12" t="n"/>
      <c r="I163" s="46">
        <f>'Inputs (2)'!D23</f>
        <v>0</v>
      </c>
      <c r="J163" s="46">
        <f>'Inputs (2)'!E23</f>
        <v>0</v>
      </c>
      <c r="K163" s="46">
        <f>'Inputs (2)'!F23</f>
        <v>0</v>
      </c>
      <c r="L163" s="46">
        <f>'Inputs (2)'!G23</f>
        <v>0</v>
      </c>
      <c r="M163" s="12">
        <f>'Inputs (2)'!H23</f>
        <v>0</v>
      </c>
      <c r="N163" s="46">
        <f>'Inputs (2)'!I23</f>
        <v>0</v>
      </c>
      <c r="O163" s="46">
        <f>'Inputs (2)'!J23</f>
        <v>0</v>
      </c>
      <c r="P163" s="46">
        <f>'Inputs (2)'!K23</f>
        <v>0</v>
      </c>
      <c r="Q163" s="46">
        <f>'Inputs (2)'!L23</f>
        <v>0</v>
      </c>
      <c r="R163" s="12">
        <f>'Inputs (2)'!M23</f>
        <v>0</v>
      </c>
      <c r="S163" s="46">
        <f>'Inputs (2)'!N23</f>
        <v>0</v>
      </c>
      <c r="T163" s="46">
        <f>'Inputs (2)'!O23</f>
        <v>0</v>
      </c>
      <c r="U163" s="46">
        <f>'Inputs (2)'!P23</f>
        <v>0</v>
      </c>
      <c r="V163" s="46">
        <f>'Inputs (2)'!Q23</f>
        <v>0</v>
      </c>
      <c r="W163" s="12">
        <f>'Inputs (2)'!R23</f>
        <v>0</v>
      </c>
      <c r="X163" s="46">
        <f>'Inputs (2)'!S23</f>
        <v>0</v>
      </c>
      <c r="Y163" s="46">
        <f>'Inputs (2)'!T23</f>
        <v>0</v>
      </c>
      <c r="Z163" s="46">
        <f>'Inputs (2)'!U23</f>
        <v>0</v>
      </c>
      <c r="AA163" s="46">
        <f>'Inputs (2)'!V23</f>
        <v>0</v>
      </c>
      <c r="AB163" s="12">
        <f>'Inputs (2)'!W23</f>
        <v>0</v>
      </c>
      <c r="AC163" s="46">
        <f>'Inputs (2)'!X23</f>
        <v>0</v>
      </c>
      <c r="AD163" s="46">
        <f>'Inputs (2)'!Y23</f>
        <v>0</v>
      </c>
      <c r="AE163" s="46">
        <f>'Inputs (2)'!Z23</f>
        <v>0</v>
      </c>
      <c r="AF163" s="46">
        <f>'Inputs (2)'!AA23</f>
        <v>0</v>
      </c>
      <c r="AG163" s="12">
        <f>'Inputs (2)'!AB23</f>
        <v>0</v>
      </c>
      <c r="AH163" s="12">
        <f>'Inputs (2)'!AC23</f>
        <v>0</v>
      </c>
      <c r="AI163" s="12">
        <f>'Inputs (2)'!AD23</f>
        <v>0</v>
      </c>
      <c r="AJ163" s="12">
        <f>AI163</f>
        <v>0</v>
      </c>
      <c r="AK163" s="12">
        <f>AJ163</f>
        <v>0</v>
      </c>
      <c r="AL163" s="12">
        <f>AK163</f>
        <v>0</v>
      </c>
      <c r="AM163" s="12">
        <f>AL163</f>
        <v>0</v>
      </c>
      <c r="AN163" s="12">
        <f>AM163</f>
        <v>0</v>
      </c>
      <c r="AO163" s="12">
        <f>AN163</f>
        <v>0</v>
      </c>
      <c r="AP163" s="12">
        <f>AO163</f>
        <v>0</v>
      </c>
      <c r="AQ163" s="12">
        <f>AP163</f>
        <v>0</v>
      </c>
      <c r="AR163" s="12">
        <f>AQ163</f>
        <v>0</v>
      </c>
      <c r="AS163" s="12">
        <f>AR163</f>
        <v>0</v>
      </c>
      <c r="AT163" s="12">
        <f>AS163</f>
        <v>0</v>
      </c>
      <c r="AU163" s="12">
        <f>AT163</f>
        <v>0</v>
      </c>
      <c r="AV163" s="12">
        <f>AU163</f>
        <v>0</v>
      </c>
      <c r="AW163" s="12">
        <f>AV163</f>
        <v>0</v>
      </c>
      <c r="AX163" s="12">
        <f>AW163</f>
        <v>0</v>
      </c>
      <c r="AY163" s="12">
        <f>AX163</f>
        <v>0</v>
      </c>
      <c r="AZ163" s="12">
        <f>AY163</f>
        <v>0</v>
      </c>
      <c r="BA163" s="12">
        <f>AZ163</f>
        <v>0</v>
      </c>
      <c r="BB163" s="12">
        <f>BA163</f>
        <v>0</v>
      </c>
      <c r="BC163" s="12">
        <f>BB163</f>
        <v>0</v>
      </c>
      <c r="BD163" s="12">
        <f>BC163</f>
        <v>0</v>
      </c>
      <c r="BE163" s="12">
        <f>BD163</f>
        <v>0</v>
      </c>
      <c r="BF163" s="12">
        <f>BE163</f>
        <v>0</v>
      </c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9" t="inlineStr">
        <is>
          <t>%(Var.)</t>
        </is>
      </c>
      <c r="D164" s="12" t="n"/>
      <c r="E164" s="40" t="n"/>
      <c r="F164" s="40" t="n"/>
      <c r="G164" s="40" t="n"/>
      <c r="H164" s="12" t="n"/>
      <c r="I164" s="40" t="str">
        <f>""</f>
        <v/>
      </c>
      <c r="J164" s="40" t="str">
        <f>IFERROR(IF(I163=0,"",J163/I163-1),"")</f>
        <v/>
      </c>
      <c r="K164" s="40" t="str">
        <f>IFERROR(IF(J163=0,"",K163/J163-1),"")</f>
        <v/>
      </c>
      <c r="L164" s="40" t="str">
        <f>IFERROR(IF(K163=0,"",L163/K163-1),"")</f>
        <v/>
      </c>
      <c r="M164" s="12" t="str">
        <f>IFERROR(IF(L163=0,"",M163/L163-1),"")</f>
        <v/>
      </c>
      <c r="N164" s="40" t="str">
        <f>IFERROR(IF(M163=0,"",N163/M163-1),"")</f>
        <v/>
      </c>
      <c r="O164" s="40" t="str">
        <f>IFERROR(IF(N163=0,"",O163/N163-1),"")</f>
        <v/>
      </c>
      <c r="P164" s="40" t="str">
        <f>IFERROR(IF(O163=0,"",P163/O163-1),"")</f>
        <v/>
      </c>
      <c r="Q164" s="40" t="str">
        <f>IFERROR(IF(P163=0,"",Q163/P163-1),"")</f>
        <v/>
      </c>
      <c r="R164" s="12" t="str">
        <f>IFERROR(IF(Q163=0,"",R163/Q163-1),"")</f>
        <v/>
      </c>
      <c r="S164" s="40" t="str">
        <f>IFERROR(IF(R163=0,"",S163/R163-1),"")</f>
        <v/>
      </c>
      <c r="T164" s="40" t="str">
        <f>IFERROR(IF(S163=0,"",T163/S163-1),"")</f>
        <v/>
      </c>
      <c r="U164" s="40" t="str">
        <f>IFERROR(IF(T163=0,"",U163/T163-1),"")</f>
        <v/>
      </c>
      <c r="V164" s="40" t="str">
        <f>IFERROR(IF(U163=0,"",V163/U163-1),"")</f>
        <v/>
      </c>
      <c r="W164" s="12" t="str">
        <f>IFERROR(IF(V163=0,"",W163/V163-1),"")</f>
        <v/>
      </c>
      <c r="X164" s="40" t="str">
        <f>IFERROR(IF(W163=0,"",X163/W163-1),"")</f>
        <v/>
      </c>
      <c r="Y164" s="40" t="str">
        <f>IFERROR(IF(X163=0,"",Y163/X163-1),"")</f>
        <v/>
      </c>
      <c r="Z164" s="40" t="str">
        <f>IFERROR(IF(Y163=0,"",Z163/Y163-1),"")</f>
        <v/>
      </c>
      <c r="AA164" s="40" t="str">
        <f>IFERROR(IF(Z163=0,"",AA163/Z163-1),"")</f>
        <v/>
      </c>
      <c r="AB164" s="12" t="str">
        <f>IFERROR(IF(AA163=0,"",AB163/AA163-1),"")</f>
        <v/>
      </c>
      <c r="AC164" s="40" t="str">
        <f>IFERROR(IF(AB163=0,"",AC163/AB163-1),"")</f>
        <v/>
      </c>
      <c r="AD164" s="40" t="str">
        <f>IFERROR(IF(AC163=0,"",AD163/AC163-1),"")</f>
        <v/>
      </c>
      <c r="AE164" s="40" t="str">
        <f>IFERROR(IF(AD163=0,"",AE163/AD163-1),"")</f>
        <v/>
      </c>
      <c r="AF164" s="55" t="str">
        <f>IFERROR(IF(AE163=0,"",AF163/AE163-1),"")</f>
        <v/>
      </c>
      <c r="AG164" s="12" t="str">
        <f>IFERROR(IF(AF163=0,"",AG163/AF163-1),"")</f>
        <v/>
      </c>
      <c r="AH164" s="55" t="str">
        <f>IFERROR(IF(AG163=0,"",AH163/AG163-1),"")</f>
        <v/>
      </c>
      <c r="AI164" s="55" t="str">
        <f>IFERROR(IF(AH163=0,"",AI163/AH163-1),"")</f>
        <v/>
      </c>
      <c r="AJ164" s="55" t="str">
        <f>IFERROR(IF(AI163=0,"",AJ163/AI163-1),"")</f>
        <v/>
      </c>
      <c r="AK164" s="55" t="str">
        <f>IFERROR(IF(AJ163=0,"",AK163/AJ163-1),"")</f>
        <v/>
      </c>
      <c r="AL164" s="12" t="str">
        <f>IFERROR(IF(AK163=0,"",AL163/AK163-1),"")</f>
        <v/>
      </c>
      <c r="AM164" s="55" t="str">
        <f>IFERROR(IF(AL163=0,"",AM163/AL163-1),"")</f>
        <v/>
      </c>
      <c r="AN164" s="55" t="str">
        <f>IFERROR(IF(AM163=0,"",AN163/AM163-1),"")</f>
        <v/>
      </c>
      <c r="AO164" s="55" t="str">
        <f>IFERROR(IF(AN163=0,"",AO163/AN163-1),"")</f>
        <v/>
      </c>
      <c r="AP164" s="55" t="str">
        <f>IFERROR(IF(AO163=0,"",AP163/AO163-1),"")</f>
        <v/>
      </c>
      <c r="AQ164" s="12" t="str">
        <f>IFERROR(IF(AP163=0,"",AQ163/AP163-1),"")</f>
        <v/>
      </c>
      <c r="AR164" s="55" t="str">
        <f>IFERROR(IF(AQ163=0,"",AR163/AQ163-1),"")</f>
        <v/>
      </c>
      <c r="AS164" s="55" t="str">
        <f>IFERROR(IF(AR163=0,"",AS163/AR163-1),"")</f>
        <v/>
      </c>
      <c r="AT164" s="55" t="str">
        <f>IFERROR(IF(AS163=0,"",AT163/AS163-1),"")</f>
        <v/>
      </c>
      <c r="AU164" s="55" t="str">
        <f>IFERROR(IF(AT163=0,"",AU163/AT163-1),"")</f>
        <v/>
      </c>
      <c r="AV164" s="12" t="str">
        <f>IFERROR(IF(AU163=0,"",AV163/AU163-1),"")</f>
        <v/>
      </c>
      <c r="AW164" s="55" t="str">
        <f>IFERROR(IF(AV163=0,"",AW163/AV163-1),"")</f>
        <v/>
      </c>
      <c r="AX164" s="55" t="str">
        <f>IFERROR(IF(AW163=0,"",AX163/AW163-1),"")</f>
        <v/>
      </c>
      <c r="AY164" s="55" t="str">
        <f>IFERROR(IF(AX163=0,"",AY163/AX163-1),"")</f>
        <v/>
      </c>
      <c r="AZ164" s="55" t="str">
        <f>IFERROR(IF(AY163=0,"",AZ163/AY163-1),"")</f>
        <v/>
      </c>
      <c r="BA164" s="12" t="str">
        <f>IFERROR(IF(AZ163=0,"",BA163/AZ163-1),"")</f>
        <v/>
      </c>
      <c r="BB164" s="55" t="str">
        <f>IFERROR(IF(BA163=0,"",BB163/BA163-1),"")</f>
        <v/>
      </c>
      <c r="BC164" s="55" t="str">
        <f>IFERROR(IF(BB163=0,"",BC163/BB163-1),"")</f>
        <v/>
      </c>
      <c r="BD164" s="55" t="str">
        <f>IFERROR(IF(BC163=0,"",BD163/BC163-1),"")</f>
        <v/>
      </c>
      <c r="BE164" s="55" t="str">
        <f>IFERROR(IF(BD163=0,"",BE163/BD163-1),"")</f>
        <v/>
      </c>
      <c r="BF164" s="12" t="str">
        <f>IFERROR(IF(BE163=0,"",BF163/BE163-1),"")</f>
        <v/>
      </c>
      <c r="BG164" s="55" t="n"/>
      <c r="BH164" s="55" t="n"/>
      <c r="BI164" s="55" t="n"/>
      <c r="BJ164" s="55" t="n"/>
      <c r="BK164" s="12" t="n"/>
      <c r="BL164" s="55" t="n"/>
      <c r="BM164" s="55" t="n"/>
      <c r="BN164" s="55" t="n"/>
      <c r="BO164" s="55" t="n"/>
      <c r="BP164" s="12" t="n"/>
      <c r="BQ164" s="55" t="n"/>
      <c r="BR164" s="55" t="n"/>
      <c r="BS164" s="55" t="n"/>
      <c r="BT164" s="55" t="n"/>
      <c r="BU164" s="12" t="n"/>
      <c r="BV164" s="55" t="n"/>
      <c r="BW164" s="55" t="n"/>
      <c r="BX164" s="55" t="n"/>
      <c r="BY164" s="55" t="n"/>
      <c r="BZ164" s="12" t="n"/>
      <c r="CA164" s="55" t="n"/>
      <c r="CB164" s="55" t="n"/>
      <c r="CC164" s="55" t="n"/>
      <c r="CD164" s="55" t="n"/>
      <c r="CE164" s="12" t="n"/>
      <c r="CF164" s="55" t="n"/>
      <c r="CG164" s="55" t="n"/>
      <c r="CH164" s="55" t="n"/>
      <c r="CI164" s="55" t="n"/>
      <c r="CJ164" s="12" t="n"/>
      <c r="CK164" s="55" t="n"/>
      <c r="CL164" s="55" t="n"/>
      <c r="CM164" s="55" t="n"/>
      <c r="CN164" s="55" t="n"/>
      <c r="CO164" s="12" t="n"/>
      <c r="CP164" s="55" t="n"/>
      <c r="CQ164" s="55" t="n"/>
      <c r="CR164" s="55" t="n"/>
      <c r="CS164" s="55" t="n"/>
      <c r="CT164" s="12" t="n"/>
      <c r="CU164" s="55" t="n"/>
      <c r="CV164" s="55" t="n"/>
      <c r="CW164" s="55" t="n"/>
      <c r="CX164" s="55" t="n"/>
      <c r="CY164" s="12" t="n"/>
    </row>
    <row r="165" hidden="1" outlineLevel="1">
      <c r="C165" s="57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collapsed="1">
      <c r="C166" s="14" t="inlineStr">
        <is>
          <t>Goodwill</t>
        </is>
      </c>
      <c r="D166" s="46" t="n"/>
      <c r="E166" s="46" t="n"/>
      <c r="F166" s="46" t="n"/>
      <c r="G166" s="46" t="n"/>
      <c r="H166" s="12" t="n"/>
      <c r="I166" s="46">
        <f>'Inputs (2)'!D24</f>
        <v>3190</v>
      </c>
      <c r="J166" s="46">
        <f>'Inputs (2)'!E24</f>
        <v>3148</v>
      </c>
      <c r="K166" s="46">
        <f>'Inputs (2)'!F24</f>
        <v>3291</v>
      </c>
      <c r="L166" s="46">
        <f>'Inputs (2)'!G24</f>
        <v>3192</v>
      </c>
      <c r="M166" s="12">
        <f>'Inputs (2)'!H24</f>
        <v>3192</v>
      </c>
      <c r="N166" s="46">
        <f>'Inputs (2)'!I24</f>
        <v>3812</v>
      </c>
      <c r="O166" s="46">
        <f>'Inputs (2)'!J24</f>
        <v>3754</v>
      </c>
      <c r="P166" s="46">
        <f>'Inputs (2)'!K24</f>
        <v>3687</v>
      </c>
      <c r="Q166" s="46">
        <f>'Inputs (2)'!L24</f>
        <v>3891</v>
      </c>
      <c r="R166" s="12">
        <f>'Inputs (2)'!M24</f>
        <v>3891</v>
      </c>
      <c r="S166" s="46">
        <f>'Inputs (2)'!N24</f>
        <v>3963</v>
      </c>
      <c r="T166" s="46">
        <f>'Inputs (2)'!O24</f>
        <v>3994</v>
      </c>
      <c r="U166" s="46">
        <f>'Inputs (2)'!P24</f>
        <v>3900</v>
      </c>
      <c r="V166" s="46">
        <f>'Inputs (2)'!Q24</f>
        <v>3966</v>
      </c>
      <c r="W166" s="12">
        <f>'Inputs (2)'!R24</f>
        <v>3966</v>
      </c>
      <c r="X166" s="46">
        <f>'Inputs (2)'!S24</f>
        <v>3936</v>
      </c>
      <c r="Y166" s="46">
        <f>'Inputs (2)'!T24</f>
        <v>3960</v>
      </c>
      <c r="Z166" s="46">
        <f>'Inputs (2)'!U24</f>
        <v>3959</v>
      </c>
      <c r="AA166" s="46">
        <f>'Inputs (2)'!V24</f>
        <v>3872</v>
      </c>
      <c r="AB166" s="12">
        <f>'Inputs (2)'!W24</f>
        <v>3872</v>
      </c>
      <c r="AC166" s="46">
        <f>'Inputs (2)'!X24</f>
        <v>4094</v>
      </c>
      <c r="AD166" s="46">
        <f>'Inputs (2)'!Y24</f>
        <v>4209</v>
      </c>
      <c r="AE166" s="46">
        <f>'Inputs (2)'!Z24</f>
        <v>4188</v>
      </c>
      <c r="AF166" s="46">
        <f>'Inputs (2)'!AA24</f>
        <v>4280</v>
      </c>
      <c r="AG166" s="12">
        <f>'Inputs (2)'!AB24</f>
        <v>4280</v>
      </c>
      <c r="AH166" s="12">
        <f>'Inputs (2)'!AC24</f>
        <v>4513</v>
      </c>
      <c r="AI166" s="12">
        <f>'Inputs (2)'!AD24</f>
        <v>4466</v>
      </c>
      <c r="AJ166" s="12">
        <f>AI166</f>
        <v>4466</v>
      </c>
      <c r="AK166" s="12">
        <f>AJ166</f>
        <v>4466</v>
      </c>
      <c r="AL166" s="12">
        <f>AK166</f>
        <v>4466</v>
      </c>
      <c r="AM166" s="12">
        <f>AL166</f>
        <v>4466</v>
      </c>
      <c r="AN166" s="12">
        <f>AM166</f>
        <v>4466</v>
      </c>
      <c r="AO166" s="12">
        <f>AN166</f>
        <v>4466</v>
      </c>
      <c r="AP166" s="12">
        <f>AO166</f>
        <v>4466</v>
      </c>
      <c r="AQ166" s="12">
        <f>AP166</f>
        <v>4466</v>
      </c>
      <c r="AR166" s="12">
        <f>AQ166</f>
        <v>4466</v>
      </c>
      <c r="AS166" s="12">
        <f>AR166</f>
        <v>4466</v>
      </c>
      <c r="AT166" s="12">
        <f>AS166</f>
        <v>4466</v>
      </c>
      <c r="AU166" s="12">
        <f>AT166</f>
        <v>4466</v>
      </c>
      <c r="AV166" s="12">
        <f>AU166</f>
        <v>4466</v>
      </c>
      <c r="AW166" s="12">
        <f>AV166</f>
        <v>4466</v>
      </c>
      <c r="AX166" s="12">
        <f>AW166</f>
        <v>4466</v>
      </c>
      <c r="AY166" s="12">
        <f>AX166</f>
        <v>4466</v>
      </c>
      <c r="AZ166" s="12">
        <f>AY166</f>
        <v>4466</v>
      </c>
      <c r="BA166" s="12">
        <f>AZ166</f>
        <v>4466</v>
      </c>
      <c r="BB166" s="12">
        <f>BA166</f>
        <v>4466</v>
      </c>
      <c r="BC166" s="12">
        <f>BB166</f>
        <v>4466</v>
      </c>
      <c r="BD166" s="12">
        <f>BC166</f>
        <v>4466</v>
      </c>
      <c r="BE166" s="12">
        <f>BD166</f>
        <v>4466</v>
      </c>
      <c r="BF166" s="12">
        <f>BE166</f>
        <v>4466</v>
      </c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>
      <c r="C167" s="14" t="inlineStr">
        <is>
          <t>Intangibles</t>
        </is>
      </c>
      <c r="D167" s="46" t="n"/>
      <c r="E167" s="46" t="n"/>
      <c r="F167" s="46" t="n"/>
      <c r="G167" s="46" t="n"/>
      <c r="H167" s="12" t="n"/>
      <c r="I167" s="46">
        <f>'Inputs (2)'!D25</f>
        <v>1310</v>
      </c>
      <c r="J167" s="46">
        <f>'Inputs (2)'!E25</f>
        <v>1267</v>
      </c>
      <c r="K167" s="46">
        <f>'Inputs (2)'!F25</f>
        <v>1275</v>
      </c>
      <c r="L167" s="46">
        <f>'Inputs (2)'!G25</f>
        <v>1209</v>
      </c>
      <c r="M167" s="12">
        <f>'Inputs (2)'!H25</f>
        <v>1209</v>
      </c>
      <c r="N167" s="46">
        <f>'Inputs (2)'!I25</f>
        <v>1352</v>
      </c>
      <c r="O167" s="46">
        <f>'Inputs (2)'!J25</f>
        <v>1281</v>
      </c>
      <c r="P167" s="46">
        <f>'Inputs (2)'!K25</f>
        <v>1218</v>
      </c>
      <c r="Q167" s="46">
        <f>'Inputs (2)'!L25</f>
        <v>1255</v>
      </c>
      <c r="R167" s="12">
        <f>'Inputs (2)'!M25</f>
        <v>1255</v>
      </c>
      <c r="S167" s="46">
        <f>'Inputs (2)'!N25</f>
        <v>1222</v>
      </c>
      <c r="T167" s="46">
        <f>'Inputs (2)'!O25</f>
        <v>1199</v>
      </c>
      <c r="U167" s="46">
        <f>'Inputs (2)'!P25</f>
        <v>1133</v>
      </c>
      <c r="V167" s="46">
        <f>'Inputs (2)'!Q25</f>
        <v>1112</v>
      </c>
      <c r="W167" s="12">
        <f>'Inputs (2)'!R25</f>
        <v>1112</v>
      </c>
      <c r="X167" s="46">
        <f>'Inputs (2)'!S25</f>
        <v>1064</v>
      </c>
      <c r="Y167" s="46">
        <f>'Inputs (2)'!T25</f>
        <v>1030</v>
      </c>
      <c r="Z167" s="46">
        <f>'Inputs (2)'!U25</f>
        <v>999</v>
      </c>
      <c r="AA167" s="46">
        <f>'Inputs (2)'!V25</f>
        <v>937</v>
      </c>
      <c r="AB167" s="12">
        <f>'Inputs (2)'!W25</f>
        <v>937</v>
      </c>
      <c r="AC167" s="46">
        <f>'Inputs (2)'!X25</f>
        <v>964</v>
      </c>
      <c r="AD167" s="46">
        <f>'Inputs (2)'!Y25</f>
        <v>926</v>
      </c>
      <c r="AE167" s="46">
        <f>'Inputs (2)'!Z25</f>
        <v>892</v>
      </c>
      <c r="AF167" s="46">
        <f>'Inputs (2)'!AA25</f>
        <v>880</v>
      </c>
      <c r="AG167" s="12">
        <f>'Inputs (2)'!AB25</f>
        <v>880</v>
      </c>
      <c r="AH167" s="12">
        <f>'Inputs (2)'!AC25</f>
        <v>975</v>
      </c>
      <c r="AI167" s="12">
        <f>'Inputs (2)'!AD25</f>
        <v>940</v>
      </c>
      <c r="AJ167" s="12">
        <f>AI167</f>
        <v>940</v>
      </c>
      <c r="AK167" s="12">
        <f>AJ167</f>
        <v>940</v>
      </c>
      <c r="AL167" s="12">
        <f>AK167</f>
        <v>940</v>
      </c>
      <c r="AM167" s="16">
        <f>AL167</f>
        <v>940</v>
      </c>
      <c r="AN167" s="12">
        <f>AM167</f>
        <v>940</v>
      </c>
      <c r="AO167" s="12">
        <f>AN167</f>
        <v>940</v>
      </c>
      <c r="AP167" s="12">
        <f>AO167</f>
        <v>940</v>
      </c>
      <c r="AQ167" s="12">
        <f>AP167</f>
        <v>940</v>
      </c>
      <c r="AR167" s="16">
        <f>AQ167</f>
        <v>940</v>
      </c>
      <c r="AS167" s="12">
        <f>AR167</f>
        <v>940</v>
      </c>
      <c r="AT167" s="12">
        <f>AS167</f>
        <v>940</v>
      </c>
      <c r="AU167" s="12">
        <f>AT167</f>
        <v>940</v>
      </c>
      <c r="AV167" s="12">
        <f>AU167</f>
        <v>940</v>
      </c>
      <c r="AW167" s="16">
        <f>AV167</f>
        <v>940</v>
      </c>
      <c r="AX167" s="12">
        <f>AW167</f>
        <v>940</v>
      </c>
      <c r="AY167" s="12">
        <f>AX167</f>
        <v>940</v>
      </c>
      <c r="AZ167" s="12">
        <f>AY167</f>
        <v>940</v>
      </c>
      <c r="BA167" s="12">
        <f>AZ167</f>
        <v>940</v>
      </c>
      <c r="BB167" s="16">
        <f>BA167</f>
        <v>940</v>
      </c>
      <c r="BC167" s="12">
        <f>BB167</f>
        <v>940</v>
      </c>
      <c r="BD167" s="12">
        <f>BC167</f>
        <v>940</v>
      </c>
      <c r="BE167" s="12">
        <f>BD167</f>
        <v>940</v>
      </c>
      <c r="BF167" s="12">
        <f>BE167</f>
        <v>940</v>
      </c>
      <c r="BH167" s="12" t="n"/>
      <c r="BI167" s="12" t="n"/>
      <c r="BJ167" s="12" t="n"/>
      <c r="BK167" s="12" t="n"/>
      <c r="BM167" s="12" t="n"/>
      <c r="BN167" s="12" t="n"/>
      <c r="BO167" s="12" t="n"/>
      <c r="BP167" s="12" t="n"/>
      <c r="BR167" s="12" t="n"/>
      <c r="BS167" s="12" t="n"/>
      <c r="BT167" s="12" t="n"/>
      <c r="BU167" s="12" t="n"/>
      <c r="BW167" s="12" t="n"/>
      <c r="BX167" s="12" t="n"/>
      <c r="BY167" s="12" t="n"/>
      <c r="BZ167" s="12" t="n"/>
      <c r="CB167" s="12" t="n"/>
      <c r="CC167" s="12" t="n"/>
      <c r="CD167" s="12" t="n"/>
      <c r="CE167" s="12" t="n"/>
      <c r="CG167" s="12" t="n"/>
      <c r="CH167" s="12" t="n"/>
      <c r="CI167" s="12" t="n"/>
      <c r="CJ167" s="12" t="n"/>
      <c r="CL167" s="12" t="n"/>
      <c r="CM167" s="12" t="n"/>
      <c r="CN167" s="12" t="n"/>
      <c r="CO167" s="12" t="n"/>
      <c r="CQ167" s="12" t="n"/>
      <c r="CR167" s="12" t="n"/>
      <c r="CS167" s="12" t="n"/>
      <c r="CT167" s="12" t="n"/>
      <c r="CV167" s="12" t="n"/>
      <c r="CW167" s="12" t="n"/>
      <c r="CX167" s="12" t="n"/>
      <c r="CY167" s="12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inlineStr">
        <is>
          <t>Purchase of intangible assets</t>
        </is>
      </c>
      <c r="D169" s="12" t="n"/>
      <c r="E169" s="12" t="n"/>
      <c r="F169" s="12" t="n"/>
      <c r="G169" s="12" t="n"/>
      <c r="H169" s="12" t="n"/>
      <c r="I169" s="12" t="str">
        <f>IF(COUNT(H167)=0,"",I167-H167-I71)</f>
        <v/>
      </c>
      <c r="J169" s="12">
        <f>J167-I167-J71</f>
        <v>-43</v>
      </c>
      <c r="K169" s="12">
        <f>K167-J167-K71</f>
        <v>8</v>
      </c>
      <c r="L169" s="12">
        <f>L167-K167-L71</f>
        <v>-66</v>
      </c>
      <c r="M169" s="12" t="n"/>
      <c r="N169" s="12">
        <f>N167-M167-N71</f>
        <v>143</v>
      </c>
      <c r="O169" s="12">
        <f>O167-N167-O71</f>
        <v>-71</v>
      </c>
      <c r="P169" s="12">
        <f>P167-O167-P71</f>
        <v>-63</v>
      </c>
      <c r="Q169" s="12">
        <f>Q167-P167-Q71</f>
        <v>37</v>
      </c>
      <c r="R169" s="12" t="n"/>
      <c r="S169" s="12">
        <f>S167-R167-S71</f>
        <v>-33</v>
      </c>
      <c r="T169" s="12">
        <f>T167-S167-T71</f>
        <v>-23</v>
      </c>
      <c r="U169" s="12">
        <f>U167-T167-U71</f>
        <v>-66</v>
      </c>
      <c r="V169" s="12">
        <f>V167-U167-V71</f>
        <v>-21</v>
      </c>
      <c r="W169" s="12" t="n"/>
      <c r="X169" s="12">
        <f>X167-W167-X71</f>
        <v>-48</v>
      </c>
      <c r="Y169" s="12">
        <f>Y167-X167-Y71</f>
        <v>-34</v>
      </c>
      <c r="Z169" s="12">
        <f>Z167-Y167-Z71</f>
        <v>-31</v>
      </c>
      <c r="AA169" s="12">
        <f>AA167-Z167-AA71</f>
        <v>-62</v>
      </c>
      <c r="AB169" s="12" t="n"/>
      <c r="AC169" s="12">
        <f>AC167-AB167-AC71</f>
        <v>27</v>
      </c>
      <c r="AD169" s="12">
        <f>AD167-AC167-AD71</f>
        <v>-38</v>
      </c>
      <c r="AE169" s="12">
        <f>AE167-AD167-AE71</f>
        <v>-34</v>
      </c>
      <c r="AF169" s="12">
        <f>AF167-AE167-AF71</f>
        <v>-12</v>
      </c>
      <c r="AG169" s="12" t="n"/>
      <c r="AH169" s="11">
        <f>AH167-AG167-AH71</f>
        <v>95</v>
      </c>
      <c r="AI169" s="11">
        <f>AI167-AH167-AI71</f>
        <v>-35</v>
      </c>
      <c r="AJ169" s="11" t="n"/>
      <c r="AK169" s="11" t="n"/>
      <c r="AL169" s="12" t="n"/>
      <c r="AM169" s="11" t="n"/>
      <c r="AN169" s="11" t="n"/>
      <c r="AO169" s="11" t="n"/>
      <c r="AP169" s="11" t="n"/>
      <c r="AQ169" s="12" t="n"/>
      <c r="AR169" s="11" t="n"/>
      <c r="AS169" s="11" t="n"/>
      <c r="AT169" s="11" t="n"/>
      <c r="AU169" s="11" t="n"/>
      <c r="AV169" s="12" t="n"/>
      <c r="AW169" s="11" t="n"/>
      <c r="AX169" s="11" t="n"/>
      <c r="AY169" s="11" t="n"/>
      <c r="AZ169" s="11" t="n"/>
      <c r="BA169" s="12" t="n"/>
      <c r="BB169" s="11" t="n"/>
      <c r="BC169" s="11" t="n"/>
      <c r="BD169" s="11" t="n"/>
      <c r="BE169" s="11" t="n"/>
      <c r="BF169" s="12" t="n"/>
      <c r="BG169" s="11" t="n"/>
      <c r="BH169" s="11" t="n"/>
      <c r="BI169" s="11" t="n"/>
      <c r="BJ169" s="11" t="n"/>
      <c r="BK169" s="12" t="n"/>
      <c r="BL169" s="11" t="n"/>
      <c r="BM169" s="11" t="n"/>
      <c r="BN169" s="11" t="n"/>
      <c r="BO169" s="11" t="n"/>
      <c r="BP169" s="12" t="n"/>
      <c r="BQ169" s="11" t="n"/>
      <c r="BR169" s="11" t="n"/>
      <c r="BS169" s="11" t="n"/>
      <c r="BT169" s="11" t="n"/>
      <c r="BU169" s="12" t="n"/>
      <c r="BV169" s="11" t="n"/>
      <c r="BW169" s="11" t="n"/>
      <c r="BX169" s="11" t="n"/>
      <c r="BY169" s="11" t="n"/>
      <c r="BZ169" s="12" t="n"/>
      <c r="CA169" s="11" t="n"/>
      <c r="CB169" s="11" t="n"/>
      <c r="CC169" s="11" t="n"/>
      <c r="CD169" s="11" t="n"/>
      <c r="CE169" s="12" t="n"/>
      <c r="CF169" s="11" t="n"/>
      <c r="CG169" s="11" t="n"/>
      <c r="CH169" s="11" t="n"/>
      <c r="CI169" s="11" t="n"/>
      <c r="CJ169" s="12" t="n"/>
      <c r="CK169" s="11" t="n"/>
      <c r="CL169" s="11" t="n"/>
      <c r="CM169" s="11" t="n"/>
      <c r="CN169" s="11" t="n"/>
      <c r="CO169" s="12" t="n"/>
      <c r="CP169" s="11" t="n"/>
      <c r="CQ169" s="11" t="n"/>
      <c r="CR169" s="11" t="n"/>
      <c r="CS169" s="11" t="n"/>
      <c r="CT169" s="12" t="n"/>
      <c r="CU169" s="11" t="n"/>
      <c r="CV169" s="11" t="n"/>
      <c r="CW169" s="11" t="n"/>
      <c r="CX169" s="11" t="n"/>
      <c r="CY169" s="12" t="n"/>
    </row>
    <row r="170" hidden="1" outlineLevel="1">
      <c r="C170" s="57" t="inlineStr">
        <is>
          <t>Amortization (enter as -)</t>
        </is>
      </c>
      <c r="D170" s="12" t="n"/>
      <c r="E170" s="12" t="n"/>
      <c r="F170" s="12" t="n"/>
      <c r="G170" s="12" t="n"/>
      <c r="H170" s="12" t="n"/>
      <c r="I170" s="12">
        <f>I70</f>
        <v>0</v>
      </c>
      <c r="J170" s="12">
        <f>J70</f>
        <v>0</v>
      </c>
      <c r="K170" s="12">
        <f>K70</f>
        <v>0</v>
      </c>
      <c r="L170" s="12">
        <f>L70</f>
        <v>0</v>
      </c>
      <c r="M170" s="12" t="n"/>
      <c r="N170" s="12">
        <f>N70</f>
        <v>0</v>
      </c>
      <c r="O170" s="12">
        <f>O70</f>
        <v>0</v>
      </c>
      <c r="P170" s="12">
        <f>P70</f>
        <v>0</v>
      </c>
      <c r="Q170" s="12">
        <f>Q70</f>
        <v>0</v>
      </c>
      <c r="R170" s="12" t="n"/>
      <c r="S170" s="12">
        <f>S70</f>
        <v>0</v>
      </c>
      <c r="T170" s="12">
        <f>T70</f>
        <v>0</v>
      </c>
      <c r="U170" s="12">
        <f>U70</f>
        <v>0</v>
      </c>
      <c r="V170" s="12">
        <f>V70</f>
        <v>0</v>
      </c>
      <c r="W170" s="12" t="n"/>
      <c r="X170" s="12">
        <f>X70</f>
        <v>0</v>
      </c>
      <c r="Y170" s="12">
        <f>Y70</f>
        <v>0</v>
      </c>
      <c r="Z170" s="12">
        <f>Z70</f>
        <v>0</v>
      </c>
      <c r="AA170" s="12">
        <f>AA70</f>
        <v>0</v>
      </c>
      <c r="AB170" s="12" t="n"/>
      <c r="AC170" s="12">
        <f>AC70</f>
        <v>0</v>
      </c>
      <c r="AD170" s="12">
        <f>AD70</f>
        <v>0</v>
      </c>
      <c r="AE170" s="12">
        <f>AE70</f>
        <v>0</v>
      </c>
      <c r="AF170" s="12">
        <f>AF70</f>
        <v>0</v>
      </c>
      <c r="AG170" s="12" t="n"/>
      <c r="AH170" s="12">
        <f>AH70</f>
        <v>0</v>
      </c>
      <c r="AI170" s="11">
        <f>AI70</f>
        <v>0</v>
      </c>
      <c r="AJ170" s="11" t="n"/>
      <c r="AK170" s="11" t="n"/>
      <c r="AL170" s="12" t="n"/>
      <c r="AM170" s="11" t="n"/>
      <c r="AN170" s="11" t="n"/>
      <c r="AO170" s="11" t="n"/>
      <c r="AP170" s="11" t="n"/>
      <c r="AQ170" s="12" t="n"/>
      <c r="AR170" s="11" t="n"/>
      <c r="AS170" s="11" t="n"/>
      <c r="AT170" s="11" t="n"/>
      <c r="AU170" s="11" t="n"/>
      <c r="AV170" s="12" t="n"/>
      <c r="AW170" s="11" t="n"/>
      <c r="AX170" s="11" t="n"/>
      <c r="AY170" s="11" t="n"/>
      <c r="AZ170" s="11" t="n"/>
      <c r="BA170" s="12" t="n"/>
      <c r="BB170" s="11" t="n"/>
      <c r="BC170" s="11" t="n"/>
      <c r="BD170" s="11" t="n"/>
      <c r="BE170" s="11" t="n"/>
      <c r="BF170" s="12" t="n"/>
      <c r="BG170" s="11" t="n"/>
      <c r="BH170" s="11" t="n"/>
      <c r="BI170" s="11" t="n"/>
      <c r="BJ170" s="11" t="n"/>
      <c r="BK170" s="12" t="n"/>
      <c r="BL170" s="11" t="n"/>
      <c r="BM170" s="11" t="n"/>
      <c r="BN170" s="11" t="n"/>
      <c r="BO170" s="11" t="n"/>
      <c r="BP170" s="12" t="n"/>
      <c r="BQ170" s="11" t="n"/>
      <c r="BR170" s="11" t="n"/>
      <c r="BS170" s="11" t="n"/>
      <c r="BT170" s="11" t="n"/>
      <c r="BU170" s="12" t="n"/>
      <c r="BV170" s="11" t="n"/>
      <c r="BW170" s="11" t="n"/>
      <c r="BX170" s="11" t="n"/>
      <c r="BY170" s="11" t="n"/>
      <c r="BZ170" s="12" t="n"/>
      <c r="CA170" s="11" t="n"/>
      <c r="CB170" s="11" t="n"/>
      <c r="CC170" s="11" t="n"/>
      <c r="CD170" s="11" t="n"/>
      <c r="CE170" s="12" t="n"/>
      <c r="CF170" s="11" t="n"/>
      <c r="CG170" s="11" t="n"/>
      <c r="CH170" s="11" t="n"/>
      <c r="CI170" s="11" t="n"/>
      <c r="CJ170" s="12" t="n"/>
      <c r="CK170" s="11" t="n"/>
      <c r="CL170" s="11" t="n"/>
      <c r="CM170" s="11" t="n"/>
      <c r="CN170" s="11" t="n"/>
      <c r="CO170" s="12" t="n"/>
      <c r="CP170" s="11" t="n"/>
      <c r="CQ170" s="11" t="n"/>
      <c r="CR170" s="11" t="n"/>
      <c r="CS170" s="11" t="n"/>
      <c r="CT170" s="12" t="n"/>
      <c r="CU170" s="11" t="n"/>
      <c r="CV170" s="11" t="n"/>
      <c r="CW170" s="11" t="n"/>
      <c r="CX170" s="11" t="n"/>
      <c r="CY170" s="12" t="n"/>
    </row>
    <row r="171" hidden="1" outlineLevel="1">
      <c r="C171" s="57" t="inlineStr">
        <is>
          <t>Intangibles</t>
        </is>
      </c>
      <c r="D171" s="12" t="n"/>
      <c r="E171" s="12" t="n"/>
      <c r="F171" s="12" t="n"/>
      <c r="G171" s="12" t="n"/>
      <c r="H171" s="12" t="n"/>
      <c r="I171" s="12">
        <f>I167</f>
        <v>1310</v>
      </c>
      <c r="J171" s="12">
        <f>J167</f>
        <v>1267</v>
      </c>
      <c r="K171" s="12">
        <f>K167</f>
        <v>1275</v>
      </c>
      <c r="L171" s="12">
        <f>L167</f>
        <v>1209</v>
      </c>
      <c r="M171" s="12">
        <f>M167</f>
        <v>1209</v>
      </c>
      <c r="N171" s="12">
        <f>N167</f>
        <v>1352</v>
      </c>
      <c r="O171" s="12">
        <f>O167</f>
        <v>1281</v>
      </c>
      <c r="P171" s="12">
        <f>P167</f>
        <v>1218</v>
      </c>
      <c r="Q171" s="12">
        <f>Q167</f>
        <v>1255</v>
      </c>
      <c r="R171" s="12">
        <f>R167</f>
        <v>1255</v>
      </c>
      <c r="S171" s="12">
        <f>S167</f>
        <v>1222</v>
      </c>
      <c r="T171" s="12">
        <f>T167</f>
        <v>1199</v>
      </c>
      <c r="U171" s="12">
        <f>U167</f>
        <v>1133</v>
      </c>
      <c r="V171" s="12">
        <f>V167</f>
        <v>1112</v>
      </c>
      <c r="W171" s="12">
        <f>W167</f>
        <v>1112</v>
      </c>
      <c r="X171" s="12">
        <f>X167</f>
        <v>1064</v>
      </c>
      <c r="Y171" s="12">
        <f>Y167</f>
        <v>1030</v>
      </c>
      <c r="Z171" s="12">
        <f>Z167</f>
        <v>999</v>
      </c>
      <c r="AA171" s="12">
        <f>AA167</f>
        <v>937</v>
      </c>
      <c r="AB171" s="12">
        <f>AB167</f>
        <v>937</v>
      </c>
      <c r="AC171" s="12">
        <f>AC167</f>
        <v>964</v>
      </c>
      <c r="AD171" s="12">
        <f>AD167</f>
        <v>926</v>
      </c>
      <c r="AE171" s="12">
        <f>AE167</f>
        <v>892</v>
      </c>
      <c r="AF171" s="12">
        <f>AF167</f>
        <v>880</v>
      </c>
      <c r="AG171" s="12">
        <f>AG167</f>
        <v>880</v>
      </c>
      <c r="AH171" s="12">
        <f>AH167</f>
        <v>975</v>
      </c>
      <c r="AI171" s="12">
        <f>AI167</f>
        <v>940</v>
      </c>
      <c r="AJ171" s="12">
        <f>AJ167</f>
        <v>940</v>
      </c>
      <c r="AK171" s="12">
        <f>AK167</f>
        <v>940</v>
      </c>
      <c r="AL171" s="12" t="n"/>
      <c r="AM171" s="12">
        <f>AM167</f>
        <v>940</v>
      </c>
      <c r="AN171" s="12">
        <f>AN167</f>
        <v>940</v>
      </c>
      <c r="AO171" s="12">
        <f>AO167</f>
        <v>940</v>
      </c>
      <c r="AP171" s="12">
        <f>AP167</f>
        <v>940</v>
      </c>
      <c r="AQ171" s="12" t="n"/>
      <c r="AR171" s="12">
        <f>AR167</f>
        <v>940</v>
      </c>
      <c r="AS171" s="12">
        <f>AS167</f>
        <v>940</v>
      </c>
      <c r="AT171" s="12">
        <f>AT167</f>
        <v>940</v>
      </c>
      <c r="AU171" s="12">
        <f>AU167</f>
        <v>940</v>
      </c>
      <c r="AV171" s="12" t="n"/>
      <c r="AW171" s="12">
        <f>AW167</f>
        <v>940</v>
      </c>
      <c r="AX171" s="12">
        <f>AX167</f>
        <v>940</v>
      </c>
      <c r="AY171" s="12">
        <f>AY167</f>
        <v>940</v>
      </c>
      <c r="AZ171" s="12">
        <f>AZ167</f>
        <v>940</v>
      </c>
      <c r="BA171" s="12" t="n"/>
      <c r="BB171" s="12">
        <f>BB167</f>
        <v>940</v>
      </c>
      <c r="BC171" s="12">
        <f>BC167</f>
        <v>940</v>
      </c>
      <c r="BD171" s="12">
        <f>BD167</f>
        <v>940</v>
      </c>
      <c r="BE171" s="12">
        <f>BE167</f>
        <v>940</v>
      </c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Definir % do D&amp;A No PPE and Intagibles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7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collapsed="1">
      <c r="C176" s="14" t="inlineStr">
        <is>
          <t>Other non-current assets</t>
        </is>
      </c>
      <c r="D176" s="46" t="n"/>
      <c r="E176" s="46" t="n"/>
      <c r="F176" s="46" t="n"/>
      <c r="G176" s="46" t="n"/>
      <c r="H176" s="12" t="n"/>
      <c r="I176" s="46">
        <f>'Inputs (2)'!D26</f>
        <v>0</v>
      </c>
      <c r="J176" s="46">
        <f>'Inputs (2)'!E26</f>
        <v>0</v>
      </c>
      <c r="K176" s="46">
        <f>'Inputs (2)'!F26</f>
        <v>0</v>
      </c>
      <c r="L176" s="46">
        <f>'Inputs (2)'!G26</f>
        <v>0</v>
      </c>
      <c r="M176" s="12">
        <f>'Inputs (2)'!H26</f>
        <v>0</v>
      </c>
      <c r="N176" s="46">
        <f>'Inputs (2)'!I26</f>
        <v>0</v>
      </c>
      <c r="O176" s="46">
        <f>'Inputs (2)'!J26</f>
        <v>40197</v>
      </c>
      <c r="P176" s="46">
        <f>'Inputs (2)'!K26</f>
        <v>42570</v>
      </c>
      <c r="Q176" s="46">
        <f>'Inputs (2)'!L26</f>
        <v>41971</v>
      </c>
      <c r="R176" s="12">
        <f>'Inputs (2)'!M26</f>
        <v>41971</v>
      </c>
      <c r="S176" s="46">
        <f>'Inputs (2)'!N26</f>
        <v>44613</v>
      </c>
      <c r="T176" s="46">
        <f>'Inputs (2)'!O26</f>
        <v>48303</v>
      </c>
      <c r="U176" s="46">
        <f>'Inputs (2)'!P26</f>
        <v>51008</v>
      </c>
      <c r="V176" s="46">
        <f>'Inputs (2)'!Q26</f>
        <v>50108</v>
      </c>
      <c r="W176" s="12">
        <f>'Inputs (2)'!R26</f>
        <v>50108</v>
      </c>
      <c r="X176" s="46">
        <f>'Inputs (2)'!S26</f>
        <v>52540</v>
      </c>
      <c r="Y176" s="46">
        <f>'Inputs (2)'!T26</f>
        <v>52170</v>
      </c>
      <c r="Z176" s="46">
        <f>'Inputs (2)'!U26</f>
        <v>53032</v>
      </c>
      <c r="AA176" s="46">
        <f>'Inputs (2)'!V26</f>
        <v>49653</v>
      </c>
      <c r="AB176" s="12">
        <f>'Inputs (2)'!W26</f>
        <v>49653</v>
      </c>
      <c r="AC176" s="46">
        <f>'Inputs (2)'!X26</f>
        <v>50794</v>
      </c>
      <c r="AD176" s="46">
        <f>'Inputs (2)'!Y26</f>
        <v>51878</v>
      </c>
      <c r="AE176" s="46">
        <f>'Inputs (2)'!Z26</f>
        <v>51406</v>
      </c>
      <c r="AF176" s="46">
        <f>'Inputs (2)'!AA26</f>
        <v>48592</v>
      </c>
      <c r="AG176" s="12">
        <f>'Inputs (2)'!AB26</f>
        <v>48592</v>
      </c>
      <c r="AH176" s="12">
        <f>'Inputs (2)'!AC26</f>
        <v>49016</v>
      </c>
      <c r="AI176" s="12">
        <f>'Inputs (2)'!AD26</f>
        <v>49176</v>
      </c>
      <c r="AJ176" s="12">
        <f>AI176</f>
        <v>49176</v>
      </c>
      <c r="AK176" s="12">
        <f>AJ176</f>
        <v>49176</v>
      </c>
      <c r="AL176" s="12">
        <f>AK176</f>
        <v>49176</v>
      </c>
      <c r="AM176" s="12">
        <f>AL176</f>
        <v>49176</v>
      </c>
      <c r="AN176" s="12">
        <f>AM176</f>
        <v>49176</v>
      </c>
      <c r="AO176" s="12">
        <f>AN176</f>
        <v>49176</v>
      </c>
      <c r="AP176" s="12">
        <f>AO176</f>
        <v>49176</v>
      </c>
      <c r="AQ176" s="12">
        <f>AP176</f>
        <v>49176</v>
      </c>
      <c r="AR176" s="12">
        <f>AQ176</f>
        <v>49176</v>
      </c>
      <c r="AS176" s="12">
        <f>AR176</f>
        <v>49176</v>
      </c>
      <c r="AT176" s="12">
        <f>AS176</f>
        <v>49176</v>
      </c>
      <c r="AU176" s="12">
        <f>AT176</f>
        <v>49176</v>
      </c>
      <c r="AV176" s="12">
        <f>AU176</f>
        <v>49176</v>
      </c>
      <c r="AW176" s="12">
        <f>AV176</f>
        <v>49176</v>
      </c>
      <c r="AX176" s="12">
        <f>AW176</f>
        <v>49176</v>
      </c>
      <c r="AY176" s="12">
        <f>AX176</f>
        <v>49176</v>
      </c>
      <c r="AZ176" s="12">
        <f>AY176</f>
        <v>49176</v>
      </c>
      <c r="BA176" s="12">
        <f>AZ176</f>
        <v>49176</v>
      </c>
      <c r="BB176" s="12">
        <f>BA176</f>
        <v>49176</v>
      </c>
      <c r="BC176" s="12">
        <f>BB176</f>
        <v>49176</v>
      </c>
      <c r="BD176" s="12">
        <f>BC176</f>
        <v>49176</v>
      </c>
      <c r="BE176" s="12">
        <f>BD176</f>
        <v>49176</v>
      </c>
      <c r="BF176" s="12">
        <f>BE176</f>
        <v>49176</v>
      </c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9" t="inlineStr">
        <is>
          <t>%(Var.)</t>
        </is>
      </c>
      <c r="D177" s="12" t="n"/>
      <c r="E177" s="40" t="n"/>
      <c r="F177" s="40" t="n"/>
      <c r="G177" s="40" t="n"/>
      <c r="H177" s="12" t="n"/>
      <c r="I177" s="40" t="str">
        <f>""</f>
        <v/>
      </c>
      <c r="J177" s="40" t="str">
        <f>IF(I176=0,"",J176/I176-1)</f>
        <v/>
      </c>
      <c r="K177" s="40" t="str">
        <f>IF(J176=0,"",K176/J176-1)</f>
        <v/>
      </c>
      <c r="L177" s="40" t="str">
        <f>IF(K176=0,"",L176/K176-1)</f>
        <v/>
      </c>
      <c r="M177" s="12" t="str">
        <f>IF(L176=0,"",M176/L176-1)</f>
        <v/>
      </c>
      <c r="N177" s="40" t="str">
        <f>IF(M176=0,"",N176/M176-1)</f>
        <v/>
      </c>
      <c r="O177" s="40" t="str">
        <f>IF(N176=0,"",O176/N176-1)</f>
        <v/>
      </c>
      <c r="P177" s="40">
        <f>IF(O176=0,"",P176/O176-1)</f>
        <v>0.0590342562877826</v>
      </c>
      <c r="Q177" s="40">
        <f>IF(P176=0,"",Q176/P176-1)</f>
        <v>-0.0140709419779187</v>
      </c>
      <c r="R177" s="12">
        <f>IF(Q176=0,"",R176/Q176-1)</f>
        <v>0</v>
      </c>
      <c r="S177" s="40">
        <f>IF(R176=0,"",S176/R176-1)</f>
        <v>0.0629482261561554</v>
      </c>
      <c r="T177" s="40">
        <f>IF(S176=0,"",T176/S176-1)</f>
        <v>0.0827113173290297</v>
      </c>
      <c r="U177" s="40">
        <f>IF(T176=0,"",U176/T176-1)</f>
        <v>0.0560006624847318</v>
      </c>
      <c r="V177" s="40">
        <f>IF(U176=0,"",V176/U176-1)</f>
        <v>-0.0176442910915935</v>
      </c>
      <c r="W177" s="12">
        <f>IF(V176=0,"",W176/V176-1)</f>
        <v>0</v>
      </c>
      <c r="X177" s="40">
        <f>IF(W176=0,"",X176/W176-1)</f>
        <v>0.0485351640456613</v>
      </c>
      <c r="Y177" s="40">
        <f>IF(X176=0,"",Y176/X176-1)</f>
        <v>-0.00704225352112675</v>
      </c>
      <c r="Z177" s="40">
        <f>IF(Y176=0,"",Z176/Y176-1)</f>
        <v>0.0165229058846079</v>
      </c>
      <c r="AA177" s="40">
        <f>IF(Z176=0,"",AA176/Z176-1)</f>
        <v>-0.0637162467943883</v>
      </c>
      <c r="AB177" s="12">
        <f>IF(AA176=0,"",AB176/AA176-1)</f>
        <v>0</v>
      </c>
      <c r="AC177" s="40">
        <f>IF(AB176=0,"",AC176/AB176-1)</f>
        <v>0.0229794775743661</v>
      </c>
      <c r="AD177" s="40">
        <f>IF(AC176=0,"",AD176/AC176-1)</f>
        <v>0.0213411032799149</v>
      </c>
      <c r="AE177" s="40">
        <f>IF(AD176=0,"",AE176/AD176-1)</f>
        <v>-0.00909826901576771</v>
      </c>
      <c r="AF177" s="55">
        <f>IF(AE176=0,"",AF176/AE176-1)</f>
        <v>-0.054740691748045</v>
      </c>
      <c r="AG177" s="12">
        <f>IF(AF176=0,"",AG176/AF176-1)</f>
        <v>0</v>
      </c>
      <c r="AH177" s="55">
        <f>IF(AG176=0,"",AH176/AG176-1)</f>
        <v>0.00872571616727025</v>
      </c>
      <c r="AI177" s="55">
        <f>IF(AH176=0,"",AI176/AH176-1)</f>
        <v>0.00326424024808225</v>
      </c>
      <c r="AJ177" s="55">
        <f>IF(AI176=0,"",AJ176/AI176-1)</f>
        <v>0</v>
      </c>
      <c r="AK177" s="55">
        <f>IF(AJ176=0,"",AK176/AJ176-1)</f>
        <v>0</v>
      </c>
      <c r="AL177" s="12">
        <f>IF(AK176=0,"",AL176/AK176-1)</f>
        <v>0</v>
      </c>
      <c r="AM177" s="55">
        <f>IF(AL176=0,"",AM176/AL176-1)</f>
        <v>0</v>
      </c>
      <c r="AN177" s="55">
        <f>IF(AM176=0,"",AN176/AM176-1)</f>
        <v>0</v>
      </c>
      <c r="AO177" s="55">
        <f>IF(AN176=0,"",AO176/AN176-1)</f>
        <v>0</v>
      </c>
      <c r="AP177" s="55">
        <f>IF(AO176=0,"",AP176/AO176-1)</f>
        <v>0</v>
      </c>
      <c r="AQ177" s="12">
        <f>IF(AP176=0,"",AQ176/AP176-1)</f>
        <v>0</v>
      </c>
      <c r="AR177" s="55">
        <f>IF(AQ176=0,"",AR176/AQ176-1)</f>
        <v>0</v>
      </c>
      <c r="AS177" s="55">
        <f>IF(AR176=0,"",AS176/AR176-1)</f>
        <v>0</v>
      </c>
      <c r="AT177" s="55">
        <f>IF(AS176=0,"",AT176/AS176-1)</f>
        <v>0</v>
      </c>
      <c r="AU177" s="55">
        <f>IF(AT176=0,"",AU176/AT176-1)</f>
        <v>0</v>
      </c>
      <c r="AV177" s="12">
        <f>IF(AU176=0,"",AV176/AU176-1)</f>
        <v>0</v>
      </c>
      <c r="AW177" s="55">
        <f>IF(AV176=0,"",AW176/AV176-1)</f>
        <v>0</v>
      </c>
      <c r="AX177" s="55">
        <f>IF(AW176=0,"",AX176/AW176-1)</f>
        <v>0</v>
      </c>
      <c r="AY177" s="55">
        <f>IF(AX176=0,"",AY176/AX176-1)</f>
        <v>0</v>
      </c>
      <c r="AZ177" s="55">
        <f>IF(AY176=0,"",AZ176/AY176-1)</f>
        <v>0</v>
      </c>
      <c r="BA177" s="12">
        <f>IF(AZ176=0,"",BA176/AZ176-1)</f>
        <v>0</v>
      </c>
      <c r="BB177" s="55">
        <f>IF(BA176=0,"",BB176/BA176-1)</f>
        <v>0</v>
      </c>
      <c r="BC177" s="55">
        <f>IF(BB176=0,"",BC176/BB176-1)</f>
        <v>0</v>
      </c>
      <c r="BD177" s="55">
        <f>IF(BC176=0,"",BD176/BC176-1)</f>
        <v>0</v>
      </c>
      <c r="BE177" s="55">
        <f>IF(BD176=0,"",BE176/BD176-1)</f>
        <v>0</v>
      </c>
      <c r="BF177" s="12">
        <f>IF(BE176=0,"",BF176/BE176-1)</f>
        <v>0</v>
      </c>
      <c r="BG177" s="55" t="n"/>
      <c r="BH177" s="55" t="n"/>
      <c r="BI177" s="55" t="n"/>
      <c r="BJ177" s="55" t="n"/>
      <c r="BK177" s="12" t="n"/>
      <c r="BL177" s="55" t="n"/>
      <c r="BM177" s="55" t="n"/>
      <c r="BN177" s="55" t="n"/>
      <c r="BO177" s="55" t="n"/>
      <c r="BP177" s="12" t="n"/>
      <c r="BQ177" s="55" t="n"/>
      <c r="BR177" s="55" t="n"/>
      <c r="BS177" s="55" t="n"/>
      <c r="BT177" s="55" t="n"/>
      <c r="BU177" s="12" t="n"/>
      <c r="BV177" s="55" t="n"/>
      <c r="BW177" s="55" t="n"/>
      <c r="BX177" s="55" t="n"/>
      <c r="BY177" s="55" t="n"/>
      <c r="BZ177" s="12" t="n"/>
      <c r="CA177" s="55" t="n"/>
      <c r="CB177" s="55" t="n"/>
      <c r="CC177" s="55" t="n"/>
      <c r="CD177" s="55" t="n"/>
      <c r="CE177" s="12" t="n"/>
      <c r="CF177" s="55" t="n"/>
      <c r="CG177" s="55" t="n"/>
      <c r="CH177" s="55" t="n"/>
      <c r="CI177" s="55" t="n"/>
      <c r="CJ177" s="12" t="n"/>
      <c r="CK177" s="55" t="n"/>
      <c r="CL177" s="55" t="n"/>
      <c r="CM177" s="55" t="n"/>
      <c r="CN177" s="55" t="n"/>
      <c r="CO177" s="12" t="n"/>
      <c r="CP177" s="55" t="n"/>
      <c r="CQ177" s="55" t="n"/>
      <c r="CR177" s="55" t="n"/>
      <c r="CS177" s="55" t="n"/>
      <c r="CT177" s="12" t="n"/>
      <c r="CU177" s="55" t="n"/>
      <c r="CV177" s="55" t="n"/>
      <c r="CW177" s="55" t="n"/>
      <c r="CX177" s="55" t="n"/>
      <c r="CY177" s="12" t="n"/>
    </row>
    <row r="178" hidden="1" outlineLevel="1">
      <c r="C178" s="57" t="n"/>
      <c r="D178" s="12" t="n"/>
      <c r="E178" s="40" t="n"/>
      <c r="F178" s="40" t="n"/>
      <c r="G178" s="40" t="n"/>
      <c r="H178" s="12" t="n"/>
      <c r="I178" s="40" t="n"/>
      <c r="J178" s="40" t="n"/>
      <c r="K178" s="40" t="n"/>
      <c r="L178" s="40" t="n"/>
      <c r="M178" s="12" t="n"/>
      <c r="N178" s="40" t="n"/>
      <c r="O178" s="40" t="n"/>
      <c r="P178" s="40" t="n"/>
      <c r="Q178" s="40" t="n"/>
      <c r="R178" s="12" t="n"/>
      <c r="S178" s="40" t="n"/>
      <c r="T178" s="40" t="n"/>
      <c r="U178" s="40" t="n"/>
      <c r="V178" s="40" t="n"/>
      <c r="W178" s="12" t="n"/>
      <c r="X178" s="40" t="n"/>
      <c r="Y178" s="40" t="n"/>
      <c r="Z178" s="40" t="n"/>
      <c r="AA178" s="40" t="n"/>
      <c r="AB178" s="12" t="n"/>
      <c r="AC178" s="40" t="n"/>
      <c r="AD178" s="40" t="n"/>
      <c r="AE178" s="40" t="n"/>
      <c r="AF178" s="55" t="n"/>
      <c r="AG178" s="12" t="n"/>
      <c r="AH178" s="55" t="n"/>
      <c r="AI178" s="55" t="n"/>
      <c r="AJ178" s="55" t="n"/>
      <c r="AK178" s="55" t="n"/>
      <c r="AL178" s="12" t="n"/>
      <c r="AM178" s="55" t="n"/>
      <c r="AN178" s="55" t="n"/>
      <c r="AO178" s="55" t="n"/>
      <c r="AP178" s="55" t="n"/>
      <c r="AQ178" s="12" t="n"/>
      <c r="AR178" s="55" t="n"/>
      <c r="AS178" s="55" t="n"/>
      <c r="AT178" s="55" t="n"/>
      <c r="AU178" s="55" t="n"/>
      <c r="AV178" s="12" t="n"/>
      <c r="AW178" s="55" t="n"/>
      <c r="AX178" s="55" t="n"/>
      <c r="AY178" s="55" t="n"/>
      <c r="AZ178" s="55" t="n"/>
      <c r="BA178" s="12" t="n"/>
      <c r="BB178" s="55" t="n"/>
      <c r="BC178" s="55" t="n"/>
      <c r="BD178" s="55" t="n"/>
      <c r="BE178" s="55" t="n"/>
      <c r="BF178" s="12" t="n"/>
      <c r="BG178" s="55" t="n"/>
      <c r="BH178" s="55" t="n"/>
      <c r="BI178" s="55" t="n"/>
      <c r="BJ178" s="55" t="n"/>
      <c r="BK178" s="12" t="n"/>
      <c r="BL178" s="55" t="n"/>
      <c r="BM178" s="55" t="n"/>
      <c r="BN178" s="55" t="n"/>
      <c r="BO178" s="55" t="n"/>
      <c r="BP178" s="12" t="n"/>
      <c r="BQ178" s="55" t="n"/>
      <c r="BR178" s="55" t="n"/>
      <c r="BS178" s="55" t="n"/>
      <c r="BT178" s="55" t="n"/>
      <c r="BU178" s="12" t="n"/>
      <c r="BV178" s="55" t="n"/>
      <c r="BW178" s="55" t="n"/>
      <c r="BX178" s="55" t="n"/>
      <c r="BY178" s="55" t="n"/>
      <c r="BZ178" s="12" t="n"/>
      <c r="CA178" s="55" t="n"/>
      <c r="CB178" s="55" t="n"/>
      <c r="CC178" s="55" t="n"/>
      <c r="CD178" s="55" t="n"/>
      <c r="CE178" s="12" t="n"/>
      <c r="CF178" s="55" t="n"/>
      <c r="CG178" s="55" t="n"/>
      <c r="CH178" s="55" t="n"/>
      <c r="CI178" s="55" t="n"/>
      <c r="CJ178" s="12" t="n"/>
      <c r="CK178" s="55" t="n"/>
      <c r="CL178" s="55" t="n"/>
      <c r="CM178" s="55" t="n"/>
      <c r="CN178" s="55" t="n"/>
      <c r="CO178" s="12" t="n"/>
      <c r="CP178" s="55" t="n"/>
      <c r="CQ178" s="55" t="n"/>
      <c r="CR178" s="55" t="n"/>
      <c r="CS178" s="55" t="n"/>
      <c r="CT178" s="12" t="n"/>
      <c r="CU178" s="55" t="n"/>
      <c r="CV178" s="55" t="n"/>
      <c r="CW178" s="55" t="n"/>
      <c r="CX178" s="55" t="n"/>
      <c r="CY178" s="12" t="n"/>
    </row>
    <row r="179" hidden="1" outlineLevel="1">
      <c r="C179" s="60" t="inlineStr">
        <is>
          <t>Outros Créditos - LP</t>
        </is>
      </c>
      <c r="D179" s="11" t="n"/>
      <c r="E179" s="11" t="n"/>
      <c r="F179" s="11" t="n"/>
      <c r="G179" s="11" t="n"/>
      <c r="H179" s="12" t="n"/>
      <c r="I179" s="11" t="n"/>
      <c r="J179" s="11" t="n"/>
      <c r="K179" s="11" t="n"/>
      <c r="L179" s="11" t="n"/>
      <c r="M179" s="12" t="n"/>
      <c r="N179" s="11" t="n"/>
      <c r="O179" s="11" t="n"/>
      <c r="P179" s="11" t="n"/>
      <c r="Q179" s="11" t="n"/>
      <c r="R179" s="12" t="n"/>
      <c r="S179" s="11" t="n"/>
      <c r="T179" s="11" t="n"/>
      <c r="U179" s="11" t="n"/>
      <c r="V179" s="11" t="n"/>
      <c r="W179" s="12" t="n"/>
      <c r="X179" s="11" t="n"/>
      <c r="Y179" s="11" t="n"/>
      <c r="Z179" s="11" t="n"/>
      <c r="AA179" s="11" t="n"/>
      <c r="AB179" s="12" t="n"/>
      <c r="AC179" s="11" t="n"/>
      <c r="AD179" s="11" t="n"/>
      <c r="AE179" s="11" t="n"/>
      <c r="AF179" s="11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60" t="inlineStr">
        <is>
          <t xml:space="preserve">Impostos e Contribuições a Recuperar </t>
        </is>
      </c>
      <c r="D180" s="11" t="n"/>
      <c r="E180" s="11" t="n"/>
      <c r="F180" s="11" t="n"/>
      <c r="G180" s="11" t="n"/>
      <c r="H180" s="12" t="n"/>
      <c r="I180" s="11" t="n"/>
      <c r="J180" s="11" t="n"/>
      <c r="K180" s="11" t="n"/>
      <c r="L180" s="11" t="n"/>
      <c r="M180" s="12" t="n"/>
      <c r="N180" s="11" t="n"/>
      <c r="O180" s="11" t="n"/>
      <c r="P180" s="11" t="n"/>
      <c r="Q180" s="11" t="n"/>
      <c r="R180" s="12" t="n"/>
      <c r="S180" s="11" t="n"/>
      <c r="T180" s="11" t="n"/>
      <c r="U180" s="11" t="n"/>
      <c r="V180" s="11" t="n"/>
      <c r="W180" s="12" t="n"/>
      <c r="X180" s="11" t="n"/>
      <c r="Y180" s="11" t="n"/>
      <c r="Z180" s="11" t="n"/>
      <c r="AA180" s="11" t="n"/>
      <c r="AB180" s="12" t="n"/>
      <c r="AC180" s="11" t="n"/>
      <c r="AD180" s="11" t="n"/>
      <c r="AE180" s="11" t="n"/>
      <c r="AF180" s="11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60" t="inlineStr">
        <is>
          <t xml:space="preserve">Imposto de Renda e Contribuição Social Diferidos </t>
        </is>
      </c>
      <c r="D181" s="11" t="n"/>
      <c r="E181" s="11" t="n"/>
      <c r="F181" s="11" t="n"/>
      <c r="G181" s="11" t="n"/>
      <c r="H181" s="12" t="n"/>
      <c r="I181" s="11" t="n"/>
      <c r="J181" s="11" t="n"/>
      <c r="K181" s="11" t="n"/>
      <c r="L181" s="11" t="n"/>
      <c r="M181" s="12" t="n"/>
      <c r="N181" s="11" t="n"/>
      <c r="O181" s="11" t="n"/>
      <c r="P181" s="11" t="n"/>
      <c r="Q181" s="11" t="n"/>
      <c r="R181" s="12" t="n"/>
      <c r="S181" s="11" t="n"/>
      <c r="T181" s="11" t="n"/>
      <c r="U181" s="11" t="n"/>
      <c r="V181" s="11" t="n"/>
      <c r="W181" s="12" t="n"/>
      <c r="X181" s="11" t="n"/>
      <c r="Y181" s="11" t="n"/>
      <c r="Z181" s="11" t="n"/>
      <c r="AA181" s="11" t="n"/>
      <c r="AB181" s="12" t="n"/>
      <c r="AC181" s="11" t="n"/>
      <c r="AD181" s="11" t="n"/>
      <c r="AE181" s="11" t="n"/>
      <c r="AF181" s="11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60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collapsed="1" customFormat="1" s="32">
      <c r="A184" s="30" t="n"/>
      <c r="B184" s="3" t="n"/>
      <c r="C184" s="33" t="inlineStr">
        <is>
          <t>Total Assets</t>
        </is>
      </c>
      <c r="D184" s="35" t="n"/>
      <c r="E184" s="35" t="n"/>
      <c r="F184" s="35" t="n"/>
      <c r="G184" s="35" t="n"/>
      <c r="H184" s="35" t="n"/>
      <c r="I184" s="35">
        <f>SUM(I131,I132,I136,I140,I141,I142,I148,I153,I163,I166,I167,I176)</f>
        <v>78979</v>
      </c>
      <c r="J184" s="35">
        <f>SUM(J131,J132,J136,J140,J141,J142,J148,J153,J163,J166,J167,J176)</f>
        <v>80688</v>
      </c>
      <c r="K184" s="35">
        <f>SUM(K131,K132,K136,K140,K141,K142,K148,K153,K163,K166,K167,K176)</f>
        <v>84114</v>
      </c>
      <c r="L184" s="35">
        <f>SUM(L131,L132,L136,L140,L141,L142,L148,L153,L163,L166,L167,L176)</f>
        <v>79614</v>
      </c>
      <c r="M184" s="35">
        <f>SUM(M131,M132,M136,M140,M141,M142,M148,M153,M163,M166,M167,M176)</f>
        <v>79614</v>
      </c>
      <c r="N184" s="35">
        <f>SUM(N131,N132,N136,N140,N141,N142,N148,N153,N163,N166,N167,N176)</f>
        <v>84099</v>
      </c>
      <c r="O184" s="35">
        <f>SUM(O131,O132,O136,O140,O141,O142,O148,O153,O163,O166,O167,O176)</f>
        <v>86817</v>
      </c>
      <c r="P184" s="35">
        <f>SUM(P131,P132,P136,P140,P141,P142,P148,P153,P163,P166,P167,P176)</f>
        <v>90030</v>
      </c>
      <c r="Q184" s="35">
        <f>SUM(Q131,Q132,Q136,Q140,Q141,Q142,Q148,Q153,Q163,Q166,Q167,Q176)</f>
        <v>91620</v>
      </c>
      <c r="R184" s="35">
        <f>SUM(R131,R132,R136,R140,R141,R142,R148,R153,R163,R166,R167,R176)</f>
        <v>91620</v>
      </c>
      <c r="S184" s="35">
        <f>SUM(S131,S132,S136,S140,S141,S142,S148,S153,S163,S166,S167,S176)</f>
        <v>98347</v>
      </c>
      <c r="T184" s="35">
        <f>SUM(T131,T132,T136,T140,T141,T142,T148,T153,T163,T166,T167,T176)</f>
        <v>103397</v>
      </c>
      <c r="U184" s="35">
        <f>SUM(U131,U132,U136,U140,U141,U142,U148,U153,U163,U166,U167,U176)</f>
        <v>104087</v>
      </c>
      <c r="V184" s="35">
        <f>SUM(V131,V132,V136,V140,V141,V142,V148,V153,V163,V166,V167,V176)</f>
        <v>101371</v>
      </c>
      <c r="W184" s="35">
        <f>SUM(W131,W132,W136,W140,W141,W142,W148,W153,W163,W166,W167,W176)</f>
        <v>101371</v>
      </c>
      <c r="X184" s="35">
        <f>SUM(X131,X132,X136,X140,X141,X142,X148,X153,X163,X166,X167,X176)</f>
        <v>105628</v>
      </c>
      <c r="Y184" s="35">
        <f>SUM(Y131,Y132,Y136,Y140,Y141,Y142,Y148,Y153,Y163,Y166,Y167,Y176)</f>
        <v>107841</v>
      </c>
      <c r="Z184" s="35">
        <f>SUM(Z131,Z132,Z136,Z140,Z141,Z142,Z148,Z153,Z163,Z166,Z167,Z176)</f>
        <v>107320</v>
      </c>
      <c r="AA184" s="35">
        <f>SUM(AA131,AA132,AA136,AA140,AA141,AA142,AA148,AA153,AA163,AA166,AA167,AA176)</f>
        <v>103119</v>
      </c>
      <c r="AB184" s="35">
        <f>SUM(AB131,AB132,AB136,AB140,AB141,AB142,AB148,AB153,AB163,AB166,AB167,AB176)</f>
        <v>103119</v>
      </c>
      <c r="AC184" s="35">
        <f>SUM(AC131,AC132,AC136,AC140,AC141,AC142,AC148,AC153,AC163,AC166,AC167,AC176)</f>
        <v>106303</v>
      </c>
      <c r="AD184" s="35">
        <f>SUM(AD131,AD132,AD136,AD140,AD141,AD142,AD148,AD153,AD163,AD166,AD167,AD176)</f>
        <v>107817</v>
      </c>
      <c r="AE184" s="35">
        <f>SUM(AE131,AE132,AE136,AE140,AE141,AE142,AE148,AE153,AE163,AE166,AE167,AE176)</f>
        <v>105996</v>
      </c>
      <c r="AF184" s="35">
        <f>SUM(AF131,AF132,AF136,AF140,AF141,AF142,AF148,AF153,AF163,AF166,AF167,AF176)</f>
        <v>103436</v>
      </c>
      <c r="AG184" s="35">
        <f>SUM(AG131,AG132,AG136,AG140,AG141,AG142,AG148,AG153,AG163,AG166,AG167,AG176)</f>
        <v>103436</v>
      </c>
      <c r="AH184" s="35">
        <f>SUM(AH131,AH132,AH136,AH140,AH141,AH142,AH148,AH153,AH163,AH166,AH167,AH176)</f>
        <v>107001</v>
      </c>
      <c r="AI184" s="35">
        <f>SUM(AI131,AI132,AI136,AI140,AI141,AI142,AI148,AI153,AI163,AI166,AI167,AI176)</f>
        <v>107607</v>
      </c>
      <c r="AJ184" s="35">
        <f>SUM(AJ131,AJ132,AJ136,AJ140,AJ141,AJ142,AJ148,AJ153,AJ163,AJ166,AJ167,AJ176)</f>
        <v>109561.982931535</v>
      </c>
      <c r="AK184" s="35">
        <f>SUM(AK131,AK132,AK136,AK140,AK141,AK142,AK148,AK153,AK163,AK166,AK167,AK176)</f>
        <v>111077.985913218</v>
      </c>
      <c r="AL184" s="35">
        <f>SUM(AL131,AL132,AL136,AL140,AL141,AL142,AL148,AL153,AL163,AL166,AL167,AL176)</f>
        <v>111077.985913218</v>
      </c>
      <c r="AM184" s="35">
        <f>SUM(AM131,AM132,AM136,AM140,AM141,AM142,AM148,AM153,AM163,AM166,AM167,AM176)</f>
        <v>113186.761676627</v>
      </c>
      <c r="AN184" s="35">
        <f>SUM(AN131,AN132,AN136,AN140,AN141,AN142,AN148,AN153,AN163,AN166,AN167,AN176)</f>
        <v>115175.500163055</v>
      </c>
      <c r="AO184" s="35">
        <f>SUM(AO131,AO132,AO136,AO140,AO141,AO142,AO148,AO153,AO163,AO166,AO167,AO176)</f>
        <v>117159.776595495</v>
      </c>
      <c r="AP184" s="35">
        <f>SUM(AP131,AP132,AP136,AP140,AP141,AP142,AP148,AP153,AP163,AP166,AP167,AP176)</f>
        <v>118698.495394284</v>
      </c>
      <c r="AQ184" s="35">
        <f>SUM(AQ131,AQ132,AQ136,AQ140,AQ141,AQ142,AQ148,AQ153,AQ163,AQ166,AQ167,AQ176)</f>
        <v>118698.495394284</v>
      </c>
      <c r="AR184" s="35">
        <f>SUM(AR131,AR132,AR136,AR140,AR141,AR142,AR148,AR153,AR163,AR166,AR167,AR176)</f>
        <v>120828.325214458</v>
      </c>
      <c r="AS184" s="35">
        <f>SUM(AS131,AS132,AS136,AS140,AS141,AS142,AS148,AS153,AS163,AS166,AS167,AS176)</f>
        <v>122836.919303227</v>
      </c>
      <c r="AT184" s="35">
        <f>SUM(AT131,AT132,AT136,AT140,AT141,AT142,AT148,AT153,AT163,AT166,AT167,AT176)</f>
        <v>124841.006788777</v>
      </c>
      <c r="AU184" s="35">
        <f>SUM(AU131,AU132,AU136,AU140,AU141,AU142,AU148,AU153,AU163,AU166,AU167,AU176)</f>
        <v>126395.088184907</v>
      </c>
      <c r="AV184" s="35">
        <f>SUM(AV131,AV132,AV136,AV140,AV141,AV142,AV148,AV153,AV163,AV166,AV167,AV176)</f>
        <v>126395.088184907</v>
      </c>
      <c r="AW184" s="35">
        <f>SUM(AW131,AW132,AW136,AW140,AW141,AW142,AW148,AW153,AW163,AW166,AW167,AW176)</f>
        <v>128535.533116842</v>
      </c>
      <c r="AX184" s="35">
        <f>SUM(AX131,AX132,AX136,AX140,AX141,AX142,AX148,AX153,AX163,AX166,AX167,AX176)</f>
        <v>130554.138076214</v>
      </c>
      <c r="AY184" s="35">
        <f>SUM(AY131,AY132,AY136,AY140,AY141,AY142,AY148,AY153,AY163,AY166,AY167,AY176)</f>
        <v>132568.213971373</v>
      </c>
      <c r="AZ184" s="35">
        <f>SUM(AZ131,AZ132,AZ136,AZ140,AZ141,AZ142,AZ148,AZ153,AZ163,AZ166,AZ167,AZ176)</f>
        <v>134130.040938322</v>
      </c>
      <c r="BA184" s="35">
        <f>SUM(BA131,BA132,BA136,BA140,BA141,BA142,BA148,BA153,BA163,BA166,BA167,BA176)</f>
        <v>134130.040938322</v>
      </c>
      <c r="BB184" s="35">
        <f>SUM(BB131,BB132,BB136,BB140,BB141,BB142,BB148,BB153,BB163,BB166,BB167,BB176)</f>
        <v>136270.485870258</v>
      </c>
      <c r="BC184" s="35">
        <f>SUM(BC131,BC132,BC136,BC140,BC141,BC142,BC148,BC153,BC163,BC166,BC167,BC176)</f>
        <v>138289.09082963</v>
      </c>
      <c r="BD184" s="35">
        <f>SUM(BD131,BD132,BD136,BD140,BD141,BD142,BD148,BD153,BD163,BD166,BD167,BD176)</f>
        <v>140303.166724789</v>
      </c>
      <c r="BE184" s="35">
        <f>SUM(BE131,BE132,BE136,BE140,BE141,BE142,BE148,BE153,BE163,BE166,BE167,BE176)</f>
        <v>141864.993691738</v>
      </c>
      <c r="BF184" s="35">
        <f>SUM(BF131,BF132,BF136,BF140,BF141,BF142,BF148,BF153,BF163,BF166,BF167,BF176)</f>
        <v>141864.993691738</v>
      </c>
      <c r="BG184" s="35" t="n"/>
      <c r="BH184" s="35" t="n"/>
      <c r="BI184" s="35" t="n"/>
      <c r="BJ184" s="35" t="n"/>
      <c r="BK184" s="35" t="n"/>
      <c r="BL184" s="35" t="n"/>
      <c r="BM184" s="35" t="n"/>
      <c r="BN184" s="35" t="n"/>
      <c r="BO184" s="35" t="n"/>
      <c r="BP184" s="35" t="n"/>
      <c r="BQ184" s="35" t="n"/>
      <c r="BR184" s="35" t="n"/>
      <c r="BS184" s="35" t="n"/>
      <c r="BT184" s="35" t="n"/>
      <c r="BU184" s="35" t="n"/>
      <c r="BV184" s="35" t="n"/>
      <c r="BW184" s="35" t="n"/>
      <c r="BX184" s="35" t="n"/>
      <c r="BY184" s="35" t="n"/>
      <c r="BZ184" s="35" t="n"/>
      <c r="CA184" s="35" t="n"/>
      <c r="CB184" s="35" t="n"/>
      <c r="CC184" s="35" t="n"/>
      <c r="CD184" s="35" t="n"/>
      <c r="CE184" s="35" t="n"/>
      <c r="CF184" s="35" t="n"/>
      <c r="CG184" s="35" t="n"/>
      <c r="CH184" s="35" t="n"/>
      <c r="CI184" s="35" t="n"/>
      <c r="CJ184" s="35" t="n"/>
      <c r="CK184" s="35" t="n"/>
      <c r="CL184" s="35" t="n"/>
      <c r="CM184" s="35" t="n"/>
      <c r="CN184" s="35" t="n"/>
      <c r="CO184" s="35" t="n"/>
      <c r="CP184" s="35" t="n"/>
      <c r="CQ184" s="35" t="n"/>
      <c r="CR184" s="35" t="n"/>
      <c r="CS184" s="35" t="n"/>
      <c r="CT184" s="35" t="n"/>
      <c r="CU184" s="35" t="n"/>
      <c r="CV184" s="35" t="n"/>
      <c r="CW184" s="35" t="n"/>
      <c r="CX184" s="35" t="n"/>
      <c r="CY184" s="35" t="n"/>
    </row>
    <row r="185">
      <c r="C185" s="14" t="inlineStr">
        <is>
          <t>Accounts payable</t>
        </is>
      </c>
      <c r="D185" s="46" t="n"/>
      <c r="E185" s="46" t="n"/>
      <c r="F185" s="46" t="n"/>
      <c r="G185" s="46" t="n"/>
      <c r="H185" s="12" t="n"/>
      <c r="I185" s="46">
        <f>'Inputs (2)'!D28</f>
        <v>0</v>
      </c>
      <c r="J185" s="46">
        <f>'Inputs (2)'!E28</f>
        <v>0</v>
      </c>
      <c r="K185" s="46">
        <f>'Inputs (2)'!F28</f>
        <v>0</v>
      </c>
      <c r="L185" s="46">
        <f>'Inputs (2)'!G28</f>
        <v>0</v>
      </c>
      <c r="M185" s="12">
        <f>'Inputs (2)'!H28</f>
        <v>0</v>
      </c>
      <c r="N185" s="46">
        <f>'Inputs (2)'!I28</f>
        <v>0</v>
      </c>
      <c r="O185" s="46">
        <f>'Inputs (2)'!J28</f>
        <v>0</v>
      </c>
      <c r="P185" s="46">
        <f>'Inputs (2)'!K28</f>
        <v>0</v>
      </c>
      <c r="Q185" s="46">
        <f>'Inputs (2)'!L28</f>
        <v>0</v>
      </c>
      <c r="R185" s="12">
        <f>'Inputs (2)'!M28</f>
        <v>0</v>
      </c>
      <c r="S185" s="46">
        <f>'Inputs (2)'!N28</f>
        <v>0</v>
      </c>
      <c r="T185" s="46">
        <f>'Inputs (2)'!O28</f>
        <v>0</v>
      </c>
      <c r="U185" s="46">
        <f>'Inputs (2)'!P28</f>
        <v>0</v>
      </c>
      <c r="V185" s="46">
        <f>'Inputs (2)'!Q28</f>
        <v>0</v>
      </c>
      <c r="W185" s="12">
        <f>'Inputs (2)'!R28</f>
        <v>0</v>
      </c>
      <c r="X185" s="46">
        <f>'Inputs (2)'!S28</f>
        <v>0</v>
      </c>
      <c r="Y185" s="46">
        <f>'Inputs (2)'!T28</f>
        <v>0</v>
      </c>
      <c r="Z185" s="46">
        <f>'Inputs (2)'!U28</f>
        <v>0</v>
      </c>
      <c r="AA185" s="46">
        <f>'Inputs (2)'!V28</f>
        <v>0</v>
      </c>
      <c r="AB185" s="12">
        <f>'Inputs (2)'!W28</f>
        <v>0</v>
      </c>
      <c r="AC185" s="46">
        <f>'Inputs (2)'!X28</f>
        <v>0</v>
      </c>
      <c r="AD185" s="46">
        <f>'Inputs (2)'!Y28</f>
        <v>0</v>
      </c>
      <c r="AE185" s="46">
        <f>'Inputs (2)'!Z28</f>
        <v>0</v>
      </c>
      <c r="AF185" s="46">
        <f>'Inputs (2)'!AA28</f>
        <v>0</v>
      </c>
      <c r="AG185" s="12">
        <f>'Inputs (2)'!AB28</f>
        <v>0</v>
      </c>
      <c r="AH185" s="12">
        <f>'Inputs (2)'!AC28</f>
        <v>0</v>
      </c>
      <c r="AI185" s="12">
        <f>'Inputs (2)'!AD28</f>
        <v>0</v>
      </c>
      <c r="AJ185" s="12">
        <f>(AJ186/(AJ$5-AI$5))*-AJ$41</f>
        <v>0</v>
      </c>
      <c r="AK185" s="12">
        <f>(AK186/(AK$5-AJ$5))*-AK$41</f>
        <v>0</v>
      </c>
      <c r="AL185" s="12">
        <f>AK185</f>
        <v>0</v>
      </c>
      <c r="AM185" s="12">
        <f>(AM186/(AM$5-AL$5))*-AM$41</f>
        <v>0</v>
      </c>
      <c r="AN185" s="12">
        <f>(AN186/(AN$5-AM$5))*-AN$41</f>
        <v>0</v>
      </c>
      <c r="AO185" s="12">
        <f>(AO186/(AO$5-AN$5))*-AO$41</f>
        <v>0</v>
      </c>
      <c r="AP185" s="12">
        <f>(AP186/(AP$5-AO$5))*-AP$41</f>
        <v>0</v>
      </c>
      <c r="AQ185" s="12">
        <f>AP185</f>
        <v>0</v>
      </c>
      <c r="AR185" s="12">
        <f>(AR186/(AR$5-AQ$5))*-AR$41</f>
        <v>0</v>
      </c>
      <c r="AS185" s="12">
        <f>(AS186/(AS$5-AR$5))*-AS$41</f>
        <v>0</v>
      </c>
      <c r="AT185" s="12">
        <f>(AT186/(AT$5-AS$5))*-AT$41</f>
        <v>0</v>
      </c>
      <c r="AU185" s="12">
        <f>(AU186/(AU$5-AT$5))*-AU$41</f>
        <v>0</v>
      </c>
      <c r="AV185" s="12">
        <f>AU185</f>
        <v>0</v>
      </c>
      <c r="AW185" s="12">
        <f>(AW186/(AW$5-AV$5))*-AW$41</f>
        <v>0</v>
      </c>
      <c r="AX185" s="12">
        <f>(AX186/(AX$5-AW$5))*-AX$41</f>
        <v>0</v>
      </c>
      <c r="AY185" s="12">
        <f>(AY186/(AY$5-AX$5))*-AY$41</f>
        <v>0</v>
      </c>
      <c r="AZ185" s="12">
        <f>(AZ186/(AZ$5-AY$5))*-AZ$41</f>
        <v>0</v>
      </c>
      <c r="BA185" s="12">
        <f>AZ185</f>
        <v>0</v>
      </c>
      <c r="BB185" s="12">
        <f>(BB186/(BB$5-BA$5))*-BB$41</f>
        <v>0</v>
      </c>
      <c r="BC185" s="12">
        <f>(BC186/(BC$5-BB$5))*-BC$41</f>
        <v>0</v>
      </c>
      <c r="BD185" s="12">
        <f>(BD186/(BD$5-BC$5))*-BD$41</f>
        <v>0</v>
      </c>
      <c r="BE185" s="12">
        <f>(BE186/(BE$5-BD$5))*-BE$41</f>
        <v>0</v>
      </c>
      <c r="BF185" s="12">
        <f>BE185</f>
        <v>0</v>
      </c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7" t="inlineStr">
        <is>
          <t>DPO</t>
        </is>
      </c>
      <c r="D186" s="12" t="n"/>
      <c r="E186" s="12" t="n"/>
      <c r="F186" s="12" t="n"/>
      <c r="G186" s="12" t="n"/>
      <c r="H186" s="12" t="n"/>
      <c r="I186" s="12" t="str">
        <f>IFERROR(-(I185/I$41)*(I$5-H$5),"")</f>
        <v/>
      </c>
      <c r="J186" s="12" t="str">
        <f>IFERROR(-(J185/J$41)*(J$5-I$5),"")</f>
        <v/>
      </c>
      <c r="K186" s="12" t="str">
        <f>IFERROR(-(K185/K$41)*(K$5-J$5),"")</f>
        <v/>
      </c>
      <c r="L186" s="12" t="str">
        <f>IFERROR(-(L185/L$41)*(L$5-K$5),"")</f>
        <v/>
      </c>
      <c r="M186" s="12" t="n"/>
      <c r="N186" s="12" t="str">
        <f>IFERROR(-(N185/N$41)*(N$5-M$5),"")</f>
        <v/>
      </c>
      <c r="O186" s="12" t="str">
        <f>IFERROR(-(O185/O$41)*(O$5-N$5),"")</f>
        <v/>
      </c>
      <c r="P186" s="12" t="str">
        <f>IFERROR(-(P185/P$41)*(P$5-O$5),"")</f>
        <v/>
      </c>
      <c r="Q186" s="12" t="str">
        <f>IFERROR(-(Q185/Q$41)*(Q$5-P$5),"")</f>
        <v/>
      </c>
      <c r="R186" s="12" t="n"/>
      <c r="S186" s="12" t="str">
        <f>IFERROR(-(S185/S$41)*(S$5-R$5),"")</f>
        <v/>
      </c>
      <c r="T186" s="12" t="str">
        <f>IFERROR(-(T185/T$41)*(T$5-S$5),"")</f>
        <v/>
      </c>
      <c r="U186" s="12" t="str">
        <f>IFERROR(-(U185/U$41)*(U$5-T$5),"")</f>
        <v/>
      </c>
      <c r="V186" s="12" t="str">
        <f>IFERROR(-(V185/V$41)*(V$5-U$5),"")</f>
        <v/>
      </c>
      <c r="W186" s="12" t="n"/>
      <c r="X186" s="12" t="str">
        <f>IFERROR(-(X185/X$41)*(X$5-W$5),"")</f>
        <v/>
      </c>
      <c r="Y186" s="12" t="str">
        <f>IFERROR(-(Y185/Y$41)*(Y$5-X$5),"")</f>
        <v/>
      </c>
      <c r="Z186" s="12" t="str">
        <f>IFERROR(-(Z185/Z$41)*(Z$5-Y$5),"")</f>
        <v/>
      </c>
      <c r="AA186" s="12" t="str">
        <f>IFERROR(-(AA185/AA$41)*(AA$5-Z$5),"")</f>
        <v/>
      </c>
      <c r="AB186" s="12" t="n"/>
      <c r="AC186" s="12" t="str">
        <f>IFERROR(-(AC185/AC$41)*(AC$5-AB$5),"")</f>
        <v/>
      </c>
      <c r="AD186" s="12" t="str">
        <f>IFERROR(-(AD185/AD$41)*(AD$5-AC$5),"")</f>
        <v/>
      </c>
      <c r="AE186" s="12" t="str">
        <f>IFERROR(-(AE185/AE$41)*(AE$5-AD$5),"")</f>
        <v/>
      </c>
      <c r="AF186" s="11" t="str">
        <f>IFERROR(-(AF185/AF$41)*(AF$5-AE$5),"")</f>
        <v/>
      </c>
      <c r="AG186" s="12" t="n"/>
      <c r="AH186" s="11" t="str">
        <f>IFERROR(-(AH185/AH$41)*(AH$5-AG$5),"")</f>
        <v/>
      </c>
      <c r="AI186" s="11" t="str">
        <f>IFERROR(-(AI185/AI$41)*(AI$5-AH$5),"")</f>
        <v/>
      </c>
      <c r="AJ186" s="11">
        <f>Control!$B$27</f>
        <v>0</v>
      </c>
      <c r="AK186" s="11">
        <f>Control!$B$27</f>
        <v>0</v>
      </c>
      <c r="AL186" s="12" t="n"/>
      <c r="AM186" s="11">
        <f>Control!$C$27</f>
        <v>0</v>
      </c>
      <c r="AN186" s="11">
        <f>Control!$C$27</f>
        <v>0</v>
      </c>
      <c r="AO186" s="11">
        <f>Control!$C$27</f>
        <v>0</v>
      </c>
      <c r="AP186" s="11">
        <f>Control!$C$27</f>
        <v>0</v>
      </c>
      <c r="AQ186" s="12" t="n"/>
      <c r="AR186" s="11">
        <f>Control!$D$27</f>
        <v>0</v>
      </c>
      <c r="AS186" s="11">
        <f>Control!$D$27</f>
        <v>0</v>
      </c>
      <c r="AT186" s="11">
        <f>Control!$D$27</f>
        <v>0</v>
      </c>
      <c r="AU186" s="11">
        <f>Control!$D$27</f>
        <v>0</v>
      </c>
      <c r="AV186" s="12" t="n"/>
      <c r="AW186" s="11">
        <f>Control!$E$27</f>
        <v>0</v>
      </c>
      <c r="AX186" s="11">
        <f>Control!$E$27</f>
        <v>0</v>
      </c>
      <c r="AY186" s="11">
        <f>Control!$E$27</f>
        <v>0</v>
      </c>
      <c r="AZ186" s="11">
        <f>Control!$E$27</f>
        <v>0</v>
      </c>
      <c r="BA186" s="12" t="n"/>
      <c r="BB186" s="11">
        <f>Control!$F$27</f>
        <v>0</v>
      </c>
      <c r="BC186" s="11">
        <f>Control!$F$27</f>
        <v>0</v>
      </c>
      <c r="BD186" s="11">
        <f>Control!$F$27</f>
        <v>0</v>
      </c>
      <c r="BE186" s="11">
        <f>Control!$F$27</f>
        <v>0</v>
      </c>
      <c r="BF186" s="12" t="n"/>
      <c r="BG186" s="11" t="n"/>
      <c r="BH186" s="11" t="n"/>
      <c r="BI186" s="11" t="n"/>
      <c r="BJ186" s="11" t="n"/>
      <c r="BK186" s="12" t="n"/>
      <c r="BL186" s="11" t="n"/>
      <c r="BM186" s="11" t="n"/>
      <c r="BN186" s="11" t="n"/>
      <c r="BO186" s="11" t="n"/>
      <c r="BP186" s="12" t="n"/>
      <c r="BQ186" s="11" t="n"/>
      <c r="BR186" s="11" t="n"/>
      <c r="BS186" s="11" t="n"/>
      <c r="BT186" s="11" t="n"/>
      <c r="BU186" s="12" t="n"/>
      <c r="BV186" s="11" t="n"/>
      <c r="BW186" s="11" t="n"/>
      <c r="BX186" s="11" t="n"/>
      <c r="BY186" s="11" t="n"/>
      <c r="BZ186" s="12" t="n"/>
      <c r="CA186" s="11" t="n"/>
      <c r="CB186" s="11" t="n"/>
      <c r="CC186" s="11" t="n"/>
      <c r="CD186" s="11" t="n"/>
      <c r="CE186" s="12" t="n"/>
      <c r="CF186" s="11" t="n"/>
      <c r="CG186" s="11" t="n"/>
      <c r="CH186" s="11" t="n"/>
      <c r="CI186" s="11" t="n"/>
      <c r="CJ186" s="12" t="n"/>
      <c r="CK186" s="11" t="n"/>
      <c r="CL186" s="11" t="n"/>
      <c r="CM186" s="11" t="n"/>
      <c r="CN186" s="11" t="n"/>
      <c r="CO186" s="12" t="n"/>
      <c r="CP186" s="11" t="n"/>
      <c r="CQ186" s="11" t="n"/>
      <c r="CR186" s="11" t="n"/>
      <c r="CS186" s="11" t="n"/>
      <c r="CT186" s="12" t="n"/>
      <c r="CU186" s="11" t="n"/>
      <c r="CV186" s="11" t="n"/>
      <c r="CW186" s="11" t="n"/>
      <c r="CX186" s="11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collapsed="1">
      <c r="C189" s="14" t="inlineStr">
        <is>
          <t>Accrued expenses</t>
        </is>
      </c>
      <c r="D189" s="46" t="n"/>
      <c r="E189" s="46" t="n"/>
      <c r="F189" s="46" t="n"/>
      <c r="G189" s="46" t="n"/>
      <c r="H189" s="12" t="n"/>
      <c r="I189" s="46">
        <f>'Inputs (2)'!D29</f>
        <v>0</v>
      </c>
      <c r="J189" s="46">
        <f>'Inputs (2)'!E29</f>
        <v>0</v>
      </c>
      <c r="K189" s="46">
        <f>'Inputs (2)'!F29</f>
        <v>0</v>
      </c>
      <c r="L189" s="46">
        <f>'Inputs (2)'!G29</f>
        <v>0</v>
      </c>
      <c r="M189" s="12">
        <f>'Inputs (2)'!H29</f>
        <v>0</v>
      </c>
      <c r="N189" s="46">
        <f>'Inputs (2)'!I29</f>
        <v>0</v>
      </c>
      <c r="O189" s="46">
        <f>'Inputs (2)'!J29</f>
        <v>0</v>
      </c>
      <c r="P189" s="46">
        <f>'Inputs (2)'!K29</f>
        <v>0</v>
      </c>
      <c r="Q189" s="46">
        <f>'Inputs (2)'!L29</f>
        <v>0</v>
      </c>
      <c r="R189" s="12">
        <f>'Inputs (2)'!M29</f>
        <v>0</v>
      </c>
      <c r="S189" s="46">
        <f>'Inputs (2)'!N29</f>
        <v>0</v>
      </c>
      <c r="T189" s="46">
        <f>'Inputs (2)'!O29</f>
        <v>0</v>
      </c>
      <c r="U189" s="46">
        <f>'Inputs (2)'!P29</f>
        <v>0</v>
      </c>
      <c r="V189" s="46">
        <f>'Inputs (2)'!Q29</f>
        <v>0</v>
      </c>
      <c r="W189" s="12">
        <f>'Inputs (2)'!R29</f>
        <v>0</v>
      </c>
      <c r="X189" s="46">
        <f>'Inputs (2)'!S29</f>
        <v>0</v>
      </c>
      <c r="Y189" s="46">
        <f>'Inputs (2)'!T29</f>
        <v>0</v>
      </c>
      <c r="Z189" s="46">
        <f>'Inputs (2)'!U29</f>
        <v>0</v>
      </c>
      <c r="AA189" s="46">
        <f>'Inputs (2)'!V29</f>
        <v>0</v>
      </c>
      <c r="AB189" s="12">
        <f>'Inputs (2)'!W29</f>
        <v>0</v>
      </c>
      <c r="AC189" s="46">
        <f>'Inputs (2)'!X29</f>
        <v>0</v>
      </c>
      <c r="AD189" s="46">
        <f>'Inputs (2)'!Y29</f>
        <v>0</v>
      </c>
      <c r="AE189" s="46">
        <f>'Inputs (2)'!Z29</f>
        <v>0</v>
      </c>
      <c r="AF189" s="46">
        <f>'Inputs (2)'!AA29</f>
        <v>0</v>
      </c>
      <c r="AG189" s="12">
        <f>'Inputs (2)'!AB29</f>
        <v>0</v>
      </c>
      <c r="AH189" s="12">
        <f>'Inputs (2)'!AC29</f>
        <v>0</v>
      </c>
      <c r="AI189" s="12">
        <f>'Inputs (2)'!AD29</f>
        <v>0</v>
      </c>
      <c r="AJ189" s="12">
        <f>AI189*(1+AJ16)</f>
        <v>0</v>
      </c>
      <c r="AK189" s="12">
        <f>AJ189*(1+AK16)</f>
        <v>0</v>
      </c>
      <c r="AL189" s="12">
        <f>AK189</f>
        <v>0</v>
      </c>
      <c r="AM189" s="12">
        <f>AL189*(1+AM16)</f>
        <v>0</v>
      </c>
      <c r="AN189" s="12">
        <f>AM189*(1+AN16)</f>
        <v>0</v>
      </c>
      <c r="AO189" s="12">
        <f>AN189*(1+AO16)</f>
        <v>0</v>
      </c>
      <c r="AP189" s="12">
        <f>AO189*(1+AP16)</f>
        <v>0</v>
      </c>
      <c r="AQ189" s="12">
        <f>AP189</f>
        <v>0</v>
      </c>
      <c r="AR189" s="12">
        <f>AQ189*(1+AR16)</f>
        <v>0</v>
      </c>
      <c r="AS189" s="12">
        <f>AR189*(1+AS16)</f>
        <v>0</v>
      </c>
      <c r="AT189" s="12">
        <f>AS189*(1+AT16)</f>
        <v>0</v>
      </c>
      <c r="AU189" s="12">
        <f>AT189*(1+AU16)</f>
        <v>0</v>
      </c>
      <c r="AV189" s="12">
        <f>AU189</f>
        <v>0</v>
      </c>
      <c r="AW189" s="12">
        <f>AV189*(1+AW16)</f>
        <v>0</v>
      </c>
      <c r="AX189" s="12">
        <f>AW189*(1+AX16)</f>
        <v>0</v>
      </c>
      <c r="AY189" s="12">
        <f>AX189*(1+AY16)</f>
        <v>0</v>
      </c>
      <c r="AZ189" s="12">
        <f>AY189*(1+AZ16)</f>
        <v>0</v>
      </c>
      <c r="BA189" s="12">
        <f>AZ189</f>
        <v>0</v>
      </c>
      <c r="BB189" s="12">
        <f>BA189*(1+BB16)</f>
        <v>0</v>
      </c>
      <c r="BC189" s="12">
        <f>BB189*(1+BC16)</f>
        <v>0</v>
      </c>
      <c r="BD189" s="12">
        <f>BC189*(1+BD16)</f>
        <v>0</v>
      </c>
      <c r="BE189" s="12">
        <f>BD189*(1+BE16)</f>
        <v>0</v>
      </c>
      <c r="BF189" s="12">
        <f>BE189</f>
        <v>0</v>
      </c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9" t="inlineStr">
        <is>
          <t>%(Var.)</t>
        </is>
      </c>
      <c r="D190" s="12" t="n"/>
      <c r="E190" s="40" t="n"/>
      <c r="F190" s="40" t="n"/>
      <c r="G190" s="40" t="n"/>
      <c r="H190" s="12" t="n"/>
      <c r="I190" s="40" t="str">
        <f>""</f>
        <v/>
      </c>
      <c r="J190" s="40" t="str">
        <f>IFERROR(IF(I189=0,"",J189/I189-1),"")</f>
        <v/>
      </c>
      <c r="K190" s="40" t="str">
        <f>IFERROR(IF(J189=0,"",K189/J189-1),"")</f>
        <v/>
      </c>
      <c r="L190" s="40" t="str">
        <f>IFERROR(IF(K189=0,"",L189/K189-1),"")</f>
        <v/>
      </c>
      <c r="M190" s="12" t="str">
        <f>IF(L189=0,"",M189/L189-1)</f>
        <v/>
      </c>
      <c r="N190" s="40" t="str">
        <f>IFERROR(IF(M189=0,"",N189/M189-1),"")</f>
        <v/>
      </c>
      <c r="O190" s="40" t="str">
        <f>IFERROR(IF(N189=0,"",O189/N189-1),"")</f>
        <v/>
      </c>
      <c r="P190" s="40" t="str">
        <f>IFERROR(IF(O189=0,"",P189/O189-1),"")</f>
        <v/>
      </c>
      <c r="Q190" s="40" t="str">
        <f>IFERROR(IF(P189=0,"",Q189/P189-1),"")</f>
        <v/>
      </c>
      <c r="R190" s="12" t="str">
        <f>IF(Q189=0,"",R189/Q189-1)</f>
        <v/>
      </c>
      <c r="S190" s="40" t="str">
        <f>IFERROR(IF(R189=0,"",S189/R189-1),"")</f>
        <v/>
      </c>
      <c r="T190" s="40" t="str">
        <f>IFERROR(IF(S189=0,"",T189/S189-1),"")</f>
        <v/>
      </c>
      <c r="U190" s="40" t="str">
        <f>IFERROR(IF(T189=0,"",U189/T189-1),"")</f>
        <v/>
      </c>
      <c r="V190" s="40" t="str">
        <f>IFERROR(IF(U189=0,"",V189/U189-1),"")</f>
        <v/>
      </c>
      <c r="W190" s="12" t="str">
        <f>IF(V189=0,"",W189/V189-1)</f>
        <v/>
      </c>
      <c r="X190" s="40" t="str">
        <f>IFERROR(IF(W189=0,"",X189/W189-1),"")</f>
        <v/>
      </c>
      <c r="Y190" s="40" t="str">
        <f>IFERROR(IF(X189=0,"",Y189/X189-1),"")</f>
        <v/>
      </c>
      <c r="Z190" s="40" t="str">
        <f>IFERROR(IF(Y189=0,"",Z189/Y189-1),"")</f>
        <v/>
      </c>
      <c r="AA190" s="40" t="str">
        <f>IFERROR(IF(Z189=0,"",AA189/Z189-1),"")</f>
        <v/>
      </c>
      <c r="AB190" s="12" t="str">
        <f>IF(AA189=0,"",AB189/AA189-1)</f>
        <v/>
      </c>
      <c r="AC190" s="40" t="str">
        <f>IFERROR(IF(AB189=0,"",AC189/AB189-1),"")</f>
        <v/>
      </c>
      <c r="AD190" s="40" t="str">
        <f>IFERROR(IF(AC189=0,"",AD189/AC189-1),"")</f>
        <v/>
      </c>
      <c r="AE190" s="40" t="str">
        <f>IFERROR(IF(AD189=0,"",AE189/AD189-1),"")</f>
        <v/>
      </c>
      <c r="AF190" s="55" t="str">
        <f>IFERROR(IF(AE189=0,"",AF189/AE189-1),"")</f>
        <v/>
      </c>
      <c r="AG190" s="12" t="str">
        <f>IF(AF189=0,"",AG189/AF189-1)</f>
        <v/>
      </c>
      <c r="AH190" s="55" t="str">
        <f>IFERROR(IF(AG189=0,"",AH189/AG189-1),"")</f>
        <v/>
      </c>
      <c r="AI190" s="55" t="str">
        <f>IFERROR(IF(AH189=0,"",AI189/AH189-1),"")</f>
        <v/>
      </c>
      <c r="AJ190" s="55" t="str">
        <f>IFERROR(IF(AI189=0,"",AJ189/AI189-1),"")</f>
        <v/>
      </c>
      <c r="AK190" s="55" t="str">
        <f>IF(AJ189=0,"",AK189/AJ189-1)</f>
        <v/>
      </c>
      <c r="AL190" s="12" t="str">
        <f>IF(AK189=0,"",AL189/AK189-1)</f>
        <v/>
      </c>
      <c r="AM190" s="55" t="str">
        <f>IF(AL189=0,"",AM189/AL189-1)</f>
        <v/>
      </c>
      <c r="AN190" s="55" t="str">
        <f>IF(AM189=0,"",AN189/AM189-1)</f>
        <v/>
      </c>
      <c r="AO190" s="55" t="str">
        <f>IF(AN189=0,"",AO189/AN189-1)</f>
        <v/>
      </c>
      <c r="AP190" s="55" t="str">
        <f>IF(AO189=0,"",AP189/AO189-1)</f>
        <v/>
      </c>
      <c r="AQ190" s="12" t="str">
        <f>IF(AP189=0,"",AQ189/AP189-1)</f>
        <v/>
      </c>
      <c r="AR190" s="55" t="str">
        <f>IF(AQ189=0,"",AR189/AQ189-1)</f>
        <v/>
      </c>
      <c r="AS190" s="55" t="str">
        <f>IF(AR189=0,"",AS189/AR189-1)</f>
        <v/>
      </c>
      <c r="AT190" s="55" t="str">
        <f>IF(AS189=0,"",AT189/AS189-1)</f>
        <v/>
      </c>
      <c r="AU190" s="55" t="str">
        <f>IF(AT189=0,"",AU189/AT189-1)</f>
        <v/>
      </c>
      <c r="AV190" s="12" t="str">
        <f>IF(AU189=0,"",AV189/AU189-1)</f>
        <v/>
      </c>
      <c r="AW190" s="55" t="str">
        <f>IF(AV189=0,"",AW189/AV189-1)</f>
        <v/>
      </c>
      <c r="AX190" s="55" t="str">
        <f>IF(AW189=0,"",AX189/AW189-1)</f>
        <v/>
      </c>
      <c r="AY190" s="55" t="str">
        <f>IF(AX189=0,"",AY189/AX189-1)</f>
        <v/>
      </c>
      <c r="AZ190" s="55" t="str">
        <f>IF(AY189=0,"",AZ189/AY189-1)</f>
        <v/>
      </c>
      <c r="BA190" s="12" t="str">
        <f>IF(AZ189=0,"",BA189/AZ189-1)</f>
        <v/>
      </c>
      <c r="BB190" s="55" t="str">
        <f>IF(BA189=0,"",BB189/BA189-1)</f>
        <v/>
      </c>
      <c r="BC190" s="55" t="str">
        <f>IF(BB189=0,"",BC189/BB189-1)</f>
        <v/>
      </c>
      <c r="BD190" s="55" t="str">
        <f>IF(BC189=0,"",BD189/BC189-1)</f>
        <v/>
      </c>
      <c r="BE190" s="55" t="str">
        <f>IF(BD189=0,"",BE189/BD189-1)</f>
        <v/>
      </c>
      <c r="BF190" s="12" t="str">
        <f>IF(BE189=0,"",BF189/BE189-1)</f>
        <v/>
      </c>
      <c r="BG190" s="55" t="n"/>
      <c r="BH190" s="55" t="n"/>
      <c r="BI190" s="55" t="n"/>
      <c r="BJ190" s="55" t="n"/>
      <c r="BK190" s="12" t="n"/>
      <c r="BL190" s="55" t="n"/>
      <c r="BM190" s="55" t="n"/>
      <c r="BN190" s="55" t="n"/>
      <c r="BO190" s="55" t="n"/>
      <c r="BP190" s="12" t="n"/>
      <c r="BQ190" s="55" t="n"/>
      <c r="BR190" s="55" t="n"/>
      <c r="BS190" s="55" t="n"/>
      <c r="BT190" s="55" t="n"/>
      <c r="BU190" s="12" t="n"/>
      <c r="BV190" s="55" t="n"/>
      <c r="BW190" s="55" t="n"/>
      <c r="BX190" s="55" t="n"/>
      <c r="BY190" s="55" t="n"/>
      <c r="BZ190" s="12" t="n"/>
      <c r="CA190" s="55" t="n"/>
      <c r="CB190" s="55" t="n"/>
      <c r="CC190" s="55" t="n"/>
      <c r="CD190" s="55" t="n"/>
      <c r="CE190" s="12" t="n"/>
      <c r="CF190" s="55" t="n"/>
      <c r="CG190" s="55" t="n"/>
      <c r="CH190" s="55" t="n"/>
      <c r="CI190" s="55" t="n"/>
      <c r="CJ190" s="12" t="n"/>
      <c r="CK190" s="55" t="n"/>
      <c r="CL190" s="55" t="n"/>
      <c r="CM190" s="55" t="n"/>
      <c r="CN190" s="55" t="n"/>
      <c r="CO190" s="12" t="n"/>
      <c r="CP190" s="55" t="n"/>
      <c r="CQ190" s="55" t="n"/>
      <c r="CR190" s="55" t="n"/>
      <c r="CS190" s="55" t="n"/>
      <c r="CT190" s="12" t="n"/>
      <c r="CU190" s="55" t="n"/>
      <c r="CV190" s="55" t="n"/>
      <c r="CW190" s="55" t="n"/>
      <c r="CX190" s="55" t="n"/>
      <c r="CY190" s="12" t="n"/>
    </row>
    <row r="191" collapsed="1">
      <c r="C191" s="14" t="inlineStr">
        <is>
          <t>Taxes payable</t>
        </is>
      </c>
      <c r="D191" s="46" t="n"/>
      <c r="E191" s="46" t="n"/>
      <c r="F191" s="46" t="n"/>
      <c r="G191" s="46" t="n"/>
      <c r="H191" s="12" t="n"/>
      <c r="I191" s="46">
        <f>'Inputs (2)'!D30</f>
        <v>0</v>
      </c>
      <c r="J191" s="46">
        <f>'Inputs (2)'!E30</f>
        <v>0</v>
      </c>
      <c r="K191" s="46">
        <f>'Inputs (2)'!F30</f>
        <v>0</v>
      </c>
      <c r="L191" s="46">
        <f>'Inputs (2)'!G30</f>
        <v>0</v>
      </c>
      <c r="M191" s="12">
        <f>'Inputs (2)'!H30</f>
        <v>0</v>
      </c>
      <c r="N191" s="46">
        <f>'Inputs (2)'!I30</f>
        <v>0</v>
      </c>
      <c r="O191" s="46">
        <f>'Inputs (2)'!J30</f>
        <v>0</v>
      </c>
      <c r="P191" s="46">
        <f>'Inputs (2)'!K30</f>
        <v>0</v>
      </c>
      <c r="Q191" s="46">
        <f>'Inputs (2)'!L30</f>
        <v>0</v>
      </c>
      <c r="R191" s="12">
        <f>'Inputs (2)'!M30</f>
        <v>0</v>
      </c>
      <c r="S191" s="46">
        <f>'Inputs (2)'!N30</f>
        <v>0</v>
      </c>
      <c r="T191" s="46">
        <f>'Inputs (2)'!O30</f>
        <v>0</v>
      </c>
      <c r="U191" s="46">
        <f>'Inputs (2)'!P30</f>
        <v>0</v>
      </c>
      <c r="V191" s="46">
        <f>'Inputs (2)'!Q30</f>
        <v>0</v>
      </c>
      <c r="W191" s="12">
        <f>'Inputs (2)'!R30</f>
        <v>0</v>
      </c>
      <c r="X191" s="46">
        <f>'Inputs (2)'!S30</f>
        <v>0</v>
      </c>
      <c r="Y191" s="46">
        <f>'Inputs (2)'!T30</f>
        <v>0</v>
      </c>
      <c r="Z191" s="46">
        <f>'Inputs (2)'!U30</f>
        <v>0</v>
      </c>
      <c r="AA191" s="46">
        <f>'Inputs (2)'!V30</f>
        <v>0</v>
      </c>
      <c r="AB191" s="12">
        <f>'Inputs (2)'!W30</f>
        <v>0</v>
      </c>
      <c r="AC191" s="46">
        <f>'Inputs (2)'!X30</f>
        <v>0</v>
      </c>
      <c r="AD191" s="46">
        <f>'Inputs (2)'!Y30</f>
        <v>0</v>
      </c>
      <c r="AE191" s="46">
        <f>'Inputs (2)'!Z30</f>
        <v>0</v>
      </c>
      <c r="AF191" s="46">
        <f>'Inputs (2)'!AA30</f>
        <v>0</v>
      </c>
      <c r="AG191" s="12">
        <f>'Inputs (2)'!AB30</f>
        <v>0</v>
      </c>
      <c r="AH191" s="12">
        <f>'Inputs (2)'!AC30</f>
        <v>0</v>
      </c>
      <c r="AI191" s="12">
        <f>'Inputs (2)'!AD30</f>
        <v>0</v>
      </c>
      <c r="AJ191" s="12">
        <f>AI191*(1+AJ16)</f>
        <v>0</v>
      </c>
      <c r="AK191" s="12">
        <f>AJ191*(1+AK16)</f>
        <v>0</v>
      </c>
      <c r="AL191" s="12">
        <f>AK191</f>
        <v>0</v>
      </c>
      <c r="AM191" s="12">
        <f>AL191*(1+AM16)</f>
        <v>0</v>
      </c>
      <c r="AN191" s="12">
        <f>AM191*(1+AN16)</f>
        <v>0</v>
      </c>
      <c r="AO191" s="12">
        <f>AN191*(1+AO16)</f>
        <v>0</v>
      </c>
      <c r="AP191" s="12">
        <f>AO191*(1+AP16)</f>
        <v>0</v>
      </c>
      <c r="AQ191" s="12">
        <f>AP191</f>
        <v>0</v>
      </c>
      <c r="AR191" s="12">
        <f>AQ191*(1+AR16)</f>
        <v>0</v>
      </c>
      <c r="AS191" s="12">
        <f>AR191*(1+AS16)</f>
        <v>0</v>
      </c>
      <c r="AT191" s="12">
        <f>AS191*(1+AT16)</f>
        <v>0</v>
      </c>
      <c r="AU191" s="12">
        <f>AT191*(1+AU16)</f>
        <v>0</v>
      </c>
      <c r="AV191" s="12">
        <f>AU191</f>
        <v>0</v>
      </c>
      <c r="AW191" s="12">
        <f>AV191*(1+AW16)</f>
        <v>0</v>
      </c>
      <c r="AX191" s="12">
        <f>AW191*(1+AX16)</f>
        <v>0</v>
      </c>
      <c r="AY191" s="12">
        <f>AX191*(1+AY16)</f>
        <v>0</v>
      </c>
      <c r="AZ191" s="12">
        <f>AY191*(1+AZ16)</f>
        <v>0</v>
      </c>
      <c r="BA191" s="12">
        <f>AZ191</f>
        <v>0</v>
      </c>
      <c r="BB191" s="12">
        <f>BA191*(1+BB16)</f>
        <v>0</v>
      </c>
      <c r="BC191" s="12">
        <f>BB191*(1+BC16)</f>
        <v>0</v>
      </c>
      <c r="BD191" s="12">
        <f>BC191*(1+BD16)</f>
        <v>0</v>
      </c>
      <c r="BE191" s="12">
        <f>BD191*(1+BE16)</f>
        <v>0</v>
      </c>
      <c r="BF191" s="12">
        <f>BE191</f>
        <v>0</v>
      </c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>
      <c r="C192" s="14" t="inlineStr">
        <is>
          <t>Other current liabilities (non-debt)</t>
        </is>
      </c>
      <c r="D192" s="46" t="n"/>
      <c r="E192" s="46" t="n"/>
      <c r="F192" s="46" t="n"/>
      <c r="G192" s="46" t="n"/>
      <c r="H192" s="12" t="n"/>
      <c r="I192" s="46">
        <f>'Inputs (2)'!D31</f>
        <v>30004</v>
      </c>
      <c r="J192" s="46">
        <f>'Inputs (2)'!E31</f>
        <v>21756</v>
      </c>
      <c r="K192" s="46">
        <f>'Inputs (2)'!F31</f>
        <v>21297</v>
      </c>
      <c r="L192" s="46">
        <f>'Inputs (2)'!G31</f>
        <v>17422</v>
      </c>
      <c r="M192" s="12">
        <f>'Inputs (2)'!H31</f>
        <v>17422</v>
      </c>
      <c r="N192" s="46">
        <f>'Inputs (2)'!I31</f>
        <v>19649</v>
      </c>
      <c r="O192" s="46">
        <f>'Inputs (2)'!J31</f>
        <v>52949</v>
      </c>
      <c r="P192" s="46">
        <f>'Inputs (2)'!K31</f>
        <v>56586</v>
      </c>
      <c r="Q192" s="46">
        <f>'Inputs (2)'!L31</f>
        <v>55536</v>
      </c>
      <c r="R192" s="12">
        <f>'Inputs (2)'!M31</f>
        <v>55536</v>
      </c>
      <c r="S192" s="46">
        <f>'Inputs (2)'!N31</f>
        <v>58226</v>
      </c>
      <c r="T192" s="46">
        <f>'Inputs (2)'!O31</f>
        <v>62596</v>
      </c>
      <c r="U192" s="46">
        <f>'Inputs (2)'!P31</f>
        <v>63742</v>
      </c>
      <c r="V192" s="46">
        <f>'Inputs (2)'!Q31</f>
        <v>61525</v>
      </c>
      <c r="W192" s="12">
        <f>'Inputs (2)'!R31</f>
        <v>61525</v>
      </c>
      <c r="X192" s="46">
        <f>'Inputs (2)'!S31</f>
        <v>64652</v>
      </c>
      <c r="Y192" s="46">
        <f>'Inputs (2)'!T31</f>
        <v>68917</v>
      </c>
      <c r="Z192" s="46">
        <f>'Inputs (2)'!U31</f>
        <v>70384</v>
      </c>
      <c r="AA192" s="46">
        <f>'Inputs (2)'!V31</f>
        <v>67296</v>
      </c>
      <c r="AB192" s="12">
        <f>'Inputs (2)'!W31</f>
        <v>67296</v>
      </c>
      <c r="AC192" s="46">
        <f>'Inputs (2)'!X31</f>
        <v>65481</v>
      </c>
      <c r="AD192" s="46">
        <f>'Inputs (2)'!Y31</f>
        <v>67457</v>
      </c>
      <c r="AE192" s="46">
        <f>'Inputs (2)'!Z31</f>
        <v>65759</v>
      </c>
      <c r="AF192" s="46">
        <f>'Inputs (2)'!AA31</f>
        <v>62253</v>
      </c>
      <c r="AG192" s="12">
        <f>'Inputs (2)'!AB31</f>
        <v>62253</v>
      </c>
      <c r="AH192" s="12">
        <f>'Inputs (2)'!AC31</f>
        <v>63487</v>
      </c>
      <c r="AI192" s="12">
        <f>'Inputs (2)'!AD31</f>
        <v>62040</v>
      </c>
      <c r="AJ192" s="12">
        <f>AI192</f>
        <v>62040</v>
      </c>
      <c r="AK192" s="12">
        <f>AJ192</f>
        <v>62040</v>
      </c>
      <c r="AL192" s="12">
        <f>AK192</f>
        <v>62040</v>
      </c>
      <c r="AM192" s="12">
        <f>AL192</f>
        <v>62040</v>
      </c>
      <c r="AN192" s="12">
        <f>AM192</f>
        <v>62040</v>
      </c>
      <c r="AO192" s="12">
        <f>AN192</f>
        <v>62040</v>
      </c>
      <c r="AP192" s="12">
        <f>AO192</f>
        <v>62040</v>
      </c>
      <c r="AQ192" s="12">
        <f>AP192</f>
        <v>62040</v>
      </c>
      <c r="AR192" s="12">
        <f>AQ192</f>
        <v>62040</v>
      </c>
      <c r="AS192" s="12">
        <f>AR192</f>
        <v>62040</v>
      </c>
      <c r="AT192" s="12">
        <f>AS192</f>
        <v>62040</v>
      </c>
      <c r="AU192" s="12">
        <f>AT192</f>
        <v>62040</v>
      </c>
      <c r="AV192" s="12">
        <f>AU192</f>
        <v>62040</v>
      </c>
      <c r="AW192" s="12">
        <f>AV192</f>
        <v>62040</v>
      </c>
      <c r="AX192" s="12">
        <f>AW192</f>
        <v>62040</v>
      </c>
      <c r="AY192" s="12">
        <f>AX192</f>
        <v>62040</v>
      </c>
      <c r="AZ192" s="12">
        <f>AY192</f>
        <v>62040</v>
      </c>
      <c r="BA192" s="12">
        <f>AZ192</f>
        <v>62040</v>
      </c>
      <c r="BB192" s="12">
        <f>BA192</f>
        <v>62040</v>
      </c>
      <c r="BC192" s="12">
        <f>BB192</f>
        <v>62040</v>
      </c>
      <c r="BD192" s="12">
        <f>BC192</f>
        <v>62040</v>
      </c>
      <c r="BE192" s="12">
        <f>BD192</f>
        <v>62040</v>
      </c>
      <c r="BF192" s="12">
        <f>BE192</f>
        <v>62040</v>
      </c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9" t="inlineStr">
        <is>
          <t>%(Var.)</t>
        </is>
      </c>
      <c r="D193" s="12" t="n"/>
      <c r="E193" s="40" t="n"/>
      <c r="F193" s="40" t="n"/>
      <c r="G193" s="40" t="n"/>
      <c r="H193" s="12" t="n"/>
      <c r="I193" s="40" t="str">
        <f>""</f>
        <v/>
      </c>
      <c r="J193" s="40">
        <f>IFERROR(IF(I192=0,"",J192/I192-1),"")</f>
        <v>-0.274896680442608</v>
      </c>
      <c r="K193" s="40">
        <f>IFERROR(IF(J192=0,"",K192/J192-1),"")</f>
        <v>-0.0210976282404853</v>
      </c>
      <c r="L193" s="40">
        <f>IFERROR(IF(K192=0,"",L192/K192-1),"")</f>
        <v>-0.181950509461427</v>
      </c>
      <c r="M193" s="12">
        <f>IF(L192=0,"",M192/L192-1)</f>
        <v>0</v>
      </c>
      <c r="N193" s="40">
        <f>IFERROR(IF(M192=0,"",N192/M192-1),"")</f>
        <v>0.12782688554701</v>
      </c>
      <c r="O193" s="40">
        <f>IFERROR(IF(N192=0,"",O192/N192-1),"")</f>
        <v>1.69474273499924</v>
      </c>
      <c r="P193" s="40">
        <f>IFERROR(IF(O192=0,"",P192/O192-1),"")</f>
        <v>0.0686887382197965</v>
      </c>
      <c r="Q193" s="40">
        <f>IFERROR(IF(P192=0,"",Q192/P192-1),"")</f>
        <v>-0.0185558265295303</v>
      </c>
      <c r="R193" s="12">
        <f>IF(Q192=0,"",R192/Q192-1)</f>
        <v>0</v>
      </c>
      <c r="S193" s="40">
        <f>IFERROR(IF(R192=0,"",S192/R192-1),"")</f>
        <v>0.0484370498415443</v>
      </c>
      <c r="T193" s="40">
        <f>IFERROR(IF(S192=0,"",T192/S192-1),"")</f>
        <v>0.0750523820973448</v>
      </c>
      <c r="U193" s="40">
        <f>IFERROR(IF(T192=0,"",U192/T192-1),"")</f>
        <v>0.0183078790977058</v>
      </c>
      <c r="V193" s="40">
        <f>IFERROR(IF(U192=0,"",V192/U192-1),"")</f>
        <v>-0.0347808352420695</v>
      </c>
      <c r="W193" s="12">
        <f>IF(V192=0,"",W192/V192-1)</f>
        <v>0</v>
      </c>
      <c r="X193" s="40">
        <f>IFERROR(IF(W192=0,"",X192/W192-1),"")</f>
        <v>0.0508248679398617</v>
      </c>
      <c r="Y193" s="40">
        <f>IFERROR(IF(X192=0,"",Y192/X192-1),"")</f>
        <v>0.0659685701911774</v>
      </c>
      <c r="Z193" s="40">
        <f>IFERROR(IF(Y192=0,"",Z192/Y192-1),"")</f>
        <v>0.0212864750351873</v>
      </c>
      <c r="AA193" s="40">
        <f>IFERROR(IF(Z192=0,"",AA192/Z192-1),"")</f>
        <v>-0.0438736076380996</v>
      </c>
      <c r="AB193" s="12">
        <f>IF(AA192=0,"",AB192/AA192-1)</f>
        <v>0</v>
      </c>
      <c r="AC193" s="40">
        <f>IFERROR(IF(AB192=0,"",AC192/AB192-1),"")</f>
        <v>-0.0269703994293866</v>
      </c>
      <c r="AD193" s="40">
        <f>IFERROR(IF(AC192=0,"",AD192/AC192-1),"")</f>
        <v>0.0301766924756799</v>
      </c>
      <c r="AE193" s="40">
        <f>IFERROR(IF(AD192=0,"",AE192/AD192-1),"")</f>
        <v>-0.0251715907911707</v>
      </c>
      <c r="AF193" s="55">
        <f>IFERROR(IF(AE192=0,"",AF192/AE192-1),"")</f>
        <v>-0.0533158959229916</v>
      </c>
      <c r="AG193" s="12">
        <f>IF(AF192=0,"",AG192/AF192-1)</f>
        <v>0</v>
      </c>
      <c r="AH193" s="55">
        <f>IFERROR(IF(AG192=0,"",AH192/AG192-1),"")</f>
        <v>0.019822337879299</v>
      </c>
      <c r="AI193" s="55">
        <f>IFERROR(IF(AH192=0,"",AI192/AH192-1),"")</f>
        <v>-0.0227920676673965</v>
      </c>
      <c r="AJ193" s="55">
        <f>IFERROR(IF(AI192=0,"",AJ192/AI192-1),"")</f>
        <v>0</v>
      </c>
      <c r="AK193" s="55">
        <f>IFERROR(IF(AJ192=0,"",AK192/AJ192-1),"")</f>
        <v>0</v>
      </c>
      <c r="AL193" s="12">
        <f>IFERROR(IF(AK192=0,"",AL192/AK192-1),"")</f>
        <v>0</v>
      </c>
      <c r="AM193" s="55">
        <f>IFERROR(IF(AL192=0,"",AM192/AL192-1),"")</f>
        <v>0</v>
      </c>
      <c r="AN193" s="55">
        <f>IFERROR(IF(AM192=0,"",AN192/AM192-1),"")</f>
        <v>0</v>
      </c>
      <c r="AO193" s="55">
        <f>IFERROR(IF(AN192=0,"",AO192/AN192-1),"")</f>
        <v>0</v>
      </c>
      <c r="AP193" s="55">
        <f>IFERROR(IF(AO192=0,"",AP192/AO192-1),"")</f>
        <v>0</v>
      </c>
      <c r="AQ193" s="12">
        <f>IFERROR(IF(AP192=0,"",AQ192/AP192-1),"")</f>
        <v>0</v>
      </c>
      <c r="AR193" s="55">
        <f>IFERROR(IF(AQ192=0,"",AR192/AQ192-1),"")</f>
        <v>0</v>
      </c>
      <c r="AS193" s="55">
        <f>IFERROR(IF(AR192=0,"",AS192/AR192-1),"")</f>
        <v>0</v>
      </c>
      <c r="AT193" s="55">
        <f>IFERROR(IF(AS192=0,"",AT192/AS192-1),"")</f>
        <v>0</v>
      </c>
      <c r="AU193" s="55">
        <f>IFERROR(IF(AT192=0,"",AU192/AT192-1),"")</f>
        <v>0</v>
      </c>
      <c r="AV193" s="12">
        <f>IFERROR(IF(AU192=0,"",AV192/AU192-1),"")</f>
        <v>0</v>
      </c>
      <c r="AW193" s="55">
        <f>IFERROR(IF(AV192=0,"",AW192/AV192-1),"")</f>
        <v>0</v>
      </c>
      <c r="AX193" s="55">
        <f>IFERROR(IF(AW192=0,"",AX192/AW192-1),"")</f>
        <v>0</v>
      </c>
      <c r="AY193" s="55">
        <f>IFERROR(IF(AX192=0,"",AY192/AX192-1),"")</f>
        <v>0</v>
      </c>
      <c r="AZ193" s="55">
        <f>IFERROR(IF(AY192=0,"",AZ192/AY192-1),"")</f>
        <v>0</v>
      </c>
      <c r="BA193" s="12">
        <f>IFERROR(IF(AZ192=0,"",BA192/AZ192-1),"")</f>
        <v>0</v>
      </c>
      <c r="BB193" s="55">
        <f>IFERROR(IF(BA192=0,"",BB192/BA192-1),"")</f>
        <v>0</v>
      </c>
      <c r="BC193" s="55">
        <f>IFERROR(IF(BB192=0,"",BC192/BB192-1),"")</f>
        <v>0</v>
      </c>
      <c r="BD193" s="55">
        <f>IFERROR(IF(BC192=0,"",BD192/BC192-1),"")</f>
        <v>0</v>
      </c>
      <c r="BE193" s="55">
        <f>IFERROR(IF(BD192=0,"",BE192/BD192-1),"")</f>
        <v>0</v>
      </c>
      <c r="BF193" s="12">
        <f>IFERROR(IF(BE192=0,"",BF192/BE192-1),"")</f>
        <v>0</v>
      </c>
      <c r="BG193" s="55" t="n"/>
      <c r="BH193" s="55" t="n"/>
      <c r="BI193" s="55" t="n"/>
      <c r="BJ193" s="55" t="n"/>
      <c r="BK193" s="12" t="n"/>
      <c r="BL193" s="55" t="n"/>
      <c r="BM193" s="55" t="n"/>
      <c r="BN193" s="55" t="n"/>
      <c r="BO193" s="55" t="n"/>
      <c r="BP193" s="12" t="n"/>
      <c r="BQ193" s="55" t="n"/>
      <c r="BR193" s="55" t="n"/>
      <c r="BS193" s="55" t="n"/>
      <c r="BT193" s="55" t="n"/>
      <c r="BU193" s="12" t="n"/>
      <c r="BV193" s="55" t="n"/>
      <c r="BW193" s="55" t="n"/>
      <c r="BX193" s="55" t="n"/>
      <c r="BY193" s="55" t="n"/>
      <c r="BZ193" s="12" t="n"/>
      <c r="CA193" s="55" t="n"/>
      <c r="CB193" s="55" t="n"/>
      <c r="CC193" s="55" t="n"/>
      <c r="CD193" s="55" t="n"/>
      <c r="CE193" s="12" t="n"/>
      <c r="CF193" s="55" t="n"/>
      <c r="CG193" s="55" t="n"/>
      <c r="CH193" s="55" t="n"/>
      <c r="CI193" s="55" t="n"/>
      <c r="CJ193" s="12" t="n"/>
      <c r="CK193" s="55" t="n"/>
      <c r="CL193" s="55" t="n"/>
      <c r="CM193" s="55" t="n"/>
      <c r="CN193" s="55" t="n"/>
      <c r="CO193" s="12" t="n"/>
      <c r="CP193" s="55" t="n"/>
      <c r="CQ193" s="55" t="n"/>
      <c r="CR193" s="55" t="n"/>
      <c r="CS193" s="55" t="n"/>
      <c r="CT193" s="12" t="n"/>
      <c r="CU193" s="55" t="n"/>
      <c r="CV193" s="55" t="n"/>
      <c r="CW193" s="55" t="n"/>
      <c r="CX193" s="55" t="n"/>
      <c r="CY193" s="12" t="n"/>
    </row>
    <row r="194" hidden="1" outlineLevel="1">
      <c r="C194" s="57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inlineStr">
        <is>
          <t xml:space="preserve">Dividendos a Pagar </t>
        </is>
      </c>
      <c r="D195" s="11" t="n"/>
      <c r="E195" s="11" t="n"/>
      <c r="F195" s="11" t="n"/>
      <c r="G195" s="11" t="n"/>
      <c r="H195" s="12" t="n"/>
      <c r="I195" s="11" t="n"/>
      <c r="J195" s="11" t="n"/>
      <c r="K195" s="11" t="n"/>
      <c r="L195" s="11" t="n"/>
      <c r="M195" s="12" t="n"/>
      <c r="N195" s="11" t="n"/>
      <c r="O195" s="11" t="n"/>
      <c r="P195" s="11" t="n"/>
      <c r="Q195" s="11" t="n"/>
      <c r="R195" s="12" t="n"/>
      <c r="S195" s="11" t="n"/>
      <c r="T195" s="11" t="n"/>
      <c r="U195" s="11" t="n"/>
      <c r="V195" s="11" t="n"/>
      <c r="W195" s="12" t="n"/>
      <c r="X195" s="11" t="n"/>
      <c r="Y195" s="11" t="n"/>
      <c r="Z195" s="11" t="n"/>
      <c r="AA195" s="11" t="n"/>
      <c r="AB195" s="12" t="n"/>
      <c r="AC195" s="11" t="n"/>
      <c r="AD195" s="11" t="n"/>
      <c r="AE195" s="11" t="n"/>
      <c r="AF195" s="11" t="n"/>
      <c r="AG195" s="12" t="n"/>
      <c r="AH195" s="11" t="n"/>
      <c r="AI195" s="11" t="n"/>
      <c r="AJ195" s="11" t="n"/>
      <c r="AK195" s="11" t="n"/>
      <c r="AL195" s="12" t="n"/>
      <c r="AM195" s="11" t="n"/>
      <c r="AN195" s="11" t="n"/>
      <c r="AO195" s="11" t="n"/>
      <c r="AP195" s="11" t="n"/>
      <c r="AQ195" s="12" t="n"/>
      <c r="AR195" s="11" t="n"/>
      <c r="AS195" s="11" t="n"/>
      <c r="AT195" s="11" t="n"/>
      <c r="AU195" s="11" t="n"/>
      <c r="AV195" s="12" t="n"/>
      <c r="AW195" s="11" t="n"/>
      <c r="AX195" s="11" t="n"/>
      <c r="AY195" s="11" t="n"/>
      <c r="AZ195" s="11" t="n"/>
      <c r="BA195" s="12" t="n"/>
      <c r="BB195" s="11" t="n"/>
      <c r="BC195" s="11" t="n"/>
      <c r="BD195" s="11" t="n"/>
      <c r="BE195" s="11" t="n"/>
      <c r="BF195" s="12" t="n"/>
      <c r="BG195" s="11" t="n"/>
      <c r="BH195" s="11" t="n"/>
      <c r="BI195" s="11" t="n"/>
      <c r="BJ195" s="11" t="n"/>
      <c r="BK195" s="12" t="n"/>
      <c r="BL195" s="11" t="n"/>
      <c r="BM195" s="11" t="n"/>
      <c r="BN195" s="11" t="n"/>
      <c r="BO195" s="11" t="n"/>
      <c r="BP195" s="12" t="n"/>
      <c r="BQ195" s="11" t="n"/>
      <c r="BR195" s="11" t="n"/>
      <c r="BS195" s="11" t="n"/>
      <c r="BT195" s="11" t="n"/>
      <c r="BU195" s="12" t="n"/>
      <c r="BV195" s="11" t="n"/>
      <c r="BW195" s="11" t="n"/>
      <c r="BX195" s="11" t="n"/>
      <c r="BY195" s="11" t="n"/>
      <c r="BZ195" s="12" t="n"/>
      <c r="CA195" s="11" t="n"/>
      <c r="CB195" s="11" t="n"/>
      <c r="CC195" s="11" t="n"/>
      <c r="CD195" s="11" t="n"/>
      <c r="CE195" s="12" t="n"/>
      <c r="CF195" s="11" t="n"/>
      <c r="CG195" s="11" t="n"/>
      <c r="CH195" s="11" t="n"/>
      <c r="CI195" s="11" t="n"/>
      <c r="CJ195" s="12" t="n"/>
      <c r="CK195" s="11" t="n"/>
      <c r="CL195" s="11" t="n"/>
      <c r="CM195" s="11" t="n"/>
      <c r="CN195" s="11" t="n"/>
      <c r="CO195" s="12" t="n"/>
      <c r="CP195" s="11" t="n"/>
      <c r="CQ195" s="11" t="n"/>
      <c r="CR195" s="11" t="n"/>
      <c r="CS195" s="11" t="n"/>
      <c r="CT195" s="12" t="n"/>
      <c r="CU195" s="11" t="n"/>
      <c r="CV195" s="11" t="n"/>
      <c r="CW195" s="11" t="n"/>
      <c r="CX195" s="11" t="n"/>
      <c r="CY195" s="12" t="n"/>
    </row>
    <row r="196" hidden="1" outlineLevel="1">
      <c r="C196" s="57" t="inlineStr">
        <is>
          <t>Contas a pagar pela aquisição de controladas</t>
        </is>
      </c>
      <c r="D196" s="11" t="n"/>
      <c r="E196" s="11" t="n"/>
      <c r="F196" s="11" t="n"/>
      <c r="G196" s="11" t="n"/>
      <c r="H196" s="12" t="n"/>
      <c r="I196" s="11" t="n"/>
      <c r="J196" s="11" t="n"/>
      <c r="K196" s="11" t="n"/>
      <c r="L196" s="11" t="n"/>
      <c r="M196" s="12" t="n"/>
      <c r="N196" s="11" t="n"/>
      <c r="O196" s="11" t="n"/>
      <c r="P196" s="11" t="n"/>
      <c r="Q196" s="11" t="n"/>
      <c r="R196" s="12" t="n"/>
      <c r="S196" s="11" t="n"/>
      <c r="T196" s="11" t="n"/>
      <c r="U196" s="11" t="n"/>
      <c r="V196" s="11" t="n"/>
      <c r="W196" s="12" t="n"/>
      <c r="X196" s="11" t="n"/>
      <c r="Y196" s="11" t="n"/>
      <c r="Z196" s="11" t="n"/>
      <c r="AA196" s="11" t="n"/>
      <c r="AB196" s="12" t="n"/>
      <c r="AC196" s="11" t="n"/>
      <c r="AD196" s="11" t="n"/>
      <c r="AE196" s="11" t="n"/>
      <c r="AF196" s="11" t="n"/>
      <c r="AG196" s="12" t="n"/>
      <c r="AH196" s="11" t="n"/>
      <c r="AI196" s="11" t="n"/>
      <c r="AJ196" s="11" t="n"/>
      <c r="AK196" s="11" t="n"/>
      <c r="AL196" s="12" t="n"/>
      <c r="AM196" s="11" t="n"/>
      <c r="AN196" s="11" t="n"/>
      <c r="AO196" s="11" t="n"/>
      <c r="AP196" s="11" t="n"/>
      <c r="AQ196" s="12" t="n"/>
      <c r="AR196" s="11" t="n"/>
      <c r="AS196" s="11" t="n"/>
      <c r="AT196" s="11" t="n"/>
      <c r="AU196" s="11" t="n"/>
      <c r="AV196" s="12" t="n"/>
      <c r="AW196" s="11" t="n"/>
      <c r="AX196" s="11" t="n"/>
      <c r="AY196" s="11" t="n"/>
      <c r="AZ196" s="11" t="n"/>
      <c r="BA196" s="12" t="n"/>
      <c r="BB196" s="11" t="n"/>
      <c r="BC196" s="11" t="n"/>
      <c r="BD196" s="11" t="n"/>
      <c r="BE196" s="11" t="n"/>
      <c r="BF196" s="12" t="n"/>
      <c r="BG196" s="11" t="n"/>
      <c r="BH196" s="11" t="n"/>
      <c r="BI196" s="11" t="n"/>
      <c r="BJ196" s="11" t="n"/>
      <c r="BK196" s="12" t="n"/>
      <c r="BL196" s="11" t="n"/>
      <c r="BM196" s="11" t="n"/>
      <c r="BN196" s="11" t="n"/>
      <c r="BO196" s="11" t="n"/>
      <c r="BP196" s="12" t="n"/>
      <c r="BQ196" s="11" t="n"/>
      <c r="BR196" s="11" t="n"/>
      <c r="BS196" s="11" t="n"/>
      <c r="BT196" s="11" t="n"/>
      <c r="BU196" s="12" t="n"/>
      <c r="BV196" s="11" t="n"/>
      <c r="BW196" s="11" t="n"/>
      <c r="BX196" s="11" t="n"/>
      <c r="BY196" s="11" t="n"/>
      <c r="BZ196" s="12" t="n"/>
      <c r="CA196" s="11" t="n"/>
      <c r="CB196" s="11" t="n"/>
      <c r="CC196" s="11" t="n"/>
      <c r="CD196" s="11" t="n"/>
      <c r="CE196" s="12" t="n"/>
      <c r="CF196" s="11" t="n"/>
      <c r="CG196" s="11" t="n"/>
      <c r="CH196" s="11" t="n"/>
      <c r="CI196" s="11" t="n"/>
      <c r="CJ196" s="12" t="n"/>
      <c r="CK196" s="11" t="n"/>
      <c r="CL196" s="11" t="n"/>
      <c r="CM196" s="11" t="n"/>
      <c r="CN196" s="11" t="n"/>
      <c r="CO196" s="12" t="n"/>
      <c r="CP196" s="11" t="n"/>
      <c r="CQ196" s="11" t="n"/>
      <c r="CR196" s="11" t="n"/>
      <c r="CS196" s="11" t="n"/>
      <c r="CT196" s="12" t="n"/>
      <c r="CU196" s="11" t="n"/>
      <c r="CV196" s="11" t="n"/>
      <c r="CW196" s="11" t="n"/>
      <c r="CX196" s="11" t="n"/>
      <c r="CY196" s="12" t="n"/>
    </row>
    <row r="197" hidden="1" outlineLevel="1">
      <c r="C197" s="57" t="inlineStr">
        <is>
          <t>Outros</t>
        </is>
      </c>
      <c r="D197" s="11" t="n"/>
      <c r="E197" s="11" t="n"/>
      <c r="F197" s="11" t="n"/>
      <c r="G197" s="11" t="n"/>
      <c r="H197" s="12" t="n"/>
      <c r="I197" s="11" t="n"/>
      <c r="J197" s="11" t="n"/>
      <c r="K197" s="11" t="n"/>
      <c r="L197" s="11" t="n"/>
      <c r="M197" s="12" t="n"/>
      <c r="N197" s="11" t="n"/>
      <c r="O197" s="11" t="n"/>
      <c r="P197" s="11" t="n"/>
      <c r="Q197" s="11" t="n"/>
      <c r="R197" s="12" t="n"/>
      <c r="S197" s="11" t="n"/>
      <c r="T197" s="11" t="n"/>
      <c r="U197" s="11" t="n"/>
      <c r="V197" s="11" t="n"/>
      <c r="W197" s="12" t="n"/>
      <c r="X197" s="11" t="n"/>
      <c r="Y197" s="11" t="n"/>
      <c r="Z197" s="11" t="n"/>
      <c r="AA197" s="11" t="n"/>
      <c r="AB197" s="12" t="n"/>
      <c r="AC197" s="11" t="n"/>
      <c r="AD197" s="11" t="n"/>
      <c r="AE197" s="11" t="n"/>
      <c r="AF197" s="11" t="n"/>
      <c r="AG197" s="12" t="n"/>
      <c r="AH197" s="11" t="n"/>
      <c r="AI197" s="11" t="n"/>
      <c r="AJ197" s="11" t="n"/>
      <c r="AK197" s="11" t="n"/>
      <c r="AL197" s="12" t="n"/>
      <c r="AM197" s="11" t="n"/>
      <c r="AN197" s="11" t="n"/>
      <c r="AO197" s="11" t="n"/>
      <c r="AP197" s="11" t="n"/>
      <c r="AQ197" s="12" t="n"/>
      <c r="AR197" s="11" t="n"/>
      <c r="AS197" s="11" t="n"/>
      <c r="AT197" s="11" t="n"/>
      <c r="AU197" s="11" t="n"/>
      <c r="AV197" s="12" t="n"/>
      <c r="AW197" s="11" t="n"/>
      <c r="AX197" s="11" t="n"/>
      <c r="AY197" s="11" t="n"/>
      <c r="AZ197" s="11" t="n"/>
      <c r="BA197" s="12" t="n"/>
      <c r="BB197" s="11" t="n"/>
      <c r="BC197" s="11" t="n"/>
      <c r="BD197" s="11" t="n"/>
      <c r="BE197" s="11" t="n"/>
      <c r="BF197" s="12" t="n"/>
      <c r="BG197" s="11" t="n"/>
      <c r="BH197" s="11" t="n"/>
      <c r="BI197" s="11" t="n"/>
      <c r="BJ197" s="11" t="n"/>
      <c r="BK197" s="12" t="n"/>
      <c r="BL197" s="11" t="n"/>
      <c r="BM197" s="11" t="n"/>
      <c r="BN197" s="11" t="n"/>
      <c r="BO197" s="11" t="n"/>
      <c r="BP197" s="12" t="n"/>
      <c r="BQ197" s="11" t="n"/>
      <c r="BR197" s="11" t="n"/>
      <c r="BS197" s="11" t="n"/>
      <c r="BT197" s="11" t="n"/>
      <c r="BU197" s="12" t="n"/>
      <c r="BV197" s="11" t="n"/>
      <c r="BW197" s="11" t="n"/>
      <c r="BX197" s="11" t="n"/>
      <c r="BY197" s="11" t="n"/>
      <c r="BZ197" s="12" t="n"/>
      <c r="CA197" s="11" t="n"/>
      <c r="CB197" s="11" t="n"/>
      <c r="CC197" s="11" t="n"/>
      <c r="CD197" s="11" t="n"/>
      <c r="CE197" s="12" t="n"/>
      <c r="CF197" s="11" t="n"/>
      <c r="CG197" s="11" t="n"/>
      <c r="CH197" s="11" t="n"/>
      <c r="CI197" s="11" t="n"/>
      <c r="CJ197" s="12" t="n"/>
      <c r="CK197" s="11" t="n"/>
      <c r="CL197" s="11" t="n"/>
      <c r="CM197" s="11" t="n"/>
      <c r="CN197" s="11" t="n"/>
      <c r="CO197" s="12" t="n"/>
      <c r="CP197" s="11" t="n"/>
      <c r="CQ197" s="11" t="n"/>
      <c r="CR197" s="11" t="n"/>
      <c r="CS197" s="11" t="n"/>
      <c r="CT197" s="12" t="n"/>
      <c r="CU197" s="11" t="n"/>
      <c r="CV197" s="11" t="n"/>
      <c r="CW197" s="11" t="n"/>
      <c r="CX197" s="11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collapsed="1">
      <c r="C199" s="14" t="inlineStr">
        <is>
          <t>Current portion of long-term debt</t>
        </is>
      </c>
      <c r="D199" s="46" t="n"/>
      <c r="E199" s="46" t="n"/>
      <c r="F199" s="46" t="n"/>
      <c r="G199" s="46" t="n"/>
      <c r="H199" s="12" t="n"/>
      <c r="I199" s="46">
        <f>'Inputs (2)'!D32</f>
        <v>33346</v>
      </c>
      <c r="J199" s="46">
        <f>'Inputs (2)'!E32</f>
        <v>42684</v>
      </c>
      <c r="K199" s="46">
        <f>'Inputs (2)'!F32</f>
        <v>43807</v>
      </c>
      <c r="L199" s="46">
        <f>'Inputs (2)'!G32</f>
        <v>43828</v>
      </c>
      <c r="M199" s="12">
        <f>'Inputs (2)'!H32</f>
        <v>43828</v>
      </c>
      <c r="N199" s="46">
        <f>'Inputs (2)'!I32</f>
        <v>44860</v>
      </c>
      <c r="O199" s="46">
        <f>'Inputs (2)'!J32</f>
        <v>14176</v>
      </c>
      <c r="P199" s="46">
        <f>'Inputs (2)'!K32</f>
        <v>12592</v>
      </c>
      <c r="Q199" s="46">
        <f>'Inputs (2)'!L32</f>
        <v>14129</v>
      </c>
      <c r="R199" s="12">
        <f>'Inputs (2)'!M32</f>
        <v>14129</v>
      </c>
      <c r="S199" s="46">
        <f>'Inputs (2)'!N32</f>
        <v>17109</v>
      </c>
      <c r="T199" s="46">
        <f>'Inputs (2)'!O32</f>
        <v>17143</v>
      </c>
      <c r="U199" s="46">
        <f>'Inputs (2)'!P32</f>
        <v>17939</v>
      </c>
      <c r="V199" s="46">
        <f>'Inputs (2)'!Q32</f>
        <v>17117</v>
      </c>
      <c r="W199" s="12">
        <f>'Inputs (2)'!R32</f>
        <v>17117</v>
      </c>
      <c r="X199" s="46">
        <f>'Inputs (2)'!S32</f>
        <v>17699</v>
      </c>
      <c r="Y199" s="46">
        <f>'Inputs (2)'!T32</f>
        <v>15294</v>
      </c>
      <c r="Z199" s="46">
        <f>'Inputs (2)'!U32</f>
        <v>13533</v>
      </c>
      <c r="AA199" s="46">
        <f>'Inputs (2)'!V32</f>
        <v>12811</v>
      </c>
      <c r="AB199" s="12">
        <f>'Inputs (2)'!W32</f>
        <v>12811</v>
      </c>
      <c r="AC199" s="46">
        <f>'Inputs (2)'!X32</f>
        <v>15948</v>
      </c>
      <c r="AD199" s="46">
        <f>'Inputs (2)'!Y32</f>
        <v>14607</v>
      </c>
      <c r="AE199" s="46">
        <f>'Inputs (2)'!Z32</f>
        <v>13796</v>
      </c>
      <c r="AF199" s="46">
        <f>'Inputs (2)'!AA32</f>
        <v>14392</v>
      </c>
      <c r="AG199" s="12">
        <f>'Inputs (2)'!AB32</f>
        <v>14392</v>
      </c>
      <c r="AH199" s="12">
        <f>'Inputs (2)'!AC32</f>
        <v>15632</v>
      </c>
      <c r="AI199" s="12">
        <f>'Inputs (2)'!AD32</f>
        <v>17115</v>
      </c>
      <c r="AJ199" s="12">
        <f>AI199</f>
        <v>17115</v>
      </c>
      <c r="AK199" s="12">
        <f>AJ199</f>
        <v>17115</v>
      </c>
      <c r="AL199" s="12">
        <f>AK199</f>
        <v>17115</v>
      </c>
      <c r="AM199" s="12">
        <f>AL199</f>
        <v>17115</v>
      </c>
      <c r="AN199" s="12">
        <f>AM199</f>
        <v>17115</v>
      </c>
      <c r="AO199" s="12">
        <f>AN199</f>
        <v>17115</v>
      </c>
      <c r="AP199" s="12">
        <f>AO199</f>
        <v>17115</v>
      </c>
      <c r="AQ199" s="12">
        <f>AP199</f>
        <v>17115</v>
      </c>
      <c r="AR199" s="12">
        <f>AQ199</f>
        <v>17115</v>
      </c>
      <c r="AS199" s="12">
        <f>AR199</f>
        <v>17115</v>
      </c>
      <c r="AT199" s="12">
        <f>AS199</f>
        <v>17115</v>
      </c>
      <c r="AU199" s="12">
        <f>AT199</f>
        <v>17115</v>
      </c>
      <c r="AV199" s="12">
        <f>AU199</f>
        <v>17115</v>
      </c>
      <c r="AW199" s="12">
        <f>AV199</f>
        <v>17115</v>
      </c>
      <c r="AX199" s="12">
        <f>AW199</f>
        <v>17115</v>
      </c>
      <c r="AY199" s="12">
        <f>AX199</f>
        <v>17115</v>
      </c>
      <c r="AZ199" s="12">
        <f>AY199</f>
        <v>17115</v>
      </c>
      <c r="BA199" s="12">
        <f>AZ199</f>
        <v>17115</v>
      </c>
      <c r="BB199" s="12">
        <f>BA199</f>
        <v>17115</v>
      </c>
      <c r="BC199" s="12">
        <f>BB199</f>
        <v>17115</v>
      </c>
      <c r="BD199" s="12">
        <f>BC199</f>
        <v>17115</v>
      </c>
      <c r="BE199" s="12">
        <f>BD199</f>
        <v>17115</v>
      </c>
      <c r="BF199" s="12">
        <f>BE199</f>
        <v>17115</v>
      </c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>
      <c r="C200" s="14" t="inlineStr">
        <is>
          <t>Short term debt (Revolving credit facility)</t>
        </is>
      </c>
      <c r="D200" s="46" t="n"/>
      <c r="E200" s="46" t="n"/>
      <c r="F200" s="46" t="n"/>
      <c r="G200" s="46" t="n"/>
      <c r="H200" s="12" t="n"/>
      <c r="I200" s="46">
        <f>'Inputs (2)'!D33</f>
        <v>0</v>
      </c>
      <c r="J200" s="46">
        <f>'Inputs (2)'!E33</f>
        <v>0</v>
      </c>
      <c r="K200" s="46">
        <f>'Inputs (2)'!F33</f>
        <v>0</v>
      </c>
      <c r="L200" s="46">
        <f>'Inputs (2)'!G33</f>
        <v>0</v>
      </c>
      <c r="M200" s="12">
        <f>'Inputs (2)'!H33</f>
        <v>0</v>
      </c>
      <c r="N200" s="46">
        <f>'Inputs (2)'!I33</f>
        <v>0</v>
      </c>
      <c r="O200" s="46">
        <f>'Inputs (2)'!J33</f>
        <v>0</v>
      </c>
      <c r="P200" s="46">
        <f>'Inputs (2)'!K33</f>
        <v>0</v>
      </c>
      <c r="Q200" s="46">
        <f>'Inputs (2)'!L33</f>
        <v>0</v>
      </c>
      <c r="R200" s="12">
        <f>'Inputs (2)'!M33</f>
        <v>0</v>
      </c>
      <c r="S200" s="46">
        <f>'Inputs (2)'!N33</f>
        <v>0</v>
      </c>
      <c r="T200" s="46">
        <f>'Inputs (2)'!O33</f>
        <v>0</v>
      </c>
      <c r="U200" s="46">
        <f>'Inputs (2)'!P33</f>
        <v>0</v>
      </c>
      <c r="V200" s="46">
        <f>'Inputs (2)'!Q33</f>
        <v>0</v>
      </c>
      <c r="W200" s="12">
        <f>'Inputs (2)'!R33</f>
        <v>0</v>
      </c>
      <c r="X200" s="46">
        <f>'Inputs (2)'!S33</f>
        <v>0</v>
      </c>
      <c r="Y200" s="46">
        <f>'Inputs (2)'!T33</f>
        <v>0</v>
      </c>
      <c r="Z200" s="46">
        <f>'Inputs (2)'!U33</f>
        <v>0</v>
      </c>
      <c r="AA200" s="46">
        <f>'Inputs (2)'!V33</f>
        <v>0</v>
      </c>
      <c r="AB200" s="12">
        <f>'Inputs (2)'!W33</f>
        <v>0</v>
      </c>
      <c r="AC200" s="46">
        <f>'Inputs (2)'!X33</f>
        <v>0</v>
      </c>
      <c r="AD200" s="46">
        <f>'Inputs (2)'!Y33</f>
        <v>0</v>
      </c>
      <c r="AE200" s="46">
        <f>'Inputs (2)'!Z33</f>
        <v>0</v>
      </c>
      <c r="AF200" s="46">
        <f>'Inputs (2)'!AA33</f>
        <v>0</v>
      </c>
      <c r="AG200" s="12">
        <f>'Inputs (2)'!AB33</f>
        <v>0</v>
      </c>
      <c r="AH200" s="12">
        <f>'Inputs (2)'!AC33</f>
        <v>0</v>
      </c>
      <c r="AI200" s="12">
        <f>'Inputs (2)'!AD33</f>
        <v>0</v>
      </c>
      <c r="AJ200" s="12">
        <f>AI200</f>
        <v>0</v>
      </c>
      <c r="AK200" s="12">
        <f>AJ200</f>
        <v>0</v>
      </c>
      <c r="AL200" s="12">
        <f>AK200</f>
        <v>0</v>
      </c>
      <c r="AM200" s="12">
        <f>AL200</f>
        <v>0</v>
      </c>
      <c r="AN200" s="12">
        <f>AM200</f>
        <v>0</v>
      </c>
      <c r="AO200" s="12">
        <f>AN200</f>
        <v>0</v>
      </c>
      <c r="AP200" s="12">
        <f>AO200</f>
        <v>0</v>
      </c>
      <c r="AQ200" s="12">
        <f>AP200</f>
        <v>0</v>
      </c>
      <c r="AR200" s="12">
        <f>AQ200</f>
        <v>0</v>
      </c>
      <c r="AS200" s="12">
        <f>AR200</f>
        <v>0</v>
      </c>
      <c r="AT200" s="12">
        <f>AS200</f>
        <v>0</v>
      </c>
      <c r="AU200" s="12">
        <f>AT200</f>
        <v>0</v>
      </c>
      <c r="AV200" s="12">
        <f>AU200</f>
        <v>0</v>
      </c>
      <c r="AW200" s="12">
        <f>AV200</f>
        <v>0</v>
      </c>
      <c r="AX200" s="12">
        <f>AW200</f>
        <v>0</v>
      </c>
      <c r="AY200" s="12">
        <f>AX200</f>
        <v>0</v>
      </c>
      <c r="AZ200" s="12">
        <f>AY200</f>
        <v>0</v>
      </c>
      <c r="BA200" s="12">
        <f>AZ200</f>
        <v>0</v>
      </c>
      <c r="BB200" s="12">
        <f>BA200</f>
        <v>0</v>
      </c>
      <c r="BC200" s="12">
        <f>BB200</f>
        <v>0</v>
      </c>
      <c r="BD200" s="12">
        <f>BC200</f>
        <v>0</v>
      </c>
      <c r="BE200" s="12">
        <f>BD200</f>
        <v>0</v>
      </c>
      <c r="BF200" s="12">
        <f>BE200</f>
        <v>0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>
      <c r="C201" s="14" t="inlineStr">
        <is>
          <t>Short term operating leases</t>
        </is>
      </c>
      <c r="D201" s="46" t="n"/>
      <c r="E201" s="46" t="n"/>
      <c r="F201" s="46" t="n"/>
      <c r="G201" s="46" t="n"/>
      <c r="H201" s="12" t="n"/>
      <c r="I201" s="46">
        <f>'Inputs (2)'!D34</f>
        <v>0</v>
      </c>
      <c r="J201" s="46">
        <f>'Inputs (2)'!E34</f>
        <v>0</v>
      </c>
      <c r="K201" s="46">
        <f>'Inputs (2)'!F34</f>
        <v>0</v>
      </c>
      <c r="L201" s="46">
        <f>'Inputs (2)'!G34</f>
        <v>0</v>
      </c>
      <c r="M201" s="12">
        <f>'Inputs (2)'!H34</f>
        <v>0</v>
      </c>
      <c r="N201" s="46">
        <f>'Inputs (2)'!I34</f>
        <v>0</v>
      </c>
      <c r="O201" s="46">
        <f>'Inputs (2)'!J34</f>
        <v>0</v>
      </c>
      <c r="P201" s="46">
        <f>'Inputs (2)'!K34</f>
        <v>0</v>
      </c>
      <c r="Q201" s="46">
        <f>'Inputs (2)'!L34</f>
        <v>0</v>
      </c>
      <c r="R201" s="12">
        <f>'Inputs (2)'!M34</f>
        <v>0</v>
      </c>
      <c r="S201" s="46">
        <f>'Inputs (2)'!N34</f>
        <v>0</v>
      </c>
      <c r="T201" s="46">
        <f>'Inputs (2)'!O34</f>
        <v>0</v>
      </c>
      <c r="U201" s="46">
        <f>'Inputs (2)'!P34</f>
        <v>0</v>
      </c>
      <c r="V201" s="46">
        <f>'Inputs (2)'!Q34</f>
        <v>0</v>
      </c>
      <c r="W201" s="12">
        <f>'Inputs (2)'!R34</f>
        <v>0</v>
      </c>
      <c r="X201" s="46">
        <f>'Inputs (2)'!S34</f>
        <v>0</v>
      </c>
      <c r="Y201" s="46">
        <f>'Inputs (2)'!T34</f>
        <v>0</v>
      </c>
      <c r="Z201" s="46">
        <f>'Inputs (2)'!U34</f>
        <v>0</v>
      </c>
      <c r="AA201" s="46">
        <f>'Inputs (2)'!V34</f>
        <v>0</v>
      </c>
      <c r="AB201" s="12">
        <f>'Inputs (2)'!W34</f>
        <v>0</v>
      </c>
      <c r="AC201" s="46">
        <f>'Inputs (2)'!X34</f>
        <v>0</v>
      </c>
      <c r="AD201" s="46">
        <f>'Inputs (2)'!Y34</f>
        <v>0</v>
      </c>
      <c r="AE201" s="46">
        <f>'Inputs (2)'!Z34</f>
        <v>0</v>
      </c>
      <c r="AF201" s="46">
        <f>'Inputs (2)'!AA34</f>
        <v>0</v>
      </c>
      <c r="AG201" s="12">
        <f>'Inputs (2)'!AB34</f>
        <v>0</v>
      </c>
      <c r="AH201" s="12">
        <f>'Inputs (2)'!AC34</f>
        <v>0</v>
      </c>
      <c r="AI201" s="12">
        <f>'Inputs (2)'!AD34</f>
        <v>0</v>
      </c>
      <c r="AJ201" s="12">
        <f>AI201</f>
        <v>0</v>
      </c>
      <c r="AK201" s="12">
        <f>AJ201</f>
        <v>0</v>
      </c>
      <c r="AL201" s="12">
        <f>AK201</f>
        <v>0</v>
      </c>
      <c r="AM201" s="12">
        <f>AL201</f>
        <v>0</v>
      </c>
      <c r="AN201" s="12">
        <f>AM201</f>
        <v>0</v>
      </c>
      <c r="AO201" s="12">
        <f>AN201</f>
        <v>0</v>
      </c>
      <c r="AP201" s="12">
        <f>AO201</f>
        <v>0</v>
      </c>
      <c r="AQ201" s="12">
        <f>AP201</f>
        <v>0</v>
      </c>
      <c r="AR201" s="12">
        <f>AQ201</f>
        <v>0</v>
      </c>
      <c r="AS201" s="12">
        <f>AR201</f>
        <v>0</v>
      </c>
      <c r="AT201" s="12">
        <f>AS201</f>
        <v>0</v>
      </c>
      <c r="AU201" s="12">
        <f>AT201</f>
        <v>0</v>
      </c>
      <c r="AV201" s="12">
        <f>AU201</f>
        <v>0</v>
      </c>
      <c r="AW201" s="12">
        <f>AV201</f>
        <v>0</v>
      </c>
      <c r="AX201" s="12">
        <f>AW201</f>
        <v>0</v>
      </c>
      <c r="AY201" s="12">
        <f>AX201</f>
        <v>0</v>
      </c>
      <c r="AZ201" s="12">
        <f>AY201</f>
        <v>0</v>
      </c>
      <c r="BA201" s="12">
        <f>AZ201</f>
        <v>0</v>
      </c>
      <c r="BB201" s="12">
        <f>BA201</f>
        <v>0</v>
      </c>
      <c r="BC201" s="12">
        <f>BB201</f>
        <v>0</v>
      </c>
      <c r="BD201" s="12">
        <f>BC201</f>
        <v>0</v>
      </c>
      <c r="BE201" s="12">
        <f>BD201</f>
        <v>0</v>
      </c>
      <c r="BF201" s="12">
        <f>BE201</f>
        <v>0</v>
      </c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9" t="inlineStr">
        <is>
          <t>%(Var.)</t>
        </is>
      </c>
      <c r="D202" s="12" t="n"/>
      <c r="E202" s="40" t="n"/>
      <c r="F202" s="40" t="n"/>
      <c r="G202" s="40" t="n"/>
      <c r="H202" s="12" t="n"/>
      <c r="I202" s="40" t="str">
        <f>""</f>
        <v/>
      </c>
      <c r="J202" s="40" t="str">
        <f>IFERROR(IF(I201=0,"",J201/I201-1),"")</f>
        <v/>
      </c>
      <c r="K202" s="40" t="str">
        <f>IFERROR(IF(J201=0,"",K201/J201-1),"")</f>
        <v/>
      </c>
      <c r="L202" s="40" t="str">
        <f>IFERROR(IF(K201=0,"",L201/K201-1),"")</f>
        <v/>
      </c>
      <c r="M202" s="12" t="str">
        <f>IF(L201=0,"",M201/L201-1)</f>
        <v/>
      </c>
      <c r="N202" s="40" t="str">
        <f>IFERROR(IF(M201=0,"",N201/M201-1),"")</f>
        <v/>
      </c>
      <c r="O202" s="40" t="str">
        <f>IFERROR(IF(N201=0,"",O201/N201-1),"")</f>
        <v/>
      </c>
      <c r="P202" s="40" t="str">
        <f>IFERROR(IF(O201=0,"",P201/O201-1),"")</f>
        <v/>
      </c>
      <c r="Q202" s="40" t="str">
        <f>IFERROR(IF(P201=0,"",Q201/P201-1),"")</f>
        <v/>
      </c>
      <c r="R202" s="12" t="str">
        <f>IF(Q201=0,"",R201/Q201-1)</f>
        <v/>
      </c>
      <c r="S202" s="40" t="str">
        <f>IFERROR(IF(R201=0,"",S201/R201-1),"")</f>
        <v/>
      </c>
      <c r="T202" s="40" t="str">
        <f>IFERROR(IF(S201=0,"",T201/S201-1),"")</f>
        <v/>
      </c>
      <c r="U202" s="40" t="str">
        <f>IFERROR(IF(T201=0,"",U201/T201-1),"")</f>
        <v/>
      </c>
      <c r="V202" s="40" t="str">
        <f>IFERROR(IF(U201=0,"",V201/U201-1),"")</f>
        <v/>
      </c>
      <c r="W202" s="12" t="str">
        <f>IF(V201=0,"",W201/V201-1)</f>
        <v/>
      </c>
      <c r="X202" s="40" t="str">
        <f>IFERROR(IF(W201=0,"",X201/W201-1),"")</f>
        <v/>
      </c>
      <c r="Y202" s="40" t="str">
        <f>IFERROR(IF(X201=0,"",Y201/X201-1),"")</f>
        <v/>
      </c>
      <c r="Z202" s="40" t="str">
        <f>IFERROR(IF(Y201=0,"",Z201/Y201-1),"")</f>
        <v/>
      </c>
      <c r="AA202" s="40" t="str">
        <f>IFERROR(IF(Z201=0,"",AA201/Z201-1),"")</f>
        <v/>
      </c>
      <c r="AB202" s="12" t="str">
        <f>IF(AA201=0,"",AB201/AA201-1)</f>
        <v/>
      </c>
      <c r="AC202" s="40" t="str">
        <f>IFERROR(IF(AB201=0,"",AC201/AB201-1),"")</f>
        <v/>
      </c>
      <c r="AD202" s="40" t="str">
        <f>IFERROR(IF(AC201=0,"",AD201/AC201-1),"")</f>
        <v/>
      </c>
      <c r="AE202" s="40" t="str">
        <f>IFERROR(IF(AD201=0,"",AE201/AD201-1),"")</f>
        <v/>
      </c>
      <c r="AF202" s="11" t="str">
        <f>IFERROR(IF(AE201=0,"",AF201/AE201-1),"")</f>
        <v/>
      </c>
      <c r="AG202" s="12" t="str">
        <f>IF(AF201=0,"",AG201/AF201-1)</f>
        <v/>
      </c>
      <c r="AH202" s="11" t="str">
        <f>IFERROR(IF(AG201=0,"",AH201/AG201-1),"")</f>
        <v/>
      </c>
      <c r="AI202" s="11" t="str">
        <f>IFERROR(IF(AH201=0,"",AI201/AH201-1),"")</f>
        <v/>
      </c>
      <c r="AJ202" s="11" t="str">
        <f>IFERROR(IF(AI201=0,"",AJ201/AI201-1),"")</f>
        <v/>
      </c>
      <c r="AK202" s="11" t="str">
        <f>IFERROR(IF(AJ201=0,"",AK201/AJ201-1),"")</f>
        <v/>
      </c>
      <c r="AL202" s="12" t="str">
        <f>IFERROR(IF(AK201=0,"",AL201/AK201-1),"")</f>
        <v/>
      </c>
      <c r="AM202" s="11" t="str">
        <f>IFERROR(IF(AL201=0,"",AM201/AL201-1),"")</f>
        <v/>
      </c>
      <c r="AN202" s="11" t="str">
        <f>IFERROR(IF(AM201=0,"",AN201/AM201-1),"")</f>
        <v/>
      </c>
      <c r="AO202" s="11" t="str">
        <f>IFERROR(IF(AN201=0,"",AO201/AN201-1),"")</f>
        <v/>
      </c>
      <c r="AP202" s="11" t="str">
        <f>IFERROR(IF(AO201=0,"",AP201/AO201-1),"")</f>
        <v/>
      </c>
      <c r="AQ202" s="12" t="str">
        <f>IFERROR(IF(AP201=0,"",AQ201/AP201-1),"")</f>
        <v/>
      </c>
      <c r="AR202" s="11" t="str">
        <f>IFERROR(IF(AQ201=0,"",AR201/AQ201-1),"")</f>
        <v/>
      </c>
      <c r="AS202" s="11" t="str">
        <f>IFERROR(IF(AR201=0,"",AS201/AR201-1),"")</f>
        <v/>
      </c>
      <c r="AT202" s="11" t="str">
        <f>IFERROR(IF(AS201=0,"",AT201/AS201-1),"")</f>
        <v/>
      </c>
      <c r="AU202" s="11" t="str">
        <f>IFERROR(IF(AT201=0,"",AU201/AT201-1),"")</f>
        <v/>
      </c>
      <c r="AV202" s="12" t="str">
        <f>IFERROR(IF(AU201=0,"",AV201/AU201-1),"")</f>
        <v/>
      </c>
      <c r="AW202" s="11" t="str">
        <f>IFERROR(IF(AV201=0,"",AW201/AV201-1),"")</f>
        <v/>
      </c>
      <c r="AX202" s="11" t="str">
        <f>IFERROR(IF(AW201=0,"",AX201/AW201-1),"")</f>
        <v/>
      </c>
      <c r="AY202" s="11" t="str">
        <f>IFERROR(IF(AX201=0,"",AY201/AX201-1),"")</f>
        <v/>
      </c>
      <c r="AZ202" s="11" t="str">
        <f>IFERROR(IF(AY201=0,"",AZ201/AY201-1),"")</f>
        <v/>
      </c>
      <c r="BA202" s="12" t="str">
        <f>IFERROR(IF(AZ201=0,"",BA201/AZ201-1),"")</f>
        <v/>
      </c>
      <c r="BB202" s="11" t="str">
        <f>IFERROR(IF(BA201=0,"",BB201/BA201-1),"")</f>
        <v/>
      </c>
      <c r="BC202" s="11" t="str">
        <f>IFERROR(IF(BB201=0,"",BC201/BB201-1),"")</f>
        <v/>
      </c>
      <c r="BD202" s="11" t="str">
        <f>IFERROR(IF(BC201=0,"",BD201/BC201-1),"")</f>
        <v/>
      </c>
      <c r="BE202" s="11" t="str">
        <f>IFERROR(IF(BD201=0,"",BE201/BD201-1),"")</f>
        <v/>
      </c>
      <c r="BF202" s="12" t="str">
        <f>IFERROR(IF(BE201=0,"",BF201/BE201-1),"")</f>
        <v/>
      </c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Long term debt</t>
        </is>
      </c>
      <c r="D204" s="46" t="n"/>
      <c r="E204" s="46" t="n"/>
      <c r="F204" s="46" t="n"/>
      <c r="G204" s="46" t="n"/>
      <c r="H204" s="12" t="n"/>
      <c r="I204" s="46">
        <f>'Inputs (2)'!D35</f>
        <v>0</v>
      </c>
      <c r="J204" s="46">
        <f>'Inputs (2)'!E35</f>
        <v>0</v>
      </c>
      <c r="K204" s="46">
        <f>'Inputs (2)'!F35</f>
        <v>0</v>
      </c>
      <c r="L204" s="46">
        <f>'Inputs (2)'!G35</f>
        <v>0</v>
      </c>
      <c r="M204" s="12">
        <f>'Inputs (2)'!H35</f>
        <v>0</v>
      </c>
      <c r="N204" s="46">
        <f>'Inputs (2)'!I35</f>
        <v>0</v>
      </c>
      <c r="O204" s="46">
        <f>'Inputs (2)'!J35</f>
        <v>0</v>
      </c>
      <c r="P204" s="46">
        <f>'Inputs (2)'!K35</f>
        <v>0</v>
      </c>
      <c r="Q204" s="46">
        <f>'Inputs (2)'!L35</f>
        <v>0</v>
      </c>
      <c r="R204" s="12">
        <f>'Inputs (2)'!M35</f>
        <v>0</v>
      </c>
      <c r="S204" s="46">
        <f>'Inputs (2)'!N35</f>
        <v>0</v>
      </c>
      <c r="T204" s="46">
        <f>'Inputs (2)'!O35</f>
        <v>0</v>
      </c>
      <c r="U204" s="46">
        <f>'Inputs (2)'!P35</f>
        <v>0</v>
      </c>
      <c r="V204" s="46">
        <f>'Inputs (2)'!Q35</f>
        <v>0</v>
      </c>
      <c r="W204" s="12">
        <f>'Inputs (2)'!R35</f>
        <v>0</v>
      </c>
      <c r="X204" s="46">
        <f>'Inputs (2)'!S35</f>
        <v>0</v>
      </c>
      <c r="Y204" s="46">
        <f>'Inputs (2)'!T35</f>
        <v>0</v>
      </c>
      <c r="Z204" s="46">
        <f>'Inputs (2)'!U35</f>
        <v>0</v>
      </c>
      <c r="AA204" s="46">
        <f>'Inputs (2)'!V35</f>
        <v>0</v>
      </c>
      <c r="AB204" s="12">
        <f>'Inputs (2)'!W35</f>
        <v>0</v>
      </c>
      <c r="AC204" s="46">
        <f>'Inputs (2)'!X35</f>
        <v>0</v>
      </c>
      <c r="AD204" s="46">
        <f>'Inputs (2)'!Y35</f>
        <v>0</v>
      </c>
      <c r="AE204" s="46">
        <f>'Inputs (2)'!Z35</f>
        <v>0</v>
      </c>
      <c r="AF204" s="46">
        <f>'Inputs (2)'!AA35</f>
        <v>0</v>
      </c>
      <c r="AG204" s="12">
        <f>'Inputs (2)'!AB35</f>
        <v>0</v>
      </c>
      <c r="AH204" s="12">
        <f>'Inputs (2)'!AC35</f>
        <v>0</v>
      </c>
      <c r="AI204" s="12">
        <f>'Inputs (2)'!AD35</f>
        <v>0</v>
      </c>
      <c r="AJ204" s="12">
        <f>AJ210</f>
        <v>0</v>
      </c>
      <c r="AK204" s="12">
        <f>AK210</f>
        <v>0</v>
      </c>
      <c r="AL204" s="12">
        <f>AK204</f>
        <v>0</v>
      </c>
      <c r="AM204" s="12">
        <f>AM210</f>
        <v>0</v>
      </c>
      <c r="AN204" s="12">
        <f>AN210</f>
        <v>0</v>
      </c>
      <c r="AO204" s="12">
        <f>AO210</f>
        <v>0</v>
      </c>
      <c r="AP204" s="12">
        <f>AP210</f>
        <v>0</v>
      </c>
      <c r="AQ204" s="12">
        <f>AP204</f>
        <v>0</v>
      </c>
      <c r="AR204" s="12">
        <f>AR210</f>
        <v>0</v>
      </c>
      <c r="AS204" s="12">
        <f>AS210</f>
        <v>0</v>
      </c>
      <c r="AT204" s="12">
        <f>AT210</f>
        <v>0</v>
      </c>
      <c r="AU204" s="12">
        <f>AU210</f>
        <v>0</v>
      </c>
      <c r="AV204" s="12">
        <f>AU204</f>
        <v>0</v>
      </c>
      <c r="AW204" s="12">
        <f>AW210</f>
        <v>0</v>
      </c>
      <c r="AX204" s="12">
        <f>AX210</f>
        <v>0</v>
      </c>
      <c r="AY204" s="12">
        <f>AY210</f>
        <v>0</v>
      </c>
      <c r="AZ204" s="12">
        <f>AZ210</f>
        <v>0</v>
      </c>
      <c r="BA204" s="12">
        <f>AZ204</f>
        <v>0</v>
      </c>
      <c r="BB204" s="12">
        <f>BB210</f>
        <v>0</v>
      </c>
      <c r="BC204" s="12">
        <f>BC210</f>
        <v>0</v>
      </c>
      <c r="BD204" s="12">
        <f>BD210</f>
        <v>0</v>
      </c>
      <c r="BE204" s="12">
        <f>BE210</f>
        <v>0</v>
      </c>
      <c r="BF204" s="12">
        <f>BE204</f>
        <v>0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7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hidden="1" outlineLevel="1">
      <c r="C206" s="57" t="inlineStr">
        <is>
          <t>Current portion of LTD</t>
        </is>
      </c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>
        <f>AF199</f>
        <v>14392</v>
      </c>
      <c r="AI206" s="62" t="n"/>
      <c r="AJ206" s="62" t="n"/>
      <c r="AK206" s="62" t="n"/>
      <c r="AL206" s="12" t="n"/>
      <c r="AM206" s="12">
        <f>AK199</f>
        <v>17115</v>
      </c>
      <c r="AN206" s="62" t="n"/>
      <c r="AO206" s="62" t="n"/>
      <c r="AP206" s="62" t="n"/>
      <c r="AQ206" s="12" t="n"/>
      <c r="AR206" s="12">
        <f>AP199</f>
        <v>17115</v>
      </c>
      <c r="AS206" s="62" t="n"/>
      <c r="AT206" s="62" t="n"/>
      <c r="AU206" s="62" t="n"/>
      <c r="AV206" s="12" t="n"/>
      <c r="AW206" s="12">
        <f>AU199</f>
        <v>17115</v>
      </c>
      <c r="AX206" s="62" t="n"/>
      <c r="AY206" s="62" t="n"/>
      <c r="AZ206" s="62" t="n"/>
      <c r="BA206" s="12" t="n"/>
      <c r="BB206" s="12">
        <f>AZ199</f>
        <v>17115</v>
      </c>
      <c r="BC206" s="62" t="n"/>
      <c r="BD206" s="62" t="n"/>
      <c r="BE206" s="62" t="n"/>
      <c r="BF206" s="12" t="n"/>
      <c r="BG206" s="12" t="n"/>
      <c r="BH206" s="62" t="n"/>
      <c r="BI206" s="62" t="n"/>
      <c r="BJ206" s="62" t="n"/>
      <c r="BK206" s="12" t="n"/>
      <c r="BL206" s="12" t="n"/>
      <c r="BM206" s="62" t="n"/>
      <c r="BN206" s="62" t="n"/>
      <c r="BO206" s="62" t="n"/>
      <c r="BP206" s="12" t="n"/>
      <c r="BQ206" s="12" t="n"/>
      <c r="BR206" s="62" t="n"/>
      <c r="BS206" s="62" t="n"/>
      <c r="BT206" s="62" t="n"/>
      <c r="BU206" s="12" t="n"/>
      <c r="BV206" s="12" t="n"/>
      <c r="BW206" s="62" t="n"/>
      <c r="BX206" s="62" t="n"/>
      <c r="BY206" s="62" t="n"/>
      <c r="BZ206" s="12" t="n"/>
      <c r="CA206" s="12" t="n"/>
      <c r="CB206" s="62" t="n"/>
      <c r="CC206" s="62" t="n"/>
      <c r="CD206" s="62" t="n"/>
      <c r="CE206" s="12" t="n"/>
      <c r="CF206" s="12" t="n"/>
      <c r="CG206" s="62" t="n"/>
      <c r="CH206" s="62" t="n"/>
      <c r="CI206" s="62" t="n"/>
      <c r="CJ206" s="12" t="n"/>
      <c r="CK206" s="12" t="n"/>
      <c r="CL206" s="62" t="n"/>
      <c r="CM206" s="62" t="n"/>
      <c r="CN206" s="62" t="n"/>
      <c r="CO206" s="12" t="n"/>
      <c r="CP206" s="12" t="n"/>
      <c r="CQ206" s="62" t="n"/>
      <c r="CR206" s="62" t="n"/>
      <c r="CS206" s="62" t="n"/>
      <c r="CT206" s="12" t="n"/>
      <c r="CU206" s="12" t="n"/>
      <c r="CV206" s="62" t="n"/>
      <c r="CW206" s="62" t="n"/>
      <c r="CX206" s="62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7" t="inlineStr">
        <is>
          <t>Reclassification of LTD to CP of LTD</t>
        </is>
      </c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>
        <f>-AI206</f>
        <v>0</v>
      </c>
      <c r="AJ208" s="12">
        <f>-AJ206</f>
        <v>0</v>
      </c>
      <c r="AK208" s="12">
        <f>-AK206</f>
        <v>0</v>
      </c>
      <c r="AL208" s="12" t="n"/>
      <c r="AM208" s="12" t="n"/>
      <c r="AN208" s="12">
        <f>-AN206</f>
        <v>0</v>
      </c>
      <c r="AO208" s="12">
        <f>-AO206</f>
        <v>0</v>
      </c>
      <c r="AP208" s="12">
        <f>-AP206</f>
        <v>0</v>
      </c>
      <c r="AQ208" s="12" t="n"/>
      <c r="AR208" s="12" t="n"/>
      <c r="AS208" s="12">
        <f>-AS206</f>
        <v>0</v>
      </c>
      <c r="AT208" s="12">
        <f>-AT206</f>
        <v>0</v>
      </c>
      <c r="AU208" s="12">
        <f>-AU206</f>
        <v>0</v>
      </c>
      <c r="AV208" s="12" t="n"/>
      <c r="AW208" s="12" t="n"/>
      <c r="AX208" s="12">
        <f>-AX206</f>
        <v>0</v>
      </c>
      <c r="AY208" s="12">
        <f>-AY206</f>
        <v>0</v>
      </c>
      <c r="AZ208" s="12">
        <f>-AZ206</f>
        <v>0</v>
      </c>
      <c r="BA208" s="12" t="n"/>
      <c r="BB208" s="12" t="n"/>
      <c r="BC208" s="12">
        <f>-BC206</f>
        <v>0</v>
      </c>
      <c r="BD208" s="12">
        <f>-BD206</f>
        <v>0</v>
      </c>
      <c r="BE208" s="12">
        <f>-BE206</f>
        <v>0</v>
      </c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7" t="inlineStr">
        <is>
          <t>Discretionary (paydown)/borrowing of long term debt</t>
        </is>
      </c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62" t="n"/>
      <c r="AI209" s="62" t="n"/>
      <c r="AJ209" s="62" t="n"/>
      <c r="AK209" s="62" t="n"/>
      <c r="AL209" s="12" t="n"/>
      <c r="AM209" s="62" t="n"/>
      <c r="AN209" s="62" t="n"/>
      <c r="AO209" s="62" t="n"/>
      <c r="AP209" s="62" t="n"/>
      <c r="AQ209" s="12" t="n"/>
      <c r="AR209" s="62" t="n"/>
      <c r="AS209" s="62" t="n"/>
      <c r="AT209" s="62" t="n"/>
      <c r="AU209" s="62" t="n"/>
      <c r="AV209" s="12" t="n"/>
      <c r="AW209" s="62" t="n"/>
      <c r="AX209" s="62" t="n"/>
      <c r="AY209" s="62" t="n"/>
      <c r="AZ209" s="62" t="n"/>
      <c r="BA209" s="12" t="n"/>
      <c r="BB209" s="62" t="n"/>
      <c r="BC209" s="62" t="n"/>
      <c r="BD209" s="62" t="n"/>
      <c r="BE209" s="62" t="n"/>
      <c r="BF209" s="12" t="n"/>
      <c r="BG209" s="62" t="n"/>
      <c r="BH209" s="62" t="n"/>
      <c r="BI209" s="62" t="n"/>
      <c r="BJ209" s="62" t="n"/>
      <c r="BK209" s="12" t="n"/>
      <c r="BL209" s="62" t="n"/>
      <c r="BM209" s="62" t="n"/>
      <c r="BN209" s="62" t="n"/>
      <c r="BO209" s="62" t="n"/>
      <c r="BP209" s="12" t="n"/>
      <c r="BQ209" s="62" t="n"/>
      <c r="BR209" s="62" t="n"/>
      <c r="BS209" s="62" t="n"/>
      <c r="BT209" s="62" t="n"/>
      <c r="BU209" s="12" t="n"/>
      <c r="BV209" s="62" t="n"/>
      <c r="BW209" s="62" t="n"/>
      <c r="BX209" s="62" t="n"/>
      <c r="BY209" s="62" t="n"/>
      <c r="BZ209" s="12" t="n"/>
      <c r="CA209" s="62" t="n"/>
      <c r="CB209" s="62" t="n"/>
      <c r="CC209" s="62" t="n"/>
      <c r="CD209" s="62" t="n"/>
      <c r="CE209" s="12" t="n"/>
      <c r="CF209" s="62" t="n"/>
      <c r="CG209" s="62" t="n"/>
      <c r="CH209" s="62" t="n"/>
      <c r="CI209" s="62" t="n"/>
      <c r="CJ209" s="12" t="n"/>
      <c r="CK209" s="62" t="n"/>
      <c r="CL209" s="62" t="n"/>
      <c r="CM209" s="62" t="n"/>
      <c r="CN209" s="62" t="n"/>
      <c r="CO209" s="12" t="n"/>
      <c r="CP209" s="62" t="n"/>
      <c r="CQ209" s="62" t="n"/>
      <c r="CR209" s="62" t="n"/>
      <c r="CS209" s="62" t="n"/>
      <c r="CT209" s="12" t="n"/>
      <c r="CU209" s="62" t="n"/>
      <c r="CV209" s="62" t="n"/>
      <c r="CW209" s="62" t="n"/>
      <c r="CX209" s="62" t="n"/>
      <c r="CY209" s="12" t="n"/>
    </row>
    <row r="210" hidden="1" outlineLevel="1">
      <c r="C210" s="57" t="inlineStr">
        <is>
          <t>Long term debt</t>
        </is>
      </c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>
        <f>AH204</f>
        <v>0</v>
      </c>
      <c r="AI210" s="12">
        <f>AI204</f>
        <v>0</v>
      </c>
      <c r="AJ210" s="12">
        <f>AI210+SUM(AJ208:AJ209)</f>
        <v>0</v>
      </c>
      <c r="AK210" s="12">
        <f>AJ210+SUM(AK208:AK209)</f>
        <v>0</v>
      </c>
      <c r="AL210" s="12" t="n"/>
      <c r="AM210" s="12">
        <f>AK210+SUM(AM208:AM209)</f>
        <v>0</v>
      </c>
      <c r="AN210" s="12">
        <f>AM210+SUM(AN208:AN209)</f>
        <v>0</v>
      </c>
      <c r="AO210" s="12">
        <f>AN210+SUM(AO208:AO209)</f>
        <v>0</v>
      </c>
      <c r="AP210" s="12">
        <f>AO210+SUM(AP208:AP209)</f>
        <v>0</v>
      </c>
      <c r="AQ210" s="12" t="n"/>
      <c r="AR210" s="12">
        <f>AP210+SUM(AR208:AR209)</f>
        <v>0</v>
      </c>
      <c r="AS210" s="12">
        <f>AR210+SUM(AS208:AS209)</f>
        <v>0</v>
      </c>
      <c r="AT210" s="12">
        <f>AS210+SUM(AT208:AT209)</f>
        <v>0</v>
      </c>
      <c r="AU210" s="12">
        <f>AT210+SUM(AU208:AU209)</f>
        <v>0</v>
      </c>
      <c r="AV210" s="12" t="n"/>
      <c r="AW210" s="12">
        <f>AU210+SUM(AW208:AW209)</f>
        <v>0</v>
      </c>
      <c r="AX210" s="12">
        <f>AW210+SUM(AX208:AX209)</f>
        <v>0</v>
      </c>
      <c r="AY210" s="12">
        <f>AX210+SUM(AY208:AY209)</f>
        <v>0</v>
      </c>
      <c r="AZ210" s="12">
        <f>AY210+SUM(AZ208:AZ209)</f>
        <v>0</v>
      </c>
      <c r="BA210" s="12" t="n"/>
      <c r="BB210" s="12">
        <f>AZ210+SUM(BB208:BB209)</f>
        <v>0</v>
      </c>
      <c r="BC210" s="12">
        <f>BB210+SUM(BC208:BC209)</f>
        <v>0</v>
      </c>
      <c r="BD210" s="12">
        <f>BC210+SUM(BD208:BD209)</f>
        <v>0</v>
      </c>
      <c r="BE210" s="12">
        <f>BD210+SUM(BE208:BE209)</f>
        <v>0</v>
      </c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inlineStr">
        <is>
          <t>Discretionary (paydown)/borrowing of convertible debt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62" t="n"/>
      <c r="AI212" s="62" t="n"/>
      <c r="AJ212" s="62" t="n"/>
      <c r="AK212" s="62" t="n"/>
      <c r="AL212" s="12" t="n"/>
      <c r="AM212" s="62" t="n"/>
      <c r="AN212" s="62" t="n"/>
      <c r="AO212" s="62" t="n"/>
      <c r="AP212" s="62" t="n"/>
      <c r="AQ212" s="12" t="n"/>
      <c r="AR212" s="62" t="n"/>
      <c r="AS212" s="62" t="n"/>
      <c r="AT212" s="62" t="n"/>
      <c r="AU212" s="62" t="n"/>
      <c r="AV212" s="12" t="n"/>
      <c r="AW212" s="62" t="n"/>
      <c r="AX212" s="62" t="n"/>
      <c r="AY212" s="62" t="n"/>
      <c r="AZ212" s="62" t="n"/>
      <c r="BA212" s="12" t="n"/>
      <c r="BB212" s="62" t="n"/>
      <c r="BC212" s="62" t="n"/>
      <c r="BD212" s="62" t="n"/>
      <c r="BE212" s="62" t="n"/>
      <c r="BF212" s="12" t="n"/>
      <c r="BG212" s="62" t="n"/>
      <c r="BH212" s="62" t="n"/>
      <c r="BI212" s="62" t="n"/>
      <c r="BJ212" s="62" t="n"/>
      <c r="BK212" s="12" t="n"/>
      <c r="BL212" s="62" t="n"/>
      <c r="BM212" s="62" t="n"/>
      <c r="BN212" s="62" t="n"/>
      <c r="BO212" s="62" t="n"/>
      <c r="BP212" s="12" t="n"/>
      <c r="BQ212" s="62" t="n"/>
      <c r="BR212" s="62" t="n"/>
      <c r="BS212" s="62" t="n"/>
      <c r="BT212" s="62" t="n"/>
      <c r="BU212" s="12" t="n"/>
      <c r="BV212" s="62" t="n"/>
      <c r="BW212" s="62" t="n"/>
      <c r="BX212" s="62" t="n"/>
      <c r="BY212" s="62" t="n"/>
      <c r="BZ212" s="12" t="n"/>
      <c r="CA212" s="62" t="n"/>
      <c r="CB212" s="62" t="n"/>
      <c r="CC212" s="62" t="n"/>
      <c r="CD212" s="62" t="n"/>
      <c r="CE212" s="12" t="n"/>
      <c r="CF212" s="62" t="n"/>
      <c r="CG212" s="62" t="n"/>
      <c r="CH212" s="62" t="n"/>
      <c r="CI212" s="62" t="n"/>
      <c r="CJ212" s="12" t="n"/>
      <c r="CK212" s="62" t="n"/>
      <c r="CL212" s="62" t="n"/>
      <c r="CM212" s="62" t="n"/>
      <c r="CN212" s="62" t="n"/>
      <c r="CO212" s="12" t="n"/>
      <c r="CP212" s="62" t="n"/>
      <c r="CQ212" s="62" t="n"/>
      <c r="CR212" s="62" t="n"/>
      <c r="CS212" s="62" t="n"/>
      <c r="CT212" s="12" t="n"/>
      <c r="CU212" s="62" t="n"/>
      <c r="CV212" s="62" t="n"/>
      <c r="CW212" s="62" t="n"/>
      <c r="CX212" s="62" t="n"/>
      <c r="CY212" s="12" t="n"/>
    </row>
    <row r="213" hidden="1" outlineLevel="1">
      <c r="C213" s="57" t="inlineStr">
        <is>
          <t>Convertible debt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>
        <f>AH225</f>
        <v>0</v>
      </c>
      <c r="AI213" s="12">
        <f>AH213+SUM(AI212)</f>
        <v>0</v>
      </c>
      <c r="AJ213" s="12">
        <f>AI213+SUM(AJ212)</f>
        <v>0</v>
      </c>
      <c r="AK213" s="12">
        <f>AJ213+SUM(AK212)</f>
        <v>0</v>
      </c>
      <c r="AL213" s="12" t="n"/>
      <c r="AM213" s="12">
        <f>AM225</f>
        <v>0</v>
      </c>
      <c r="AN213" s="12">
        <f>AM213+SUM(AN212)</f>
        <v>0</v>
      </c>
      <c r="AO213" s="12">
        <f>AN213+SUM(AO212)</f>
        <v>0</v>
      </c>
      <c r="AP213" s="12">
        <f>AO213+SUM(AP212)</f>
        <v>0</v>
      </c>
      <c r="AQ213" s="12" t="n"/>
      <c r="AR213" s="12">
        <f>AR225</f>
        <v>0</v>
      </c>
      <c r="AS213" s="12">
        <f>AR213+SUM(AS212)</f>
        <v>0</v>
      </c>
      <c r="AT213" s="12">
        <f>AS213+SUM(AT212)</f>
        <v>0</v>
      </c>
      <c r="AU213" s="12">
        <f>AT213+SUM(AU212)</f>
        <v>0</v>
      </c>
      <c r="AV213" s="12" t="n"/>
      <c r="AW213" s="12">
        <f>AW225</f>
        <v>0</v>
      </c>
      <c r="AX213" s="12">
        <f>AW213+SUM(AX212)</f>
        <v>0</v>
      </c>
      <c r="AY213" s="12">
        <f>AX213+SUM(AY212)</f>
        <v>0</v>
      </c>
      <c r="AZ213" s="12">
        <f>AY213+SUM(AZ212)</f>
        <v>0</v>
      </c>
      <c r="BA213" s="12" t="n"/>
      <c r="BB213" s="12">
        <f>BB225</f>
        <v>0</v>
      </c>
      <c r="BC213" s="12">
        <f>BB213+SUM(BC212)</f>
        <v>0</v>
      </c>
      <c r="BD213" s="12">
        <f>BC213+SUM(BD212)</f>
        <v>0</v>
      </c>
      <c r="BE213" s="12">
        <f>BD213+SUM(BE212)</f>
        <v>0</v>
      </c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I214" s="12" t="n"/>
      <c r="AJ214" s="12" t="n"/>
      <c r="AK214" s="12" t="n"/>
      <c r="AL214" s="12" t="n"/>
      <c r="AN214" s="12" t="n"/>
      <c r="AO214" s="12" t="n"/>
      <c r="AP214" s="12" t="n"/>
      <c r="AQ214" s="12" t="n"/>
      <c r="AS214" s="12" t="n"/>
      <c r="AT214" s="12" t="n"/>
      <c r="AU214" s="12" t="n"/>
      <c r="AV214" s="12" t="n"/>
      <c r="AX214" s="12" t="n"/>
      <c r="AY214" s="12" t="n"/>
      <c r="AZ214" s="12" t="n"/>
      <c r="BA214" s="12" t="n"/>
      <c r="BC214" s="12" t="n"/>
      <c r="BD214" s="12" t="n"/>
      <c r="BE214" s="12" t="n"/>
      <c r="BF214" s="12" t="n"/>
      <c r="BH214" s="12" t="n"/>
      <c r="BI214" s="12" t="n"/>
      <c r="BJ214" s="12" t="n"/>
      <c r="BK214" s="12" t="n"/>
      <c r="BM214" s="12" t="n"/>
      <c r="BN214" s="12" t="n"/>
      <c r="BO214" s="12" t="n"/>
      <c r="BP214" s="12" t="n"/>
      <c r="BR214" s="12" t="n"/>
      <c r="BS214" s="12" t="n"/>
      <c r="BT214" s="12" t="n"/>
      <c r="BU214" s="12" t="n"/>
      <c r="BW214" s="12" t="n"/>
      <c r="BX214" s="12" t="n"/>
      <c r="BY214" s="12" t="n"/>
      <c r="BZ214" s="12" t="n"/>
      <c r="CB214" s="12" t="n"/>
      <c r="CC214" s="12" t="n"/>
      <c r="CD214" s="12" t="n"/>
      <c r="CE214" s="12" t="n"/>
      <c r="CG214" s="12" t="n"/>
      <c r="CH214" s="12" t="n"/>
      <c r="CI214" s="12" t="n"/>
      <c r="CJ214" s="12" t="n"/>
      <c r="CL214" s="12" t="n"/>
      <c r="CM214" s="12" t="n"/>
      <c r="CN214" s="12" t="n"/>
      <c r="CO214" s="12" t="n"/>
      <c r="CQ214" s="12" t="n"/>
      <c r="CR214" s="12" t="n"/>
      <c r="CS214" s="12" t="n"/>
      <c r="CT214" s="12" t="n"/>
      <c r="CV214" s="12" t="n"/>
      <c r="CW214" s="12" t="n"/>
      <c r="CX214" s="12" t="n"/>
      <c r="CY214" s="12" t="n"/>
    </row>
    <row r="215" hidden="1" outlineLevel="1">
      <c r="C215" s="57" t="inlineStr">
        <is>
          <t>Calculation of short term debt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inlineStr">
        <is>
          <t>Cash @ beginning of the period (end of last period)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63">
        <f>AG131</f>
        <v>6798</v>
      </c>
      <c r="AI216" s="12" t="n"/>
      <c r="AJ216" s="12" t="n"/>
      <c r="AK216" s="12" t="n"/>
      <c r="AL216" s="12" t="n"/>
      <c r="AM216" s="63">
        <f>AL131</f>
        <v>20222.7813840801</v>
      </c>
      <c r="AN216" s="12" t="n"/>
      <c r="AO216" s="12" t="n"/>
      <c r="AP216" s="12" t="n"/>
      <c r="AQ216" s="12" t="n"/>
      <c r="AR216" s="63">
        <f>AQ131</f>
        <v>27871.3831736302</v>
      </c>
      <c r="AS216" s="12" t="n"/>
      <c r="AT216" s="12" t="n"/>
      <c r="AU216" s="12" t="n"/>
      <c r="AV216" s="12" t="n"/>
      <c r="AW216" s="63">
        <f>AV131</f>
        <v>35596.3487468719</v>
      </c>
      <c r="AX216" s="12" t="n"/>
      <c r="AY216" s="12" t="n"/>
      <c r="AZ216" s="12" t="n"/>
      <c r="BA216" s="12" t="n"/>
      <c r="BB216" s="63">
        <f>BA131</f>
        <v>43359.8156933873</v>
      </c>
      <c r="BC216" s="12" t="n"/>
      <c r="BD216" s="12" t="n"/>
      <c r="BE216" s="12" t="n"/>
      <c r="BF216" s="12" t="n"/>
      <c r="BG216" s="63" t="n"/>
      <c r="BH216" s="12" t="n"/>
      <c r="BI216" s="12" t="n"/>
      <c r="BJ216" s="12" t="n"/>
      <c r="BK216" s="12" t="n"/>
      <c r="BL216" s="63" t="n"/>
      <c r="BM216" s="12" t="n"/>
      <c r="BN216" s="12" t="n"/>
      <c r="BO216" s="12" t="n"/>
      <c r="BP216" s="12" t="n"/>
      <c r="BQ216" s="63" t="n"/>
      <c r="BR216" s="12" t="n"/>
      <c r="BS216" s="12" t="n"/>
      <c r="BT216" s="12" t="n"/>
      <c r="BU216" s="12" t="n"/>
      <c r="BV216" s="63" t="n"/>
      <c r="BW216" s="12" t="n"/>
      <c r="BX216" s="12" t="n"/>
      <c r="BY216" s="12" t="n"/>
      <c r="BZ216" s="12" t="n"/>
      <c r="CA216" s="63" t="n"/>
      <c r="CB216" s="12" t="n"/>
      <c r="CC216" s="12" t="n"/>
      <c r="CD216" s="12" t="n"/>
      <c r="CE216" s="12" t="n"/>
      <c r="CF216" s="63" t="n"/>
      <c r="CG216" s="12" t="n"/>
      <c r="CH216" s="12" t="n"/>
      <c r="CI216" s="12" t="n"/>
      <c r="CJ216" s="12" t="n"/>
      <c r="CK216" s="63" t="n"/>
      <c r="CL216" s="12" t="n"/>
      <c r="CM216" s="12" t="n"/>
      <c r="CN216" s="12" t="n"/>
      <c r="CO216" s="12" t="n"/>
      <c r="CP216" s="63" t="n"/>
      <c r="CQ216" s="12" t="n"/>
      <c r="CR216" s="12" t="n"/>
      <c r="CS216" s="12" t="n"/>
      <c r="CT216" s="12" t="n"/>
      <c r="CU216" s="63" t="n"/>
      <c r="CV216" s="12" t="n"/>
      <c r="CW216" s="12" t="n"/>
      <c r="CX216" s="12" t="n"/>
      <c r="CY216" s="12" t="n"/>
    </row>
    <row r="217" hidden="1" outlineLevel="1">
      <c r="C217" s="57" t="inlineStr">
        <is>
          <t>Plus: Free cash flows prior to debt during period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inlineStr">
        <is>
          <t>% of sales</t>
        </is>
      </c>
      <c r="AH217" s="64">
        <f>(AH279+AH286)+SUM(AH289:AH295)</f>
        <v>-1094</v>
      </c>
      <c r="AI217" s="64">
        <f>(AI279+AI286)+SUM(AI289:AI295)</f>
        <v>-958</v>
      </c>
      <c r="AJ217" s="64">
        <f>(AJ279+AJ286)+SUM(AJ289:AJ295)</f>
        <v>0</v>
      </c>
      <c r="AK217" s="64">
        <f>(AK279+AK286)+SUM(AK289:AK295)</f>
        <v>-7.27595761418343e-12</v>
      </c>
      <c r="AL217" s="12" t="n"/>
      <c r="AM217" s="64">
        <f>(AM279+AM286)+SUM(AM289:AM295)</f>
        <v>0</v>
      </c>
      <c r="AN217" s="64">
        <f>(AN279+AN286)+SUM(AN289:AN295)</f>
        <v>0</v>
      </c>
      <c r="AO217" s="64">
        <f>(AO279+AO286)+SUM(AO289:AO295)</f>
        <v>0</v>
      </c>
      <c r="AP217" s="64">
        <f>(AP279+AP286)+SUM(AP289:AP295)</f>
        <v>0</v>
      </c>
      <c r="AQ217" s="12" t="n"/>
      <c r="AR217" s="64">
        <f>(AR279+AR286)+SUM(AR289:AR295)</f>
        <v>0</v>
      </c>
      <c r="AS217" s="64">
        <f>(AS279+AS286)+SUM(AS289:AS295)</f>
        <v>0</v>
      </c>
      <c r="AT217" s="64">
        <f>(AT279+AT286)+SUM(AT289:AT295)</f>
        <v>0</v>
      </c>
      <c r="AU217" s="64">
        <f>(AU279+AU286)+SUM(AU289:AU295)</f>
        <v>0</v>
      </c>
      <c r="AV217" s="12" t="n"/>
      <c r="AW217" s="64">
        <f>(AW279+AW286)+SUM(AW289:AW295)</f>
        <v>0</v>
      </c>
      <c r="AX217" s="64">
        <f>(AX279+AX286)+SUM(AX289:AX295)</f>
        <v>0</v>
      </c>
      <c r="AY217" s="64">
        <f>(AY279+AY286)+SUM(AY289:AY295)</f>
        <v>0</v>
      </c>
      <c r="AZ217" s="64">
        <f>(AZ279+AZ286)+SUM(AZ289:AZ295)</f>
        <v>0</v>
      </c>
      <c r="BA217" s="12" t="n"/>
      <c r="BB217" s="64">
        <f>(BB279+BB286)+SUM(BB289:BB295)</f>
        <v>0</v>
      </c>
      <c r="BC217" s="64">
        <f>(BC279+BC286)+SUM(BC289:BC295)</f>
        <v>0</v>
      </c>
      <c r="BD217" s="64">
        <f>(BD279+BD286)+SUM(BD289:BD295)</f>
        <v>0</v>
      </c>
      <c r="BE217" s="64">
        <f>(BE279+BE286)+SUM(BE289:BE295)</f>
        <v>0</v>
      </c>
      <c r="BF217" s="12" t="n"/>
      <c r="BG217" s="64" t="n"/>
      <c r="BH217" s="64" t="n"/>
      <c r="BI217" s="64" t="n"/>
      <c r="BJ217" s="64" t="n"/>
      <c r="BK217" s="12" t="n"/>
      <c r="BL217" s="64" t="n"/>
      <c r="BM217" s="64" t="n"/>
      <c r="BN217" s="64" t="n"/>
      <c r="BO217" s="64" t="n"/>
      <c r="BP217" s="12" t="n"/>
      <c r="BQ217" s="64" t="n"/>
      <c r="BR217" s="64" t="n"/>
      <c r="BS217" s="64" t="n"/>
      <c r="BT217" s="64" t="n"/>
      <c r="BU217" s="12" t="n"/>
      <c r="BV217" s="64" t="n"/>
      <c r="BW217" s="64" t="n"/>
      <c r="BX217" s="64" t="n"/>
      <c r="BY217" s="64" t="n"/>
      <c r="BZ217" s="12" t="n"/>
      <c r="CA217" s="64" t="n"/>
      <c r="CB217" s="64" t="n"/>
      <c r="CC217" s="64" t="n"/>
      <c r="CD217" s="64" t="n"/>
      <c r="CE217" s="12" t="n"/>
      <c r="CF217" s="64" t="n"/>
      <c r="CG217" s="64" t="n"/>
      <c r="CH217" s="64" t="n"/>
      <c r="CI217" s="64" t="n"/>
      <c r="CJ217" s="12" t="n"/>
      <c r="CK217" s="64" t="n"/>
      <c r="CL217" s="64" t="n"/>
      <c r="CM217" s="64" t="n"/>
      <c r="CN217" s="64" t="n"/>
      <c r="CO217" s="12" t="n"/>
      <c r="CP217" s="64" t="n"/>
      <c r="CQ217" s="64" t="n"/>
      <c r="CR217" s="64" t="n"/>
      <c r="CS217" s="64" t="n"/>
      <c r="CT217" s="12" t="n"/>
      <c r="CU217" s="64" t="n"/>
      <c r="CV217" s="64" t="n"/>
      <c r="CW217" s="64" t="n"/>
      <c r="CX217" s="64" t="n"/>
      <c r="CY217" s="12" t="n"/>
    </row>
    <row r="218" hidden="1" outlineLevel="1">
      <c r="C218" s="57" t="inlineStr">
        <is>
          <t>Less: Minimum cash balance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52" t="n"/>
      <c r="AH218" s="12">
        <f>($AG$218*AH15)</f>
        <v>0</v>
      </c>
      <c r="AI218" s="12">
        <f>($AG$218*AI15)</f>
        <v>0</v>
      </c>
      <c r="AJ218" s="12">
        <f>($AG$218*AJ15)</f>
        <v>0</v>
      </c>
      <c r="AK218" s="12">
        <f>($AG$218*AK15)</f>
        <v>0</v>
      </c>
      <c r="AL218" s="12" t="n"/>
      <c r="AM218" s="12">
        <f>($AG$218*AM15)</f>
        <v>0</v>
      </c>
      <c r="AN218" s="12">
        <f>($AG$218*AN15)</f>
        <v>0</v>
      </c>
      <c r="AO218" s="12">
        <f>($AG$218*AO15)</f>
        <v>0</v>
      </c>
      <c r="AP218" s="12">
        <f>($AG$218*AP15)</f>
        <v>0</v>
      </c>
      <c r="AQ218" s="12" t="n"/>
      <c r="AR218" s="12">
        <f>($AG$218*AR15)</f>
        <v>0</v>
      </c>
      <c r="AS218" s="12">
        <f>($AG$218*AS15)</f>
        <v>0</v>
      </c>
      <c r="AT218" s="12">
        <f>($AG$218*AT15)</f>
        <v>0</v>
      </c>
      <c r="AU218" s="12">
        <f>($AG$218*AU15)</f>
        <v>0</v>
      </c>
      <c r="AV218" s="12" t="n"/>
      <c r="AW218" s="12">
        <f>($AG$218*AW15)</f>
        <v>0</v>
      </c>
      <c r="AX218" s="12">
        <f>($AG$218*AX15)</f>
        <v>0</v>
      </c>
      <c r="AY218" s="12">
        <f>($AG$218*AY15)</f>
        <v>0</v>
      </c>
      <c r="AZ218" s="12">
        <f>($AG$218*AZ15)</f>
        <v>0</v>
      </c>
      <c r="BA218" s="12" t="n"/>
      <c r="BB218" s="12">
        <f>($AG$218*BB15)</f>
        <v>0</v>
      </c>
      <c r="BC218" s="12">
        <f>($AG$218*BC15)</f>
        <v>0</v>
      </c>
      <c r="BD218" s="12">
        <f>($AG$218*BD15)</f>
        <v>0</v>
      </c>
      <c r="BE218" s="12">
        <f>($AG$218*BE15)</f>
        <v>0</v>
      </c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inlineStr">
        <is>
          <t>Total cash available / (debt required) for short term debt paydown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3">
        <f>AH216+AH217-AH218-AF206+AH208+AH212</f>
        <v>5704</v>
      </c>
      <c r="AI219" s="3">
        <f>AI216+AI217-AI218-AG206+AI208+AI212</f>
        <v>-958</v>
      </c>
      <c r="AJ219" s="3">
        <f>AJ216+AJ217-AJ218-AH206+AJ208+AJ212</f>
        <v>-14392</v>
      </c>
      <c r="AK219" s="3">
        <f>AK216+AK217-AK218-AI206+AK208+AK212</f>
        <v>-7.27595761418343e-12</v>
      </c>
      <c r="AL219" s="12" t="n"/>
      <c r="AM219" s="3">
        <f>AM216+AM217-AM218-AK206+AM208+AM212</f>
        <v>20222.7813840801</v>
      </c>
      <c r="AN219" s="3">
        <f>AN216+AN217-AN218-AL206+AN208+AN212</f>
        <v>0</v>
      </c>
      <c r="AO219" s="3">
        <f>AO216+AO217-AO218-AM206+AO208+AO212</f>
        <v>-17115</v>
      </c>
      <c r="AP219" s="3">
        <f>AP216+AP217-AP218-AN206+AP208+AP212</f>
        <v>0</v>
      </c>
      <c r="AQ219" s="12" t="n"/>
      <c r="AR219" s="3">
        <f>AR216+AR217-AR218-AP206+AR208+AR212</f>
        <v>27871.3831736302</v>
      </c>
      <c r="AS219" s="3">
        <f>AS216+AS217-AS218-AQ206+AS208+AS212</f>
        <v>0</v>
      </c>
      <c r="AT219" s="3">
        <f>AT216+AT217-AT218-AR206+AT208+AT212</f>
        <v>-17115</v>
      </c>
      <c r="AU219" s="3">
        <f>AU216+AU217-AU218-AS206+AU208+AU212</f>
        <v>0</v>
      </c>
      <c r="AV219" s="12" t="n"/>
      <c r="AW219" s="3">
        <f>AW216+AW217-AW218-AU206+AW208+AW212</f>
        <v>35596.3487468719</v>
      </c>
      <c r="AX219" s="3">
        <f>AX216+AX217-AX218-AV206+AX208+AX212</f>
        <v>0</v>
      </c>
      <c r="AY219" s="3">
        <f>AY216+AY217-AY218-AW206+AY208+AY212</f>
        <v>-17115</v>
      </c>
      <c r="AZ219" s="3">
        <f>AZ216+AZ217-AZ218-AX206+AZ208+AZ212</f>
        <v>0</v>
      </c>
      <c r="BA219" s="12" t="n"/>
      <c r="BB219" s="3">
        <f>BB216+BB217-BB218-AZ206+BB208+BB212</f>
        <v>43359.8156933873</v>
      </c>
      <c r="BC219" s="3">
        <f>BC216+BC217-BC218-BA206+BC208+BC212</f>
        <v>0</v>
      </c>
      <c r="BD219" s="3">
        <f>BD216+BD217-BD218-BB206+BD208+BD212</f>
        <v>-17115</v>
      </c>
      <c r="BE219" s="3">
        <f>BE216+BE217-BE218-BC206+BE208+BE212</f>
        <v>0</v>
      </c>
      <c r="BF219" s="12" t="n"/>
      <c r="BG219" s="3" t="n"/>
      <c r="BH219" s="3" t="n"/>
      <c r="BI219" s="3" t="n"/>
      <c r="BJ219" s="3" t="n"/>
      <c r="BK219" s="12" t="n"/>
      <c r="BL219" s="3" t="n"/>
      <c r="BM219" s="3" t="n"/>
      <c r="BN219" s="3" t="n"/>
      <c r="BO219" s="3" t="n"/>
      <c r="BP219" s="12" t="n"/>
      <c r="BQ219" s="3" t="n"/>
      <c r="BR219" s="3" t="n"/>
      <c r="BS219" s="3" t="n"/>
      <c r="BT219" s="3" t="n"/>
      <c r="BU219" s="12" t="n"/>
      <c r="BV219" s="3" t="n"/>
      <c r="BW219" s="3" t="n"/>
      <c r="BX219" s="3" t="n"/>
      <c r="BY219" s="3" t="n"/>
      <c r="BZ219" s="12" t="n"/>
      <c r="CA219" s="3" t="n"/>
      <c r="CB219" s="3" t="n"/>
      <c r="CC219" s="3" t="n"/>
      <c r="CD219" s="3" t="n"/>
      <c r="CE219" s="12" t="n"/>
      <c r="CF219" s="3" t="n"/>
      <c r="CG219" s="3" t="n"/>
      <c r="CH219" s="3" t="n"/>
      <c r="CI219" s="3" t="n"/>
      <c r="CJ219" s="12" t="n"/>
      <c r="CK219" s="3" t="n"/>
      <c r="CL219" s="3" t="n"/>
      <c r="CM219" s="3" t="n"/>
      <c r="CN219" s="3" t="n"/>
      <c r="CO219" s="12" t="n"/>
      <c r="CP219" s="3" t="n"/>
      <c r="CQ219" s="3" t="n"/>
      <c r="CR219" s="3" t="n"/>
      <c r="CS219" s="3" t="n"/>
      <c r="CT219" s="12" t="n"/>
      <c r="CU219" s="3" t="n"/>
      <c r="CV219" s="3" t="n"/>
      <c r="CW219" s="3" t="n"/>
      <c r="CX219" s="3" t="n"/>
      <c r="CY219" s="12" t="n"/>
    </row>
    <row r="220" hidden="1" outlineLevel="1">
      <c r="C220" s="57" t="inlineStr">
        <is>
          <t>Short term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>
        <f>AH200</f>
        <v>0</v>
      </c>
      <c r="AI220" s="12">
        <f>MAX(0,AH220-AI219)</f>
        <v>958</v>
      </c>
      <c r="AJ220" s="12">
        <f>MAX(0,AI220-AJ219)</f>
        <v>15350</v>
      </c>
      <c r="AK220" s="12">
        <f>MAX(0,AJ220-AK219)</f>
        <v>15350</v>
      </c>
      <c r="AL220" s="12" t="n"/>
      <c r="AM220" s="12">
        <f>AM200</f>
        <v>0</v>
      </c>
      <c r="AN220" s="12">
        <f>MAX(0,AM220-AN219)</f>
        <v>0</v>
      </c>
      <c r="AO220" s="12">
        <f>MAX(0,AN220-AO219)</f>
        <v>17115</v>
      </c>
      <c r="AP220" s="12">
        <f>MAX(0,AO220-AP219)</f>
        <v>17115</v>
      </c>
      <c r="AQ220" s="12" t="n"/>
      <c r="AR220" s="12">
        <f>AR200</f>
        <v>0</v>
      </c>
      <c r="AS220" s="12">
        <f>MAX(0,AR220-AS219)</f>
        <v>0</v>
      </c>
      <c r="AT220" s="12">
        <f>MAX(0,AS220-AT219)</f>
        <v>17115</v>
      </c>
      <c r="AU220" s="12">
        <f>MAX(0,AT220-AU219)</f>
        <v>17115</v>
      </c>
      <c r="AV220" s="12" t="n"/>
      <c r="AW220" s="12">
        <f>AW200</f>
        <v>0</v>
      </c>
      <c r="AX220" s="12">
        <f>MAX(0,AW220-AX219)</f>
        <v>0</v>
      </c>
      <c r="AY220" s="12">
        <f>MAX(0,AX220-AY219)</f>
        <v>17115</v>
      </c>
      <c r="AZ220" s="12">
        <f>MAX(0,AY220-AZ219)</f>
        <v>17115</v>
      </c>
      <c r="BA220" s="12" t="n"/>
      <c r="BB220" s="12">
        <f>BB200</f>
        <v>0</v>
      </c>
      <c r="BC220" s="12">
        <f>MAX(0,BB220-BC219)</f>
        <v>0</v>
      </c>
      <c r="BD220" s="12">
        <f>MAX(0,BC220-BD219)</f>
        <v>17115</v>
      </c>
      <c r="BE220" s="12">
        <f>MAX(0,BD220-BE219)</f>
        <v>17115</v>
      </c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 collapsed="1">
      <c r="C222" s="14" t="inlineStr">
        <is>
          <t>Long term operating leases</t>
        </is>
      </c>
      <c r="D222" s="46" t="n"/>
      <c r="E222" s="46" t="n"/>
      <c r="F222" s="46" t="n"/>
      <c r="G222" s="46" t="n"/>
      <c r="H222" s="12" t="n"/>
      <c r="I222" s="46">
        <f>'Inputs (2)'!D36</f>
        <v>0</v>
      </c>
      <c r="J222" s="46">
        <f>'Inputs (2)'!E36</f>
        <v>0</v>
      </c>
      <c r="K222" s="46">
        <f>'Inputs (2)'!F36</f>
        <v>0</v>
      </c>
      <c r="L222" s="46">
        <f>'Inputs (2)'!G36</f>
        <v>0</v>
      </c>
      <c r="M222" s="12">
        <f>'Inputs (2)'!H36</f>
        <v>0</v>
      </c>
      <c r="N222" s="46">
        <f>'Inputs (2)'!I36</f>
        <v>0</v>
      </c>
      <c r="O222" s="46">
        <f>'Inputs (2)'!J36</f>
        <v>0</v>
      </c>
      <c r="P222" s="46">
        <f>'Inputs (2)'!K36</f>
        <v>0</v>
      </c>
      <c r="Q222" s="46">
        <f>'Inputs (2)'!L36</f>
        <v>0</v>
      </c>
      <c r="R222" s="12">
        <f>'Inputs (2)'!M36</f>
        <v>0</v>
      </c>
      <c r="S222" s="46">
        <f>'Inputs (2)'!N36</f>
        <v>0</v>
      </c>
      <c r="T222" s="46">
        <f>'Inputs (2)'!O36</f>
        <v>0</v>
      </c>
      <c r="U222" s="46">
        <f>'Inputs (2)'!P36</f>
        <v>0</v>
      </c>
      <c r="V222" s="46">
        <f>'Inputs (2)'!Q36</f>
        <v>0</v>
      </c>
      <c r="W222" s="12">
        <f>'Inputs (2)'!R36</f>
        <v>0</v>
      </c>
      <c r="X222" s="46">
        <f>'Inputs (2)'!S36</f>
        <v>0</v>
      </c>
      <c r="Y222" s="46">
        <f>'Inputs (2)'!T36</f>
        <v>0</v>
      </c>
      <c r="Z222" s="46">
        <f>'Inputs (2)'!U36</f>
        <v>0</v>
      </c>
      <c r="AA222" s="46">
        <f>'Inputs (2)'!V36</f>
        <v>0</v>
      </c>
      <c r="AB222" s="12">
        <f>'Inputs (2)'!W36</f>
        <v>0</v>
      </c>
      <c r="AC222" s="46">
        <f>'Inputs (2)'!X36</f>
        <v>0</v>
      </c>
      <c r="AD222" s="46">
        <f>'Inputs (2)'!Y36</f>
        <v>0</v>
      </c>
      <c r="AE222" s="46">
        <f>'Inputs (2)'!Z36</f>
        <v>0</v>
      </c>
      <c r="AF222" s="46">
        <f>'Inputs (2)'!AA36</f>
        <v>0</v>
      </c>
      <c r="AG222" s="12">
        <f>'Inputs (2)'!AB36</f>
        <v>0</v>
      </c>
      <c r="AH222" s="12">
        <f>'Inputs (2)'!AC36</f>
        <v>0</v>
      </c>
      <c r="AI222" s="12">
        <f>'Inputs (2)'!AD36</f>
        <v>0</v>
      </c>
      <c r="AJ222" s="12">
        <f>AI222</f>
        <v>0</v>
      </c>
      <c r="AK222" s="12">
        <f>AJ222</f>
        <v>0</v>
      </c>
      <c r="AL222" s="12">
        <f>AK222</f>
        <v>0</v>
      </c>
      <c r="AM222" s="12">
        <f>AL222</f>
        <v>0</v>
      </c>
      <c r="AN222" s="12">
        <f>AM222</f>
        <v>0</v>
      </c>
      <c r="AO222" s="12">
        <f>AN222</f>
        <v>0</v>
      </c>
      <c r="AP222" s="12">
        <f>AO222</f>
        <v>0</v>
      </c>
      <c r="AQ222" s="12">
        <f>AP222</f>
        <v>0</v>
      </c>
      <c r="AR222" s="12">
        <f>AQ222</f>
        <v>0</v>
      </c>
      <c r="AS222" s="12">
        <f>AR222</f>
        <v>0</v>
      </c>
      <c r="AT222" s="12">
        <f>AS222</f>
        <v>0</v>
      </c>
      <c r="AU222" s="12">
        <f>AT222</f>
        <v>0</v>
      </c>
      <c r="AV222" s="12">
        <f>AU222</f>
        <v>0</v>
      </c>
      <c r="AW222" s="12">
        <f>AV222</f>
        <v>0</v>
      </c>
      <c r="AX222" s="12">
        <f>AW222</f>
        <v>0</v>
      </c>
      <c r="AY222" s="12">
        <f>AX222</f>
        <v>0</v>
      </c>
      <c r="AZ222" s="12">
        <f>AY222</f>
        <v>0</v>
      </c>
      <c r="BA222" s="12">
        <f>AZ222</f>
        <v>0</v>
      </c>
      <c r="BB222" s="12">
        <f>BA222</f>
        <v>0</v>
      </c>
      <c r="BC222" s="12">
        <f>BB222</f>
        <v>0</v>
      </c>
      <c r="BD222" s="12">
        <f>BC222</f>
        <v>0</v>
      </c>
      <c r="BE222" s="12">
        <f>BD222</f>
        <v>0</v>
      </c>
      <c r="BF222" s="12">
        <f>BE222</f>
        <v>0</v>
      </c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9" t="inlineStr">
        <is>
          <t>%(Var.)</t>
        </is>
      </c>
      <c r="D223" s="12" t="n"/>
      <c r="E223" s="40" t="n"/>
      <c r="F223" s="40" t="n"/>
      <c r="G223" s="40" t="n"/>
      <c r="H223" s="12" t="n"/>
      <c r="I223" s="40" t="str">
        <f>""</f>
        <v/>
      </c>
      <c r="J223" s="40" t="str">
        <f>IFERROR(IF(I222=0,"",J222/I222-1),"")</f>
        <v/>
      </c>
      <c r="K223" s="40" t="str">
        <f>IFERROR(IF(J222=0,"",K222/J222-1),"")</f>
        <v/>
      </c>
      <c r="L223" s="40" t="str">
        <f>IFERROR(IF(K222=0,"",L222/K222-1),"")</f>
        <v/>
      </c>
      <c r="M223" s="12" t="str">
        <f>IF(L222=0,"",M222/L222-1)</f>
        <v/>
      </c>
      <c r="N223" s="40" t="str">
        <f>IFERROR(IF(M222=0,"",N222/M222-1),"")</f>
        <v/>
      </c>
      <c r="O223" s="40" t="str">
        <f>IFERROR(IF(N222=0,"",O222/N222-1),"")</f>
        <v/>
      </c>
      <c r="P223" s="40" t="str">
        <f>IFERROR(IF(O222=0,"",P222/O222-1),"")</f>
        <v/>
      </c>
      <c r="Q223" s="40" t="str">
        <f>IFERROR(IF(P222=0,"",Q222/P222-1),"")</f>
        <v/>
      </c>
      <c r="R223" s="12" t="str">
        <f>IF(Q222=0,"",R222/Q222-1)</f>
        <v/>
      </c>
      <c r="S223" s="40" t="str">
        <f>IFERROR(IF(R222=0,"",S222/R222-1),"")</f>
        <v/>
      </c>
      <c r="T223" s="40" t="str">
        <f>IFERROR(IF(S222=0,"",T222/S222-1),"")</f>
        <v/>
      </c>
      <c r="U223" s="40" t="str">
        <f>IFERROR(IF(T222=0,"",U222/T222-1),"")</f>
        <v/>
      </c>
      <c r="V223" s="40" t="str">
        <f>IFERROR(IF(U222=0,"",V222/U222-1),"")</f>
        <v/>
      </c>
      <c r="W223" s="12" t="str">
        <f>IF(V222=0,"",W222/V222-1)</f>
        <v/>
      </c>
      <c r="X223" s="40" t="str">
        <f>IFERROR(IF(W222=0,"",X222/W222-1),"")</f>
        <v/>
      </c>
      <c r="Y223" s="40" t="str">
        <f>IFERROR(IF(X222=0,"",Y222/X222-1),"")</f>
        <v/>
      </c>
      <c r="Z223" s="40" t="str">
        <f>IFERROR(IF(Y222=0,"",Z222/Y222-1),"")</f>
        <v/>
      </c>
      <c r="AA223" s="40" t="str">
        <f>IFERROR(IF(Z222=0,"",AA222/Z222-1),"")</f>
        <v/>
      </c>
      <c r="AB223" s="12" t="str">
        <f>IF(AA222=0,"",AB222/AA222-1)</f>
        <v/>
      </c>
      <c r="AC223" s="40" t="str">
        <f>IFERROR(IF(AB222=0,"",AC222/AB222-1),"")</f>
        <v/>
      </c>
      <c r="AD223" s="40" t="str">
        <f>IFERROR(IF(AC222=0,"",AD222/AC222-1),"")</f>
        <v/>
      </c>
      <c r="AE223" s="40" t="str">
        <f>IFERROR(IF(AD222=0,"",AE222/AD222-1),"")</f>
        <v/>
      </c>
      <c r="AF223" s="41" t="str">
        <f>IFERROR(IF(AE222=0,"",AF222/AE222-1),"")</f>
        <v/>
      </c>
      <c r="AG223" s="12" t="str">
        <f>IF(AF222=0,"",AG222/AF222-1)</f>
        <v/>
      </c>
      <c r="AH223" s="11" t="str">
        <f>IFERROR(IF(AG222=0,"",AH222/AG222-1),"")</f>
        <v/>
      </c>
      <c r="AI223" s="11" t="str">
        <f>IFERROR(IF(AH222=0,"",AI222/AH222-1),"")</f>
        <v/>
      </c>
      <c r="AJ223" s="11" t="str">
        <f>IFERROR(IF(AI222=0,"",AJ222/AI222-1),"")</f>
        <v/>
      </c>
      <c r="AK223" s="11" t="str">
        <f>IFERROR(IF(AJ222=0,"",AK222/AJ222-1),"")</f>
        <v/>
      </c>
      <c r="AL223" s="12" t="str">
        <f>IFERROR(IF(AK222=0,"",AL222/AK222-1),"")</f>
        <v/>
      </c>
      <c r="AM223" s="11" t="str">
        <f>IFERROR(IF(AL222=0,"",AM222/AL222-1),"")</f>
        <v/>
      </c>
      <c r="AN223" s="11" t="str">
        <f>IFERROR(IF(AM222=0,"",AN222/AM222-1),"")</f>
        <v/>
      </c>
      <c r="AO223" s="11" t="str">
        <f>IFERROR(IF(AN222=0,"",AO222/AN222-1),"")</f>
        <v/>
      </c>
      <c r="AP223" s="11" t="str">
        <f>IFERROR(IF(AO222=0,"",AP222/AO222-1),"")</f>
        <v/>
      </c>
      <c r="AQ223" s="12" t="str">
        <f>IFERROR(IF(AP222=0,"",AQ222/AP222-1),"")</f>
        <v/>
      </c>
      <c r="AR223" s="11" t="str">
        <f>IFERROR(IF(AQ222=0,"",AR222/AQ222-1),"")</f>
        <v/>
      </c>
      <c r="AS223" s="11" t="str">
        <f>IFERROR(IF(AR222=0,"",AS222/AR222-1),"")</f>
        <v/>
      </c>
      <c r="AT223" s="11" t="str">
        <f>IFERROR(IF(AS222=0,"",AT222/AS222-1),"")</f>
        <v/>
      </c>
      <c r="AU223" s="11" t="str">
        <f>IFERROR(IF(AT222=0,"",AU222/AT222-1),"")</f>
        <v/>
      </c>
      <c r="AV223" s="12" t="str">
        <f>IFERROR(IF(AU222=0,"",AV222/AU222-1),"")</f>
        <v/>
      </c>
      <c r="AW223" s="11" t="str">
        <f>IFERROR(IF(AV222=0,"",AW222/AV222-1),"")</f>
        <v/>
      </c>
      <c r="AX223" s="11" t="str">
        <f>IFERROR(IF(AW222=0,"",AX222/AW222-1),"")</f>
        <v/>
      </c>
      <c r="AY223" s="11" t="str">
        <f>IFERROR(IF(AX222=0,"",AY222/AX222-1),"")</f>
        <v/>
      </c>
      <c r="AZ223" s="11" t="str">
        <f>IFERROR(IF(AY222=0,"",AZ222/AY222-1),"")</f>
        <v/>
      </c>
      <c r="BA223" s="12" t="str">
        <f>IFERROR(IF(AZ222=0,"",BA222/AZ222-1),"")</f>
        <v/>
      </c>
      <c r="BB223" s="11" t="str">
        <f>IFERROR(IF(BA222=0,"",BB222/BA222-1),"")</f>
        <v/>
      </c>
      <c r="BC223" s="11" t="str">
        <f>IFERROR(IF(BB222=0,"",BC222/BB222-1),"")</f>
        <v/>
      </c>
      <c r="BD223" s="11" t="str">
        <f>IFERROR(IF(BC222=0,"",BD222/BC222-1),"")</f>
        <v/>
      </c>
      <c r="BE223" s="11" t="str">
        <f>IFERROR(IF(BD222=0,"",BE222/BD222-1),"")</f>
        <v/>
      </c>
      <c r="BF223" s="12" t="str">
        <f>IFERROR(IF(BE222=0,"",BF222/BE222-1),"")</f>
        <v/>
      </c>
      <c r="BG223" s="11" t="n"/>
      <c r="BH223" s="11" t="n"/>
      <c r="BI223" s="11" t="n"/>
      <c r="BJ223" s="11" t="n"/>
      <c r="BK223" s="12" t="n"/>
      <c r="BL223" s="11" t="n"/>
      <c r="BM223" s="11" t="n"/>
      <c r="BN223" s="11" t="n"/>
      <c r="BO223" s="11" t="n"/>
      <c r="BP223" s="12" t="n"/>
      <c r="BQ223" s="11" t="n"/>
      <c r="BR223" s="11" t="n"/>
      <c r="BS223" s="11" t="n"/>
      <c r="BT223" s="11" t="n"/>
      <c r="BU223" s="12" t="n"/>
      <c r="BV223" s="11" t="n"/>
      <c r="BW223" s="11" t="n"/>
      <c r="BX223" s="11" t="n"/>
      <c r="BY223" s="11" t="n"/>
      <c r="BZ223" s="12" t="n"/>
      <c r="CA223" s="11" t="n"/>
      <c r="CB223" s="11" t="n"/>
      <c r="CC223" s="11" t="n"/>
      <c r="CD223" s="11" t="n"/>
      <c r="CE223" s="12" t="n"/>
      <c r="CF223" s="11" t="n"/>
      <c r="CG223" s="11" t="n"/>
      <c r="CH223" s="11" t="n"/>
      <c r="CI223" s="11" t="n"/>
      <c r="CJ223" s="12" t="n"/>
      <c r="CK223" s="11" t="n"/>
      <c r="CL223" s="11" t="n"/>
      <c r="CM223" s="11" t="n"/>
      <c r="CN223" s="11" t="n"/>
      <c r="CO223" s="12" t="n"/>
      <c r="CP223" s="11" t="n"/>
      <c r="CQ223" s="11" t="n"/>
      <c r="CR223" s="11" t="n"/>
      <c r="CS223" s="11" t="n"/>
      <c r="CT223" s="12" t="n"/>
      <c r="CU223" s="11" t="n"/>
      <c r="CV223" s="11" t="n"/>
      <c r="CW223" s="11" t="n"/>
      <c r="CX223" s="11" t="n"/>
      <c r="CY223" s="12" t="n"/>
    </row>
    <row r="224" hidden="1" outlineLevel="1">
      <c r="C224" s="57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collapsed="1">
      <c r="C225" s="14" t="inlineStr">
        <is>
          <t>Convertible debt</t>
        </is>
      </c>
      <c r="D225" s="46" t="n"/>
      <c r="E225" s="46" t="n"/>
      <c r="F225" s="46" t="n"/>
      <c r="G225" s="46" t="n"/>
      <c r="H225" s="12" t="n"/>
      <c r="I225" s="46">
        <f>'Inputs (2)'!D37</f>
        <v>0</v>
      </c>
      <c r="J225" s="46">
        <f>'Inputs (2)'!E37</f>
        <v>0</v>
      </c>
      <c r="K225" s="46">
        <f>'Inputs (2)'!F37</f>
        <v>0</v>
      </c>
      <c r="L225" s="46">
        <f>'Inputs (2)'!G37</f>
        <v>0</v>
      </c>
      <c r="M225" s="12">
        <f>'Inputs (2)'!H37</f>
        <v>0</v>
      </c>
      <c r="N225" s="46">
        <f>'Inputs (2)'!I37</f>
        <v>0</v>
      </c>
      <c r="O225" s="46">
        <f>'Inputs (2)'!J37</f>
        <v>0</v>
      </c>
      <c r="P225" s="46">
        <f>'Inputs (2)'!K37</f>
        <v>0</v>
      </c>
      <c r="Q225" s="46">
        <f>'Inputs (2)'!L37</f>
        <v>0</v>
      </c>
      <c r="R225" s="12">
        <f>'Inputs (2)'!M37</f>
        <v>0</v>
      </c>
      <c r="S225" s="46">
        <f>'Inputs (2)'!N37</f>
        <v>0</v>
      </c>
      <c r="T225" s="46">
        <f>'Inputs (2)'!O37</f>
        <v>0</v>
      </c>
      <c r="U225" s="46">
        <f>'Inputs (2)'!P37</f>
        <v>0</v>
      </c>
      <c r="V225" s="46">
        <f>'Inputs (2)'!Q37</f>
        <v>0</v>
      </c>
      <c r="W225" s="12">
        <f>'Inputs (2)'!R37</f>
        <v>0</v>
      </c>
      <c r="X225" s="46">
        <f>'Inputs (2)'!S37</f>
        <v>0</v>
      </c>
      <c r="Y225" s="46">
        <f>'Inputs (2)'!T37</f>
        <v>0</v>
      </c>
      <c r="Z225" s="46">
        <f>'Inputs (2)'!U37</f>
        <v>0</v>
      </c>
      <c r="AA225" s="46">
        <f>'Inputs (2)'!V37</f>
        <v>0</v>
      </c>
      <c r="AB225" s="12">
        <f>'Inputs (2)'!W37</f>
        <v>0</v>
      </c>
      <c r="AC225" s="46">
        <f>'Inputs (2)'!X37</f>
        <v>0</v>
      </c>
      <c r="AD225" s="46">
        <f>'Inputs (2)'!Y37</f>
        <v>0</v>
      </c>
      <c r="AE225" s="46">
        <f>'Inputs (2)'!Z37</f>
        <v>0</v>
      </c>
      <c r="AF225" s="46">
        <f>'Inputs (2)'!AA37</f>
        <v>0</v>
      </c>
      <c r="AG225" s="12">
        <f>'Inputs (2)'!AB37</f>
        <v>0</v>
      </c>
      <c r="AH225" s="12">
        <f>'Inputs (2)'!AC37</f>
        <v>0</v>
      </c>
      <c r="AI225" s="12">
        <f>'Inputs (2)'!AD37</f>
        <v>0</v>
      </c>
      <c r="AJ225" s="12">
        <f>AI225</f>
        <v>0</v>
      </c>
      <c r="AK225" s="12">
        <f>AJ225</f>
        <v>0</v>
      </c>
      <c r="AL225" s="12">
        <f>AK225</f>
        <v>0</v>
      </c>
      <c r="AM225" s="12">
        <f>AL225</f>
        <v>0</v>
      </c>
      <c r="AN225" s="12">
        <f>AM225</f>
        <v>0</v>
      </c>
      <c r="AO225" s="12">
        <f>AN225</f>
        <v>0</v>
      </c>
      <c r="AP225" s="12">
        <f>AO225</f>
        <v>0</v>
      </c>
      <c r="AQ225" s="12">
        <f>AP225</f>
        <v>0</v>
      </c>
      <c r="AR225" s="12">
        <f>AQ225</f>
        <v>0</v>
      </c>
      <c r="AS225" s="12">
        <f>AR225</f>
        <v>0</v>
      </c>
      <c r="AT225" s="12">
        <f>AS225</f>
        <v>0</v>
      </c>
      <c r="AU225" s="12">
        <f>AT225</f>
        <v>0</v>
      </c>
      <c r="AV225" s="12">
        <f>AU225</f>
        <v>0</v>
      </c>
      <c r="AW225" s="12">
        <f>AV225</f>
        <v>0</v>
      </c>
      <c r="AX225" s="12">
        <f>AW225</f>
        <v>0</v>
      </c>
      <c r="AY225" s="12">
        <f>AX225</f>
        <v>0</v>
      </c>
      <c r="AZ225" s="12">
        <f>AY225</f>
        <v>0</v>
      </c>
      <c r="BA225" s="12">
        <f>AZ225</f>
        <v>0</v>
      </c>
      <c r="BB225" s="12">
        <f>BA225</f>
        <v>0</v>
      </c>
      <c r="BC225" s="12">
        <f>BB225</f>
        <v>0</v>
      </c>
      <c r="BD225" s="12">
        <f>BC225</f>
        <v>0</v>
      </c>
      <c r="BE225" s="12">
        <f>BD225</f>
        <v>0</v>
      </c>
      <c r="BF225" s="12">
        <f>BE225</f>
        <v>0</v>
      </c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>
      <c r="C226" s="14" t="inlineStr">
        <is>
          <t>Deferred income taxes</t>
        </is>
      </c>
      <c r="D226" s="46" t="n"/>
      <c r="E226" s="46" t="n"/>
      <c r="F226" s="46" t="n"/>
      <c r="G226" s="46" t="n"/>
      <c r="H226" s="12" t="n"/>
      <c r="I226" s="46">
        <f>'Inputs (2)'!D38</f>
        <v>533</v>
      </c>
      <c r="J226" s="46">
        <f>'Inputs (2)'!E38</f>
        <v>515</v>
      </c>
      <c r="K226" s="46">
        <f>'Inputs (2)'!F38</f>
        <v>576</v>
      </c>
      <c r="L226" s="46">
        <f>'Inputs (2)'!G38</f>
        <v>556</v>
      </c>
      <c r="M226" s="12">
        <f>'Inputs (2)'!H38</f>
        <v>556</v>
      </c>
      <c r="N226" s="46">
        <f>'Inputs (2)'!I38</f>
        <v>584</v>
      </c>
      <c r="O226" s="46">
        <f>'Inputs (2)'!J38</f>
        <v>561</v>
      </c>
      <c r="P226" s="46">
        <f>'Inputs (2)'!K38</f>
        <v>495</v>
      </c>
      <c r="Q226" s="46">
        <f>'Inputs (2)'!L38</f>
        <v>519</v>
      </c>
      <c r="R226" s="12">
        <f>'Inputs (2)'!M38</f>
        <v>519</v>
      </c>
      <c r="S226" s="46">
        <f>'Inputs (2)'!N38</f>
        <v>511</v>
      </c>
      <c r="T226" s="46">
        <f>'Inputs (2)'!O38</f>
        <v>506</v>
      </c>
      <c r="U226" s="46">
        <f>'Inputs (2)'!P38</f>
        <v>520</v>
      </c>
      <c r="V226" s="46">
        <f>'Inputs (2)'!Q38</f>
        <v>550</v>
      </c>
      <c r="W226" s="12">
        <f>'Inputs (2)'!R38</f>
        <v>550</v>
      </c>
      <c r="X226" s="46">
        <f>'Inputs (2)'!S38</f>
        <v>491</v>
      </c>
      <c r="Y226" s="46">
        <f>'Inputs (2)'!T38</f>
        <v>481</v>
      </c>
      <c r="Z226" s="46">
        <f>'Inputs (2)'!U38</f>
        <v>478</v>
      </c>
      <c r="AA226" s="46">
        <f>'Inputs (2)'!V38</f>
        <v>448</v>
      </c>
      <c r="AB226" s="12">
        <f>'Inputs (2)'!W38</f>
        <v>448</v>
      </c>
      <c r="AC226" s="46">
        <f>'Inputs (2)'!X38</f>
        <v>496</v>
      </c>
      <c r="AD226" s="46">
        <f>'Inputs (2)'!Y38</f>
        <v>489</v>
      </c>
      <c r="AE226" s="46">
        <f>'Inputs (2)'!Z38</f>
        <v>434</v>
      </c>
      <c r="AF226" s="46">
        <f>'Inputs (2)'!AA38</f>
        <v>434</v>
      </c>
      <c r="AG226" s="12">
        <f>'Inputs (2)'!AB38</f>
        <v>434</v>
      </c>
      <c r="AH226" s="12">
        <f>'Inputs (2)'!AC38</f>
        <v>422</v>
      </c>
      <c r="AI226" s="12">
        <f>'Inputs (2)'!AD38</f>
        <v>411</v>
      </c>
      <c r="AJ226" s="12">
        <f>AI226</f>
        <v>411</v>
      </c>
      <c r="AK226" s="12">
        <f>AJ226</f>
        <v>411</v>
      </c>
      <c r="AL226" s="12">
        <f>AK226</f>
        <v>411</v>
      </c>
      <c r="AM226" s="12">
        <f>AL226</f>
        <v>411</v>
      </c>
      <c r="AN226" s="12">
        <f>AM226</f>
        <v>411</v>
      </c>
      <c r="AO226" s="12">
        <f>AN226</f>
        <v>411</v>
      </c>
      <c r="AP226" s="12">
        <f>AO226</f>
        <v>411</v>
      </c>
      <c r="AQ226" s="12">
        <f>AP226</f>
        <v>411</v>
      </c>
      <c r="AR226" s="12">
        <f>AQ226</f>
        <v>411</v>
      </c>
      <c r="AS226" s="12">
        <f>AR226</f>
        <v>411</v>
      </c>
      <c r="AT226" s="12">
        <f>AS226</f>
        <v>411</v>
      </c>
      <c r="AU226" s="12">
        <f>AT226</f>
        <v>411</v>
      </c>
      <c r="AV226" s="12">
        <f>AU226</f>
        <v>411</v>
      </c>
      <c r="AW226" s="12">
        <f>AV226</f>
        <v>411</v>
      </c>
      <c r="AX226" s="12">
        <f>AW226</f>
        <v>411</v>
      </c>
      <c r="AY226" s="12">
        <f>AX226</f>
        <v>411</v>
      </c>
      <c r="AZ226" s="12">
        <f>AY226</f>
        <v>411</v>
      </c>
      <c r="BA226" s="12">
        <f>AZ226</f>
        <v>411</v>
      </c>
      <c r="BB226" s="12">
        <f>BA226</f>
        <v>411</v>
      </c>
      <c r="BC226" s="12">
        <f>BB226</f>
        <v>411</v>
      </c>
      <c r="BD226" s="12">
        <f>BC226</f>
        <v>411</v>
      </c>
      <c r="BE226" s="12">
        <f>BD226</f>
        <v>411</v>
      </c>
      <c r="BF226" s="12">
        <f>BE226</f>
        <v>411</v>
      </c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>
      <c r="C227" s="14" t="inlineStr">
        <is>
          <t>Other non-current liabilities</t>
        </is>
      </c>
      <c r="D227" s="46" t="n"/>
      <c r="E227" s="46" t="n"/>
      <c r="F227" s="46" t="n"/>
      <c r="G227" s="46" t="n"/>
      <c r="H227" s="12" t="n"/>
      <c r="I227" s="46">
        <f>'Inputs (2)'!D39</f>
        <v>0</v>
      </c>
      <c r="J227" s="46">
        <f>'Inputs (2)'!E39</f>
        <v>0</v>
      </c>
      <c r="K227" s="46">
        <f>'Inputs (2)'!F39</f>
        <v>0</v>
      </c>
      <c r="L227" s="46">
        <f>'Inputs (2)'!G39</f>
        <v>0</v>
      </c>
      <c r="M227" s="12">
        <f>'Inputs (2)'!H39</f>
        <v>0</v>
      </c>
      <c r="N227" s="46">
        <f>'Inputs (2)'!I39</f>
        <v>0</v>
      </c>
      <c r="O227" s="46">
        <f>'Inputs (2)'!J39</f>
        <v>0</v>
      </c>
      <c r="P227" s="46">
        <f>'Inputs (2)'!K39</f>
        <v>0</v>
      </c>
      <c r="Q227" s="46">
        <f>'Inputs (2)'!L39</f>
        <v>0</v>
      </c>
      <c r="R227" s="12">
        <f>'Inputs (2)'!M39</f>
        <v>0</v>
      </c>
      <c r="S227" s="46">
        <f>'Inputs (2)'!N39</f>
        <v>0</v>
      </c>
      <c r="T227" s="46">
        <f>'Inputs (2)'!O39</f>
        <v>0</v>
      </c>
      <c r="U227" s="46">
        <f>'Inputs (2)'!P39</f>
        <v>0</v>
      </c>
      <c r="V227" s="46">
        <f>'Inputs (2)'!Q39</f>
        <v>0</v>
      </c>
      <c r="W227" s="12">
        <f>'Inputs (2)'!R39</f>
        <v>0</v>
      </c>
      <c r="X227" s="46">
        <f>'Inputs (2)'!S39</f>
        <v>0</v>
      </c>
      <c r="Y227" s="46">
        <f>'Inputs (2)'!T39</f>
        <v>0</v>
      </c>
      <c r="Z227" s="46">
        <f>'Inputs (2)'!U39</f>
        <v>0</v>
      </c>
      <c r="AA227" s="46">
        <f>'Inputs (2)'!V39</f>
        <v>0</v>
      </c>
      <c r="AB227" s="12">
        <f>'Inputs (2)'!W39</f>
        <v>0</v>
      </c>
      <c r="AC227" s="46">
        <f>'Inputs (2)'!X39</f>
        <v>0</v>
      </c>
      <c r="AD227" s="46">
        <f>'Inputs (2)'!Y39</f>
        <v>0</v>
      </c>
      <c r="AE227" s="46">
        <f>'Inputs (2)'!Z39</f>
        <v>0</v>
      </c>
      <c r="AF227" s="46">
        <f>'Inputs (2)'!AA39</f>
        <v>0</v>
      </c>
      <c r="AG227" s="12">
        <f>'Inputs (2)'!AB39</f>
        <v>0</v>
      </c>
      <c r="AH227" s="12">
        <f>'Inputs (2)'!AC39</f>
        <v>0</v>
      </c>
      <c r="AI227" s="12">
        <f>'Inputs (2)'!AD39</f>
        <v>0</v>
      </c>
      <c r="AJ227" s="12">
        <f>AI227</f>
        <v>0</v>
      </c>
      <c r="AK227" s="12">
        <f>AJ227</f>
        <v>0</v>
      </c>
      <c r="AL227" s="12">
        <f>AK227</f>
        <v>0</v>
      </c>
      <c r="AM227" s="12">
        <f>AL227</f>
        <v>0</v>
      </c>
      <c r="AN227" s="12">
        <f>AM227</f>
        <v>0</v>
      </c>
      <c r="AO227" s="12">
        <f>AN227</f>
        <v>0</v>
      </c>
      <c r="AP227" s="12">
        <f>AO227</f>
        <v>0</v>
      </c>
      <c r="AQ227" s="12">
        <f>AP227</f>
        <v>0</v>
      </c>
      <c r="AR227" s="12">
        <f>AQ227</f>
        <v>0</v>
      </c>
      <c r="AS227" s="12">
        <f>AR227</f>
        <v>0</v>
      </c>
      <c r="AT227" s="12">
        <f>AS227</f>
        <v>0</v>
      </c>
      <c r="AU227" s="12">
        <f>AT227</f>
        <v>0</v>
      </c>
      <c r="AV227" s="12">
        <f>AU227</f>
        <v>0</v>
      </c>
      <c r="AW227" s="12">
        <f>AV227</f>
        <v>0</v>
      </c>
      <c r="AX227" s="12">
        <f>AW227</f>
        <v>0</v>
      </c>
      <c r="AY227" s="12">
        <f>AX227</f>
        <v>0</v>
      </c>
      <c r="AZ227" s="12">
        <f>AY227</f>
        <v>0</v>
      </c>
      <c r="BA227" s="12">
        <f>AZ227</f>
        <v>0</v>
      </c>
      <c r="BB227" s="12">
        <f>BA227</f>
        <v>0</v>
      </c>
      <c r="BC227" s="12">
        <f>BB227</f>
        <v>0</v>
      </c>
      <c r="BD227" s="12">
        <f>BC227</f>
        <v>0</v>
      </c>
      <c r="BE227" s="12">
        <f>BD227</f>
        <v>0</v>
      </c>
      <c r="BF227" s="12">
        <f>BE227</f>
        <v>0</v>
      </c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 ht="12" customHeight="1">
      <c r="C228" s="59" t="inlineStr">
        <is>
          <t>%(Var.)</t>
        </is>
      </c>
      <c r="D228" s="12" t="n"/>
      <c r="E228" s="40" t="n"/>
      <c r="F228" s="40" t="n"/>
      <c r="G228" s="40" t="n"/>
      <c r="H228" s="12" t="n"/>
      <c r="I228" s="40" t="str">
        <f>""</f>
        <v/>
      </c>
      <c r="J228" s="40" t="str">
        <f>IF(I227=0,"",J227/I227-1)</f>
        <v/>
      </c>
      <c r="K228" s="40" t="str">
        <f>IF(J227=0,"",K227/J227-1)</f>
        <v/>
      </c>
      <c r="L228" s="40" t="str">
        <f>IF(K227=0,"",L227/K227-1)</f>
        <v/>
      </c>
      <c r="M228" s="12" t="str">
        <f>IF(L227=0,"",M227/L227-1)</f>
        <v/>
      </c>
      <c r="N228" s="40" t="str">
        <f>IF(M227=0,"",N227/M227-1)</f>
        <v/>
      </c>
      <c r="O228" s="40" t="str">
        <f>IF(N227=0,"",O227/N227-1)</f>
        <v/>
      </c>
      <c r="P228" s="40" t="str">
        <f>IF(O227=0,"",P227/O227-1)</f>
        <v/>
      </c>
      <c r="Q228" s="40" t="str">
        <f>IF(P227=0,"",Q227/P227-1)</f>
        <v/>
      </c>
      <c r="R228" s="12" t="str">
        <f>IF(Q227=0,"",R227/Q227-1)</f>
        <v/>
      </c>
      <c r="S228" s="40" t="str">
        <f>IF(R227=0,"",S227/R227-1)</f>
        <v/>
      </c>
      <c r="T228" s="40" t="str">
        <f>IF(S227=0,"",T227/S227-1)</f>
        <v/>
      </c>
      <c r="U228" s="40" t="str">
        <f>IF(T227=0,"",U227/T227-1)</f>
        <v/>
      </c>
      <c r="V228" s="40" t="str">
        <f>IF(U227=0,"",V227/U227-1)</f>
        <v/>
      </c>
      <c r="W228" s="12" t="str">
        <f>IF(V227=0,"",W227/V227-1)</f>
        <v/>
      </c>
      <c r="X228" s="40" t="str">
        <f>IF(W227=0,"",X227/W227-1)</f>
        <v/>
      </c>
      <c r="Y228" s="40" t="str">
        <f>IF(X227=0,"",Y227/X227-1)</f>
        <v/>
      </c>
      <c r="Z228" s="40" t="str">
        <f>IF(Y227=0,"",Z227/Y227-1)</f>
        <v/>
      </c>
      <c r="AA228" s="40" t="str">
        <f>IF(Z227=0,"",AA227/Z227-1)</f>
        <v/>
      </c>
      <c r="AB228" s="12" t="str">
        <f>IF(AA227=0,"",AB227/AA227-1)</f>
        <v/>
      </c>
      <c r="AC228" s="40" t="str">
        <f>IF(AB227=0,"",AC227/AB227-1)</f>
        <v/>
      </c>
      <c r="AD228" s="40" t="str">
        <f>IF(AC227=0,"",AD227/AC227-1)</f>
        <v/>
      </c>
      <c r="AE228" s="40" t="str">
        <f>IF(AD227=0,"",AE227/AD227-1)</f>
        <v/>
      </c>
      <c r="AF228" s="41" t="str">
        <f>IF(AE227=0,"",AF227/AE227-1)</f>
        <v/>
      </c>
      <c r="AG228" s="12" t="str">
        <f>IF(AF227=0,"",AG227/AF227-1)</f>
        <v/>
      </c>
      <c r="AH228" s="41" t="str">
        <f>IF(AG227=0,"",AH227/AG227-1)</f>
        <v/>
      </c>
      <c r="AI228" s="41" t="str">
        <f>IF(AH227=0,"",AI227/AH227-1)</f>
        <v/>
      </c>
      <c r="AJ228" s="41" t="str">
        <f>IF(AI227=0,"",AJ227/AI227-1)</f>
        <v/>
      </c>
      <c r="AK228" s="41" t="str">
        <f>IF(AJ227=0,"",AK227/AJ227-1)</f>
        <v/>
      </c>
      <c r="AL228" s="12" t="str">
        <f>IF(AK227=0,"",AL227/AK227-1)</f>
        <v/>
      </c>
      <c r="AM228" s="41" t="str">
        <f>IF(AL227=0,"",AM227/AL227-1)</f>
        <v/>
      </c>
      <c r="AN228" s="41" t="str">
        <f>IF(AM227=0,"",AN227/AM227-1)</f>
        <v/>
      </c>
      <c r="AO228" s="41" t="str">
        <f>IF(AN227=0,"",AO227/AN227-1)</f>
        <v/>
      </c>
      <c r="AP228" s="41" t="str">
        <f>IF(AO227=0,"",AP227/AO227-1)</f>
        <v/>
      </c>
      <c r="AQ228" s="12" t="str">
        <f>IF(AP227=0,"",AQ227/AP227-1)</f>
        <v/>
      </c>
      <c r="AR228" s="41" t="str">
        <f>IF(AQ227=0,"",AR227/AQ227-1)</f>
        <v/>
      </c>
      <c r="AS228" s="41" t="str">
        <f>IF(AR227=0,"",AS227/AR227-1)</f>
        <v/>
      </c>
      <c r="AT228" s="41" t="str">
        <f>IF(AS227=0,"",AT227/AS227-1)</f>
        <v/>
      </c>
      <c r="AU228" s="41" t="str">
        <f>IF(AT227=0,"",AU227/AT227-1)</f>
        <v/>
      </c>
      <c r="AV228" s="12" t="str">
        <f>IF(AU227=0,"",AV227/AU227-1)</f>
        <v/>
      </c>
      <c r="AW228" s="41" t="str">
        <f>IF(AV227=0,"",AW227/AV227-1)</f>
        <v/>
      </c>
      <c r="AX228" s="41" t="str">
        <f>IF(AW227=0,"",AX227/AW227-1)</f>
        <v/>
      </c>
      <c r="AY228" s="41" t="str">
        <f>IF(AX227=0,"",AY227/AX227-1)</f>
        <v/>
      </c>
      <c r="AZ228" s="41" t="str">
        <f>IF(AY227=0,"",AZ227/AY227-1)</f>
        <v/>
      </c>
      <c r="BA228" s="12" t="str">
        <f>IF(AZ227=0,"",BA227/AZ227-1)</f>
        <v/>
      </c>
      <c r="BB228" s="41" t="str">
        <f>IF(BA227=0,"",BB227/BA227-1)</f>
        <v/>
      </c>
      <c r="BC228" s="41" t="str">
        <f>IF(BB227=0,"",BC227/BB227-1)</f>
        <v/>
      </c>
      <c r="BD228" s="41" t="str">
        <f>IF(BC227=0,"",BD227/BC227-1)</f>
        <v/>
      </c>
      <c r="BE228" s="41" t="str">
        <f>IF(BD227=0,"",BE227/BD227-1)</f>
        <v/>
      </c>
      <c r="BF228" s="12" t="str">
        <f>IF(BE227=0,"",BF227/BE227-1)</f>
        <v/>
      </c>
      <c r="BG228" s="41" t="n"/>
      <c r="BH228" s="41" t="n"/>
      <c r="BI228" s="41" t="n"/>
      <c r="BJ228" s="41" t="n"/>
      <c r="BK228" s="12" t="n"/>
      <c r="BL228" s="41" t="n"/>
      <c r="BM228" s="41" t="n"/>
      <c r="BN228" s="41" t="n"/>
      <c r="BO228" s="41" t="n"/>
      <c r="BP228" s="12" t="n"/>
      <c r="BQ228" s="41" t="n"/>
      <c r="BR228" s="41" t="n"/>
      <c r="BS228" s="41" t="n"/>
      <c r="BT228" s="41" t="n"/>
      <c r="BU228" s="12" t="n"/>
      <c r="BV228" s="41" t="n"/>
      <c r="BW228" s="41" t="n"/>
      <c r="BX228" s="41" t="n"/>
      <c r="BY228" s="41" t="n"/>
      <c r="BZ228" s="12" t="n"/>
      <c r="CA228" s="41" t="n"/>
      <c r="CB228" s="41" t="n"/>
      <c r="CC228" s="41" t="n"/>
      <c r="CD228" s="41" t="n"/>
      <c r="CE228" s="12" t="n"/>
      <c r="CF228" s="41" t="n"/>
      <c r="CG228" s="41" t="n"/>
      <c r="CH228" s="41" t="n"/>
      <c r="CI228" s="41" t="n"/>
      <c r="CJ228" s="12" t="n"/>
      <c r="CK228" s="41" t="n"/>
      <c r="CL228" s="41" t="n"/>
      <c r="CM228" s="41" t="n"/>
      <c r="CN228" s="41" t="n"/>
      <c r="CO228" s="12" t="n"/>
      <c r="CP228" s="41" t="n"/>
      <c r="CQ228" s="41" t="n"/>
      <c r="CR228" s="41" t="n"/>
      <c r="CS228" s="41" t="n"/>
      <c r="CT228" s="12" t="n"/>
      <c r="CU228" s="41" t="n"/>
      <c r="CV228" s="41" t="n"/>
      <c r="CW228" s="41" t="n"/>
      <c r="CX228" s="41" t="n"/>
      <c r="CY228" s="12" t="n"/>
    </row>
    <row r="229" hidden="1" outlineLevel="1" ht="12" customHeight="1">
      <c r="C229" s="59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7" t="inlineStr">
        <is>
          <t>Contas a pagar pela aquisição de controladas</t>
        </is>
      </c>
      <c r="D230" s="11" t="n"/>
      <c r="E230" s="11" t="n"/>
      <c r="F230" s="11" t="n"/>
      <c r="G230" s="11" t="n"/>
      <c r="H230" s="12" t="n"/>
      <c r="I230" s="11" t="n"/>
      <c r="J230" s="11" t="n"/>
      <c r="K230" s="11" t="n"/>
      <c r="L230" s="11" t="n"/>
      <c r="M230" s="12" t="n"/>
      <c r="N230" s="11" t="n"/>
      <c r="O230" s="11" t="n"/>
      <c r="P230" s="11" t="n"/>
      <c r="Q230" s="11" t="n"/>
      <c r="R230" s="12" t="n"/>
      <c r="S230" s="11" t="n"/>
      <c r="T230" s="11" t="n"/>
      <c r="U230" s="11" t="n"/>
      <c r="V230" s="11" t="n"/>
      <c r="W230" s="12" t="n"/>
      <c r="X230" s="11" t="n"/>
      <c r="Y230" s="11" t="n"/>
      <c r="Z230" s="11" t="n"/>
      <c r="AA230" s="11" t="n"/>
      <c r="AB230" s="12" t="n"/>
      <c r="AC230" s="11" t="n"/>
      <c r="AD230" s="11" t="n"/>
      <c r="AE230" s="11" t="n"/>
      <c r="AF230" s="11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 xml:space="preserve">Outras Obrigações </t>
        </is>
      </c>
      <c r="D231" s="11" t="n"/>
      <c r="E231" s="11" t="n"/>
      <c r="F231" s="11" t="n"/>
      <c r="G231" s="11" t="n"/>
      <c r="H231" s="12" t="n"/>
      <c r="I231" s="11" t="n"/>
      <c r="J231" s="11" t="n"/>
      <c r="K231" s="11" t="n"/>
      <c r="L231" s="11" t="n"/>
      <c r="M231" s="12" t="n"/>
      <c r="N231" s="11" t="n"/>
      <c r="O231" s="11" t="n"/>
      <c r="P231" s="11" t="n"/>
      <c r="Q231" s="11" t="n"/>
      <c r="R231" s="12" t="n"/>
      <c r="S231" s="11" t="n"/>
      <c r="T231" s="11" t="n"/>
      <c r="U231" s="11" t="n"/>
      <c r="V231" s="11" t="n"/>
      <c r="W231" s="12" t="n"/>
      <c r="X231" s="11" t="n"/>
      <c r="Y231" s="11" t="n"/>
      <c r="Z231" s="11" t="n"/>
      <c r="AA231" s="11" t="n"/>
      <c r="AB231" s="12" t="n"/>
      <c r="AC231" s="11" t="n"/>
      <c r="AD231" s="11" t="n"/>
      <c r="AE231" s="11" t="n"/>
      <c r="AF231" s="11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>
      <c r="C232" s="57" t="inlineStr">
        <is>
          <t xml:space="preserve">Provisão de Risco Cíveis, Trabalhistas e Tributários </t>
        </is>
      </c>
      <c r="D232" s="11" t="n"/>
      <c r="E232" s="11" t="n"/>
      <c r="F232" s="11" t="n"/>
      <c r="G232" s="11" t="n"/>
      <c r="H232" s="12" t="n"/>
      <c r="I232" s="11" t="n"/>
      <c r="J232" s="11" t="n"/>
      <c r="K232" s="11" t="n"/>
      <c r="L232" s="11" t="n"/>
      <c r="M232" s="12" t="n"/>
      <c r="N232" s="11" t="n"/>
      <c r="O232" s="11" t="n"/>
      <c r="P232" s="11" t="n"/>
      <c r="Q232" s="11" t="n"/>
      <c r="R232" s="12" t="n"/>
      <c r="S232" s="11" t="n"/>
      <c r="T232" s="11" t="n"/>
      <c r="U232" s="11" t="n"/>
      <c r="V232" s="11" t="n"/>
      <c r="W232" s="12" t="n"/>
      <c r="X232" s="11" t="n"/>
      <c r="Y232" s="11" t="n"/>
      <c r="Z232" s="11" t="n"/>
      <c r="AA232" s="11" t="n"/>
      <c r="AB232" s="12" t="n"/>
      <c r="AC232" s="11" t="n"/>
      <c r="AD232" s="11" t="n"/>
      <c r="AE232" s="11" t="n"/>
      <c r="AF232" s="11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>
      <c r="C233" s="57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collapsed="1" customFormat="1" s="32">
      <c r="A234" s="30" t="n"/>
      <c r="B234" s="30" t="n"/>
      <c r="C234" s="65" t="inlineStr">
        <is>
          <t>Total Liabilities</t>
        </is>
      </c>
      <c r="D234" s="35" t="n"/>
      <c r="E234" s="35" t="n"/>
      <c r="F234" s="35" t="n"/>
      <c r="G234" s="35" t="n"/>
      <c r="H234" s="35" t="n"/>
      <c r="I234" s="35">
        <f>SUM(I185+I189+I191+I192+I199+I200+I201+I204+I222+I225+I226+I227)</f>
        <v>63883</v>
      </c>
      <c r="J234" s="35">
        <f>SUM(J185+J189+J191+J192+J199+J200+J201+J204+J222+J225+J226+J227)</f>
        <v>64955</v>
      </c>
      <c r="K234" s="35">
        <f>SUM(K185+K189+K191+K192+K199+K200+K201+K204+K222+K225+K226+K227)</f>
        <v>65680</v>
      </c>
      <c r="L234" s="35">
        <f>SUM(L185+L189+L191+L192+L199+L200+L201+L204+L222+L225+L226+L227)</f>
        <v>61806</v>
      </c>
      <c r="M234" s="35">
        <f>SUM(M185,M189,M191,M192,M199,M200,M204,M201,M222,M225,M226,M227)</f>
        <v>61806</v>
      </c>
      <c r="N234" s="35">
        <f>SUM(N185+N189+N191+N192+N199+N200+N201+N204+N222+N225+N226+N227)</f>
        <v>65093</v>
      </c>
      <c r="O234" s="35">
        <f>SUM(O185+O189+O191+O192+O199+O200+O201+O204+O222+O225+O226+O227)</f>
        <v>67686</v>
      </c>
      <c r="P234" s="35">
        <f>SUM(P185+P189+P191+P192+P199+P200+P201+P204+P222+P225+P226+P227)</f>
        <v>69673</v>
      </c>
      <c r="Q234" s="35">
        <f>SUM(Q185+Q189+Q191+Q192+Q199+Q200+Q201+Q204+Q222+Q225+Q226+Q227)</f>
        <v>70184</v>
      </c>
      <c r="R234" s="35">
        <f>SUM(R185,R189,R191,R192,R199,R200,R204,R201,R222,R225,R226,R227)</f>
        <v>70184</v>
      </c>
      <c r="S234" s="35">
        <f>SUM(S185+S189+S191+S192+S199+S200+S201+S204+S222+S225+S226+S227)</f>
        <v>75846</v>
      </c>
      <c r="T234" s="35">
        <f>SUM(T185+T189+T191+T192+T199+T200+T201+T204+T222+T225+T226+T227)</f>
        <v>80245</v>
      </c>
      <c r="U234" s="35">
        <f>SUM(U185+U189+U191+U192+U199+U200+U201+U204+U222+U225+U226+U227)</f>
        <v>82201</v>
      </c>
      <c r="V234" s="35">
        <f>SUM(V185+V189+V191+V192+V199+V200+V201+V204+V222+V225+V226+V227)</f>
        <v>79192</v>
      </c>
      <c r="W234" s="35">
        <f>SUM(W185,W189,W191,W192,W199,W200,W204,W201,W222,W225,W226,W227)</f>
        <v>79192</v>
      </c>
      <c r="X234" s="35">
        <f>SUM(X185+X189+X191+X192+X199+X200+X201+X204+X222+X225+X226+X227)</f>
        <v>82842</v>
      </c>
      <c r="Y234" s="35">
        <f>SUM(Y185+Y189+Y191+Y192+Y199+Y200+Y201+Y204+Y222+Y225+Y226+Y227)</f>
        <v>84692</v>
      </c>
      <c r="Z234" s="35">
        <f>SUM(Z185+Z189+Z191+Z192+Z199+Z200+Z201+Z204+Z222+Z225+Z226+Z227)</f>
        <v>84395</v>
      </c>
      <c r="AA234" s="35">
        <f>SUM(AA185+AA189+AA191+AA192+AA199+AA200+AA201+AA204+AA222+AA225+AA226+AA227)</f>
        <v>80555</v>
      </c>
      <c r="AB234" s="35">
        <f>SUM(AB185,AB189,AB191,AB192,AB199,AB200,AB204,AB201,AB222,AB225,AB226,AB227)</f>
        <v>80555</v>
      </c>
      <c r="AC234" s="35">
        <f>SUM(AC185+AC189+AC191+AC192+AC199+AC200+AC201+AC204+AC222+AC225+AC226+AC227)</f>
        <v>81925</v>
      </c>
      <c r="AD234" s="35">
        <f>SUM(AD185+AD189+AD191+AD192+AD199+AD200+AD201+AD204+AD222+AD225+AD226+AD227)</f>
        <v>82553</v>
      </c>
      <c r="AE234" s="35">
        <f>SUM(AE185+AE189+AE191+AE192+AE199+AE200+AE201+AE204+AE222+AE225+AE226+AE227)</f>
        <v>79989</v>
      </c>
      <c r="AF234" s="35">
        <f>SUM(AF185+AF189+AF191+AF192+AF199+AF200+AF201+AF204+AF222+AF225+AF226+AF227)</f>
        <v>77079</v>
      </c>
      <c r="AG234" s="35">
        <f>SUM(AG185,AG189,AG191,AG192,AG199,AG200,AG204,AG201,AG222,AG225,AG226,AG227)</f>
        <v>77079</v>
      </c>
      <c r="AH234" s="35">
        <f>SUM(AH185+AH189+AH191+AH192+AH199+AH200+AH201+AH204+AH222+AH225+AH226+AH227)</f>
        <v>79541</v>
      </c>
      <c r="AI234" s="35">
        <f>SUM(AI185+AI189+AI191+AI192+AI199+AI200+AI201+AI204+AI222+AI225+AI226+AI227)</f>
        <v>79566</v>
      </c>
      <c r="AJ234" s="35">
        <f>SUM(AJ185+AJ189+AJ191+AJ192+AJ199+AJ200+AJ201+AJ204+AJ222+AJ225+AJ226+AJ227)</f>
        <v>79566</v>
      </c>
      <c r="AK234" s="35">
        <f>SUM(AK185+AK189+AK191+AK192+AK199+AK200+AK201+AK204+AK222+AK225+AK226+AK227)</f>
        <v>79566</v>
      </c>
      <c r="AL234" s="35">
        <f>SUM(AL185,AL189,AL191,AL192,AL199,AL200,AL204,AL201,AL222,AL225,AL226,AL227)</f>
        <v>79566</v>
      </c>
      <c r="AM234" s="35">
        <f>SUM(AM185+AM189+AM191+AM192+AM199+AM200+AM201+AM204+AM222+AM225+AM226+AM227)</f>
        <v>79566</v>
      </c>
      <c r="AN234" s="35">
        <f>SUM(AN185+AN189+AN191+AN192+AN199+AN200+AN201+AN204+AN222+AN225+AN226+AN227)</f>
        <v>79566</v>
      </c>
      <c r="AO234" s="35">
        <f>SUM(AO185+AO189+AO191+AO192+AO199+AO200+AO201+AO204+AO222+AO225+AO226+AO227)</f>
        <v>79566</v>
      </c>
      <c r="AP234" s="35">
        <f>SUM(AP185+AP189+AP191+AP192+AP199+AP200+AP201+AP204+AP222+AP225+AP226+AP227)</f>
        <v>79566</v>
      </c>
      <c r="AQ234" s="35">
        <f>SUM(AQ185,AQ189,AQ191,AQ192,AQ199,AQ200,AQ204,AQ201,AQ222,AQ225,AQ226,AQ227)</f>
        <v>79566</v>
      </c>
      <c r="AR234" s="35">
        <f>SUM(AR185+AR189+AR191+AR192+AR199+AR200+AR201+AR204+AR222+AR225+AR226+AR227)</f>
        <v>79566</v>
      </c>
      <c r="AS234" s="35">
        <f>SUM(AS185+AS189+AS191+AS192+AS199+AS200+AS201+AS204+AS222+AS225+AS226+AS227)</f>
        <v>79566</v>
      </c>
      <c r="AT234" s="35">
        <f>SUM(AT185+AT189+AT191+AT192+AT199+AT200+AT201+AT204+AT222+AT225+AT226+AT227)</f>
        <v>79566</v>
      </c>
      <c r="AU234" s="35">
        <f>SUM(AU185+AU189+AU191+AU192+AU199+AU200+AU201+AU204+AU222+AU225+AU226+AU227)</f>
        <v>79566</v>
      </c>
      <c r="AV234" s="35">
        <f>SUM(AV185,AV189,AV191,AV192,AV199,AV200,AV204,AV201,AV222,AV225,AV226,AV227)</f>
        <v>79566</v>
      </c>
      <c r="AW234" s="35">
        <f>SUM(AW185+AW189+AW191+AW192+AW199+AW200+AW201+AW204+AW222+AW225+AW226+AW227)</f>
        <v>79566</v>
      </c>
      <c r="AX234" s="35">
        <f>SUM(AX185+AX189+AX191+AX192+AX199+AX200+AX201+AX204+AX222+AX225+AX226+AX227)</f>
        <v>79566</v>
      </c>
      <c r="AY234" s="35">
        <f>SUM(AY185+AY189+AY191+AY192+AY199+AY200+AY201+AY204+AY222+AY225+AY226+AY227)</f>
        <v>79566</v>
      </c>
      <c r="AZ234" s="35">
        <f>SUM(AZ185+AZ189+AZ191+AZ192+AZ199+AZ200+AZ201+AZ204+AZ222+AZ225+AZ226+AZ227)</f>
        <v>79566</v>
      </c>
      <c r="BA234" s="35">
        <f>SUM(BA185,BA189,BA191,BA192,BA199,BA200,BA204,BA201,BA222,BA225,BA226,BA227)</f>
        <v>79566</v>
      </c>
      <c r="BB234" s="35">
        <f>SUM(BB185+BB189+BB191+BB192+BB199+BB200+BB201+BB204+BB222+BB225+BB226+BB227)</f>
        <v>79566</v>
      </c>
      <c r="BC234" s="35">
        <f>SUM(BC185+BC189+BC191+BC192+BC199+BC200+BC201+BC204+BC222+BC225+BC226+BC227)</f>
        <v>79566</v>
      </c>
      <c r="BD234" s="35">
        <f>SUM(BD185+BD189+BD191+BD192+BD199+BD200+BD201+BD204+BD222+BD225+BD226+BD227)</f>
        <v>79566</v>
      </c>
      <c r="BE234" s="35">
        <f>SUM(BE185+BE189+BE191+BE192+BE199+BE200+BE201+BE204+BE222+BE225+BE226+BE227)</f>
        <v>79566</v>
      </c>
      <c r="BF234" s="35">
        <f>SUM(BF185,BF189,BF191,BF192,BF199,BF200,BF204,BF201,BF222,BF225,BF226,BF227)</f>
        <v>79566</v>
      </c>
      <c r="BG234" s="35" t="n"/>
      <c r="BH234" s="35" t="n"/>
      <c r="BI234" s="35" t="n"/>
      <c r="BJ234" s="35" t="n"/>
      <c r="BK234" s="35" t="n"/>
      <c r="BL234" s="35" t="n"/>
      <c r="BM234" s="35" t="n"/>
      <c r="BN234" s="35" t="n"/>
      <c r="BO234" s="35" t="n"/>
      <c r="BP234" s="35" t="n"/>
      <c r="BQ234" s="35" t="n"/>
      <c r="BR234" s="35" t="n"/>
      <c r="BS234" s="35" t="n"/>
      <c r="BT234" s="35" t="n"/>
      <c r="BU234" s="35" t="n"/>
      <c r="BV234" s="35" t="n"/>
      <c r="BW234" s="35" t="n"/>
      <c r="BX234" s="35" t="n"/>
      <c r="BY234" s="35" t="n"/>
      <c r="BZ234" s="35" t="n"/>
      <c r="CA234" s="35" t="n"/>
      <c r="CB234" s="35" t="n"/>
      <c r="CC234" s="35" t="n"/>
      <c r="CD234" s="35" t="n"/>
      <c r="CE234" s="35" t="n"/>
      <c r="CF234" s="35" t="n"/>
      <c r="CG234" s="35" t="n"/>
      <c r="CH234" s="35" t="n"/>
      <c r="CI234" s="35" t="n"/>
      <c r="CJ234" s="35" t="n"/>
      <c r="CK234" s="35" t="n"/>
      <c r="CL234" s="35" t="n"/>
      <c r="CM234" s="35" t="n"/>
      <c r="CN234" s="35" t="n"/>
      <c r="CO234" s="35" t="n"/>
      <c r="CP234" s="35" t="n"/>
      <c r="CQ234" s="35" t="n"/>
      <c r="CR234" s="35" t="n"/>
      <c r="CS234" s="35" t="n"/>
      <c r="CT234" s="35" t="n"/>
      <c r="CU234" s="35" t="n"/>
      <c r="CV234" s="35" t="n"/>
      <c r="CW234" s="35" t="n"/>
      <c r="CX234" s="35" t="n"/>
      <c r="CY234" s="35" t="n"/>
    </row>
    <row r="235">
      <c r="C235" s="14" t="inlineStr">
        <is>
          <t>Minority interest</t>
        </is>
      </c>
      <c r="D235" s="46" t="n"/>
      <c r="E235" s="46" t="n"/>
      <c r="F235" s="46" t="n"/>
      <c r="G235" s="46" t="n"/>
      <c r="H235" s="12" t="n"/>
      <c r="I235" s="46">
        <f>'Inputs (2)'!D41</f>
        <v>4</v>
      </c>
      <c r="J235" s="46">
        <f>'Inputs (2)'!E41</f>
        <v>2</v>
      </c>
      <c r="K235" s="46">
        <f>'Inputs (2)'!F41</f>
        <v>3</v>
      </c>
      <c r="L235" s="46">
        <f>'Inputs (2)'!G41</f>
        <v>4</v>
      </c>
      <c r="M235" s="12">
        <f>'Inputs (2)'!H41</f>
        <v>4</v>
      </c>
      <c r="N235" s="46">
        <f>'Inputs (2)'!I41</f>
        <v>102</v>
      </c>
      <c r="O235" s="46">
        <f>'Inputs (2)'!J41</f>
        <v>98</v>
      </c>
      <c r="P235" s="46">
        <f>'Inputs (2)'!K41</f>
        <v>95</v>
      </c>
      <c r="Q235" s="46">
        <f>'Inputs (2)'!L41</f>
        <v>104</v>
      </c>
      <c r="R235" s="12">
        <f>'Inputs (2)'!M41</f>
        <v>104</v>
      </c>
      <c r="S235" s="46">
        <f>'Inputs (2)'!N41</f>
        <v>106</v>
      </c>
      <c r="T235" s="46">
        <f>'Inputs (2)'!O41</f>
        <v>104</v>
      </c>
      <c r="U235" s="46">
        <f>'Inputs (2)'!P41</f>
        <v>101</v>
      </c>
      <c r="V235" s="46">
        <f>'Inputs (2)'!Q41</f>
        <v>104</v>
      </c>
      <c r="W235" s="12">
        <f>'Inputs (2)'!R41</f>
        <v>104</v>
      </c>
      <c r="X235" s="46">
        <f>'Inputs (2)'!S41</f>
        <v>102</v>
      </c>
      <c r="Y235" s="46">
        <f>'Inputs (2)'!T41</f>
        <v>87</v>
      </c>
      <c r="Z235" s="46">
        <f>'Inputs (2)'!U41</f>
        <v>89</v>
      </c>
      <c r="AA235" s="46">
        <f>'Inputs (2)'!V41</f>
        <v>85</v>
      </c>
      <c r="AB235" s="12">
        <f>'Inputs (2)'!W41</f>
        <v>85</v>
      </c>
      <c r="AC235" s="46">
        <f>'Inputs (2)'!X41</f>
        <v>91</v>
      </c>
      <c r="AD235" s="46">
        <f>'Inputs (2)'!Y41</f>
        <v>89</v>
      </c>
      <c r="AE235" s="46">
        <f>'Inputs (2)'!Z41</f>
        <v>57</v>
      </c>
      <c r="AF235" s="46">
        <f>'Inputs (2)'!AA41</f>
        <v>57</v>
      </c>
      <c r="AG235" s="12">
        <f>'Inputs (2)'!AB41</f>
        <v>57</v>
      </c>
      <c r="AH235" s="12">
        <f>'Inputs (2)'!AC41</f>
        <v>54</v>
      </c>
      <c r="AI235" s="12">
        <f>'Inputs (2)'!AD41</f>
        <v>51</v>
      </c>
      <c r="AJ235" s="12">
        <f>AI235</f>
        <v>51</v>
      </c>
      <c r="AK235" s="12">
        <f>AJ235</f>
        <v>51</v>
      </c>
      <c r="AL235" s="12">
        <f>AK235</f>
        <v>51</v>
      </c>
      <c r="AM235" s="12">
        <f>AL235</f>
        <v>51</v>
      </c>
      <c r="AN235" s="12">
        <f>AM235</f>
        <v>51</v>
      </c>
      <c r="AO235" s="12">
        <f>AN235</f>
        <v>51</v>
      </c>
      <c r="AP235" s="12">
        <f>AO235</f>
        <v>51</v>
      </c>
      <c r="AQ235" s="12">
        <f>AP235</f>
        <v>51</v>
      </c>
      <c r="AR235" s="12">
        <f>AQ235</f>
        <v>51</v>
      </c>
      <c r="AS235" s="12">
        <f>AR235</f>
        <v>51</v>
      </c>
      <c r="AT235" s="12">
        <f>AS235</f>
        <v>51</v>
      </c>
      <c r="AU235" s="12">
        <f>AT235</f>
        <v>51</v>
      </c>
      <c r="AV235" s="12">
        <f>AU235</f>
        <v>51</v>
      </c>
      <c r="AW235" s="12">
        <f>AV235</f>
        <v>51</v>
      </c>
      <c r="AX235" s="12">
        <f>AW235</f>
        <v>51</v>
      </c>
      <c r="AY235" s="12">
        <f>AX235</f>
        <v>51</v>
      </c>
      <c r="AZ235" s="12">
        <f>AY235</f>
        <v>51</v>
      </c>
      <c r="BA235" s="12">
        <f>AZ235</f>
        <v>51</v>
      </c>
      <c r="BB235" s="12">
        <f>BA235</f>
        <v>51</v>
      </c>
      <c r="BC235" s="12">
        <f>BB235</f>
        <v>51</v>
      </c>
      <c r="BD235" s="12">
        <f>BC235</f>
        <v>51</v>
      </c>
      <c r="BE235" s="12">
        <f>BD235</f>
        <v>51</v>
      </c>
      <c r="BF235" s="12">
        <f>BE235</f>
        <v>51</v>
      </c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 customFormat="1" s="66">
      <c r="A236" s="37" t="n"/>
      <c r="B236" s="37" t="n"/>
      <c r="C236" s="59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  <c r="AO236" s="42" t="n"/>
      <c r="AP236" s="42" t="n"/>
      <c r="AQ236" s="42" t="n"/>
      <c r="AR236" s="42" t="n"/>
      <c r="AS236" s="42" t="n"/>
      <c r="AT236" s="42" t="n"/>
      <c r="AU236" s="42" t="n"/>
      <c r="AV236" s="42" t="n"/>
      <c r="AW236" s="42" t="n"/>
      <c r="AX236" s="42" t="n"/>
      <c r="AY236" s="42" t="n"/>
      <c r="AZ236" s="42" t="n"/>
      <c r="BA236" s="42" t="n"/>
      <c r="BB236" s="42" t="n"/>
      <c r="BC236" s="42" t="n"/>
      <c r="BD236" s="42" t="n"/>
      <c r="BE236" s="42" t="n"/>
      <c r="BF236" s="42" t="n"/>
      <c r="BG236" s="42" t="n"/>
      <c r="BH236" s="42" t="n"/>
      <c r="BI236" s="42" t="n"/>
      <c r="BJ236" s="42" t="n"/>
      <c r="BK236" s="42" t="n"/>
      <c r="BL236" s="42" t="n"/>
      <c r="BM236" s="42" t="n"/>
      <c r="BN236" s="42" t="n"/>
      <c r="BO236" s="42" t="n"/>
      <c r="BP236" s="42" t="n"/>
      <c r="BQ236" s="42" t="n"/>
      <c r="BR236" s="42" t="n"/>
      <c r="BS236" s="42" t="n"/>
      <c r="BT236" s="42" t="n"/>
      <c r="BU236" s="42" t="n"/>
      <c r="BV236" s="42" t="n"/>
      <c r="BW236" s="42" t="n"/>
      <c r="BX236" s="42" t="n"/>
      <c r="BY236" s="42" t="n"/>
      <c r="BZ236" s="42" t="n"/>
      <c r="CA236" s="42" t="n"/>
      <c r="CB236" s="42" t="n"/>
      <c r="CC236" s="42" t="n"/>
      <c r="CD236" s="42" t="n"/>
      <c r="CE236" s="42" t="n"/>
      <c r="CF236" s="42" t="n"/>
      <c r="CG236" s="42" t="n"/>
      <c r="CH236" s="42" t="n"/>
      <c r="CI236" s="42" t="n"/>
      <c r="CJ236" s="42" t="n"/>
      <c r="CK236" s="42" t="n"/>
      <c r="CL236" s="42" t="n"/>
      <c r="CM236" s="42" t="n"/>
      <c r="CN236" s="42" t="n"/>
      <c r="CO236" s="42" t="n"/>
      <c r="CP236" s="42" t="n"/>
      <c r="CQ236" s="42" t="n"/>
      <c r="CR236" s="42" t="n"/>
      <c r="CS236" s="42" t="n"/>
      <c r="CT236" s="42" t="n"/>
      <c r="CU236" s="42" t="n"/>
      <c r="CV236" s="42" t="n"/>
      <c r="CW236" s="42" t="n"/>
      <c r="CX236" s="42" t="n"/>
      <c r="CY236" s="42" t="n"/>
    </row>
    <row r="237" hidden="1" outlineLevel="1" customFormat="1" s="66">
      <c r="A237" s="37" t="n"/>
      <c r="B237" s="37" t="n"/>
      <c r="C237" s="57" t="inlineStr">
        <is>
          <t>Minority Interest Expense - % YoY</t>
        </is>
      </c>
      <c r="D237" s="42" t="n"/>
      <c r="E237" s="58" t="n"/>
      <c r="F237" s="42" t="n"/>
      <c r="G237" s="42" t="n"/>
      <c r="H237" s="58" t="n"/>
      <c r="I237" s="42" t="n"/>
      <c r="J237" s="58">
        <f>IF(I122=0,0,J122/I122-1)</f>
        <v>0</v>
      </c>
      <c r="K237" s="42" t="n"/>
      <c r="L237" s="42" t="n"/>
      <c r="M237" s="58" t="n"/>
      <c r="N237" s="58">
        <f>IF(I122=0,0,N122/I122-1)</f>
        <v>-0.333333333333333</v>
      </c>
      <c r="O237" s="58">
        <f>IF(J122=0,0,O122/J122-1)</f>
        <v>-1</v>
      </c>
      <c r="P237" s="58">
        <f>IF(K122=0,0,P122/K122-1)</f>
        <v>0</v>
      </c>
      <c r="Q237" s="58">
        <f>IF(L122=0,0,Q122/L122-1)</f>
        <v>-0.666666666666667</v>
      </c>
      <c r="R237" s="58" t="n"/>
      <c r="S237" s="58">
        <f>IF(N122=0,0,S122/N122-1)</f>
        <v>-0.666666666666667</v>
      </c>
      <c r="T237" s="58">
        <f>IF(O122=0,0,T122/O122-1)</f>
        <v>0</v>
      </c>
      <c r="U237" s="58">
        <f>IF(P122=0,0,U122/P122-1)</f>
        <v>0</v>
      </c>
      <c r="V237" s="58">
        <f>IF(Q122=0,0,V122/Q122-1)</f>
        <v>1</v>
      </c>
      <c r="W237" s="58">
        <f>IF(R123=0,0,W123/R123-1)</f>
        <v>1.75</v>
      </c>
      <c r="X237" s="58">
        <f>IF(S122=0,0,X122/S122-1)</f>
        <v>0</v>
      </c>
      <c r="Y237" s="58">
        <f>IF(T122=0,0,Y122/T122-1)</f>
        <v>-0.5</v>
      </c>
      <c r="Z237" s="58">
        <f>IF(U122=0,0,Z122/U122-1)</f>
        <v>-15</v>
      </c>
      <c r="AA237" s="58">
        <f>IF(V122=0,0,AA122/V122-1)</f>
        <v>-1.5</v>
      </c>
      <c r="AB237" s="58">
        <f>IF(W123=0,0,AB123/W123-1)</f>
        <v>-0.0909090909090909</v>
      </c>
      <c r="AC237" s="58">
        <f>IF(X122=0,0,AC122/X122-1)</f>
        <v>0.5</v>
      </c>
      <c r="AD237" s="58">
        <f>IF(Y122=0,0,AD122/Y122-1)</f>
        <v>9</v>
      </c>
      <c r="AE237" s="58">
        <f>IF(Z122=0,0,AE122/Z122-1)</f>
        <v>-0.607142857142857</v>
      </c>
      <c r="AF237" s="58">
        <f>IF(AA122=0,0,AF122/AA122-1)</f>
        <v>-16</v>
      </c>
      <c r="AG237" s="58">
        <f>IF(AB123=0,0,AG123/AB123-1)</f>
        <v>1.7</v>
      </c>
      <c r="AH237" s="62">
        <f>IF(AC122=0,0,AH122/AC122-1)</f>
        <v>-2.66666666666667</v>
      </c>
      <c r="AI237" s="62">
        <f>IF(AD122=0,0,AI122/AD122-1)</f>
        <v>1.4</v>
      </c>
      <c r="AJ237" s="62" t="n"/>
      <c r="AK237" s="62" t="n"/>
      <c r="AL237" s="58">
        <f>IF(AG123=0,0,AL123/AG123-1)</f>
        <v>-0.814814814814815</v>
      </c>
      <c r="AM237" s="62" t="n"/>
      <c r="AN237" s="62" t="n"/>
      <c r="AO237" s="62" t="n"/>
      <c r="AP237" s="62" t="n"/>
      <c r="AQ237" s="58">
        <f>IF(AL123=0,0,AQ123/AL123-1)</f>
        <v>-1</v>
      </c>
      <c r="AR237" s="62" t="n"/>
      <c r="AS237" s="62" t="n"/>
      <c r="AT237" s="62" t="n"/>
      <c r="AU237" s="62" t="n"/>
      <c r="AV237" s="58">
        <f>IF(AQ123=0,0,AV123/AQ123-1)</f>
        <v>0</v>
      </c>
      <c r="AW237" s="62" t="n"/>
      <c r="AX237" s="62" t="n"/>
      <c r="AY237" s="62" t="n"/>
      <c r="AZ237" s="62" t="n"/>
      <c r="BA237" s="58">
        <f>IF(AV123=0,0,BA123/AV123-1)</f>
        <v>0</v>
      </c>
      <c r="BB237" s="62" t="n"/>
      <c r="BC237" s="62" t="n"/>
      <c r="BD237" s="62" t="n"/>
      <c r="BE237" s="62" t="n"/>
      <c r="BF237" s="58">
        <f>IF(BA123=0,0,BF123/BA123-1)</f>
        <v>0</v>
      </c>
      <c r="BG237" s="62" t="n"/>
      <c r="BH237" s="62" t="n"/>
      <c r="BI237" s="62" t="n"/>
      <c r="BJ237" s="62" t="n"/>
      <c r="BK237" s="58" t="n"/>
      <c r="BL237" s="62" t="n"/>
      <c r="BM237" s="62" t="n"/>
      <c r="BN237" s="62" t="n"/>
      <c r="BO237" s="62" t="n"/>
      <c r="BP237" s="58" t="n"/>
      <c r="BQ237" s="62" t="n"/>
      <c r="BR237" s="62" t="n"/>
      <c r="BS237" s="62" t="n"/>
      <c r="BT237" s="62" t="n"/>
      <c r="BU237" s="58" t="n"/>
      <c r="BV237" s="62" t="n"/>
      <c r="BW237" s="62" t="n"/>
      <c r="BX237" s="62" t="n"/>
      <c r="BY237" s="62" t="n"/>
      <c r="BZ237" s="58" t="n"/>
      <c r="CA237" s="62" t="n"/>
      <c r="CB237" s="62" t="n"/>
      <c r="CC237" s="62" t="n"/>
      <c r="CD237" s="62" t="n"/>
      <c r="CE237" s="58" t="n"/>
      <c r="CF237" s="62" t="n"/>
      <c r="CG237" s="62" t="n"/>
      <c r="CH237" s="62" t="n"/>
      <c r="CI237" s="62" t="n"/>
      <c r="CJ237" s="58" t="n"/>
      <c r="CK237" s="62" t="n"/>
      <c r="CL237" s="62" t="n"/>
      <c r="CM237" s="62" t="n"/>
      <c r="CN237" s="62" t="n"/>
      <c r="CO237" s="58" t="n"/>
      <c r="CP237" s="62" t="n"/>
      <c r="CQ237" s="62" t="n"/>
      <c r="CR237" s="62" t="n"/>
      <c r="CS237" s="62" t="n"/>
      <c r="CT237" s="58" t="n"/>
      <c r="CU237" s="62" t="n"/>
      <c r="CV237" s="62" t="n"/>
      <c r="CW237" s="62" t="n"/>
      <c r="CX237" s="62" t="n"/>
      <c r="CY237" s="58" t="n"/>
    </row>
    <row r="238" hidden="1" outlineLevel="1" customFormat="1" s="66">
      <c r="A238" s="37" t="n"/>
      <c r="B238" s="37" t="n"/>
      <c r="C238" s="57" t="inlineStr">
        <is>
          <t>Dividends (enter as -)</t>
        </is>
      </c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62" t="n"/>
      <c r="AI238" s="62" t="n"/>
      <c r="AJ238" s="62" t="n"/>
      <c r="AK238" s="62" t="n"/>
      <c r="AL238" s="42" t="n"/>
      <c r="AM238" s="62" t="n"/>
      <c r="AN238" s="62" t="n"/>
      <c r="AO238" s="62" t="n"/>
      <c r="AP238" s="62" t="n"/>
      <c r="AQ238" s="42" t="n"/>
      <c r="AR238" s="62" t="n"/>
      <c r="AS238" s="62" t="n"/>
      <c r="AT238" s="62" t="n"/>
      <c r="AU238" s="62" t="n"/>
      <c r="AV238" s="42" t="n"/>
      <c r="AW238" s="62" t="n"/>
      <c r="AX238" s="62" t="n"/>
      <c r="AY238" s="62" t="n"/>
      <c r="AZ238" s="62" t="n"/>
      <c r="BA238" s="42" t="n"/>
      <c r="BB238" s="62" t="n"/>
      <c r="BC238" s="62" t="n"/>
      <c r="BD238" s="62" t="n"/>
      <c r="BE238" s="62" t="n"/>
      <c r="BF238" s="42" t="n"/>
      <c r="BG238" s="62" t="n"/>
      <c r="BH238" s="62" t="n"/>
      <c r="BI238" s="62" t="n"/>
      <c r="BJ238" s="62" t="n"/>
      <c r="BK238" s="42" t="n"/>
      <c r="BL238" s="62" t="n"/>
      <c r="BM238" s="62" t="n"/>
      <c r="BN238" s="62" t="n"/>
      <c r="BO238" s="62" t="n"/>
      <c r="BP238" s="42" t="n"/>
      <c r="BQ238" s="62" t="n"/>
      <c r="BR238" s="62" t="n"/>
      <c r="BS238" s="62" t="n"/>
      <c r="BT238" s="62" t="n"/>
      <c r="BU238" s="42" t="n"/>
      <c r="BV238" s="62" t="n"/>
      <c r="BW238" s="62" t="n"/>
      <c r="BX238" s="62" t="n"/>
      <c r="BY238" s="62" t="n"/>
      <c r="BZ238" s="42" t="n"/>
      <c r="CA238" s="62" t="n"/>
      <c r="CB238" s="62" t="n"/>
      <c r="CC238" s="62" t="n"/>
      <c r="CD238" s="62" t="n"/>
      <c r="CE238" s="42" t="n"/>
      <c r="CF238" s="62" t="n"/>
      <c r="CG238" s="62" t="n"/>
      <c r="CH238" s="62" t="n"/>
      <c r="CI238" s="62" t="n"/>
      <c r="CJ238" s="42" t="n"/>
      <c r="CK238" s="62" t="n"/>
      <c r="CL238" s="62" t="n"/>
      <c r="CM238" s="62" t="n"/>
      <c r="CN238" s="62" t="n"/>
      <c r="CO238" s="42" t="n"/>
      <c r="CP238" s="62" t="n"/>
      <c r="CQ238" s="62" t="n"/>
      <c r="CR238" s="62" t="n"/>
      <c r="CS238" s="62" t="n"/>
      <c r="CT238" s="42" t="n"/>
      <c r="CU238" s="62" t="n"/>
      <c r="CV238" s="62" t="n"/>
      <c r="CW238" s="62" t="n"/>
      <c r="CX238" s="62" t="n"/>
      <c r="CY238" s="42" t="n"/>
    </row>
    <row r="239" hidden="1" outlineLevel="1" customFormat="1" s="66">
      <c r="A239" s="37" t="n"/>
      <c r="B239" s="37" t="n"/>
      <c r="C239" s="59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  <c r="AO239" s="42" t="n"/>
      <c r="AP239" s="42" t="n"/>
      <c r="AQ239" s="42" t="n"/>
      <c r="AR239" s="42" t="n"/>
      <c r="AS239" s="42" t="n"/>
      <c r="AT239" s="42" t="n"/>
      <c r="AU239" s="42" t="n"/>
      <c r="AV239" s="42" t="n"/>
      <c r="AW239" s="42" t="n"/>
      <c r="AX239" s="42" t="n"/>
      <c r="AY239" s="42" t="n"/>
      <c r="AZ239" s="42" t="n"/>
      <c r="BA239" s="42" t="n"/>
      <c r="BB239" s="42" t="n"/>
      <c r="BC239" s="42" t="n"/>
      <c r="BD239" s="42" t="n"/>
      <c r="BE239" s="42" t="n"/>
      <c r="BF239" s="42" t="n"/>
      <c r="BG239" s="42" t="n"/>
      <c r="BH239" s="42" t="n"/>
      <c r="BI239" s="42" t="n"/>
      <c r="BJ239" s="42" t="n"/>
      <c r="BK239" s="42" t="n"/>
      <c r="BL239" s="42" t="n"/>
      <c r="BM239" s="42" t="n"/>
      <c r="BN239" s="42" t="n"/>
      <c r="BO239" s="42" t="n"/>
      <c r="BP239" s="42" t="n"/>
      <c r="BQ239" s="42" t="n"/>
      <c r="BR239" s="42" t="n"/>
      <c r="BS239" s="42" t="n"/>
      <c r="BT239" s="42" t="n"/>
      <c r="BU239" s="42" t="n"/>
      <c r="BV239" s="42" t="n"/>
      <c r="BW239" s="42" t="n"/>
      <c r="BX239" s="42" t="n"/>
      <c r="BY239" s="42" t="n"/>
      <c r="BZ239" s="42" t="n"/>
      <c r="CA239" s="42" t="n"/>
      <c r="CB239" s="42" t="n"/>
      <c r="CC239" s="42" t="n"/>
      <c r="CD239" s="42" t="n"/>
      <c r="CE239" s="42" t="n"/>
      <c r="CF239" s="42" t="n"/>
      <c r="CG239" s="42" t="n"/>
      <c r="CH239" s="42" t="n"/>
      <c r="CI239" s="42" t="n"/>
      <c r="CJ239" s="42" t="n"/>
      <c r="CK239" s="42" t="n"/>
      <c r="CL239" s="42" t="n"/>
      <c r="CM239" s="42" t="n"/>
      <c r="CN239" s="42" t="n"/>
      <c r="CO239" s="42" t="n"/>
      <c r="CP239" s="42" t="n"/>
      <c r="CQ239" s="42" t="n"/>
      <c r="CR239" s="42" t="n"/>
      <c r="CS239" s="42" t="n"/>
      <c r="CT239" s="42" t="n"/>
      <c r="CU239" s="42" t="n"/>
      <c r="CV239" s="42" t="n"/>
      <c r="CW239" s="42" t="n"/>
      <c r="CX239" s="42" t="n"/>
      <c r="CY239" s="42" t="n"/>
    </row>
    <row r="240" collapsed="1">
      <c r="C240" s="14" t="inlineStr">
        <is>
          <t>Convertible Preferred Stock</t>
        </is>
      </c>
      <c r="D240" s="46" t="n"/>
      <c r="E240" s="46" t="n"/>
      <c r="F240" s="46" t="n"/>
      <c r="G240" s="46" t="n"/>
      <c r="H240" s="12" t="n"/>
      <c r="I240" s="46">
        <f>'Inputs (2)'!D42</f>
        <v>0</v>
      </c>
      <c r="J240" s="46">
        <f>'Inputs (2)'!E42</f>
        <v>0</v>
      </c>
      <c r="K240" s="46">
        <f>'Inputs (2)'!F42</f>
        <v>0</v>
      </c>
      <c r="L240" s="46">
        <f>'Inputs (2)'!G42</f>
        <v>0</v>
      </c>
      <c r="M240" s="12">
        <f>'Inputs (2)'!H42</f>
        <v>0</v>
      </c>
      <c r="N240" s="46">
        <f>'Inputs (2)'!I42</f>
        <v>0</v>
      </c>
      <c r="O240" s="46">
        <f>'Inputs (2)'!J42</f>
        <v>0</v>
      </c>
      <c r="P240" s="46">
        <f>'Inputs (2)'!K42</f>
        <v>0</v>
      </c>
      <c r="Q240" s="46">
        <f>'Inputs (2)'!L42</f>
        <v>0</v>
      </c>
      <c r="R240" s="12">
        <f>'Inputs (2)'!M42</f>
        <v>0</v>
      </c>
      <c r="S240" s="46">
        <f>'Inputs (2)'!N42</f>
        <v>0</v>
      </c>
      <c r="T240" s="46">
        <f>'Inputs (2)'!O42</f>
        <v>0</v>
      </c>
      <c r="U240" s="46">
        <f>'Inputs (2)'!P42</f>
        <v>0</v>
      </c>
      <c r="V240" s="46">
        <f>'Inputs (2)'!Q42</f>
        <v>0</v>
      </c>
      <c r="W240" s="12">
        <f>'Inputs (2)'!R42</f>
        <v>0</v>
      </c>
      <c r="X240" s="46">
        <f>'Inputs (2)'!S42</f>
        <v>0</v>
      </c>
      <c r="Y240" s="46">
        <f>'Inputs (2)'!T42</f>
        <v>0</v>
      </c>
      <c r="Z240" s="46">
        <f>'Inputs (2)'!U42</f>
        <v>0</v>
      </c>
      <c r="AA240" s="46">
        <f>'Inputs (2)'!V42</f>
        <v>0</v>
      </c>
      <c r="AB240" s="12">
        <f>'Inputs (2)'!W42</f>
        <v>0</v>
      </c>
      <c r="AC240" s="46">
        <f>'Inputs (2)'!X42</f>
        <v>0</v>
      </c>
      <c r="AD240" s="46">
        <f>'Inputs (2)'!Y42</f>
        <v>0</v>
      </c>
      <c r="AE240" s="46">
        <f>'Inputs (2)'!Z42</f>
        <v>0</v>
      </c>
      <c r="AF240" s="46">
        <f>'Inputs (2)'!AA42</f>
        <v>0</v>
      </c>
      <c r="AG240" s="12">
        <f>'Inputs (2)'!AB42</f>
        <v>0</v>
      </c>
      <c r="AH240" s="12">
        <f>'Inputs (2)'!AC42</f>
        <v>0</v>
      </c>
      <c r="AI240" s="12">
        <f>'Inputs (2)'!AD42</f>
        <v>0</v>
      </c>
      <c r="AJ240" s="12">
        <f>AI240</f>
        <v>0</v>
      </c>
      <c r="AK240" s="12">
        <f>AJ240</f>
        <v>0</v>
      </c>
      <c r="AL240" s="12">
        <f>AK240</f>
        <v>0</v>
      </c>
      <c r="AM240" s="12">
        <f>AL240</f>
        <v>0</v>
      </c>
      <c r="AN240" s="12">
        <f>AM240</f>
        <v>0</v>
      </c>
      <c r="AO240" s="12">
        <f>AN240</f>
        <v>0</v>
      </c>
      <c r="AP240" s="12">
        <f>AO240</f>
        <v>0</v>
      </c>
      <c r="AQ240" s="12">
        <f>AP240</f>
        <v>0</v>
      </c>
      <c r="AR240" s="12">
        <f>AQ240</f>
        <v>0</v>
      </c>
      <c r="AS240" s="12">
        <f>AR240</f>
        <v>0</v>
      </c>
      <c r="AT240" s="12">
        <f>AS240</f>
        <v>0</v>
      </c>
      <c r="AU240" s="12">
        <f>AT240</f>
        <v>0</v>
      </c>
      <c r="AV240" s="12">
        <f>AU240</f>
        <v>0</v>
      </c>
      <c r="AW240" s="12">
        <f>AV240</f>
        <v>0</v>
      </c>
      <c r="AX240" s="12">
        <f>AW240</f>
        <v>0</v>
      </c>
      <c r="AY240" s="12">
        <f>AX240</f>
        <v>0</v>
      </c>
      <c r="AZ240" s="12">
        <f>AY240</f>
        <v>0</v>
      </c>
      <c r="BA240" s="12">
        <f>AZ240</f>
        <v>0</v>
      </c>
      <c r="BB240" s="12">
        <f>BA240</f>
        <v>0</v>
      </c>
      <c r="BC240" s="12">
        <f>BB240</f>
        <v>0</v>
      </c>
      <c r="BD240" s="12">
        <f>BC240</f>
        <v>0</v>
      </c>
      <c r="BE240" s="12">
        <f>BD240</f>
        <v>0</v>
      </c>
      <c r="BF240" s="12">
        <f>BE240</f>
        <v>0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>
      <c r="C241" s="13" t="inlineStr">
        <is>
          <t>Common Stock and APIC</t>
        </is>
      </c>
      <c r="D241" s="46" t="n"/>
      <c r="E241" s="46" t="n"/>
      <c r="F241" s="46" t="n"/>
      <c r="G241" s="46" t="n"/>
      <c r="H241" s="12" t="n"/>
      <c r="I241" s="46">
        <f>'Inputs (2)'!D43</f>
        <v>4999</v>
      </c>
      <c r="J241" s="46">
        <f>'Inputs (2)'!E43</f>
        <v>5031</v>
      </c>
      <c r="K241" s="46">
        <f>'Inputs (2)'!F43</f>
        <v>5054</v>
      </c>
      <c r="L241" s="46">
        <f>'Inputs (2)'!G43</f>
        <v>5066</v>
      </c>
      <c r="M241" s="12">
        <f>'Inputs (2)'!H43</f>
        <v>5066</v>
      </c>
      <c r="N241" s="46">
        <f>'Inputs (2)'!I43</f>
        <v>5117</v>
      </c>
      <c r="O241" s="46">
        <f>'Inputs (2)'!J43</f>
        <v>5139</v>
      </c>
      <c r="P241" s="46">
        <f>'Inputs (2)'!K43</f>
        <v>5165</v>
      </c>
      <c r="Q241" s="46">
        <f>'Inputs (2)'!L43</f>
        <v>5191</v>
      </c>
      <c r="R241" s="12">
        <f>'Inputs (2)'!M43</f>
        <v>5191</v>
      </c>
      <c r="S241" s="46">
        <f>'Inputs (2)'!N43</f>
        <v>5227</v>
      </c>
      <c r="T241" s="46">
        <f>'Inputs (2)'!O43</f>
        <v>5272</v>
      </c>
      <c r="U241" s="46">
        <f>'Inputs (2)'!P43</f>
        <v>5303</v>
      </c>
      <c r="V241" s="46">
        <f>'Inputs (2)'!Q43</f>
        <v>5335</v>
      </c>
      <c r="W241" s="12">
        <f>'Inputs (2)'!R43</f>
        <v>5335</v>
      </c>
      <c r="X241" s="46">
        <f>'Inputs (2)'!S43</f>
        <v>5391</v>
      </c>
      <c r="Y241" s="46">
        <f>'Inputs (2)'!T43</f>
        <v>5441</v>
      </c>
      <c r="Z241" s="46">
        <f>'Inputs (2)'!U43</f>
        <v>5489</v>
      </c>
      <c r="AA241" s="46">
        <f>'Inputs (2)'!V43</f>
        <v>5526</v>
      </c>
      <c r="AB241" s="12">
        <f>'Inputs (2)'!W43</f>
        <v>5526</v>
      </c>
      <c r="AC241" s="46">
        <f>'Inputs (2)'!X43</f>
        <v>5565</v>
      </c>
      <c r="AD241" s="46">
        <f>'Inputs (2)'!Y43</f>
        <v>5620</v>
      </c>
      <c r="AE241" s="46">
        <f>'Inputs (2)'!Z43</f>
        <v>5668</v>
      </c>
      <c r="AF241" s="46">
        <f>'Inputs (2)'!AA43</f>
        <v>5715</v>
      </c>
      <c r="AG241" s="12">
        <f>'Inputs (2)'!AB43</f>
        <v>5715</v>
      </c>
      <c r="AH241" s="12">
        <f>'Inputs (2)'!AC43</f>
        <v>5777</v>
      </c>
      <c r="AI241" s="12">
        <f>'Inputs (2)'!AD43</f>
        <v>5826</v>
      </c>
      <c r="AJ241" s="12">
        <f>AI241+AJ245</f>
        <v>5826</v>
      </c>
      <c r="AK241" s="12">
        <f>AJ241+AK245</f>
        <v>5826</v>
      </c>
      <c r="AL241" s="12">
        <f>AK241</f>
        <v>5826</v>
      </c>
      <c r="AM241" s="12">
        <f>AL241+AM245</f>
        <v>5826</v>
      </c>
      <c r="AN241" s="12">
        <f>AM241+AN245</f>
        <v>5826</v>
      </c>
      <c r="AO241" s="12">
        <f>AN241+AO245</f>
        <v>5826</v>
      </c>
      <c r="AP241" s="12">
        <f>AO241+AP245</f>
        <v>5826</v>
      </c>
      <c r="AQ241" s="12">
        <f>AP241</f>
        <v>5826</v>
      </c>
      <c r="AR241" s="12">
        <f>AQ241+AR245</f>
        <v>5826</v>
      </c>
      <c r="AS241" s="12">
        <f>AR241+AS245</f>
        <v>5826</v>
      </c>
      <c r="AT241" s="12">
        <f>AS241+AT245</f>
        <v>5826</v>
      </c>
      <c r="AU241" s="12">
        <f>AT241+AU245</f>
        <v>5826</v>
      </c>
      <c r="AV241" s="12">
        <f>AU241</f>
        <v>5826</v>
      </c>
      <c r="AW241" s="12">
        <f>AV241+AW245</f>
        <v>5826</v>
      </c>
      <c r="AX241" s="12">
        <f>AW241+AX245</f>
        <v>5826</v>
      </c>
      <c r="AY241" s="12">
        <f>AX241+AY245</f>
        <v>5826</v>
      </c>
      <c r="AZ241" s="12">
        <f>AY241+AZ245</f>
        <v>5826</v>
      </c>
      <c r="BA241" s="12">
        <f>AZ241</f>
        <v>5826</v>
      </c>
      <c r="BB241" s="12">
        <f>BA241+BB245</f>
        <v>5826</v>
      </c>
      <c r="BC241" s="12">
        <f>BB241+BC245</f>
        <v>5826</v>
      </c>
      <c r="BD241" s="12">
        <f>BC241+BD245</f>
        <v>5826</v>
      </c>
      <c r="BE241" s="12">
        <f>BD241+BE245</f>
        <v>5826</v>
      </c>
      <c r="BF241" s="12">
        <f>BE241</f>
        <v>5826</v>
      </c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hidden="1" outlineLevel="1" customFormat="1" s="66">
      <c r="A242" s="37" t="n"/>
      <c r="B242" s="37" t="n"/>
      <c r="C242" s="67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  <c r="AO242" s="42" t="n"/>
      <c r="AP242" s="42" t="n"/>
      <c r="AQ242" s="42" t="n"/>
      <c r="AR242" s="42" t="n"/>
      <c r="AS242" s="42" t="n"/>
      <c r="AT242" s="42" t="n"/>
      <c r="AU242" s="42" t="n"/>
      <c r="AV242" s="42" t="n"/>
      <c r="AW242" s="42" t="n"/>
      <c r="AX242" s="42" t="n"/>
      <c r="AY242" s="42" t="n"/>
      <c r="AZ242" s="42" t="n"/>
      <c r="BA242" s="42" t="n"/>
      <c r="BB242" s="42" t="n"/>
      <c r="BC242" s="42" t="n"/>
      <c r="BD242" s="42" t="n"/>
      <c r="BE242" s="42" t="n"/>
      <c r="BF242" s="42" t="n"/>
      <c r="BG242" s="42" t="n"/>
      <c r="BH242" s="42" t="n"/>
      <c r="BI242" s="42" t="n"/>
      <c r="BJ242" s="42" t="n"/>
      <c r="BK242" s="42" t="n"/>
      <c r="BL242" s="42" t="n"/>
      <c r="BM242" s="42" t="n"/>
      <c r="BN242" s="42" t="n"/>
      <c r="BO242" s="42" t="n"/>
      <c r="BP242" s="42" t="n"/>
      <c r="BQ242" s="42" t="n"/>
      <c r="BR242" s="42" t="n"/>
      <c r="BS242" s="42" t="n"/>
      <c r="BT242" s="42" t="n"/>
      <c r="BU242" s="42" t="n"/>
      <c r="BV242" s="42" t="n"/>
      <c r="BW242" s="42" t="n"/>
      <c r="BX242" s="42" t="n"/>
      <c r="BY242" s="42" t="n"/>
      <c r="BZ242" s="42" t="n"/>
      <c r="CA242" s="42" t="n"/>
      <c r="CB242" s="42" t="n"/>
      <c r="CC242" s="42" t="n"/>
      <c r="CD242" s="42" t="n"/>
      <c r="CE242" s="42" t="n"/>
      <c r="CF242" s="42" t="n"/>
      <c r="CG242" s="42" t="n"/>
      <c r="CH242" s="42" t="n"/>
      <c r="CI242" s="42" t="n"/>
      <c r="CJ242" s="42" t="n"/>
      <c r="CK242" s="42" t="n"/>
      <c r="CL242" s="42" t="n"/>
      <c r="CM242" s="42" t="n"/>
      <c r="CN242" s="42" t="n"/>
      <c r="CO242" s="42" t="n"/>
      <c r="CP242" s="42" t="n"/>
      <c r="CQ242" s="42" t="n"/>
      <c r="CR242" s="42" t="n"/>
      <c r="CS242" s="42" t="n"/>
      <c r="CT242" s="42" t="n"/>
      <c r="CU242" s="42" t="n"/>
      <c r="CV242" s="42" t="n"/>
      <c r="CW242" s="42" t="n"/>
      <c r="CX242" s="42" t="n"/>
      <c r="CY242" s="42" t="n"/>
    </row>
    <row r="243" hidden="1" outlineLevel="1" customFormat="1" s="66">
      <c r="A243" s="37" t="n"/>
      <c r="B243" s="37" t="n"/>
      <c r="C243" s="67" t="inlineStr">
        <is>
          <t>Diluted Shares outstanding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  <c r="BL243" s="42" t="n"/>
      <c r="BM243" s="42" t="n"/>
      <c r="BN243" s="42" t="n"/>
      <c r="BO243" s="42" t="n"/>
      <c r="BP243" s="42" t="n"/>
      <c r="BQ243" s="42" t="n"/>
      <c r="BR243" s="42" t="n"/>
      <c r="BS243" s="42" t="n"/>
      <c r="BT243" s="42" t="n"/>
      <c r="BU243" s="42" t="n"/>
      <c r="BV243" s="42" t="n"/>
      <c r="BW243" s="42" t="n"/>
      <c r="BX243" s="42" t="n"/>
      <c r="BY243" s="42" t="n"/>
      <c r="BZ243" s="42" t="n"/>
      <c r="CA243" s="42" t="n"/>
      <c r="CB243" s="42" t="n"/>
      <c r="CC243" s="42" t="n"/>
      <c r="CD243" s="42" t="n"/>
      <c r="CE243" s="42" t="n"/>
      <c r="CF243" s="42" t="n"/>
      <c r="CG243" s="42" t="n"/>
      <c r="CH243" s="42" t="n"/>
      <c r="CI243" s="42" t="n"/>
      <c r="CJ243" s="42" t="n"/>
      <c r="CK243" s="42" t="n"/>
      <c r="CL243" s="42" t="n"/>
      <c r="CM243" s="42" t="n"/>
      <c r="CN243" s="42" t="n"/>
      <c r="CO243" s="42" t="n"/>
      <c r="CP243" s="42" t="n"/>
      <c r="CQ243" s="42" t="n"/>
      <c r="CR243" s="42" t="n"/>
      <c r="CS243" s="42" t="n"/>
      <c r="CT243" s="42" t="n"/>
      <c r="CU243" s="42" t="n"/>
      <c r="CV243" s="42" t="n"/>
      <c r="CW243" s="42" t="n"/>
      <c r="CX243" s="42" t="n"/>
      <c r="CY243" s="42" t="n"/>
    </row>
    <row r="244" hidden="1" outlineLevel="1" customFormat="1" s="66">
      <c r="A244" s="37" t="n"/>
      <c r="B244" s="37" t="n"/>
      <c r="C244" s="67" t="inlineStr">
        <is>
          <t>Treasury share $ repurchases</t>
        </is>
      </c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11" t="n"/>
      <c r="AI244" s="11" t="n"/>
      <c r="AJ244" s="11" t="n"/>
      <c r="AK244" s="11" t="n"/>
      <c r="AL244" s="42" t="n"/>
      <c r="AM244" s="11" t="n"/>
      <c r="AN244" s="11" t="n"/>
      <c r="AO244" s="11" t="n"/>
      <c r="AP244" s="11" t="n"/>
      <c r="AQ244" s="42" t="n"/>
      <c r="AR244" s="11" t="n"/>
      <c r="AS244" s="11" t="n"/>
      <c r="AT244" s="11" t="n"/>
      <c r="AU244" s="11" t="n"/>
      <c r="AV244" s="42" t="n"/>
      <c r="AW244" s="11" t="n"/>
      <c r="AX244" s="11" t="n"/>
      <c r="AY244" s="11" t="n"/>
      <c r="AZ244" s="11" t="n"/>
      <c r="BA244" s="42" t="n"/>
      <c r="BB244" s="11" t="n"/>
      <c r="BC244" s="11" t="n"/>
      <c r="BD244" s="11" t="n"/>
      <c r="BE244" s="11" t="n"/>
      <c r="BF244" s="42" t="n"/>
      <c r="BG244" s="11" t="n"/>
      <c r="BH244" s="11" t="n"/>
      <c r="BI244" s="11" t="n"/>
      <c r="BJ244" s="11" t="n"/>
      <c r="BK244" s="42" t="n"/>
      <c r="BL244" s="11" t="n"/>
      <c r="BM244" s="11" t="n"/>
      <c r="BN244" s="11" t="n"/>
      <c r="BO244" s="11" t="n"/>
      <c r="BP244" s="42" t="n"/>
      <c r="BQ244" s="11" t="n"/>
      <c r="BR244" s="11" t="n"/>
      <c r="BS244" s="11" t="n"/>
      <c r="BT244" s="11" t="n"/>
      <c r="BU244" s="42" t="n"/>
      <c r="BV244" s="11" t="n"/>
      <c r="BW244" s="11" t="n"/>
      <c r="BX244" s="11" t="n"/>
      <c r="BY244" s="11" t="n"/>
      <c r="BZ244" s="42" t="n"/>
      <c r="CA244" s="11" t="n"/>
      <c r="CB244" s="11" t="n"/>
      <c r="CC244" s="11" t="n"/>
      <c r="CD244" s="11" t="n"/>
      <c r="CE244" s="42" t="n"/>
      <c r="CF244" s="11" t="n"/>
      <c r="CG244" s="11" t="n"/>
      <c r="CH244" s="11" t="n"/>
      <c r="CI244" s="11" t="n"/>
      <c r="CJ244" s="42" t="n"/>
      <c r="CK244" s="11" t="n"/>
      <c r="CL244" s="11" t="n"/>
      <c r="CM244" s="11" t="n"/>
      <c r="CN244" s="11" t="n"/>
      <c r="CO244" s="42" t="n"/>
      <c r="CP244" s="11" t="n"/>
      <c r="CQ244" s="11" t="n"/>
      <c r="CR244" s="11" t="n"/>
      <c r="CS244" s="11" t="n"/>
      <c r="CT244" s="42" t="n"/>
      <c r="CU244" s="11" t="n"/>
      <c r="CV244" s="11" t="n"/>
      <c r="CW244" s="11" t="n"/>
      <c r="CX244" s="11" t="n"/>
      <c r="CY244" s="42" t="n"/>
    </row>
    <row r="245" hidden="1" outlineLevel="1" customFormat="1" s="66">
      <c r="A245" s="37" t="n"/>
      <c r="B245" s="37" t="n"/>
      <c r="C245" s="67" t="inlineStr">
        <is>
          <t>Value of shares issued</t>
        </is>
      </c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11" t="n"/>
      <c r="AI245" s="11" t="n"/>
      <c r="AJ245" s="11" t="n"/>
      <c r="AK245" s="11" t="n"/>
      <c r="AL245" s="42" t="n"/>
      <c r="AM245" s="11" t="n"/>
      <c r="AN245" s="11" t="n"/>
      <c r="AO245" s="11" t="n"/>
      <c r="AP245" s="11" t="n"/>
      <c r="AQ245" s="42" t="n"/>
      <c r="AR245" s="11" t="n"/>
      <c r="AS245" s="11" t="n"/>
      <c r="AT245" s="11" t="n"/>
      <c r="AU245" s="11" t="n"/>
      <c r="AV245" s="42" t="n"/>
      <c r="AW245" s="11" t="n"/>
      <c r="AX245" s="11" t="n"/>
      <c r="AY245" s="11" t="n"/>
      <c r="AZ245" s="11" t="n"/>
      <c r="BA245" s="42" t="n"/>
      <c r="BB245" s="11" t="n"/>
      <c r="BC245" s="11" t="n"/>
      <c r="BD245" s="11" t="n"/>
      <c r="BE245" s="11" t="n"/>
      <c r="BF245" s="42" t="n"/>
      <c r="BG245" s="11" t="n"/>
      <c r="BH245" s="11" t="n"/>
      <c r="BI245" s="11" t="n"/>
      <c r="BJ245" s="11" t="n"/>
      <c r="BK245" s="42" t="n"/>
      <c r="BL245" s="11" t="n"/>
      <c r="BM245" s="11" t="n"/>
      <c r="BN245" s="11" t="n"/>
      <c r="BO245" s="11" t="n"/>
      <c r="BP245" s="42" t="n"/>
      <c r="BQ245" s="11" t="n"/>
      <c r="BR245" s="11" t="n"/>
      <c r="BS245" s="11" t="n"/>
      <c r="BT245" s="11" t="n"/>
      <c r="BU245" s="42" t="n"/>
      <c r="BV245" s="11" t="n"/>
      <c r="BW245" s="11" t="n"/>
      <c r="BX245" s="11" t="n"/>
      <c r="BY245" s="11" t="n"/>
      <c r="BZ245" s="42" t="n"/>
      <c r="CA245" s="11" t="n"/>
      <c r="CB245" s="11" t="n"/>
      <c r="CC245" s="11" t="n"/>
      <c r="CD245" s="11" t="n"/>
      <c r="CE245" s="42" t="n"/>
      <c r="CF245" s="11" t="n"/>
      <c r="CG245" s="11" t="n"/>
      <c r="CH245" s="11" t="n"/>
      <c r="CI245" s="11" t="n"/>
      <c r="CJ245" s="42" t="n"/>
      <c r="CK245" s="11" t="n"/>
      <c r="CL245" s="11" t="n"/>
      <c r="CM245" s="11" t="n"/>
      <c r="CN245" s="11" t="n"/>
      <c r="CO245" s="42" t="n"/>
      <c r="CP245" s="11" t="n"/>
      <c r="CQ245" s="11" t="n"/>
      <c r="CR245" s="11" t="n"/>
      <c r="CS245" s="11" t="n"/>
      <c r="CT245" s="42" t="n"/>
      <c r="CU245" s="11" t="n"/>
      <c r="CV245" s="11" t="n"/>
      <c r="CW245" s="11" t="n"/>
      <c r="CX245" s="11" t="n"/>
      <c r="CY245" s="42" t="n"/>
    </row>
    <row r="246" hidden="1" outlineLevel="1" customFormat="1" s="66">
      <c r="A246" s="37" t="n"/>
      <c r="B246" s="37" t="n"/>
      <c r="C246" s="67" t="inlineStr">
        <is>
          <t>Expected average share price</t>
        </is>
      </c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68">
        <f>AF246*(1+AH247)</f>
        <v>0</v>
      </c>
      <c r="AI246" s="68">
        <f>AH246*(1+AI247)</f>
        <v>0</v>
      </c>
      <c r="AJ246" s="68">
        <f>AH246*(1+AJ247)</f>
        <v>0</v>
      </c>
      <c r="AK246" s="68">
        <f>AJ246*(1+AK247)</f>
        <v>0</v>
      </c>
      <c r="AL246" s="42" t="n"/>
      <c r="AM246" s="68">
        <f>AK246*(1+AM247)</f>
        <v>0</v>
      </c>
      <c r="AN246" s="68">
        <f>AM246*(1+AN247)</f>
        <v>0</v>
      </c>
      <c r="AO246" s="68">
        <f>AM246*(1+AO247)</f>
        <v>0</v>
      </c>
      <c r="AP246" s="68">
        <f>AO246*(1+AP247)</f>
        <v>0</v>
      </c>
      <c r="AQ246" s="42" t="n"/>
      <c r="AR246" s="68">
        <f>AP246*(1+AR247)</f>
        <v>0</v>
      </c>
      <c r="AS246" s="68">
        <f>AR246*(1+AS247)</f>
        <v>0</v>
      </c>
      <c r="AT246" s="68">
        <f>AR246*(1+AT247)</f>
        <v>0</v>
      </c>
      <c r="AU246" s="68">
        <f>AT246*(1+AU247)</f>
        <v>0</v>
      </c>
      <c r="AV246" s="42" t="n"/>
      <c r="AW246" s="68">
        <f>AU246*(1+AW247)</f>
        <v>0</v>
      </c>
      <c r="AX246" s="68">
        <f>AW246*(1+AX247)</f>
        <v>0</v>
      </c>
      <c r="AY246" s="68">
        <f>AW246*(1+AY247)</f>
        <v>0</v>
      </c>
      <c r="AZ246" s="68">
        <f>AY246*(1+AZ247)</f>
        <v>0</v>
      </c>
      <c r="BA246" s="42" t="n"/>
      <c r="BB246" s="68">
        <f>AZ246*(1+BB247)</f>
        <v>0</v>
      </c>
      <c r="BC246" s="68">
        <f>BB246*(1+BC247)</f>
        <v>0</v>
      </c>
      <c r="BD246" s="68">
        <f>BB246*(1+BD247)</f>
        <v>0</v>
      </c>
      <c r="BE246" s="68">
        <f>BD246*(1+BE247)</f>
        <v>0</v>
      </c>
      <c r="BF246" s="42" t="n"/>
      <c r="BG246" s="68" t="n"/>
      <c r="BH246" s="68" t="n"/>
      <c r="BI246" s="68" t="n"/>
      <c r="BJ246" s="68" t="n"/>
      <c r="BK246" s="42" t="n"/>
      <c r="BL246" s="68" t="n"/>
      <c r="BM246" s="68" t="n"/>
      <c r="BN246" s="68" t="n"/>
      <c r="BO246" s="68" t="n"/>
      <c r="BP246" s="42" t="n"/>
      <c r="BQ246" s="68" t="n"/>
      <c r="BR246" s="68" t="n"/>
      <c r="BS246" s="68" t="n"/>
      <c r="BT246" s="68" t="n"/>
      <c r="BU246" s="42" t="n"/>
      <c r="BV246" s="68" t="n"/>
      <c r="BW246" s="68" t="n"/>
      <c r="BX246" s="68" t="n"/>
      <c r="BY246" s="68" t="n"/>
      <c r="BZ246" s="42" t="n"/>
      <c r="CA246" s="68" t="n"/>
      <c r="CB246" s="68" t="n"/>
      <c r="CC246" s="68" t="n"/>
      <c r="CD246" s="68" t="n"/>
      <c r="CE246" s="42" t="n"/>
      <c r="CF246" s="68" t="n"/>
      <c r="CG246" s="68" t="n"/>
      <c r="CH246" s="68" t="n"/>
      <c r="CI246" s="68" t="n"/>
      <c r="CJ246" s="42" t="n"/>
      <c r="CK246" s="68" t="n"/>
      <c r="CL246" s="68" t="n"/>
      <c r="CM246" s="68" t="n"/>
      <c r="CN246" s="68" t="n"/>
      <c r="CO246" s="42" t="n"/>
      <c r="CP246" s="68" t="n"/>
      <c r="CQ246" s="68" t="n"/>
      <c r="CR246" s="68" t="n"/>
      <c r="CS246" s="68" t="n"/>
      <c r="CT246" s="42" t="n"/>
      <c r="CU246" s="68" t="n"/>
      <c r="CV246" s="68" t="n"/>
      <c r="CW246" s="68" t="n"/>
      <c r="CX246" s="68" t="n"/>
      <c r="CY246" s="42" t="n"/>
    </row>
    <row r="247" hidden="1" outlineLevel="1" customFormat="1" s="66">
      <c r="A247" s="37" t="n"/>
      <c r="B247" s="37" t="n"/>
      <c r="C247" s="67" t="inlineStr">
        <is>
          <t>Consensus EPS growth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58">
        <f>$AL$252</f>
        <v>0</v>
      </c>
      <c r="AI247" s="58">
        <f>$AL$252</f>
        <v>0</v>
      </c>
      <c r="AJ247" s="58">
        <f>$AL$252</f>
        <v>0</v>
      </c>
      <c r="AK247" s="58">
        <f>$AL$252</f>
        <v>0</v>
      </c>
      <c r="AL247" s="42" t="n"/>
      <c r="AM247" s="58">
        <f>$AL$252</f>
        <v>0</v>
      </c>
      <c r="AN247" s="58">
        <f>$AL$252</f>
        <v>0</v>
      </c>
      <c r="AO247" s="58">
        <f>$AL$252</f>
        <v>0</v>
      </c>
      <c r="AP247" s="58">
        <f>$AL$252</f>
        <v>0</v>
      </c>
      <c r="AQ247" s="42" t="n"/>
      <c r="AR247" s="58">
        <f>$AL$252</f>
        <v>0</v>
      </c>
      <c r="AS247" s="58">
        <f>$AL$252</f>
        <v>0</v>
      </c>
      <c r="AT247" s="58">
        <f>$AL$252</f>
        <v>0</v>
      </c>
      <c r="AU247" s="58">
        <f>$AL$252</f>
        <v>0</v>
      </c>
      <c r="AV247" s="42" t="n"/>
      <c r="AW247" s="58">
        <f>$AL$252</f>
        <v>0</v>
      </c>
      <c r="AX247" s="58">
        <f>$AL$252</f>
        <v>0</v>
      </c>
      <c r="AY247" s="58">
        <f>$AL$252</f>
        <v>0</v>
      </c>
      <c r="AZ247" s="58">
        <f>$AL$252</f>
        <v>0</v>
      </c>
      <c r="BA247" s="42" t="n"/>
      <c r="BB247" s="58">
        <f>$AL$252</f>
        <v>0</v>
      </c>
      <c r="BC247" s="58">
        <f>$AL$252</f>
        <v>0</v>
      </c>
      <c r="BD247" s="58">
        <f>$AL$252</f>
        <v>0</v>
      </c>
      <c r="BE247" s="58">
        <f>$AL$252</f>
        <v>0</v>
      </c>
      <c r="BF247" s="42" t="n"/>
      <c r="BG247" s="58" t="n"/>
      <c r="BH247" s="58" t="n"/>
      <c r="BI247" s="58" t="n"/>
      <c r="BJ247" s="58" t="n"/>
      <c r="BK247" s="42" t="n"/>
      <c r="BL247" s="58" t="n"/>
      <c r="BM247" s="58" t="n"/>
      <c r="BN247" s="58" t="n"/>
      <c r="BO247" s="58" t="n"/>
      <c r="BP247" s="42" t="n"/>
      <c r="BQ247" s="58" t="n"/>
      <c r="BR247" s="58" t="n"/>
      <c r="BS247" s="58" t="n"/>
      <c r="BT247" s="58" t="n"/>
      <c r="BU247" s="42" t="n"/>
      <c r="BV247" s="58" t="n"/>
      <c r="BW247" s="58" t="n"/>
      <c r="BX247" s="58" t="n"/>
      <c r="BY247" s="58" t="n"/>
      <c r="BZ247" s="42" t="n"/>
      <c r="CA247" s="58" t="n"/>
      <c r="CB247" s="58" t="n"/>
      <c r="CC247" s="58" t="n"/>
      <c r="CD247" s="58" t="n"/>
      <c r="CE247" s="42" t="n"/>
      <c r="CF247" s="58" t="n"/>
      <c r="CG247" s="58" t="n"/>
      <c r="CH247" s="58" t="n"/>
      <c r="CI247" s="58" t="n"/>
      <c r="CJ247" s="42" t="n"/>
      <c r="CK247" s="58" t="n"/>
      <c r="CL247" s="58" t="n"/>
      <c r="CM247" s="58" t="n"/>
      <c r="CN247" s="58" t="n"/>
      <c r="CO247" s="42" t="n"/>
      <c r="CP247" s="58" t="n"/>
      <c r="CQ247" s="58" t="n"/>
      <c r="CR247" s="58" t="n"/>
      <c r="CS247" s="58" t="n"/>
      <c r="CT247" s="42" t="n"/>
      <c r="CU247" s="58" t="n"/>
      <c r="CV247" s="58" t="n"/>
      <c r="CW247" s="58" t="n"/>
      <c r="CX247" s="58" t="n"/>
      <c r="CY247" s="42" t="n"/>
    </row>
    <row r="248" hidden="1" outlineLevel="1" customFormat="1" s="66">
      <c r="A248" s="37" t="n"/>
      <c r="B248" s="37" t="n"/>
      <c r="C248" s="67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12" t="n"/>
      <c r="AI248" s="12" t="n"/>
      <c r="AJ248" s="12" t="n"/>
      <c r="AK248" s="12" t="n"/>
      <c r="AL248" s="42" t="n"/>
      <c r="AM248" s="12" t="n"/>
      <c r="AN248" s="12" t="n"/>
      <c r="AO248" s="12" t="n"/>
      <c r="AP248" s="12" t="n"/>
      <c r="AQ248" s="42" t="n"/>
      <c r="AR248" s="12" t="n"/>
      <c r="AS248" s="12" t="n"/>
      <c r="AT248" s="12" t="n"/>
      <c r="AU248" s="12" t="n"/>
      <c r="AV248" s="42" t="n"/>
      <c r="AW248" s="12" t="n"/>
      <c r="AX248" s="12" t="n"/>
      <c r="AY248" s="12" t="n"/>
      <c r="AZ248" s="12" t="n"/>
      <c r="BA248" s="42" t="n"/>
      <c r="BB248" s="12" t="n"/>
      <c r="BC248" s="12" t="n"/>
      <c r="BD248" s="12" t="n"/>
      <c r="BE248" s="12" t="n"/>
      <c r="BF248" s="42" t="n"/>
      <c r="BG248" s="12" t="n"/>
      <c r="BH248" s="12" t="n"/>
      <c r="BI248" s="12" t="n"/>
      <c r="BJ248" s="12" t="n"/>
      <c r="BK248" s="42" t="n"/>
      <c r="BL248" s="12" t="n"/>
      <c r="BM248" s="12" t="n"/>
      <c r="BN248" s="12" t="n"/>
      <c r="BO248" s="12" t="n"/>
      <c r="BP248" s="42" t="n"/>
      <c r="BQ248" s="12" t="n"/>
      <c r="BR248" s="12" t="n"/>
      <c r="BS248" s="12" t="n"/>
      <c r="BT248" s="12" t="n"/>
      <c r="BU248" s="42" t="n"/>
      <c r="BV248" s="12" t="n"/>
      <c r="BW248" s="12" t="n"/>
      <c r="BX248" s="12" t="n"/>
      <c r="BY248" s="12" t="n"/>
      <c r="BZ248" s="42" t="n"/>
      <c r="CA248" s="12" t="n"/>
      <c r="CB248" s="12" t="n"/>
      <c r="CC248" s="12" t="n"/>
      <c r="CD248" s="12" t="n"/>
      <c r="CE248" s="42" t="n"/>
      <c r="CF248" s="12" t="n"/>
      <c r="CG248" s="12" t="n"/>
      <c r="CH248" s="12" t="n"/>
      <c r="CI248" s="12" t="n"/>
      <c r="CJ248" s="42" t="n"/>
      <c r="CK248" s="12" t="n"/>
      <c r="CL248" s="12" t="n"/>
      <c r="CM248" s="12" t="n"/>
      <c r="CN248" s="12" t="n"/>
      <c r="CO248" s="42" t="n"/>
      <c r="CP248" s="12" t="n"/>
      <c r="CQ248" s="12" t="n"/>
      <c r="CR248" s="12" t="n"/>
      <c r="CS248" s="12" t="n"/>
      <c r="CT248" s="42" t="n"/>
      <c r="CU248" s="12" t="n"/>
      <c r="CV248" s="12" t="n"/>
      <c r="CW248" s="12" t="n"/>
      <c r="CX248" s="12" t="n"/>
      <c r="CY248" s="42" t="n"/>
    </row>
    <row r="249" hidden="1" outlineLevel="1" customFormat="1" s="66">
      <c r="A249" s="37" t="n"/>
      <c r="B249" s="37" t="n"/>
      <c r="C249" s="67" t="inlineStr">
        <is>
          <t>Shares repurchased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69" t="str">
        <f>IFERROR(-AH244/AH246,"")</f>
        <v/>
      </c>
      <c r="AI249" s="69" t="str">
        <f>IFERROR(-AI244/AI246,"")</f>
        <v/>
      </c>
      <c r="AJ249" s="69" t="str">
        <f>IFERROR(-AJ244/AJ246,"")</f>
        <v/>
      </c>
      <c r="AK249" s="69" t="str">
        <f>IFERROR(-AK244/AK246,"")</f>
        <v/>
      </c>
      <c r="AL249" s="42" t="n"/>
      <c r="AM249" s="69" t="str">
        <f>IFERROR(-AM244/AM246,"")</f>
        <v/>
      </c>
      <c r="AN249" s="69" t="str">
        <f>IFERROR(-AN244/AN246,"")</f>
        <v/>
      </c>
      <c r="AO249" s="69" t="str">
        <f>IFERROR(-AO244/AO246,"")</f>
        <v/>
      </c>
      <c r="AP249" s="69" t="str">
        <f>IFERROR(-AP244/AP246,"")</f>
        <v/>
      </c>
      <c r="AQ249" s="42" t="n"/>
      <c r="AR249" s="69" t="str">
        <f>IFERROR(-AR244/AR246,"")</f>
        <v/>
      </c>
      <c r="AS249" s="69" t="str">
        <f>IFERROR(-AS244/AS246,"")</f>
        <v/>
      </c>
      <c r="AT249" s="69" t="str">
        <f>IFERROR(-AT244/AT246,"")</f>
        <v/>
      </c>
      <c r="AU249" s="69" t="str">
        <f>IFERROR(-AU244/AU246,"")</f>
        <v/>
      </c>
      <c r="AV249" s="42" t="n"/>
      <c r="AW249" s="69" t="str">
        <f>IFERROR(-AW244/AW246,"")</f>
        <v/>
      </c>
      <c r="AX249" s="69" t="str">
        <f>IFERROR(-AX244/AX246,"")</f>
        <v/>
      </c>
      <c r="AY249" s="69" t="str">
        <f>IFERROR(-AY244/AY246,"")</f>
        <v/>
      </c>
      <c r="AZ249" s="69" t="str">
        <f>IFERROR(-AZ244/AZ246,"")</f>
        <v/>
      </c>
      <c r="BA249" s="42" t="n"/>
      <c r="BB249" s="69" t="str">
        <f>IFERROR(-BB244/BB246,"")</f>
        <v/>
      </c>
      <c r="BC249" s="69" t="str">
        <f>IFERROR(-BC244/BC246,"")</f>
        <v/>
      </c>
      <c r="BD249" s="69" t="str">
        <f>IFERROR(-BD244/BD246,"")</f>
        <v/>
      </c>
      <c r="BE249" s="69" t="str">
        <f>IFERROR(-BE244/BE246,"")</f>
        <v/>
      </c>
      <c r="BF249" s="42" t="n"/>
      <c r="BG249" s="69" t="n"/>
      <c r="BH249" s="69" t="n"/>
      <c r="BI249" s="69" t="n"/>
      <c r="BJ249" s="69" t="n"/>
      <c r="BK249" s="42" t="n"/>
      <c r="BL249" s="69" t="n"/>
      <c r="BM249" s="69" t="n"/>
      <c r="BN249" s="69" t="n"/>
      <c r="BO249" s="69" t="n"/>
      <c r="BP249" s="42" t="n"/>
      <c r="BQ249" s="69" t="n"/>
      <c r="BR249" s="69" t="n"/>
      <c r="BS249" s="69" t="n"/>
      <c r="BT249" s="69" t="n"/>
      <c r="BU249" s="42" t="n"/>
      <c r="BV249" s="69" t="n"/>
      <c r="BW249" s="69" t="n"/>
      <c r="BX249" s="69" t="n"/>
      <c r="BY249" s="69" t="n"/>
      <c r="BZ249" s="42" t="n"/>
      <c r="CA249" s="69" t="n"/>
      <c r="CB249" s="69" t="n"/>
      <c r="CC249" s="69" t="n"/>
      <c r="CD249" s="69" t="n"/>
      <c r="CE249" s="42" t="n"/>
      <c r="CF249" s="69" t="n"/>
      <c r="CG249" s="69" t="n"/>
      <c r="CH249" s="69" t="n"/>
      <c r="CI249" s="69" t="n"/>
      <c r="CJ249" s="42" t="n"/>
      <c r="CK249" s="69" t="n"/>
      <c r="CL249" s="69" t="n"/>
      <c r="CM249" s="69" t="n"/>
      <c r="CN249" s="69" t="n"/>
      <c r="CO249" s="42" t="n"/>
      <c r="CP249" s="69" t="n"/>
      <c r="CQ249" s="69" t="n"/>
      <c r="CR249" s="69" t="n"/>
      <c r="CS249" s="69" t="n"/>
      <c r="CT249" s="42" t="n"/>
      <c r="CU249" s="69" t="n"/>
      <c r="CV249" s="69" t="n"/>
      <c r="CW249" s="69" t="n"/>
      <c r="CX249" s="69" t="n"/>
      <c r="CY249" s="42" t="n"/>
    </row>
    <row r="250" hidden="1" outlineLevel="1" customFormat="1" s="66">
      <c r="A250" s="37" t="n"/>
      <c r="B250" s="37" t="n"/>
      <c r="C250" s="67" t="inlineStr">
        <is>
          <t>Shares issued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9" t="n"/>
      <c r="AG250" s="42" t="n"/>
      <c r="AH250" s="69" t="str">
        <f>IFERROR(AH245/AH246,"")</f>
        <v/>
      </c>
      <c r="AI250" s="69" t="str">
        <f>IFERROR(AI245/AI246,"")</f>
        <v/>
      </c>
      <c r="AJ250" s="69" t="str">
        <f>IFERROR(AJ245/AJ246,"")</f>
        <v/>
      </c>
      <c r="AK250" s="69" t="str">
        <f>IFERROR(AK245/AK246,"")</f>
        <v/>
      </c>
      <c r="AL250" s="42" t="n"/>
      <c r="AM250" s="69" t="str">
        <f>IFERROR(AM245/AM246,"")</f>
        <v/>
      </c>
      <c r="AN250" s="69" t="str">
        <f>IFERROR(AN245/AN246,"")</f>
        <v/>
      </c>
      <c r="AO250" s="69" t="str">
        <f>IFERROR(AO245/AO246,"")</f>
        <v/>
      </c>
      <c r="AP250" s="69" t="str">
        <f>IFERROR(AP245/AP246,"")</f>
        <v/>
      </c>
      <c r="AQ250" s="42" t="n"/>
      <c r="AR250" s="69" t="str">
        <f>IFERROR(AR245/AR246,"")</f>
        <v/>
      </c>
      <c r="AS250" s="69" t="str">
        <f>IFERROR(AS245/AS246,"")</f>
        <v/>
      </c>
      <c r="AT250" s="69" t="str">
        <f>IFERROR(AT245/AT246,"")</f>
        <v/>
      </c>
      <c r="AU250" s="69" t="str">
        <f>IFERROR(AU245/AU246,"")</f>
        <v/>
      </c>
      <c r="AV250" s="42" t="n"/>
      <c r="AW250" s="69" t="str">
        <f>IFERROR(AW245/AW246,"")</f>
        <v/>
      </c>
      <c r="AX250" s="69" t="str">
        <f>IFERROR(AX245/AX246,"")</f>
        <v/>
      </c>
      <c r="AY250" s="69" t="str">
        <f>IFERROR(AY245/AY246,"")</f>
        <v/>
      </c>
      <c r="AZ250" s="69" t="str">
        <f>IFERROR(AZ245/AZ246,"")</f>
        <v/>
      </c>
      <c r="BA250" s="42" t="n"/>
      <c r="BB250" s="69" t="str">
        <f>IFERROR(BB245/BB246,"")</f>
        <v/>
      </c>
      <c r="BC250" s="69" t="str">
        <f>IFERROR(BC245/BC246,"")</f>
        <v/>
      </c>
      <c r="BD250" s="69" t="str">
        <f>IFERROR(BD245/BD246,"")</f>
        <v/>
      </c>
      <c r="BE250" s="69" t="str">
        <f>IFERROR(BE245/BE246,"")</f>
        <v/>
      </c>
      <c r="BF250" s="42" t="n"/>
      <c r="BG250" s="69" t="n"/>
      <c r="BH250" s="69" t="n"/>
      <c r="BI250" s="69" t="n"/>
      <c r="BJ250" s="69" t="n"/>
      <c r="BK250" s="42" t="n"/>
      <c r="BL250" s="69" t="n"/>
      <c r="BM250" s="69" t="n"/>
      <c r="BN250" s="69" t="n"/>
      <c r="BO250" s="69" t="n"/>
      <c r="BP250" s="42" t="n"/>
      <c r="BQ250" s="69" t="n"/>
      <c r="BR250" s="69" t="n"/>
      <c r="BS250" s="69" t="n"/>
      <c r="BT250" s="69" t="n"/>
      <c r="BU250" s="42" t="n"/>
      <c r="BV250" s="69" t="n"/>
      <c r="BW250" s="69" t="n"/>
      <c r="BX250" s="69" t="n"/>
      <c r="BY250" s="69" t="n"/>
      <c r="BZ250" s="42" t="n"/>
      <c r="CA250" s="69" t="n"/>
      <c r="CB250" s="69" t="n"/>
      <c r="CC250" s="69" t="n"/>
      <c r="CD250" s="69" t="n"/>
      <c r="CE250" s="42" t="n"/>
      <c r="CF250" s="69" t="n"/>
      <c r="CG250" s="69" t="n"/>
      <c r="CH250" s="69" t="n"/>
      <c r="CI250" s="69" t="n"/>
      <c r="CJ250" s="42" t="n"/>
      <c r="CK250" s="69" t="n"/>
      <c r="CL250" s="69" t="n"/>
      <c r="CM250" s="69" t="n"/>
      <c r="CN250" s="69" t="n"/>
      <c r="CO250" s="42" t="n"/>
      <c r="CP250" s="69" t="n"/>
      <c r="CQ250" s="69" t="n"/>
      <c r="CR250" s="69" t="n"/>
      <c r="CS250" s="69" t="n"/>
      <c r="CT250" s="42" t="n"/>
      <c r="CU250" s="69" t="n"/>
      <c r="CV250" s="69" t="n"/>
      <c r="CW250" s="69" t="n"/>
      <c r="CX250" s="69" t="n"/>
      <c r="CY250" s="42" t="n"/>
    </row>
    <row r="251" hidden="1" outlineLevel="1" customFormat="1" s="66">
      <c r="A251" s="37" t="n"/>
      <c r="B251" s="37" t="n"/>
      <c r="C251" s="67" t="inlineStr">
        <is>
          <t>End of period basic shares outstanding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3" t="str">
        <f>IFERROR(AG251+AH250-AH249,"")</f>
        <v/>
      </c>
      <c r="AI251" s="3" t="str">
        <f>IFERROR(AH251+AI250-AI249,"")</f>
        <v/>
      </c>
      <c r="AJ251" s="69" t="str">
        <f>IFERROR(AH251+AJ250-AJ249,"")</f>
        <v/>
      </c>
      <c r="AK251" s="69" t="str">
        <f>IFERROR(AJ251+AK250-AK249,"")</f>
        <v/>
      </c>
      <c r="AL251" s="42" t="n"/>
      <c r="AM251" s="3" t="str">
        <f>IFERROR(AK251+AM250-AM249,"")</f>
        <v/>
      </c>
      <c r="AN251" s="3" t="str">
        <f>IFERROR(AM251+AN250-AN249,"")</f>
        <v/>
      </c>
      <c r="AO251" s="69" t="str">
        <f>IFERROR(AM251+AO250-AO249,"")</f>
        <v/>
      </c>
      <c r="AP251" s="69" t="str">
        <f>IFERROR(AO251+AP250-AP249,"")</f>
        <v/>
      </c>
      <c r="AQ251" s="42" t="n"/>
      <c r="AR251" s="3" t="str">
        <f>IFERROR(AP251+AR250-AR249,"")</f>
        <v/>
      </c>
      <c r="AS251" s="3" t="str">
        <f>IFERROR(AR251+AS250-AS249,"")</f>
        <v/>
      </c>
      <c r="AT251" s="69" t="str">
        <f>IFERROR(AR251+AT250-AT249,"")</f>
        <v/>
      </c>
      <c r="AU251" s="69" t="str">
        <f>IFERROR(AT251+AU250-AU249,"")</f>
        <v/>
      </c>
      <c r="AV251" s="42" t="n"/>
      <c r="AW251" s="3" t="str">
        <f>IFERROR(AU251+AW250-AW249,"")</f>
        <v/>
      </c>
      <c r="AX251" s="3" t="str">
        <f>IFERROR(AW251+AX250-AX249,"")</f>
        <v/>
      </c>
      <c r="AY251" s="69" t="str">
        <f>IFERROR(AW251+AY250-AY249,"")</f>
        <v/>
      </c>
      <c r="AZ251" s="69" t="str">
        <f>IFERROR(AY251+AZ250-AZ249,"")</f>
        <v/>
      </c>
      <c r="BA251" s="42" t="n"/>
      <c r="BB251" s="3" t="str">
        <f>IFERROR(AZ251+BB250-BB249,"")</f>
        <v/>
      </c>
      <c r="BC251" s="3" t="str">
        <f>IFERROR(BB251+BC250-BC249,"")</f>
        <v/>
      </c>
      <c r="BD251" s="69" t="str">
        <f>IFERROR(BB251+BD250-BD249,"")</f>
        <v/>
      </c>
      <c r="BE251" s="69" t="str">
        <f>IFERROR(BD251+BE250-BE249,"")</f>
        <v/>
      </c>
      <c r="BF251" s="42" t="n"/>
      <c r="BG251" s="3" t="n"/>
      <c r="BH251" s="3" t="n"/>
      <c r="BI251" s="69" t="n"/>
      <c r="BJ251" s="69" t="n"/>
      <c r="BK251" s="42" t="n"/>
      <c r="BL251" s="3" t="n"/>
      <c r="BM251" s="3" t="n"/>
      <c r="BN251" s="69" t="n"/>
      <c r="BO251" s="69" t="n"/>
      <c r="BP251" s="42" t="n"/>
      <c r="BQ251" s="3" t="n"/>
      <c r="BR251" s="3" t="n"/>
      <c r="BS251" s="69" t="n"/>
      <c r="BT251" s="69" t="n"/>
      <c r="BU251" s="42" t="n"/>
      <c r="BV251" s="3" t="n"/>
      <c r="BW251" s="3" t="n"/>
      <c r="BX251" s="69" t="n"/>
      <c r="BY251" s="69" t="n"/>
      <c r="BZ251" s="42" t="n"/>
      <c r="CA251" s="3" t="n"/>
      <c r="CB251" s="3" t="n"/>
      <c r="CC251" s="69" t="n"/>
      <c r="CD251" s="69" t="n"/>
      <c r="CE251" s="42" t="n"/>
      <c r="CF251" s="3" t="n"/>
      <c r="CG251" s="3" t="n"/>
      <c r="CH251" s="69" t="n"/>
      <c r="CI251" s="69" t="n"/>
      <c r="CJ251" s="42" t="n"/>
      <c r="CK251" s="3" t="n"/>
      <c r="CL251" s="3" t="n"/>
      <c r="CM251" s="69" t="n"/>
      <c r="CN251" s="69" t="n"/>
      <c r="CO251" s="42" t="n"/>
      <c r="CP251" s="3" t="n"/>
      <c r="CQ251" s="3" t="n"/>
      <c r="CR251" s="69" t="n"/>
      <c r="CS251" s="69" t="n"/>
      <c r="CT251" s="42" t="n"/>
      <c r="CU251" s="3" t="n"/>
      <c r="CV251" s="3" t="n"/>
      <c r="CW251" s="69" t="n"/>
      <c r="CX251" s="69" t="n"/>
      <c r="CY251" s="42" t="n"/>
    </row>
    <row r="252" hidden="1" outlineLevel="1" customFormat="1" s="66">
      <c r="A252" s="37" t="n"/>
      <c r="B252" s="37" t="n"/>
      <c r="C252" s="67" t="inlineStr">
        <is>
          <t>Weighted average basic shares outstanding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69" t="str">
        <f>IFERROR(AVERAGE(AG251,AH251),"")</f>
        <v/>
      </c>
      <c r="AI252" s="69" t="str">
        <f>IFERROR(AVERAGE(AH251,AI251),"")</f>
        <v/>
      </c>
      <c r="AJ252" s="69" t="str">
        <f>IFERROR(AVERAGE(AH251,AJ251),"")</f>
        <v/>
      </c>
      <c r="AK252" s="69" t="str">
        <f>IFERROR(AVERAGE(AJ251,AK251),"")</f>
        <v/>
      </c>
      <c r="AL252" s="42" t="n"/>
      <c r="AM252" s="69" t="str">
        <f>IFERROR(AVERAGE(AL251,AM251),"")</f>
        <v/>
      </c>
      <c r="AN252" s="69" t="str">
        <f>IFERROR(AVERAGE(AM251,AN251),"")</f>
        <v/>
      </c>
      <c r="AO252" s="69" t="str">
        <f>IFERROR(AVERAGE(AM251,AO251),"")</f>
        <v/>
      </c>
      <c r="AP252" s="69" t="str">
        <f>IFERROR(AVERAGE(AO251,AP251),"")</f>
        <v/>
      </c>
      <c r="AQ252" s="42" t="n"/>
      <c r="AR252" s="69" t="str">
        <f>IFERROR(AVERAGE(AQ251,AR251),"")</f>
        <v/>
      </c>
      <c r="AS252" s="69" t="str">
        <f>IFERROR(AVERAGE(AR251,AS251),"")</f>
        <v/>
      </c>
      <c r="AT252" s="69" t="str">
        <f>IFERROR(AVERAGE(AR251,AT251),"")</f>
        <v/>
      </c>
      <c r="AU252" s="69" t="str">
        <f>IFERROR(AVERAGE(AT251,AU251),"")</f>
        <v/>
      </c>
      <c r="AV252" s="42" t="n"/>
      <c r="AW252" s="69" t="str">
        <f>IFERROR(AVERAGE(AV251,AW251),"")</f>
        <v/>
      </c>
      <c r="AX252" s="69" t="str">
        <f>IFERROR(AVERAGE(AW251,AX251),"")</f>
        <v/>
      </c>
      <c r="AY252" s="69" t="str">
        <f>IFERROR(AVERAGE(AW251,AY251),"")</f>
        <v/>
      </c>
      <c r="AZ252" s="69" t="str">
        <f>IFERROR(AVERAGE(AY251,AZ251),"")</f>
        <v/>
      </c>
      <c r="BA252" s="42" t="n"/>
      <c r="BB252" s="69" t="str">
        <f>IFERROR(AVERAGE(BA251,BB251),"")</f>
        <v/>
      </c>
      <c r="BC252" s="69" t="str">
        <f>IFERROR(AVERAGE(BB251,BC251),"")</f>
        <v/>
      </c>
      <c r="BD252" s="69" t="str">
        <f>IFERROR(AVERAGE(BB251,BD251),"")</f>
        <v/>
      </c>
      <c r="BE252" s="69" t="str">
        <f>IFERROR(AVERAGE(BD251,BE251),"")</f>
        <v/>
      </c>
      <c r="BF252" s="42" t="n"/>
      <c r="BG252" s="69" t="n"/>
      <c r="BH252" s="69" t="n"/>
      <c r="BI252" s="69" t="n"/>
      <c r="BJ252" s="69" t="n"/>
      <c r="BK252" s="42" t="n"/>
      <c r="BL252" s="69" t="n"/>
      <c r="BM252" s="69" t="n"/>
      <c r="BN252" s="69" t="n"/>
      <c r="BO252" s="69" t="n"/>
      <c r="BP252" s="42" t="n"/>
      <c r="BQ252" s="69" t="n"/>
      <c r="BR252" s="69" t="n"/>
      <c r="BS252" s="69" t="n"/>
      <c r="BT252" s="69" t="n"/>
      <c r="BU252" s="42" t="n"/>
      <c r="BV252" s="69" t="n"/>
      <c r="BW252" s="69" t="n"/>
      <c r="BX252" s="69" t="n"/>
      <c r="BY252" s="69" t="n"/>
      <c r="BZ252" s="42" t="n"/>
      <c r="CA252" s="69" t="n"/>
      <c r="CB252" s="69" t="n"/>
      <c r="CC252" s="69" t="n"/>
      <c r="CD252" s="69" t="n"/>
      <c r="CE252" s="42" t="n"/>
      <c r="CF252" s="69" t="n"/>
      <c r="CG252" s="69" t="n"/>
      <c r="CH252" s="69" t="n"/>
      <c r="CI252" s="69" t="n"/>
      <c r="CJ252" s="42" t="n"/>
      <c r="CK252" s="69" t="n"/>
      <c r="CL252" s="69" t="n"/>
      <c r="CM252" s="69" t="n"/>
      <c r="CN252" s="69" t="n"/>
      <c r="CO252" s="42" t="n"/>
      <c r="CP252" s="69" t="n"/>
      <c r="CQ252" s="69" t="n"/>
      <c r="CR252" s="69" t="n"/>
      <c r="CS252" s="69" t="n"/>
      <c r="CT252" s="42" t="n"/>
      <c r="CU252" s="69" t="n"/>
      <c r="CV252" s="69" t="n"/>
      <c r="CW252" s="69" t="n"/>
      <c r="CX252" s="69" t="n"/>
      <c r="CY252" s="42" t="n"/>
    </row>
    <row r="253" hidden="1" outlineLevel="1" customFormat="1" s="66">
      <c r="A253" s="37" t="n"/>
      <c r="B253" s="37" t="n"/>
      <c r="C253" s="67" t="n"/>
      <c r="D253" s="42" t="n"/>
      <c r="E253" s="42" t="n"/>
      <c r="F253" s="42" t="n"/>
      <c r="G253" s="42" t="n"/>
      <c r="H253" s="12" t="n"/>
      <c r="I253" s="42" t="n"/>
      <c r="J253" s="42" t="n"/>
      <c r="K253" s="42" t="n"/>
      <c r="L253" s="42" t="n"/>
      <c r="M253" s="12" t="n"/>
      <c r="N253" s="42" t="n"/>
      <c r="O253" s="42" t="n"/>
      <c r="P253" s="42" t="n"/>
      <c r="Q253" s="42" t="n"/>
      <c r="R253" s="12" t="n"/>
      <c r="S253" s="42" t="n"/>
      <c r="T253" s="42" t="n"/>
      <c r="U253" s="42" t="n"/>
      <c r="V253" s="42" t="n"/>
      <c r="W253" s="12" t="n"/>
      <c r="X253" s="42" t="n"/>
      <c r="Y253" s="42" t="n"/>
      <c r="Z253" s="42" t="n"/>
      <c r="AA253" s="42" t="n"/>
      <c r="AB253" s="12" t="n"/>
      <c r="AC253" s="42" t="n"/>
      <c r="AD253" s="42" t="n"/>
      <c r="AE253" s="42" t="n"/>
      <c r="AF253" s="42" t="n"/>
      <c r="AG253" s="12" t="n"/>
      <c r="AH253" s="42" t="n"/>
      <c r="AI253" s="42" t="n"/>
      <c r="AJ253" s="42" t="n"/>
      <c r="AK253" s="42" t="n"/>
      <c r="AL253" s="12" t="n"/>
      <c r="AM253" s="42" t="n"/>
      <c r="AN253" s="42" t="n"/>
      <c r="AO253" s="42" t="n"/>
      <c r="AP253" s="42" t="n"/>
      <c r="AQ253" s="12" t="n"/>
      <c r="AR253" s="42" t="n"/>
      <c r="AS253" s="42" t="n"/>
      <c r="AT253" s="42" t="n"/>
      <c r="AU253" s="42" t="n"/>
      <c r="AV253" s="12" t="n"/>
      <c r="AW253" s="42" t="n"/>
      <c r="AX253" s="42" t="n"/>
      <c r="AY253" s="42" t="n"/>
      <c r="AZ253" s="42" t="n"/>
      <c r="BA253" s="12" t="n"/>
      <c r="BB253" s="42" t="n"/>
      <c r="BC253" s="42" t="n"/>
      <c r="BD253" s="42" t="n"/>
      <c r="BE253" s="42" t="n"/>
      <c r="BF253" s="12" t="n"/>
      <c r="BG253" s="42" t="n"/>
      <c r="BH253" s="42" t="n"/>
      <c r="BI253" s="42" t="n"/>
      <c r="BJ253" s="42" t="n"/>
      <c r="BK253" s="12" t="n"/>
      <c r="BL253" s="42" t="n"/>
      <c r="BM253" s="42" t="n"/>
      <c r="BN253" s="42" t="n"/>
      <c r="BO253" s="42" t="n"/>
      <c r="BP253" s="12" t="n"/>
      <c r="BQ253" s="42" t="n"/>
      <c r="BR253" s="42" t="n"/>
      <c r="BS253" s="42" t="n"/>
      <c r="BT253" s="42" t="n"/>
      <c r="BU253" s="12" t="n"/>
      <c r="BV253" s="42" t="n"/>
      <c r="BW253" s="42" t="n"/>
      <c r="BX253" s="42" t="n"/>
      <c r="BY253" s="42" t="n"/>
      <c r="BZ253" s="12" t="n"/>
      <c r="CA253" s="42" t="n"/>
      <c r="CB253" s="42" t="n"/>
      <c r="CC253" s="42" t="n"/>
      <c r="CD253" s="42" t="n"/>
      <c r="CE253" s="12" t="n"/>
      <c r="CF253" s="42" t="n"/>
      <c r="CG253" s="42" t="n"/>
      <c r="CH253" s="42" t="n"/>
      <c r="CI253" s="42" t="n"/>
      <c r="CJ253" s="12" t="n"/>
      <c r="CK253" s="42" t="n"/>
      <c r="CL253" s="42" t="n"/>
      <c r="CM253" s="42" t="n"/>
      <c r="CN253" s="42" t="n"/>
      <c r="CO253" s="12" t="n"/>
      <c r="CP253" s="42" t="n"/>
      <c r="CQ253" s="42" t="n"/>
      <c r="CR253" s="42" t="n"/>
      <c r="CS253" s="42" t="n"/>
      <c r="CT253" s="12" t="n"/>
      <c r="CU253" s="42" t="n"/>
      <c r="CV253" s="42" t="n"/>
      <c r="CW253" s="42" t="n"/>
      <c r="CX253" s="42" t="n"/>
      <c r="CY253" s="12" t="n"/>
    </row>
    <row r="254" collapsed="1">
      <c r="C254" s="14" t="inlineStr">
        <is>
          <t>Treasury stock (contra account)</t>
        </is>
      </c>
      <c r="D254" s="46" t="n"/>
      <c r="E254" s="46" t="n"/>
      <c r="F254" s="46" t="n"/>
      <c r="G254" s="46" t="n"/>
      <c r="H254" s="12" t="n"/>
      <c r="I254" s="46">
        <f>'Inputs (2)'!D44</f>
        <v>-19052</v>
      </c>
      <c r="J254" s="46">
        <f>'Inputs (2)'!E44</f>
        <v>-19780</v>
      </c>
      <c r="K254" s="46">
        <f>'Inputs (2)'!F44</f>
        <v>-20533</v>
      </c>
      <c r="L254" s="46">
        <f>'Inputs (2)'!G44</f>
        <v>-21139</v>
      </c>
      <c r="M254" s="12">
        <f>'Inputs (2)'!H44</f>
        <v>-21139</v>
      </c>
      <c r="N254" s="46">
        <f>'Inputs (2)'!I44</f>
        <v>-21727</v>
      </c>
      <c r="O254" s="46">
        <f>'Inputs (2)'!J44</f>
        <v>-22976</v>
      </c>
      <c r="P254" s="46">
        <f>'Inputs (2)'!K44</f>
        <v>-24094</v>
      </c>
      <c r="Q254" s="46">
        <f>'Inputs (2)'!L44</f>
        <v>-25333</v>
      </c>
      <c r="R254" s="12">
        <f>'Inputs (2)'!M44</f>
        <v>-25333</v>
      </c>
      <c r="S254" s="46">
        <f>'Inputs (2)'!N44</f>
        <v>-26630</v>
      </c>
      <c r="T254" s="46">
        <f>'Inputs (2)'!O44</f>
        <v>-28760</v>
      </c>
      <c r="U254" s="46">
        <f>'Inputs (2)'!P44</f>
        <v>-31335</v>
      </c>
      <c r="V254" s="46">
        <f>'Inputs (2)'!Q44</f>
        <v>-32663</v>
      </c>
      <c r="W254" s="12">
        <f>'Inputs (2)'!R44</f>
        <v>-32663</v>
      </c>
      <c r="X254" s="46">
        <f>'Inputs (2)'!S44</f>
        <v>-33764</v>
      </c>
      <c r="Y254" s="46">
        <f>'Inputs (2)'!T44</f>
        <v>-34570</v>
      </c>
      <c r="Z254" s="46">
        <f>'Inputs (2)'!U44</f>
        <v>-35349</v>
      </c>
      <c r="AA254" s="46">
        <f>'Inputs (2)'!V44</f>
        <v>-35709</v>
      </c>
      <c r="AB254" s="12">
        <f>'Inputs (2)'!W44</f>
        <v>-35709</v>
      </c>
      <c r="AC254" s="46">
        <f>'Inputs (2)'!X44</f>
        <v>-36064</v>
      </c>
      <c r="AD254" s="46">
        <f>'Inputs (2)'!Y44</f>
        <v>-36361</v>
      </c>
      <c r="AE254" s="46">
        <f>'Inputs (2)'!Z44</f>
        <v>-36362</v>
      </c>
      <c r="AF254" s="46">
        <f>'Inputs (2)'!AA44</f>
        <v>-36645</v>
      </c>
      <c r="AG254" s="12">
        <f>'Inputs (2)'!AB44</f>
        <v>-36645</v>
      </c>
      <c r="AH254" s="12">
        <f>'Inputs (2)'!AC44</f>
        <v>-36831</v>
      </c>
      <c r="AI254" s="12">
        <f>'Inputs (2)'!AD44</f>
        <v>-37029</v>
      </c>
      <c r="AJ254" s="12">
        <f>AI254</f>
        <v>-37029</v>
      </c>
      <c r="AK254" s="12">
        <f>AJ254</f>
        <v>-37029</v>
      </c>
      <c r="AL254" s="12">
        <f>AK254</f>
        <v>-37029</v>
      </c>
      <c r="AM254" s="12">
        <f>AL254</f>
        <v>-37029</v>
      </c>
      <c r="AN254" s="12">
        <f>AM254</f>
        <v>-37029</v>
      </c>
      <c r="AO254" s="12">
        <f>AN254</f>
        <v>-37029</v>
      </c>
      <c r="AP254" s="12">
        <f>AO254</f>
        <v>-37029</v>
      </c>
      <c r="AQ254" s="12">
        <f>AP254</f>
        <v>-37029</v>
      </c>
      <c r="AR254" s="12">
        <f>AQ254</f>
        <v>-37029</v>
      </c>
      <c r="AS254" s="12">
        <f>AR254</f>
        <v>-37029</v>
      </c>
      <c r="AT254" s="12">
        <f>AS254</f>
        <v>-37029</v>
      </c>
      <c r="AU254" s="12">
        <f>AT254</f>
        <v>-37029</v>
      </c>
      <c r="AV254" s="12">
        <f>AU254</f>
        <v>-37029</v>
      </c>
      <c r="AW254" s="12">
        <f>AV254</f>
        <v>-37029</v>
      </c>
      <c r="AX254" s="12">
        <f>AW254</f>
        <v>-37029</v>
      </c>
      <c r="AY254" s="12">
        <f>AX254</f>
        <v>-37029</v>
      </c>
      <c r="AZ254" s="12">
        <f>AY254</f>
        <v>-37029</v>
      </c>
      <c r="BA254" s="12">
        <f>AZ254</f>
        <v>-37029</v>
      </c>
      <c r="BB254" s="12">
        <f>BA254</f>
        <v>-37029</v>
      </c>
      <c r="BC254" s="12">
        <f>BB254</f>
        <v>-37029</v>
      </c>
      <c r="BD254" s="12">
        <f>BC254</f>
        <v>-37029</v>
      </c>
      <c r="BE254" s="12">
        <f>BD254</f>
        <v>-37029</v>
      </c>
      <c r="BF254" s="12">
        <f>BE254</f>
        <v>-37029</v>
      </c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>
      <c r="C255" s="14" t="inlineStr">
        <is>
          <t>Comprehensive (accumulated) loss</t>
        </is>
      </c>
      <c r="D255" s="46" t="n"/>
      <c r="E255" s="46" t="n"/>
      <c r="F255" s="46" t="n"/>
      <c r="G255" s="46" t="n"/>
      <c r="H255" s="12" t="n"/>
      <c r="I255" s="46">
        <f>'Inputs (2)'!D45</f>
        <v>-4960</v>
      </c>
      <c r="J255" s="46">
        <f>'Inputs (2)'!E45</f>
        <v>-5011</v>
      </c>
      <c r="K255" s="46">
        <f>'Inputs (2)'!F45</f>
        <v>-2539</v>
      </c>
      <c r="L255" s="46">
        <f>'Inputs (2)'!G45</f>
        <v>-3152</v>
      </c>
      <c r="M255" s="12">
        <f>'Inputs (2)'!H45</f>
        <v>-3152</v>
      </c>
      <c r="N255" s="46">
        <f>'Inputs (2)'!I45</f>
        <v>-3291</v>
      </c>
      <c r="O255" s="46">
        <f>'Inputs (2)'!J45</f>
        <v>-3476</v>
      </c>
      <c r="P255" s="46">
        <f>'Inputs (2)'!K45</f>
        <v>-3056</v>
      </c>
      <c r="Q255" s="46">
        <f>'Inputs (2)'!L45</f>
        <v>-2372</v>
      </c>
      <c r="R255" s="12">
        <f>'Inputs (2)'!M45</f>
        <v>-2372</v>
      </c>
      <c r="S255" s="46">
        <f>'Inputs (2)'!N45</f>
        <v>-2538</v>
      </c>
      <c r="T255" s="46">
        <f>'Inputs (2)'!O45</f>
        <v>-2411</v>
      </c>
      <c r="U255" s="46">
        <f>'Inputs (2)'!P45</f>
        <v>-3114</v>
      </c>
      <c r="V255" s="46">
        <f>'Inputs (2)'!Q45</f>
        <v>-2863</v>
      </c>
      <c r="W255" s="12">
        <f>'Inputs (2)'!R45</f>
        <v>-2863</v>
      </c>
      <c r="X255" s="46">
        <f>'Inputs (2)'!S45</f>
        <v>-3171</v>
      </c>
      <c r="Y255" s="46">
        <f>'Inputs (2)'!T45</f>
        <v>-3368</v>
      </c>
      <c r="Z255" s="46">
        <f>'Inputs (2)'!U45</f>
        <v>-3706</v>
      </c>
      <c r="AA255" s="46">
        <f>'Inputs (2)'!V45</f>
        <v>-4167</v>
      </c>
      <c r="AB255" s="12">
        <f>'Inputs (2)'!W45</f>
        <v>-4167</v>
      </c>
      <c r="AC255" s="46">
        <f>'Inputs (2)'!X45</f>
        <v>-3405</v>
      </c>
      <c r="AD255" s="46">
        <f>'Inputs (2)'!Y45</f>
        <v>-3107</v>
      </c>
      <c r="AE255" s="46">
        <f>'Inputs (2)'!Z45</f>
        <v>-3032</v>
      </c>
      <c r="AF255" s="46">
        <f>'Inputs (2)'!AA45</f>
        <v>-2665</v>
      </c>
      <c r="AG255" s="12">
        <f>'Inputs (2)'!AB45</f>
        <v>-2665</v>
      </c>
      <c r="AH255" s="12">
        <f>'Inputs (2)'!AC45</f>
        <v>-2768</v>
      </c>
      <c r="AI255" s="12">
        <f>'Inputs (2)'!AD45</f>
        <v>-2976</v>
      </c>
      <c r="AJ255" s="12">
        <f>AI255</f>
        <v>-2976</v>
      </c>
      <c r="AK255" s="12">
        <f>AJ255</f>
        <v>-2976</v>
      </c>
      <c r="AL255" s="12">
        <f>AK255</f>
        <v>-2976</v>
      </c>
      <c r="AM255" s="12">
        <f>AL255</f>
        <v>-2976</v>
      </c>
      <c r="AN255" s="12">
        <f>AM255</f>
        <v>-2976</v>
      </c>
      <c r="AO255" s="12">
        <f>AN255</f>
        <v>-2976</v>
      </c>
      <c r="AP255" s="12">
        <f>AO255</f>
        <v>-2976</v>
      </c>
      <c r="AQ255" s="12">
        <f>AP255</f>
        <v>-2976</v>
      </c>
      <c r="AR255" s="12">
        <f>AQ255</f>
        <v>-2976</v>
      </c>
      <c r="AS255" s="12">
        <f>AR255</f>
        <v>-2976</v>
      </c>
      <c r="AT255" s="12">
        <f>AS255</f>
        <v>-2976</v>
      </c>
      <c r="AU255" s="12">
        <f>AT255</f>
        <v>-2976</v>
      </c>
      <c r="AV255" s="12">
        <f>AU255</f>
        <v>-2976</v>
      </c>
      <c r="AW255" s="12">
        <f>AV255</f>
        <v>-2976</v>
      </c>
      <c r="AX255" s="12">
        <f>AW255</f>
        <v>-2976</v>
      </c>
      <c r="AY255" s="12">
        <f>AX255</f>
        <v>-2976</v>
      </c>
      <c r="AZ255" s="12">
        <f>AY255</f>
        <v>-2976</v>
      </c>
      <c r="BA255" s="12">
        <f>AZ255</f>
        <v>-2976</v>
      </c>
      <c r="BB255" s="12">
        <f>BA255</f>
        <v>-2976</v>
      </c>
      <c r="BC255" s="12">
        <f>BB255</f>
        <v>-2976</v>
      </c>
      <c r="BD255" s="12">
        <f>BC255</f>
        <v>-2976</v>
      </c>
      <c r="BE255" s="12">
        <f>BD255</f>
        <v>-2976</v>
      </c>
      <c r="BF255" s="12">
        <f>BE255</f>
        <v>-2976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>
      <c r="C256" s="14" t="inlineStr">
        <is>
          <t>Other equity account</t>
        </is>
      </c>
      <c r="D256" s="46" t="n"/>
      <c r="E256" s="46" t="n"/>
      <c r="F256" s="46" t="n"/>
      <c r="G256" s="46" t="n"/>
      <c r="H256" s="12" t="n"/>
      <c r="I256" s="46">
        <f>'Inputs (2)'!D46</f>
        <v>0</v>
      </c>
      <c r="J256" s="46">
        <f>'Inputs (2)'!E46</f>
        <v>0</v>
      </c>
      <c r="K256" s="46">
        <f>'Inputs (2)'!F46</f>
        <v>0</v>
      </c>
      <c r="L256" s="46">
        <f>'Inputs (2)'!G46</f>
        <v>0</v>
      </c>
      <c r="M256" s="12">
        <f>'Inputs (2)'!H46</f>
        <v>0</v>
      </c>
      <c r="N256" s="46">
        <f>'Inputs (2)'!I46</f>
        <v>0</v>
      </c>
      <c r="O256" s="46">
        <f>'Inputs (2)'!J46</f>
        <v>0</v>
      </c>
      <c r="P256" s="46">
        <f>'Inputs (2)'!K46</f>
        <v>0</v>
      </c>
      <c r="Q256" s="46">
        <f>'Inputs (2)'!L46</f>
        <v>0</v>
      </c>
      <c r="R256" s="12">
        <f>'Inputs (2)'!M46</f>
        <v>0</v>
      </c>
      <c r="S256" s="46">
        <f>'Inputs (2)'!N46</f>
        <v>0</v>
      </c>
      <c r="T256" s="46">
        <f>'Inputs (2)'!O46</f>
        <v>0</v>
      </c>
      <c r="U256" s="46">
        <f>'Inputs (2)'!P46</f>
        <v>0</v>
      </c>
      <c r="V256" s="46">
        <f>'Inputs (2)'!Q46</f>
        <v>0</v>
      </c>
      <c r="W256" s="12">
        <f>'Inputs (2)'!R46</f>
        <v>0</v>
      </c>
      <c r="X256" s="46">
        <f>'Inputs (2)'!S46</f>
        <v>0</v>
      </c>
      <c r="Y256" s="46">
        <f>'Inputs (2)'!T46</f>
        <v>0</v>
      </c>
      <c r="Z256" s="46">
        <f>'Inputs (2)'!U46</f>
        <v>0</v>
      </c>
      <c r="AA256" s="46">
        <f>'Inputs (2)'!V46</f>
        <v>0</v>
      </c>
      <c r="AB256" s="12">
        <f>'Inputs (2)'!W46</f>
        <v>0</v>
      </c>
      <c r="AC256" s="46">
        <f>'Inputs (2)'!X46</f>
        <v>0</v>
      </c>
      <c r="AD256" s="46">
        <f>'Inputs (2)'!Y46</f>
        <v>0</v>
      </c>
      <c r="AE256" s="46">
        <f>'Inputs (2)'!Z46</f>
        <v>0</v>
      </c>
      <c r="AF256" s="46">
        <f>'Inputs (2)'!AA46</f>
        <v>0</v>
      </c>
      <c r="AG256" s="12">
        <f>'Inputs (2)'!AB46</f>
        <v>0</v>
      </c>
      <c r="AH256" s="12">
        <f>'Inputs (2)'!AC46</f>
        <v>0</v>
      </c>
      <c r="AI256" s="12">
        <f>'Inputs (2)'!AD46</f>
        <v>0</v>
      </c>
      <c r="AJ256" s="12">
        <f>AI256</f>
        <v>0</v>
      </c>
      <c r="AK256" s="12">
        <f>AJ256</f>
        <v>0</v>
      </c>
      <c r="AL256" s="12">
        <f>AK256</f>
        <v>0</v>
      </c>
      <c r="AM256" s="12">
        <f>AL256</f>
        <v>0</v>
      </c>
      <c r="AN256" s="12">
        <f>AM256</f>
        <v>0</v>
      </c>
      <c r="AO256" s="12">
        <f>AN256</f>
        <v>0</v>
      </c>
      <c r="AP256" s="12">
        <f>AO256</f>
        <v>0</v>
      </c>
      <c r="AQ256" s="12">
        <f>AP256</f>
        <v>0</v>
      </c>
      <c r="AR256" s="12">
        <f>AQ256</f>
        <v>0</v>
      </c>
      <c r="AS256" s="12">
        <f>AR256</f>
        <v>0</v>
      </c>
      <c r="AT256" s="12">
        <f>AS256</f>
        <v>0</v>
      </c>
      <c r="AU256" s="12">
        <f>AT256</f>
        <v>0</v>
      </c>
      <c r="AV256" s="12">
        <f>AU256</f>
        <v>0</v>
      </c>
      <c r="AW256" s="12">
        <f>AV256</f>
        <v>0</v>
      </c>
      <c r="AX256" s="12">
        <f>AW256</f>
        <v>0</v>
      </c>
      <c r="AY256" s="12">
        <f>AX256</f>
        <v>0</v>
      </c>
      <c r="AZ256" s="12">
        <f>AY256</f>
        <v>0</v>
      </c>
      <c r="BA256" s="12">
        <f>AZ256</f>
        <v>0</v>
      </c>
      <c r="BB256" s="12">
        <f>BA256</f>
        <v>0</v>
      </c>
      <c r="BC256" s="12">
        <f>BB256</f>
        <v>0</v>
      </c>
      <c r="BD256" s="12">
        <f>BC256</f>
        <v>0</v>
      </c>
      <c r="BE256" s="12">
        <f>BD256</f>
        <v>0</v>
      </c>
      <c r="BF256" s="12">
        <f>BE256</f>
        <v>0</v>
      </c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>
      <c r="C257" s="15" t="inlineStr">
        <is>
          <t>Retained earnings</t>
        </is>
      </c>
      <c r="D257" s="46" t="n"/>
      <c r="E257" s="46" t="n"/>
      <c r="F257" s="46" t="n"/>
      <c r="G257" s="46" t="n"/>
      <c r="H257" s="12" t="n"/>
      <c r="I257" s="46">
        <f>'Inputs (2)'!D47</f>
        <v>34105</v>
      </c>
      <c r="J257" s="46">
        <f>'Inputs (2)'!E47</f>
        <v>35491</v>
      </c>
      <c r="K257" s="46">
        <f>'Inputs (2)'!F47</f>
        <v>36449</v>
      </c>
      <c r="L257" s="46">
        <f>'Inputs (2)'!G47</f>
        <v>37029</v>
      </c>
      <c r="M257" s="12">
        <f>'Inputs (2)'!H47</f>
        <v>37029</v>
      </c>
      <c r="N257" s="46">
        <f>'Inputs (2)'!I47</f>
        <v>38805</v>
      </c>
      <c r="O257" s="46">
        <f>'Inputs (2)'!J47</f>
        <v>40346</v>
      </c>
      <c r="P257" s="46">
        <f>'Inputs (2)'!K47</f>
        <v>42247</v>
      </c>
      <c r="Q257" s="46">
        <f>'Inputs (2)'!L47</f>
        <v>43846</v>
      </c>
      <c r="R257" s="12">
        <f>'Inputs (2)'!M47</f>
        <v>43846</v>
      </c>
      <c r="S257" s="46">
        <f>'Inputs (2)'!N47</f>
        <v>46336</v>
      </c>
      <c r="T257" s="46">
        <f>'Inputs (2)'!O47</f>
        <v>48947</v>
      </c>
      <c r="U257" s="46">
        <f>'Inputs (2)'!P47</f>
        <v>50931</v>
      </c>
      <c r="V257" s="46">
        <f>'Inputs (2)'!Q47</f>
        <v>52266</v>
      </c>
      <c r="W257" s="12">
        <f>'Inputs (2)'!R47</f>
        <v>52266</v>
      </c>
      <c r="X257" s="46">
        <f>'Inputs (2)'!S47</f>
        <v>54228</v>
      </c>
      <c r="Y257" s="46">
        <f>'Inputs (2)'!T47</f>
        <v>55559</v>
      </c>
      <c r="Z257" s="46">
        <f>'Inputs (2)'!U47</f>
        <v>56402</v>
      </c>
      <c r="AA257" s="46">
        <f>'Inputs (2)'!V47</f>
        <v>56829</v>
      </c>
      <c r="AB257" s="12">
        <f>'Inputs (2)'!W47</f>
        <v>56829</v>
      </c>
      <c r="AC257" s="46">
        <f>'Inputs (2)'!X47</f>
        <v>58191</v>
      </c>
      <c r="AD257" s="46">
        <f>'Inputs (2)'!Y47</f>
        <v>59023</v>
      </c>
      <c r="AE257" s="46">
        <f>'Inputs (2)'!Z47</f>
        <v>59676</v>
      </c>
      <c r="AF257" s="46">
        <f>'Inputs (2)'!AA47</f>
        <v>59895</v>
      </c>
      <c r="AG257" s="12">
        <f>'Inputs (2)'!AB47</f>
        <v>59895</v>
      </c>
      <c r="AH257" s="12">
        <f>'Inputs (2)'!AC47</f>
        <v>61228</v>
      </c>
      <c r="AI257" s="12">
        <f>'Inputs (2)'!AD47</f>
        <v>62169</v>
      </c>
      <c r="AJ257" s="12">
        <f>AI257+AJ124+AJ125</f>
        <v>64123.9829315349</v>
      </c>
      <c r="AK257" s="12">
        <f>AJ257+AK124+AK125</f>
        <v>65639.985913218</v>
      </c>
      <c r="AL257" s="12">
        <f>AK257</f>
        <v>65639.985913218</v>
      </c>
      <c r="AM257" s="12">
        <f>AL257+AM124+AM125</f>
        <v>67748.7616766269</v>
      </c>
      <c r="AN257" s="12">
        <f>AM257+AN124+AN125</f>
        <v>69737.5001630551</v>
      </c>
      <c r="AO257" s="12">
        <f>AN257+AO124+AO125</f>
        <v>71721.7765954954</v>
      </c>
      <c r="AP257" s="12">
        <f>AO257+AP124+AP125</f>
        <v>73260.4953942839</v>
      </c>
      <c r="AQ257" s="12">
        <f>AP257</f>
        <v>73260.4953942839</v>
      </c>
      <c r="AR257" s="12">
        <f>AQ257+AR124+AR125</f>
        <v>75390.3252144578</v>
      </c>
      <c r="AS257" s="12">
        <f>AR257+AS124+AS125</f>
        <v>77398.9193032269</v>
      </c>
      <c r="AT257" s="12">
        <f>AS257+AT124+AT125</f>
        <v>79403.0067887774</v>
      </c>
      <c r="AU257" s="12">
        <f>AT257+AU124+AU125</f>
        <v>80957.0881849066</v>
      </c>
      <c r="AV257" s="12">
        <f>AU257</f>
        <v>80957.0881849066</v>
      </c>
      <c r="AW257" s="12">
        <f>AV257+AW124+AW125</f>
        <v>83097.5331168423</v>
      </c>
      <c r="AX257" s="12">
        <f>AW257+AX124+AX125</f>
        <v>85116.1380762145</v>
      </c>
      <c r="AY257" s="12">
        <f>AX257+AY124+AY125</f>
        <v>87130.2139713731</v>
      </c>
      <c r="AZ257" s="12">
        <f>AY257+AZ124+AZ125</f>
        <v>88692.0409383223</v>
      </c>
      <c r="BA257" s="12">
        <f>AZ257</f>
        <v>88692.0409383223</v>
      </c>
      <c r="BB257" s="12">
        <f>BA257+BB124+BB125</f>
        <v>90832.4858702581</v>
      </c>
      <c r="BC257" s="12">
        <f>BB257+BC124+BC125</f>
        <v>92851.0908296302</v>
      </c>
      <c r="BD257" s="12">
        <f>BC257+BD124+BD125</f>
        <v>94865.1667247888</v>
      </c>
      <c r="BE257" s="12">
        <f>BD257+BE124+BE125</f>
        <v>96426.9936917381</v>
      </c>
      <c r="BF257" s="12">
        <f>BE257</f>
        <v>96426.9936917381</v>
      </c>
      <c r="BG257" s="12" t="n"/>
      <c r="BH257" s="12" t="n"/>
      <c r="BI257" s="12" t="n"/>
      <c r="BJ257" s="12" t="n"/>
      <c r="BK257" s="12" t="n"/>
      <c r="BL257" s="12" t="n"/>
      <c r="BM257" s="12" t="n"/>
      <c r="BN257" s="12" t="n"/>
      <c r="BO257" s="12" t="n"/>
      <c r="BP257" s="12" t="n"/>
      <c r="BQ257" s="12" t="n"/>
      <c r="BR257" s="12" t="n"/>
      <c r="BS257" s="12" t="n"/>
      <c r="BT257" s="12" t="n"/>
      <c r="BU257" s="12" t="n"/>
      <c r="BV257" s="12" t="n"/>
      <c r="BW257" s="12" t="n"/>
      <c r="BX257" s="12" t="n"/>
      <c r="BY257" s="12" t="n"/>
      <c r="BZ257" s="12" t="n"/>
      <c r="CA257" s="12" t="n"/>
      <c r="CB257" s="12" t="n"/>
      <c r="CC257" s="12" t="n"/>
      <c r="CD257" s="12" t="n"/>
      <c r="CE257" s="12" t="n"/>
      <c r="CF257" s="12" t="n"/>
      <c r="CG257" s="12" t="n"/>
      <c r="CH257" s="12" t="n"/>
      <c r="CI257" s="12" t="n"/>
      <c r="CJ257" s="12" t="n"/>
      <c r="CK257" s="12" t="n"/>
      <c r="CL257" s="12" t="n"/>
      <c r="CM257" s="12" t="n"/>
      <c r="CN257" s="12" t="n"/>
      <c r="CO257" s="12" t="n"/>
      <c r="CP257" s="12" t="n"/>
      <c r="CQ257" s="12" t="n"/>
      <c r="CR257" s="12" t="n"/>
      <c r="CS257" s="12" t="n"/>
      <c r="CT257" s="12" t="n"/>
      <c r="CU257" s="12" t="n"/>
      <c r="CV257" s="12" t="n"/>
      <c r="CW257" s="12" t="n"/>
      <c r="CX257" s="12" t="n"/>
      <c r="CY257" s="12" t="n"/>
    </row>
    <row r="258" customFormat="1" s="32">
      <c r="A258" s="30" t="inlineStr">
        <is>
          <t xml:space="preserve"> </t>
        </is>
      </c>
      <c r="B258" s="30" t="n"/>
      <c r="C258" s="65" t="inlineStr">
        <is>
          <t>Total Shareholders' Equity</t>
        </is>
      </c>
      <c r="D258" s="35" t="n"/>
      <c r="E258" s="35" t="n"/>
      <c r="F258" s="35" t="n"/>
      <c r="G258" s="35" t="n"/>
      <c r="H258" s="35" t="n"/>
      <c r="I258" s="35">
        <f>SUM(I235+I240+I241+I254+I255+I256+I257)</f>
        <v>15096</v>
      </c>
      <c r="J258" s="35">
        <f>SUM(J235+J240+J241+J254+J255+J256+J257)</f>
        <v>15733</v>
      </c>
      <c r="K258" s="35">
        <f>SUM(K235+K240+K241+K254+K255+K256+K257)</f>
        <v>18434</v>
      </c>
      <c r="L258" s="35">
        <f>SUM(L235+L240+L241+L254+L255+L256+L257)</f>
        <v>17808</v>
      </c>
      <c r="M258" s="35">
        <f>SUM(M235,M240,M241,M254,M255,M256,M257)</f>
        <v>17808</v>
      </c>
      <c r="N258" s="35">
        <f>SUM(N235+N240+N241+N254+N255+N256+N257)</f>
        <v>19006</v>
      </c>
      <c r="O258" s="35">
        <f>SUM(O235+O240+O241+O254+O255+O256+O257)</f>
        <v>19131</v>
      </c>
      <c r="P258" s="35">
        <f>SUM(P235+P240+P241+P254+P255+P256+P257)</f>
        <v>20357</v>
      </c>
      <c r="Q258" s="35">
        <f>SUM(Q235+Q240+Q241+Q254+Q255+Q256+Q257)</f>
        <v>21436</v>
      </c>
      <c r="R258" s="35">
        <f>SUM(R235,R240,R241,R254,R255,R256,R257)</f>
        <v>21436</v>
      </c>
      <c r="S258" s="35">
        <f>SUM(S235+S240+S241+S254+S255+S256+S257)</f>
        <v>22501</v>
      </c>
      <c r="T258" s="35">
        <f>SUM(T235+T240+T241+T254+T255+T256+T257)</f>
        <v>23152</v>
      </c>
      <c r="U258" s="35">
        <f>SUM(U235+U240+U241+U254+U255+U256+U257)</f>
        <v>21886</v>
      </c>
      <c r="V258" s="35">
        <f>SUM(V235+V240+V241+V254+V255+V256+V257)</f>
        <v>22179</v>
      </c>
      <c r="W258" s="35">
        <f>SUM(W235,W240,W241,W254,W255,W256,W257)</f>
        <v>22179</v>
      </c>
      <c r="X258" s="35">
        <f>SUM(X235+X240+X241+X254+X255+X256+X257)</f>
        <v>22786</v>
      </c>
      <c r="Y258" s="35">
        <f>SUM(Y235+Y240+Y241+Y254+Y255+Y256+Y257)</f>
        <v>23149</v>
      </c>
      <c r="Z258" s="35">
        <f>SUM(Z235+Z240+Z241+Z254+Z255+Z256+Z257)</f>
        <v>22925</v>
      </c>
      <c r="AA258" s="35">
        <f>SUM(AA235+AA240+AA241+AA254+AA255+AA256+AA257)</f>
        <v>22564</v>
      </c>
      <c r="AB258" s="35">
        <f>SUM(AB235,AB240,AB241,AB254,AB255,AB256,AB257)</f>
        <v>22564</v>
      </c>
      <c r="AC258" s="35">
        <f>SUM(AC235+AC240+AC241+AC254+AC255+AC256+AC257)</f>
        <v>24378</v>
      </c>
      <c r="AD258" s="35">
        <f>SUM(AD235+AD240+AD241+AD254+AD255+AD256+AD257)</f>
        <v>25264</v>
      </c>
      <c r="AE258" s="35">
        <f>SUM(AE235+AE240+AE241+AE254+AE255+AE256+AE257)</f>
        <v>26007</v>
      </c>
      <c r="AF258" s="35">
        <f>SUM(AF235+AF240+AF241+AF254+AF255+AF256+AF257)</f>
        <v>26357</v>
      </c>
      <c r="AG258" s="35">
        <f>SUM(AG235,AG240,AG241,AG254,AG255,AG256,AG257)</f>
        <v>26357</v>
      </c>
      <c r="AH258" s="35">
        <f>SUM(AH235+AH240+AH241+AH254+AH255+AH256+AH257)</f>
        <v>27460</v>
      </c>
      <c r="AI258" s="35">
        <f>SUM(AI235+AI240+AI241+AI254+AI255+AI256+AI257)</f>
        <v>28041</v>
      </c>
      <c r="AJ258" s="35">
        <f>SUM(AJ235+AJ240+AJ241+AJ254+AJ255+AJ256+AJ257)</f>
        <v>29995.9829315348</v>
      </c>
      <c r="AK258" s="35">
        <f>SUM(AK235+AK240+AK241+AK254+AK255+AK256+AK257)</f>
        <v>31511.985913218</v>
      </c>
      <c r="AL258" s="35">
        <f>SUM(AL235,AL240,AL241,AL254,AL255,AL256,AL257)</f>
        <v>31511.985913218</v>
      </c>
      <c r="AM258" s="35">
        <f>SUM(AM235+AM240+AM241+AM254+AM255+AM256+AM257)</f>
        <v>33620.7616766269</v>
      </c>
      <c r="AN258" s="35">
        <f>SUM(AN235+AN240+AN241+AN254+AN255+AN256+AN257)</f>
        <v>35609.5001630551</v>
      </c>
      <c r="AO258" s="35">
        <f>SUM(AO235+AO240+AO241+AO254+AO255+AO256+AO257)</f>
        <v>37593.7765954954</v>
      </c>
      <c r="AP258" s="35">
        <f>SUM(AP235+AP240+AP241+AP254+AP255+AP256+AP257)</f>
        <v>39132.4953942839</v>
      </c>
      <c r="AQ258" s="35">
        <f>SUM(AQ235,AQ240,AQ241,AQ254,AQ255,AQ256,AQ257)</f>
        <v>39132.4953942839</v>
      </c>
      <c r="AR258" s="35">
        <f>SUM(AR235+AR240+AR241+AR254+AR255+AR256+AR257)</f>
        <v>41262.3252144578</v>
      </c>
      <c r="AS258" s="35">
        <f>SUM(AS235+AS240+AS241+AS254+AS255+AS256+AS257)</f>
        <v>43270.9193032269</v>
      </c>
      <c r="AT258" s="35">
        <f>SUM(AT235+AT240+AT241+AT254+AT255+AT256+AT257)</f>
        <v>45275.0067887774</v>
      </c>
      <c r="AU258" s="35">
        <f>SUM(AU235+AU240+AU241+AU254+AU255+AU256+AU257)</f>
        <v>46829.0881849066</v>
      </c>
      <c r="AV258" s="35">
        <f>SUM(AV235,AV240,AV241,AV254,AV255,AV256,AV257)</f>
        <v>46829.0881849066</v>
      </c>
      <c r="AW258" s="35">
        <f>SUM(AW235+AW240+AW241+AW254+AW255+AW256+AW257)</f>
        <v>48969.5331168423</v>
      </c>
      <c r="AX258" s="35">
        <f>SUM(AX235+AX240+AX241+AX254+AX255+AX256+AX257)</f>
        <v>50988.1380762145</v>
      </c>
      <c r="AY258" s="35">
        <f>SUM(AY235+AY240+AY241+AY254+AY255+AY256+AY257)</f>
        <v>53002.2139713731</v>
      </c>
      <c r="AZ258" s="35">
        <f>SUM(AZ235+AZ240+AZ241+AZ254+AZ255+AZ256+AZ257)</f>
        <v>54564.0409383223</v>
      </c>
      <c r="BA258" s="35">
        <f>SUM(BA235,BA240,BA241,BA254,BA255,BA256,BA257)</f>
        <v>54564.0409383223</v>
      </c>
      <c r="BB258" s="35">
        <f>SUM(BB235+BB240+BB241+BB254+BB255+BB256+BB257)</f>
        <v>56704.4858702581</v>
      </c>
      <c r="BC258" s="35">
        <f>SUM(BC235+BC240+BC241+BC254+BC255+BC256+BC257)</f>
        <v>58723.0908296302</v>
      </c>
      <c r="BD258" s="35">
        <f>SUM(BD235+BD240+BD241+BD254+BD255+BD256+BD257)</f>
        <v>60737.1667247888</v>
      </c>
      <c r="BE258" s="35">
        <f>SUM(BE235+BE240+BE241+BE254+BE255+BE256+BE257)</f>
        <v>62298.9936917381</v>
      </c>
      <c r="BF258" s="35">
        <f>SUM(BF235,BF240,BF241,BF254,BF255,BF256,BF257)</f>
        <v>62298.9936917381</v>
      </c>
      <c r="BG258" s="35" t="n"/>
      <c r="BH258" s="35" t="n"/>
      <c r="BI258" s="35" t="n"/>
      <c r="BJ258" s="35" t="n"/>
      <c r="BK258" s="35" t="n"/>
      <c r="BL258" s="35" t="n"/>
      <c r="BM258" s="35" t="n"/>
      <c r="BN258" s="35" t="n"/>
      <c r="BO258" s="35" t="n"/>
      <c r="BP258" s="35" t="n"/>
      <c r="BQ258" s="35" t="n"/>
      <c r="BR258" s="35" t="n"/>
      <c r="BS258" s="35" t="n"/>
      <c r="BT258" s="35" t="n"/>
      <c r="BU258" s="35" t="n"/>
      <c r="BV258" s="35" t="n"/>
      <c r="BW258" s="35" t="n"/>
      <c r="BX258" s="35" t="n"/>
      <c r="BY258" s="35" t="n"/>
      <c r="BZ258" s="35" t="n"/>
      <c r="CA258" s="35" t="n"/>
      <c r="CB258" s="35" t="n"/>
      <c r="CC258" s="35" t="n"/>
      <c r="CD258" s="35" t="n"/>
      <c r="CE258" s="35" t="n"/>
      <c r="CF258" s="35" t="n"/>
      <c r="CG258" s="35" t="n"/>
      <c r="CH258" s="35" t="n"/>
      <c r="CI258" s="35" t="n"/>
      <c r="CJ258" s="35" t="n"/>
      <c r="CK258" s="35" t="n"/>
      <c r="CL258" s="35" t="n"/>
      <c r="CM258" s="35" t="n"/>
      <c r="CN258" s="35" t="n"/>
      <c r="CO258" s="35" t="n"/>
      <c r="CP258" s="35" t="n"/>
      <c r="CQ258" s="35" t="n"/>
      <c r="CR258" s="35" t="n"/>
      <c r="CS258" s="35" t="n"/>
      <c r="CT258" s="35" t="n"/>
      <c r="CU258" s="35" t="n"/>
      <c r="CV258" s="35" t="n"/>
      <c r="CW258" s="35" t="n"/>
      <c r="CX258" s="35" t="n"/>
      <c r="CY258" s="35" t="n"/>
    </row>
    <row r="259">
      <c r="C259" s="10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 customFormat="1" s="32">
      <c r="A260" s="30" t="n"/>
      <c r="B260" s="3" t="n"/>
      <c r="C260" s="33" t="inlineStr">
        <is>
          <t>Total Liabilities + Shareholders' Equity</t>
        </is>
      </c>
      <c r="D260" s="35" t="n"/>
      <c r="E260" s="35" t="n"/>
      <c r="F260" s="35" t="n"/>
      <c r="G260" s="35" t="n"/>
      <c r="H260" s="35" t="n"/>
      <c r="I260" s="35">
        <f>I258+I234</f>
        <v>78979</v>
      </c>
      <c r="J260" s="35">
        <f>J258+J234</f>
        <v>80688</v>
      </c>
      <c r="K260" s="35">
        <f>K258+K234</f>
        <v>84114</v>
      </c>
      <c r="L260" s="35">
        <f>L258+L234</f>
        <v>79614</v>
      </c>
      <c r="M260" s="35">
        <f>M258+M234</f>
        <v>79614</v>
      </c>
      <c r="N260" s="35">
        <f>N258+N234</f>
        <v>84099</v>
      </c>
      <c r="O260" s="35">
        <f>O258+O234</f>
        <v>86817</v>
      </c>
      <c r="P260" s="35">
        <f>P258+P234</f>
        <v>90030</v>
      </c>
      <c r="Q260" s="35">
        <f>Q258+Q234</f>
        <v>91620</v>
      </c>
      <c r="R260" s="35">
        <f>R258+R234</f>
        <v>91620</v>
      </c>
      <c r="S260" s="35">
        <f>S258+S234</f>
        <v>98347</v>
      </c>
      <c r="T260" s="35">
        <f>T258+T234</f>
        <v>103397</v>
      </c>
      <c r="U260" s="35">
        <f>U258+U234</f>
        <v>104087</v>
      </c>
      <c r="V260" s="35">
        <f>V258+V234</f>
        <v>101371</v>
      </c>
      <c r="W260" s="35">
        <f>W258+W234</f>
        <v>101371</v>
      </c>
      <c r="X260" s="35">
        <f>X258+X234</f>
        <v>105628</v>
      </c>
      <c r="Y260" s="35">
        <f>Y258+Y234</f>
        <v>107841</v>
      </c>
      <c r="Z260" s="35">
        <f>Z258+Z234</f>
        <v>107320</v>
      </c>
      <c r="AA260" s="35">
        <f>AA258+AA234</f>
        <v>103119</v>
      </c>
      <c r="AB260" s="35">
        <f>AB258+AB234</f>
        <v>103119</v>
      </c>
      <c r="AC260" s="35">
        <f>AC258+AC234</f>
        <v>106303</v>
      </c>
      <c r="AD260" s="35">
        <f>AD258+AD234</f>
        <v>107817</v>
      </c>
      <c r="AE260" s="35">
        <f>AE258+AE234</f>
        <v>105996</v>
      </c>
      <c r="AF260" s="35">
        <f>AF258+AF234</f>
        <v>103436</v>
      </c>
      <c r="AG260" s="35">
        <f>AG258+AG234</f>
        <v>103436</v>
      </c>
      <c r="AH260" s="35">
        <f>AH258+AH234</f>
        <v>107001</v>
      </c>
      <c r="AI260" s="35">
        <f>AI258+AI234</f>
        <v>107607</v>
      </c>
      <c r="AJ260" s="35">
        <f>AJ258+AJ234</f>
        <v>109561.982931535</v>
      </c>
      <c r="AK260" s="35">
        <f>AK258+AK234</f>
        <v>111077.985913218</v>
      </c>
      <c r="AL260" s="35">
        <f>AL258+AL234</f>
        <v>111077.985913218</v>
      </c>
      <c r="AM260" s="35">
        <f>AM258+AM234</f>
        <v>113186.761676627</v>
      </c>
      <c r="AN260" s="35">
        <f>AN258+AN234</f>
        <v>115175.500163055</v>
      </c>
      <c r="AO260" s="35">
        <f>AO258+AO234</f>
        <v>117159.776595495</v>
      </c>
      <c r="AP260" s="35">
        <f>AP258+AP234</f>
        <v>118698.495394284</v>
      </c>
      <c r="AQ260" s="35">
        <f>AQ258+AQ234</f>
        <v>118698.495394284</v>
      </c>
      <c r="AR260" s="35">
        <f>AR258+AR234</f>
        <v>120828.325214458</v>
      </c>
      <c r="AS260" s="35">
        <f>AS258+AS234</f>
        <v>122836.919303227</v>
      </c>
      <c r="AT260" s="35">
        <f>AT258+AT234</f>
        <v>124841.006788777</v>
      </c>
      <c r="AU260" s="35">
        <f>AU258+AU234</f>
        <v>126395.088184907</v>
      </c>
      <c r="AV260" s="35">
        <f>AV258+AV234</f>
        <v>126395.088184907</v>
      </c>
      <c r="AW260" s="35">
        <f>AW258+AW234</f>
        <v>128535.533116842</v>
      </c>
      <c r="AX260" s="35">
        <f>AX258+AX234</f>
        <v>130554.138076214</v>
      </c>
      <c r="AY260" s="35">
        <f>AY258+AY234</f>
        <v>132568.213971373</v>
      </c>
      <c r="AZ260" s="35">
        <f>AZ258+AZ234</f>
        <v>134130.040938322</v>
      </c>
      <c r="BA260" s="35">
        <f>BA258+BA234</f>
        <v>134130.040938322</v>
      </c>
      <c r="BB260" s="35">
        <f>BB258+BB234</f>
        <v>136270.485870258</v>
      </c>
      <c r="BC260" s="35">
        <f>BC258+BC234</f>
        <v>138289.09082963</v>
      </c>
      <c r="BD260" s="35">
        <f>BD258+BD234</f>
        <v>140303.166724789</v>
      </c>
      <c r="BE260" s="35">
        <f>BE258+BE234</f>
        <v>141864.993691738</v>
      </c>
      <c r="BF260" s="35">
        <f>BF258+BF234</f>
        <v>141864.993691738</v>
      </c>
      <c r="BG260" s="35" t="n"/>
      <c r="BH260" s="35" t="n"/>
      <c r="BI260" s="35" t="n"/>
      <c r="BJ260" s="35" t="n"/>
      <c r="BK260" s="35" t="n"/>
      <c r="BL260" s="35" t="n"/>
      <c r="BM260" s="35" t="n"/>
      <c r="BN260" s="35" t="n"/>
      <c r="BO260" s="35" t="n"/>
      <c r="BP260" s="35" t="n"/>
      <c r="BQ260" s="35" t="n"/>
      <c r="BR260" s="35" t="n"/>
      <c r="BS260" s="35" t="n"/>
      <c r="BT260" s="35" t="n"/>
      <c r="BU260" s="35" t="n"/>
      <c r="BV260" s="35" t="n"/>
      <c r="BW260" s="35" t="n"/>
      <c r="BX260" s="35" t="n"/>
      <c r="BY260" s="35" t="n"/>
      <c r="BZ260" s="35" t="n"/>
      <c r="CA260" s="35" t="n"/>
      <c r="CB260" s="35" t="n"/>
      <c r="CC260" s="35" t="n"/>
      <c r="CD260" s="35" t="n"/>
      <c r="CE260" s="35" t="n"/>
      <c r="CF260" s="35" t="n"/>
      <c r="CG260" s="35" t="n"/>
      <c r="CH260" s="35" t="n"/>
      <c r="CI260" s="35" t="n"/>
      <c r="CJ260" s="35" t="n"/>
      <c r="CK260" s="35" t="n"/>
      <c r="CL260" s="35" t="n"/>
      <c r="CM260" s="35" t="n"/>
      <c r="CN260" s="35" t="n"/>
      <c r="CO260" s="35" t="n"/>
      <c r="CP260" s="35" t="n"/>
      <c r="CQ260" s="35" t="n"/>
      <c r="CR260" s="35" t="n"/>
      <c r="CS260" s="35" t="n"/>
      <c r="CT260" s="35" t="n"/>
      <c r="CU260" s="35" t="n"/>
      <c r="CV260" s="35" t="n"/>
      <c r="CW260" s="35" t="n"/>
      <c r="CX260" s="35" t="n"/>
      <c r="CY260" s="35" t="n"/>
    </row>
    <row r="261">
      <c r="C261" s="18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  <c r="AR261" s="3" t="n"/>
      <c r="AS261" s="3" t="n"/>
      <c r="AT261" s="3" t="n"/>
      <c r="AU261" s="3" t="n"/>
      <c r="AV261" s="3" t="n"/>
      <c r="AW261" s="3" t="n"/>
      <c r="AX261" s="3" t="n"/>
      <c r="AY261" s="3" t="n"/>
      <c r="AZ261" s="3" t="n"/>
      <c r="BA261" s="3" t="n"/>
      <c r="BB261" s="3" t="n"/>
      <c r="BC261" s="3" t="n"/>
      <c r="BD261" s="3" t="n"/>
      <c r="BE261" s="3" t="n"/>
      <c r="BF261" s="3" t="n"/>
      <c r="BG261" s="3" t="n"/>
      <c r="BH261" s="3" t="n"/>
      <c r="BI261" s="3" t="n"/>
      <c r="BJ261" s="3" t="n"/>
      <c r="BK261" s="3" t="n"/>
      <c r="BL261" s="3" t="n"/>
      <c r="BM261" s="3" t="n"/>
      <c r="BN261" s="3" t="n"/>
      <c r="BO261" s="3" t="n"/>
      <c r="BP261" s="3" t="n"/>
      <c r="BQ261" s="3" t="n"/>
      <c r="BR261" s="3" t="n"/>
      <c r="BS261" s="3" t="n"/>
      <c r="BT261" s="3" t="n"/>
      <c r="BU261" s="3" t="n"/>
      <c r="BV261" s="3" t="n"/>
      <c r="BW261" s="3" t="n"/>
      <c r="BX261" s="3" t="n"/>
      <c r="BY261" s="3" t="n"/>
      <c r="BZ261" s="3" t="n"/>
      <c r="CA261" s="3" t="n"/>
      <c r="CB261" s="3" t="n"/>
      <c r="CC261" s="3" t="n"/>
      <c r="CD261" s="3" t="n"/>
      <c r="CE261" s="3" t="n"/>
      <c r="CF261" s="3" t="n"/>
      <c r="CG261" s="3" t="n"/>
      <c r="CH261" s="3" t="n"/>
      <c r="CI261" s="3" t="n"/>
      <c r="CJ261" s="3" t="n"/>
      <c r="CK261" s="3" t="n"/>
      <c r="CL261" s="3" t="n"/>
      <c r="CM261" s="3" t="n"/>
      <c r="CN261" s="3" t="n"/>
      <c r="CO261" s="3" t="n"/>
      <c r="CP261" s="3" t="n"/>
      <c r="CQ261" s="3" t="n"/>
      <c r="CR261" s="3" t="n"/>
      <c r="CS261" s="3" t="n"/>
      <c r="CT261" s="3" t="n"/>
      <c r="CU261" s="3" t="n"/>
      <c r="CV261" s="3" t="n"/>
      <c r="CW261" s="3" t="n"/>
      <c r="CX261" s="3" t="n"/>
      <c r="CY261" s="3" t="n"/>
    </row>
    <row r="262" customFormat="1" s="32">
      <c r="A262" s="30" t="n"/>
      <c r="B262" s="30" t="n"/>
      <c r="C262" s="31" t="inlineStr">
        <is>
          <t>Cash Flow Statement</t>
        </is>
      </c>
      <c r="D262" s="70" t="n"/>
      <c r="E262" s="70" t="n"/>
      <c r="F262" s="70" t="n"/>
      <c r="G262" s="70" t="n"/>
      <c r="H262" s="70" t="n"/>
      <c r="I262" s="70" t="str">
        <f>I129</f>
        <v>1Q21</v>
      </c>
      <c r="J262" s="70" t="str">
        <f>J129</f>
        <v>2Q21</v>
      </c>
      <c r="K262" s="70" t="str">
        <f>K129</f>
        <v>3Q21</v>
      </c>
      <c r="L262" s="70" t="str">
        <f>L129</f>
        <v>4Q21</v>
      </c>
      <c r="M262" s="70">
        <f>M129</f>
        <v>2021</v>
      </c>
      <c r="N262" s="70" t="str">
        <f>N129</f>
        <v>1Q22</v>
      </c>
      <c r="O262" s="70" t="str">
        <f>O129</f>
        <v>2Q22</v>
      </c>
      <c r="P262" s="70" t="str">
        <f>P129</f>
        <v>3Q22</v>
      </c>
      <c r="Q262" s="70" t="str">
        <f>Q129</f>
        <v>4Q22</v>
      </c>
      <c r="R262" s="70">
        <f>R129</f>
        <v>2022</v>
      </c>
      <c r="S262" s="70" t="str">
        <f>S129</f>
        <v>1Q23</v>
      </c>
      <c r="T262" s="70" t="str">
        <f>T129</f>
        <v>2Q23</v>
      </c>
      <c r="U262" s="70" t="str">
        <f>U129</f>
        <v>3Q23</v>
      </c>
      <c r="V262" s="70" t="str">
        <f>V129</f>
        <v>4Q23</v>
      </c>
      <c r="W262" s="70">
        <f>W129</f>
        <v>2023</v>
      </c>
      <c r="X262" s="70" t="str">
        <f>X129</f>
        <v>1Q24</v>
      </c>
      <c r="Y262" s="70" t="str">
        <f>Y129</f>
        <v>2Q24</v>
      </c>
      <c r="Z262" s="70" t="str">
        <f>Z129</f>
        <v>3Q24</v>
      </c>
      <c r="AA262" s="70" t="str">
        <f>AA129</f>
        <v>4Q24</v>
      </c>
      <c r="AB262" s="70">
        <f>AB129</f>
        <v>2024</v>
      </c>
      <c r="AC262" s="70" t="str">
        <f>AC129</f>
        <v>1Q25</v>
      </c>
      <c r="AD262" s="70" t="str">
        <f>AD129</f>
        <v>2Q25</v>
      </c>
      <c r="AE262" s="70" t="str">
        <f>AE129</f>
        <v>3Q25</v>
      </c>
      <c r="AF262" s="70" t="str">
        <f>AF129</f>
        <v>4Q25</v>
      </c>
      <c r="AG262" s="70">
        <f>AG129</f>
        <v>2025</v>
      </c>
      <c r="AH262" s="70" t="str">
        <f>AH129</f>
        <v>1Q26</v>
      </c>
      <c r="AI262" s="70" t="str">
        <f>AI129</f>
        <v>2Q26</v>
      </c>
      <c r="AJ262" s="70" t="str">
        <f>AJ129</f>
        <v>3Q26</v>
      </c>
      <c r="AK262" s="70" t="str">
        <f>AK129</f>
        <v>4Q26</v>
      </c>
      <c r="AL262" s="70">
        <f>AL129</f>
        <v>2026</v>
      </c>
      <c r="AM262" s="70" t="str">
        <f>AM129</f>
        <v>1Q27</v>
      </c>
      <c r="AN262" s="70" t="str">
        <f>AN129</f>
        <v>2Q27</v>
      </c>
      <c r="AO262" s="70" t="str">
        <f>AO129</f>
        <v>3Q27</v>
      </c>
      <c r="AP262" s="70" t="str">
        <f>AP129</f>
        <v>4Q27</v>
      </c>
      <c r="AQ262" s="70">
        <f>AQ129</f>
        <v>2027</v>
      </c>
      <c r="AR262" s="70" t="str">
        <f>AR129</f>
        <v>1Q28</v>
      </c>
      <c r="AS262" s="70" t="str">
        <f>AS129</f>
        <v>2Q28</v>
      </c>
      <c r="AT262" s="70" t="str">
        <f>AT129</f>
        <v>3Q28</v>
      </c>
      <c r="AU262" s="70" t="str">
        <f>AU129</f>
        <v>4Q28</v>
      </c>
      <c r="AV262" s="70">
        <f>AV129</f>
        <v>2028</v>
      </c>
      <c r="AW262" s="70" t="str">
        <f>AW129</f>
        <v>1Q29</v>
      </c>
      <c r="AX262" s="70" t="str">
        <f>AX129</f>
        <v>2Q29</v>
      </c>
      <c r="AY262" s="70" t="str">
        <f>AY129</f>
        <v>3Q29</v>
      </c>
      <c r="AZ262" s="70" t="str">
        <f>AZ129</f>
        <v>4Q29</v>
      </c>
      <c r="BA262" s="70">
        <f>BA129</f>
        <v>2029</v>
      </c>
      <c r="BB262" s="70" t="str">
        <f>BB129</f>
        <v>1Q30</v>
      </c>
      <c r="BC262" s="70" t="str">
        <f>BC129</f>
        <v>2Q30</v>
      </c>
      <c r="BD262" s="70" t="str">
        <f>BD129</f>
        <v>3Q30</v>
      </c>
      <c r="BE262" s="70" t="str">
        <f>BE129</f>
        <v>4Q30</v>
      </c>
      <c r="BF262" s="70">
        <f>BF129</f>
        <v>2030</v>
      </c>
      <c r="BG262" s="70" t="n"/>
      <c r="BH262" s="70" t="n"/>
      <c r="BI262" s="70" t="n"/>
      <c r="BJ262" s="70" t="n"/>
      <c r="BK262" s="70" t="n"/>
      <c r="BL262" s="70" t="n"/>
      <c r="BM262" s="70" t="n"/>
      <c r="BN262" s="70" t="n"/>
      <c r="BO262" s="70" t="n"/>
      <c r="BP262" s="70" t="n"/>
      <c r="BQ262" s="70" t="n"/>
      <c r="BR262" s="70" t="n"/>
      <c r="BS262" s="70" t="n"/>
      <c r="BT262" s="70" t="n"/>
      <c r="BU262" s="70" t="n"/>
      <c r="BV262" s="70" t="n"/>
      <c r="BW262" s="70" t="n"/>
      <c r="BX262" s="70" t="n"/>
      <c r="BY262" s="70" t="n"/>
      <c r="BZ262" s="70" t="n"/>
      <c r="CA262" s="70" t="n"/>
      <c r="CB262" s="70" t="n"/>
      <c r="CC262" s="70" t="n"/>
      <c r="CD262" s="70" t="n"/>
      <c r="CE262" s="70" t="n"/>
      <c r="CF262" s="70" t="n"/>
      <c r="CG262" s="70" t="n"/>
      <c r="CH262" s="70" t="n"/>
      <c r="CI262" s="70" t="n"/>
      <c r="CJ262" s="70" t="n"/>
      <c r="CK262" s="70" t="n"/>
      <c r="CL262" s="70" t="n"/>
      <c r="CM262" s="70" t="n"/>
      <c r="CN262" s="70" t="n"/>
      <c r="CO262" s="70" t="n"/>
      <c r="CP262" s="70" t="n"/>
      <c r="CQ262" s="70" t="n"/>
      <c r="CR262" s="70" t="n"/>
      <c r="CS262" s="70" t="n"/>
      <c r="CT262" s="70" t="n"/>
      <c r="CU262" s="70" t="n"/>
      <c r="CV262" s="70" t="n"/>
      <c r="CW262" s="70" t="n"/>
      <c r="CX262" s="70" t="n"/>
      <c r="CY262" s="70" t="n"/>
    </row>
    <row r="263">
      <c r="C263" s="18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  <c r="AY263" s="3" t="n"/>
      <c r="AZ263" s="3" t="n"/>
      <c r="BA263" s="3" t="n"/>
      <c r="BB263" s="3" t="n"/>
      <c r="BC263" s="3" t="n"/>
      <c r="BD263" s="3" t="n"/>
      <c r="BE263" s="3" t="n"/>
      <c r="BF263" s="3" t="n"/>
      <c r="BG263" s="3" t="n"/>
      <c r="BH263" s="3" t="n"/>
      <c r="BI263" s="3" t="n"/>
      <c r="BJ263" s="3" t="n"/>
      <c r="BK263" s="3" t="n"/>
      <c r="BL263" s="3" t="n"/>
      <c r="BM263" s="3" t="n"/>
      <c r="BN263" s="3" t="n"/>
      <c r="BO263" s="3" t="n"/>
      <c r="BP263" s="3" t="n"/>
      <c r="BQ263" s="3" t="n"/>
      <c r="BR263" s="3" t="n"/>
      <c r="BS263" s="3" t="n"/>
      <c r="BT263" s="3" t="n"/>
      <c r="BU263" s="3" t="n"/>
      <c r="BV263" s="3" t="n"/>
      <c r="BW263" s="3" t="n"/>
      <c r="BX263" s="3" t="n"/>
      <c r="BY263" s="3" t="n"/>
      <c r="BZ263" s="3" t="n"/>
      <c r="CA263" s="3" t="n"/>
      <c r="CB263" s="3" t="n"/>
      <c r="CC263" s="3" t="n"/>
      <c r="CD263" s="3" t="n"/>
      <c r="CE263" s="3" t="n"/>
      <c r="CF263" s="3" t="n"/>
      <c r="CG263" s="3" t="n"/>
      <c r="CH263" s="3" t="n"/>
      <c r="CI263" s="3" t="n"/>
      <c r="CJ263" s="3" t="n"/>
      <c r="CK263" s="3" t="n"/>
      <c r="CL263" s="3" t="n"/>
      <c r="CM263" s="3" t="n"/>
      <c r="CN263" s="3" t="n"/>
      <c r="CO263" s="3" t="n"/>
      <c r="CP263" s="3" t="n"/>
      <c r="CQ263" s="3" t="n"/>
      <c r="CR263" s="3" t="n"/>
      <c r="CS263" s="3" t="n"/>
      <c r="CT263" s="3" t="n"/>
      <c r="CU263" s="3" t="n"/>
      <c r="CV263" s="3" t="n"/>
      <c r="CW263" s="3" t="n"/>
      <c r="CX263" s="3" t="n"/>
      <c r="CY263" s="3" t="n"/>
    </row>
    <row r="264">
      <c r="C264" s="10" t="inlineStr">
        <is>
          <t>Net Income</t>
        </is>
      </c>
      <c r="D264" s="12" t="n"/>
      <c r="E264" s="12" t="n"/>
      <c r="F264" s="12" t="n"/>
      <c r="G264" s="12" t="n"/>
      <c r="H264" s="12" t="n"/>
      <c r="I264" s="12" t="n"/>
      <c r="J264" s="12">
        <f>J124</f>
        <v>1667</v>
      </c>
      <c r="K264" s="12">
        <f>K124</f>
        <v>1283</v>
      </c>
      <c r="L264" s="12">
        <f>L124</f>
        <v>903</v>
      </c>
      <c r="M264" s="12" t="n"/>
      <c r="N264" s="12">
        <f>N124</f>
        <v>2098</v>
      </c>
      <c r="O264" s="12">
        <f>O124</f>
        <v>1884</v>
      </c>
      <c r="P264" s="12">
        <f>P124</f>
        <v>2246</v>
      </c>
      <c r="Q264" s="12">
        <f>Q124</f>
        <v>1959</v>
      </c>
      <c r="R264" s="12">
        <f>SUM(N264:Q264)</f>
        <v>8187</v>
      </c>
      <c r="S264" s="12">
        <f>S124</f>
        <v>2860</v>
      </c>
      <c r="T264" s="12">
        <f>T124</f>
        <v>2978</v>
      </c>
      <c r="U264" s="12">
        <f>U124</f>
        <v>2369</v>
      </c>
      <c r="V264" s="12">
        <f>V124</f>
        <v>1751</v>
      </c>
      <c r="W264" s="12">
        <f>SUM(S264:V264)</f>
        <v>9958</v>
      </c>
      <c r="X264" s="12">
        <f>X124</f>
        <v>2370</v>
      </c>
      <c r="Y264" s="12">
        <f>Y124</f>
        <v>1734</v>
      </c>
      <c r="Z264" s="12">
        <f>Z124</f>
        <v>1245</v>
      </c>
      <c r="AA264" s="12">
        <f>AA124</f>
        <v>869</v>
      </c>
      <c r="AB264" s="12">
        <f>SUM(X264:AA264)</f>
        <v>6218</v>
      </c>
      <c r="AC264" s="12">
        <f>AC124</f>
        <v>1804</v>
      </c>
      <c r="AD264" s="12">
        <f>AD124</f>
        <v>1289</v>
      </c>
      <c r="AE264" s="12">
        <f>AE124</f>
        <v>1065</v>
      </c>
      <c r="AF264" s="12">
        <f>AF124</f>
        <v>656</v>
      </c>
      <c r="AG264" s="12">
        <f>SUM(AC264:AF264)</f>
        <v>4814</v>
      </c>
      <c r="AH264" s="12">
        <f>AH124</f>
        <v>1773</v>
      </c>
      <c r="AI264" s="12">
        <f>AI124</f>
        <v>1379</v>
      </c>
      <c r="AJ264" s="12">
        <f>AJ124</f>
        <v>1954.98293153485</v>
      </c>
      <c r="AK264" s="12">
        <f>AK124</f>
        <v>1516.00298168319</v>
      </c>
      <c r="AL264" s="12">
        <f>SUM(AH264:AK264)</f>
        <v>6622.98591321804</v>
      </c>
      <c r="AM264" s="12">
        <f>AM124</f>
        <v>2108.77576340886</v>
      </c>
      <c r="AN264" s="12">
        <f>AN124</f>
        <v>1988.73848642822</v>
      </c>
      <c r="AO264" s="12">
        <f>AO124</f>
        <v>1984.27643244032</v>
      </c>
      <c r="AP264" s="12">
        <f>AP124</f>
        <v>1538.71879878844</v>
      </c>
      <c r="AQ264" s="12">
        <f>SUM(AM264:AP264)</f>
        <v>7620.50948106584</v>
      </c>
      <c r="AR264" s="12">
        <f>AR124</f>
        <v>2129.82982017397</v>
      </c>
      <c r="AS264" s="12">
        <f>AS124</f>
        <v>2008.59408876905</v>
      </c>
      <c r="AT264" s="12">
        <f>AT124</f>
        <v>2004.08748555046</v>
      </c>
      <c r="AU264" s="12">
        <f>AU124</f>
        <v>1554.08139612922</v>
      </c>
      <c r="AV264" s="12">
        <f>SUM(AR264:AU264)</f>
        <v>7696.5927906227</v>
      </c>
      <c r="AW264" s="12">
        <f>AW124</f>
        <v>2140.44493193576</v>
      </c>
      <c r="AX264" s="12">
        <f>AX124</f>
        <v>2018.60495937213</v>
      </c>
      <c r="AY264" s="12">
        <f>AY124</f>
        <v>2014.0758951586</v>
      </c>
      <c r="AZ264" s="12">
        <f>AZ124</f>
        <v>1561.82696694927</v>
      </c>
      <c r="BA264" s="12">
        <f>SUM(AW264:AZ264)</f>
        <v>7734.95275341576</v>
      </c>
      <c r="BB264" s="12">
        <f>BB124</f>
        <v>2140.44493193576</v>
      </c>
      <c r="BC264" s="12">
        <f>BC124</f>
        <v>2018.60495937213</v>
      </c>
      <c r="BD264" s="12">
        <f>BD124</f>
        <v>2014.0758951586</v>
      </c>
      <c r="BE264" s="12">
        <f>BE124</f>
        <v>1561.82696694927</v>
      </c>
      <c r="BF264" s="12">
        <f>SUM(BB264:BE264)</f>
        <v>7734.95275341576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>
      <c r="C265" s="10" t="inlineStr">
        <is>
          <t>Depreciation &amp; amortization</t>
        </is>
      </c>
      <c r="D265" s="12" t="n"/>
      <c r="E265" s="12" t="n"/>
      <c r="F265" s="12" t="n"/>
      <c r="G265" s="12" t="n"/>
      <c r="H265" s="12" t="n"/>
      <c r="I265" s="12" t="n"/>
      <c r="J265" s="12">
        <f>-J57</f>
        <v>515</v>
      </c>
      <c r="K265" s="12">
        <f>-K57</f>
        <v>481</v>
      </c>
      <c r="L265" s="12">
        <f>-L57</f>
        <v>486</v>
      </c>
      <c r="M265" s="12" t="n"/>
      <c r="N265" s="12">
        <f>-N57</f>
        <v>447</v>
      </c>
      <c r="O265" s="12">
        <f>-O57</f>
        <v>510</v>
      </c>
      <c r="P265" s="12">
        <f>-P57</f>
        <v>452</v>
      </c>
      <c r="Q265" s="12">
        <f>-Q57</f>
        <v>494</v>
      </c>
      <c r="R265" s="12">
        <f>SUM(N265:Q265)</f>
        <v>1903</v>
      </c>
      <c r="S265" s="12">
        <f>-S57</f>
        <v>501</v>
      </c>
      <c r="T265" s="12">
        <f>-T57</f>
        <v>532</v>
      </c>
      <c r="U265" s="12">
        <f>-U57</f>
        <v>477</v>
      </c>
      <c r="V265" s="12">
        <f>-V57</f>
        <v>520</v>
      </c>
      <c r="W265" s="12">
        <f>SUM(S265:V265)</f>
        <v>2030</v>
      </c>
      <c r="X265" s="12">
        <f>-X57</f>
        <v>525</v>
      </c>
      <c r="Y265" s="12">
        <f>-Y57</f>
        <v>553</v>
      </c>
      <c r="Z265" s="12">
        <f>-Z57</f>
        <v>520</v>
      </c>
      <c r="AA265" s="12">
        <f>-AA57</f>
        <v>549</v>
      </c>
      <c r="AB265" s="12">
        <f>SUM(X265:AA265)</f>
        <v>2147</v>
      </c>
      <c r="AC265" s="12">
        <f>-AC57</f>
        <v>555</v>
      </c>
      <c r="AD265" s="12">
        <f>-AD57</f>
        <v>564</v>
      </c>
      <c r="AE265" s="12">
        <f>-AE57</f>
        <v>561</v>
      </c>
      <c r="AF265" s="12">
        <f>-AF57</f>
        <v>590</v>
      </c>
      <c r="AG265" s="12">
        <f>SUM(AC265:AF265)</f>
        <v>2270</v>
      </c>
      <c r="AH265" s="12">
        <f>-AH57</f>
        <v>594</v>
      </c>
      <c r="AI265" s="12">
        <f>-AI57</f>
        <v>603</v>
      </c>
      <c r="AJ265" s="12">
        <f>-AJ57</f>
        <v>606.603003983878</v>
      </c>
      <c r="AK265" s="12">
        <f>-AK57</f>
        <v>470.393857615705</v>
      </c>
      <c r="AL265" s="12">
        <f>SUM(AH265:AK265)</f>
        <v>2273.99686159958</v>
      </c>
      <c r="AM265" s="12">
        <f>-AM57</f>
        <v>654.322701328099</v>
      </c>
      <c r="AN265" s="12">
        <f>-AN57</f>
        <v>617.076865759943</v>
      </c>
      <c r="AO265" s="12">
        <f>-AO57</f>
        <v>615.692354770441</v>
      </c>
      <c r="AP265" s="12">
        <f>-AP57</f>
        <v>477.442247998927</v>
      </c>
      <c r="AQ265" s="12">
        <f>SUM(AM265:AP265)</f>
        <v>2364.53416985741</v>
      </c>
      <c r="AR265" s="12">
        <f>-AR57</f>
        <v>660.855471447855</v>
      </c>
      <c r="AS265" s="12">
        <f>-AS57</f>
        <v>623.237772758962</v>
      </c>
      <c r="AT265" s="12">
        <f>-AT57</f>
        <v>621.839438785779</v>
      </c>
      <c r="AU265" s="12">
        <f>-AU57</f>
        <v>482.209040355827</v>
      </c>
      <c r="AV265" s="12">
        <f>SUM(AR265:AU265)</f>
        <v>2388.14172334842</v>
      </c>
      <c r="AW265" s="12">
        <f>-AW57</f>
        <v>664.149187509749</v>
      </c>
      <c r="AX265" s="12">
        <f>-AX57</f>
        <v>626.344001505192</v>
      </c>
      <c r="AY265" s="12">
        <f>-AY57</f>
        <v>624.938698209265</v>
      </c>
      <c r="AZ265" s="12">
        <f>-AZ57</f>
        <v>484.612379255224</v>
      </c>
      <c r="BA265" s="12">
        <f>SUM(AW265:AZ265)</f>
        <v>2400.04426647943</v>
      </c>
      <c r="BB265" s="12">
        <f>-BB57</f>
        <v>664.149187509749</v>
      </c>
      <c r="BC265" s="12">
        <f>-BC57</f>
        <v>626.344001505192</v>
      </c>
      <c r="BD265" s="12">
        <f>-BD57</f>
        <v>624.938698209265</v>
      </c>
      <c r="BE265" s="12">
        <f>-BE57</f>
        <v>484.612379255224</v>
      </c>
      <c r="BF265" s="12">
        <f>SUM(BB265:BE265)</f>
        <v>2400.04426647943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>
      <c r="C266" s="10" t="inlineStr">
        <is>
          <t xml:space="preserve">Changes in working capital </t>
        </is>
      </c>
      <c r="D266" s="12" t="n"/>
      <c r="E266" s="12" t="n"/>
      <c r="F266" s="12" t="n"/>
      <c r="G266" s="12" t="n"/>
      <c r="H266" s="12" t="n"/>
      <c r="I266" s="12" t="n"/>
      <c r="J266" s="12">
        <f>SUM(J267:J276)</f>
        <v>-9723</v>
      </c>
      <c r="K266" s="12">
        <f>SUM(K267:K276)</f>
        <v>-3175</v>
      </c>
      <c r="L266" s="12">
        <f>SUM(L267:L276)</f>
        <v>-3105</v>
      </c>
      <c r="M266" s="12" t="n"/>
      <c r="N266" s="12">
        <f>SUM(N267:N276)</f>
        <v>-2061</v>
      </c>
      <c r="O266" s="12">
        <f>SUM(O267:O276)</f>
        <v>71108</v>
      </c>
      <c r="P266" s="12">
        <f>SUM(P267:P276)</f>
        <v>3016</v>
      </c>
      <c r="Q266" s="12">
        <f>SUM(Q267:Q276)</f>
        <v>-3772</v>
      </c>
      <c r="R266" s="12">
        <f>SUM(N266:Q266)</f>
        <v>68291</v>
      </c>
      <c r="S266" s="12">
        <f>SUM(S267:S276)</f>
        <v>-73</v>
      </c>
      <c r="T266" s="12">
        <f>SUM(T267:T276)</f>
        <v>4322</v>
      </c>
      <c r="U266" s="12">
        <f>SUM(U267:U276)</f>
        <v>3897</v>
      </c>
      <c r="V266" s="12">
        <f>SUM(V267:V276)</f>
        <v>-2647</v>
      </c>
      <c r="W266" s="12">
        <f>SUM(S266:V266)</f>
        <v>5499</v>
      </c>
      <c r="X266" s="12">
        <f>SUM(X267:X276)</f>
        <v>1581</v>
      </c>
      <c r="Y266" s="12">
        <f>SUM(Y267:Y276)</f>
        <v>3113</v>
      </c>
      <c r="Z266" s="12">
        <f>SUM(Z267:Z276)</f>
        <v>3135</v>
      </c>
      <c r="AA266" s="12">
        <f>SUM(AA267:AA276)</f>
        <v>-3168</v>
      </c>
      <c r="AB266" s="12">
        <f>SUM(X266:AA266)</f>
        <v>4661</v>
      </c>
      <c r="AC266" s="12">
        <f>SUM(AC267:AC276)</f>
        <v>-2171</v>
      </c>
      <c r="AD266" s="12">
        <f>SUM(AD267:AD276)</f>
        <v>2205</v>
      </c>
      <c r="AE266" s="12">
        <f>SUM(AE267:AE276)</f>
        <v>-763</v>
      </c>
      <c r="AF266" s="12">
        <f>SUM(AF267:AF276)</f>
        <v>-5158</v>
      </c>
      <c r="AG266" s="12">
        <f>SUM(AC266:AF266)</f>
        <v>-5887</v>
      </c>
      <c r="AH266" s="12">
        <f>SUM(AH267:AH276)</f>
        <v>-484</v>
      </c>
      <c r="AI266" s="12">
        <f>SUM(AI267:AI276)</f>
        <v>-963</v>
      </c>
      <c r="AJ266" s="12">
        <f>SUM(AJ267:AJ276)</f>
        <v>7811</v>
      </c>
      <c r="AK266" s="12">
        <f>SUM(AK267:AK276)</f>
        <v>0</v>
      </c>
      <c r="AL266" s="12">
        <f>SUM(AH266:AK266)</f>
        <v>6364</v>
      </c>
      <c r="AM266" s="12">
        <f>SUM(AM267:AM276)</f>
        <v>0</v>
      </c>
      <c r="AN266" s="12">
        <f>SUM(AN267:AN276)</f>
        <v>0</v>
      </c>
      <c r="AO266" s="12">
        <f>SUM(AO267:AO276)</f>
        <v>0</v>
      </c>
      <c r="AP266" s="12">
        <f>SUM(AP267:AP276)</f>
        <v>0</v>
      </c>
      <c r="AQ266" s="12">
        <f>SUM(AM266:AP266)</f>
        <v>0</v>
      </c>
      <c r="AR266" s="12">
        <f>SUM(AR267:AR276)</f>
        <v>0</v>
      </c>
      <c r="AS266" s="12">
        <f>SUM(AS267:AS276)</f>
        <v>0</v>
      </c>
      <c r="AT266" s="12">
        <f>SUM(AT267:AT276)</f>
        <v>0</v>
      </c>
      <c r="AU266" s="12">
        <f>SUM(AU267:AU276)</f>
        <v>0</v>
      </c>
      <c r="AV266" s="12">
        <f>SUM(AR266:AU266)</f>
        <v>0</v>
      </c>
      <c r="AW266" s="12">
        <f>SUM(AW267:AW276)</f>
        <v>0</v>
      </c>
      <c r="AX266" s="12">
        <f>SUM(AX267:AX276)</f>
        <v>0</v>
      </c>
      <c r="AY266" s="12">
        <f>SUM(AY267:AY276)</f>
        <v>0</v>
      </c>
      <c r="AZ266" s="12">
        <f>SUM(AZ267:AZ276)</f>
        <v>0</v>
      </c>
      <c r="BA266" s="12">
        <f>SUM(AW266:AZ266)</f>
        <v>0</v>
      </c>
      <c r="BB266" s="12">
        <f>SUM(BB267:BB276)</f>
        <v>0</v>
      </c>
      <c r="BC266" s="12">
        <f>SUM(BC267:BC276)</f>
        <v>0</v>
      </c>
      <c r="BD266" s="12">
        <f>SUM(BD267:BD276)</f>
        <v>0</v>
      </c>
      <c r="BE266" s="12">
        <f>SUM(BE267:BE276)</f>
        <v>0</v>
      </c>
      <c r="BF266" s="12">
        <f>SUM(BB266:BE266)</f>
        <v>0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hidden="1" outlineLevel="1">
      <c r="C267" s="10" t="inlineStr">
        <is>
          <t>Accounts receivable</t>
        </is>
      </c>
      <c r="D267" s="12" t="n"/>
      <c r="E267" s="12" t="n"/>
      <c r="F267" s="12" t="n"/>
      <c r="G267" s="12" t="n"/>
      <c r="H267" s="12" t="n"/>
      <c r="I267" s="12" t="n"/>
      <c r="J267" s="12">
        <f>(J132-I132)*-1</f>
        <v>0</v>
      </c>
      <c r="K267" s="12">
        <f>(K132-J132)*-1</f>
        <v>0</v>
      </c>
      <c r="L267" s="12">
        <f>(L132-K132)*-1</f>
        <v>0</v>
      </c>
      <c r="M267" s="12" t="n"/>
      <c r="N267" s="12">
        <f>(N132-M132)*-1</f>
        <v>0</v>
      </c>
      <c r="O267" s="12">
        <f>(O132-N132)*-1</f>
        <v>0</v>
      </c>
      <c r="P267" s="12">
        <f>(P132-O132)*-1</f>
        <v>0</v>
      </c>
      <c r="Q267" s="12">
        <f>(Q132-P132)*-1</f>
        <v>0</v>
      </c>
      <c r="R267" s="12">
        <f>SUM(N267:Q267)</f>
        <v>0</v>
      </c>
      <c r="S267" s="12">
        <f>(S132-R132)*-1</f>
        <v>0</v>
      </c>
      <c r="T267" s="12">
        <f>(T132-S132)*-1</f>
        <v>0</v>
      </c>
      <c r="U267" s="12">
        <f>(U132-T132)*-1</f>
        <v>0</v>
      </c>
      <c r="V267" s="12">
        <f>(V132-U132)*-1</f>
        <v>0</v>
      </c>
      <c r="W267" s="12">
        <f>SUM(S267:V267)</f>
        <v>0</v>
      </c>
      <c r="X267" s="12">
        <f>(X132-W132)*-1</f>
        <v>0</v>
      </c>
      <c r="Y267" s="12">
        <f>(Y132-X132)*-1</f>
        <v>0</v>
      </c>
      <c r="Z267" s="12">
        <f>(Z132-Y132)*-1</f>
        <v>0</v>
      </c>
      <c r="AA267" s="12">
        <f>(AA132-Z132)*-1</f>
        <v>0</v>
      </c>
      <c r="AB267" s="12">
        <f>SUM(X267:AA267)</f>
        <v>0</v>
      </c>
      <c r="AC267" s="12">
        <f>(AC132-AB132)*-1</f>
        <v>0</v>
      </c>
      <c r="AD267" s="12">
        <f>(AD132-AC132)*-1</f>
        <v>0</v>
      </c>
      <c r="AE267" s="12">
        <f>(AE132-AD132)*-1</f>
        <v>0</v>
      </c>
      <c r="AF267" s="12">
        <f>(AF132-AE132)*-1</f>
        <v>0</v>
      </c>
      <c r="AG267" s="12">
        <f>SUM(AC267:AF267)</f>
        <v>0</v>
      </c>
      <c r="AH267" s="12">
        <f>(AH132-AG132)*-1</f>
        <v>0</v>
      </c>
      <c r="AI267" s="12">
        <f>(AI132-AH132)*-1</f>
        <v>0</v>
      </c>
      <c r="AJ267" s="12">
        <f>(AJ132-AI132)*-1</f>
        <v>0</v>
      </c>
      <c r="AK267" s="12">
        <f>(AK132-AJ132)*-1</f>
        <v>0</v>
      </c>
      <c r="AL267" s="12">
        <f>SUM(AH267:AK267)</f>
        <v>0</v>
      </c>
      <c r="AM267" s="12">
        <f>(AM132-AL132)*-1</f>
        <v>0</v>
      </c>
      <c r="AN267" s="12">
        <f>(AN132-AM132)*-1</f>
        <v>0</v>
      </c>
      <c r="AO267" s="12">
        <f>(AO132-AN132)*-1</f>
        <v>0</v>
      </c>
      <c r="AP267" s="12">
        <f>(AP132-AO132)*-1</f>
        <v>0</v>
      </c>
      <c r="AQ267" s="12">
        <f>SUM(AM267:AP267)</f>
        <v>0</v>
      </c>
      <c r="AR267" s="12">
        <f>(AR132-AQ132)*-1</f>
        <v>0</v>
      </c>
      <c r="AS267" s="12">
        <f>(AS132-AR132)*-1</f>
        <v>0</v>
      </c>
      <c r="AT267" s="12">
        <f>(AT132-AS132)*-1</f>
        <v>0</v>
      </c>
      <c r="AU267" s="12">
        <f>(AU132-AT132)*-1</f>
        <v>0</v>
      </c>
      <c r="AV267" s="12">
        <f>SUM(AR267:AU267)</f>
        <v>0</v>
      </c>
      <c r="AW267" s="12">
        <f>(AW132-AV132)*-1</f>
        <v>0</v>
      </c>
      <c r="AX267" s="12">
        <f>(AX132-AW132)*-1</f>
        <v>0</v>
      </c>
      <c r="AY267" s="12">
        <f>(AY132-AX132)*-1</f>
        <v>0</v>
      </c>
      <c r="AZ267" s="12">
        <f>(AZ132-AY132)*-1</f>
        <v>0</v>
      </c>
      <c r="BA267" s="12">
        <f>SUM(AW267:AZ267)</f>
        <v>0</v>
      </c>
      <c r="BB267" s="12">
        <f>(BB132-BA132)*-1</f>
        <v>0</v>
      </c>
      <c r="BC267" s="12">
        <f>(BC132-BB132)*-1</f>
        <v>0</v>
      </c>
      <c r="BD267" s="12">
        <f>(BD132-BC132)*-1</f>
        <v>0</v>
      </c>
      <c r="BE267" s="12">
        <f>(BE132-BD132)*-1</f>
        <v>0</v>
      </c>
      <c r="BF267" s="12">
        <f>SUM(BB267:BE267)</f>
        <v>0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 hidden="1" outlineLevel="1">
      <c r="C268" s="10" t="inlineStr">
        <is>
          <t>Inventories</t>
        </is>
      </c>
      <c r="D268" s="12" t="n"/>
      <c r="E268" s="12" t="n"/>
      <c r="F268" s="12" t="n"/>
      <c r="G268" s="12" t="n"/>
      <c r="H268" s="12" t="n"/>
      <c r="I268" s="12" t="n"/>
      <c r="J268" s="12">
        <f>(J136-I136)*-1</f>
        <v>-368</v>
      </c>
      <c r="K268" s="12">
        <f>(K136-J136)*-1</f>
        <v>-371</v>
      </c>
      <c r="L268" s="12">
        <f>(L136-K136)*-1</f>
        <v>-1154</v>
      </c>
      <c r="M268" s="12" t="n"/>
      <c r="N268" s="12">
        <f>(N136-M136)*-1</f>
        <v>-1095</v>
      </c>
      <c r="O268" s="12">
        <f>(O136-N136)*-1</f>
        <v>-91</v>
      </c>
      <c r="P268" s="12">
        <f>(P136-O136)*-1</f>
        <v>626</v>
      </c>
      <c r="Q268" s="12">
        <f>(Q136-P136)*-1</f>
        <v>-1561</v>
      </c>
      <c r="R268" s="12">
        <f>SUM(N268:Q268)</f>
        <v>-2121</v>
      </c>
      <c r="S268" s="12">
        <f>(S136-R136)*-1</f>
        <v>343</v>
      </c>
      <c r="T268" s="12">
        <f>(T136-S136)*-1</f>
        <v>363</v>
      </c>
      <c r="U268" s="12">
        <f>(U136-T136)*-1</f>
        <v>1190</v>
      </c>
      <c r="V268" s="12">
        <f>(V136-U136)*-1</f>
        <v>-777</v>
      </c>
      <c r="W268" s="12">
        <f>SUM(S268:V268)</f>
        <v>1119</v>
      </c>
      <c r="X268" s="12">
        <f>(X136-W136)*-1</f>
        <v>494</v>
      </c>
      <c r="Y268" s="12">
        <f>(Y136-X136)*-1</f>
        <v>747</v>
      </c>
      <c r="Z268" s="12">
        <f>(Z136-Y136)*-1</f>
        <v>603</v>
      </c>
      <c r="AA268" s="12">
        <f>(AA136-Z136)*-1</f>
        <v>-651</v>
      </c>
      <c r="AB268" s="12">
        <f>SUM(X268:AA268)</f>
        <v>1193</v>
      </c>
      <c r="AC268" s="12">
        <f>(AC136-AB136)*-1</f>
        <v>-126</v>
      </c>
      <c r="AD268" s="12">
        <f>(AD136-AC136)*-1</f>
        <v>157</v>
      </c>
      <c r="AE268" s="12">
        <f>(AE136-AD136)*-1</f>
        <v>307</v>
      </c>
      <c r="AF268" s="12">
        <f>(AF136-AE136)*-1</f>
        <v>-880</v>
      </c>
      <c r="AG268" s="12">
        <f>SUM(AC268:AF268)</f>
        <v>-542</v>
      </c>
      <c r="AH268" s="12">
        <f>(AH136-AG136)*-1</f>
        <v>98</v>
      </c>
      <c r="AI268" s="12">
        <f>(AI136-AH136)*-1</f>
        <v>377</v>
      </c>
      <c r="AJ268" s="12">
        <f>(AJ136-AI136)*-1</f>
        <v>7811</v>
      </c>
      <c r="AK268" s="12">
        <f>(AK136-AJ136)*-1</f>
        <v>0</v>
      </c>
      <c r="AL268" s="12">
        <f>SUM(AH268:AK268)</f>
        <v>8286</v>
      </c>
      <c r="AM268" s="12">
        <f>(AM136-AL136)*-1</f>
        <v>0</v>
      </c>
      <c r="AN268" s="12">
        <f>(AN136-AM136)*-1</f>
        <v>0</v>
      </c>
      <c r="AO268" s="12">
        <f>(AO136-AN136)*-1</f>
        <v>0</v>
      </c>
      <c r="AP268" s="12">
        <f>(AP136-AO136)*-1</f>
        <v>0</v>
      </c>
      <c r="AQ268" s="12">
        <f>SUM(AM268:AP268)</f>
        <v>0</v>
      </c>
      <c r="AR268" s="12">
        <f>(AR136-AQ136)*-1</f>
        <v>0</v>
      </c>
      <c r="AS268" s="12">
        <f>(AS136-AR136)*-1</f>
        <v>0</v>
      </c>
      <c r="AT268" s="12">
        <f>(AT136-AS136)*-1</f>
        <v>0</v>
      </c>
      <c r="AU268" s="12">
        <f>(AU136-AT136)*-1</f>
        <v>0</v>
      </c>
      <c r="AV268" s="12">
        <f>SUM(AR268:AU268)</f>
        <v>0</v>
      </c>
      <c r="AW268" s="12">
        <f>(AW136-AV136)*-1</f>
        <v>0</v>
      </c>
      <c r="AX268" s="12">
        <f>(AX136-AW136)*-1</f>
        <v>0</v>
      </c>
      <c r="AY268" s="12">
        <f>(AY136-AX136)*-1</f>
        <v>0</v>
      </c>
      <c r="AZ268" s="12">
        <f>(AZ136-AY136)*-1</f>
        <v>0</v>
      </c>
      <c r="BA268" s="12">
        <f>SUM(AW268:AZ268)</f>
        <v>0</v>
      </c>
      <c r="BB268" s="12">
        <f>(BB136-BA136)*-1</f>
        <v>0</v>
      </c>
      <c r="BC268" s="12">
        <f>(BC136-BB136)*-1</f>
        <v>0</v>
      </c>
      <c r="BD268" s="12">
        <f>(BD136-BC136)*-1</f>
        <v>0</v>
      </c>
      <c r="BE268" s="12">
        <f>(BE136-BD136)*-1</f>
        <v>0</v>
      </c>
      <c r="BF268" s="12">
        <f>SUM(BB268:BE268)</f>
        <v>0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hidden="1" outlineLevel="1">
      <c r="C269" s="10" t="inlineStr">
        <is>
          <t>Deferred income taxes</t>
        </is>
      </c>
      <c r="D269" s="12" t="n"/>
      <c r="E269" s="12" t="n"/>
      <c r="F269" s="12" t="n"/>
      <c r="G269" s="12" t="n"/>
      <c r="H269" s="12" t="n"/>
      <c r="I269" s="12" t="n"/>
      <c r="J269" s="12">
        <f>(J140-I140)*-1</f>
        <v>-43</v>
      </c>
      <c r="K269" s="12">
        <f>(K140-J140)*-1</f>
        <v>730</v>
      </c>
      <c r="L269" s="12">
        <f>(L140-K140)*-1</f>
        <v>114</v>
      </c>
      <c r="M269" s="12" t="n"/>
      <c r="N269" s="12">
        <f>(N140-M140)*-1</f>
        <v>-181</v>
      </c>
      <c r="O269" s="12">
        <f>(O140-N140)*-1</f>
        <v>-6</v>
      </c>
      <c r="P269" s="12">
        <f>(P140-O140)*-1</f>
        <v>286</v>
      </c>
      <c r="Q269" s="12">
        <f>(Q140-P140)*-1</f>
        <v>-90</v>
      </c>
      <c r="R269" s="12">
        <f>SUM(N269:Q269)</f>
        <v>9</v>
      </c>
      <c r="S269" s="12">
        <f>(S140-R140)*-1</f>
        <v>-394</v>
      </c>
      <c r="T269" s="12">
        <f>(T140-S140)*-1</f>
        <v>-52</v>
      </c>
      <c r="U269" s="12">
        <f>(U140-T140)*-1</f>
        <v>-454</v>
      </c>
      <c r="V269" s="12">
        <f>(V140-U140)*-1</f>
        <v>-19</v>
      </c>
      <c r="W269" s="12">
        <f>SUM(S269:V269)</f>
        <v>-919</v>
      </c>
      <c r="X269" s="12">
        <f>(X140-W140)*-1</f>
        <v>-103</v>
      </c>
      <c r="Y269" s="12">
        <f>(Y140-X140)*-1</f>
        <v>38</v>
      </c>
      <c r="Z269" s="12">
        <f>(Z140-Y140)*-1</f>
        <v>-188</v>
      </c>
      <c r="AA269" s="12">
        <f>(AA140-Z140)*-1</f>
        <v>234</v>
      </c>
      <c r="AB269" s="12">
        <f>SUM(X269:AA269)</f>
        <v>-19</v>
      </c>
      <c r="AC269" s="12">
        <f>(AC140-AB140)*-1</f>
        <v>-236</v>
      </c>
      <c r="AD269" s="12">
        <f>(AD140-AC140)*-1</f>
        <v>-121</v>
      </c>
      <c r="AE269" s="12">
        <f>(AE140-AD140)*-1</f>
        <v>-75</v>
      </c>
      <c r="AF269" s="12">
        <f>(AF140-AE140)*-1</f>
        <v>16</v>
      </c>
      <c r="AG269" s="12">
        <f>SUM(AC269:AF269)</f>
        <v>-416</v>
      </c>
      <c r="AH269" s="12">
        <f>(AH140-AG140)*-1</f>
        <v>-93</v>
      </c>
      <c r="AI269" s="12">
        <f>(AI140-AH140)*-1</f>
        <v>18</v>
      </c>
      <c r="AJ269" s="12">
        <f>(AJ140-AI140)*-1</f>
        <v>0</v>
      </c>
      <c r="AK269" s="12">
        <f>(AK140-AJ140)*-1</f>
        <v>0</v>
      </c>
      <c r="AL269" s="12">
        <f>SUM(AH269:AK269)</f>
        <v>-75</v>
      </c>
      <c r="AM269" s="12">
        <f>(AM140-AL140)*-1</f>
        <v>0</v>
      </c>
      <c r="AN269" s="12">
        <f>(AN140-AM140)*-1</f>
        <v>0</v>
      </c>
      <c r="AO269" s="12">
        <f>(AO140-AN140)*-1</f>
        <v>0</v>
      </c>
      <c r="AP269" s="12">
        <f>(AP140-AO140)*-1</f>
        <v>0</v>
      </c>
      <c r="AQ269" s="12">
        <f>SUM(AM269:AP269)</f>
        <v>0</v>
      </c>
      <c r="AR269" s="12">
        <f>(AR140-AQ140)*-1</f>
        <v>0</v>
      </c>
      <c r="AS269" s="12">
        <f>(AS140-AR140)*-1</f>
        <v>0</v>
      </c>
      <c r="AT269" s="12">
        <f>(AT140-AS140)*-1</f>
        <v>0</v>
      </c>
      <c r="AU269" s="12">
        <f>(AU140-AT140)*-1</f>
        <v>0</v>
      </c>
      <c r="AV269" s="12">
        <f>SUM(AR269:AU269)</f>
        <v>0</v>
      </c>
      <c r="AW269" s="12">
        <f>(AW140-AV140)*-1</f>
        <v>0</v>
      </c>
      <c r="AX269" s="12">
        <f>(AX140-AW140)*-1</f>
        <v>0</v>
      </c>
      <c r="AY269" s="12">
        <f>(AY140-AX140)*-1</f>
        <v>0</v>
      </c>
      <c r="AZ269" s="12">
        <f>(AZ140-AY140)*-1</f>
        <v>0</v>
      </c>
      <c r="BA269" s="12">
        <f>SUM(AW269:AZ269)</f>
        <v>0</v>
      </c>
      <c r="BB269" s="12">
        <f>(BB140-BA140)*-1</f>
        <v>0</v>
      </c>
      <c r="BC269" s="12">
        <f>(BC140-BB140)*-1</f>
        <v>0</v>
      </c>
      <c r="BD269" s="12">
        <f>(BD140-BC140)*-1</f>
        <v>0</v>
      </c>
      <c r="BE269" s="12">
        <f>(BE140-BD140)*-1</f>
        <v>0</v>
      </c>
      <c r="BF269" s="12">
        <f>SUM(BB269:BE269)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hidden="1" outlineLevel="1">
      <c r="C270" s="10" t="inlineStr">
        <is>
          <t>Prepaid expenses</t>
        </is>
      </c>
      <c r="D270" s="12" t="n"/>
      <c r="E270" s="12" t="n"/>
      <c r="F270" s="12" t="n"/>
      <c r="G270" s="12" t="n"/>
      <c r="H270" s="12" t="n"/>
      <c r="I270" s="12" t="n"/>
      <c r="J270" s="12">
        <f>(J141-I141)*-1</f>
        <v>0</v>
      </c>
      <c r="K270" s="12">
        <f>(K141-J141)*-1</f>
        <v>0</v>
      </c>
      <c r="L270" s="12">
        <f>(L141-K141)*-1</f>
        <v>0</v>
      </c>
      <c r="M270" s="12" t="n"/>
      <c r="N270" s="12">
        <f>(N141-M141)*-1</f>
        <v>0</v>
      </c>
      <c r="O270" s="12">
        <f>(O141-N141)*-1</f>
        <v>0</v>
      </c>
      <c r="P270" s="12">
        <f>(P141-O141)*-1</f>
        <v>0</v>
      </c>
      <c r="Q270" s="12">
        <f>(Q141-P141)*-1</f>
        <v>0</v>
      </c>
      <c r="R270" s="12">
        <f>SUM(N270:Q270)</f>
        <v>0</v>
      </c>
      <c r="S270" s="12">
        <f>(S141-R141)*-1</f>
        <v>0</v>
      </c>
      <c r="T270" s="12">
        <f>(T141-S141)*-1</f>
        <v>0</v>
      </c>
      <c r="U270" s="12">
        <f>(U141-T141)*-1</f>
        <v>0</v>
      </c>
      <c r="V270" s="12">
        <f>(V141-U141)*-1</f>
        <v>0</v>
      </c>
      <c r="W270" s="12">
        <f>SUM(S270:V270)</f>
        <v>0</v>
      </c>
      <c r="X270" s="12">
        <f>(X141-W141)*-1</f>
        <v>0</v>
      </c>
      <c r="Y270" s="12">
        <f>(Y141-X141)*-1</f>
        <v>0</v>
      </c>
      <c r="Z270" s="12">
        <f>(Z141-Y141)*-1</f>
        <v>0</v>
      </c>
      <c r="AA270" s="12">
        <f>(AA141-Z141)*-1</f>
        <v>0</v>
      </c>
      <c r="AB270" s="12">
        <f>SUM(X270:AA270)</f>
        <v>0</v>
      </c>
      <c r="AC270" s="12">
        <f>(AC141-AB141)*-1</f>
        <v>0</v>
      </c>
      <c r="AD270" s="12">
        <f>(AD141-AC141)*-1</f>
        <v>0</v>
      </c>
      <c r="AE270" s="12">
        <f>(AE141-AD141)*-1</f>
        <v>0</v>
      </c>
      <c r="AF270" s="12">
        <f>(AF141-AE141)*-1</f>
        <v>0</v>
      </c>
      <c r="AG270" s="12">
        <f>SUM(AC270:AF270)</f>
        <v>0</v>
      </c>
      <c r="AH270" s="12">
        <f>(AH141-AG141)*-1</f>
        <v>0</v>
      </c>
      <c r="AI270" s="12">
        <f>(AI141-AH141)*-1</f>
        <v>0</v>
      </c>
      <c r="AJ270" s="12">
        <f>(AJ141-AI141)*-1</f>
        <v>0</v>
      </c>
      <c r="AK270" s="12">
        <f>(AK141-AJ141)*-1</f>
        <v>0</v>
      </c>
      <c r="AL270" s="12">
        <f>SUM(AH270:AK270)</f>
        <v>0</v>
      </c>
      <c r="AM270" s="12">
        <f>(AM141-AL141)*-1</f>
        <v>0</v>
      </c>
      <c r="AN270" s="12">
        <f>(AN141-AM141)*-1</f>
        <v>0</v>
      </c>
      <c r="AO270" s="12">
        <f>(AO141-AN141)*-1</f>
        <v>0</v>
      </c>
      <c r="AP270" s="12">
        <f>(AP141-AO141)*-1</f>
        <v>0</v>
      </c>
      <c r="AQ270" s="12">
        <f>SUM(AM270:AP270)</f>
        <v>0</v>
      </c>
      <c r="AR270" s="12">
        <f>(AR141-AQ141)*-1</f>
        <v>0</v>
      </c>
      <c r="AS270" s="12">
        <f>(AS141-AR141)*-1</f>
        <v>0</v>
      </c>
      <c r="AT270" s="12">
        <f>(AT141-AS141)*-1</f>
        <v>0</v>
      </c>
      <c r="AU270" s="12">
        <f>(AU141-AT141)*-1</f>
        <v>0</v>
      </c>
      <c r="AV270" s="12">
        <f>SUM(AR270:AU270)</f>
        <v>0</v>
      </c>
      <c r="AW270" s="12">
        <f>(AW141-AV141)*-1</f>
        <v>0</v>
      </c>
      <c r="AX270" s="12">
        <f>(AX141-AW141)*-1</f>
        <v>0</v>
      </c>
      <c r="AY270" s="12">
        <f>(AY141-AX141)*-1</f>
        <v>0</v>
      </c>
      <c r="AZ270" s="12">
        <f>(AZ141-AY141)*-1</f>
        <v>0</v>
      </c>
      <c r="BA270" s="12">
        <f>SUM(AW270:AZ270)</f>
        <v>0</v>
      </c>
      <c r="BB270" s="12">
        <f>(BB141-BA141)*-1</f>
        <v>0</v>
      </c>
      <c r="BC270" s="12">
        <f>(BC141-BB141)*-1</f>
        <v>0</v>
      </c>
      <c r="BD270" s="12">
        <f>(BD141-BC141)*-1</f>
        <v>0</v>
      </c>
      <c r="BE270" s="12">
        <f>(BE141-BD141)*-1</f>
        <v>0</v>
      </c>
      <c r="BF270" s="12">
        <f>SUM(BB270:BE270)</f>
        <v>0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hidden="1" outlineLevel="1">
      <c r="C271" s="10" t="inlineStr">
        <is>
          <t>Other current assets</t>
        </is>
      </c>
      <c r="D271" s="12" t="n"/>
      <c r="E271" s="12" t="n"/>
      <c r="F271" s="12" t="n"/>
      <c r="G271" s="12" t="n"/>
      <c r="H271" s="12" t="n"/>
      <c r="I271" s="12" t="n"/>
      <c r="J271" s="12">
        <f>(J142-I142)*-1</f>
        <v>-1046</v>
      </c>
      <c r="K271" s="12">
        <f>(K142-J142)*-1</f>
        <v>-3136</v>
      </c>
      <c r="L271" s="12">
        <f>(L142-K142)*-1</f>
        <v>1830</v>
      </c>
      <c r="M271" s="12" t="n"/>
      <c r="N271" s="12">
        <f>(N142-M142)*-1</f>
        <v>-3040</v>
      </c>
      <c r="O271" s="12">
        <f>(O142-N142)*-1</f>
        <v>37928</v>
      </c>
      <c r="P271" s="12">
        <f>(P142-O142)*-1</f>
        <v>-1467</v>
      </c>
      <c r="Q271" s="12">
        <f>(Q142-P142)*-1</f>
        <v>-1095</v>
      </c>
      <c r="R271" s="12">
        <f>SUM(N271:Q271)</f>
        <v>32326</v>
      </c>
      <c r="S271" s="12">
        <f>(S142-R142)*-1</f>
        <v>-2704</v>
      </c>
      <c r="T271" s="12">
        <f>(T142-S142)*-1</f>
        <v>-354</v>
      </c>
      <c r="U271" s="12">
        <f>(U142-T142)*-1</f>
        <v>2001</v>
      </c>
      <c r="V271" s="12">
        <f>(V142-U142)*-1</f>
        <v>336</v>
      </c>
      <c r="W271" s="12">
        <f>SUM(S271:V271)</f>
        <v>-721</v>
      </c>
      <c r="X271" s="12">
        <f>(X142-W142)*-1</f>
        <v>-1878</v>
      </c>
      <c r="Y271" s="12">
        <f>(Y142-X142)*-1</f>
        <v>-1927</v>
      </c>
      <c r="Z271" s="12">
        <f>(Z142-Y142)*-1</f>
        <v>1256</v>
      </c>
      <c r="AA271" s="12">
        <f>(AA142-Z142)*-1</f>
        <v>367</v>
      </c>
      <c r="AB271" s="12">
        <f>SUM(X271:AA271)</f>
        <v>-2182</v>
      </c>
      <c r="AC271" s="12">
        <f>(AC142-AB142)*-1</f>
        <v>-42</v>
      </c>
      <c r="AD271" s="12">
        <f>(AD142-AC142)*-1</f>
        <v>200</v>
      </c>
      <c r="AE271" s="12">
        <f>(AE142-AD142)*-1</f>
        <v>758</v>
      </c>
      <c r="AF271" s="12">
        <f>(AF142-AE142)*-1</f>
        <v>-788</v>
      </c>
      <c r="AG271" s="12">
        <f>SUM(AC271:AF271)</f>
        <v>128</v>
      </c>
      <c r="AH271" s="12">
        <f>(AH142-AG142)*-1</f>
        <v>-1711</v>
      </c>
      <c r="AI271" s="12">
        <f>(AI142-AH142)*-1</f>
        <v>100</v>
      </c>
      <c r="AJ271" s="12">
        <f>(AJ142-AI142)*-1</f>
        <v>0</v>
      </c>
      <c r="AK271" s="12">
        <f>(AK142-AJ142)*-1</f>
        <v>0</v>
      </c>
      <c r="AL271" s="12">
        <f>SUM(AH271:AK271)</f>
        <v>-1611</v>
      </c>
      <c r="AM271" s="12">
        <f>(AM142-AL142)*-1</f>
        <v>0</v>
      </c>
      <c r="AN271" s="12">
        <f>(AN142-AM142)*-1</f>
        <v>0</v>
      </c>
      <c r="AO271" s="12">
        <f>(AO142-AN142)*-1</f>
        <v>0</v>
      </c>
      <c r="AP271" s="12">
        <f>(AP142-AO142)*-1</f>
        <v>0</v>
      </c>
      <c r="AQ271" s="12">
        <f>SUM(AM271:AP271)</f>
        <v>0</v>
      </c>
      <c r="AR271" s="12">
        <f>(AR142-AQ142)*-1</f>
        <v>0</v>
      </c>
      <c r="AS271" s="12">
        <f>(AS142-AR142)*-1</f>
        <v>0</v>
      </c>
      <c r="AT271" s="12">
        <f>(AT142-AS142)*-1</f>
        <v>0</v>
      </c>
      <c r="AU271" s="12">
        <f>(AU142-AT142)*-1</f>
        <v>0</v>
      </c>
      <c r="AV271" s="12">
        <f>SUM(AR271:AU271)</f>
        <v>0</v>
      </c>
      <c r="AW271" s="12">
        <f>(AW142-AV142)*-1</f>
        <v>0</v>
      </c>
      <c r="AX271" s="12">
        <f>(AX142-AW142)*-1</f>
        <v>0</v>
      </c>
      <c r="AY271" s="12">
        <f>(AY142-AX142)*-1</f>
        <v>0</v>
      </c>
      <c r="AZ271" s="12">
        <f>(AZ142-AY142)*-1</f>
        <v>0</v>
      </c>
      <c r="BA271" s="12">
        <f>SUM(AW271:AZ271)</f>
        <v>0</v>
      </c>
      <c r="BB271" s="12">
        <f>(BB142-BA142)*-1</f>
        <v>0</v>
      </c>
      <c r="BC271" s="12">
        <f>(BC142-BB142)*-1</f>
        <v>0</v>
      </c>
      <c r="BD271" s="12">
        <f>(BD142-BC142)*-1</f>
        <v>0</v>
      </c>
      <c r="BE271" s="12">
        <f>(BE142-BD142)*-1</f>
        <v>0</v>
      </c>
      <c r="BF271" s="12">
        <f>SUM(BB271:BE271)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Accounts payable</t>
        </is>
      </c>
      <c r="D272" s="12" t="n"/>
      <c r="E272" s="12" t="n"/>
      <c r="F272" s="12" t="n"/>
      <c r="G272" s="12" t="n"/>
      <c r="H272" s="12" t="n"/>
      <c r="I272" s="12" t="n"/>
      <c r="J272" s="12">
        <f>J185-I185</f>
        <v>0</v>
      </c>
      <c r="K272" s="12">
        <f>K185-J185</f>
        <v>0</v>
      </c>
      <c r="L272" s="12">
        <f>L185-K185</f>
        <v>0</v>
      </c>
      <c r="M272" s="12" t="n"/>
      <c r="N272" s="12">
        <f>N185-M185</f>
        <v>0</v>
      </c>
      <c r="O272" s="12">
        <f>O185-N185</f>
        <v>0</v>
      </c>
      <c r="P272" s="12">
        <f>P185-O185</f>
        <v>0</v>
      </c>
      <c r="Q272" s="12">
        <f>Q185-P185</f>
        <v>0</v>
      </c>
      <c r="R272" s="12">
        <f>SUM(N272:Q272)</f>
        <v>0</v>
      </c>
      <c r="S272" s="12">
        <f>S185-R185</f>
        <v>0</v>
      </c>
      <c r="T272" s="12">
        <f>T185-S185</f>
        <v>0</v>
      </c>
      <c r="U272" s="12">
        <f>U185-T185</f>
        <v>0</v>
      </c>
      <c r="V272" s="12">
        <f>V185-U185</f>
        <v>0</v>
      </c>
      <c r="W272" s="12">
        <f>SUM(S272:V272)</f>
        <v>0</v>
      </c>
      <c r="X272" s="12">
        <f>X185-W185</f>
        <v>0</v>
      </c>
      <c r="Y272" s="12">
        <f>Y185-X185</f>
        <v>0</v>
      </c>
      <c r="Z272" s="12">
        <f>Z185-Y185</f>
        <v>0</v>
      </c>
      <c r="AA272" s="12">
        <f>AA185-Z185</f>
        <v>0</v>
      </c>
      <c r="AB272" s="12">
        <f>SUM(X272:AA272)</f>
        <v>0</v>
      </c>
      <c r="AC272" s="12">
        <f>AC185-AB185</f>
        <v>0</v>
      </c>
      <c r="AD272" s="12">
        <f>AD185-AC185</f>
        <v>0</v>
      </c>
      <c r="AE272" s="12">
        <f>AE185-AD185</f>
        <v>0</v>
      </c>
      <c r="AF272" s="12">
        <f>AF185-AE185</f>
        <v>0</v>
      </c>
      <c r="AG272" s="12">
        <f>SUM(AC272:AF272)</f>
        <v>0</v>
      </c>
      <c r="AH272" s="12">
        <f>AH185-AG185</f>
        <v>0</v>
      </c>
      <c r="AI272" s="12">
        <f>AI185-AH185</f>
        <v>0</v>
      </c>
      <c r="AJ272" s="12">
        <f>AJ185-AI185</f>
        <v>0</v>
      </c>
      <c r="AK272" s="12">
        <f>AK185-AJ185</f>
        <v>0</v>
      </c>
      <c r="AL272" s="12">
        <f>SUM(AH272:AK272)</f>
        <v>0</v>
      </c>
      <c r="AM272" s="12">
        <f>AM185-AL185</f>
        <v>0</v>
      </c>
      <c r="AN272" s="12">
        <f>AN185-AM185</f>
        <v>0</v>
      </c>
      <c r="AO272" s="12">
        <f>AO185-AN185</f>
        <v>0</v>
      </c>
      <c r="AP272" s="12">
        <f>AP185-AO185</f>
        <v>0</v>
      </c>
      <c r="AQ272" s="12">
        <f>SUM(AM272:AP272)</f>
        <v>0</v>
      </c>
      <c r="AR272" s="12">
        <f>AR185-AQ185</f>
        <v>0</v>
      </c>
      <c r="AS272" s="12">
        <f>AS185-AR185</f>
        <v>0</v>
      </c>
      <c r="AT272" s="12">
        <f>AT185-AS185</f>
        <v>0</v>
      </c>
      <c r="AU272" s="12">
        <f>AU185-AT185</f>
        <v>0</v>
      </c>
      <c r="AV272" s="12">
        <f>SUM(AR272:AU272)</f>
        <v>0</v>
      </c>
      <c r="AW272" s="12">
        <f>AW185-AV185</f>
        <v>0</v>
      </c>
      <c r="AX272" s="12">
        <f>AX185-AW185</f>
        <v>0</v>
      </c>
      <c r="AY272" s="12">
        <f>AY185-AX185</f>
        <v>0</v>
      </c>
      <c r="AZ272" s="12">
        <f>AZ185-AY185</f>
        <v>0</v>
      </c>
      <c r="BA272" s="12">
        <f>SUM(AW272:AZ272)</f>
        <v>0</v>
      </c>
      <c r="BB272" s="12">
        <f>BB185-BA185</f>
        <v>0</v>
      </c>
      <c r="BC272" s="12">
        <f>BC185-BB185</f>
        <v>0</v>
      </c>
      <c r="BD272" s="12">
        <f>BD185-BC185</f>
        <v>0</v>
      </c>
      <c r="BE272" s="12">
        <f>BE185-BD185</f>
        <v>0</v>
      </c>
      <c r="BF272" s="12">
        <f>SUM(BB272:BE272)</f>
        <v>0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Accrued expenses</t>
        </is>
      </c>
      <c r="D273" s="12" t="n"/>
      <c r="E273" s="12" t="n"/>
      <c r="F273" s="12" t="n"/>
      <c r="G273" s="12" t="n"/>
      <c r="H273" s="12" t="n"/>
      <c r="I273" s="12" t="n"/>
      <c r="J273" s="12">
        <f>J189-I189</f>
        <v>0</v>
      </c>
      <c r="K273" s="12">
        <f>K189-J189</f>
        <v>0</v>
      </c>
      <c r="L273" s="12">
        <f>L189-K189</f>
        <v>0</v>
      </c>
      <c r="M273" s="12" t="n"/>
      <c r="N273" s="12">
        <f>N189-M189</f>
        <v>0</v>
      </c>
      <c r="O273" s="12">
        <f>O189-N189</f>
        <v>0</v>
      </c>
      <c r="P273" s="12">
        <f>P189-O189</f>
        <v>0</v>
      </c>
      <c r="Q273" s="12">
        <f>Q189-P189</f>
        <v>0</v>
      </c>
      <c r="R273" s="12">
        <f>SUM(N273:Q273)</f>
        <v>0</v>
      </c>
      <c r="S273" s="12">
        <f>S189-R189</f>
        <v>0</v>
      </c>
      <c r="T273" s="12">
        <f>T189-S189</f>
        <v>0</v>
      </c>
      <c r="U273" s="12">
        <f>U189-T189</f>
        <v>0</v>
      </c>
      <c r="V273" s="12">
        <f>V189-U189</f>
        <v>0</v>
      </c>
      <c r="W273" s="12">
        <f>SUM(S273:V273)</f>
        <v>0</v>
      </c>
      <c r="X273" s="12">
        <f>X189-W189</f>
        <v>0</v>
      </c>
      <c r="Y273" s="12">
        <f>Y189-X189</f>
        <v>0</v>
      </c>
      <c r="Z273" s="12">
        <f>Z189-Y189</f>
        <v>0</v>
      </c>
      <c r="AA273" s="12">
        <f>AA189-Z189</f>
        <v>0</v>
      </c>
      <c r="AB273" s="12">
        <f>SUM(X273:AA273)</f>
        <v>0</v>
      </c>
      <c r="AC273" s="12">
        <f>AC189-AB189</f>
        <v>0</v>
      </c>
      <c r="AD273" s="12">
        <f>AD189-AC189</f>
        <v>0</v>
      </c>
      <c r="AE273" s="12">
        <f>AE189-AD189</f>
        <v>0</v>
      </c>
      <c r="AF273" s="12">
        <f>AF189-AE189</f>
        <v>0</v>
      </c>
      <c r="AG273" s="12">
        <f>SUM(AC273:AF273)</f>
        <v>0</v>
      </c>
      <c r="AH273" s="12">
        <f>AH189-AG189</f>
        <v>0</v>
      </c>
      <c r="AI273" s="12">
        <f>AI189-AH189</f>
        <v>0</v>
      </c>
      <c r="AJ273" s="12">
        <f>AJ189-AI189</f>
        <v>0</v>
      </c>
      <c r="AK273" s="12">
        <f>AK189-AJ189</f>
        <v>0</v>
      </c>
      <c r="AL273" s="12">
        <f>SUM(AH273:AK273)</f>
        <v>0</v>
      </c>
      <c r="AM273" s="12">
        <f>AM189-AL189</f>
        <v>0</v>
      </c>
      <c r="AN273" s="12">
        <f>AN189-AM189</f>
        <v>0</v>
      </c>
      <c r="AO273" s="12">
        <f>AO189-AN189</f>
        <v>0</v>
      </c>
      <c r="AP273" s="12">
        <f>AP189-AO189</f>
        <v>0</v>
      </c>
      <c r="AQ273" s="12">
        <f>SUM(AM273:AP273)</f>
        <v>0</v>
      </c>
      <c r="AR273" s="12">
        <f>AR189-AQ189</f>
        <v>0</v>
      </c>
      <c r="AS273" s="12">
        <f>AS189-AR189</f>
        <v>0</v>
      </c>
      <c r="AT273" s="12">
        <f>AT189-AS189</f>
        <v>0</v>
      </c>
      <c r="AU273" s="12">
        <f>AU189-AT189</f>
        <v>0</v>
      </c>
      <c r="AV273" s="12">
        <f>SUM(AR273:AU273)</f>
        <v>0</v>
      </c>
      <c r="AW273" s="12">
        <f>AW189-AV189</f>
        <v>0</v>
      </c>
      <c r="AX273" s="12">
        <f>AX189-AW189</f>
        <v>0</v>
      </c>
      <c r="AY273" s="12">
        <f>AY189-AX189</f>
        <v>0</v>
      </c>
      <c r="AZ273" s="12">
        <f>AZ189-AY189</f>
        <v>0</v>
      </c>
      <c r="BA273" s="12">
        <f>SUM(AW273:AZ273)</f>
        <v>0</v>
      </c>
      <c r="BB273" s="12">
        <f>BB189-BA189</f>
        <v>0</v>
      </c>
      <c r="BC273" s="12">
        <f>BC189-BB189</f>
        <v>0</v>
      </c>
      <c r="BD273" s="12">
        <f>BD189-BC189</f>
        <v>0</v>
      </c>
      <c r="BE273" s="12">
        <f>BE189-BD189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Taxes payable</t>
        </is>
      </c>
      <c r="D274" s="12" t="n"/>
      <c r="E274" s="12" t="n"/>
      <c r="F274" s="12" t="n"/>
      <c r="G274" s="12" t="n"/>
      <c r="H274" s="12" t="n"/>
      <c r="I274" s="12" t="n"/>
      <c r="J274" s="12">
        <f>J191-I191</f>
        <v>0</v>
      </c>
      <c r="K274" s="12">
        <f>K191-J191</f>
        <v>0</v>
      </c>
      <c r="L274" s="12">
        <f>L191-K191</f>
        <v>0</v>
      </c>
      <c r="M274" s="12" t="n"/>
      <c r="N274" s="12">
        <f>N191-M191</f>
        <v>0</v>
      </c>
      <c r="O274" s="12">
        <f>O191-N191</f>
        <v>0</v>
      </c>
      <c r="P274" s="12">
        <f>P191-O191</f>
        <v>0</v>
      </c>
      <c r="Q274" s="12">
        <f>Q191-P191</f>
        <v>0</v>
      </c>
      <c r="R274" s="12">
        <f>SUM(N274:Q274)</f>
        <v>0</v>
      </c>
      <c r="S274" s="12">
        <f>S191-R191</f>
        <v>0</v>
      </c>
      <c r="T274" s="12">
        <f>T191-S191</f>
        <v>0</v>
      </c>
      <c r="U274" s="12">
        <f>U191-T191</f>
        <v>0</v>
      </c>
      <c r="V274" s="12">
        <f>V191-U191</f>
        <v>0</v>
      </c>
      <c r="W274" s="12">
        <f>SUM(S274:V274)</f>
        <v>0</v>
      </c>
      <c r="X274" s="12">
        <f>X191-W191</f>
        <v>0</v>
      </c>
      <c r="Y274" s="12">
        <f>Y191-X191</f>
        <v>0</v>
      </c>
      <c r="Z274" s="12">
        <f>Z191-Y191</f>
        <v>0</v>
      </c>
      <c r="AA274" s="12">
        <f>AA191-Z191</f>
        <v>0</v>
      </c>
      <c r="AB274" s="12">
        <f>SUM(X274:AA274)</f>
        <v>0</v>
      </c>
      <c r="AC274" s="12">
        <f>AC191-AB191</f>
        <v>0</v>
      </c>
      <c r="AD274" s="12">
        <f>AD191-AC191</f>
        <v>0</v>
      </c>
      <c r="AE274" s="12">
        <f>AE191-AD191</f>
        <v>0</v>
      </c>
      <c r="AF274" s="12">
        <f>AF191-AE191</f>
        <v>0</v>
      </c>
      <c r="AG274" s="12">
        <f>SUM(AC274:AF274)</f>
        <v>0</v>
      </c>
      <c r="AH274" s="12">
        <f>AH191-AG191</f>
        <v>0</v>
      </c>
      <c r="AI274" s="12">
        <f>AI191-AH191</f>
        <v>0</v>
      </c>
      <c r="AJ274" s="12">
        <f>AJ191-AI191</f>
        <v>0</v>
      </c>
      <c r="AK274" s="12">
        <f>AK191-AJ191</f>
        <v>0</v>
      </c>
      <c r="AL274" s="12">
        <f>SUM(AH274:AK274)</f>
        <v>0</v>
      </c>
      <c r="AM274" s="12">
        <f>AM191-AL191</f>
        <v>0</v>
      </c>
      <c r="AN274" s="12">
        <f>AN191-AM191</f>
        <v>0</v>
      </c>
      <c r="AO274" s="12">
        <f>AO191-AN191</f>
        <v>0</v>
      </c>
      <c r="AP274" s="12">
        <f>AP191-AO191</f>
        <v>0</v>
      </c>
      <c r="AQ274" s="12">
        <f>SUM(AM274:AP274)</f>
        <v>0</v>
      </c>
      <c r="AR274" s="12">
        <f>AR191-AQ191</f>
        <v>0</v>
      </c>
      <c r="AS274" s="12">
        <f>AS191-AR191</f>
        <v>0</v>
      </c>
      <c r="AT274" s="12">
        <f>AT191-AS191</f>
        <v>0</v>
      </c>
      <c r="AU274" s="12">
        <f>AU191-AT191</f>
        <v>0</v>
      </c>
      <c r="AV274" s="12">
        <f>SUM(AR274:AU274)</f>
        <v>0</v>
      </c>
      <c r="AW274" s="12">
        <f>AW191-AV191</f>
        <v>0</v>
      </c>
      <c r="AX274" s="12">
        <f>AX191-AW191</f>
        <v>0</v>
      </c>
      <c r="AY274" s="12">
        <f>AY191-AX191</f>
        <v>0</v>
      </c>
      <c r="AZ274" s="12">
        <f>AZ191-AY191</f>
        <v>0</v>
      </c>
      <c r="BA274" s="12">
        <f>SUM(AW274:AZ274)</f>
        <v>0</v>
      </c>
      <c r="BB274" s="12">
        <f>BB191-BA191</f>
        <v>0</v>
      </c>
      <c r="BC274" s="12">
        <f>BC191-BB191</f>
        <v>0</v>
      </c>
      <c r="BD274" s="12">
        <f>BD191-BC191</f>
        <v>0</v>
      </c>
      <c r="BE274" s="12">
        <f>BE191-BD191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Other current liabilities (non-debt)</t>
        </is>
      </c>
      <c r="D275" s="12" t="n"/>
      <c r="E275" s="12" t="n"/>
      <c r="F275" s="12" t="n"/>
      <c r="G275" s="12" t="n"/>
      <c r="H275" s="12" t="n"/>
      <c r="I275" s="12" t="n"/>
      <c r="J275" s="12">
        <f>J192-I192</f>
        <v>-8248</v>
      </c>
      <c r="K275" s="12">
        <f>K192-J192</f>
        <v>-459</v>
      </c>
      <c r="L275" s="12">
        <f>L192-K192</f>
        <v>-3875</v>
      </c>
      <c r="M275" s="12" t="n"/>
      <c r="N275" s="12">
        <f>N192-M192</f>
        <v>2227</v>
      </c>
      <c r="O275" s="12">
        <f>O192-N192</f>
        <v>33300</v>
      </c>
      <c r="P275" s="12">
        <f>P192-O192</f>
        <v>3637</v>
      </c>
      <c r="Q275" s="12">
        <f>Q192-P192</f>
        <v>-1050</v>
      </c>
      <c r="R275" s="12">
        <f>SUM(N275:Q275)</f>
        <v>38114</v>
      </c>
      <c r="S275" s="12">
        <f>S192-R192</f>
        <v>2690</v>
      </c>
      <c r="T275" s="12">
        <f>T192-S192</f>
        <v>4370</v>
      </c>
      <c r="U275" s="12">
        <f>U192-T192</f>
        <v>1146</v>
      </c>
      <c r="V275" s="12">
        <f>V192-U192</f>
        <v>-2217</v>
      </c>
      <c r="W275" s="12">
        <f>SUM(S275:V275)</f>
        <v>5989</v>
      </c>
      <c r="X275" s="12">
        <f>X192-W192</f>
        <v>3127</v>
      </c>
      <c r="Y275" s="12">
        <f>Y192-X192</f>
        <v>4265</v>
      </c>
      <c r="Z275" s="12">
        <f>Z192-Y192</f>
        <v>1467</v>
      </c>
      <c r="AA275" s="12">
        <f>AA192-Z192</f>
        <v>-3088</v>
      </c>
      <c r="AB275" s="12">
        <f>SUM(X275:AA275)</f>
        <v>5771</v>
      </c>
      <c r="AC275" s="12">
        <f>AC192-AB192</f>
        <v>-1815</v>
      </c>
      <c r="AD275" s="12">
        <f>AD192-AC192</f>
        <v>1976</v>
      </c>
      <c r="AE275" s="12">
        <f>AE192-AD192</f>
        <v>-1698</v>
      </c>
      <c r="AF275" s="12">
        <f>AF192-AE192</f>
        <v>-3506</v>
      </c>
      <c r="AG275" s="12">
        <f>SUM(AC275:AF275)</f>
        <v>-5043</v>
      </c>
      <c r="AH275" s="12">
        <f>AH192-AG192</f>
        <v>1234</v>
      </c>
      <c r="AI275" s="12">
        <f>AI192-AH192</f>
        <v>-1447</v>
      </c>
      <c r="AJ275" s="12">
        <f>AJ192-AI192</f>
        <v>0</v>
      </c>
      <c r="AK275" s="12">
        <f>AK192-AJ192</f>
        <v>0</v>
      </c>
      <c r="AL275" s="12">
        <f>SUM(AH275:AK275)</f>
        <v>-213</v>
      </c>
      <c r="AM275" s="12">
        <f>AM192-AL192</f>
        <v>0</v>
      </c>
      <c r="AN275" s="12">
        <f>AN192-AM192</f>
        <v>0</v>
      </c>
      <c r="AO275" s="12">
        <f>AO192-AN192</f>
        <v>0</v>
      </c>
      <c r="AP275" s="12">
        <f>AP192-AO192</f>
        <v>0</v>
      </c>
      <c r="AQ275" s="12">
        <f>SUM(AM275:AP275)</f>
        <v>0</v>
      </c>
      <c r="AR275" s="12">
        <f>AR192-AQ192</f>
        <v>0</v>
      </c>
      <c r="AS275" s="12">
        <f>AS192-AR192</f>
        <v>0</v>
      </c>
      <c r="AT275" s="12">
        <f>AT192-AS192</f>
        <v>0</v>
      </c>
      <c r="AU275" s="12">
        <f>AU192-AT192</f>
        <v>0</v>
      </c>
      <c r="AV275" s="12">
        <f>SUM(AR275:AU275)</f>
        <v>0</v>
      </c>
      <c r="AW275" s="12">
        <f>AW192-AV192</f>
        <v>0</v>
      </c>
      <c r="AX275" s="12">
        <f>AX192-AW192</f>
        <v>0</v>
      </c>
      <c r="AY275" s="12">
        <f>AY192-AX192</f>
        <v>0</v>
      </c>
      <c r="AZ275" s="12">
        <f>AZ192-AY192</f>
        <v>0</v>
      </c>
      <c r="BA275" s="12">
        <f>SUM(AW275:AZ275)</f>
        <v>0</v>
      </c>
      <c r="BB275" s="12">
        <f>BB192-BA192</f>
        <v>0</v>
      </c>
      <c r="BC275" s="12">
        <f>BC192-BB192</f>
        <v>0</v>
      </c>
      <c r="BD275" s="12">
        <f>BD192-BC192</f>
        <v>0</v>
      </c>
      <c r="BE275" s="12">
        <f>BE192-BD192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Deferred income taxes</t>
        </is>
      </c>
      <c r="D276" s="12" t="n"/>
      <c r="E276" s="12" t="n"/>
      <c r="F276" s="12" t="n"/>
      <c r="G276" s="12" t="n"/>
      <c r="H276" s="12" t="n"/>
      <c r="I276" s="12" t="n"/>
      <c r="J276" s="12">
        <f>J226-I226</f>
        <v>-18</v>
      </c>
      <c r="K276" s="12">
        <f>K226-J226</f>
        <v>61</v>
      </c>
      <c r="L276" s="12">
        <f>L226-K226</f>
        <v>-20</v>
      </c>
      <c r="M276" s="12" t="n"/>
      <c r="N276" s="12">
        <f>N226-M226</f>
        <v>28</v>
      </c>
      <c r="O276" s="12">
        <f>O226-N226</f>
        <v>-23</v>
      </c>
      <c r="P276" s="12">
        <f>P226-O226</f>
        <v>-66</v>
      </c>
      <c r="Q276" s="12">
        <f>Q226-P226</f>
        <v>24</v>
      </c>
      <c r="R276" s="12">
        <f>SUM(N276:Q276)</f>
        <v>-37</v>
      </c>
      <c r="S276" s="12">
        <f>S226-R226</f>
        <v>-8</v>
      </c>
      <c r="T276" s="12">
        <f>T226-S226</f>
        <v>-5</v>
      </c>
      <c r="U276" s="12">
        <f>U226-T226</f>
        <v>14</v>
      </c>
      <c r="V276" s="12">
        <f>V226-U226</f>
        <v>30</v>
      </c>
      <c r="W276" s="12">
        <f>SUM(S276:V276)</f>
        <v>31</v>
      </c>
      <c r="X276" s="12">
        <f>X226-W226</f>
        <v>-59</v>
      </c>
      <c r="Y276" s="12">
        <f>Y226-X226</f>
        <v>-10</v>
      </c>
      <c r="Z276" s="12">
        <f>Z226-Y226</f>
        <v>-3</v>
      </c>
      <c r="AA276" s="12">
        <f>AA226-Z226</f>
        <v>-30</v>
      </c>
      <c r="AB276" s="12">
        <f>SUM(X276:AA276)</f>
        <v>-102</v>
      </c>
      <c r="AC276" s="12">
        <f>AC226-AB226</f>
        <v>48</v>
      </c>
      <c r="AD276" s="12">
        <f>AD226-AC226</f>
        <v>-7</v>
      </c>
      <c r="AE276" s="12">
        <f>AE226-AD226</f>
        <v>-55</v>
      </c>
      <c r="AF276" s="12">
        <f>AF226-AE226</f>
        <v>0</v>
      </c>
      <c r="AG276" s="12">
        <f>SUM(AC276:AF276)</f>
        <v>-14</v>
      </c>
      <c r="AH276" s="12">
        <f>AH226-AG226</f>
        <v>-12</v>
      </c>
      <c r="AI276" s="12">
        <f>AI226-AH226</f>
        <v>-11</v>
      </c>
      <c r="AJ276" s="12">
        <f>AJ226-AI226</f>
        <v>0</v>
      </c>
      <c r="AK276" s="12">
        <f>AK226-AJ226</f>
        <v>0</v>
      </c>
      <c r="AL276" s="12">
        <f>SUM(AH276:AK276)</f>
        <v>-23</v>
      </c>
      <c r="AM276" s="12">
        <f>AM226-AL226</f>
        <v>0</v>
      </c>
      <c r="AN276" s="12">
        <f>AN226-AM226</f>
        <v>0</v>
      </c>
      <c r="AO276" s="12">
        <f>AO226-AN226</f>
        <v>0</v>
      </c>
      <c r="AP276" s="12">
        <f>AP226-AO226</f>
        <v>0</v>
      </c>
      <c r="AQ276" s="12">
        <f>SUM(AM276:AP276)</f>
        <v>0</v>
      </c>
      <c r="AR276" s="12">
        <f>AR226-AQ226</f>
        <v>0</v>
      </c>
      <c r="AS276" s="12">
        <f>AS226-AR226</f>
        <v>0</v>
      </c>
      <c r="AT276" s="12">
        <f>AT226-AS226</f>
        <v>0</v>
      </c>
      <c r="AU276" s="12">
        <f>AU226-AT226</f>
        <v>0</v>
      </c>
      <c r="AV276" s="12">
        <f>SUM(AR276:AU276)</f>
        <v>0</v>
      </c>
      <c r="AW276" s="12">
        <f>AW226-AV226</f>
        <v>0</v>
      </c>
      <c r="AX276" s="12">
        <f>AX226-AW226</f>
        <v>0</v>
      </c>
      <c r="AY276" s="12">
        <f>AY226-AX226</f>
        <v>0</v>
      </c>
      <c r="AZ276" s="12">
        <f>AZ226-AY226</f>
        <v>0</v>
      </c>
      <c r="BA276" s="12">
        <f>SUM(AW276:AZ276)</f>
        <v>0</v>
      </c>
      <c r="BB276" s="12">
        <f>BB226-BA226</f>
        <v>0</v>
      </c>
      <c r="BC276" s="12">
        <f>BC226-BB226</f>
        <v>0</v>
      </c>
      <c r="BD276" s="12">
        <f>BD226-BC226</f>
        <v>0</v>
      </c>
      <c r="BE276" s="12">
        <f>BE226-BD226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collapsed="1">
      <c r="C277" s="10" t="inlineStr">
        <is>
          <t>Equity income in affiliates</t>
        </is>
      </c>
      <c r="D277" s="12" t="n"/>
      <c r="E277" s="12" t="n"/>
      <c r="F277" s="12" t="n"/>
      <c r="G277" s="12" t="n"/>
      <c r="H277" s="12" t="n"/>
      <c r="I277" s="12" t="n"/>
      <c r="J277" s="12">
        <f>(J148-I148)*-1</f>
        <v>0</v>
      </c>
      <c r="K277" s="12">
        <f>(K148-J148)*-1</f>
        <v>0</v>
      </c>
      <c r="L277" s="12">
        <f>(L148-K148)*-1</f>
        <v>0</v>
      </c>
      <c r="M277" s="12" t="n"/>
      <c r="N277" s="12">
        <f>(N148-M148)*-1</f>
        <v>0</v>
      </c>
      <c r="O277" s="12">
        <f>(O148-N148)*-1</f>
        <v>0</v>
      </c>
      <c r="P277" s="12">
        <f>(P148-O148)*-1</f>
        <v>0</v>
      </c>
      <c r="Q277" s="12">
        <f>(Q148-P148)*-1</f>
        <v>0</v>
      </c>
      <c r="R277" s="12">
        <f>SUM(N277:Q277)</f>
        <v>0</v>
      </c>
      <c r="S277" s="12">
        <f>(S148-R148)*-1</f>
        <v>0</v>
      </c>
      <c r="T277" s="12">
        <f>(T148-S148)*-1</f>
        <v>0</v>
      </c>
      <c r="U277" s="12">
        <f>(U148-T148)*-1</f>
        <v>0</v>
      </c>
      <c r="V277" s="12">
        <f>(V148-U148)*-1</f>
        <v>0</v>
      </c>
      <c r="W277" s="12">
        <f>SUM(S277:V277)</f>
        <v>0</v>
      </c>
      <c r="X277" s="12">
        <f>(X148-W148)*-1</f>
        <v>0</v>
      </c>
      <c r="Y277" s="12">
        <f>(Y148-X148)*-1</f>
        <v>0</v>
      </c>
      <c r="Z277" s="12">
        <f>(Z148-Y148)*-1</f>
        <v>0</v>
      </c>
      <c r="AA277" s="12">
        <f>(AA148-Z148)*-1</f>
        <v>0</v>
      </c>
      <c r="AB277" s="12">
        <f>SUM(X277:AA277)</f>
        <v>0</v>
      </c>
      <c r="AC277" s="12">
        <f>(AC148-AB148)*-1</f>
        <v>0</v>
      </c>
      <c r="AD277" s="12">
        <f>(AD148-AC148)*-1</f>
        <v>0</v>
      </c>
      <c r="AE277" s="12">
        <f>(AE148-AD148)*-1</f>
        <v>0</v>
      </c>
      <c r="AF277" s="12">
        <f>(AF148-AE148)*-1</f>
        <v>0</v>
      </c>
      <c r="AG277" s="12">
        <f>SUM(AC277:AF277)</f>
        <v>0</v>
      </c>
      <c r="AH277" s="12">
        <f>(AH148-AG148)*-1</f>
        <v>0</v>
      </c>
      <c r="AI277" s="12">
        <f>(AI148-AH148)*-1</f>
        <v>0</v>
      </c>
      <c r="AJ277" s="12">
        <f>(AJ148-AI148)*-1</f>
        <v>0</v>
      </c>
      <c r="AK277" s="12">
        <f>(AK148-AJ148)*-1</f>
        <v>0</v>
      </c>
      <c r="AL277" s="12">
        <f>SUM(AH277:AK277)</f>
        <v>0</v>
      </c>
      <c r="AM277" s="12">
        <f>(AM148-AL148)*-1</f>
        <v>0</v>
      </c>
      <c r="AN277" s="12">
        <f>(AN148-AM148)*-1</f>
        <v>0</v>
      </c>
      <c r="AO277" s="12">
        <f>(AO148-AN148)*-1</f>
        <v>0</v>
      </c>
      <c r="AP277" s="12">
        <f>(AP148-AO148)*-1</f>
        <v>0</v>
      </c>
      <c r="AQ277" s="12">
        <f>SUM(AM277:AP277)</f>
        <v>0</v>
      </c>
      <c r="AR277" s="12">
        <f>(AR148-AQ148)*-1</f>
        <v>0</v>
      </c>
      <c r="AS277" s="12">
        <f>(AS148-AR148)*-1</f>
        <v>0</v>
      </c>
      <c r="AT277" s="12">
        <f>(AT148-AS148)*-1</f>
        <v>0</v>
      </c>
      <c r="AU277" s="12">
        <f>(AU148-AT148)*-1</f>
        <v>0</v>
      </c>
      <c r="AV277" s="12">
        <f>SUM(AR277:AU277)</f>
        <v>0</v>
      </c>
      <c r="AW277" s="12">
        <f>(AW148-AV148)*-1</f>
        <v>0</v>
      </c>
      <c r="AX277" s="12">
        <f>(AX148-AW148)*-1</f>
        <v>0</v>
      </c>
      <c r="AY277" s="12">
        <f>(AY148-AX148)*-1</f>
        <v>0</v>
      </c>
      <c r="AZ277" s="12">
        <f>(AZ148-AY148)*-1</f>
        <v>0</v>
      </c>
      <c r="BA277" s="12">
        <f>SUM(AW277:AZ277)</f>
        <v>0</v>
      </c>
      <c r="BB277" s="12">
        <f>(BB148-BA148)*-1</f>
        <v>0</v>
      </c>
      <c r="BC277" s="12">
        <f>(BC148-BB148)*-1</f>
        <v>0</v>
      </c>
      <c r="BD277" s="12">
        <f>(BD148-BC148)*-1</f>
        <v>0</v>
      </c>
      <c r="BE277" s="12">
        <f>(BE148-BD148)*-1</f>
        <v>0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0" t="inlineStr">
        <is>
          <t>Dividends received from affiliates</t>
        </is>
      </c>
      <c r="D278" s="12" t="n"/>
      <c r="E278" s="12" t="n"/>
      <c r="F278" s="12" t="n"/>
      <c r="G278" s="12" t="n"/>
      <c r="H278" s="12" t="n"/>
      <c r="I278" s="12" t="n"/>
      <c r="J278" s="12">
        <f>-J151</f>
        <v>0</v>
      </c>
      <c r="K278" s="12">
        <f>-K151</f>
        <v>0</v>
      </c>
      <c r="L278" s="12">
        <f>-L151</f>
        <v>0</v>
      </c>
      <c r="M278" s="12" t="n"/>
      <c r="N278" s="12">
        <f>-N151</f>
        <v>0</v>
      </c>
      <c r="O278" s="12">
        <f>-O151</f>
        <v>0</v>
      </c>
      <c r="P278" s="12">
        <f>-P151</f>
        <v>0</v>
      </c>
      <c r="Q278" s="12">
        <f>-Q151</f>
        <v>0</v>
      </c>
      <c r="R278" s="12">
        <f>SUM(N278:Q278)</f>
        <v>0</v>
      </c>
      <c r="S278" s="12">
        <f>-S151</f>
        <v>0</v>
      </c>
      <c r="T278" s="12">
        <f>-T151</f>
        <v>0</v>
      </c>
      <c r="U278" s="12">
        <f>-U151</f>
        <v>0</v>
      </c>
      <c r="V278" s="12">
        <f>-V151</f>
        <v>0</v>
      </c>
      <c r="W278" s="12">
        <f>SUM(S278:V278)</f>
        <v>0</v>
      </c>
      <c r="X278" s="12">
        <f>-X151</f>
        <v>0</v>
      </c>
      <c r="Y278" s="12">
        <f>-Y151</f>
        <v>0</v>
      </c>
      <c r="Z278" s="12">
        <f>-Z151</f>
        <v>0</v>
      </c>
      <c r="AA278" s="12">
        <f>-AA151</f>
        <v>0</v>
      </c>
      <c r="AB278" s="12">
        <f>SUM(X278:AA278)</f>
        <v>0</v>
      </c>
      <c r="AC278" s="12">
        <f>-AC151</f>
        <v>0</v>
      </c>
      <c r="AD278" s="12">
        <f>-AD151</f>
        <v>0</v>
      </c>
      <c r="AE278" s="12">
        <f>-AE151</f>
        <v>0</v>
      </c>
      <c r="AF278" s="12">
        <f>-AF151</f>
        <v>0</v>
      </c>
      <c r="AG278" s="12">
        <f>SUM(AC278:AF278)</f>
        <v>0</v>
      </c>
      <c r="AH278" s="12">
        <f>-AH151</f>
        <v>0</v>
      </c>
      <c r="AI278" s="12">
        <f>-AI151</f>
        <v>0</v>
      </c>
      <c r="AJ278" s="12">
        <f>-AJ151</f>
        <v>0</v>
      </c>
      <c r="AK278" s="12">
        <f>-AK151</f>
        <v>0</v>
      </c>
      <c r="AL278" s="12">
        <f>SUM(AH278:AK278)</f>
        <v>0</v>
      </c>
      <c r="AM278" s="12">
        <f>-AM151</f>
        <v>0</v>
      </c>
      <c r="AN278" s="12">
        <f>-AN151</f>
        <v>0</v>
      </c>
      <c r="AO278" s="12">
        <f>-AO151</f>
        <v>0</v>
      </c>
      <c r="AP278" s="12">
        <f>-AP151</f>
        <v>0</v>
      </c>
      <c r="AQ278" s="12">
        <f>SUM(AM278:AP278)</f>
        <v>0</v>
      </c>
      <c r="AR278" s="12">
        <f>-AR151</f>
        <v>0</v>
      </c>
      <c r="AS278" s="12">
        <f>-AS151</f>
        <v>0</v>
      </c>
      <c r="AT278" s="12">
        <f>-AT151</f>
        <v>0</v>
      </c>
      <c r="AU278" s="12">
        <f>-AU151</f>
        <v>0</v>
      </c>
      <c r="AV278" s="12">
        <f>SUM(AR278:AU278)</f>
        <v>0</v>
      </c>
      <c r="AW278" s="12">
        <f>-AW151</f>
        <v>0</v>
      </c>
      <c r="AX278" s="12">
        <f>-AX151</f>
        <v>0</v>
      </c>
      <c r="AY278" s="12">
        <f>-AY151</f>
        <v>0</v>
      </c>
      <c r="AZ278" s="12">
        <f>-AZ151</f>
        <v>0</v>
      </c>
      <c r="BA278" s="12">
        <f>SUM(AW278:AZ278)</f>
        <v>0</v>
      </c>
      <c r="BB278" s="12">
        <f>-BB151</f>
        <v>0</v>
      </c>
      <c r="BC278" s="12">
        <f>-BC151</f>
        <v>0</v>
      </c>
      <c r="BD278" s="12">
        <f>-BD151</f>
        <v>0</v>
      </c>
      <c r="BE278" s="12">
        <f>-BE151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71" t="inlineStr">
        <is>
          <t>Minority interest expense</t>
        </is>
      </c>
      <c r="D279" s="12" t="n"/>
      <c r="E279" s="12" t="n"/>
      <c r="F279" s="12" t="n"/>
      <c r="G279" s="12" t="n"/>
      <c r="H279" s="12" t="n"/>
      <c r="I279" s="12" t="n"/>
      <c r="J279" s="12">
        <f>-J123</f>
        <v>1</v>
      </c>
      <c r="K279" s="12">
        <f>-K123</f>
        <v>0</v>
      </c>
      <c r="L279" s="12">
        <f>-L123</f>
        <v>1</v>
      </c>
      <c r="M279" s="12" t="n"/>
      <c r="N279" s="12">
        <f>-N123</f>
        <v>-1</v>
      </c>
      <c r="O279" s="12">
        <f>-O123</f>
        <v>1</v>
      </c>
      <c r="P279" s="12">
        <f>-P123</f>
        <v>-2</v>
      </c>
      <c r="Q279" s="12">
        <f>-Q123</f>
        <v>-2</v>
      </c>
      <c r="R279" s="12">
        <f>SUM(N279:Q279)</f>
        <v>-4</v>
      </c>
      <c r="S279" s="12">
        <f>-S123</f>
        <v>-1</v>
      </c>
      <c r="T279" s="12">
        <f>-T123</f>
        <v>-6</v>
      </c>
      <c r="U279" s="12">
        <f>-U123</f>
        <v>-1</v>
      </c>
      <c r="V279" s="12">
        <f>-V123</f>
        <v>-3</v>
      </c>
      <c r="W279" s="12">
        <f>SUM(S279:V279)</f>
        <v>-11</v>
      </c>
      <c r="X279" s="12">
        <f>-X123</f>
        <v>-2</v>
      </c>
      <c r="Y279" s="12">
        <f>-Y123</f>
        <v>-3</v>
      </c>
      <c r="Z279" s="12">
        <f>-Z123</f>
        <v>-3</v>
      </c>
      <c r="AA279" s="12">
        <f>-AA123</f>
        <v>-2</v>
      </c>
      <c r="AB279" s="12">
        <f>SUM(X279:AA279)</f>
        <v>-10</v>
      </c>
      <c r="AC279" s="12">
        <f>-AC123</f>
        <v>-3</v>
      </c>
      <c r="AD279" s="12">
        <f>-AD123</f>
        <v>-18</v>
      </c>
      <c r="AE279" s="12">
        <f>-AE123</f>
        <v>-5</v>
      </c>
      <c r="AF279" s="12">
        <f>-AF123</f>
        <v>-1</v>
      </c>
      <c r="AG279" s="12">
        <f>SUM(AC279:AF279)</f>
        <v>-27</v>
      </c>
      <c r="AH279" s="12">
        <f>-AH123</f>
        <v>-3</v>
      </c>
      <c r="AI279" s="12">
        <f>-AI123</f>
        <v>-2</v>
      </c>
      <c r="AJ279" s="12">
        <f>-AJ123</f>
        <v>0</v>
      </c>
      <c r="AK279" s="12">
        <f>-AK123</f>
        <v>0</v>
      </c>
      <c r="AL279" s="12">
        <f>SUM(AH279:AK279)</f>
        <v>-5</v>
      </c>
      <c r="AM279" s="12">
        <f>-AM123</f>
        <v>0</v>
      </c>
      <c r="AN279" s="12">
        <f>-AN123</f>
        <v>0</v>
      </c>
      <c r="AO279" s="12">
        <f>-AO123</f>
        <v>0</v>
      </c>
      <c r="AP279" s="12">
        <f>-AP123</f>
        <v>0</v>
      </c>
      <c r="AQ279" s="12">
        <f>SUM(AM279:AP279)</f>
        <v>0</v>
      </c>
      <c r="AR279" s="12">
        <f>-AR123</f>
        <v>0</v>
      </c>
      <c r="AS279" s="12">
        <f>-AS123</f>
        <v>0</v>
      </c>
      <c r="AT279" s="12">
        <f>-AT123</f>
        <v>0</v>
      </c>
      <c r="AU279" s="12">
        <f>-AU123</f>
        <v>0</v>
      </c>
      <c r="AV279" s="12">
        <f>SUM(AR279:AU279)</f>
        <v>0</v>
      </c>
      <c r="AW279" s="12">
        <f>-AW123</f>
        <v>0</v>
      </c>
      <c r="AX279" s="12">
        <f>-AX123</f>
        <v>0</v>
      </c>
      <c r="AY279" s="12">
        <f>-AY123</f>
        <v>0</v>
      </c>
      <c r="AZ279" s="12">
        <f>-AZ123</f>
        <v>0</v>
      </c>
      <c r="BA279" s="12">
        <f>SUM(AW279:AZ279)</f>
        <v>0</v>
      </c>
      <c r="BB279" s="12">
        <f>-BB123</f>
        <v>0</v>
      </c>
      <c r="BC279" s="12">
        <f>-BC123</f>
        <v>0</v>
      </c>
      <c r="BD279" s="12">
        <f>-BD123</f>
        <v>0</v>
      </c>
      <c r="BE279" s="12">
        <f>-BE123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4" t="inlineStr">
        <is>
          <t>Cash from operations</t>
        </is>
      </c>
      <c r="D280" s="12" t="n"/>
      <c r="E280" s="12" t="n"/>
      <c r="F280" s="12" t="n"/>
      <c r="G280" s="12" t="n"/>
      <c r="H280" s="12" t="n"/>
      <c r="I280" s="12" t="n"/>
      <c r="J280" s="12">
        <f>SUM(J264,J265,J266,J277,J278,J279)</f>
        <v>-7540</v>
      </c>
      <c r="K280" s="12">
        <f>SUM(K264,K265,K266,K277,K278,K279)</f>
        <v>-1411</v>
      </c>
      <c r="L280" s="12">
        <f>SUM(L264,L265,L266,L277,L278,L279)</f>
        <v>-1715</v>
      </c>
      <c r="M280" s="12" t="n"/>
      <c r="N280" s="12">
        <f>SUM(N264,N265,N266,N277,N278,N279)</f>
        <v>483</v>
      </c>
      <c r="O280" s="12">
        <f>SUM(O264,O265,O266,O277,O278,O279)</f>
        <v>73503</v>
      </c>
      <c r="P280" s="12">
        <f>SUM(P264,P265,P266,P277,P278,P279)</f>
        <v>5712</v>
      </c>
      <c r="Q280" s="12">
        <f>SUM(Q264,Q265,Q266,Q277,Q278,Q279)</f>
        <v>-1321</v>
      </c>
      <c r="R280" s="12">
        <f>SUM(R264,R265,R266,R277,R278,R279)</f>
        <v>78377</v>
      </c>
      <c r="S280" s="12">
        <f>SUM(S264,S265,S266,S277,S278,S279)</f>
        <v>3287</v>
      </c>
      <c r="T280" s="12">
        <f>SUM(T264,T265,T266,T277,T278,T279)</f>
        <v>7826</v>
      </c>
      <c r="U280" s="12">
        <f>SUM(U264,U265,U266,U277,U278,U279)</f>
        <v>6742</v>
      </c>
      <c r="V280" s="12">
        <f>SUM(V264,V265,V266,V277,V278,V279)</f>
        <v>-379</v>
      </c>
      <c r="W280" s="12">
        <f>SUM(W264,W265,W266,W277,W278,W279)</f>
        <v>17476</v>
      </c>
      <c r="X280" s="12">
        <f>SUM(X264,X265,X266,X277,X278,X279)</f>
        <v>4474</v>
      </c>
      <c r="Y280" s="12">
        <f>SUM(Y264,Y265,Y266,Y277,Y278,Y279)</f>
        <v>5397</v>
      </c>
      <c r="Z280" s="12">
        <f>SUM(Z264,Z265,Z266,Z277,Z278,Z279)</f>
        <v>4897</v>
      </c>
      <c r="AA280" s="12">
        <f>SUM(AA264,AA265,AA266,AA277,AA278,AA279)</f>
        <v>-1752</v>
      </c>
      <c r="AB280" s="12">
        <f>SUM(AB264,AB265,AB266,AB277,AB278,AB279)</f>
        <v>13016</v>
      </c>
      <c r="AC280" s="12">
        <f>SUM(AC264,AC265,AC266,AC277,AC278,AC279)</f>
        <v>185</v>
      </c>
      <c r="AD280" s="12">
        <f>SUM(AD264,AD265,AD266,AD277,AD278,AD279)</f>
        <v>4040</v>
      </c>
      <c r="AE280" s="12">
        <f>SUM(AE264,AE265,AE266,AE277,AE278,AE279)</f>
        <v>858</v>
      </c>
      <c r="AF280" s="12">
        <f>SUM(AF264,AF265,AF266,AF277,AF278,AF279)</f>
        <v>-3913</v>
      </c>
      <c r="AG280" s="12">
        <f>SUM(AG264,AG265,AG266,AG277,AG278,AG279)</f>
        <v>1170</v>
      </c>
      <c r="AH280" s="12">
        <f>SUM(AH264,AH265,AH266,AH277,AH278,AH279)</f>
        <v>1880</v>
      </c>
      <c r="AI280" s="12">
        <f>SUM(AI264,AI265,AI266,AI277,AI278,AI279)</f>
        <v>1017</v>
      </c>
      <c r="AJ280" s="12">
        <f>SUM(AJ264,AJ265,AJ266,AJ277,AJ278,AJ279)</f>
        <v>10372.5859355187</v>
      </c>
      <c r="AK280" s="12">
        <f>SUM(AK264,AK265,AK266,AK277,AK278,AK279)</f>
        <v>1986.39683929889</v>
      </c>
      <c r="AL280" s="12">
        <f>SUM(AL264,AL265,AL266,AL277,AL278,AL279)</f>
        <v>15255.9827748176</v>
      </c>
      <c r="AM280" s="12">
        <f>SUM(AM264,AM265,AM266,AM277,AM278,AM279)</f>
        <v>2763.09846473696</v>
      </c>
      <c r="AN280" s="12">
        <f>SUM(AN264,AN265,AN266,AN277,AN278,AN279)</f>
        <v>2605.81535218817</v>
      </c>
      <c r="AO280" s="12">
        <f>SUM(AO264,AO265,AO266,AO277,AO278,AO279)</f>
        <v>2599.96878721076</v>
      </c>
      <c r="AP280" s="12">
        <f>SUM(AP264,AP265,AP266,AP277,AP278,AP279)</f>
        <v>2016.16104678737</v>
      </c>
      <c r="AQ280" s="12">
        <f>SUM(AQ264,AQ265,AQ266,AQ277,AQ278,AQ279)</f>
        <v>9985.04365092325</v>
      </c>
      <c r="AR280" s="12">
        <f>SUM(AR264,AR265,AR266,AR277,AR278,AR279)</f>
        <v>2790.68529162183</v>
      </c>
      <c r="AS280" s="12">
        <f>SUM(AS264,AS265,AS266,AS277,AS278,AS279)</f>
        <v>2631.83186152801</v>
      </c>
      <c r="AT280" s="12">
        <f>SUM(AT264,AT265,AT266,AT277,AT278,AT279)</f>
        <v>2625.92692433624</v>
      </c>
      <c r="AU280" s="12">
        <f>SUM(AU264,AU265,AU266,AU277,AU278,AU279)</f>
        <v>2036.29043648504</v>
      </c>
      <c r="AV280" s="12">
        <f>SUM(AV264,AV265,AV266,AV277,AV278,AV279)</f>
        <v>10084.7345139711</v>
      </c>
      <c r="AW280" s="12">
        <f>SUM(AW264,AW265,AW266,AW277,AW278,AW279)</f>
        <v>2804.59411944551</v>
      </c>
      <c r="AX280" s="12">
        <f>SUM(AX264,AX265,AX266,AX277,AX278,AX279)</f>
        <v>2644.94896087732</v>
      </c>
      <c r="AY280" s="12">
        <f>SUM(AY264,AY265,AY266,AY277,AY278,AY279)</f>
        <v>2639.01459336786</v>
      </c>
      <c r="AZ280" s="12">
        <f>SUM(AZ264,AZ265,AZ266,AZ277,AZ278,AZ279)</f>
        <v>2046.4393462045</v>
      </c>
      <c r="BA280" s="12">
        <f>SUM(BA264,BA265,BA266,BA277,BA278,BA279)</f>
        <v>10134.9970198952</v>
      </c>
      <c r="BB280" s="12">
        <f>SUM(BB264,BB265,BB266,BB277,BB278,BB279)</f>
        <v>2804.59411944551</v>
      </c>
      <c r="BC280" s="12">
        <f>SUM(BC264,BC265,BC266,BC277,BC278,BC279)</f>
        <v>2644.94896087732</v>
      </c>
      <c r="BD280" s="12">
        <f>SUM(BD264,BD265,BD266,BD277,BD278,BD279)</f>
        <v>2639.01459336786</v>
      </c>
      <c r="BE280" s="12">
        <f>SUM(BE264,BE265,BE266,BE277,BE278,BE279)</f>
        <v>2046.4393462045</v>
      </c>
      <c r="BF280" s="12">
        <f>SUM(BF264,BF265,BF266,BF277,BF278,BF279)</f>
        <v>10134.9970198952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14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  <c r="AL281" s="12" t="n"/>
      <c r="AM281" s="12" t="n"/>
      <c r="AN281" s="12" t="n"/>
      <c r="AO281" s="12" t="n"/>
      <c r="AP281" s="12" t="n"/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>
      <c r="C282" s="10" t="inlineStr">
        <is>
          <t>Purchase of fixed assets (capital expenditures)</t>
        </is>
      </c>
      <c r="D282" s="12" t="n"/>
      <c r="E282" s="12" t="n"/>
      <c r="F282" s="12" t="n"/>
      <c r="G282" s="12" t="n"/>
      <c r="H282" s="12" t="n"/>
      <c r="I282" s="12" t="n"/>
      <c r="J282" s="12">
        <f>-J155</f>
        <v>-515</v>
      </c>
      <c r="K282" s="12">
        <f>-K155</f>
        <v>-481</v>
      </c>
      <c r="L282" s="12">
        <f>-L155</f>
        <v>-486</v>
      </c>
      <c r="M282" s="12" t="n"/>
      <c r="N282" s="12">
        <f>-N155</f>
        <v>-447</v>
      </c>
      <c r="O282" s="12">
        <f>-O155</f>
        <v>-510</v>
      </c>
      <c r="P282" s="12">
        <f>-P155</f>
        <v>-452</v>
      </c>
      <c r="Q282" s="12">
        <f>-Q155</f>
        <v>-494</v>
      </c>
      <c r="R282" s="12">
        <f>SUM(N282:Q282)</f>
        <v>-1903</v>
      </c>
      <c r="S282" s="12">
        <f>-S155</f>
        <v>-501</v>
      </c>
      <c r="T282" s="12">
        <f>-T155</f>
        <v>-532</v>
      </c>
      <c r="U282" s="12">
        <f>-U155</f>
        <v>-477</v>
      </c>
      <c r="V282" s="12">
        <f>-V155</f>
        <v>-520</v>
      </c>
      <c r="W282" s="12">
        <f>SUM(S282:V282)</f>
        <v>-2030</v>
      </c>
      <c r="X282" s="12">
        <f>-X155</f>
        <v>-525</v>
      </c>
      <c r="Y282" s="12">
        <f>-Y155</f>
        <v>-553</v>
      </c>
      <c r="Z282" s="12">
        <f>-Z155</f>
        <v>-520</v>
      </c>
      <c r="AA282" s="12">
        <f>-AA155</f>
        <v>-549</v>
      </c>
      <c r="AB282" s="12">
        <f>SUM(X282:AA282)</f>
        <v>-2147</v>
      </c>
      <c r="AC282" s="12">
        <f>-AC155</f>
        <v>-555</v>
      </c>
      <c r="AD282" s="12">
        <f>-AD155</f>
        <v>-564</v>
      </c>
      <c r="AE282" s="12">
        <f>-AE155</f>
        <v>-561</v>
      </c>
      <c r="AF282" s="12">
        <f>-AF155</f>
        <v>-590</v>
      </c>
      <c r="AG282" s="12">
        <f>SUM(AC282:AF282)</f>
        <v>-2270</v>
      </c>
      <c r="AH282" s="12">
        <f>-AH155</f>
        <v>-594</v>
      </c>
      <c r="AI282" s="12">
        <f>-AI155</f>
        <v>-603</v>
      </c>
      <c r="AJ282" s="12">
        <f>-AJ155</f>
        <v>-599.396138913936</v>
      </c>
      <c r="AK282" s="12">
        <f>-AK155</f>
        <v>-464.805251823611</v>
      </c>
      <c r="AL282" s="12">
        <f>SUM(AH282:AK282)</f>
        <v>-2261.20139073755</v>
      </c>
      <c r="AM282" s="12">
        <f>-AM155</f>
        <v>-646.548893104761</v>
      </c>
      <c r="AN282" s="12">
        <f>-AN155</f>
        <v>-609.745563936332</v>
      </c>
      <c r="AO282" s="12">
        <f>-AO155</f>
        <v>-608.37750189915</v>
      </c>
      <c r="AP282" s="12">
        <f>-AP155</f>
        <v>-471.769902432849</v>
      </c>
      <c r="AQ282" s="12">
        <f>SUM(AM282:AP282)</f>
        <v>-2336.44186137309</v>
      </c>
      <c r="AR282" s="12">
        <f>-AR155</f>
        <v>-653.004049377443</v>
      </c>
      <c r="AS282" s="12">
        <f>-AS155</f>
        <v>-615.83327508047</v>
      </c>
      <c r="AT282" s="12">
        <f>-AT155</f>
        <v>-614.451554286254</v>
      </c>
      <c r="AU282" s="12">
        <f>-AU155</f>
        <v>-476.48006198525</v>
      </c>
      <c r="AV282" s="12">
        <f>SUM(AR282:AU282)</f>
        <v>-2359.76894072942</v>
      </c>
      <c r="AW282" s="12">
        <f>-AW155</f>
        <v>-656.25863380451</v>
      </c>
      <c r="AX282" s="12">
        <f>-AX155</f>
        <v>-618.902599671423</v>
      </c>
      <c r="AY282" s="12">
        <f>-AY155</f>
        <v>-617.513992354859</v>
      </c>
      <c r="AZ282" s="12">
        <f>-AZ155</f>
        <v>-478.85484754902</v>
      </c>
      <c r="BA282" s="12">
        <f>SUM(AW282:AZ282)</f>
        <v>-2371.53007337981</v>
      </c>
      <c r="BB282" s="12">
        <f>-BB155</f>
        <v>-656.25863380451</v>
      </c>
      <c r="BC282" s="12">
        <f>-BC155</f>
        <v>-618.902599671423</v>
      </c>
      <c r="BD282" s="12">
        <f>-BD155</f>
        <v>-617.513992354859</v>
      </c>
      <c r="BE282" s="12">
        <f>-BE155</f>
        <v>-478.85484754902</v>
      </c>
      <c r="BF282" s="12">
        <f>SUM(BB282:BE282)</f>
        <v>-2371.53007337981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0" t="inlineStr">
        <is>
          <t>Proceeds from sale of fixed assets</t>
        </is>
      </c>
      <c r="D283" s="12" t="n"/>
      <c r="E283" s="12" t="n"/>
      <c r="F283" s="12" t="n"/>
      <c r="G283" s="12" t="n"/>
      <c r="H283" s="12" t="n"/>
      <c r="I283" s="12" t="n"/>
      <c r="J283" s="12">
        <f>-J156</f>
        <v>0</v>
      </c>
      <c r="K283" s="12">
        <f>-K156</f>
        <v>0</v>
      </c>
      <c r="L283" s="12">
        <f>-L156</f>
        <v>0</v>
      </c>
      <c r="M283" s="12" t="n"/>
      <c r="N283" s="12">
        <f>-N156</f>
        <v>0</v>
      </c>
      <c r="O283" s="12">
        <f>-O156</f>
        <v>0</v>
      </c>
      <c r="P283" s="12">
        <f>-P156</f>
        <v>0</v>
      </c>
      <c r="Q283" s="12">
        <f>-Q156</f>
        <v>0</v>
      </c>
      <c r="R283" s="12">
        <f>SUM(N283:Q283)</f>
        <v>0</v>
      </c>
      <c r="S283" s="12">
        <f>-S156</f>
        <v>0</v>
      </c>
      <c r="T283" s="12">
        <f>-T156</f>
        <v>0</v>
      </c>
      <c r="U283" s="12">
        <f>-U156</f>
        <v>0</v>
      </c>
      <c r="V283" s="12">
        <f>-V156</f>
        <v>0</v>
      </c>
      <c r="W283" s="12">
        <f>SUM(S283:V283)</f>
        <v>0</v>
      </c>
      <c r="X283" s="12">
        <f>-X156</f>
        <v>0</v>
      </c>
      <c r="Y283" s="12">
        <f>-Y156</f>
        <v>0</v>
      </c>
      <c r="Z283" s="12">
        <f>-Z156</f>
        <v>0</v>
      </c>
      <c r="AA283" s="12">
        <f>-AA156</f>
        <v>0</v>
      </c>
      <c r="AB283" s="12">
        <f>SUM(X283:AA283)</f>
        <v>0</v>
      </c>
      <c r="AC283" s="12">
        <f>-AC156</f>
        <v>0</v>
      </c>
      <c r="AD283" s="12">
        <f>-AD156</f>
        <v>0</v>
      </c>
      <c r="AE283" s="12">
        <f>-AE156</f>
        <v>0</v>
      </c>
      <c r="AF283" s="12">
        <f>-AF156</f>
        <v>0</v>
      </c>
      <c r="AG283" s="12">
        <f>SUM(AC283:AF283)</f>
        <v>0</v>
      </c>
      <c r="AH283" s="12">
        <f>-AH156</f>
        <v>0</v>
      </c>
      <c r="AI283" s="12">
        <f>-AI156</f>
        <v>0</v>
      </c>
      <c r="AJ283" s="12">
        <f>-AJ156</f>
        <v>0</v>
      </c>
      <c r="AK283" s="12">
        <f>-AK156</f>
        <v>0</v>
      </c>
      <c r="AL283" s="12">
        <f>SUM(AH283:AK283)</f>
        <v>0</v>
      </c>
      <c r="AM283" s="12">
        <f>-AM156</f>
        <v>0</v>
      </c>
      <c r="AN283" s="12">
        <f>-AN156</f>
        <v>0</v>
      </c>
      <c r="AO283" s="12">
        <f>-AO156</f>
        <v>0</v>
      </c>
      <c r="AP283" s="12">
        <f>-AP156</f>
        <v>0</v>
      </c>
      <c r="AQ283" s="12">
        <f>SUM(AM283:AP283)</f>
        <v>0</v>
      </c>
      <c r="AR283" s="12">
        <f>-AR156</f>
        <v>0</v>
      </c>
      <c r="AS283" s="12">
        <f>-AS156</f>
        <v>0</v>
      </c>
      <c r="AT283" s="12">
        <f>-AT156</f>
        <v>0</v>
      </c>
      <c r="AU283" s="12">
        <f>-AU156</f>
        <v>0</v>
      </c>
      <c r="AV283" s="12">
        <f>SUM(AR283:AU283)</f>
        <v>0</v>
      </c>
      <c r="AW283" s="12">
        <f>-AW156</f>
        <v>0</v>
      </c>
      <c r="AX283" s="12">
        <f>-AX156</f>
        <v>0</v>
      </c>
      <c r="AY283" s="12">
        <f>-AY156</f>
        <v>0</v>
      </c>
      <c r="AZ283" s="12">
        <f>-AZ156</f>
        <v>0</v>
      </c>
      <c r="BA283" s="12">
        <f>SUM(AW283:AZ283)</f>
        <v>0</v>
      </c>
      <c r="BB283" s="12">
        <f>-BB156</f>
        <v>0</v>
      </c>
      <c r="BC283" s="12">
        <f>-BC156</f>
        <v>0</v>
      </c>
      <c r="BD283" s="12">
        <f>-BD156</f>
        <v>0</v>
      </c>
      <c r="BE283" s="12">
        <f>-BE156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10" t="inlineStr">
        <is>
          <t>Var.Right-of-use-assets</t>
        </is>
      </c>
      <c r="D284" s="12" t="n"/>
      <c r="E284" s="12" t="n"/>
      <c r="F284" s="12" t="n"/>
      <c r="G284" s="12" t="n"/>
      <c r="H284" s="12" t="n"/>
      <c r="I284" s="12" t="n"/>
      <c r="J284" s="12">
        <f>(J163-I163)*-1</f>
        <v>0</v>
      </c>
      <c r="K284" s="12">
        <f>(K163-J163)*-1</f>
        <v>0</v>
      </c>
      <c r="L284" s="12">
        <f>(L163-K163)*-1</f>
        <v>0</v>
      </c>
      <c r="M284" s="12" t="n"/>
      <c r="N284" s="12">
        <f>(N163-M163)*-1</f>
        <v>0</v>
      </c>
      <c r="O284" s="12">
        <f>(O163-N163)*-1</f>
        <v>0</v>
      </c>
      <c r="P284" s="12">
        <f>(P163-O163)*-1</f>
        <v>0</v>
      </c>
      <c r="Q284" s="12">
        <f>(Q163-P163)*-1</f>
        <v>0</v>
      </c>
      <c r="R284" s="12">
        <f>SUM(N284:Q284)</f>
        <v>0</v>
      </c>
      <c r="S284" s="12">
        <f>(S163-R163)*-1</f>
        <v>0</v>
      </c>
      <c r="T284" s="12">
        <f>(T163-S163)*-1</f>
        <v>0</v>
      </c>
      <c r="U284" s="12">
        <f>(U163-T163)*-1</f>
        <v>0</v>
      </c>
      <c r="V284" s="12">
        <f>(V163-U163)*-1</f>
        <v>0</v>
      </c>
      <c r="W284" s="12">
        <f>SUM(S284:V284)</f>
        <v>0</v>
      </c>
      <c r="X284" s="12">
        <f>(X163-W163)*-1</f>
        <v>0</v>
      </c>
      <c r="Y284" s="12">
        <f>(Y163-X163)*-1</f>
        <v>0</v>
      </c>
      <c r="Z284" s="12">
        <f>(Z163-Y163)*-1</f>
        <v>0</v>
      </c>
      <c r="AA284" s="12">
        <f>(AA163-Z163)*-1</f>
        <v>0</v>
      </c>
      <c r="AB284" s="12">
        <f>SUM(X284:AA284)</f>
        <v>0</v>
      </c>
      <c r="AC284" s="12">
        <f>(AC163-AB163)*-1</f>
        <v>0</v>
      </c>
      <c r="AD284" s="12">
        <f>(AD163-AC163)*-1</f>
        <v>0</v>
      </c>
      <c r="AE284" s="12">
        <f>(AE163-AD163)*-1</f>
        <v>0</v>
      </c>
      <c r="AF284" s="12">
        <f>(AF163-AE163)*-1</f>
        <v>0</v>
      </c>
      <c r="AG284" s="12">
        <f>SUM(AC284:AF284)</f>
        <v>0</v>
      </c>
      <c r="AH284" s="12">
        <f>(AH163-AG163)*-1</f>
        <v>0</v>
      </c>
      <c r="AI284" s="12">
        <f>(AI163-AH163)*-1</f>
        <v>0</v>
      </c>
      <c r="AJ284" s="12">
        <f>(AJ163-AI163)*-1</f>
        <v>0</v>
      </c>
      <c r="AK284" s="12">
        <f>(AK163-AJ163)*-1</f>
        <v>0</v>
      </c>
      <c r="AL284" s="12">
        <f>SUM(AH284:AK284)</f>
        <v>0</v>
      </c>
      <c r="AM284" s="12">
        <f>(AM163-AL163)*-1</f>
        <v>0</v>
      </c>
      <c r="AN284" s="12">
        <f>(AN163-AM163)*-1</f>
        <v>0</v>
      </c>
      <c r="AO284" s="12">
        <f>(AO163-AN163)*-1</f>
        <v>0</v>
      </c>
      <c r="AP284" s="12">
        <f>(AP163-AO163)*-1</f>
        <v>0</v>
      </c>
      <c r="AQ284" s="12">
        <f>SUM(AM284:AP284)</f>
        <v>0</v>
      </c>
      <c r="AR284" s="12">
        <f>(AR163-AQ163)*-1</f>
        <v>0</v>
      </c>
      <c r="AS284" s="12">
        <f>(AS163-AR163)*-1</f>
        <v>0</v>
      </c>
      <c r="AT284" s="12">
        <f>(AT163-AS163)*-1</f>
        <v>0</v>
      </c>
      <c r="AU284" s="12">
        <f>(AU163-AT163)*-1</f>
        <v>0</v>
      </c>
      <c r="AV284" s="12">
        <f>SUM(AR284:AU284)</f>
        <v>0</v>
      </c>
      <c r="AW284" s="12">
        <f>(AW163-AV163)*-1</f>
        <v>0</v>
      </c>
      <c r="AX284" s="12">
        <f>(AX163-AW163)*-1</f>
        <v>0</v>
      </c>
      <c r="AY284" s="12">
        <f>(AY163-AX163)*-1</f>
        <v>0</v>
      </c>
      <c r="AZ284" s="12">
        <f>(AZ163-AY163)*-1</f>
        <v>0</v>
      </c>
      <c r="BA284" s="12">
        <f>SUM(AW284:AZ284)</f>
        <v>0</v>
      </c>
      <c r="BB284" s="12">
        <f>(BB163-BA163)*-1</f>
        <v>0</v>
      </c>
      <c r="BC284" s="12">
        <f>(BC163-BB163)*-1</f>
        <v>0</v>
      </c>
      <c r="BD284" s="12">
        <f>(BD163-BC163)*-1</f>
        <v>0</v>
      </c>
      <c r="BE284" s="12">
        <f>(BE163-BD163)*-1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  <c r="CZ284" s="12" t="n"/>
      <c r="DA284" s="12" t="n"/>
      <c r="DB284" s="12" t="n"/>
      <c r="DC284" s="12" t="n"/>
    </row>
    <row r="285">
      <c r="C285" s="10" t="inlineStr">
        <is>
          <t>Purchases of intangible assets</t>
        </is>
      </c>
      <c r="D285" s="12" t="n"/>
      <c r="E285" s="12" t="n"/>
      <c r="F285" s="12" t="n"/>
      <c r="G285" s="12" t="n"/>
      <c r="H285" s="12" t="n"/>
      <c r="I285" s="12" t="n"/>
      <c r="J285" s="12">
        <f>((J167-I167)*-1)+((J166-I166)*-1)</f>
        <v>85</v>
      </c>
      <c r="K285" s="12">
        <f>((K167-J167)*-1)+((K166-J166)*-1)</f>
        <v>-151</v>
      </c>
      <c r="L285" s="12">
        <f>((L167-K167)*-1)+((L166-K166)*-1)</f>
        <v>165</v>
      </c>
      <c r="M285" s="12" t="n"/>
      <c r="N285" s="12">
        <f>((N167-M167)*-1)+((N166-M166)*-1)</f>
        <v>-763</v>
      </c>
      <c r="O285" s="12">
        <f>((O167-N167)*-1)+((O166-N166)*-1)</f>
        <v>129</v>
      </c>
      <c r="P285" s="12">
        <f>((P167-O167)*-1)+((P166-O166)*-1)</f>
        <v>130</v>
      </c>
      <c r="Q285" s="12">
        <f>((Q167-P167)*-1)+((Q166-P166)*-1)</f>
        <v>-241</v>
      </c>
      <c r="R285" s="12">
        <f>SUM(N285:Q285)</f>
        <v>-745</v>
      </c>
      <c r="S285" s="12">
        <f>((S167-R167)*-1)+((S166-R166)*-1)</f>
        <v>-39</v>
      </c>
      <c r="T285" s="12">
        <f>((T167-S167)*-1)+((T166-S166)*-1)</f>
        <v>-8</v>
      </c>
      <c r="U285" s="12">
        <f>((U167-T167)*-1)+((U166-T166)*-1)</f>
        <v>160</v>
      </c>
      <c r="V285" s="12">
        <f>((V167-U167)*-1)+((V166-U166)*-1)</f>
        <v>-45</v>
      </c>
      <c r="W285" s="12">
        <f>SUM(S285:V285)</f>
        <v>68</v>
      </c>
      <c r="X285" s="12">
        <f>((X167-W167)*-1)+((X166-W166)*-1)</f>
        <v>78</v>
      </c>
      <c r="Y285" s="12">
        <f>((Y167-X167)*-1)+((Y166-X166)*-1)</f>
        <v>10</v>
      </c>
      <c r="Z285" s="12">
        <f>((Z167-Y167)*-1)+((Z166-Y166)*-1)</f>
        <v>32</v>
      </c>
      <c r="AA285" s="12">
        <f>((AA167-Z167)*-1)+((AA166-Z166)*-1)</f>
        <v>149</v>
      </c>
      <c r="AB285" s="12">
        <f>SUM(X285:AA285)</f>
        <v>269</v>
      </c>
      <c r="AC285" s="12">
        <f>((AC167-AB167)*-1)+((AC166-AB166)*-1)</f>
        <v>-249</v>
      </c>
      <c r="AD285" s="12">
        <f>((AD167-AC167)*-1)+((AD166-AC166)*-1)</f>
        <v>-77</v>
      </c>
      <c r="AE285" s="12">
        <f>((AE167-AD167)*-1)+((AE166-AD166)*-1)</f>
        <v>55</v>
      </c>
      <c r="AF285" s="12">
        <f>((AF167-AE167)*-1)+((AF166-AE166)*-1)</f>
        <v>-80</v>
      </c>
      <c r="AG285" s="12">
        <f>SUM(AC285:AF285)</f>
        <v>-351</v>
      </c>
      <c r="AH285" s="12">
        <f>((AH167-AG167)*-1)+((AH166-AG166)*-1)</f>
        <v>-328</v>
      </c>
      <c r="AI285" s="12">
        <f>((AI167-AH167)*-1)+((AI166-AH166)*-1)</f>
        <v>82</v>
      </c>
      <c r="AJ285" s="12">
        <f>((AJ167-AI167)*-1)+((AJ166-AI166)*-1)</f>
        <v>0</v>
      </c>
      <c r="AK285" s="12">
        <f>((AK167-AJ167)*-1)+((AK166-AJ166)*-1)</f>
        <v>0</v>
      </c>
      <c r="AL285" s="12">
        <f>SUM(AH285:AK285)</f>
        <v>-246</v>
      </c>
      <c r="AM285" s="12">
        <f>((AM167-AL167)*-1)+((AM166-AL166)*-1)</f>
        <v>0</v>
      </c>
      <c r="AN285" s="12">
        <f>((AN167-AM167)*-1)+((AN166-AM166)*-1)</f>
        <v>0</v>
      </c>
      <c r="AO285" s="12">
        <f>((AO167-AN167)*-1)+((AO166-AN166)*-1)</f>
        <v>0</v>
      </c>
      <c r="AP285" s="12">
        <f>((AP167-AO167)*-1)+((AP166-AO166)*-1)</f>
        <v>0</v>
      </c>
      <c r="AQ285" s="12">
        <f>SUM(AM285:AP285)</f>
        <v>0</v>
      </c>
      <c r="AR285" s="12">
        <f>((AR167-AQ167)*-1)+((AR166-AQ166)*-1)</f>
        <v>0</v>
      </c>
      <c r="AS285" s="12">
        <f>((AS167-AR167)*-1)+((AS166-AR166)*-1)</f>
        <v>0</v>
      </c>
      <c r="AT285" s="12">
        <f>((AT167-AS167)*-1)+((AT166-AS166)*-1)</f>
        <v>0</v>
      </c>
      <c r="AU285" s="12">
        <f>((AU167-AT167)*-1)+((AU166-AT166)*-1)</f>
        <v>0</v>
      </c>
      <c r="AV285" s="12">
        <f>SUM(AR285:AU285)</f>
        <v>0</v>
      </c>
      <c r="AW285" s="12">
        <f>((AW167-AV167)*-1)+((AW166-AV166)*-1)</f>
        <v>0</v>
      </c>
      <c r="AX285" s="12">
        <f>((AX167-AW167)*-1)+((AX166-AW166)*-1)</f>
        <v>0</v>
      </c>
      <c r="AY285" s="12">
        <f>((AY167-AX167)*-1)+((AY166-AX166)*-1)</f>
        <v>0</v>
      </c>
      <c r="AZ285" s="12">
        <f>((AZ167-AY167)*-1)+((AZ166-AY166)*-1)</f>
        <v>0</v>
      </c>
      <c r="BA285" s="12">
        <f>SUM(AW285:AZ285)</f>
        <v>0</v>
      </c>
      <c r="BB285" s="12">
        <f>((BB167-BA167)*-1)+((BB166-BA166)*-1)</f>
        <v>0</v>
      </c>
      <c r="BC285" s="12">
        <f>((BC167-BB167)*-1)+((BC166-BB166)*-1)</f>
        <v>0</v>
      </c>
      <c r="BD285" s="12">
        <f>((BD167-BC167)*-1)+((BD166-BC166)*-1)</f>
        <v>0</v>
      </c>
      <c r="BE285" s="12">
        <f>((BE167-BD167)*-1)+((BE166-BD166)*-1)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  <c r="CZ285" s="12" t="n"/>
      <c r="DA285" s="12" t="n"/>
      <c r="DB285" s="12" t="n"/>
      <c r="DC285" s="12" t="n"/>
    </row>
    <row r="286">
      <c r="C286" s="71" t="inlineStr">
        <is>
          <t>Purchases/Proceeds from other long-term assets</t>
        </is>
      </c>
      <c r="D286" s="12" t="n"/>
      <c r="E286" s="12" t="n"/>
      <c r="F286" s="12" t="n"/>
      <c r="G286" s="12" t="n"/>
      <c r="H286" s="12" t="n"/>
      <c r="I286" s="12" t="n"/>
      <c r="J286" s="12">
        <f>((J176-I176)*-1)+(J227-I227)</f>
        <v>0</v>
      </c>
      <c r="K286" s="12">
        <f>((K176-J176)*-1)+(K227-J227)</f>
        <v>0</v>
      </c>
      <c r="L286" s="12">
        <f>((L176-K176)*-1)+(L227-K227)</f>
        <v>0</v>
      </c>
      <c r="M286" s="12" t="n"/>
      <c r="N286" s="12">
        <f>((N176-M176)*-1)+(N227-M227)</f>
        <v>0</v>
      </c>
      <c r="O286" s="12">
        <f>((O176-N176)*-1)+(O227-N227)</f>
        <v>-40197</v>
      </c>
      <c r="P286" s="12">
        <f>((P176-O176)*-1)+(P227-O227)</f>
        <v>-2373</v>
      </c>
      <c r="Q286" s="12">
        <f>((Q176-P176)*-1)+(Q227-P227)</f>
        <v>599</v>
      </c>
      <c r="R286" s="12">
        <f>SUM(N286:Q286)</f>
        <v>-41971</v>
      </c>
      <c r="S286" s="12">
        <f>((S176-R176)*-1)+(S227-R227)</f>
        <v>-2642</v>
      </c>
      <c r="T286" s="12">
        <f>((T176-S176)*-1)+(T227-S227)</f>
        <v>-3690</v>
      </c>
      <c r="U286" s="12">
        <f>((U176-T176)*-1)+(U227-T227)</f>
        <v>-2705</v>
      </c>
      <c r="V286" s="12">
        <f>((V176-U176)*-1)+(V227-U227)</f>
        <v>900</v>
      </c>
      <c r="W286" s="12">
        <f>SUM(S286:V286)</f>
        <v>-8137</v>
      </c>
      <c r="X286" s="12">
        <f>((X176-W176)*-1)+(X227-W227)</f>
        <v>-2432</v>
      </c>
      <c r="Y286" s="12">
        <f>((Y176-X176)*-1)+(Y227-X227)</f>
        <v>370</v>
      </c>
      <c r="Z286" s="12">
        <f>((Z176-Y176)*-1)+(Z227-Y227)</f>
        <v>-862</v>
      </c>
      <c r="AA286" s="12">
        <f>((AA176-Z176)*-1)+(AA227-Z227)</f>
        <v>3379</v>
      </c>
      <c r="AB286" s="12">
        <f>SUM(X286:AA286)</f>
        <v>455</v>
      </c>
      <c r="AC286" s="12">
        <f>((AC176-AB176)*-1)+(AC227-AB227)</f>
        <v>-1141</v>
      </c>
      <c r="AD286" s="12">
        <f>((AD176-AC176)*-1)+(AD227-AC227)</f>
        <v>-1084</v>
      </c>
      <c r="AE286" s="12">
        <f>((AE176-AD176)*-1)+(AE227-AD227)</f>
        <v>472</v>
      </c>
      <c r="AF286" s="12">
        <f>((AF176-AE176)*-1)+(AF227-AE227)</f>
        <v>2814</v>
      </c>
      <c r="AG286" s="12">
        <f>SUM(AC286:AF286)</f>
        <v>1061</v>
      </c>
      <c r="AH286" s="12">
        <f>((AH176-AG176)*-1)+(AH227-AG227)</f>
        <v>-424</v>
      </c>
      <c r="AI286" s="12">
        <f>((AI176-AH176)*-1)+(AI227-AH227)</f>
        <v>-160</v>
      </c>
      <c r="AJ286" s="12">
        <f>((AJ176-AI176)*-1)+(AJ227-AI227)</f>
        <v>0</v>
      </c>
      <c r="AK286" s="12">
        <f>((AK176-AJ176)*-1)+(AK227-AJ227)</f>
        <v>0</v>
      </c>
      <c r="AL286" s="12">
        <f>SUM(AH286:AK286)</f>
        <v>-584</v>
      </c>
      <c r="AM286" s="12">
        <f>((AM176-AL176)*-1)+(AM227-AL227)</f>
        <v>0</v>
      </c>
      <c r="AN286" s="12">
        <f>((AN176-AM176)*-1)+(AN227-AM227)</f>
        <v>0</v>
      </c>
      <c r="AO286" s="12">
        <f>((AO176-AN176)*-1)+(AO227-AN227)</f>
        <v>0</v>
      </c>
      <c r="AP286" s="12">
        <f>((AP176-AO176)*-1)+(AP227-AO227)</f>
        <v>0</v>
      </c>
      <c r="AQ286" s="12">
        <f>SUM(AM286:AP286)</f>
        <v>0</v>
      </c>
      <c r="AR286" s="12">
        <f>((AR176-AQ176)*-1)+(AR227-AQ227)</f>
        <v>0</v>
      </c>
      <c r="AS286" s="12">
        <f>((AS176-AR176)*-1)+(AS227-AR227)</f>
        <v>0</v>
      </c>
      <c r="AT286" s="12">
        <f>((AT176-AS176)*-1)+(AT227-AS227)</f>
        <v>0</v>
      </c>
      <c r="AU286" s="12">
        <f>((AU176-AT176)*-1)+(AU227-AT227)</f>
        <v>0</v>
      </c>
      <c r="AV286" s="12">
        <f>SUM(AR286:AU286)</f>
        <v>0</v>
      </c>
      <c r="AW286" s="12">
        <f>((AW176-AV176)*-1)+(AW227-AV227)</f>
        <v>0</v>
      </c>
      <c r="AX286" s="12">
        <f>((AX176-AW176)*-1)+(AX227-AW227)</f>
        <v>0</v>
      </c>
      <c r="AY286" s="12">
        <f>((AY176-AX176)*-1)+(AY227-AX227)</f>
        <v>0</v>
      </c>
      <c r="AZ286" s="12">
        <f>((AZ176-AY176)*-1)+(AZ227-AY227)</f>
        <v>0</v>
      </c>
      <c r="BA286" s="12">
        <f>SUM(AW286:AZ286)</f>
        <v>0</v>
      </c>
      <c r="BB286" s="12">
        <f>((BB176-BA176)*-1)+(BB227-BA227)</f>
        <v>0</v>
      </c>
      <c r="BC286" s="12">
        <f>((BC176-BB176)*-1)+(BC227-BB227)</f>
        <v>0</v>
      </c>
      <c r="BD286" s="12">
        <f>((BD176-BC176)*-1)+(BD227-BC227)</f>
        <v>0</v>
      </c>
      <c r="BE286" s="12">
        <f>((BE176-BD176)*-1)+(BE227-BD227)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4" t="inlineStr">
        <is>
          <t>Cash from investing</t>
        </is>
      </c>
      <c r="D287" s="12" t="n"/>
      <c r="E287" s="12" t="n"/>
      <c r="F287" s="12" t="n"/>
      <c r="G287" s="12" t="n"/>
      <c r="H287" s="12" t="n"/>
      <c r="I287" s="12" t="n"/>
      <c r="J287" s="12">
        <f>SUM(J282,J283,J285,J286,J284)</f>
        <v>-430</v>
      </c>
      <c r="K287" s="12">
        <f>SUM(K282,K283,K285,K286,K284)</f>
        <v>-632</v>
      </c>
      <c r="L287" s="12">
        <f>SUM(L282,L283,L285,L286,L284)</f>
        <v>-321</v>
      </c>
      <c r="M287" s="12" t="n"/>
      <c r="N287" s="12">
        <f>SUM(N282,N283,N285,N286,N284)</f>
        <v>-1210</v>
      </c>
      <c r="O287" s="12">
        <f>SUM(O282,O283,O285,O286,O284)</f>
        <v>-40578</v>
      </c>
      <c r="P287" s="12">
        <f>SUM(P282,P283,P285,P286,P284)</f>
        <v>-2695</v>
      </c>
      <c r="Q287" s="12">
        <f>SUM(Q282,Q283,Q285,Q286,Q284)</f>
        <v>-136</v>
      </c>
      <c r="R287" s="12">
        <f>SUM(R282,R283,R285,R286)</f>
        <v>-44619</v>
      </c>
      <c r="S287" s="12">
        <f>SUM(S282,S283,S285,S286,S284)</f>
        <v>-3182</v>
      </c>
      <c r="T287" s="12">
        <f>SUM(T282,T283,T285,T286,T284)</f>
        <v>-4230</v>
      </c>
      <c r="U287" s="12">
        <f>SUM(U282,U283,U285,U286,U284)</f>
        <v>-3022</v>
      </c>
      <c r="V287" s="12">
        <f>SUM(V282,V283,V285,V286,V284)</f>
        <v>335</v>
      </c>
      <c r="W287" s="12">
        <f>SUM(W282,W283,W285,W286)</f>
        <v>-10099</v>
      </c>
      <c r="X287" s="12">
        <f>SUM(X282,X283,X285,X286,X284)</f>
        <v>-2879</v>
      </c>
      <c r="Y287" s="12">
        <f>SUM(Y282,Y283,Y285,Y286,Y284)</f>
        <v>-173</v>
      </c>
      <c r="Z287" s="12">
        <f>SUM(Z282,Z283,Z285,Z286,Z284)</f>
        <v>-1350</v>
      </c>
      <c r="AA287" s="12">
        <f>SUM(AA282,AA283,AA285,AA286,AA284)</f>
        <v>2979</v>
      </c>
      <c r="AB287" s="12">
        <f>SUM(AB282,AB283,AB285,AB286)</f>
        <v>-1423</v>
      </c>
      <c r="AC287" s="12">
        <f>SUM(AC282,AC283,AC285,AC286,AC284)</f>
        <v>-1945</v>
      </c>
      <c r="AD287" s="12">
        <f>SUM(AD282,AD283,AD285,AD286,AD284)</f>
        <v>-1725</v>
      </c>
      <c r="AE287" s="12">
        <f>SUM(AE282,AE283,AE285,AE286,AE284)</f>
        <v>-34</v>
      </c>
      <c r="AF287" s="12">
        <f>SUM(AF282,AF283,AF285,AF286,AF284)</f>
        <v>2144</v>
      </c>
      <c r="AG287" s="12">
        <f>SUM(AG282,AG283,AG285,AG286)</f>
        <v>-1560</v>
      </c>
      <c r="AH287" s="12">
        <f>SUM(AH282,AH283,AH285,AH286,AH284)</f>
        <v>-1346</v>
      </c>
      <c r="AI287" s="12">
        <f>SUM(AI282,AI283,AI285,AI286,AI284)</f>
        <v>-681</v>
      </c>
      <c r="AJ287" s="12">
        <f>SUM(AJ282,AJ283,AJ285,AJ286,AJ284)</f>
        <v>-599.396138913936</v>
      </c>
      <c r="AK287" s="12">
        <f>SUM(AK282,AK283,AK285,AK286,AK284)</f>
        <v>-464.805251823611</v>
      </c>
      <c r="AL287" s="12">
        <f>SUM(AL282,AL283,AL285,AL286)</f>
        <v>-3091.20139073755</v>
      </c>
      <c r="AM287" s="12">
        <f>SUM(AM282,AM283,AM285,AM286,AM284)</f>
        <v>-646.548893104761</v>
      </c>
      <c r="AN287" s="12">
        <f>SUM(AN282,AN283,AN285,AN286,AN284)</f>
        <v>-609.745563936332</v>
      </c>
      <c r="AO287" s="12">
        <f>SUM(AO282,AO283,AO285,AO286,AO284)</f>
        <v>-608.37750189915</v>
      </c>
      <c r="AP287" s="12">
        <f>SUM(AP282,AP283,AP285,AP286,AP284)</f>
        <v>-471.769902432849</v>
      </c>
      <c r="AQ287" s="12">
        <f>SUM(AQ282,AQ283,AQ285,AQ286)</f>
        <v>-2336.44186137309</v>
      </c>
      <c r="AR287" s="12">
        <f>SUM(AR282,AR283,AR285,AR286,AR284)</f>
        <v>-653.004049377443</v>
      </c>
      <c r="AS287" s="12">
        <f>SUM(AS282,AS283,AS285,AS286,AS284)</f>
        <v>-615.83327508047</v>
      </c>
      <c r="AT287" s="12">
        <f>SUM(AT282,AT283,AT285,AT286,AT284)</f>
        <v>-614.451554286254</v>
      </c>
      <c r="AU287" s="12">
        <f>SUM(AU282,AU283,AU285,AU286,AU284)</f>
        <v>-476.48006198525</v>
      </c>
      <c r="AV287" s="12">
        <f>SUM(AV282,AV283,AV285,AV286)</f>
        <v>-2359.76894072942</v>
      </c>
      <c r="AW287" s="12">
        <f>SUM(AW282,AW283,AW285,AW286,AW284)</f>
        <v>-656.25863380451</v>
      </c>
      <c r="AX287" s="12">
        <f>SUM(AX282,AX283,AX285,AX286,AX284)</f>
        <v>-618.902599671423</v>
      </c>
      <c r="AY287" s="12">
        <f>SUM(AY282,AY283,AY285,AY286,AY284)</f>
        <v>-617.513992354859</v>
      </c>
      <c r="AZ287" s="12">
        <f>SUM(AZ282,AZ283,AZ285,AZ286,AZ284)</f>
        <v>-478.85484754902</v>
      </c>
      <c r="BA287" s="12">
        <f>SUM(BA282,BA283,BA285,BA286)</f>
        <v>-2371.53007337981</v>
      </c>
      <c r="BB287" s="12">
        <f>SUM(BB282,BB283,BB285,BB286,BB284)</f>
        <v>-656.25863380451</v>
      </c>
      <c r="BC287" s="12">
        <f>SUM(BC282,BC283,BC285,BC286,BC284)</f>
        <v>-618.902599671423</v>
      </c>
      <c r="BD287" s="12">
        <f>SUM(BD282,BD283,BD285,BD286,BD284)</f>
        <v>-617.513992354859</v>
      </c>
      <c r="BE287" s="12">
        <f>SUM(BE282,BE283,BE285,BE286,BE284)</f>
        <v>-478.85484754902</v>
      </c>
      <c r="BF287" s="12">
        <f>SUM(BF282,BF283,BF285,BF286)</f>
        <v>-2371.53007337981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inlineStr">
        <is>
          <t>Convertible preferred stock</t>
        </is>
      </c>
      <c r="D289" s="12" t="n"/>
      <c r="E289" s="12" t="n"/>
      <c r="F289" s="12" t="n"/>
      <c r="G289" s="12" t="n"/>
      <c r="H289" s="12" t="n"/>
      <c r="I289" s="12" t="n"/>
      <c r="J289" s="12">
        <f>J240-I240</f>
        <v>0</v>
      </c>
      <c r="K289" s="12">
        <f>K240-J240</f>
        <v>0</v>
      </c>
      <c r="L289" s="12">
        <f>L240-K240</f>
        <v>0</v>
      </c>
      <c r="M289" s="12" t="n"/>
      <c r="N289" s="12">
        <f>N240-M240</f>
        <v>0</v>
      </c>
      <c r="O289" s="12">
        <f>O240-N240</f>
        <v>0</v>
      </c>
      <c r="P289" s="12">
        <f>P240-O240</f>
        <v>0</v>
      </c>
      <c r="Q289" s="12">
        <f>Q240-P240</f>
        <v>0</v>
      </c>
      <c r="R289" s="12">
        <f>SUM(N289:Q289)</f>
        <v>0</v>
      </c>
      <c r="S289" s="12">
        <f>S240-R240</f>
        <v>0</v>
      </c>
      <c r="T289" s="12">
        <f>T240-S240</f>
        <v>0</v>
      </c>
      <c r="U289" s="12">
        <f>U240-T240</f>
        <v>0</v>
      </c>
      <c r="V289" s="12">
        <f>V240-U240</f>
        <v>0</v>
      </c>
      <c r="W289" s="12">
        <f>SUM(S289:V289)</f>
        <v>0</v>
      </c>
      <c r="X289" s="12">
        <f>X240-W240</f>
        <v>0</v>
      </c>
      <c r="Y289" s="12">
        <f>Y240-X240</f>
        <v>0</v>
      </c>
      <c r="Z289" s="12">
        <f>Z240-Y240</f>
        <v>0</v>
      </c>
      <c r="AA289" s="12">
        <f>AA240-Z240</f>
        <v>0</v>
      </c>
      <c r="AB289" s="12">
        <f>SUM(X289:AA289)</f>
        <v>0</v>
      </c>
      <c r="AC289" s="12">
        <f>AC240-AB240</f>
        <v>0</v>
      </c>
      <c r="AD289" s="12">
        <f>AD240-AC240</f>
        <v>0</v>
      </c>
      <c r="AE289" s="12">
        <f>AE240-AD240</f>
        <v>0</v>
      </c>
      <c r="AF289" s="12">
        <f>AF240-AE240</f>
        <v>0</v>
      </c>
      <c r="AG289" s="12">
        <f>SUM(AC289:AF289)</f>
        <v>0</v>
      </c>
      <c r="AH289" s="12">
        <f>AH240-AG240</f>
        <v>0</v>
      </c>
      <c r="AI289" s="12">
        <f>AI240-AH240</f>
        <v>0</v>
      </c>
      <c r="AJ289" s="12">
        <f>AJ240-AI240</f>
        <v>0</v>
      </c>
      <c r="AK289" s="12">
        <f>AK240-AJ240</f>
        <v>0</v>
      </c>
      <c r="AL289" s="12">
        <f>SUM(AH289:AK289)</f>
        <v>0</v>
      </c>
      <c r="AM289" s="12">
        <f>AM240-AL240</f>
        <v>0</v>
      </c>
      <c r="AN289" s="12">
        <f>AN240-AM240</f>
        <v>0</v>
      </c>
      <c r="AO289" s="12">
        <f>AO240-AN240</f>
        <v>0</v>
      </c>
      <c r="AP289" s="12">
        <f>AP240-AO240</f>
        <v>0</v>
      </c>
      <c r="AQ289" s="12">
        <f>SUM(AM289:AP289)</f>
        <v>0</v>
      </c>
      <c r="AR289" s="12">
        <f>AR240-AQ240</f>
        <v>0</v>
      </c>
      <c r="AS289" s="12">
        <f>AS240-AR240</f>
        <v>0</v>
      </c>
      <c r="AT289" s="12">
        <f>AT240-AS240</f>
        <v>0</v>
      </c>
      <c r="AU289" s="12">
        <f>AU240-AT240</f>
        <v>0</v>
      </c>
      <c r="AV289" s="12">
        <f>SUM(AR289:AU289)</f>
        <v>0</v>
      </c>
      <c r="AW289" s="12">
        <f>AW240-AV240</f>
        <v>0</v>
      </c>
      <c r="AX289" s="12">
        <f>AX240-AW240</f>
        <v>0</v>
      </c>
      <c r="AY289" s="12">
        <f>AY240-AX240</f>
        <v>0</v>
      </c>
      <c r="AZ289" s="12">
        <f>AZ240-AY240</f>
        <v>0</v>
      </c>
      <c r="BA289" s="12">
        <f>SUM(AW289:AZ289)</f>
        <v>0</v>
      </c>
      <c r="BB289" s="12">
        <f>BB240-BA240</f>
        <v>0</v>
      </c>
      <c r="BC289" s="12">
        <f>BC240-BB240</f>
        <v>0</v>
      </c>
      <c r="BD289" s="12">
        <f>BD240-BC240</f>
        <v>0</v>
      </c>
      <c r="BE289" s="12">
        <f>BE240-BD240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4" t="inlineStr">
        <is>
          <t>Common stock and APIC</t>
        </is>
      </c>
      <c r="D290" s="12" t="n"/>
      <c r="E290" s="12" t="n"/>
      <c r="F290" s="12" t="n"/>
      <c r="G290" s="12" t="n"/>
      <c r="H290" s="12" t="n"/>
      <c r="I290" s="12" t="n"/>
      <c r="J290" s="12">
        <f>J241-I241</f>
        <v>32</v>
      </c>
      <c r="K290" s="12">
        <f>K241-J241</f>
        <v>23</v>
      </c>
      <c r="L290" s="12">
        <f>L241-K241</f>
        <v>12</v>
      </c>
      <c r="M290" s="12" t="n"/>
      <c r="N290" s="12">
        <f>N241-M241</f>
        <v>51</v>
      </c>
      <c r="O290" s="12">
        <f>O241-N241</f>
        <v>22</v>
      </c>
      <c r="P290" s="12">
        <f>P241-O241</f>
        <v>26</v>
      </c>
      <c r="Q290" s="12">
        <f>Q241-P241</f>
        <v>26</v>
      </c>
      <c r="R290" s="12">
        <f>SUM(N290:Q290)</f>
        <v>125</v>
      </c>
      <c r="S290" s="12">
        <f>S241-R241</f>
        <v>36</v>
      </c>
      <c r="T290" s="12">
        <f>T241-S241</f>
        <v>45</v>
      </c>
      <c r="U290" s="12">
        <f>U241-T241</f>
        <v>31</v>
      </c>
      <c r="V290" s="12">
        <f>V241-U241</f>
        <v>32</v>
      </c>
      <c r="W290" s="12">
        <f>SUM(S290:V290)</f>
        <v>144</v>
      </c>
      <c r="X290" s="12">
        <f>X241-W241</f>
        <v>56</v>
      </c>
      <c r="Y290" s="12">
        <f>Y241-X241</f>
        <v>50</v>
      </c>
      <c r="Z290" s="12">
        <f>Z241-Y241</f>
        <v>48</v>
      </c>
      <c r="AA290" s="12">
        <f>AA241-Z241</f>
        <v>37</v>
      </c>
      <c r="AB290" s="12">
        <f>SUM(X290:AA290)</f>
        <v>191</v>
      </c>
      <c r="AC290" s="12">
        <f>AC241-AB241</f>
        <v>39</v>
      </c>
      <c r="AD290" s="12">
        <f>AD241-AC241</f>
        <v>55</v>
      </c>
      <c r="AE290" s="12">
        <f>AE241-AD241</f>
        <v>48</v>
      </c>
      <c r="AF290" s="12">
        <f>AF241-AE241</f>
        <v>47</v>
      </c>
      <c r="AG290" s="12">
        <f>SUM(AC290:AF290)</f>
        <v>189</v>
      </c>
      <c r="AH290" s="12">
        <f>AH241-AG241</f>
        <v>62</v>
      </c>
      <c r="AI290" s="12">
        <f>AI241-AH241</f>
        <v>49</v>
      </c>
      <c r="AJ290" s="12">
        <f>AJ241-AI241</f>
        <v>0</v>
      </c>
      <c r="AK290" s="12">
        <f>AK241-AJ241</f>
        <v>0</v>
      </c>
      <c r="AL290" s="12">
        <f>SUM(AH290:AK290)</f>
        <v>111</v>
      </c>
      <c r="AM290" s="12">
        <f>AM241-AL241</f>
        <v>0</v>
      </c>
      <c r="AN290" s="12">
        <f>AN241-AM241</f>
        <v>0</v>
      </c>
      <c r="AO290" s="12">
        <f>AO241-AN241</f>
        <v>0</v>
      </c>
      <c r="AP290" s="12">
        <f>AP241-AO241</f>
        <v>0</v>
      </c>
      <c r="AQ290" s="12">
        <f>SUM(AM290:AP290)</f>
        <v>0</v>
      </c>
      <c r="AR290" s="12">
        <f>AR241-AQ241</f>
        <v>0</v>
      </c>
      <c r="AS290" s="12">
        <f>AS241-AR241</f>
        <v>0</v>
      </c>
      <c r="AT290" s="12">
        <f>AT241-AS241</f>
        <v>0</v>
      </c>
      <c r="AU290" s="12">
        <f>AU241-AT241</f>
        <v>0</v>
      </c>
      <c r="AV290" s="12">
        <f>SUM(AR290:AU290)</f>
        <v>0</v>
      </c>
      <c r="AW290" s="12">
        <f>AW241-AV241</f>
        <v>0</v>
      </c>
      <c r="AX290" s="12">
        <f>AX241-AW241</f>
        <v>0</v>
      </c>
      <c r="AY290" s="12">
        <f>AY241-AX241</f>
        <v>0</v>
      </c>
      <c r="AZ290" s="12">
        <f>AZ241-AY241</f>
        <v>0</v>
      </c>
      <c r="BA290" s="12">
        <f>SUM(AW290:AZ290)</f>
        <v>0</v>
      </c>
      <c r="BB290" s="12">
        <f>BB241-BA241</f>
        <v>0</v>
      </c>
      <c r="BC290" s="12">
        <f>BC241-BB241</f>
        <v>0</v>
      </c>
      <c r="BD290" s="12">
        <f>BD241-BC241</f>
        <v>0</v>
      </c>
      <c r="BE290" s="12">
        <f>BE241-BD241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4" t="inlineStr">
        <is>
          <t>Treasury stock repurchases</t>
        </is>
      </c>
      <c r="D291" s="12" t="n"/>
      <c r="E291" s="12" t="n"/>
      <c r="F291" s="12" t="n"/>
      <c r="G291" s="12" t="n"/>
      <c r="H291" s="12" t="n"/>
      <c r="I291" s="12" t="n"/>
      <c r="J291" s="12">
        <f>J254-I254</f>
        <v>-728</v>
      </c>
      <c r="K291" s="12">
        <f>K254-J254</f>
        <v>-753</v>
      </c>
      <c r="L291" s="12">
        <f>L254-K254</f>
        <v>-606</v>
      </c>
      <c r="M291" s="12" t="n"/>
      <c r="N291" s="12">
        <f>N254-M254</f>
        <v>-588</v>
      </c>
      <c r="O291" s="12">
        <f>O254-N254</f>
        <v>-1249</v>
      </c>
      <c r="P291" s="12">
        <f>P254-O254</f>
        <v>-1118</v>
      </c>
      <c r="Q291" s="12">
        <f>Q254-P254</f>
        <v>-1239</v>
      </c>
      <c r="R291" s="12">
        <f>SUM(N291:Q291)</f>
        <v>-4194</v>
      </c>
      <c r="S291" s="12">
        <f>S254-R254</f>
        <v>-1297</v>
      </c>
      <c r="T291" s="12">
        <f>T254-S254</f>
        <v>-2130</v>
      </c>
      <c r="U291" s="12">
        <f>U254-T254</f>
        <v>-2575</v>
      </c>
      <c r="V291" s="12">
        <f>V254-U254</f>
        <v>-1328</v>
      </c>
      <c r="W291" s="12">
        <f>SUM(S291:V291)</f>
        <v>-7330</v>
      </c>
      <c r="X291" s="12">
        <f>X254-W254</f>
        <v>-1101</v>
      </c>
      <c r="Y291" s="12">
        <f>Y254-X254</f>
        <v>-806</v>
      </c>
      <c r="Z291" s="12">
        <f>Z254-Y254</f>
        <v>-779</v>
      </c>
      <c r="AA291" s="12">
        <f>AA254-Z254</f>
        <v>-360</v>
      </c>
      <c r="AB291" s="12">
        <f>SUM(X291:AA291)</f>
        <v>-3046</v>
      </c>
      <c r="AC291" s="12">
        <f>AC254-AB254</f>
        <v>-355</v>
      </c>
      <c r="AD291" s="12">
        <f>AD254-AC254</f>
        <v>-297</v>
      </c>
      <c r="AE291" s="12">
        <f>AE254-AD254</f>
        <v>-1</v>
      </c>
      <c r="AF291" s="12">
        <f>AF254-AE254</f>
        <v>-283</v>
      </c>
      <c r="AG291" s="12">
        <f>SUM(AC291:AF291)</f>
        <v>-936</v>
      </c>
      <c r="AH291" s="12">
        <f>AH254-AG254</f>
        <v>-186</v>
      </c>
      <c r="AI291" s="12">
        <f>AI254-AH254</f>
        <v>-198</v>
      </c>
      <c r="AJ291" s="12">
        <f>AJ254-AI254</f>
        <v>0</v>
      </c>
      <c r="AK291" s="12">
        <f>AK254-AJ254</f>
        <v>0</v>
      </c>
      <c r="AL291" s="12">
        <f>SUM(AH291:AK291)</f>
        <v>-384</v>
      </c>
      <c r="AM291" s="12">
        <f>AM254-AL254</f>
        <v>0</v>
      </c>
      <c r="AN291" s="12">
        <f>AN254-AM254</f>
        <v>0</v>
      </c>
      <c r="AO291" s="12">
        <f>AO254-AN254</f>
        <v>0</v>
      </c>
      <c r="AP291" s="12">
        <f>AP254-AO254</f>
        <v>0</v>
      </c>
      <c r="AQ291" s="12">
        <f>SUM(AM291:AP291)</f>
        <v>0</v>
      </c>
      <c r="AR291" s="12">
        <f>AR254-AQ254</f>
        <v>0</v>
      </c>
      <c r="AS291" s="12">
        <f>AS254-AR254</f>
        <v>0</v>
      </c>
      <c r="AT291" s="12">
        <f>AT254-AS254</f>
        <v>0</v>
      </c>
      <c r="AU291" s="12">
        <f>AU254-AT254</f>
        <v>0</v>
      </c>
      <c r="AV291" s="12">
        <f>SUM(AR291:AU291)</f>
        <v>0</v>
      </c>
      <c r="AW291" s="12">
        <f>AW254-AV254</f>
        <v>0</v>
      </c>
      <c r="AX291" s="12">
        <f>AX254-AW254</f>
        <v>0</v>
      </c>
      <c r="AY291" s="12">
        <f>AY254-AX254</f>
        <v>0</v>
      </c>
      <c r="AZ291" s="12">
        <f>AZ254-AY254</f>
        <v>0</v>
      </c>
      <c r="BA291" s="12">
        <f>SUM(AW291:AZ291)</f>
        <v>0</v>
      </c>
      <c r="BB291" s="12">
        <f>BB254-BA254</f>
        <v>0</v>
      </c>
      <c r="BC291" s="12">
        <f>BC254-BB254</f>
        <v>0</v>
      </c>
      <c r="BD291" s="12">
        <f>BD254-BC254</f>
        <v>0</v>
      </c>
      <c r="BE291" s="12">
        <f>BE254-BD254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Comprehensive accumulated loss</t>
        </is>
      </c>
      <c r="D292" s="12" t="n"/>
      <c r="E292" s="12" t="n"/>
      <c r="F292" s="12" t="n"/>
      <c r="G292" s="12" t="n"/>
      <c r="H292" s="12" t="n"/>
      <c r="I292" s="12" t="n"/>
      <c r="J292" s="12">
        <f>J255-I255</f>
        <v>-51</v>
      </c>
      <c r="K292" s="12">
        <f>K255-J255</f>
        <v>2472</v>
      </c>
      <c r="L292" s="12">
        <f>L255-K255</f>
        <v>-613</v>
      </c>
      <c r="M292" s="12" t="n"/>
      <c r="N292" s="12">
        <f>N255-M255</f>
        <v>-139</v>
      </c>
      <c r="O292" s="12">
        <f>O255-N255</f>
        <v>-185</v>
      </c>
      <c r="P292" s="12">
        <f>P255-O255</f>
        <v>420</v>
      </c>
      <c r="Q292" s="12">
        <f>Q255-P255</f>
        <v>684</v>
      </c>
      <c r="R292" s="12">
        <f>SUM(N292:Q292)</f>
        <v>780</v>
      </c>
      <c r="S292" s="12">
        <f>S255-R255</f>
        <v>-166</v>
      </c>
      <c r="T292" s="12">
        <f>T255-S255</f>
        <v>127</v>
      </c>
      <c r="U292" s="12">
        <f>U255-T255</f>
        <v>-703</v>
      </c>
      <c r="V292" s="12">
        <f>V255-U255</f>
        <v>251</v>
      </c>
      <c r="W292" s="12">
        <f>SUM(S292:V292)</f>
        <v>-491</v>
      </c>
      <c r="X292" s="12">
        <f>X255-W255</f>
        <v>-308</v>
      </c>
      <c r="Y292" s="12">
        <f>Y255-X255</f>
        <v>-197</v>
      </c>
      <c r="Z292" s="12">
        <f>Z255-Y255</f>
        <v>-338</v>
      </c>
      <c r="AA292" s="12">
        <f>AA255-Z255</f>
        <v>-461</v>
      </c>
      <c r="AB292" s="12">
        <f>SUM(X292:AA292)</f>
        <v>-1304</v>
      </c>
      <c r="AC292" s="12">
        <f>AC255-AB255</f>
        <v>762</v>
      </c>
      <c r="AD292" s="12">
        <f>AD255-AC255</f>
        <v>298</v>
      </c>
      <c r="AE292" s="12">
        <f>AE255-AD255</f>
        <v>75</v>
      </c>
      <c r="AF292" s="12">
        <f>AF255-AE255</f>
        <v>367</v>
      </c>
      <c r="AG292" s="12">
        <f>SUM(AC292:AF292)</f>
        <v>1502</v>
      </c>
      <c r="AH292" s="12">
        <f>AH255-AG255</f>
        <v>-103</v>
      </c>
      <c r="AI292" s="12">
        <f>AI255-AH255</f>
        <v>-208</v>
      </c>
      <c r="AJ292" s="12">
        <f>AJ255-AI255</f>
        <v>0</v>
      </c>
      <c r="AK292" s="12">
        <f>AK255-AJ255</f>
        <v>0</v>
      </c>
      <c r="AL292" s="12">
        <f>SUM(AH292:AK292)</f>
        <v>-311</v>
      </c>
      <c r="AM292" s="12">
        <f>AM255-AL255</f>
        <v>0</v>
      </c>
      <c r="AN292" s="12">
        <f>AN255-AM255</f>
        <v>0</v>
      </c>
      <c r="AO292" s="12">
        <f>AO255-AN255</f>
        <v>0</v>
      </c>
      <c r="AP292" s="12">
        <f>AP255-AO255</f>
        <v>0</v>
      </c>
      <c r="AQ292" s="12">
        <f>SUM(AM292:AP292)</f>
        <v>0</v>
      </c>
      <c r="AR292" s="12">
        <f>AR255-AQ255</f>
        <v>0</v>
      </c>
      <c r="AS292" s="12">
        <f>AS255-AR255</f>
        <v>0</v>
      </c>
      <c r="AT292" s="12">
        <f>AT255-AS255</f>
        <v>0</v>
      </c>
      <c r="AU292" s="12">
        <f>AU255-AT255</f>
        <v>0</v>
      </c>
      <c r="AV292" s="12">
        <f>SUM(AR292:AU292)</f>
        <v>0</v>
      </c>
      <c r="AW292" s="12">
        <f>AW255-AV255</f>
        <v>0</v>
      </c>
      <c r="AX292" s="12">
        <f>AX255-AW255</f>
        <v>0</v>
      </c>
      <c r="AY292" s="12">
        <f>AY255-AX255</f>
        <v>0</v>
      </c>
      <c r="AZ292" s="12">
        <f>AZ255-AY255</f>
        <v>0</v>
      </c>
      <c r="BA292" s="12">
        <f>SUM(AW292:AZ292)</f>
        <v>0</v>
      </c>
      <c r="BB292" s="12">
        <f>BB255-BA255</f>
        <v>0</v>
      </c>
      <c r="BC292" s="12">
        <f>BC255-BB255</f>
        <v>0</v>
      </c>
      <c r="BD292" s="12">
        <f>BD255-BC255</f>
        <v>0</v>
      </c>
      <c r="BE292" s="12">
        <f>BE255-BD255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inlineStr">
        <is>
          <t>Other equity account</t>
        </is>
      </c>
      <c r="D293" s="12" t="n"/>
      <c r="E293" s="12" t="n"/>
      <c r="F293" s="12" t="n"/>
      <c r="G293" s="12" t="n"/>
      <c r="H293" s="12" t="n"/>
      <c r="I293" s="12" t="n"/>
      <c r="J293" s="12">
        <f>J256-I256</f>
        <v>0</v>
      </c>
      <c r="K293" s="12">
        <f>K256-J256</f>
        <v>0</v>
      </c>
      <c r="L293" s="12">
        <f>L256-K256</f>
        <v>0</v>
      </c>
      <c r="M293" s="12" t="n"/>
      <c r="N293" s="12">
        <f>N256-M256</f>
        <v>0</v>
      </c>
      <c r="O293" s="12">
        <f>O256-N256</f>
        <v>0</v>
      </c>
      <c r="P293" s="12">
        <f>P256-O256</f>
        <v>0</v>
      </c>
      <c r="Q293" s="12">
        <f>Q256-P256</f>
        <v>0</v>
      </c>
      <c r="R293" s="12">
        <f>SUM(N293:Q293)</f>
        <v>0</v>
      </c>
      <c r="S293" s="12">
        <f>S256-R256</f>
        <v>0</v>
      </c>
      <c r="T293" s="12">
        <f>T256-S256</f>
        <v>0</v>
      </c>
      <c r="U293" s="12">
        <f>U256-T256</f>
        <v>0</v>
      </c>
      <c r="V293" s="12">
        <f>V256-U256</f>
        <v>0</v>
      </c>
      <c r="W293" s="12">
        <f>SUM(S293:V293)</f>
        <v>0</v>
      </c>
      <c r="X293" s="12">
        <f>X256-W256</f>
        <v>0</v>
      </c>
      <c r="Y293" s="12">
        <f>Y256-X256</f>
        <v>0</v>
      </c>
      <c r="Z293" s="12">
        <f>Z256-Y256</f>
        <v>0</v>
      </c>
      <c r="AA293" s="12">
        <f>AA256-Z256</f>
        <v>0</v>
      </c>
      <c r="AB293" s="12">
        <f>SUM(X293:AA293)</f>
        <v>0</v>
      </c>
      <c r="AC293" s="12">
        <f>AC256-AB256</f>
        <v>0</v>
      </c>
      <c r="AD293" s="12">
        <f>AD256-AC256</f>
        <v>0</v>
      </c>
      <c r="AE293" s="12">
        <f>AE256-AD256</f>
        <v>0</v>
      </c>
      <c r="AF293" s="12">
        <f>AF256-AE256</f>
        <v>0</v>
      </c>
      <c r="AG293" s="12">
        <f>SUM(AC293:AF293)</f>
        <v>0</v>
      </c>
      <c r="AH293" s="12">
        <f>AH256-AG256</f>
        <v>0</v>
      </c>
      <c r="AI293" s="12">
        <f>AI256-AH256</f>
        <v>0</v>
      </c>
      <c r="AJ293" s="12">
        <f>AJ256-AI256</f>
        <v>0</v>
      </c>
      <c r="AK293" s="12">
        <f>AK256-AJ256</f>
        <v>0</v>
      </c>
      <c r="AL293" s="12">
        <f>SUM(AH293:AK293)</f>
        <v>0</v>
      </c>
      <c r="AM293" s="12">
        <f>AM256-AL256</f>
        <v>0</v>
      </c>
      <c r="AN293" s="12">
        <f>AN256-AM256</f>
        <v>0</v>
      </c>
      <c r="AO293" s="12">
        <f>AO256-AN256</f>
        <v>0</v>
      </c>
      <c r="AP293" s="12">
        <f>AP256-AO256</f>
        <v>0</v>
      </c>
      <c r="AQ293" s="12">
        <f>SUM(AM293:AP293)</f>
        <v>0</v>
      </c>
      <c r="AR293" s="12">
        <f>AR256-AQ256</f>
        <v>0</v>
      </c>
      <c r="AS293" s="12">
        <f>AS256-AR256</f>
        <v>0</v>
      </c>
      <c r="AT293" s="12">
        <f>AT256-AS256</f>
        <v>0</v>
      </c>
      <c r="AU293" s="12">
        <f>AU256-AT256</f>
        <v>0</v>
      </c>
      <c r="AV293" s="12">
        <f>SUM(AR293:AU293)</f>
        <v>0</v>
      </c>
      <c r="AW293" s="12">
        <f>AW256-AV256</f>
        <v>0</v>
      </c>
      <c r="AX293" s="12">
        <f>AX256-AW256</f>
        <v>0</v>
      </c>
      <c r="AY293" s="12">
        <f>AY256-AX256</f>
        <v>0</v>
      </c>
      <c r="AZ293" s="12">
        <f>AZ256-AY256</f>
        <v>0</v>
      </c>
      <c r="BA293" s="12">
        <f>SUM(AW293:AZ293)</f>
        <v>0</v>
      </c>
      <c r="BB293" s="12">
        <f>BB256-BA256</f>
        <v>0</v>
      </c>
      <c r="BC293" s="12">
        <f>BC256-BB256</f>
        <v>0</v>
      </c>
      <c r="BD293" s="12">
        <f>BD256-BC256</f>
        <v>0</v>
      </c>
      <c r="BE293" s="12">
        <f>BE256-BD256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0" t="inlineStr">
        <is>
          <t>Common and preferred dividends</t>
        </is>
      </c>
      <c r="D294" s="12" t="n"/>
      <c r="E294" s="12" t="n"/>
      <c r="F294" s="12" t="n"/>
      <c r="G294" s="12" t="n"/>
      <c r="H294" s="12" t="n"/>
      <c r="I294" s="12" t="n"/>
      <c r="J294" s="12">
        <f>(J257-I257)-J264</f>
        <v>-281</v>
      </c>
      <c r="K294" s="12">
        <f>(K257-J257)-K264</f>
        <v>-325</v>
      </c>
      <c r="L294" s="12">
        <f>(L257-K257)-L264</f>
        <v>-323</v>
      </c>
      <c r="M294" s="12" t="n"/>
      <c r="N294" s="12">
        <f>(N257-M257)-N264</f>
        <v>-322</v>
      </c>
      <c r="O294" s="12">
        <f>(O257-N257)-O264</f>
        <v>-343</v>
      </c>
      <c r="P294" s="12">
        <f>(P257-O257)-P264</f>
        <v>-345</v>
      </c>
      <c r="Q294" s="12">
        <f>(Q257-P257)-Q264</f>
        <v>-360</v>
      </c>
      <c r="R294" s="12">
        <f>SUM(N294:Q294)</f>
        <v>-1370</v>
      </c>
      <c r="S294" s="12">
        <f>(S257-R257)-S264</f>
        <v>-370</v>
      </c>
      <c r="T294" s="12">
        <f>(T257-S257)-T264</f>
        <v>-367</v>
      </c>
      <c r="U294" s="12">
        <f>(U257-T257)-U264</f>
        <v>-385</v>
      </c>
      <c r="V294" s="12">
        <f>(V257-U257)-V264</f>
        <v>-416</v>
      </c>
      <c r="W294" s="12">
        <f>SUM(S294:V294)</f>
        <v>-1538</v>
      </c>
      <c r="X294" s="12">
        <f>(X257-W257)-X264</f>
        <v>-408</v>
      </c>
      <c r="Y294" s="12">
        <f>(Y257-X257)-Y264</f>
        <v>-403</v>
      </c>
      <c r="Z294" s="12">
        <f>(Z257-Y257)-Z264</f>
        <v>-402</v>
      </c>
      <c r="AA294" s="12">
        <f>(AA257-Z257)-AA264</f>
        <v>-442</v>
      </c>
      <c r="AB294" s="12">
        <f>SUM(X294:AA294)</f>
        <v>-1655</v>
      </c>
      <c r="AC294" s="12">
        <f>(AC257-AB257)-AC264</f>
        <v>-442</v>
      </c>
      <c r="AD294" s="12">
        <f>(AD257-AC257)-AD264</f>
        <v>-457</v>
      </c>
      <c r="AE294" s="12">
        <f>(AE257-AD257)-AE264</f>
        <v>-412</v>
      </c>
      <c r="AF294" s="12">
        <f>(AF257-AE257)-AF264</f>
        <v>-437</v>
      </c>
      <c r="AG294" s="12">
        <f>SUM(AC294:AF294)</f>
        <v>-1748</v>
      </c>
      <c r="AH294" s="12">
        <f>(AH257-AG257)-AH264</f>
        <v>-440</v>
      </c>
      <c r="AI294" s="12">
        <f>(AI257-AH257)-AI264</f>
        <v>-438</v>
      </c>
      <c r="AJ294" s="12">
        <f>(AJ257-AI257)-AJ264</f>
        <v>0</v>
      </c>
      <c r="AK294" s="12">
        <f>(AK257-AJ257)-AK264</f>
        <v>-7.27595761418343e-12</v>
      </c>
      <c r="AL294" s="12">
        <f>SUM(AH294:AK294)</f>
        <v>-878.000000000007</v>
      </c>
      <c r="AM294" s="12">
        <f>(AM257-AL257)-AM264</f>
        <v>0</v>
      </c>
      <c r="AN294" s="12">
        <f>(AN257-AM257)-AN264</f>
        <v>0</v>
      </c>
      <c r="AO294" s="12">
        <f>(AO257-AN257)-AO264</f>
        <v>0</v>
      </c>
      <c r="AP294" s="12">
        <f>(AP257-AO257)-AP264</f>
        <v>0</v>
      </c>
      <c r="AQ294" s="12">
        <f>SUM(AM294:AP294)</f>
        <v>0</v>
      </c>
      <c r="AR294" s="12">
        <f>(AR257-AQ257)-AR264</f>
        <v>0</v>
      </c>
      <c r="AS294" s="12">
        <f>(AS257-AR257)-AS264</f>
        <v>0</v>
      </c>
      <c r="AT294" s="12">
        <f>(AT257-AS257)-AT264</f>
        <v>0</v>
      </c>
      <c r="AU294" s="12">
        <f>(AU257-AT257)-AU264</f>
        <v>0</v>
      </c>
      <c r="AV294" s="12">
        <f>SUM(AR294:AU294)</f>
        <v>0</v>
      </c>
      <c r="AW294" s="12">
        <f>(AW257-AV257)-AW264</f>
        <v>0</v>
      </c>
      <c r="AX294" s="12">
        <f>(AX257-AW257)-AX264</f>
        <v>0</v>
      </c>
      <c r="AY294" s="12">
        <f>(AY257-AX257)-AY264</f>
        <v>0</v>
      </c>
      <c r="AZ294" s="12">
        <f>(AZ257-AY257)-AZ264</f>
        <v>0</v>
      </c>
      <c r="BA294" s="12">
        <f>SUM(AW294:AZ294)</f>
        <v>0</v>
      </c>
      <c r="BB294" s="12">
        <f>(BB257-BA257)-BB264</f>
        <v>0</v>
      </c>
      <c r="BC294" s="12">
        <f>(BC257-BB257)-BC264</f>
        <v>0</v>
      </c>
      <c r="BD294" s="12">
        <f>(BD257-BC257)-BD264</f>
        <v>0</v>
      </c>
      <c r="BE294" s="12">
        <f>(BE257-BD257)-BE264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Dividends to minority interests</t>
        </is>
      </c>
      <c r="D295" s="12" t="n"/>
      <c r="E295" s="12" t="n"/>
      <c r="F295" s="12" t="n"/>
      <c r="G295" s="12" t="n"/>
      <c r="H295" s="12" t="n"/>
      <c r="I295" s="12" t="n"/>
      <c r="J295" s="12">
        <f>(J235-I235)+J123</f>
        <v>-3</v>
      </c>
      <c r="K295" s="12">
        <f>(K235-J235)+K123</f>
        <v>1</v>
      </c>
      <c r="L295" s="12">
        <f>(L235-K235)+L123</f>
        <v>0</v>
      </c>
      <c r="M295" s="12" t="n"/>
      <c r="N295" s="12">
        <f>(N235-M235)+N123</f>
        <v>99</v>
      </c>
      <c r="O295" s="12">
        <f>(O235-N235)+O123</f>
        <v>-5</v>
      </c>
      <c r="P295" s="12">
        <f>(P235-O235)+P123</f>
        <v>-1</v>
      </c>
      <c r="Q295" s="12">
        <f>(Q235-P235)+Q123</f>
        <v>11</v>
      </c>
      <c r="R295" s="12">
        <f>SUM(N295:Q295)</f>
        <v>104</v>
      </c>
      <c r="S295" s="12">
        <f>(S235-R235)+S123</f>
        <v>3</v>
      </c>
      <c r="T295" s="12">
        <f>(T235-S235)+T123</f>
        <v>4</v>
      </c>
      <c r="U295" s="12">
        <f>(U235-T235)+U123</f>
        <v>-2</v>
      </c>
      <c r="V295" s="12">
        <f>(V235-U235)+V123</f>
        <v>6</v>
      </c>
      <c r="W295" s="12">
        <f>SUM(S295:V295)</f>
        <v>11</v>
      </c>
      <c r="X295" s="12">
        <f>(X235-W235)+X123</f>
        <v>0</v>
      </c>
      <c r="Y295" s="12">
        <f>(Y235-X235)+Y123</f>
        <v>-12</v>
      </c>
      <c r="Z295" s="12">
        <f>(Z235-Y235)+Z123</f>
        <v>5</v>
      </c>
      <c r="AA295" s="12">
        <f>(AA235-Z235)+AA123</f>
        <v>-2</v>
      </c>
      <c r="AB295" s="12">
        <f>SUM(X295:AA295)</f>
        <v>-9</v>
      </c>
      <c r="AC295" s="12">
        <f>(AC235-AB235)+AC123</f>
        <v>9</v>
      </c>
      <c r="AD295" s="12">
        <f>(AD235-AC235)+AD123</f>
        <v>16</v>
      </c>
      <c r="AE295" s="12">
        <f>(AE235-AD235)+AE123</f>
        <v>-27</v>
      </c>
      <c r="AF295" s="12">
        <f>(AF235-AE235)+AF123</f>
        <v>1</v>
      </c>
      <c r="AG295" s="12">
        <f>SUM(AC295:AF295)</f>
        <v>-1</v>
      </c>
      <c r="AH295" s="12">
        <f>(AH235-AG235)+AH123</f>
        <v>0</v>
      </c>
      <c r="AI295" s="12">
        <f>(AI235-AH235)+AI123</f>
        <v>-1</v>
      </c>
      <c r="AJ295" s="12">
        <f>(AJ235-AI235)+AJ123</f>
        <v>0</v>
      </c>
      <c r="AK295" s="12">
        <f>(AK235-AJ235)+AK123</f>
        <v>0</v>
      </c>
      <c r="AL295" s="12">
        <f>SUM(AH295:AK295)</f>
        <v>-1</v>
      </c>
      <c r="AM295" s="12">
        <f>(AM235-AL235)+AM123</f>
        <v>0</v>
      </c>
      <c r="AN295" s="12">
        <f>(AN235-AM235)+AN123</f>
        <v>0</v>
      </c>
      <c r="AO295" s="12">
        <f>(AO235-AN235)+AO123</f>
        <v>0</v>
      </c>
      <c r="AP295" s="12">
        <f>(AP235-AO235)+AP123</f>
        <v>0</v>
      </c>
      <c r="AQ295" s="12">
        <f>SUM(AM295:AP295)</f>
        <v>0</v>
      </c>
      <c r="AR295" s="12">
        <f>(AR235-AQ235)+AR123</f>
        <v>0</v>
      </c>
      <c r="AS295" s="12">
        <f>(AS235-AR235)+AS123</f>
        <v>0</v>
      </c>
      <c r="AT295" s="12">
        <f>(AT235-AS235)+AT123</f>
        <v>0</v>
      </c>
      <c r="AU295" s="12">
        <f>(AU235-AT235)+AU123</f>
        <v>0</v>
      </c>
      <c r="AV295" s="12">
        <f>SUM(AR295:AU295)</f>
        <v>0</v>
      </c>
      <c r="AW295" s="12">
        <f>(AW235-AV235)+AW123</f>
        <v>0</v>
      </c>
      <c r="AX295" s="12">
        <f>(AX235-AW235)+AX123</f>
        <v>0</v>
      </c>
      <c r="AY295" s="12">
        <f>(AY235-AX235)+AY123</f>
        <v>0</v>
      </c>
      <c r="AZ295" s="12">
        <f>(AZ235-AY235)+AZ123</f>
        <v>0</v>
      </c>
      <c r="BA295" s="12">
        <f>SUM(AW295:AZ295)</f>
        <v>0</v>
      </c>
      <c r="BB295" s="12">
        <f>(BB235-BA235)+BB123</f>
        <v>0</v>
      </c>
      <c r="BC295" s="12">
        <f>(BC235-BB235)+BC123</f>
        <v>0</v>
      </c>
      <c r="BD295" s="12">
        <f>(BD235-BC235)+BD123</f>
        <v>0</v>
      </c>
      <c r="BE295" s="12">
        <f>(BE235-BD235)+BE123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5" t="inlineStr">
        <is>
          <t>Increases / (decreases) in debt</t>
        </is>
      </c>
      <c r="D296" s="12" t="n"/>
      <c r="E296" s="12" t="n"/>
      <c r="F296" s="12" t="n"/>
      <c r="G296" s="12" t="n"/>
      <c r="H296" s="12" t="n"/>
      <c r="I296" s="12" t="n"/>
      <c r="J296" s="12">
        <f>SUM(J199:J201,J204,J225,J222)-SUM(I199:I201,I204,I225,I222)</f>
        <v>9338</v>
      </c>
      <c r="K296" s="12">
        <f>SUM(K199:K201,K204,K225,K222)-SUM(J199:J201,J204,J225,J222)</f>
        <v>1123</v>
      </c>
      <c r="L296" s="12">
        <f>SUM(L199:L201,L204,L225,L222)-SUM(K199:K201,K204,K225,K222)</f>
        <v>21</v>
      </c>
      <c r="M296" s="12" t="n"/>
      <c r="N296" s="12">
        <f>SUM(N199:N201,N204,N225,N222)-SUM(M199:M201,M204,M225,M222)</f>
        <v>1032</v>
      </c>
      <c r="O296" s="12">
        <f>SUM(O199:O201,O204,O225,O222)-SUM(N199:N201,N204,N225,N222)</f>
        <v>-30684</v>
      </c>
      <c r="P296" s="12">
        <f>SUM(P199:P201,P204,P225,P222)-SUM(O199:O201,O204,O225,O222)</f>
        <v>-1584</v>
      </c>
      <c r="Q296" s="12">
        <f>SUM(Q199:Q201,Q204,Q225,Q222)-SUM(P199:P201,P204,P225,P222)</f>
        <v>1537</v>
      </c>
      <c r="R296" s="12">
        <f>SUM(N296:Q296)</f>
        <v>-29699</v>
      </c>
      <c r="S296" s="12">
        <f>SUM(S199:S201,S204,S225,S222)-SUM(R199:R201,R204,R225,R222)</f>
        <v>2980</v>
      </c>
      <c r="T296" s="12">
        <f>SUM(T199:T201,T204,T225,T222)-SUM(S199:S201,S204,S225,S222)</f>
        <v>34</v>
      </c>
      <c r="U296" s="12">
        <f>SUM(U199:U201,U204,U225,U222)-SUM(T199:T201,T204,T225,T222)</f>
        <v>796</v>
      </c>
      <c r="V296" s="12">
        <f>SUM(V199:V201,V204,V225,V222)-SUM(U199:U201,U204,U225,U222)</f>
        <v>-822</v>
      </c>
      <c r="W296" s="12">
        <f>SUM(S296:V296)</f>
        <v>2988</v>
      </c>
      <c r="X296" s="12">
        <f>SUM(X199:X201,X204,X225,X222)-SUM(W199:W201,W204,W225,W222)</f>
        <v>582</v>
      </c>
      <c r="Y296" s="12">
        <f>SUM(Y199:Y201,Y204,Y225,Y222)-SUM(X199:X201,X204,X225,X222)</f>
        <v>-2405</v>
      </c>
      <c r="Z296" s="12">
        <f>SUM(Z199:Z201,Z204,Z225,Z222)-SUM(Y199:Y201,Y204,Y225,Y222)</f>
        <v>-1761</v>
      </c>
      <c r="AA296" s="12">
        <f>SUM(AA199:AA201,AA204,AA225,AA222)-SUM(Z199:Z201,Z204,Z225,Z222)</f>
        <v>-722</v>
      </c>
      <c r="AB296" s="12">
        <f>SUM(X296:AA296)</f>
        <v>-4306</v>
      </c>
      <c r="AC296" s="12">
        <f>SUM(AC199:AC201,AC204,AC225,AC222)-SUM(AB199:AB201,AB204,AB225,AB222)</f>
        <v>3137</v>
      </c>
      <c r="AD296" s="12">
        <f>SUM(AD199:AD201,AD204,AD225,AD222)-SUM(AC199:AC201,AC204,AC225,AC222)</f>
        <v>-1341</v>
      </c>
      <c r="AE296" s="12">
        <f>SUM(AE199:AE201,AE204,AE225,AE222)-SUM(AD199:AD201,AD204,AD225,AD222)</f>
        <v>-811</v>
      </c>
      <c r="AF296" s="12">
        <f>SUM(AF199:AF201,AF204,AF225,AF222)-SUM(AE199:AE201,AE204,AE225,AE222)</f>
        <v>596</v>
      </c>
      <c r="AG296" s="12">
        <f>SUM(AC296:AF296)</f>
        <v>1581</v>
      </c>
      <c r="AH296" s="12">
        <f>SUM(AH199:AH201,AH204,AH225,AH222)-SUM(AG199:AG201,AG204,AG225,AG222)</f>
        <v>1240</v>
      </c>
      <c r="AI296" s="12">
        <f>SUM(AI199:AI201,AI204,AI225,AI222)-SUM(AH199:AH201,AH204,AH225,AH222)</f>
        <v>1483</v>
      </c>
      <c r="AJ296" s="12">
        <f>SUM(AJ199:AJ201,AJ204,AJ225,AJ222)-SUM(AI199:AI201,AI204,AI225,AI222)</f>
        <v>0</v>
      </c>
      <c r="AK296" s="12">
        <f>SUM(AK199:AK201,AK204,AK225,AK222)-SUM(AJ199:AJ201,AJ204,AJ225,AJ222)</f>
        <v>0</v>
      </c>
      <c r="AL296" s="12">
        <f>SUM(AH296:AK296)</f>
        <v>2723</v>
      </c>
      <c r="AM296" s="12">
        <f>SUM(AM199:AM201,AM204,AM225,AM222)-SUM(AL199:AL201,AL204,AL225,AL222)</f>
        <v>0</v>
      </c>
      <c r="AN296" s="12">
        <f>SUM(AN199:AN201,AN204,AN225,AN222)-SUM(AM199:AM201,AM204,AM225,AM222)</f>
        <v>0</v>
      </c>
      <c r="AO296" s="12">
        <f>SUM(AO199:AO201,AO204,AO225,AO222)-SUM(AN199:AN201,AN204,AN225,AN222)</f>
        <v>0</v>
      </c>
      <c r="AP296" s="12">
        <f>SUM(AP199:AP201,AP204,AP225,AP222)-SUM(AO199:AO201,AO204,AO225,AO222)</f>
        <v>0</v>
      </c>
      <c r="AQ296" s="12">
        <f>SUM(AM296:AP296)</f>
        <v>0</v>
      </c>
      <c r="AR296" s="12">
        <f>SUM(AR199:AR201,AR204,AR225,AR222)-SUM(AQ199:AQ201,AQ204,AQ225,AQ222)</f>
        <v>0</v>
      </c>
      <c r="AS296" s="12">
        <f>SUM(AS199:AS201,AS204,AS225,AS222)-SUM(AR199:AR201,AR204,AR225,AR222)</f>
        <v>0</v>
      </c>
      <c r="AT296" s="12">
        <f>SUM(AT199:AT201,AT204,AT225,AT222)-SUM(AS199:AS201,AS204,AS225,AS222)</f>
        <v>0</v>
      </c>
      <c r="AU296" s="12">
        <f>SUM(AU199:AU201,AU204,AU225,AU222)-SUM(AT199:AT201,AT204,AT225,AT222)</f>
        <v>0</v>
      </c>
      <c r="AV296" s="12">
        <f>SUM(AR296:AU296)</f>
        <v>0</v>
      </c>
      <c r="AW296" s="12">
        <f>SUM(AW199:AW201,AW204,AW225,AW222)-SUM(AV199:AV201,AV204,AV225,AV222)</f>
        <v>0</v>
      </c>
      <c r="AX296" s="12">
        <f>SUM(AX199:AX201,AX204,AX225,AX222)-SUM(AW199:AW201,AW204,AW225,AW222)</f>
        <v>0</v>
      </c>
      <c r="AY296" s="12">
        <f>SUM(AY199:AY201,AY204,AY225,AY222)-SUM(AX199:AX201,AX204,AX225,AX222)</f>
        <v>0</v>
      </c>
      <c r="AZ296" s="12">
        <f>SUM(AZ199:AZ201,AZ204,AZ225,AZ222)-SUM(AY199:AY201,AY204,AY225,AY222)</f>
        <v>0</v>
      </c>
      <c r="BA296" s="12">
        <f>SUM(AW296:AZ296)</f>
        <v>0</v>
      </c>
      <c r="BB296" s="12">
        <f>SUM(BB199:BB201,BB204,BB225,BB222)-SUM(BA199:BA201,BA204,BA225,BA222)</f>
        <v>0</v>
      </c>
      <c r="BC296" s="12">
        <f>SUM(BC199:BC201,BC204,BC225,BC222)-SUM(BB199:BB201,BB204,BB225,BB222)</f>
        <v>0</v>
      </c>
      <c r="BD296" s="12">
        <f>SUM(BD199:BD201,BD204,BD225,BD222)-SUM(BC199:BC201,BC204,BC225,BC222)</f>
        <v>0</v>
      </c>
      <c r="BE296" s="12">
        <f>SUM(BE199:BE201,BE204,BE225,BE222)-SUM(BD199:BD201,BD204,BD225,BD222)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  <c r="CZ296" s="12" t="n"/>
      <c r="DA296" s="12" t="n"/>
      <c r="DB296" s="12" t="n"/>
      <c r="DC296" s="12" t="n"/>
    </row>
    <row r="297">
      <c r="C297" s="14" t="inlineStr">
        <is>
          <t>Cash from financing</t>
        </is>
      </c>
      <c r="D297" s="12" t="n"/>
      <c r="E297" s="12" t="n"/>
      <c r="F297" s="12" t="n"/>
      <c r="G297" s="12" t="n"/>
      <c r="H297" s="12" t="n"/>
      <c r="I297" s="12" t="n"/>
      <c r="J297" s="12">
        <f>SUM(J289,J290,J291,J292,J293,J294,J295,J296)</f>
        <v>8307</v>
      </c>
      <c r="K297" s="12">
        <f>SUM(K289,K290,K291,K292,K293,K294,K295,K296)</f>
        <v>2541</v>
      </c>
      <c r="L297" s="12">
        <f>SUM(L289,L290,L291,L292,L293,L294,L295,L296)</f>
        <v>-1509</v>
      </c>
      <c r="M297" s="12" t="n"/>
      <c r="N297" s="12">
        <f>SUM(N289,N290,N291,N292,N293,N294,N295,N296)</f>
        <v>133</v>
      </c>
      <c r="O297" s="12">
        <f>SUM(O289,O290,O291,O292,O293,O294,O295,O296)</f>
        <v>-32444</v>
      </c>
      <c r="P297" s="12">
        <f>SUM(P289,P290,P291,P292,P293,P294,P295,P296)</f>
        <v>-2602</v>
      </c>
      <c r="Q297" s="12">
        <f>SUM(Q289,Q290,Q291,Q292,Q293,Q294,Q295,Q296)</f>
        <v>659</v>
      </c>
      <c r="R297" s="12">
        <f>SUM(R289,R290,R291,R292,R293,R294,R295,R296)</f>
        <v>-34254</v>
      </c>
      <c r="S297" s="12">
        <f>SUM(S289,S290,S291,S292,S293,S294,S295,S296)</f>
        <v>1186</v>
      </c>
      <c r="T297" s="12">
        <f>SUM(T289,T290,T291,T292,T293,T294,T295,T296)</f>
        <v>-2287</v>
      </c>
      <c r="U297" s="12">
        <f>SUM(U289,U290,U291,U292,U293,U294,U295,U296)</f>
        <v>-2838</v>
      </c>
      <c r="V297" s="12">
        <f>SUM(V289,V290,V291,V292,V293,V294,V295,V296)</f>
        <v>-2277</v>
      </c>
      <c r="W297" s="12">
        <f>SUM(W289,W290,W291,W292,W293,W294,W295,W296)</f>
        <v>-6216</v>
      </c>
      <c r="X297" s="12">
        <f>SUM(X289,X290,X291,X292,X293,X294,X295,X296)</f>
        <v>-1179</v>
      </c>
      <c r="Y297" s="12">
        <f>SUM(Y289,Y290,Y291,Y292,Y293,Y294,Y295,Y296)</f>
        <v>-3773</v>
      </c>
      <c r="Z297" s="12">
        <f>SUM(Z289,Z290,Z291,Z292,Z293,Z294,Z295,Z296)</f>
        <v>-3227</v>
      </c>
      <c r="AA297" s="12">
        <f>SUM(AA289,AA290,AA291,AA292,AA293,AA294,AA295,AA296)</f>
        <v>-1950</v>
      </c>
      <c r="AB297" s="12">
        <f>SUM(AB289,AB290,AB291,AB292,AB293,AB294,AB295,AB296)</f>
        <v>-10129</v>
      </c>
      <c r="AC297" s="12">
        <f>SUM(AC289,AC290,AC291,AC292,AC293,AC294,AC295,AC296)</f>
        <v>3150</v>
      </c>
      <c r="AD297" s="12">
        <f>SUM(AD289,AD290,AD291,AD292,AD293,AD294,AD295,AD296)</f>
        <v>-1726</v>
      </c>
      <c r="AE297" s="12">
        <f>SUM(AE289,AE290,AE291,AE292,AE293,AE294,AE295,AE296)</f>
        <v>-1128</v>
      </c>
      <c r="AF297" s="12">
        <f>SUM(AF289,AF290,AF291,AF292,AF293,AF294,AF295,AF296)</f>
        <v>291</v>
      </c>
      <c r="AG297" s="12">
        <f>SUM(AG289,AG290,AG291,AG292,AG293,AG294,AG295,AG296)</f>
        <v>587</v>
      </c>
      <c r="AH297" s="12">
        <f>SUM(AH289,AH290,AH291,AH292,AH293,AH294,AH295,AH296)</f>
        <v>573</v>
      </c>
      <c r="AI297" s="12">
        <f>SUM(AI289,AI290,AI291,AI292,AI293,AI294,AI295,AI296)</f>
        <v>687</v>
      </c>
      <c r="AJ297" s="12">
        <f>SUM(AJ289,AJ290,AJ291,AJ292,AJ293,AJ294,AJ295,AJ296)</f>
        <v>0</v>
      </c>
      <c r="AK297" s="12">
        <f>SUM(AK289,AK290,AK291,AK292,AK293,AK294,AK295,AK296)</f>
        <v>-7.27595761418343e-12</v>
      </c>
      <c r="AL297" s="12">
        <f>SUM(AL289,AL290,AL291,AL292,AL293,AL294,AL295,AL296)</f>
        <v>1259.99999999999</v>
      </c>
      <c r="AM297" s="12">
        <f>SUM(AM289,AM290,AM291,AM292,AM293,AM294,AM295,AM296)</f>
        <v>0</v>
      </c>
      <c r="AN297" s="12">
        <f>SUM(AN289,AN290,AN291,AN292,AN293,AN294,AN295,AN296)</f>
        <v>0</v>
      </c>
      <c r="AO297" s="12">
        <f>SUM(AO289,AO290,AO291,AO292,AO293,AO294,AO295,AO296)</f>
        <v>0</v>
      </c>
      <c r="AP297" s="12">
        <f>SUM(AP289,AP290,AP291,AP292,AP293,AP294,AP295,AP296)</f>
        <v>0</v>
      </c>
      <c r="AQ297" s="12">
        <f>SUM(AQ289,AQ290,AQ291,AQ292,AQ293,AQ294,AQ295,AQ296)</f>
        <v>0</v>
      </c>
      <c r="AR297" s="12">
        <f>SUM(AR289,AR290,AR291,AR292,AR293,AR294,AR295,AR296)</f>
        <v>0</v>
      </c>
      <c r="AS297" s="12">
        <f>SUM(AS289,AS290,AS291,AS292,AS293,AS294,AS295,AS296)</f>
        <v>0</v>
      </c>
      <c r="AT297" s="12">
        <f>SUM(AT289,AT290,AT291,AT292,AT293,AT294,AT295,AT296)</f>
        <v>0</v>
      </c>
      <c r="AU297" s="12">
        <f>SUM(AU289,AU290,AU291,AU292,AU293,AU294,AU295,AU296)</f>
        <v>0</v>
      </c>
      <c r="AV297" s="12">
        <f>SUM(AV289,AV290,AV291,AV292,AV293,AV294,AV295,AV296)</f>
        <v>0</v>
      </c>
      <c r="AW297" s="12">
        <f>SUM(AW289,AW290,AW291,AW292,AW293,AW294,AW295,AW296)</f>
        <v>0</v>
      </c>
      <c r="AX297" s="12">
        <f>SUM(AX289,AX290,AX291,AX292,AX293,AX294,AX295,AX296)</f>
        <v>0</v>
      </c>
      <c r="AY297" s="12">
        <f>SUM(AY289,AY290,AY291,AY292,AY293,AY294,AY295,AY296)</f>
        <v>0</v>
      </c>
      <c r="AZ297" s="12">
        <f>SUM(AZ289,AZ290,AZ291,AZ292,AZ293,AZ294,AZ295,AZ296)</f>
        <v>0</v>
      </c>
      <c r="BA297" s="12">
        <f>SUM(BA289,BA290,BA291,BA292,BA293,BA294,BA295,BA296)</f>
        <v>0</v>
      </c>
      <c r="BB297" s="12">
        <f>SUM(BB289,BB290,BB291,BB292,BB293,BB294,BB295,BB296)</f>
        <v>0</v>
      </c>
      <c r="BC297" s="12">
        <f>SUM(BC289,BC290,BC291,BC292,BC293,BC294,BC295,BC296)</f>
        <v>0</v>
      </c>
      <c r="BD297" s="12">
        <f>SUM(BD289,BD290,BD291,BD292,BD293,BD294,BD295,BD296)</f>
        <v>0</v>
      </c>
      <c r="BE297" s="12">
        <f>SUM(BE289,BE290,BE291,BE292,BE293,BE294,BE295,BE296)</f>
        <v>0</v>
      </c>
      <c r="BF297" s="12">
        <f>SUM(BF289,BF290,BF291,BF292,BF293,BF294,BF295,BF296)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Others / cash reconciliation plug</t>
        </is>
      </c>
      <c r="D299" s="12" t="n"/>
      <c r="E299" s="12" t="n"/>
      <c r="F299" s="12" t="n"/>
      <c r="G299" s="12" t="n"/>
      <c r="H299" s="12" t="n"/>
      <c r="I299" s="12" t="n"/>
      <c r="J299" s="12">
        <f>J131-I131-SUM(J280,J287,J297)</f>
        <v>0</v>
      </c>
      <c r="K299" s="12">
        <f>K131-J131-SUM(K280,K287,K297)</f>
        <v>0</v>
      </c>
      <c r="L299" s="12">
        <f>L131-K131-SUM(L280,L287,L297)</f>
        <v>0</v>
      </c>
      <c r="M299" s="12" t="n"/>
      <c r="N299" s="12">
        <f>N131-M131-SUM(N280,N287,N297)</f>
        <v>0</v>
      </c>
      <c r="O299" s="12">
        <f>O131-N131-SUM(O280,O287,O297)</f>
        <v>0</v>
      </c>
      <c r="P299" s="12">
        <f>P131-O131-SUM(P280,P287,P297)</f>
        <v>0</v>
      </c>
      <c r="Q299" s="12">
        <f>Q131-P131-SUM(Q280,Q287,Q297)</f>
        <v>0</v>
      </c>
      <c r="R299" s="12">
        <f>SUM(N299:Q299)</f>
        <v>0</v>
      </c>
      <c r="S299" s="12">
        <f>S131-R131-SUM(S280,S287,S297)</f>
        <v>0</v>
      </c>
      <c r="T299" s="12">
        <f>T131-S131-SUM(T280,T287,T297)</f>
        <v>0</v>
      </c>
      <c r="U299" s="12">
        <f>U131-T131-SUM(U280,U287,U297)</f>
        <v>0</v>
      </c>
      <c r="V299" s="12">
        <f>V131-U131-SUM(V280,V287,V297)</f>
        <v>0</v>
      </c>
      <c r="W299" s="12">
        <f>SUM(S299:V299)</f>
        <v>0</v>
      </c>
      <c r="X299" s="12">
        <f>X131-W131-SUM(X280,X287,X297)</f>
        <v>0</v>
      </c>
      <c r="Y299" s="12">
        <f>Y131-X131-SUM(Y280,Y287,Y297)</f>
        <v>0</v>
      </c>
      <c r="Z299" s="12">
        <f>Z131-Y131-SUM(Z280,Z287,Z297)</f>
        <v>0</v>
      </c>
      <c r="AA299" s="12">
        <f>AA131-Z131-SUM(AA280,AA287,AA297)</f>
        <v>0</v>
      </c>
      <c r="AB299" s="12">
        <f>SUM(X299:AA299)</f>
        <v>0</v>
      </c>
      <c r="AC299" s="12">
        <f>AC131-AB131-SUM(AC280,AC287,AC297)</f>
        <v>0</v>
      </c>
      <c r="AD299" s="12">
        <f>AD131-AC131-SUM(AD280,AD287,AD297)</f>
        <v>0</v>
      </c>
      <c r="AE299" s="12">
        <f>AE131-AD131-SUM(AE280,AE287,AE297)</f>
        <v>0</v>
      </c>
      <c r="AF299" s="12">
        <f>AF131-AE131-SUM(AF280,AF287,AF297)</f>
        <v>0</v>
      </c>
      <c r="AG299" s="12">
        <f>SUM(AC299:AF299)</f>
        <v>0</v>
      </c>
      <c r="AH299" s="12">
        <f>AH131-AG131-SUM(AH280,AH287,AH297)</f>
        <v>0</v>
      </c>
      <c r="AI299" s="12">
        <f>AI131-AH131-SUM(AI280,AI287,AI297)</f>
        <v>0</v>
      </c>
      <c r="AJ299" s="12">
        <f>AJ131-AI131-SUM(AJ280,AJ287,AJ297)</f>
        <v>0</v>
      </c>
      <c r="AK299" s="12">
        <f>AK131-AJ131-SUM(AK280,AK287,AK297)</f>
        <v>7.73070496506989e-12</v>
      </c>
      <c r="AL299" s="12">
        <f>SUM(AH299:AK299)</f>
        <v>7.73070496506989e-12</v>
      </c>
      <c r="AM299" s="12">
        <f>AM131-AL131-SUM(AM280,AM287,AM297)</f>
        <v>0</v>
      </c>
      <c r="AN299" s="12">
        <f>AN131-AM131-SUM(AN280,AN287,AN297)</f>
        <v>0</v>
      </c>
      <c r="AO299" s="12">
        <f>AO131-AN131-SUM(AO280,AO287,AO297)</f>
        <v>0</v>
      </c>
      <c r="AP299" s="12">
        <f>AP131-AO131-SUM(AP280,AP287,AP297)</f>
        <v>-1.13686837721616e-11</v>
      </c>
      <c r="AQ299" s="12">
        <f>SUM(AM299:AP299)</f>
        <v>-1.13686837721616e-11</v>
      </c>
      <c r="AR299" s="12">
        <f>AR131-AQ131-SUM(AR280,AR287,AR297)</f>
        <v>0</v>
      </c>
      <c r="AS299" s="12">
        <f>AS131-AR131-SUM(AS280,AS287,AS297)</f>
        <v>0</v>
      </c>
      <c r="AT299" s="12">
        <f>AT131-AS131-SUM(AT280,AT287,AT297)</f>
        <v>0</v>
      </c>
      <c r="AU299" s="12">
        <f>AU131-AT131-SUM(AU280,AU287,AU297)</f>
        <v>0</v>
      </c>
      <c r="AV299" s="12">
        <f>SUM(AR299:AU299)</f>
        <v>0</v>
      </c>
      <c r="AW299" s="12">
        <f>AW131-AV131-SUM(AW280,AW287,AW297)</f>
        <v>-1.04591890703887e-11</v>
      </c>
      <c r="AX299" s="12">
        <f>AX131-AW131-SUM(AX280,AX287,AX297)</f>
        <v>0</v>
      </c>
      <c r="AY299" s="12">
        <f>AY131-AX131-SUM(AY280,AY287,AY297)</f>
        <v>-1.50066625792533e-11</v>
      </c>
      <c r="AZ299" s="12">
        <f>AZ131-AY131-SUM(AZ280,AZ287,AZ297)</f>
        <v>1.22781784739345e-11</v>
      </c>
      <c r="BA299" s="12">
        <f>SUM(AW299:AZ299)</f>
        <v>-1.31876731757075e-11</v>
      </c>
      <c r="BB299" s="12">
        <f>BB131-BA131-SUM(BB280,BB287,BB297)</f>
        <v>-1.04591890703887e-11</v>
      </c>
      <c r="BC299" s="12">
        <f>BC131-BB131-SUM(BC280,BC287,BC297)</f>
        <v>9.54969436861575e-12</v>
      </c>
      <c r="BD299" s="12">
        <f>BD131-BC131-SUM(BD280,BD287,BD297)</f>
        <v>1.40971678774804e-11</v>
      </c>
      <c r="BE299" s="12">
        <f>BE131-BD131-SUM(BE280,BE287,BE297)</f>
        <v>0</v>
      </c>
      <c r="BF299" s="12">
        <f>SUM(BB299:BE299)</f>
        <v>1.31876731757075e-11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4" t="inlineStr">
        <is>
          <t>Total increase/decrease of cash</t>
        </is>
      </c>
      <c r="D301" s="12" t="n"/>
      <c r="E301" s="12" t="n"/>
      <c r="F301" s="12" t="n"/>
      <c r="G301" s="12" t="n"/>
      <c r="H301" s="12" t="n"/>
      <c r="I301" s="12" t="n"/>
      <c r="J301" s="12">
        <f>SUM(J280,J287,J297,J299)</f>
        <v>337</v>
      </c>
      <c r="K301" s="12">
        <f>SUM(K280,K287,K297,K299)</f>
        <v>498</v>
      </c>
      <c r="L301" s="12">
        <f>SUM(L280,L287,L297,L299)</f>
        <v>-3545</v>
      </c>
      <c r="M301" s="12" t="n"/>
      <c r="N301" s="12">
        <f>SUM(N280,N287,N297,N299)</f>
        <v>-594</v>
      </c>
      <c r="O301" s="12">
        <f>SUM(O280,O287,O297,O299)</f>
        <v>481</v>
      </c>
      <c r="P301" s="12">
        <f>SUM(P280,P287,P297,P299)</f>
        <v>415</v>
      </c>
      <c r="Q301" s="12">
        <f>SUM(Q280,Q287,Q297,Q299)</f>
        <v>-798</v>
      </c>
      <c r="R301" s="12">
        <f>SUM(N301:Q301)</f>
        <v>-496</v>
      </c>
      <c r="S301" s="12">
        <f>SUM(S280,S287,S297,S299)</f>
        <v>1291</v>
      </c>
      <c r="T301" s="12">
        <f>SUM(T280,T287,T297,T299)</f>
        <v>1309</v>
      </c>
      <c r="U301" s="12">
        <f>SUM(U280,U287,U297,U299)</f>
        <v>882</v>
      </c>
      <c r="V301" s="12">
        <f>SUM(V280,V287,V297,V299)</f>
        <v>-2321</v>
      </c>
      <c r="W301" s="12">
        <f>SUM(S301:V301)</f>
        <v>1161</v>
      </c>
      <c r="X301" s="12">
        <f>SUM(X280,X287,X297,X299)</f>
        <v>416</v>
      </c>
      <c r="Y301" s="12">
        <f>SUM(Y280,Y287,Y297,Y299)</f>
        <v>1451</v>
      </c>
      <c r="Z301" s="12">
        <f>SUM(Z280,Z287,Z297,Z299)</f>
        <v>320</v>
      </c>
      <c r="AA301" s="12">
        <f>SUM(AA280,AA287,AA297,AA299)</f>
        <v>-723</v>
      </c>
      <c r="AB301" s="12">
        <f>SUM(X301:AA301)</f>
        <v>1464</v>
      </c>
      <c r="AC301" s="12">
        <f>SUM(AC280,AC287,AC297,AC299)</f>
        <v>1390</v>
      </c>
      <c r="AD301" s="12">
        <f>SUM(AD280,AD287,AD297,AD299)</f>
        <v>589</v>
      </c>
      <c r="AE301" s="12">
        <f>SUM(AE280,AE287,AE297,AE299)</f>
        <v>-304</v>
      </c>
      <c r="AF301" s="12">
        <f>SUM(AF280,AF287,AF297,AF299)</f>
        <v>-1478</v>
      </c>
      <c r="AG301" s="12">
        <f>SUM(AC301:AF301)</f>
        <v>197</v>
      </c>
      <c r="AH301" s="12">
        <f>SUM(AH280,AH287,AH297,AH299)</f>
        <v>1107</v>
      </c>
      <c r="AI301" s="12">
        <f>SUM(AI280,AI287,AI297,AI299)</f>
        <v>1023</v>
      </c>
      <c r="AJ301" s="12">
        <f>SUM(AJ280,AJ287,AJ297,AJ299)</f>
        <v>9773.18979660479</v>
      </c>
      <c r="AK301" s="12">
        <f>SUM(AK280,AK287,AK297,AK299)</f>
        <v>1521.59158747528</v>
      </c>
      <c r="AL301" s="12">
        <f>SUM(AH301:AK301)</f>
        <v>13424.7813840801</v>
      </c>
      <c r="AM301" s="12">
        <f>SUM(AM280,AM287,AM297,AM299)</f>
        <v>2116.5495716322</v>
      </c>
      <c r="AN301" s="12">
        <f>SUM(AN280,AN287,AN297,AN299)</f>
        <v>1996.06978825183</v>
      </c>
      <c r="AO301" s="12">
        <f>SUM(AO280,AO287,AO297,AO299)</f>
        <v>1991.59128531161</v>
      </c>
      <c r="AP301" s="12">
        <f>SUM(AP280,AP287,AP297,AP299)</f>
        <v>1544.39114435451</v>
      </c>
      <c r="AQ301" s="12">
        <f>SUM(AM301:AP301)</f>
        <v>7648.60178955015</v>
      </c>
      <c r="AR301" s="12">
        <f>SUM(AR280,AR287,AR297,AR299)</f>
        <v>2137.68124224438</v>
      </c>
      <c r="AS301" s="12">
        <f>SUM(AS280,AS287,AS297,AS299)</f>
        <v>2015.99858644754</v>
      </c>
      <c r="AT301" s="12">
        <f>SUM(AT280,AT287,AT297,AT299)</f>
        <v>2011.47537004999</v>
      </c>
      <c r="AU301" s="12">
        <f>SUM(AU280,AU287,AU297,AU299)</f>
        <v>1559.81037449979</v>
      </c>
      <c r="AV301" s="12">
        <f>SUM(AR301:AU301)</f>
        <v>7724.96557324171</v>
      </c>
      <c r="AW301" s="12">
        <f>SUM(AW280,AW287,AW297,AW299)</f>
        <v>2148.33548564099</v>
      </c>
      <c r="AX301" s="12">
        <f>SUM(AX280,AX287,AX297,AX299)</f>
        <v>2026.0463612059</v>
      </c>
      <c r="AY301" s="12">
        <f>SUM(AY280,AY287,AY297,AY299)</f>
        <v>2021.50060101299</v>
      </c>
      <c r="AZ301" s="12">
        <f>SUM(AZ280,AZ287,AZ297,AZ299)</f>
        <v>1567.58449865549</v>
      </c>
      <c r="BA301" s="12">
        <f>SUM(AW301:AZ301)</f>
        <v>7763.46694651536</v>
      </c>
      <c r="BB301" s="12">
        <f>SUM(BB280,BB287,BB297,BB299)</f>
        <v>2148.33548564099</v>
      </c>
      <c r="BC301" s="12">
        <f>SUM(BC280,BC287,BC297,BC299)</f>
        <v>2026.04636120591</v>
      </c>
      <c r="BD301" s="12">
        <f>SUM(BD280,BD287,BD297,BD299)</f>
        <v>2021.50060101302</v>
      </c>
      <c r="BE301" s="12">
        <f>SUM(BE280,BE287,BE297,BE299)</f>
        <v>1567.58449865548</v>
      </c>
      <c r="BF301" s="12">
        <f>SUM(BB301:BE301)</f>
        <v>7763.46694651539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4" t="inlineStr">
        <is>
          <t>Check</t>
        </is>
      </c>
      <c r="E302" s="72" t="n"/>
      <c r="F302" s="72" t="n"/>
      <c r="G302" s="72" t="n"/>
      <c r="I302" s="72" t="str">
        <f>""</f>
        <v/>
      </c>
      <c r="J302" s="72">
        <f>J131-I131-J301</f>
        <v>0</v>
      </c>
      <c r="K302" s="72">
        <f>K131-J131-K301</f>
        <v>0</v>
      </c>
      <c r="L302" s="72">
        <f>L131-K131-L301</f>
        <v>0</v>
      </c>
      <c r="M302" s="4" t="str">
        <f>""</f>
        <v/>
      </c>
      <c r="N302" s="72">
        <f>N131-M131-N301</f>
        <v>0</v>
      </c>
      <c r="O302" s="72">
        <f>O131-N131-O301</f>
        <v>0</v>
      </c>
      <c r="P302" s="72">
        <f>P131-O131-P301</f>
        <v>0</v>
      </c>
      <c r="Q302" s="72">
        <f>Q131-P131-Q301</f>
        <v>0</v>
      </c>
      <c r="R302" s="4">
        <f>R131-M131-R301</f>
        <v>0</v>
      </c>
      <c r="S302" s="72">
        <f>S131-R131-S301</f>
        <v>0</v>
      </c>
      <c r="T302" s="72">
        <f>T131-S131-T301</f>
        <v>0</v>
      </c>
      <c r="U302" s="72">
        <f>U131-T131-U301</f>
        <v>0</v>
      </c>
      <c r="V302" s="72">
        <f>V131-U131-V301</f>
        <v>0</v>
      </c>
      <c r="W302" s="4">
        <f>W131-R131-W301</f>
        <v>0</v>
      </c>
      <c r="X302" s="72">
        <f>X131-W131-X301</f>
        <v>0</v>
      </c>
      <c r="Y302" s="72">
        <f>Y131-X131-Y301</f>
        <v>0</v>
      </c>
      <c r="Z302" s="72">
        <f>Z131-Y131-Z301</f>
        <v>0</v>
      </c>
      <c r="AA302" s="72">
        <f>AA131-Z131-AA301</f>
        <v>0</v>
      </c>
      <c r="AB302" s="4">
        <f>AB131-W131-AB301</f>
        <v>0</v>
      </c>
      <c r="AC302" s="72">
        <f>AC131-AB131-AC301</f>
        <v>0</v>
      </c>
      <c r="AD302" s="72">
        <f>AD131-AC131-AD301</f>
        <v>0</v>
      </c>
      <c r="AE302" s="72">
        <f>AE131-AD131-AE301</f>
        <v>0</v>
      </c>
      <c r="AF302" s="72">
        <f>AF131-AE131-AF301</f>
        <v>0</v>
      </c>
      <c r="AG302" s="4">
        <f>AG131-AB131-AG301</f>
        <v>0</v>
      </c>
      <c r="AH302" s="72">
        <f>AH131-AG131-AH301</f>
        <v>0</v>
      </c>
      <c r="AI302" s="72">
        <f>AI131-AH131-AI301</f>
        <v>0</v>
      </c>
      <c r="AJ302" s="72">
        <f>AJ131-AI131-AJ301</f>
        <v>0</v>
      </c>
      <c r="AK302" s="72">
        <f>AK131-AJ131-AK301</f>
        <v>0</v>
      </c>
      <c r="AL302" s="4">
        <f>AL131-AG131-AL301</f>
        <v>0</v>
      </c>
      <c r="AM302" s="72">
        <f>AM131-AL131-AM301</f>
        <v>0</v>
      </c>
      <c r="AN302" s="72">
        <f>AN131-AM131-AN301</f>
        <v>0</v>
      </c>
      <c r="AO302" s="72">
        <f>AO131-AN131-AO301</f>
        <v>0</v>
      </c>
      <c r="AP302" s="72">
        <f>AP131-AO131-AP301</f>
        <v>0</v>
      </c>
      <c r="AQ302" s="4">
        <f>AQ131-AL131-AQ301</f>
        <v>0</v>
      </c>
      <c r="AR302" s="72">
        <f>AR131-AQ131-AR301</f>
        <v>0</v>
      </c>
      <c r="AS302" s="72">
        <f>AS131-AR131-AS301</f>
        <v>0</v>
      </c>
      <c r="AT302" s="72">
        <f>AT131-AS131-AT301</f>
        <v>0</v>
      </c>
      <c r="AU302" s="72">
        <f>AU131-AT131-AU301</f>
        <v>0</v>
      </c>
      <c r="AV302" s="4">
        <f>AV131-AQ131-AV301</f>
        <v>0</v>
      </c>
      <c r="AW302" s="72">
        <f>AW131-AV131-AW301</f>
        <v>0</v>
      </c>
      <c r="AX302" s="72">
        <f>AX131-AW131-AX301</f>
        <v>0</v>
      </c>
      <c r="AY302" s="72">
        <f>AY131-AX131-AY301</f>
        <v>0</v>
      </c>
      <c r="AZ302" s="72">
        <f>AZ131-AY131-AZ301</f>
        <v>0</v>
      </c>
      <c r="BA302" s="4">
        <f>BA131-AV131-BA301</f>
        <v>0</v>
      </c>
      <c r="BB302" s="72">
        <f>BB131-BA131-BB301</f>
        <v>0</v>
      </c>
      <c r="BC302" s="72">
        <f>BC131-BB131-BC301</f>
        <v>0</v>
      </c>
      <c r="BD302" s="72">
        <f>BD131-BC131-BD301</f>
        <v>0</v>
      </c>
      <c r="BE302" s="72">
        <f>BE131-BD131-BE301</f>
        <v>0</v>
      </c>
      <c r="BF302" s="4">
        <f>BF131-BA131-BF301</f>
        <v>0</v>
      </c>
      <c r="BG302" s="72" t="n"/>
      <c r="BH302" s="72" t="n"/>
      <c r="BI302" s="72" t="n"/>
      <c r="BJ302" s="72" t="n"/>
      <c r="BL302" s="72" t="n"/>
      <c r="BM302" s="72" t="n"/>
      <c r="BN302" s="72" t="n"/>
      <c r="BO302" s="72" t="n"/>
      <c r="BQ302" s="72" t="n"/>
      <c r="BR302" s="72" t="n"/>
      <c r="BS302" s="72" t="n"/>
      <c r="BT302" s="72" t="n"/>
      <c r="BV302" s="72" t="n"/>
      <c r="BW302" s="72" t="n"/>
      <c r="BX302" s="72" t="n"/>
      <c r="BY302" s="72" t="n"/>
      <c r="CA302" s="72" t="n"/>
      <c r="CB302" s="72" t="n"/>
      <c r="CC302" s="72" t="n"/>
      <c r="CD302" s="72" t="n"/>
      <c r="CF302" s="72" t="n"/>
      <c r="CG302" s="72" t="n"/>
      <c r="CH302" s="72" t="n"/>
      <c r="CI302" s="72" t="n"/>
      <c r="CK302" s="72" t="n"/>
      <c r="CL302" s="72" t="n"/>
      <c r="CM302" s="72" t="n"/>
      <c r="CN302" s="72" t="n"/>
      <c r="CP302" s="72" t="n"/>
      <c r="CQ302" s="72" t="n"/>
      <c r="CR302" s="72" t="n"/>
      <c r="CS302" s="72" t="n"/>
      <c r="CU302" s="72" t="n"/>
      <c r="CV302" s="72" t="n"/>
      <c r="CW302" s="72" t="n"/>
      <c r="CX302" s="72" t="n"/>
    </row>
    <row r="303"/>
    <row r="304">
      <c r="C304" s="73" t="inlineStr">
        <is>
          <t>Ratio Analysis</t>
        </is>
      </c>
      <c r="D304" s="73" t="n"/>
      <c r="E304" s="73" t="n"/>
      <c r="F304" s="73" t="n"/>
      <c r="G304" s="73" t="n"/>
      <c r="H304" s="73" t="n"/>
      <c r="I304" s="73" t="n"/>
      <c r="J304" s="73" t="n"/>
      <c r="K304" s="73" t="n"/>
      <c r="L304" s="73" t="n"/>
      <c r="M304" s="73" t="n"/>
      <c r="N304" s="73" t="n"/>
      <c r="O304" s="73" t="n"/>
      <c r="P304" s="73" t="n"/>
      <c r="Q304" s="73" t="n"/>
      <c r="R304" s="73" t="n"/>
      <c r="S304" s="73" t="n"/>
      <c r="T304" s="73" t="n"/>
      <c r="U304" s="73" t="n"/>
      <c r="V304" s="73" t="n"/>
      <c r="W304" s="73" t="n"/>
      <c r="X304" s="73" t="n"/>
      <c r="Y304" s="73" t="n"/>
      <c r="Z304" s="73" t="n"/>
      <c r="AA304" s="73" t="n"/>
      <c r="AB304" s="73" t="n"/>
      <c r="AC304" s="73" t="n"/>
      <c r="AD304" s="73" t="n"/>
      <c r="AE304" s="73" t="n"/>
      <c r="AF304" s="73" t="n"/>
      <c r="AG304" s="73" t="n"/>
      <c r="AH304" s="73" t="n"/>
      <c r="AI304" s="73" t="n"/>
      <c r="AJ304" s="73" t="n"/>
      <c r="AK304" s="73" t="n"/>
      <c r="AL304" s="73" t="n"/>
      <c r="AM304" s="73" t="n"/>
      <c r="AN304" s="73" t="n"/>
      <c r="AO304" s="73" t="n"/>
      <c r="AP304" s="73" t="n"/>
      <c r="AQ304" s="73" t="n"/>
      <c r="AR304" s="73" t="n"/>
      <c r="AS304" s="73" t="n"/>
      <c r="AT304" s="73" t="n"/>
      <c r="AU304" s="73" t="n"/>
      <c r="AV304" s="73" t="n"/>
      <c r="AW304" s="73" t="n"/>
      <c r="AX304" s="73" t="n"/>
      <c r="AY304" s="73" t="n"/>
      <c r="AZ304" s="73" t="n"/>
      <c r="BA304" s="73" t="n"/>
      <c r="BB304" s="73" t="n"/>
      <c r="BC304" s="73" t="n"/>
      <c r="BD304" s="73" t="n"/>
      <c r="BE304" s="73" t="n"/>
      <c r="BF304" s="73" t="n"/>
      <c r="BG304" s="73" t="n"/>
      <c r="BH304" s="73" t="n"/>
      <c r="BI304" s="73" t="n"/>
      <c r="BJ304" s="73" t="n"/>
      <c r="BK304" s="73" t="n"/>
      <c r="BL304" s="73" t="n"/>
      <c r="BM304" s="73" t="n"/>
      <c r="BN304" s="73" t="n"/>
      <c r="BO304" s="73" t="n"/>
      <c r="BP304" s="73" t="n"/>
      <c r="BQ304" s="73" t="n"/>
      <c r="BR304" s="73" t="n"/>
      <c r="BS304" s="73" t="n"/>
      <c r="BT304" s="73" t="n"/>
      <c r="BU304" s="73" t="n"/>
      <c r="BV304" s="73" t="n"/>
      <c r="BW304" s="73" t="n"/>
      <c r="BX304" s="73" t="n"/>
      <c r="BY304" s="73" t="n"/>
      <c r="BZ304" s="73" t="n"/>
      <c r="CA304" s="73" t="n"/>
      <c r="CB304" s="73" t="n"/>
      <c r="CC304" s="73" t="n"/>
      <c r="CD304" s="73" t="n"/>
      <c r="CE304" s="73" t="n"/>
      <c r="CF304" s="73" t="n"/>
      <c r="CG304" s="73" t="n"/>
      <c r="CH304" s="73" t="n"/>
      <c r="CI304" s="73" t="n"/>
      <c r="CJ304" s="73" t="n"/>
      <c r="CK304" s="73" t="n"/>
      <c r="CL304" s="73" t="n"/>
      <c r="CM304" s="73" t="n"/>
      <c r="CN304" s="73" t="n"/>
      <c r="CO304" s="73" t="n"/>
      <c r="CP304" s="73" t="n"/>
      <c r="CQ304" s="73" t="n"/>
      <c r="CR304" s="73" t="n"/>
      <c r="CS304" s="73" t="n"/>
      <c r="CT304" s="73" t="n"/>
      <c r="CU304" s="73" t="n"/>
      <c r="CV304" s="73" t="n"/>
      <c r="CW304" s="73" t="n"/>
      <c r="CX304" s="73" t="n"/>
      <c r="CY304" s="73" t="n"/>
    </row>
    <row r="305"/>
    <row r="306" customFormat="1" s="74">
      <c r="C306" s="74" t="inlineStr">
        <is>
          <t>YEAR</t>
        </is>
      </c>
      <c r="D306">
        <f>IFERROR(D262,"")</f>
        <v>0</v>
      </c>
      <c r="E306" s="75">
        <f>IFERROR(E262,"")</f>
        <v>0</v>
      </c>
      <c r="F306" s="75">
        <f>IFERROR(F262,"")</f>
        <v>0</v>
      </c>
      <c r="G306" s="75">
        <f>IFERROR(G262,"")</f>
        <v>0</v>
      </c>
      <c r="H306" s="75">
        <f>IFERROR(H262,"")</f>
        <v>0</v>
      </c>
      <c r="I306" s="75" t="str">
        <f>IFERROR(I262,"")</f>
        <v>1Q21</v>
      </c>
      <c r="J306" s="75" t="str">
        <f>IFERROR(J262,"")</f>
        <v>2Q21</v>
      </c>
      <c r="K306" s="75" t="str">
        <f>IFERROR(K262,"")</f>
        <v>3Q21</v>
      </c>
      <c r="L306" s="75" t="str">
        <f>IFERROR(L262,"")</f>
        <v>4Q21</v>
      </c>
      <c r="M306" s="75">
        <f>IFERROR(M262,"")</f>
        <v>2021</v>
      </c>
      <c r="N306" s="75" t="str">
        <f>IFERROR(N262,"")</f>
        <v>1Q22</v>
      </c>
      <c r="O306" s="75" t="str">
        <f>IFERROR(O262,"")</f>
        <v>2Q22</v>
      </c>
      <c r="P306" s="75" t="str">
        <f>IFERROR(P262,"")</f>
        <v>3Q22</v>
      </c>
      <c r="Q306" s="75" t="str">
        <f>IFERROR(Q262,"")</f>
        <v>4Q22</v>
      </c>
      <c r="R306" s="75">
        <f>IFERROR(R262,"")</f>
        <v>2022</v>
      </c>
      <c r="S306" s="75" t="str">
        <f>IFERROR(S262,"")</f>
        <v>1Q23</v>
      </c>
      <c r="T306" s="75" t="str">
        <f>IFERROR(T262,"")</f>
        <v>2Q23</v>
      </c>
      <c r="U306" s="75" t="str">
        <f>IFERROR(U262,"")</f>
        <v>3Q23</v>
      </c>
      <c r="V306" s="75" t="str">
        <f>IFERROR(V262,"")</f>
        <v>4Q23</v>
      </c>
      <c r="W306" s="75">
        <f>IFERROR(W262,"")</f>
        <v>2023</v>
      </c>
      <c r="X306" s="75" t="str">
        <f>IFERROR(X262,"")</f>
        <v>1Q24</v>
      </c>
      <c r="Y306" s="75" t="str">
        <f>IFERROR(Y262,"")</f>
        <v>2Q24</v>
      </c>
      <c r="Z306" s="75" t="str">
        <f>IFERROR(Z262,"")</f>
        <v>3Q24</v>
      </c>
      <c r="AA306" s="75" t="str">
        <f>IFERROR(AA262,"")</f>
        <v>4Q24</v>
      </c>
      <c r="AB306" s="75">
        <f>IFERROR(AB262,"")</f>
        <v>2024</v>
      </c>
      <c r="AC306" s="75" t="str">
        <f>IFERROR(AC262,"")</f>
        <v>1Q25</v>
      </c>
      <c r="AD306" s="75" t="str">
        <f>IFERROR(AD262,"")</f>
        <v>2Q25</v>
      </c>
      <c r="AE306" s="75" t="str">
        <f>IFERROR(AE262,"")</f>
        <v>3Q25</v>
      </c>
      <c r="AF306" s="75" t="str">
        <f>IFERROR(AF262,"")</f>
        <v>4Q25</v>
      </c>
      <c r="AG306" s="75">
        <f>IFERROR(AG262,"")</f>
        <v>2025</v>
      </c>
      <c r="AH306" s="75" t="str">
        <f>IFERROR(AH262,"")</f>
        <v>1Q26</v>
      </c>
      <c r="AI306" s="75" t="str">
        <f>IFERROR(AI262,"")</f>
        <v>2Q26</v>
      </c>
      <c r="AJ306" s="75" t="str">
        <f>IFERROR(AJ262,"")</f>
        <v>3Q26</v>
      </c>
      <c r="AK306" s="75" t="str">
        <f>IFERROR(AK262,"")</f>
        <v>4Q26</v>
      </c>
      <c r="AL306" s="75">
        <f>IFERROR(AL262,"")</f>
        <v>2026</v>
      </c>
      <c r="AM306" s="75" t="str">
        <f>IFERROR(AM262,"")</f>
        <v>1Q27</v>
      </c>
      <c r="AN306" s="75" t="str">
        <f>IFERROR(AN262,"")</f>
        <v>2Q27</v>
      </c>
      <c r="AO306" s="75" t="str">
        <f>IFERROR(AO262,"")</f>
        <v>3Q27</v>
      </c>
      <c r="AP306" s="75" t="str">
        <f>IFERROR(AP262,"")</f>
        <v>4Q27</v>
      </c>
      <c r="AQ306" s="75">
        <f>IFERROR(AQ262,"")</f>
        <v>2027</v>
      </c>
      <c r="AR306" s="75" t="str">
        <f>IFERROR(AR262,"")</f>
        <v>1Q28</v>
      </c>
      <c r="AS306" s="75" t="str">
        <f>IFERROR(AS262,"")</f>
        <v>2Q28</v>
      </c>
      <c r="AT306" s="75" t="str">
        <f>IFERROR(AT262,"")</f>
        <v>3Q28</v>
      </c>
      <c r="AU306" s="75" t="str">
        <f>IFERROR(AU262,"")</f>
        <v>4Q28</v>
      </c>
      <c r="AV306" s="75">
        <f>IFERROR(AV262,"")</f>
        <v>2028</v>
      </c>
      <c r="AW306" s="75" t="str">
        <f>IFERROR(AW262,"")</f>
        <v>1Q29</v>
      </c>
      <c r="AX306" s="75" t="str">
        <f>IFERROR(AX262,"")</f>
        <v>2Q29</v>
      </c>
      <c r="AY306" s="75" t="str">
        <f>IFERROR(AY262,"")</f>
        <v>3Q29</v>
      </c>
      <c r="AZ306" s="75" t="str">
        <f>IFERROR(AZ262,"")</f>
        <v>4Q29</v>
      </c>
      <c r="BA306" s="75">
        <f>IFERROR(BA262,"")</f>
        <v>2029</v>
      </c>
      <c r="BB306" s="75" t="str">
        <f>IFERROR(BB262,"")</f>
        <v>1Q30</v>
      </c>
      <c r="BC306" s="75" t="str">
        <f>IFERROR(BC262,"")</f>
        <v>2Q30</v>
      </c>
      <c r="BD306" s="75" t="str">
        <f>IFERROR(BD262,"")</f>
        <v>3Q30</v>
      </c>
      <c r="BE306" s="75" t="str">
        <f>IFERROR(BE262,"")</f>
        <v>4Q30</v>
      </c>
      <c r="BF306" s="75">
        <f>IFERROR(BF262,"")</f>
        <v>2030</v>
      </c>
      <c r="BG306" s="75" t="n"/>
      <c r="BH306" s="75" t="n"/>
      <c r="BI306" s="75" t="n"/>
      <c r="BJ306" s="75" t="n"/>
      <c r="BK306" s="75" t="n"/>
      <c r="BL306" s="75" t="n"/>
      <c r="BM306" s="75" t="n"/>
      <c r="BN306" s="75" t="n"/>
      <c r="BO306" s="75" t="n"/>
      <c r="BP306" s="75" t="n"/>
      <c r="BQ306" s="75" t="n"/>
      <c r="BR306" s="75" t="n"/>
      <c r="BS306" s="75" t="n"/>
      <c r="BT306" s="75" t="n"/>
      <c r="BU306" s="75" t="n"/>
      <c r="BV306" s="75" t="n"/>
      <c r="BW306" s="75" t="n"/>
      <c r="BX306" s="75" t="n"/>
      <c r="BY306" s="75" t="n"/>
      <c r="BZ306" s="75" t="n"/>
      <c r="CA306" s="75" t="n"/>
      <c r="CB306" s="75" t="n"/>
      <c r="CC306" s="75" t="n"/>
      <c r="CD306" s="75" t="n"/>
      <c r="CE306" s="75" t="n"/>
      <c r="CF306" s="75" t="n"/>
      <c r="CG306" s="75" t="n"/>
      <c r="CH306" s="75" t="n"/>
      <c r="CI306" s="75" t="n"/>
      <c r="CJ306" s="75" t="n"/>
      <c r="CK306" s="75" t="n"/>
      <c r="CL306" s="75" t="n"/>
      <c r="CM306" s="75" t="n"/>
      <c r="CN306" s="75" t="n"/>
      <c r="CO306" s="75" t="n"/>
      <c r="CP306" s="75" t="n"/>
      <c r="CQ306" s="75" t="n"/>
      <c r="CR306" s="75" t="n"/>
      <c r="CS306" s="75" t="n"/>
      <c r="CT306" s="75" t="n"/>
      <c r="CU306" s="75" t="n"/>
      <c r="CV306" s="75" t="n"/>
      <c r="CW306" s="75" t="n"/>
      <c r="CX306" s="75" t="n"/>
      <c r="CY306" s="75" t="n"/>
    </row>
    <row r="307" customFormat="1" s="77">
      <c r="A307" s="76" t="n"/>
      <c r="B307" s="76" t="n"/>
      <c r="C307" s="74" t="inlineStr">
        <is>
          <t>GROWTH &amp; MARGINS</t>
        </is>
      </c>
    </row>
    <row r="308" customFormat="1" s="77">
      <c r="A308" s="76" t="n"/>
      <c r="B308" s="76" t="n"/>
      <c r="C308" s="77" t="inlineStr">
        <is>
          <t>NET REVENUE GROWTH (YoY)</t>
        </is>
      </c>
      <c r="E308" s="78" t="str">
        <f>IFERROR(E15/D15-1,"")</f>
        <v/>
      </c>
      <c r="F308" s="78" t="str">
        <f>IFERROR(F15/E15-1,"")</f>
        <v/>
      </c>
      <c r="G308" s="78" t="str">
        <f>IFERROR(G15/F15-1,"")</f>
        <v/>
      </c>
      <c r="H308" s="257" t="str">
        <f>""</f>
        <v/>
      </c>
      <c r="I308" s="257" t="str">
        <f>""</f>
        <v/>
      </c>
      <c r="J308" s="257" t="str">
        <f>""</f>
        <v/>
      </c>
      <c r="K308" s="257" t="str">
        <f>""</f>
        <v/>
      </c>
      <c r="L308" s="257" t="str">
        <f>""</f>
        <v/>
      </c>
      <c r="M308" s="257" t="str">
        <f>IFERROR(IF(AND(ISNUMBER(M15),ISNUMBER(H15),H15&lt;&gt;0),M15/H15-1,""),"")</f>
        <v/>
      </c>
      <c r="N308" s="257">
        <f>IFERROR(IF(AND(ISNUMBER(N15),ISNUMBER(I15),I15&lt;&gt;0),N15/I15-1,""),"")</f>
        <v>0.108807430751368</v>
      </c>
      <c r="O308" s="257">
        <f>IFERROR(IF(AND(ISNUMBER(O15),ISNUMBER(J15),J15&lt;&gt;0),O15/J15-1,""),"")</f>
        <v>0.223388565975536</v>
      </c>
      <c r="P308" s="257">
        <f>IFERROR(IF(AND(ISNUMBER(P15),ISNUMBER(K15),K15&lt;&gt;0),P15/K15-1,""),"")</f>
        <v>0.371590006179924</v>
      </c>
      <c r="Q308" s="257">
        <f>IFERROR(IF(AND(ISNUMBER(Q15),ISNUMBER(L15),L15&lt;&gt;0),Q15/L15-1,""),"")</f>
        <v>0.322186226355941</v>
      </c>
      <c r="R308" s="257">
        <f>IFERROR(IF(AND(ISNUMBER(R15),ISNUMBER(M15),M15&lt;&gt;0),R15/M15-1,""),"")</f>
        <v>0.251320788651334</v>
      </c>
      <c r="S308" s="257">
        <f>IFERROR(IF(AND(ISNUMBER(S15),ISNUMBER(N15),N15&lt;&gt;0),S15/N15-1,""),"")</f>
        <v>0.300448765893792</v>
      </c>
      <c r="T308" s="257">
        <f>IFERROR(IF(AND(ISNUMBER(T15),ISNUMBER(O15),O15&lt;&gt;0),T15/O15-1,""),"")</f>
        <v>0.120479364629131</v>
      </c>
      <c r="U308" s="257">
        <f>IFERROR(IF(AND(ISNUMBER(U15),ISNUMBER(P15),P15&lt;&gt;0),U15/P15-1,""),"")</f>
        <v>-0.00798146240988673</v>
      </c>
      <c r="V308" s="257">
        <f>IFERROR(IF(AND(ISNUMBER(V15),ISNUMBER(Q15),Q15&lt;&gt;0),V15/Q15-1,""),"")</f>
        <v>-0.0369111602908631</v>
      </c>
      <c r="W308" s="257">
        <f>IFERROR(IF(AND(ISNUMBER(W15),ISNUMBER(R15),R15&lt;&gt;0),W15/R15-1,""),"")</f>
        <v>0.0920768954365792</v>
      </c>
      <c r="X308" s="257">
        <f>IFERROR(IF(AND(ISNUMBER(X15),ISNUMBER(S15),S15&lt;&gt;0),X15/S15-1,""),"")</f>
        <v>-0.123770633231725</v>
      </c>
      <c r="Y308" s="257">
        <f>IFERROR(IF(AND(ISNUMBER(Y15),ISNUMBER(T15),T15&lt;&gt;0),Y15/T15-1,""),"")</f>
        <v>-0.167647617239415</v>
      </c>
      <c r="Z308" s="257">
        <f>IFERROR(IF(AND(ISNUMBER(Z15),ISNUMBER(U15),U15&lt;&gt;0),Z15/U15-1,""),"")</f>
        <v>-0.276927069815728</v>
      </c>
      <c r="AA308" s="257">
        <f>IFERROR(IF(AND(ISNUMBER(AA15),ISNUMBER(V15),V15&lt;&gt;0),AA15/V15-1,""),"")</f>
        <v>-0.30176446450554</v>
      </c>
      <c r="AB308" s="257">
        <f>IFERROR(IF(AND(ISNUMBER(AB15),ISNUMBER(W15),W15&lt;&gt;0),AB15/W15-1,""),"")</f>
        <v>-0.209689890598009</v>
      </c>
      <c r="AC308" s="257">
        <f>IFERROR(IF(AND(ISNUMBER(AC15),ISNUMBER(X15),X15&lt;&gt;0),AC15/X15-1,""),"")</f>
        <v>-0.16225795864785</v>
      </c>
      <c r="AD308" s="257">
        <f>IFERROR(IF(AND(ISNUMBER(AD15),ISNUMBER(Y15),Y15&lt;&gt;0),AD15/Y15-1,""),"")</f>
        <v>-0.0862226277372263</v>
      </c>
      <c r="AE308" s="257">
        <f>IFERROR(IF(AND(ISNUMBER(AE15),ISNUMBER(Z15),Z15&lt;&gt;0),AE15/Z15-1,""),"")</f>
        <v>0.112167982770998</v>
      </c>
      <c r="AF308" s="257">
        <f>IFERROR(IF(AND(ISNUMBER(AF15),ISNUMBER(AA15),AA15&lt;&gt;0),AF15/AA15-1,""),"")</f>
        <v>0.129642689233662</v>
      </c>
      <c r="AG308" s="257">
        <f>IFERROR(IF(AND(ISNUMBER(AG15),ISNUMBER(AB15),AB15&lt;&gt;0),AG15/AB15-1,""),"")</f>
        <v>-0.0260829742500884</v>
      </c>
      <c r="AH308" s="257">
        <f>IFERROR(IF(AND(ISNUMBER(AH15),ISNUMBER(AC15),AC15&lt;&gt;0),AH15/AC15-1,""),"")</f>
        <v>0.0474809997649455</v>
      </c>
      <c r="AI308" s="257">
        <f>IFERROR(IF(AND(ISNUMBER(AI15),ISNUMBER(AD15),AD15&lt;&gt;0),AI15/AD15-1,""),"")</f>
        <v>0.0490930271259777</v>
      </c>
      <c r="AJ308" s="257">
        <f>IFERROR(IF(AND(ISNUMBER(AJ15),ISNUMBER(AE15),AE15&lt;&gt;0),AJ15/AE15-1,""),"")</f>
        <v>0.0149840187517512</v>
      </c>
      <c r="AK308" s="257">
        <f>IFERROR(IF(AND(ISNUMBER(AK15),ISNUMBER(AF15),AF15&lt;&gt;0),AK15/AF15-1,""),"")</f>
        <v>0.0149840187517512</v>
      </c>
      <c r="AL308" s="257">
        <f>IFERROR(IF(AND(ISNUMBER(AL15),ISNUMBER(AG15),AG15&lt;&gt;0),AL15/AG15-1,""),"")</f>
        <v>0.0326106812429419</v>
      </c>
      <c r="AM308" s="257">
        <f>IFERROR(IF(AND(ISNUMBER(AM15),ISNUMBER(AH15),AH15&lt;&gt;0),AM15/AH15-1,""),"")</f>
        <v>0.0149840187517512</v>
      </c>
      <c r="AN308" s="257">
        <f>IFERROR(IF(AND(ISNUMBER(AN15),ISNUMBER(AI15),AI15&lt;&gt;0),AN15/AI15-1,""),"")</f>
        <v>0.0149840187517512</v>
      </c>
      <c r="AO308" s="257">
        <f>IFERROR(IF(AND(ISNUMBER(AO15),ISNUMBER(AJ15),AJ15&lt;&gt;0),AO15/AJ15-1,""),"")</f>
        <v>0.0149840187517512</v>
      </c>
      <c r="AP308" s="257">
        <f>IFERROR(IF(AND(ISNUMBER(AP15),ISNUMBER(AK15),AK15&lt;&gt;0),AP15/AK15-1,""),"")</f>
        <v>0.0149840187517512</v>
      </c>
      <c r="AQ308" s="257">
        <f>IFERROR(IF(AND(ISNUMBER(AQ15),ISNUMBER(AL15),AL15&lt;&gt;0),AQ15/AL15-1,""),"")</f>
        <v>0.0149840187517514</v>
      </c>
      <c r="AR308" s="257">
        <f>IFERROR(IF(AND(ISNUMBER(AR15),ISNUMBER(AM15),AM15&lt;&gt;0),AR15/AM15-1,""),"")</f>
        <v>0.00998401875175103</v>
      </c>
      <c r="AS308" s="257">
        <f>IFERROR(IF(AND(ISNUMBER(AS15),ISNUMBER(AN15),AN15&lt;&gt;0),AS15/AN15-1,""),"")</f>
        <v>0.00998401875175103</v>
      </c>
      <c r="AT308" s="257">
        <f>IFERROR(IF(AND(ISNUMBER(AT15),ISNUMBER(AO15),AO15&lt;&gt;0),AT15/AO15-1,""),"")</f>
        <v>0.00998401875175103</v>
      </c>
      <c r="AU308" s="257">
        <f>IFERROR(IF(AND(ISNUMBER(AU15),ISNUMBER(AP15),AP15&lt;&gt;0),AU15/AP15-1,""),"")</f>
        <v>0.00998401875175103</v>
      </c>
      <c r="AV308" s="257">
        <f>IFERROR(IF(AND(ISNUMBER(AV15),ISNUMBER(AQ15),AQ15&lt;&gt;0),AV15/AQ15-1,""),"")</f>
        <v>0.00998401875175103</v>
      </c>
      <c r="AW308" s="257">
        <f>IFERROR(IF(AND(ISNUMBER(AW15),ISNUMBER(AR15),AR15&lt;&gt;0),AW15/AR15-1,""),"")</f>
        <v>0.00498401875175114</v>
      </c>
      <c r="AX308" s="257">
        <f>IFERROR(IF(AND(ISNUMBER(AX15),ISNUMBER(AS15),AS15&lt;&gt;0),AX15/AS15-1,""),"")</f>
        <v>0.00498401875175114</v>
      </c>
      <c r="AY308" s="257">
        <f>IFERROR(IF(AND(ISNUMBER(AY15),ISNUMBER(AT15),AT15&lt;&gt;0),AY15/AT15-1,""),"")</f>
        <v>0.00498401875175114</v>
      </c>
      <c r="AZ308" s="257">
        <f>IFERROR(IF(AND(ISNUMBER(AZ15),ISNUMBER(AU15),AU15&lt;&gt;0),AZ15/AU15-1,""),"")</f>
        <v>0.00498401875175114</v>
      </c>
      <c r="BA308" s="257">
        <f>IFERROR(IF(AND(ISNUMBER(BA15),ISNUMBER(AV15),AV15&lt;&gt;0),BA15/AV15-1,""),"")</f>
        <v>0.00498401875175114</v>
      </c>
      <c r="BB308" s="257">
        <f>IFERROR(IF(AND(ISNUMBER(BB15),ISNUMBER(AW15),AW15&lt;&gt;0),BB15/AW15-1,""),"")</f>
        <v>0</v>
      </c>
      <c r="BC308" s="257">
        <f>IFERROR(IF(AND(ISNUMBER(BC15),ISNUMBER(AX15),AX15&lt;&gt;0),BC15/AX15-1,""),"")</f>
        <v>0</v>
      </c>
      <c r="BD308" s="257">
        <f>IFERROR(IF(AND(ISNUMBER(BD15),ISNUMBER(AY15),AY15&lt;&gt;0),BD15/AY15-1,""),"")</f>
        <v>0</v>
      </c>
      <c r="BE308" s="257">
        <f>IFERROR(IF(AND(ISNUMBER(BE15),ISNUMBER(AZ15),AZ15&lt;&gt;0),BE15/AZ15-1,""),"")</f>
        <v>0</v>
      </c>
      <c r="BF308" s="257">
        <f>IFERROR(IF(AND(ISNUMBER(BF15),ISNUMBER(BA15),BA15&lt;&gt;0),BF15/BA15-1,""),"")</f>
        <v>0</v>
      </c>
      <c r="BG308" s="79" t="n"/>
      <c r="BH308" s="79" t="n"/>
      <c r="BI308" s="79" t="n"/>
      <c r="BJ308" s="79" t="n"/>
      <c r="BK308" s="78" t="n"/>
      <c r="BL308" s="79" t="n"/>
      <c r="BM308" s="79" t="n"/>
      <c r="BN308" s="79" t="n"/>
      <c r="BO308" s="79" t="n"/>
      <c r="BP308" s="78" t="n"/>
      <c r="BQ308" s="79" t="n"/>
      <c r="BR308" s="79" t="n"/>
      <c r="BS308" s="79" t="n"/>
      <c r="BT308" s="79" t="n"/>
      <c r="BU308" s="78" t="n"/>
      <c r="BV308" s="79" t="n"/>
      <c r="BW308" s="79" t="n"/>
      <c r="BX308" s="79" t="n"/>
      <c r="BY308" s="79" t="n"/>
      <c r="BZ308" s="78" t="n"/>
      <c r="CA308" s="79" t="n"/>
      <c r="CB308" s="79" t="n"/>
      <c r="CC308" s="79" t="n"/>
      <c r="CD308" s="79" t="n"/>
      <c r="CE308" s="78" t="n"/>
      <c r="CF308" s="79" t="n"/>
      <c r="CG308" s="79" t="n"/>
      <c r="CH308" s="79" t="n"/>
      <c r="CI308" s="79" t="n"/>
      <c r="CJ308" s="78" t="n"/>
      <c r="CK308" s="79" t="n"/>
      <c r="CL308" s="79" t="n"/>
      <c r="CM308" s="79" t="n"/>
      <c r="CN308" s="79" t="n"/>
      <c r="CO308" s="78" t="n"/>
      <c r="CP308" s="79" t="n"/>
      <c r="CQ308" s="79" t="n"/>
      <c r="CR308" s="79" t="n"/>
      <c r="CS308" s="79" t="n"/>
      <c r="CT308" s="78" t="n"/>
      <c r="CU308" s="79" t="n"/>
      <c r="CV308" s="79" t="n"/>
      <c r="CW308" s="79" t="n"/>
      <c r="CX308" s="79" t="n"/>
      <c r="CY308" s="78" t="n"/>
    </row>
    <row r="309" customFormat="1" s="77">
      <c r="A309" s="76" t="n"/>
      <c r="B309" s="76" t="n"/>
      <c r="C309" s="77" t="inlineStr">
        <is>
          <t>GROSS MARGIN</t>
        </is>
      </c>
      <c r="D309" s="79" t="str">
        <f>IFERROR(SUM(D15,D41)/D15,"")</f>
        <v/>
      </c>
      <c r="E309" s="79" t="str">
        <f>IFERROR(SUM(E15,E41)/E15,"")</f>
        <v/>
      </c>
      <c r="F309" s="79" t="str">
        <f>IFERROR(SUM(F15,F41)/F15,"")</f>
        <v/>
      </c>
      <c r="G309" s="79" t="str">
        <f>IFERROR(SUM(G15,G41)/G15,"")</f>
        <v/>
      </c>
      <c r="H309" s="258" t="str">
        <f>IFERROR(IF(N(H15)&lt;&gt;0,(H15+H41)/H15,""),"")</f>
        <v/>
      </c>
      <c r="I309" s="258">
        <f>IFERROR(IF(N(I15)&lt;&gt;0,(I15+I41)/I15,""),"")</f>
        <v>1</v>
      </c>
      <c r="J309" s="258">
        <f>IFERROR(IF(N(J15)&lt;&gt;0,(J15+J41)/J15,""),"")</f>
        <v>1</v>
      </c>
      <c r="K309" s="258">
        <f>IFERROR(IF(N(K15)&lt;&gt;0,(K15+K41)/K15,""),"")</f>
        <v>1</v>
      </c>
      <c r="L309" s="258">
        <f>IFERROR(IF(N(L15)&lt;&gt;0,(L15+L41)/L15,""),"")</f>
        <v>1</v>
      </c>
      <c r="M309" s="258">
        <f>IFERROR(IF(N(M15)&lt;&gt;0,(M15+M41)/M15,""),"")</f>
        <v>1</v>
      </c>
      <c r="N309" s="258">
        <f>IFERROR(IF(N(N15)&lt;&gt;0,(N15+N41)/N15,""),"")</f>
        <v>1</v>
      </c>
      <c r="O309" s="258">
        <f>IFERROR(IF(N(O15)&lt;&gt;0,(O15+O41)/O15,""),"")</f>
        <v>1</v>
      </c>
      <c r="P309" s="258">
        <f>IFERROR(IF(N(P15)&lt;&gt;0,(P15+P41)/P15,""),"")</f>
        <v>1</v>
      </c>
      <c r="Q309" s="258">
        <f>IFERROR(IF(N(Q15)&lt;&gt;0,(Q15+Q41)/Q15,""),"")</f>
        <v>1</v>
      </c>
      <c r="R309" s="258">
        <f>IFERROR(IF(N(R15)&lt;&gt;0,(R15+R41)/R15,""),"")</f>
        <v>1</v>
      </c>
      <c r="S309" s="258">
        <f>IFERROR(IF(N(S15)&lt;&gt;0,(S15+S41)/S15,""),"")</f>
        <v>1</v>
      </c>
      <c r="T309" s="258">
        <f>IFERROR(IF(N(T15)&lt;&gt;0,(T15+T41)/T15,""),"")</f>
        <v>1</v>
      </c>
      <c r="U309" s="258">
        <f>IFERROR(IF(N(U15)&lt;&gt;0,(U15+U41)/U15,""),"")</f>
        <v>1</v>
      </c>
      <c r="V309" s="258">
        <f>IFERROR(IF(N(V15)&lt;&gt;0,(V15+V41)/V15,""),"")</f>
        <v>1</v>
      </c>
      <c r="W309" s="258">
        <f>IFERROR(IF(N(W15)&lt;&gt;0,(W15+W41)/W15,""),"")</f>
        <v>1</v>
      </c>
      <c r="X309" s="258">
        <f>IFERROR(IF(N(X15)&lt;&gt;0,(X15+X41)/X15,""),"")</f>
        <v>1</v>
      </c>
      <c r="Y309" s="258">
        <f>IFERROR(IF(N(Y15)&lt;&gt;0,(Y15+Y41)/Y15,""),"")</f>
        <v>1</v>
      </c>
      <c r="Z309" s="258">
        <f>IFERROR(IF(N(Z15)&lt;&gt;0,(Z15+Z41)/Z15,""),"")</f>
        <v>1</v>
      </c>
      <c r="AA309" s="258">
        <f>IFERROR(IF(N(AA15)&lt;&gt;0,(AA15+AA41)/AA15,""),"")</f>
        <v>1</v>
      </c>
      <c r="AB309" s="258">
        <f>IFERROR(IF(N(AB15)&lt;&gt;0,(AB15+AB41)/AB15,""),"")</f>
        <v>1</v>
      </c>
      <c r="AC309" s="258">
        <f>IFERROR(IF(N(AC15)&lt;&gt;0,(AC15+AC41)/AC15,""),"")</f>
        <v>1</v>
      </c>
      <c r="AD309" s="258">
        <f>IFERROR(IF(N(AD15)&lt;&gt;0,(AD15+AD41)/AD15,""),"")</f>
        <v>1</v>
      </c>
      <c r="AE309" s="258">
        <f>IFERROR(IF(N(AE15)&lt;&gt;0,(AE15+AE41)/AE15,""),"")</f>
        <v>1</v>
      </c>
      <c r="AF309" s="258">
        <f>IFERROR(IF(N(AF15)&lt;&gt;0,(AF15+AF41)/AF15,""),"")</f>
        <v>1</v>
      </c>
      <c r="AG309" s="258">
        <f>IFERROR(IF(N(AG15)&lt;&gt;0,(AG15+AG41)/AG15,""),"")</f>
        <v>1</v>
      </c>
      <c r="AH309" s="258">
        <f>IFERROR(IF(N(AH15)&lt;&gt;0,(AH15+AH41)/AH15,""),"")</f>
        <v>1</v>
      </c>
      <c r="AI309" s="258">
        <f>IFERROR(IF(N(AI15)&lt;&gt;0,(AI15+AI41)/AI15,""),"")</f>
        <v>1</v>
      </c>
      <c r="AJ309" s="258">
        <f>IFERROR(IF(N(AJ15)&lt;&gt;0,(AJ15+AJ41)/AJ15,""),"")</f>
        <v>1</v>
      </c>
      <c r="AK309" s="258">
        <f>IFERROR(IF(N(AK15)&lt;&gt;0,(AK15+AK41)/AK15,""),"")</f>
        <v>1</v>
      </c>
      <c r="AL309" s="258">
        <f>IFERROR(IF(N(AL15)&lt;&gt;0,(AL15+AL41)/AL15,""),"")</f>
        <v>1</v>
      </c>
      <c r="AM309" s="258">
        <f>IFERROR(IF(N(AM15)&lt;&gt;0,(AM15+AM41)/AM15,""),"")</f>
        <v>1</v>
      </c>
      <c r="AN309" s="258">
        <f>IFERROR(IF(N(AN15)&lt;&gt;0,(AN15+AN41)/AN15,""),"")</f>
        <v>1</v>
      </c>
      <c r="AO309" s="258">
        <f>IFERROR(IF(N(AO15)&lt;&gt;0,(AO15+AO41)/AO15,""),"")</f>
        <v>1</v>
      </c>
      <c r="AP309" s="258">
        <f>IFERROR(IF(N(AP15)&lt;&gt;0,(AP15+AP41)/AP15,""),"")</f>
        <v>1</v>
      </c>
      <c r="AQ309" s="258">
        <f>IFERROR(IF(N(AQ15)&lt;&gt;0,(AQ15+AQ41)/AQ15,""),"")</f>
        <v>1</v>
      </c>
      <c r="AR309" s="258">
        <f>IFERROR(IF(N(AR15)&lt;&gt;0,(AR15+AR41)/AR15,""),"")</f>
        <v>1</v>
      </c>
      <c r="AS309" s="258">
        <f>IFERROR(IF(N(AS15)&lt;&gt;0,(AS15+AS41)/AS15,""),"")</f>
        <v>1</v>
      </c>
      <c r="AT309" s="258">
        <f>IFERROR(IF(N(AT15)&lt;&gt;0,(AT15+AT41)/AT15,""),"")</f>
        <v>1</v>
      </c>
      <c r="AU309" s="258">
        <f>IFERROR(IF(N(AU15)&lt;&gt;0,(AU15+AU41)/AU15,""),"")</f>
        <v>1</v>
      </c>
      <c r="AV309" s="258">
        <f>IFERROR(IF(N(AV15)&lt;&gt;0,(AV15+AV41)/AV15,""),"")</f>
        <v>1</v>
      </c>
      <c r="AW309" s="258">
        <f>IFERROR(IF(N(AW15)&lt;&gt;0,(AW15+AW41)/AW15,""),"")</f>
        <v>1</v>
      </c>
      <c r="AX309" s="258">
        <f>IFERROR(IF(N(AX15)&lt;&gt;0,(AX15+AX41)/AX15,""),"")</f>
        <v>1</v>
      </c>
      <c r="AY309" s="258">
        <f>IFERROR(IF(N(AY15)&lt;&gt;0,(AY15+AY41)/AY15,""),"")</f>
        <v>1</v>
      </c>
      <c r="AZ309" s="258">
        <f>IFERROR(IF(N(AZ15)&lt;&gt;0,(AZ15+AZ41)/AZ15,""),"")</f>
        <v>1</v>
      </c>
      <c r="BA309" s="258">
        <f>IFERROR(IF(N(BA15)&lt;&gt;0,(BA15+BA41)/BA15,""),"")</f>
        <v>1</v>
      </c>
      <c r="BB309" s="258">
        <f>IFERROR(IF(N(BB15)&lt;&gt;0,(BB15+BB41)/BB15,""),"")</f>
        <v>1</v>
      </c>
      <c r="BC309" s="258">
        <f>IFERROR(IF(N(BC15)&lt;&gt;0,(BC15+BC41)/BC15,""),"")</f>
        <v>1</v>
      </c>
      <c r="BD309" s="258">
        <f>IFERROR(IF(N(BD15)&lt;&gt;0,(BD15+BD41)/BD15,""),"")</f>
        <v>1</v>
      </c>
      <c r="BE309" s="258">
        <f>IFERROR(IF(N(BE15)&lt;&gt;0,(BE15+BE41)/BE15,""),"")</f>
        <v>1</v>
      </c>
      <c r="BF309" s="258">
        <f>IFERROR(IF(N(BF15)&lt;&gt;0,(BF15+BF41)/BF15,""),"")</f>
        <v>1</v>
      </c>
      <c r="BG309" s="80" t="n"/>
      <c r="BH309" s="80" t="n"/>
      <c r="BI309" s="80" t="n"/>
      <c r="BJ309" s="80" t="n"/>
      <c r="BL309" s="80" t="n"/>
      <c r="BM309" s="80" t="n"/>
      <c r="BN309" s="80" t="n"/>
      <c r="BO309" s="80" t="n"/>
      <c r="BQ309" s="80" t="n"/>
      <c r="BR309" s="80" t="n"/>
      <c r="BS309" s="80" t="n"/>
      <c r="BT309" s="80" t="n"/>
      <c r="BV309" s="80" t="n"/>
      <c r="BW309" s="80" t="n"/>
      <c r="BX309" s="80" t="n"/>
      <c r="BY309" s="80" t="n"/>
      <c r="CA309" s="80" t="n"/>
      <c r="CB309" s="80" t="n"/>
      <c r="CC309" s="80" t="n"/>
      <c r="CD309" s="80" t="n"/>
      <c r="CF309" s="80" t="n"/>
      <c r="CG309" s="80" t="n"/>
      <c r="CH309" s="80" t="n"/>
      <c r="CI309" s="80" t="n"/>
      <c r="CK309" s="80" t="n"/>
      <c r="CL309" s="80" t="n"/>
      <c r="CM309" s="80" t="n"/>
      <c r="CN309" s="80" t="n"/>
      <c r="CP309" s="80" t="n"/>
      <c r="CQ309" s="80" t="n"/>
      <c r="CR309" s="80" t="n"/>
      <c r="CS309" s="80" t="n"/>
      <c r="CU309" s="80" t="n"/>
      <c r="CV309" s="80" t="n"/>
      <c r="CW309" s="80" t="n"/>
      <c r="CX309" s="80" t="n"/>
    </row>
    <row r="310" customFormat="1" s="77">
      <c r="A310" s="76" t="n"/>
      <c r="B310" s="76" t="n"/>
      <c r="C310" s="77" t="inlineStr">
        <is>
          <t>EBIT MARGIN</t>
        </is>
      </c>
      <c r="D310" s="78" t="str">
        <f>IFERROR((D60/D15),"")</f>
        <v/>
      </c>
      <c r="E310" s="78" t="str">
        <f>IFERROR((E60/E15),"")</f>
        <v/>
      </c>
      <c r="F310" s="78" t="str">
        <f>IFERROR((F60/F15),"")</f>
        <v/>
      </c>
      <c r="G310" s="78" t="str">
        <f>IFERROR((G60/G15),"")</f>
        <v/>
      </c>
      <c r="H310" s="258" t="str">
        <f>IFERROR(IF(N(H15)&lt;&gt;0,H60/H15,""),"")</f>
        <v/>
      </c>
      <c r="I310" s="257">
        <f>IFERROR(IF(N(I15)&lt;&gt;0,I60/I15,""),"")</f>
        <v>0.20227235030685</v>
      </c>
      <c r="J310" s="257">
        <f>IFERROR(IF(N(J15)&lt;&gt;0,J60/J15,""),"")</f>
        <v>0.194586622711894</v>
      </c>
      <c r="K310" s="257">
        <f>IFERROR(IF(N(K15)&lt;&gt;0,K60/K15,""),"")</f>
        <v>0.149377593360996</v>
      </c>
      <c r="L310" s="257">
        <f>IFERROR(IF(N(L15)&lt;&gt;0,L60/L15,""),"")</f>
        <v>0.12906259797262</v>
      </c>
      <c r="M310" s="258">
        <f>IFERROR(IF(N(M15)&lt;&gt;0,M60/M15,""),"")</f>
        <v>0.171061801668128</v>
      </c>
      <c r="N310" s="257">
        <f>IFERROR(IF(N(N15)&lt;&gt;0,N60/N15,""),"")</f>
        <v>0.199700822737472</v>
      </c>
      <c r="O310" s="257">
        <f>IFERROR(IF(N(O15)&lt;&gt;0,O60/O15,""),"")</f>
        <v>0.187632959863849</v>
      </c>
      <c r="P310" s="257">
        <f>IFERROR(IF(N(P15)&lt;&gt;0,P60/P15,""),"")</f>
        <v>0.190267765190525</v>
      </c>
      <c r="Q310" s="257">
        <f>IFERROR(IF(N(Q15)&lt;&gt;0,Q60/Q15,""),"")</f>
        <v>0.199019917799557</v>
      </c>
      <c r="R310" s="258">
        <f>IFERROR(IF(N(R15)&lt;&gt;0,R60/R15,""),"")</f>
        <v>0.193855551563061</v>
      </c>
      <c r="S310" s="257">
        <f>IFERROR(IF(N(S15)&lt;&gt;0,S60/S15,""),"")</f>
        <v>0.224190487145569</v>
      </c>
      <c r="T310" s="257">
        <f>IFERROR(IF(N(T15)&lt;&gt;0,T60/T15,""),"")</f>
        <v>0.222517562179609</v>
      </c>
      <c r="U310" s="257">
        <f>IFERROR(IF(N(U15)&lt;&gt;0,U60/U15,""),"")</f>
        <v>0.196340513885284</v>
      </c>
      <c r="V310" s="257">
        <f>IFERROR(IF(N(V15)&lt;&gt;0,V60/V15,""),"")</f>
        <v>0</v>
      </c>
      <c r="W310" s="258">
        <f>IFERROR(IF(N(W15)&lt;&gt;0,W60/W15,""),"")</f>
        <v>0.171752899564037</v>
      </c>
      <c r="X310" s="257">
        <f>IFERROR(IF(N(X15)&lt;&gt;0,X60/X15,""),"")</f>
        <v>0</v>
      </c>
      <c r="Y310" s="257">
        <f>IFERROR(IF(N(Y15)&lt;&gt;0,Y60/Y15,""),"")</f>
        <v>0</v>
      </c>
      <c r="Z310" s="257">
        <f>IFERROR(IF(N(Z15)&lt;&gt;0,Z60/Z15,""),"")</f>
        <v>0</v>
      </c>
      <c r="AA310" s="257">
        <f>IFERROR(IF(N(AA15)&lt;&gt;0,AA60/AA15,""),"")</f>
        <v>0</v>
      </c>
      <c r="AB310" s="258">
        <f>IFERROR(IF(N(AB15)&lt;&gt;0,AB60/AB15,""),"")</f>
        <v>0</v>
      </c>
      <c r="AC310" s="257">
        <f>IFERROR(IF(N(AC15)&lt;&gt;0,AC60/AC15,""),"")</f>
        <v>0</v>
      </c>
      <c r="AD310" s="257">
        <f>IFERROR(IF(N(AD15)&lt;&gt;0,AD60/AD15,""),"")</f>
        <v>0</v>
      </c>
      <c r="AE310" s="257">
        <f>IFERROR(IF(N(AE15)&lt;&gt;0,AE60/AE15,""),"")</f>
        <v>0</v>
      </c>
      <c r="AF310" s="257">
        <f>IFERROR(IF(N(AF15)&lt;&gt;0,AF60/AF15,""),"")</f>
        <v>0</v>
      </c>
      <c r="AG310" s="258">
        <f>IFERROR(IF(N(AG15)&lt;&gt;0,AG60/AG15,""),"")</f>
        <v>0</v>
      </c>
      <c r="AH310" s="257">
        <f>IFERROR(IF(N(AH15)&lt;&gt;0,AH60/AH15,""),"")</f>
        <v>0</v>
      </c>
      <c r="AI310" s="257">
        <f>IFERROR(IF(N(AI15)&lt;&gt;0,AI60/AI15,""),"")</f>
        <v>0</v>
      </c>
      <c r="AJ310" s="257">
        <f>IFERROR(IF(N(AJ15)&lt;&gt;0,AJ60/AJ15,""),"")</f>
        <v>0</v>
      </c>
      <c r="AK310" s="257">
        <f>IFERROR(IF(N(AK15)&lt;&gt;0,AK60/AK15,""),"")</f>
        <v>0</v>
      </c>
      <c r="AL310" s="258">
        <f>IFERROR(IF(N(AL15)&lt;&gt;0,AL60/AL15,""),"")</f>
        <v>0</v>
      </c>
      <c r="AM310" s="257">
        <f>IFERROR(IF(N(AM15)&lt;&gt;0,AM60/AM15,""),"")</f>
        <v>0</v>
      </c>
      <c r="AN310" s="257">
        <f>IFERROR(IF(N(AN15)&lt;&gt;0,AN60/AN15,""),"")</f>
        <v>0</v>
      </c>
      <c r="AO310" s="257">
        <f>IFERROR(IF(N(AO15)&lt;&gt;0,AO60/AO15,""),"")</f>
        <v>0</v>
      </c>
      <c r="AP310" s="257">
        <f>IFERROR(IF(N(AP15)&lt;&gt;0,AP60/AP15,""),"")</f>
        <v>0</v>
      </c>
      <c r="AQ310" s="258">
        <f>IFERROR(IF(N(AQ15)&lt;&gt;0,AQ60/AQ15,""),"")</f>
        <v>0</v>
      </c>
      <c r="AR310" s="257">
        <f>IFERROR(IF(N(AR15)&lt;&gt;0,AR60/AR15,""),"")</f>
        <v>0</v>
      </c>
      <c r="AS310" s="257">
        <f>IFERROR(IF(N(AS15)&lt;&gt;0,AS60/AS15,""),"")</f>
        <v>0</v>
      </c>
      <c r="AT310" s="257">
        <f>IFERROR(IF(N(AT15)&lt;&gt;0,AT60/AT15,""),"")</f>
        <v>0</v>
      </c>
      <c r="AU310" s="257">
        <f>IFERROR(IF(N(AU15)&lt;&gt;0,AU60/AU15,""),"")</f>
        <v>0</v>
      </c>
      <c r="AV310" s="258">
        <f>IFERROR(IF(N(AV15)&lt;&gt;0,AV60/AV15,""),"")</f>
        <v>0</v>
      </c>
      <c r="AW310" s="257">
        <f>IFERROR(IF(N(AW15)&lt;&gt;0,AW60/AW15,""),"")</f>
        <v>0</v>
      </c>
      <c r="AX310" s="257">
        <f>IFERROR(IF(N(AX15)&lt;&gt;0,AX60/AX15,""),"")</f>
        <v>0</v>
      </c>
      <c r="AY310" s="257">
        <f>IFERROR(IF(N(AY15)&lt;&gt;0,AY60/AY15,""),"")</f>
        <v>0</v>
      </c>
      <c r="AZ310" s="257">
        <f>IFERROR(IF(N(AZ15)&lt;&gt;0,AZ60/AZ15,""),"")</f>
        <v>0</v>
      </c>
      <c r="BA310" s="258">
        <f>IFERROR(IF(N(BA15)&lt;&gt;0,BA60/BA15,""),"")</f>
        <v>0</v>
      </c>
      <c r="BB310" s="257">
        <f>IFERROR(IF(N(BB15)&lt;&gt;0,BB60/BB15,""),"")</f>
        <v>0</v>
      </c>
      <c r="BC310" s="257">
        <f>IFERROR(IF(N(BC15)&lt;&gt;0,BC60/BC15,""),"")</f>
        <v>0</v>
      </c>
      <c r="BD310" s="257">
        <f>IFERROR(IF(N(BD15)&lt;&gt;0,BD60/BD15,""),"")</f>
        <v>0</v>
      </c>
      <c r="BE310" s="257">
        <f>IFERROR(IF(N(BE15)&lt;&gt;0,BE60/BE15,""),"")</f>
        <v>0</v>
      </c>
      <c r="BF310" s="258">
        <f>IFERROR(IF(N(BF15)&lt;&gt;0,BF60/BF15,""),"")</f>
        <v>0</v>
      </c>
      <c r="BG310" s="81" t="n"/>
      <c r="BH310" s="81" t="n"/>
      <c r="BI310" s="81" t="n"/>
      <c r="BJ310" s="81" t="n"/>
      <c r="BL310" s="81" t="n"/>
      <c r="BM310" s="81" t="n"/>
      <c r="BN310" s="81" t="n"/>
      <c r="BO310" s="81" t="n"/>
      <c r="BQ310" s="81" t="n"/>
      <c r="BR310" s="81" t="n"/>
      <c r="BS310" s="81" t="n"/>
      <c r="BT310" s="81" t="n"/>
      <c r="BV310" s="81" t="n"/>
      <c r="BW310" s="81" t="n"/>
      <c r="BX310" s="81" t="n"/>
      <c r="BY310" s="81" t="n"/>
      <c r="CA310" s="81" t="n"/>
      <c r="CB310" s="81" t="n"/>
      <c r="CC310" s="81" t="n"/>
      <c r="CD310" s="81" t="n"/>
      <c r="CF310" s="81" t="n"/>
      <c r="CG310" s="81" t="n"/>
      <c r="CH310" s="81" t="n"/>
      <c r="CI310" s="81" t="n"/>
      <c r="CK310" s="81" t="n"/>
      <c r="CL310" s="81" t="n"/>
      <c r="CM310" s="81" t="n"/>
      <c r="CN310" s="81" t="n"/>
      <c r="CP310" s="81" t="n"/>
      <c r="CQ310" s="81" t="n"/>
      <c r="CR310" s="81" t="n"/>
      <c r="CS310" s="81" t="n"/>
      <c r="CU310" s="81" t="n"/>
      <c r="CV310" s="81" t="n"/>
      <c r="CW310" s="81" t="n"/>
      <c r="CX310" s="81" t="n"/>
    </row>
    <row r="311" customFormat="1" s="77">
      <c r="A311" s="76" t="n"/>
      <c r="B311" s="76" t="n"/>
      <c r="C311" s="77" t="inlineStr">
        <is>
          <t>EBITDA MARGIN</t>
        </is>
      </c>
      <c r="D311" s="78" t="str">
        <f>IFERROR(D56/D15,"")</f>
        <v/>
      </c>
      <c r="E311" s="78" t="str">
        <f>IFERROR(E56/E15,"")</f>
        <v/>
      </c>
      <c r="F311" s="78" t="str">
        <f>IFERROR(F56/F15,"")</f>
        <v/>
      </c>
      <c r="G311" s="78" t="str">
        <f>IFERROR(G56/G15,"")</f>
        <v/>
      </c>
      <c r="H311" s="258" t="str">
        <f>IFERROR(IF(N(H15)&lt;&gt;0,H56/H15,""),"")</f>
        <v/>
      </c>
      <c r="I311" s="257">
        <f>IFERROR(IF(N(I15)&lt;&gt;0,I56/I15,""),"")</f>
        <v>0.245065516669431</v>
      </c>
      <c r="J311" s="257">
        <f>IFERROR(IF(N(J15)&lt;&gt;0,J56/J15,""),"")</f>
        <v>0.239264335907001</v>
      </c>
      <c r="K311" s="257">
        <f>IFERROR(IF(N(K15)&lt;&gt;0,K56/K15,""),"")</f>
        <v>0.191842500220712</v>
      </c>
      <c r="L311" s="257">
        <f>IFERROR(IF(N(L15)&lt;&gt;0,L56/L15,""),"")</f>
        <v>0.179851604138363</v>
      </c>
      <c r="M311" s="258">
        <f>IFERROR(IF(N(M15)&lt;&gt;0,M56/M15,""),"")</f>
        <v>0.215979856567973</v>
      </c>
      <c r="N311" s="257">
        <f>IFERROR(IF(N(N15)&lt;&gt;0,N56/N15,""),"")</f>
        <v>0.233133881824981</v>
      </c>
      <c r="O311" s="257">
        <f>IFERROR(IF(N(O15)&lt;&gt;0,O56/O15,""),"")</f>
        <v>0.223798042830804</v>
      </c>
      <c r="P311" s="257">
        <f>IFERROR(IF(N(P15)&lt;&gt;0,P56/P15,""),"")</f>
        <v>0.219361483007209</v>
      </c>
      <c r="Q311" s="257">
        <f>IFERROR(IF(N(Q15)&lt;&gt;0,Q56/Q15,""),"")</f>
        <v>0.238065128042997</v>
      </c>
      <c r="R311" s="258">
        <f>IFERROR(IF(N(R15)&lt;&gt;0,R56/R15,""),"")</f>
        <v>0.22804527488322</v>
      </c>
      <c r="S311" s="257">
        <f>IFERROR(IF(N(S15)&lt;&gt;0,S56/S15,""),"")</f>
        <v>0.253005118766895</v>
      </c>
      <c r="T311" s="257">
        <f>IFERROR(IF(N(T15)&lt;&gt;0,T56/T15,""),"")</f>
        <v>0.256186317321689</v>
      </c>
      <c r="U311" s="257">
        <f>IFERROR(IF(N(U15)&lt;&gt;0,U56/U15,""),"")</f>
        <v>0.227290423046976</v>
      </c>
      <c r="V311" s="257">
        <f>IFERROR(IF(N(V15)&lt;&gt;0,V56/V15,""),"")</f>
        <v>0.0426754205990973</v>
      </c>
      <c r="W311" s="258">
        <f>IFERROR(IF(N(W15)&lt;&gt;0,W56/W15,""),"")</f>
        <v>0.205149296701489</v>
      </c>
      <c r="X311" s="257">
        <f>IFERROR(IF(N(X15)&lt;&gt;0,X56/X15,""),"")</f>
        <v>0.0344601247128323</v>
      </c>
      <c r="Y311" s="257">
        <f>IFERROR(IF(N(Y15)&lt;&gt;0,Y56/Y15,""),"")</f>
        <v>0.0420468369829684</v>
      </c>
      <c r="Z311" s="257">
        <f>IFERROR(IF(N(Z15)&lt;&gt;0,Z56/Z15,""),"")</f>
        <v>0.0466618808327351</v>
      </c>
      <c r="AA311" s="257">
        <f>IFERROR(IF(N(AA15)&lt;&gt;0,AA56/AA15,""),"")</f>
        <v>0.0645275035260931</v>
      </c>
      <c r="AB311" s="258">
        <f>IFERROR(IF(N(AB15)&lt;&gt;0,AB56/AB15,""),"")</f>
        <v>0.0446928537230167</v>
      </c>
      <c r="AC311" s="257">
        <f>IFERROR(IF(N(AC15)&lt;&gt;0,AC56/AC15,""),"")</f>
        <v>0.0434850740421531</v>
      </c>
      <c r="AD311" s="257">
        <f>IFERROR(IF(N(AD15)&lt;&gt;0,AD56/AD15,""),"")</f>
        <v>0.0469296055916126</v>
      </c>
      <c r="AE311" s="257">
        <f>IFERROR(IF(N(AE15)&lt;&gt;0,AE56/AE15,""),"")</f>
        <v>0.0452638373406487</v>
      </c>
      <c r="AF311" s="257">
        <f>IFERROR(IF(N(AF15)&lt;&gt;0,AF56/AF15,""),"")</f>
        <v>0.0613879929247737</v>
      </c>
      <c r="AG311" s="258">
        <f>IFERROR(IF(N(AG15)&lt;&gt;0,AG56/AG15,""),"")</f>
        <v>0.0485187876715257</v>
      </c>
      <c r="AH311" s="257">
        <f>IFERROR(IF(N(AH15)&lt;&gt;0,AH56/AH15,""),"")</f>
        <v>0.044431146682624</v>
      </c>
      <c r="AI311" s="257">
        <f>IFERROR(IF(N(AI15)&lt;&gt;0,AI56/AI15,""),"")</f>
        <v>0.0478267766497462</v>
      </c>
      <c r="AJ311" s="257">
        <f>IFERROR(IF(N(AJ15)&lt;&gt;0,AJ56/AJ15,""),"")</f>
        <v>0.0482207388719263</v>
      </c>
      <c r="AK311" s="257">
        <f>IFERROR(IF(N(AK15)&lt;&gt;0,AK56/AK15,""),"")</f>
        <v>0.0482207388719264</v>
      </c>
      <c r="AL311" s="258">
        <f>IFERROR(IF(N(AL15)&lt;&gt;0,AL56/AL15,""),"")</f>
        <v>0.0470692557568859</v>
      </c>
      <c r="AM311" s="257">
        <f>IFERROR(IF(N(AM15)&lt;&gt;0,AM56/AM15,""),"")</f>
        <v>0.0482207388719264</v>
      </c>
      <c r="AN311" s="257">
        <f>IFERROR(IF(N(AN15)&lt;&gt;0,AN56/AN15,""),"")</f>
        <v>0.0482207388719263</v>
      </c>
      <c r="AO311" s="257">
        <f>IFERROR(IF(N(AO15)&lt;&gt;0,AO56/AO15,""),"")</f>
        <v>0.0482207388719264</v>
      </c>
      <c r="AP311" s="257">
        <f>IFERROR(IF(N(AP15)&lt;&gt;0,AP56/AP15,""),"")</f>
        <v>0.0482207388719263</v>
      </c>
      <c r="AQ311" s="258">
        <f>IFERROR(IF(N(AQ15)&lt;&gt;0,AQ56/AQ15,""),"")</f>
        <v>0.0482207388719264</v>
      </c>
      <c r="AR311" s="257">
        <f>IFERROR(IF(N(AR15)&lt;&gt;0,AR56/AR15,""),"")</f>
        <v>0.0482207388719263</v>
      </c>
      <c r="AS311" s="257">
        <f>IFERROR(IF(N(AS15)&lt;&gt;0,AS56/AS15,""),"")</f>
        <v>0.0482207388719263</v>
      </c>
      <c r="AT311" s="257">
        <f>IFERROR(IF(N(AT15)&lt;&gt;0,AT56/AT15,""),"")</f>
        <v>0.0482207388719264</v>
      </c>
      <c r="AU311" s="257">
        <f>IFERROR(IF(N(AU15)&lt;&gt;0,AU56/AU15,""),"")</f>
        <v>0.0482207388719264</v>
      </c>
      <c r="AV311" s="258">
        <f>IFERROR(IF(N(AV15)&lt;&gt;0,AV56/AV15,""),"")</f>
        <v>0.0482207388719264</v>
      </c>
      <c r="AW311" s="257">
        <f>IFERROR(IF(N(AW15)&lt;&gt;0,AW56/AW15,""),"")</f>
        <v>0.0482207388719264</v>
      </c>
      <c r="AX311" s="257">
        <f>IFERROR(IF(N(AX15)&lt;&gt;0,AX56/AX15,""),"")</f>
        <v>0.0482207388719263</v>
      </c>
      <c r="AY311" s="257">
        <f>IFERROR(IF(N(AY15)&lt;&gt;0,AY56/AY15,""),"")</f>
        <v>0.0482207388719264</v>
      </c>
      <c r="AZ311" s="257">
        <f>IFERROR(IF(N(AZ15)&lt;&gt;0,AZ56/AZ15,""),"")</f>
        <v>0.0482207388719264</v>
      </c>
      <c r="BA311" s="258">
        <f>IFERROR(IF(N(BA15)&lt;&gt;0,BA56/BA15,""),"")</f>
        <v>0.0482207388719264</v>
      </c>
      <c r="BB311" s="257">
        <f>IFERROR(IF(N(BB15)&lt;&gt;0,BB56/BB15,""),"")</f>
        <v>0.0482207388719264</v>
      </c>
      <c r="BC311" s="257">
        <f>IFERROR(IF(N(BC15)&lt;&gt;0,BC56/BC15,""),"")</f>
        <v>0.0482207388719263</v>
      </c>
      <c r="BD311" s="257">
        <f>IFERROR(IF(N(BD15)&lt;&gt;0,BD56/BD15,""),"")</f>
        <v>0.0482207388719264</v>
      </c>
      <c r="BE311" s="257">
        <f>IFERROR(IF(N(BE15)&lt;&gt;0,BE56/BE15,""),"")</f>
        <v>0.0482207388719264</v>
      </c>
      <c r="BF311" s="258">
        <f>IFERROR(IF(N(BF15)&lt;&gt;0,BF56/BF15,""),"")</f>
        <v>0.0482207388719264</v>
      </c>
      <c r="BG311" s="81" t="n"/>
      <c r="BH311" s="81" t="n"/>
      <c r="BI311" s="81" t="n"/>
      <c r="BJ311" s="81" t="n"/>
      <c r="BL311" s="81" t="n"/>
      <c r="BM311" s="81" t="n"/>
      <c r="BN311" s="81" t="n"/>
      <c r="BO311" s="81" t="n"/>
      <c r="BQ311" s="81" t="n"/>
      <c r="BR311" s="81" t="n"/>
      <c r="BS311" s="81" t="n"/>
      <c r="BT311" s="81" t="n"/>
      <c r="BV311" s="81" t="n"/>
      <c r="BW311" s="81" t="n"/>
      <c r="BX311" s="81" t="n"/>
      <c r="BY311" s="81" t="n"/>
      <c r="CA311" s="81" t="n"/>
      <c r="CB311" s="81" t="n"/>
      <c r="CC311" s="81" t="n"/>
      <c r="CD311" s="81" t="n"/>
      <c r="CF311" s="81" t="n"/>
      <c r="CG311" s="81" t="n"/>
      <c r="CH311" s="81" t="n"/>
      <c r="CI311" s="81" t="n"/>
      <c r="CK311" s="81" t="n"/>
      <c r="CL311" s="81" t="n"/>
      <c r="CM311" s="81" t="n"/>
      <c r="CN311" s="81" t="n"/>
      <c r="CP311" s="81" t="n"/>
      <c r="CQ311" s="81" t="n"/>
      <c r="CR311" s="81" t="n"/>
      <c r="CS311" s="81" t="n"/>
      <c r="CU311" s="81" t="n"/>
      <c r="CV311" s="81" t="n"/>
      <c r="CW311" s="81" t="n"/>
      <c r="CX311" s="81" t="n"/>
    </row>
    <row r="312" customFormat="1" s="77">
      <c r="A312" s="76" t="n"/>
      <c r="B312" s="76" t="n"/>
      <c r="C312" s="77" t="inlineStr">
        <is>
          <t>ETR</t>
        </is>
      </c>
      <c r="D312" s="78" t="str">
        <f>IFERROR(-D118/D117,"")</f>
        <v/>
      </c>
      <c r="E312" s="78" t="str">
        <f>IFERROR(-E118/E117,"")</f>
        <v/>
      </c>
      <c r="F312" s="78" t="str">
        <f>IFERROR(-F118/F117,"")</f>
        <v/>
      </c>
      <c r="G312" s="78" t="str">
        <f>IFERROR(-G118/G117,"")</f>
        <v/>
      </c>
      <c r="H312" s="258" t="str">
        <f>IFERROR(IF(N(H117)&lt;&gt;0,-H118/H117,""),"")</f>
        <v/>
      </c>
      <c r="I312" s="257">
        <f>IFERROR(IF(N(I117)&lt;&gt;0,-I118/I117,""),"")</f>
        <v>0.22923875432526</v>
      </c>
      <c r="J312" s="257">
        <f>IFERROR(IF(N(J117)&lt;&gt;0,-J118/J117,""),"")</f>
        <v>0.228372093023256</v>
      </c>
      <c r="K312" s="257">
        <f>IFERROR(IF(N(K117)&lt;&gt;0,-K118/K117,""),"")</f>
        <v>0.204587724736516</v>
      </c>
      <c r="L312" s="257">
        <f>IFERROR(IF(N(L117)&lt;&gt;0,-L118/L117,""),"")</f>
        <v>0.217202432667246</v>
      </c>
      <c r="M312" s="258">
        <f>IFERROR(IF(N(M117)&lt;&gt;0,-M118/M117,""),"")</f>
        <v>0.221561029615278</v>
      </c>
      <c r="N312" s="257">
        <f>IFERROR(IF(N(N117)&lt;&gt;0,-N118/N117,""),"")</f>
        <v>0.18064263322884</v>
      </c>
      <c r="O312" s="257">
        <f>IFERROR(IF(N(O117)&lt;&gt;0,-O118/O117,""),"")</f>
        <v>0.257581725088618</v>
      </c>
      <c r="P312" s="257">
        <f>IFERROR(IF(N(P117)&lt;&gt;0,-P118/P117,""),"")</f>
        <v>0.222876949740035</v>
      </c>
      <c r="Q312" s="257">
        <f>IFERROR(IF(N(Q117)&lt;&gt;0,-Q118/Q117,""),"")</f>
        <v>0.215403128760529</v>
      </c>
      <c r="R312" s="258">
        <f>IFERROR(IF(N(R117)&lt;&gt;0,-R118/R117,""),"")</f>
        <v>0.219218645524883</v>
      </c>
      <c r="S312" s="257">
        <f>IFERROR(IF(N(S117)&lt;&gt;0,-S118/S117,""),"")</f>
        <v>0.257536382536383</v>
      </c>
      <c r="T312" s="257">
        <f>IFERROR(IF(N(T117)&lt;&gt;0,-T118/T117,""),"")</f>
        <v>0.176372712146423</v>
      </c>
      <c r="U312" s="257">
        <f>IFERROR(IF(N(U117)&lt;&gt;0,-U118/U117,""),"")</f>
        <v>0.230068337129841</v>
      </c>
      <c r="V312" s="257">
        <f>IFERROR(IF(N(V117)&lt;&gt;0,-V118/V117,""),"")</f>
        <v>0.211738148984199</v>
      </c>
      <c r="W312" s="258">
        <f>IFERROR(IF(N(W117)&lt;&gt;0,-W118/W117,""),"")</f>
        <v>0.219981164652331</v>
      </c>
      <c r="X312" s="257">
        <f>IFERROR(IF(N(X117)&lt;&gt;0,-X118/X117,""),"")</f>
        <v>0.240936798203401</v>
      </c>
      <c r="Y312" s="257">
        <f>IFERROR(IF(N(Y117)&lt;&gt;0,-Y118/Y117,""),"")</f>
        <v>0.265392781316348</v>
      </c>
      <c r="Z312" s="257">
        <f>IFERROR(IF(N(Z117)&lt;&gt;0,-Z118/Z117,""),"")</f>
        <v>0.163923633969717</v>
      </c>
      <c r="AA312" s="257">
        <f>IFERROR(IF(N(AA117)&lt;&gt;0,-AA118/AA117,""),"")</f>
        <v>0.0301675977653631</v>
      </c>
      <c r="AB312" s="258">
        <f>IFERROR(IF(N(AB117)&lt;&gt;0,-AB118/AB117,""),"")</f>
        <v>0.20948516358103</v>
      </c>
      <c r="AC312" s="257">
        <f>IFERROR(IF(N(AC117)&lt;&gt;0,-AC118/AC117,""),"")</f>
        <v>0.23063756953359</v>
      </c>
      <c r="AD312" s="257">
        <f>IFERROR(IF(N(AD117)&lt;&gt;0,-AD118/AD117,""),"")</f>
        <v>0.211875</v>
      </c>
      <c r="AE312" s="257">
        <f>IFERROR(IF(N(AE117)&lt;&gt;0,-AE118/AE117,""),"")</f>
        <v>0.248421052631579</v>
      </c>
      <c r="AF312" s="257">
        <f>IFERROR(IF(N(AF117)&lt;&gt;0,-AF118/AF117,""),"")</f>
        <v>0.23444976076555</v>
      </c>
      <c r="AG312" s="258">
        <f>IFERROR(IF(N(AG117)&lt;&gt;0,-AG118/AG117,""),"")</f>
        <v>0.230396902226525</v>
      </c>
      <c r="AH312" s="257">
        <f>IFERROR(IF(N(AH117)&lt;&gt;0,-AH118/AH117,""),"")</f>
        <v>0.225904928041867</v>
      </c>
      <c r="AI312" s="257">
        <f>IFERROR(IF(N(AI117)&lt;&gt;0,-AI118/AI117,""),"")</f>
        <v>0.281083953241233</v>
      </c>
      <c r="AJ312" s="257">
        <f>IFERROR(IF(N(AJ117)&lt;&gt;0,-AJ118/AJ117,""),"")</f>
        <v>0.238728710702303</v>
      </c>
      <c r="AK312" s="257">
        <f>IFERROR(IF(N(AK117)&lt;&gt;0,-AK118/AK117,""),"")</f>
        <v>0.238728710702303</v>
      </c>
      <c r="AL312" s="258">
        <f>IFERROR(IF(N(AL117)&lt;&gt;0,-AL118/AL117,""),"")</f>
        <v>0.244488383700891</v>
      </c>
      <c r="AM312" s="257">
        <f>IFERROR(IF(N(AM117)&lt;&gt;0,-AM118/AM117,""),"")</f>
        <v>0.238728710702303</v>
      </c>
      <c r="AN312" s="257">
        <f>IFERROR(IF(N(AN117)&lt;&gt;0,-AN118/AN117,""),"")</f>
        <v>0.238728710702303</v>
      </c>
      <c r="AO312" s="257">
        <f>IFERROR(IF(N(AO117)&lt;&gt;0,-AO118/AO117,""),"")</f>
        <v>0.238728710702303</v>
      </c>
      <c r="AP312" s="257">
        <f>IFERROR(IF(N(AP117)&lt;&gt;0,-AP118/AP117,""),"")</f>
        <v>0.238728710702303</v>
      </c>
      <c r="AQ312" s="258">
        <f>IFERROR(IF(N(AQ117)&lt;&gt;0,-AQ118/AQ117,""),"")</f>
        <v>0.238728710702303</v>
      </c>
      <c r="AR312" s="257">
        <f>IFERROR(IF(N(AR117)&lt;&gt;0,-AR118/AR117,""),"")</f>
        <v>0.238728710702303</v>
      </c>
      <c r="AS312" s="257">
        <f>IFERROR(IF(N(AS117)&lt;&gt;0,-AS118/AS117,""),"")</f>
        <v>0.238728710702303</v>
      </c>
      <c r="AT312" s="257">
        <f>IFERROR(IF(N(AT117)&lt;&gt;0,-AT118/AT117,""),"")</f>
        <v>0.238728710702303</v>
      </c>
      <c r="AU312" s="257">
        <f>IFERROR(IF(N(AU117)&lt;&gt;0,-AU118/AU117,""),"")</f>
        <v>0.238728710702303</v>
      </c>
      <c r="AV312" s="258">
        <f>IFERROR(IF(N(AV117)&lt;&gt;0,-AV118/AV117,""),"")</f>
        <v>0.238728710702303</v>
      </c>
      <c r="AW312" s="257">
        <f>IFERROR(IF(N(AW117)&lt;&gt;0,-AW118/AW117,""),"")</f>
        <v>0.238728710702303</v>
      </c>
      <c r="AX312" s="257">
        <f>IFERROR(IF(N(AX117)&lt;&gt;0,-AX118/AX117,""),"")</f>
        <v>0.238728710702303</v>
      </c>
      <c r="AY312" s="257">
        <f>IFERROR(IF(N(AY117)&lt;&gt;0,-AY118/AY117,""),"")</f>
        <v>0.238728710702303</v>
      </c>
      <c r="AZ312" s="257">
        <f>IFERROR(IF(N(AZ117)&lt;&gt;0,-AZ118/AZ117,""),"")</f>
        <v>0.238728710702303</v>
      </c>
      <c r="BA312" s="258">
        <f>IFERROR(IF(N(BA117)&lt;&gt;0,-BA118/BA117,""),"")</f>
        <v>0.238728710702303</v>
      </c>
      <c r="BB312" s="257">
        <f>IFERROR(IF(N(BB117)&lt;&gt;0,-BB118/BB117,""),"")</f>
        <v>0.238728710702303</v>
      </c>
      <c r="BC312" s="257">
        <f>IFERROR(IF(N(BC117)&lt;&gt;0,-BC118/BC117,""),"")</f>
        <v>0.238728710702303</v>
      </c>
      <c r="BD312" s="257">
        <f>IFERROR(IF(N(BD117)&lt;&gt;0,-BD118/BD117,""),"")</f>
        <v>0.238728710702303</v>
      </c>
      <c r="BE312" s="257">
        <f>IFERROR(IF(N(BE117)&lt;&gt;0,-BE118/BE117,""),"")</f>
        <v>0.238728710702303</v>
      </c>
      <c r="BF312" s="258">
        <f>IFERROR(IF(N(BF117)&lt;&gt;0,-BF118/BF117,""),"")</f>
        <v>0.238728710702303</v>
      </c>
      <c r="BG312" s="81" t="n"/>
      <c r="BH312" s="81" t="n"/>
      <c r="BI312" s="81" t="n"/>
      <c r="BJ312" s="81" t="n"/>
      <c r="BL312" s="81" t="n"/>
      <c r="BM312" s="81" t="n"/>
      <c r="BN312" s="81" t="n"/>
      <c r="BO312" s="81" t="n"/>
      <c r="BQ312" s="81" t="n"/>
      <c r="BR312" s="81" t="n"/>
      <c r="BS312" s="81" t="n"/>
      <c r="BT312" s="81" t="n"/>
      <c r="BV312" s="81" t="n"/>
      <c r="BW312" s="81" t="n"/>
      <c r="BX312" s="81" t="n"/>
      <c r="BY312" s="81" t="n"/>
      <c r="CA312" s="81" t="n"/>
      <c r="CB312" s="81" t="n"/>
      <c r="CC312" s="81" t="n"/>
      <c r="CD312" s="81" t="n"/>
      <c r="CF312" s="81" t="n"/>
      <c r="CG312" s="81" t="n"/>
      <c r="CH312" s="81" t="n"/>
      <c r="CI312" s="81" t="n"/>
      <c r="CK312" s="81" t="n"/>
      <c r="CL312" s="81" t="n"/>
      <c r="CM312" s="81" t="n"/>
      <c r="CN312" s="81" t="n"/>
      <c r="CP312" s="81" t="n"/>
      <c r="CQ312" s="81" t="n"/>
      <c r="CR312" s="81" t="n"/>
      <c r="CS312" s="81" t="n"/>
      <c r="CU312" s="81" t="n"/>
      <c r="CV312" s="81" t="n"/>
      <c r="CW312" s="81" t="n"/>
      <c r="CX312" s="81" t="n"/>
    </row>
    <row r="313" customFormat="1" s="77">
      <c r="A313" s="76" t="n"/>
      <c r="B313" s="76" t="n"/>
    </row>
    <row r="314" customFormat="1" s="77">
      <c r="A314" s="76" t="n"/>
      <c r="B314" s="76" t="n"/>
      <c r="C314" s="74" t="inlineStr">
        <is>
          <t>CAPITAL STRUCTURE</t>
        </is>
      </c>
    </row>
    <row r="315" customFormat="1" s="77">
      <c r="A315" s="76" t="n"/>
      <c r="B315" s="76" t="n"/>
      <c r="C315" s="77" t="inlineStr">
        <is>
          <t>TOTAL DEBT / EQUITY (BOOK VALUE)</t>
        </is>
      </c>
      <c r="H315" s="262" t="str">
        <f>IFERROR(IF(N(H258)&lt;&gt;0,(N(H199)+N(H200)+N(H201)+N(H204)+N(H222)+N(H225))/H258,""),"")</f>
        <v/>
      </c>
      <c r="I315" s="262">
        <f>IFERROR(IF(N(I258)&lt;&gt;0,(N(I199)+N(I200)+N(I201)+N(I204)+N(I222)+N(I225))/I258,""),"")</f>
        <v>2.20892951775305</v>
      </c>
      <c r="J315" s="262">
        <f>IFERROR(IF(N(J258)&lt;&gt;0,(N(J199)+N(J200)+N(J201)+N(J204)+N(J222)+N(J225))/J258,""),"")</f>
        <v>2.71302358100807</v>
      </c>
      <c r="K315" s="262">
        <f>IFERROR(IF(N(K258)&lt;&gt;0,(N(K199)+N(K200)+N(K201)+N(K204)+N(K222)+N(K225))/K258,""),"")</f>
        <v>2.37642399913204</v>
      </c>
      <c r="L315" s="262">
        <f>IFERROR(IF(N(L258)&lt;&gt;0,(N(L199)+N(L200)+N(L201)+N(L204)+N(L222)+N(L225))/L258,""),"")</f>
        <v>2.46114106019766</v>
      </c>
      <c r="M315" s="262">
        <f>IFERROR(IF(N(M258)&lt;&gt;0,(N(M199)+N(M200)+N(M201)+N(M204)+N(M222)+N(M225))/M258,""),"")</f>
        <v>2.46114106019766</v>
      </c>
      <c r="N315" s="262">
        <f>IFERROR(IF(N(N258)&lt;&gt;0,(N(N199)+N(N200)+N(N201)+N(N204)+N(N222)+N(N225))/N258,""),"")</f>
        <v>2.36030727138798</v>
      </c>
      <c r="O315" s="262">
        <f>IFERROR(IF(N(O258)&lt;&gt;0,(N(O199)+N(O200)+N(O201)+N(O204)+N(O222)+N(O225))/O258,""),"")</f>
        <v>0.740996288746014</v>
      </c>
      <c r="P315" s="262">
        <f>IFERROR(IF(N(P258)&lt;&gt;0,(N(P199)+N(P200)+N(P201)+N(P204)+N(P222)+N(P225))/P258,""),"")</f>
        <v>0.618558726727907</v>
      </c>
      <c r="Q315" s="262">
        <f>IFERROR(IF(N(Q258)&lt;&gt;0,(N(Q199)+N(Q200)+N(Q201)+N(Q204)+N(Q222)+N(Q225))/Q258,""),"")</f>
        <v>0.659124836723269</v>
      </c>
      <c r="R315" s="262">
        <f>IFERROR(IF(N(R258)&lt;&gt;0,(N(R199)+N(R200)+N(R201)+N(R204)+N(R222)+N(R225))/R258,""),"")</f>
        <v>0.659124836723269</v>
      </c>
      <c r="S315" s="262">
        <f>IFERROR(IF(N(S258)&lt;&gt;0,(N(S199)+N(S200)+N(S201)+N(S204)+N(S222)+N(S225))/S258,""),"")</f>
        <v>0.760366205946402</v>
      </c>
      <c r="T315" s="262">
        <f>IFERROR(IF(N(T258)&lt;&gt;0,(N(T199)+N(T200)+N(T201)+N(T204)+N(T222)+N(T225))/T258,""),"")</f>
        <v>0.740454388389772</v>
      </c>
      <c r="U315" s="262">
        <f>IFERROR(IF(N(U258)&lt;&gt;0,(N(U199)+N(U200)+N(U201)+N(U204)+N(U222)+N(U225))/U258,""),"")</f>
        <v>0.819656401352463</v>
      </c>
      <c r="V315" s="262">
        <f>IFERROR(IF(N(V258)&lt;&gt;0,(N(V199)+N(V200)+N(V201)+N(V204)+N(V222)+N(V225))/V258,""),"")</f>
        <v>0.771766085035394</v>
      </c>
      <c r="W315" s="262">
        <f>IFERROR(IF(N(W258)&lt;&gt;0,(N(W199)+N(W200)+N(W201)+N(W204)+N(W222)+N(W225))/W258,""),"")</f>
        <v>0.771766085035394</v>
      </c>
      <c r="X315" s="262">
        <f>IFERROR(IF(N(X258)&lt;&gt;0,(N(X199)+N(X200)+N(X201)+N(X204)+N(X222)+N(X225))/X258,""),"")</f>
        <v>0.776748880891776</v>
      </c>
      <c r="Y315" s="262">
        <f>IFERROR(IF(N(Y258)&lt;&gt;0,(N(Y199)+N(Y200)+N(Y201)+N(Y204)+N(Y222)+N(Y225))/Y258,""),"")</f>
        <v>0.660676487105275</v>
      </c>
      <c r="Z315" s="262">
        <f>IFERROR(IF(N(Z258)&lt;&gt;0,(N(Z199)+N(Z200)+N(Z201)+N(Z204)+N(Z222)+N(Z225))/Z258,""),"")</f>
        <v>0.590316248636859</v>
      </c>
      <c r="AA315" s="262">
        <f>IFERROR(IF(N(AA258)&lt;&gt;0,(N(AA199)+N(AA200)+N(AA201)+N(AA204)+N(AA222)+N(AA225))/AA258,""),"")</f>
        <v>0.567762808012764</v>
      </c>
      <c r="AB315" s="262">
        <f>IFERROR(IF(N(AB258)&lt;&gt;0,(N(AB199)+N(AB200)+N(AB201)+N(AB204)+N(AB222)+N(AB225))/AB258,""),"")</f>
        <v>0.567762808012764</v>
      </c>
      <c r="AC315" s="262">
        <f>IFERROR(IF(N(AC258)&lt;&gt;0,(N(AC199)+N(AC200)+N(AC201)+N(AC204)+N(AC222)+N(AC225))/AC258,""),"")</f>
        <v>0.654196406596111</v>
      </c>
      <c r="AD315" s="262">
        <f>IFERROR(IF(N(AD258)&lt;&gt;0,(N(AD199)+N(AD200)+N(AD201)+N(AD204)+N(AD222)+N(AD225))/AD258,""),"")</f>
        <v>0.578174477517416</v>
      </c>
      <c r="AE315" s="262">
        <f>IFERROR(IF(N(AE258)&lt;&gt;0,(N(AE199)+N(AE200)+N(AE201)+N(AE204)+N(AE222)+N(AE225))/AE258,""),"")</f>
        <v>0.530472565078633</v>
      </c>
      <c r="AF315" s="262">
        <f>IFERROR(IF(N(AF258)&lt;&gt;0,(N(AF199)+N(AF200)+N(AF201)+N(AF204)+N(AF222)+N(AF225))/AF258,""),"")</f>
        <v>0.546040899950677</v>
      </c>
      <c r="AG315" s="262">
        <f>IFERROR(IF(N(AG258)&lt;&gt;0,(N(AG199)+N(AG200)+N(AG201)+N(AG204)+N(AG222)+N(AG225))/AG258,""),"")</f>
        <v>0.546040899950677</v>
      </c>
      <c r="AH315" s="262">
        <f>IFERROR(IF(N(AH258)&lt;&gt;0,(N(AH199)+N(AH200)+N(AH201)+N(AH204)+N(AH222)+N(AH225))/AH258,""),"")</f>
        <v>0.569264384559359</v>
      </c>
      <c r="AI315" s="262">
        <f>IFERROR(IF(N(AI258)&lt;&gt;0,(N(AI199)+N(AI200)+N(AI201)+N(AI204)+N(AI222)+N(AI225))/AI258,""),"")</f>
        <v>0.610356264041939</v>
      </c>
      <c r="AJ315" s="262">
        <f>IFERROR(IF(N(AJ258)&lt;&gt;0,(N(AJ199)+N(AJ200)+N(AJ201)+N(AJ204)+N(AJ222)+N(AJ225))/AJ258,""),"")</f>
        <v>0.570576401482312</v>
      </c>
      <c r="AK315" s="262">
        <f>IFERROR(IF(N(AK258)&lt;&gt;0,(N(AK199)+N(AK200)+N(AK201)+N(AK204)+N(AK222)+N(AK225))/AK258,""),"")</f>
        <v>0.543126670820862</v>
      </c>
      <c r="AL315" s="262">
        <f>IFERROR(IF(N(AL258)&lt;&gt;0,(N(AL199)+N(AL200)+N(AL201)+N(AL204)+N(AL222)+N(AL225))/AL258,""),"")</f>
        <v>0.543126670820862</v>
      </c>
      <c r="AM315" s="262">
        <f>IFERROR(IF(N(AM258)&lt;&gt;0,(N(AM199)+N(AM200)+N(AM201)+N(AM204)+N(AM222)+N(AM225))/AM258,""),"")</f>
        <v>0.509060447964162</v>
      </c>
      <c r="AN315" s="262">
        <f>IFERROR(IF(N(AN258)&lt;&gt;0,(N(AN199)+N(AN200)+N(AN201)+N(AN204)+N(AN222)+N(AN225))/AN258,""),"")</f>
        <v>0.480630166714803</v>
      </c>
      <c r="AO315" s="262">
        <f>IFERROR(IF(N(AO258)&lt;&gt;0,(N(AO199)+N(AO200)+N(AO201)+N(AO204)+N(AO222)+N(AO225))/AO258,""),"")</f>
        <v>0.455261523314227</v>
      </c>
      <c r="AP315" s="262">
        <f>IFERROR(IF(N(AP258)&lt;&gt;0,(N(AP199)+N(AP200)+N(AP201)+N(AP204)+N(AP222)+N(AP225))/AP258,""),"")</f>
        <v>0.437360301906533</v>
      </c>
      <c r="AQ315" s="262">
        <f>IFERROR(IF(N(AQ258)&lt;&gt;0,(N(AQ199)+N(AQ200)+N(AQ201)+N(AQ204)+N(AQ222)+N(AQ225))/AQ258,""),"")</f>
        <v>0.437360301906533</v>
      </c>
      <c r="AR315" s="262">
        <f>IFERROR(IF(N(AR258)&lt;&gt;0,(N(AR199)+N(AR200)+N(AR201)+N(AR204)+N(AR222)+N(AR225))/AR258,""),"")</f>
        <v>0.414785155975725</v>
      </c>
      <c r="AS315" s="262">
        <f>IFERROR(IF(N(AS258)&lt;&gt;0,(N(AS199)+N(AS200)+N(AS201)+N(AS204)+N(AS222)+N(AS225))/AS258,""),"")</f>
        <v>0.395531231496708</v>
      </c>
      <c r="AT315" s="262">
        <f>IFERROR(IF(N(AT258)&lt;&gt;0,(N(AT199)+N(AT200)+N(AT201)+N(AT204)+N(AT222)+N(AT225))/AT258,""),"")</f>
        <v>0.378023134924022</v>
      </c>
      <c r="AU315" s="262">
        <f>IFERROR(IF(N(AU258)&lt;&gt;0,(N(AU199)+N(AU200)+N(AU201)+N(AU204)+N(AU222)+N(AU225))/AU258,""),"")</f>
        <v>0.365477968147078</v>
      </c>
      <c r="AV315" s="262">
        <f>IFERROR(IF(N(AV258)&lt;&gt;0,(N(AV199)+N(AV200)+N(AV201)+N(AV204)+N(AV222)+N(AV225))/AV258,""),"")</f>
        <v>0.365477968147078</v>
      </c>
      <c r="AW315" s="262">
        <f>IFERROR(IF(N(AW258)&lt;&gt;0,(N(AW199)+N(AW200)+N(AW201)+N(AW204)+N(AW222)+N(AW225))/AW258,""),"")</f>
        <v>0.349503025874542</v>
      </c>
      <c r="AX315" s="262">
        <f>IFERROR(IF(N(AX258)&lt;&gt;0,(N(AX199)+N(AX200)+N(AX201)+N(AX204)+N(AX222)+N(AX225))/AX258,""),"")</f>
        <v>0.33566630682645</v>
      </c>
      <c r="AY315" s="262">
        <f>IFERROR(IF(N(AY258)&lt;&gt;0,(N(AY199)+N(AY200)+N(AY201)+N(AY204)+N(AY222)+N(AY225))/AY258,""),"")</f>
        <v>0.322911039324583</v>
      </c>
      <c r="AZ315" s="262">
        <f>IFERROR(IF(N(AZ258)&lt;&gt;0,(N(AZ199)+N(AZ200)+N(AZ201)+N(AZ204)+N(AZ222)+N(AZ225))/AZ258,""),"")</f>
        <v>0.313668117420891</v>
      </c>
      <c r="BA315" s="262">
        <f>IFERROR(IF(N(BA258)&lt;&gt;0,(N(BA199)+N(BA200)+N(BA201)+N(BA204)+N(BA222)+N(BA225))/BA258,""),"")</f>
        <v>0.313668117420891</v>
      </c>
      <c r="BB315" s="262">
        <f>IFERROR(IF(N(BB258)&lt;&gt;0,(N(BB199)+N(BB200)+N(BB201)+N(BB204)+N(BB222)+N(BB225))/BB258,""),"")</f>
        <v>0.301827972466936</v>
      </c>
      <c r="BC315" s="262">
        <f>IFERROR(IF(N(BC258)&lt;&gt;0,(N(BC199)+N(BC200)+N(BC201)+N(BC204)+N(BC222)+N(BC225))/BC258,""),"")</f>
        <v>0.291452642532981</v>
      </c>
      <c r="BD315" s="262">
        <f>IFERROR(IF(N(BD258)&lt;&gt;0,(N(BD199)+N(BD200)+N(BD201)+N(BD204)+N(BD222)+N(BD225))/BD258,""),"")</f>
        <v>0.281787922007478</v>
      </c>
      <c r="BE315" s="262">
        <f>IFERROR(IF(N(BE258)&lt;&gt;0,(N(BE199)+N(BE200)+N(BE201)+N(BE204)+N(BE222)+N(BE225))/BE258,""),"")</f>
        <v>0.274723538628678</v>
      </c>
      <c r="BF315" s="262">
        <f>IFERROR(IF(N(BF258)&lt;&gt;0,(N(BF199)+N(BF200)+N(BF201)+N(BF204)+N(BF222)+N(BF225))/BF258,""),"")</f>
        <v>0.274723538628678</v>
      </c>
    </row>
    <row r="316" customFormat="1" s="77">
      <c r="A316" s="76" t="n"/>
      <c r="B316" s="76" t="n"/>
      <c r="C316" s="77" t="inlineStr">
        <is>
          <t>NET DEBT / (NET DEBT + EQUITY) (BOOK VALUE)</t>
        </is>
      </c>
      <c r="H316" s="258" t="str">
        <f>IFERROR(IF(((N(H199)+N(H200)+N(H201)+N(H204)+N(H222)+N(H225))-N(H131)+N(H258))&lt;&gt;0,((N(H199)+N(H200)+N(H201)+N(H204)+N(H222)+N(H225))-N(H131))/((N(H199)+N(H200)+N(H201)+N(H204)+N(H222)+N(H225))-N(H131)+H258),""),"")</f>
        <v/>
      </c>
      <c r="I316" s="258">
        <f>IFERROR(IF(((N(I199)+N(I200)+N(I201)+N(I204)+N(I222)+N(I225))-N(I131)+N(I258))&lt;&gt;0,((N(I199)+N(I200)+N(I201)+N(I204)+N(I222)+N(I225))-N(I131))/((N(I199)+N(I200)+N(I201)+N(I204)+N(I222)+N(I225))-N(I131)+I258),""),"")</f>
        <v>0.634125060591372</v>
      </c>
      <c r="J316" s="258">
        <f>IFERROR(IF(((N(J199)+N(J200)+N(J201)+N(J204)+N(J222)+N(J225))-N(J131)+N(J258))&lt;&gt;0,((N(J199)+N(J200)+N(J201)+N(J204)+N(J222)+N(J225))-N(J131))/((N(J199)+N(J200)+N(J201)+N(J204)+N(J222)+N(J225))-N(J131)+J258),""),"")</f>
        <v>0.69089158709576</v>
      </c>
      <c r="K316" s="258">
        <f>IFERROR(IF(((N(K199)+N(K200)+N(K201)+N(K204)+N(K222)+N(K225))-N(K131)+N(K258))&lt;&gt;0,((N(K199)+N(K200)+N(K201)+N(K204)+N(K222)+N(K225))-N(K131))/((N(K199)+N(K200)+N(K201)+N(K204)+N(K222)+N(K225))-N(K131)+K258),""),"")</f>
        <v>0.660039834759516</v>
      </c>
      <c r="L316" s="258">
        <f>IFERROR(IF(((N(L199)+N(L200)+N(L201)+N(L204)+N(L222)+N(L225))-N(L131)+N(L258))&lt;&gt;0,((N(L199)+N(L200)+N(L201)+N(L204)+N(L222)+N(L225))-N(L131))/((N(L199)+N(L200)+N(L201)+N(L204)+N(L222)+N(L225))-N(L131)+L258),""),"")</f>
        <v>0.688475264152264</v>
      </c>
      <c r="M316" s="258">
        <f>IFERROR(IF(((N(M199)+N(M200)+N(M201)+N(M204)+N(M222)+N(M225))-N(M131)+N(M258))&lt;&gt;0,((N(M199)+N(M200)+N(M201)+N(M204)+N(M222)+N(M225))-N(M131))/((N(M199)+N(M200)+N(M201)+N(M204)+N(M222)+N(M225))-N(M131)+M258),""),"")</f>
        <v>0.688475264152264</v>
      </c>
      <c r="N316" s="258">
        <f>IFERROR(IF(((N(N199)+N(N200)+N(N201)+N(N204)+N(N222)+N(N225))-N(N131)+N(N258))&lt;&gt;0,((N(N199)+N(N200)+N(N201)+N(N204)+N(N222)+N(N225))-N(N131))/((N(N199)+N(N200)+N(N201)+N(N204)+N(N222)+N(N225))-N(N131)+N258),""),"")</f>
        <v>0.683169967326799</v>
      </c>
      <c r="O316" s="258">
        <f>IFERROR(IF(((N(O199)+N(O200)+N(O201)+N(O204)+N(O222)+N(O225))-N(O131)+N(O258))&lt;&gt;0,((N(O199)+N(O200)+N(O201)+N(O204)+N(O222)+N(O225))-N(O131))/((N(O199)+N(O200)+N(O201)+N(O204)+N(O222)+N(O225))-N(O131)+O258),""),"")</f>
        <v>0.339125328174658</v>
      </c>
      <c r="P316" s="258">
        <f>IFERROR(IF(((N(P199)+N(P200)+N(P201)+N(P204)+N(P222)+N(P225))-N(P131)+N(P258))&lt;&gt;0,((N(P199)+N(P200)+N(P201)+N(P204)+N(P222)+N(P225))-N(P131))/((N(P199)+N(P200)+N(P201)+N(P204)+N(P222)+N(P225))-N(P131)+P258),""),"")</f>
        <v>0.277480035492458</v>
      </c>
      <c r="Q316" s="258">
        <f>IFERROR(IF(((N(Q199)+N(Q200)+N(Q201)+N(Q204)+N(Q222)+N(Q225))-N(Q131)+N(Q258))&lt;&gt;0,((N(Q199)+N(Q200)+N(Q201)+N(Q204)+N(Q222)+N(Q225))-N(Q131))/((N(Q199)+N(Q200)+N(Q201)+N(Q204)+N(Q222)+N(Q225))-N(Q131)+Q258),""),"")</f>
        <v>0.321409351356485</v>
      </c>
      <c r="R316" s="258">
        <f>IFERROR(IF(((N(R199)+N(R200)+N(R201)+N(R204)+N(R222)+N(R225))-N(R131)+N(R258))&lt;&gt;0,((N(R199)+N(R200)+N(R201)+N(R204)+N(R222)+N(R225))-N(R131))/((N(R199)+N(R200)+N(R201)+N(R204)+N(R222)+N(R225))-N(R131)+R258),""),"")</f>
        <v>0.321409351356485</v>
      </c>
      <c r="S316" s="258">
        <f>IFERROR(IF(((N(S199)+N(S200)+N(S201)+N(S204)+N(S222)+N(S225))-N(S131)+N(S258))&lt;&gt;0,((N(S199)+N(S200)+N(S201)+N(S204)+N(S222)+N(S225))-N(S131))/((N(S199)+N(S200)+N(S201)+N(S204)+N(S222)+N(S225))-N(S131)+S258),""),"")</f>
        <v>0.344815537372973</v>
      </c>
      <c r="T316" s="258">
        <f>IFERROR(IF(((N(T199)+N(T200)+N(T201)+N(T204)+N(T222)+N(T225))-N(T131)+N(T258))&lt;&gt;0,((N(T199)+N(T200)+N(T201)+N(T204)+N(T222)+N(T225))-N(T131))/((N(T199)+N(T200)+N(T201)+N(T204)+N(T222)+N(T225))-N(T131)+T258),""),"")</f>
        <v>0.313384145437291</v>
      </c>
      <c r="U316" s="258">
        <f>IFERROR(IF(((N(U199)+N(U200)+N(U201)+N(U204)+N(U222)+N(U225))-N(U131)+N(U258))&lt;&gt;0,((N(U199)+N(U200)+N(U201)+N(U204)+N(U222)+N(U225))-N(U131))/((N(U199)+N(U200)+N(U201)+N(U204)+N(U222)+N(U225))-N(U131)+U258),""),"")</f>
        <v>0.323817468409182</v>
      </c>
      <c r="V316" s="258">
        <f>IFERROR(IF(((N(V199)+N(V200)+N(V201)+N(V204)+N(V222)+N(V225))-N(V131)+N(V258))&lt;&gt;0,((N(V199)+N(V200)+N(V201)+N(V204)+N(V222)+N(V225))-N(V131))/((N(V199)+N(V200)+N(V201)+N(V204)+N(V222)+N(V225))-N(V131)+V258),""),"")</f>
        <v>0.350712842881817</v>
      </c>
      <c r="W316" s="258">
        <f>IFERROR(IF(((N(W199)+N(W200)+N(W201)+N(W204)+N(W222)+N(W225))-N(W131)+N(W258))&lt;&gt;0,((N(W199)+N(W200)+N(W201)+N(W204)+N(W222)+N(W225))-N(W131))/((N(W199)+N(W200)+N(W201)+N(W204)+N(W222)+N(W225))-N(W131)+W258),""),"")</f>
        <v>0.350712842881817</v>
      </c>
      <c r="X316" s="258">
        <f>IFERROR(IF(((N(X199)+N(X200)+N(X201)+N(X204)+N(X222)+N(X225))-N(X131)+N(X258))&lt;&gt;0,((N(X199)+N(X200)+N(X201)+N(X204)+N(X222)+N(X225))-N(X131))/((N(X199)+N(X200)+N(X201)+N(X204)+N(X222)+N(X225))-N(X131)+X258),""),"")</f>
        <v>0.347704110843925</v>
      </c>
      <c r="Y316" s="258">
        <f>IFERROR(IF(((N(Y199)+N(Y200)+N(Y201)+N(Y204)+N(Y222)+N(Y225))-N(Y131)+N(Y258))&lt;&gt;0,((N(Y199)+N(Y200)+N(Y201)+N(Y204)+N(Y222)+N(Y225))-N(Y131))/((N(Y199)+N(Y200)+N(Y201)+N(Y204)+N(Y222)+N(Y225))-N(Y131)+Y258),""),"")</f>
        <v>0.263685231718566</v>
      </c>
      <c r="Z316" s="258">
        <f>IFERROR(IF(((N(Z199)+N(Z200)+N(Z201)+N(Z204)+N(Z222)+N(Z225))-N(Z131)+N(Z258))&lt;&gt;0,((N(Z199)+N(Z200)+N(Z201)+N(Z204)+N(Z222)+N(Z225))-N(Z131))/((N(Z199)+N(Z200)+N(Z201)+N(Z204)+N(Z222)+N(Z225))-N(Z131)+Z258),""),"")</f>
        <v>0.213118692936088</v>
      </c>
      <c r="AA316" s="258">
        <f>IFERROR(IF(((N(AA199)+N(AA200)+N(AA201)+N(AA204)+N(AA222)+N(AA225))-N(AA131)+N(AA258))&lt;&gt;0,((N(AA199)+N(AA200)+N(AA201)+N(AA204)+N(AA222)+N(AA225))-N(AA131))/((N(AA199)+N(AA200)+N(AA201)+N(AA204)+N(AA222)+N(AA225))-N(AA131)+AA258),""),"")</f>
        <v>0.215819837353166</v>
      </c>
      <c r="AB316" s="258">
        <f>IFERROR(IF(((N(AB199)+N(AB200)+N(AB201)+N(AB204)+N(AB222)+N(AB225))-N(AB131)+N(AB258))&lt;&gt;0,((N(AB199)+N(AB200)+N(AB201)+N(AB204)+N(AB222)+N(AB225))-N(AB131))/((N(AB199)+N(AB200)+N(AB201)+N(AB204)+N(AB222)+N(AB225))-N(AB131)+AB258),""),"")</f>
        <v>0.215819837353166</v>
      </c>
      <c r="AC316" s="258">
        <f>IFERROR(IF(((N(AC199)+N(AC200)+N(AC201)+N(AC204)+N(AC222)+N(AC225))-N(AC131)+N(AC258))&lt;&gt;0,((N(AC199)+N(AC200)+N(AC201)+N(AC204)+N(AC222)+N(AC225))-N(AC131))/((N(AC199)+N(AC200)+N(AC201)+N(AC204)+N(AC222)+N(AC225))-N(AC131)+AC258),""),"")</f>
        <v>0.246080098963971</v>
      </c>
      <c r="AD316" s="258">
        <f>IFERROR(IF(((N(AD199)+N(AD200)+N(AD201)+N(AD204)+N(AD222)+N(AD225))-N(AD131)+N(AD258))&lt;&gt;0,((N(AD199)+N(AD200)+N(AD201)+N(AD204)+N(AD222)+N(AD225))-N(AD131))/((N(AD199)+N(AD200)+N(AD201)+N(AD204)+N(AD222)+N(AD225))-N(AD131)+AD258),""),"")</f>
        <v>0.192611293982295</v>
      </c>
      <c r="AE316" s="258">
        <f>IFERROR(IF(((N(AE199)+N(AE200)+N(AE201)+N(AE204)+N(AE222)+N(AE225))-N(AE131)+N(AE258))&lt;&gt;0,((N(AE199)+N(AE200)+N(AE201)+N(AE204)+N(AE222)+N(AE225))-N(AE131))/((N(AE199)+N(AE200)+N(AE201)+N(AE204)+N(AE222)+N(AE225))-N(AE131)+AE258),""),"")</f>
        <v>0.175088019792559</v>
      </c>
      <c r="AF316" s="258">
        <f>IFERROR(IF(((N(AF199)+N(AF200)+N(AF201)+N(AF204)+N(AF222)+N(AF225))-N(AF131)+N(AF258))&lt;&gt;0,((N(AF199)+N(AF200)+N(AF201)+N(AF204)+N(AF222)+N(AF225))-N(AF131))/((N(AF199)+N(AF200)+N(AF201)+N(AF204)+N(AF222)+N(AF225))-N(AF131)+AF258),""),"")</f>
        <v>0.2236752967512</v>
      </c>
      <c r="AG316" s="258">
        <f>IFERROR(IF(((N(AG199)+N(AG200)+N(AG201)+N(AG204)+N(AG222)+N(AG225))-N(AG131)+N(AG258))&lt;&gt;0,((N(AG199)+N(AG200)+N(AG201)+N(AG204)+N(AG222)+N(AG225))-N(AG131))/((N(AG199)+N(AG200)+N(AG201)+N(AG204)+N(AG222)+N(AG225))-N(AG131)+AG258),""),"")</f>
        <v>0.2236752967512</v>
      </c>
      <c r="AH316" s="258">
        <f>IFERROR(IF(((N(AH199)+N(AH200)+N(AH201)+N(AH204)+N(AH222)+N(AH225))-N(AH131)+N(AH258))&lt;&gt;0,((N(AH199)+N(AH200)+N(AH201)+N(AH204)+N(AH222)+N(AH225))-N(AH131))/((N(AH199)+N(AH200)+N(AH201)+N(AH204)+N(AH222)+N(AH225))-N(AH131)+AH258),""),"")</f>
        <v>0.219598147042942</v>
      </c>
      <c r="AI316" s="258">
        <f>IFERROR(IF(((N(AI199)+N(AI200)+N(AI201)+N(AI204)+N(AI222)+N(AI225))-N(AI131)+N(AI258))&lt;&gt;0,((N(AI199)+N(AI200)+N(AI201)+N(AI204)+N(AI222)+N(AI225))-N(AI131))/((N(AI199)+N(AI200)+N(AI201)+N(AI204)+N(AI222)+N(AI225))-N(AI131)+AI258),""),"")</f>
        <v>0.225985425637628</v>
      </c>
      <c r="AJ316" s="258">
        <f>IFERROR(IF(((N(AJ199)+N(AJ200)+N(AJ201)+N(AJ204)+N(AJ222)+N(AJ225))-N(AJ131)+N(AJ258))&lt;&gt;0,((N(AJ199)+N(AJ200)+N(AJ201)+N(AJ204)+N(AJ222)+N(AJ225))-N(AJ131))/((N(AJ199)+N(AJ200)+N(AJ201)+N(AJ204)+N(AJ222)+N(AJ225))-N(AJ131)+AJ258),""),"")</f>
        <v>-0.0558325007532192</v>
      </c>
      <c r="AK316" s="258">
        <f>IFERROR(IF(((N(AK199)+N(AK200)+N(AK201)+N(AK204)+N(AK222)+N(AK225))-N(AK131)+N(AK258))&lt;&gt;0,((N(AK199)+N(AK200)+N(AK201)+N(AK204)+N(AK222)+N(AK225))-N(AK131))/((N(AK199)+N(AK200)+N(AK201)+N(AK204)+N(AK222)+N(AK225))-N(AK131)+AK258),""),"")</f>
        <v>-0.109412723770947</v>
      </c>
      <c r="AL316" s="258">
        <f>IFERROR(IF(((N(AL199)+N(AL200)+N(AL201)+N(AL204)+N(AL222)+N(AL225))-N(AL131)+N(AL258))&lt;&gt;0,((N(AL199)+N(AL200)+N(AL201)+N(AL204)+N(AL222)+N(AL225))-N(AL131))/((N(AL199)+N(AL200)+N(AL201)+N(AL204)+N(AL222)+N(AL225))-N(AL131)+AL258),""),"")</f>
        <v>-0.109412723770947</v>
      </c>
      <c r="AM316" s="258">
        <f>IFERROR(IF(((N(AM199)+N(AM200)+N(AM201)+N(AM204)+N(AM222)+N(AM225))-N(AM131)+N(AM258))&lt;&gt;0,((N(AM199)+N(AM200)+N(AM201)+N(AM204)+N(AM222)+N(AM225))-N(AM131))/((N(AM199)+N(AM200)+N(AM201)+N(AM204)+N(AM222)+N(AM225))-N(AM131)+AM258),""),"")</f>
        <v>-0.183978437538787</v>
      </c>
      <c r="AN316" s="258">
        <f>IFERROR(IF(((N(AN199)+N(AN200)+N(AN201)+N(AN204)+N(AN222)+N(AN225))-N(AN131)+N(AN258))&lt;&gt;0,((N(AN199)+N(AN200)+N(AN201)+N(AN204)+N(AN222)+N(AN225))-N(AN131))/((N(AN199)+N(AN200)+N(AN201)+N(AN204)+N(AN222)+N(AN225))-N(AN131)+AN258),""),"")</f>
        <v>-0.254337083307002</v>
      </c>
      <c r="AO316" s="258">
        <f>IFERROR(IF(((N(AO199)+N(AO200)+N(AO201)+N(AO204)+N(AO222)+N(AO225))-N(AO131)+N(AO258))&lt;&gt;0,((N(AO199)+N(AO200)+N(AO201)+N(AO204)+N(AO222)+N(AO225))-N(AO131))/((N(AO199)+N(AO200)+N(AO201)+N(AO204)+N(AO222)+N(AO225))-N(AO131)+AO258),""),"")</f>
        <v>-0.324574094619826</v>
      </c>
      <c r="AP316" s="258">
        <f>IFERROR(IF(((N(AP199)+N(AP200)+N(AP201)+N(AP204)+N(AP222)+N(AP225))-N(AP131)+N(AP258))&lt;&gt;0,((N(AP199)+N(AP200)+N(AP201)+N(AP204)+N(AP222)+N(AP225))-N(AP131))/((N(AP199)+N(AP200)+N(AP201)+N(AP204)+N(AP222)+N(AP225))-N(AP131)+AP258),""),"")</f>
        <v>-0.379064724934417</v>
      </c>
      <c r="AQ316" s="258">
        <f>IFERROR(IF(((N(AQ199)+N(AQ200)+N(AQ201)+N(AQ204)+N(AQ222)+N(AQ225))-N(AQ131)+N(AQ258))&lt;&gt;0,((N(AQ199)+N(AQ200)+N(AQ201)+N(AQ204)+N(AQ222)+N(AQ225))-N(AQ131))/((N(AQ199)+N(AQ200)+N(AQ201)+N(AQ204)+N(AQ222)+N(AQ225))-N(AQ131)+AQ258),""),"")</f>
        <v>-0.379064724934417</v>
      </c>
      <c r="AR316" s="258">
        <f>IFERROR(IF(((N(AR199)+N(AR200)+N(AR201)+N(AR204)+N(AR222)+N(AR225))-N(AR131)+N(AR258))&lt;&gt;0,((N(AR199)+N(AR200)+N(AR201)+N(AR204)+N(AR222)+N(AR225))-N(AR131))/((N(AR199)+N(AR200)+N(AR201)+N(AR204)+N(AR222)+N(AR225))-N(AR131)+AR258),""),"")</f>
        <v>-0.454524318830239</v>
      </c>
      <c r="AS316" s="258">
        <f>IFERROR(IF(((N(AS199)+N(AS200)+N(AS201)+N(AS204)+N(AS222)+N(AS225))-N(AS131)+N(AS258))&lt;&gt;0,((N(AS199)+N(AS200)+N(AS201)+N(AS204)+N(AS222)+N(AS225))-N(AS131))/((N(AS199)+N(AS200)+N(AS201)+N(AS204)+N(AS222)+N(AS225))-N(AS131)+AS258),""),"")</f>
        <v>-0.525726827290702</v>
      </c>
      <c r="AT316" s="258">
        <f>IFERROR(IF(((N(AT199)+N(AT200)+N(AT201)+N(AT204)+N(AT222)+N(AT225))-N(AT131)+N(AT258))&lt;&gt;0,((N(AT199)+N(AT200)+N(AT201)+N(AT204)+N(AT222)+N(AT225))-N(AT131))/((N(AT199)+N(AT200)+N(AT201)+N(AT204)+N(AT222)+N(AT225))-N(AT131)+AT258),""),"")</f>
        <v>-0.596806645446643</v>
      </c>
      <c r="AU316" s="258">
        <f>IFERROR(IF(((N(AU199)+N(AU200)+N(AU201)+N(AU204)+N(AU222)+N(AU225))-N(AU131)+N(AU258))&lt;&gt;0,((N(AU199)+N(AU200)+N(AU201)+N(AU204)+N(AU222)+N(AU225))-N(AU131))/((N(AU199)+N(AU200)+N(AU201)+N(AU204)+N(AU222)+N(AU225))-N(AU131)+AU258),""),"")</f>
        <v>-0.651951411761433</v>
      </c>
      <c r="AV316" s="258">
        <f>IFERROR(IF(((N(AV199)+N(AV200)+N(AV201)+N(AV204)+N(AV222)+N(AV225))-N(AV131)+N(AV258))&lt;&gt;0,((N(AV199)+N(AV200)+N(AV201)+N(AV204)+N(AV222)+N(AV225))-N(AV131))/((N(AV199)+N(AV200)+N(AV201)+N(AV204)+N(AV222)+N(AV225))-N(AV131)+AV258),""),"")</f>
        <v>-0.651951411761433</v>
      </c>
      <c r="AW316" s="258">
        <f>IFERROR(IF(((N(AW199)+N(AW200)+N(AW201)+N(AW204)+N(AW222)+N(AW225))-N(AW131)+N(AW258))&lt;&gt;0,((N(AW199)+N(AW200)+N(AW201)+N(AW204)+N(AW222)+N(AW225))-N(AW131))/((N(AW199)+N(AW200)+N(AW201)+N(AW204)+N(AW222)+N(AW225))-N(AW131)+AW258),""),"")</f>
        <v>-0.727939104993611</v>
      </c>
      <c r="AX316" s="258">
        <f>IFERROR(IF(((N(AX199)+N(AX200)+N(AX201)+N(AX204)+N(AX222)+N(AX225))-N(AX131)+N(AX258))&lt;&gt;0,((N(AX199)+N(AX200)+N(AX201)+N(AX204)+N(AX222)+N(AX225))-N(AX131))/((N(AX199)+N(AX200)+N(AX201)+N(AX204)+N(AX222)+N(AX225))-N(AX131)+AX258),""),"")</f>
        <v>-0.799640150866672</v>
      </c>
      <c r="AY316" s="258">
        <f>IFERROR(IF(((N(AY199)+N(AY200)+N(AY201)+N(AY204)+N(AY222)+N(AY225))-N(AY131)+N(AY258))&lt;&gt;0,((N(AY199)+N(AY200)+N(AY201)+N(AY204)+N(AY222)+N(AY225))-N(AY131))/((N(AY199)+N(AY200)+N(AY201)+N(AY204)+N(AY222)+N(AY225))-N(AY131)+AY258),""),"")</f>
        <v>-0.871217871139621</v>
      </c>
      <c r="AZ316" s="258">
        <f>IFERROR(IF(((N(AZ199)+N(AZ200)+N(AZ201)+N(AZ204)+N(AZ222)+N(AZ225))-N(AZ131)+N(AZ258))&lt;&gt;0,((N(AZ199)+N(AZ200)+N(AZ201)+N(AZ204)+N(AZ222)+N(AZ225))-N(AZ131))/((N(AZ199)+N(AZ200)+N(AZ201)+N(AZ204)+N(AZ222)+N(AZ225))-N(AZ131)+AZ258),""),"")</f>
        <v>-0.926749071219074</v>
      </c>
      <c r="BA316" s="258">
        <f>IFERROR(IF(((N(BA199)+N(BA200)+N(BA201)+N(BA204)+N(BA222)+N(BA225))-N(BA131)+N(BA258))&lt;&gt;0,((N(BA199)+N(BA200)+N(BA201)+N(BA204)+N(BA222)+N(BA225))-N(BA131))/((N(BA199)+N(BA200)+N(BA201)+N(BA204)+N(BA222)+N(BA225))-N(BA131)+BA258),""),"")</f>
        <v>-0.926749071219074</v>
      </c>
      <c r="BB316" s="258">
        <f>IFERROR(IF(((N(BB199)+N(BB200)+N(BB201)+N(BB204)+N(BB222)+N(BB225))-N(BB131)+N(BB258))&lt;&gt;0,((N(BB199)+N(BB200)+N(BB201)+N(BB204)+N(BB222)+N(BB225))-N(BB131))/((N(BB199)+N(BB200)+N(BB201)+N(BB204)+N(BB222)+N(BB225))-N(BB131)+BB258),""),"")</f>
        <v>-1.00288988451766</v>
      </c>
      <c r="BC316" s="258">
        <f>IFERROR(IF(((N(BC199)+N(BC200)+N(BC201)+N(BC204)+N(BC222)+N(BC225))-N(BC131)+N(BC258))&lt;&gt;0,((N(BC199)+N(BC200)+N(BC201)+N(BC204)+N(BC222)+N(BC225))-N(BC131))/((N(BC199)+N(BC200)+N(BC201)+N(BC204)+N(BC222)+N(BC225))-N(BC131)+BC258),""),"")</f>
        <v>-1.07473545173486</v>
      </c>
      <c r="BD316" s="258">
        <f>IFERROR(IF(((N(BD199)+N(BD200)+N(BD201)+N(BD204)+N(BD222)+N(BD225))-N(BD131)+N(BD258))&lt;&gt;0,((N(BD199)+N(BD200)+N(BD201)+N(BD204)+N(BD222)+N(BD225))-N(BD131))/((N(BD199)+N(BD200)+N(BD201)+N(BD204)+N(BD222)+N(BD225))-N(BD131)+BD258),""),"")</f>
        <v>-1.146457482688</v>
      </c>
      <c r="BE316" s="258">
        <f>IFERROR(IF(((N(BE199)+N(BE200)+N(BE201)+N(BE204)+N(BE222)+N(BE225))-N(BE131)+N(BE258))&lt;&gt;0,((N(BE199)+N(BE200)+N(BE201)+N(BE204)+N(BE222)+N(BE225))-N(BE131))/((N(BE199)+N(BE200)+N(BE201)+N(BE204)+N(BE222)+N(BE225))-N(BE131)+BE258),""),"")</f>
        <v>-1.20210066751561</v>
      </c>
      <c r="BF316" s="258">
        <f>IFERROR(IF(((N(BF199)+N(BF200)+N(BF201)+N(BF204)+N(BF222)+N(BF225))-N(BF131)+N(BF258))&lt;&gt;0,((N(BF199)+N(BF200)+N(BF201)+N(BF204)+N(BF222)+N(BF225))-N(BF131))/((N(BF199)+N(BF200)+N(BF201)+N(BF204)+N(BF222)+N(BF225))-N(BF131)+BF258),""),"")</f>
        <v>-1.20210066751561</v>
      </c>
    </row>
    <row r="317" customFormat="1" s="77">
      <c r="A317" s="76" t="n"/>
      <c r="B317" s="76" t="n"/>
    </row>
    <row r="318" customFormat="1" s="77">
      <c r="A318" s="76" t="n"/>
      <c r="B318" s="76" t="n"/>
      <c r="C318" s="74" t="inlineStr">
        <is>
          <t>FINANCIAL RISK RATIOS</t>
        </is>
      </c>
    </row>
    <row r="319" customFormat="1" s="77">
      <c r="A319" s="76" t="n"/>
      <c r="B319" s="76" t="n"/>
      <c r="C319" s="77" t="inlineStr">
        <is>
          <t>EBITDA / TOTAL INTEREST (LTM)</t>
        </is>
      </c>
      <c r="D319" s="82" t="str">
        <f>IFERROR(D56/-D61,"")</f>
        <v/>
      </c>
      <c r="E319" s="82" t="str">
        <f>IFERROR(E56/-E61,"")</f>
        <v/>
      </c>
      <c r="F319" s="82" t="str">
        <f>IFERROR(F56/-F61,"")</f>
        <v/>
      </c>
      <c r="G319" s="82" t="str">
        <f>IFERROR(G56/-G61,"")</f>
        <v/>
      </c>
      <c r="H319" s="262" t="str">
        <f>IFERROR(IF(AND(COUNT(H56)=1,(H61)&lt;&gt;0),(H56)/-(H61),""),"")</f>
        <v/>
      </c>
      <c r="I319" s="262" t="str">
        <f>""</f>
        <v/>
      </c>
      <c r="J319" s="262" t="str">
        <f>""</f>
        <v/>
      </c>
      <c r="K319" s="262" t="str">
        <f>""</f>
        <v/>
      </c>
      <c r="L319" s="262">
        <f>IFERROR(IF(AND(COUNT(I56,J56,K56,L56)=4,(I61+J61+K61+L61)&lt;&gt;0),(I56+J56+K56+L56)/-(I61+J61+K61+L61),""),"")</f>
        <v>10.1019978969506</v>
      </c>
      <c r="M319" s="262">
        <f>IFERROR(IF(AND(COUNT(I56,J56,K56,L56)=4,(I61+J61+K61+L61)&lt;&gt;0),(I56+J56+K56+L56)/-(I61+J61+K61+L61),""),"")</f>
        <v>10.1019978969506</v>
      </c>
      <c r="N319" s="262">
        <f>IFERROR(IF(AND(COUNT(J56,K56,L56,N56)=4,(J61+K61+L61+N61)&lt;&gt;0),(J56+K56+L56+N56)/-(J61+K61+L61+N61),""),"")</f>
        <v>11.2287356321839</v>
      </c>
      <c r="O319" s="262">
        <f>IFERROR(IF(AND(COUNT(K56,L56,N56,O56)=4,(K61+L61+N61+O61)&lt;&gt;0),(K56+L56+N56+O56)/-(K61+L61+N61+O61),""),"")</f>
        <v>11.027114967462</v>
      </c>
      <c r="P319" s="262">
        <f>IFERROR(IF(AND(COUNT(L56,N56,O56,P56)=4,(L61+N61+O61+P61)&lt;&gt;0),(L56+N56+O56+P56)/-(L61+N61+O61+P61),""),"")</f>
        <v>10.746465598492</v>
      </c>
      <c r="Q319" s="262">
        <f>IFERROR(IF(AND(COUNT(N56,O56,P56,Q56)=4,(N61+O61+P61+Q61)&lt;&gt;0),(N56+O56+P56+Q56)/-(N61+O61+P61+Q61),""),"")</f>
        <v>9.68192219679634</v>
      </c>
      <c r="R319" s="262">
        <f>IFERROR(IF(AND(COUNT(N56,O56,P56,Q56)=4,(N61+O61+P61+Q61)&lt;&gt;0),(N56+O56+P56+Q56)/-(N61+O61+P61+Q61),""),"")</f>
        <v>9.68192219679634</v>
      </c>
      <c r="S319" s="262">
        <f>IFERROR(IF(AND(COUNT(O56,P56,Q56,S56)=4,(O61+P61+Q61+S61)&lt;&gt;0),(O56+P56+Q56+S56)/-(O61+P61+Q61+S61),""),"")</f>
        <v>8.25457767277023</v>
      </c>
      <c r="T319" s="262">
        <f>IFERROR(IF(AND(COUNT(P56,Q56,S56,T56)=4,(P61+Q61+S61+T61)&lt;&gt;0),(P56+Q56+S56+T56)/-(P61+Q61+S61+T61),""),"")</f>
        <v>7.35990099009901</v>
      </c>
      <c r="U319" s="262">
        <f>IFERROR(IF(AND(COUNT(Q56,S56,T56,U56)=4,(Q61+S61+T61+U61)&lt;&gt;0),(Q56+S56+T56+U56)/-(Q61+S61+T61+U61),""),"")</f>
        <v>6.09947003668977</v>
      </c>
      <c r="V319" s="262">
        <f>IFERROR(IF(AND(COUNT(S56,T56,U56,V56)=4,(S61+T61+U61+V61)&lt;&gt;0),(S56+T56+U56+V56)/-(S61+T61+U61+V61),""),"")</f>
        <v>4.49207492795389</v>
      </c>
      <c r="W319" s="262">
        <f>IFERROR(IF(AND(COUNT(S56,T56,U56,V56)=4,(S61+T61+U61+V61)&lt;&gt;0),(S56+T56+U56+V56)/-(S61+T61+U61+V61),""),"")</f>
        <v>4.49207492795389</v>
      </c>
      <c r="X319" s="262">
        <f>IFERROR(IF(AND(COUNT(T56,U56,V56,X56)=4,(T61+U61+V61+X61)&lt;&gt;0),(T56+U56+V56+X56)/-(T61+U61+V61+X61),""),"")</f>
        <v>2.82484390404206</v>
      </c>
      <c r="Y319" s="262">
        <f>IFERROR(IF(AND(COUNT(U56,V56,X56,Y56)=4,(U61+V61+X61+Y61)&lt;&gt;0),(U56+V56+X56+Y56)/-(U61+V61+X61+Y61),""),"")</f>
        <v>1.56472392638037</v>
      </c>
      <c r="Z319" s="262">
        <f>IFERROR(IF(AND(COUNT(V56,X56,Y56,Z56)=4,(V61+X61+Y61+Z61)&lt;&gt;0),(V56+X56+Y56+Z56)/-(V61+X61+Y61+Z61),""),"")</f>
        <v>0.632616487455197</v>
      </c>
      <c r="AA319" s="262">
        <f>IFERROR(IF(AND(COUNT(X56,Y56,Z56,AA56)=4,(X61+Y61+Z61+AA61)&lt;&gt;0),(X56+Y56+Z56+AA56)/-(X61+Y61+Z61+AA61),""),"")</f>
        <v>0.636148148148148</v>
      </c>
      <c r="AB319" s="262">
        <f>IFERROR(IF(AND(COUNT(X56,Y56,Z56,AA56)=4,(X61+Y61+Z61+AA61)&lt;&gt;0),(X56+Y56+Z56+AA56)/-(X61+Y61+Z61+AA61),""),"")</f>
        <v>0.636148148148148</v>
      </c>
      <c r="AC319" s="262">
        <f>IFERROR(IF(AND(COUNT(Y56,Z56,AA56,AC56)=4,(Y61+Z61+AA61+AC61)&lt;&gt;0),(Y56+Z56+AA56+AC56)/-(Y61+Z61+AA61+AC61),""),"")</f>
        <v>0.655130905808005</v>
      </c>
      <c r="AD319" s="262">
        <f>IFERROR(IF(AND(COUNT(Z56,AA56,AC56,AD56)=4,(Z61+AA61+AC61+AD61)&lt;&gt;0),(Z56+AA56+AC56+AD56)/-(Z61+AA61+AC61+AD61),""),"")</f>
        <v>0.667683857186451</v>
      </c>
      <c r="AE319" s="262">
        <f>IFERROR(IF(AND(COUNT(AA56,AC56,AD56,AE56)=4,(AA61+AC61+AD61+AE61)&lt;&gt;0),(AA56+AC56+AD56+AE56)/-(AA61+AC61+AD61+AE61),""),"")</f>
        <v>0.703376459450931</v>
      </c>
      <c r="AF319" s="262">
        <f>IFERROR(IF(AND(COUNT(AB56,AD56,AE56,AF56)=4,(AB61+AD61+AE61+AF61)&lt;&gt;0),(AB56+AD56+AE56+AF56)/-(AB61+AD61+AE61+AF61),""),"")</f>
        <v>0.68353982300885</v>
      </c>
      <c r="AG319" s="262">
        <f>IFERROR(IF(AND(COUNT(AC56,AD56,AE56,AF56)=4,(AC61+AD61+AE61+AF61)&lt;&gt;0),(AC56+AD56+AE56+AF56)/-(AC61+AD61+AE61+AF61),""),"")</f>
        <v>0.742072572736188</v>
      </c>
      <c r="AH319" s="262">
        <f>IFERROR(IF(AND(COUNT(AD56,AF56,AG56,AH56)=4,(AD61+AF61+AG61+AH61)&lt;&gt;0),(AD56+AF56+AG56+AH56)/-(AD61+AF61+AG61+AH61),""),"")</f>
        <v>0.760408781226344</v>
      </c>
      <c r="AI319" s="262">
        <f>IFERROR(IF(AND(COUNT(AE56,AG56,AH56,AI56)=4,(AE61+AG61+AH61+AI61)&lt;&gt;0),(AE56+AG56+AH56+AI56)/-(AE61+AG61+AH61+AI61),""),"")</f>
        <v>0.768262445164982</v>
      </c>
      <c r="AJ319" s="262" t="str">
        <f>IFERROR(IF(AND(COUNT(AF56,AH56,AI56,AJ56)=4,(AF61+AH61+AI61+AJ61)&lt;&gt;0),(AF56+AH56+AI56+AJ56)/-(AF61+AH61+AI61+AJ61),""),"")</f>
        <v/>
      </c>
      <c r="AK319" s="262" t="str">
        <f>IFERROR(IF(AND(COUNT(AH56,AI56,AJ56,AK56)=4,(AH61+AI61+AJ61+AK61)&lt;&gt;0),(AH56+AI56+AJ56+AK56)/-(AH61+AI61+AJ61+AK61),""),"")</f>
        <v/>
      </c>
      <c r="AL319" s="262" t="str">
        <f>IFERROR(IF(AND(COUNT(AH56,AI56,AJ56,AK56)=4,(AH61+AI61+AJ61+AK61)&lt;&gt;0),(AH56+AI56+AJ56+AK56)/-(AH61+AI61+AJ61+AK61),""),"")</f>
        <v/>
      </c>
      <c r="AM319" s="262" t="str">
        <f>IFERROR(IF(AND(COUNT(AI56,AJ56,AK56,AM56)=4,(AI61+AJ61+AK61+AM61)&lt;&gt;0),(AI56+AJ56+AK56+AM56)/-(AI61+AJ61+AK61+AM61),""),"")</f>
        <v/>
      </c>
      <c r="AN319" s="262" t="str">
        <f>IFERROR(IF(AND(COUNT(AJ56,AK56,AM56,AN56)=4,(AJ61+AK61+AM61+AN61)&lt;&gt;0),(AJ56+AK56+AM56+AN56)/-(AJ61+AK61+AM61+AN61),""),"")</f>
        <v/>
      </c>
      <c r="AO319" s="262" t="str">
        <f>IFERROR(IF(AND(COUNT(AK56,AM56,AN56,AO56)=4,(AK61+AM61+AN61+AO61)&lt;&gt;0),(AK56+AM56+AN56+AO56)/-(AK61+AM61+AN61+AO61),""),"")</f>
        <v/>
      </c>
      <c r="AP319" s="262" t="str">
        <f>IFERROR(IF(AND(COUNT(AM56,AN56,AO56,AP56)=4,(AM61+AN61+AO61+AP61)&lt;&gt;0),(AM56+AN56+AO56+AP56)/-(AM61+AN61+AO61+AP61),""),"")</f>
        <v/>
      </c>
      <c r="AQ319" s="262" t="str">
        <f>IFERROR(IF(AND(COUNT(AM56,AN56,AO56,AP56)=4,(AM61+AN61+AO61+AP61)&lt;&gt;0),(AM56+AN56+AO56+AP56)/-(AM61+AN61+AO61+AP61),""),"")</f>
        <v/>
      </c>
      <c r="AR319" s="262" t="str">
        <f>IFERROR(IF(AND(COUNT(AN56,AO56,AP56,AR56)=4,(AN61+AO61+AP61+AR61)&lt;&gt;0),(AN56+AO56+AP56+AR56)/-(AN61+AO61+AP61+AR61),""),"")</f>
        <v/>
      </c>
      <c r="AS319" s="262" t="str">
        <f>IFERROR(IF(AND(COUNT(AO56,AP56,AR56,AS56)=4,(AO61+AP61+AR61+AS61)&lt;&gt;0),(AO56+AP56+AR56+AS56)/-(AO61+AP61+AR61+AS61),""),"")</f>
        <v/>
      </c>
      <c r="AT319" s="262" t="str">
        <f>IFERROR(IF(AND(COUNT(AP56,AR56,AS56,AT56)=4,(AP61+AR61+AS61+AT61)&lt;&gt;0),(AP56+AR56+AS56+AT56)/-(AP61+AR61+AS61+AT61),""),"")</f>
        <v/>
      </c>
      <c r="AU319" s="262" t="str">
        <f>IFERROR(IF(AND(COUNT(AR56,AS56,AT56,AU56)=4,(AR61+AS61+AT61+AU61)&lt;&gt;0),(AR56+AS56+AT56+AU56)/-(AR61+AS61+AT61+AU61),""),"")</f>
        <v/>
      </c>
      <c r="AV319" s="262" t="str">
        <f>IFERROR(IF(AND(COUNT(AR56,AS56,AT56,AU56)=4,(AR61+AS61+AT61+AU61)&lt;&gt;0),(AR56+AS56+AT56+AU56)/-(AR61+AS61+AT61+AU61),""),"")</f>
        <v/>
      </c>
      <c r="AW319" s="262" t="str">
        <f>IFERROR(IF(AND(COUNT(AS56,AT56,AU56,AW56)=4,(AS61+AT61+AU61+AW61)&lt;&gt;0),(AS56+AT56+AU56+AW56)/-(AS61+AT61+AU61+AW61),""),"")</f>
        <v/>
      </c>
      <c r="AX319" s="262" t="str">
        <f>IFERROR(IF(AND(COUNT(AT56,AU56,AW56,AX56)=4,(AT61+AU61+AW61+AX61)&lt;&gt;0),(AT56+AU56+AW56+AX56)/-(AT61+AU61+AW61+AX61),""),"")</f>
        <v/>
      </c>
      <c r="AY319" s="262" t="str">
        <f>IFERROR(IF(AND(COUNT(AU56,AW56,AX56,AY56)=4,(AU61+AW61+AX61+AY61)&lt;&gt;0),(AU56+AW56+AX56+AY56)/-(AU61+AW61+AX61+AY61),""),"")</f>
        <v/>
      </c>
      <c r="AZ319" s="262" t="str">
        <f>IFERROR(IF(AND(COUNT(AW56,AX56,AY56,AZ56)=4,(AW61+AX61+AY61+AZ61)&lt;&gt;0),(AW56+AX56+AY56+AZ56)/-(AW61+AX61+AY61+AZ61),""),"")</f>
        <v/>
      </c>
      <c r="BA319" s="262" t="str">
        <f>IFERROR(IF(AND(COUNT(AW56,AX56,AY56,AZ56)=4,(AW61+AX61+AY61+AZ61)&lt;&gt;0),(AW56+AX56+AY56+AZ56)/-(AW61+AX61+AY61+AZ61),""),"")</f>
        <v/>
      </c>
      <c r="BB319" s="262" t="str">
        <f>IFERROR(IF(AND(COUNT(AX56,AY56,AZ56,BB56)=4,(AX61+AY61+AZ61+BB61)&lt;&gt;0),(AX56+AY56+AZ56+BB56)/-(AX61+AY61+AZ61+BB61),""),"")</f>
        <v/>
      </c>
      <c r="BC319" s="262" t="str">
        <f>IFERROR(IF(AND(COUNT(AY56,AZ56,BB56,BC56)=4,(AY61+AZ61+BB61+BC61)&lt;&gt;0),(AY56+AZ56+BB56+BC56)/-(AY61+AZ61+BB61+BC61),""),"")</f>
        <v/>
      </c>
      <c r="BD319" s="262" t="str">
        <f>IFERROR(IF(AND(COUNT(AZ56,BB56,BC56,BD56)=4,(AZ61+BB61+BC61+BD61)&lt;&gt;0),(AZ56+BB56+BC56+BD56)/-(AZ61+BB61+BC61+BD61),""),"")</f>
        <v/>
      </c>
      <c r="BE319" s="262" t="str">
        <f>IFERROR(IF(AND(COUNT(BB56,BC56,BD56,BE56)=4,(BB61+BC61+BD61+BE61)&lt;&gt;0),(BB56+BC56+BD56+BE56)/-(BB61+BC61+BD61+BE61),""),"")</f>
        <v/>
      </c>
      <c r="BF319" s="262" t="str">
        <f>IFERROR(IF(AND(COUNT(BB56,BC56,BD56,BE56)=4,(BB61+BC61+BD61+BE61)&lt;&gt;0),(BB56+BC56+BD56+BE56)/-(BB61+BC61+BD61+BE61),""),"")</f>
        <v/>
      </c>
      <c r="BG319" s="82" t="n"/>
      <c r="BH319" s="82" t="n"/>
      <c r="BI319" s="82" t="n"/>
      <c r="BJ319" s="82" t="n"/>
      <c r="BL319" s="82" t="n"/>
      <c r="BM319" s="82" t="n"/>
      <c r="BN319" s="82" t="n"/>
      <c r="BO319" s="82" t="n"/>
      <c r="BQ319" s="82" t="n"/>
      <c r="BR319" s="82" t="n"/>
      <c r="BS319" s="82" t="n"/>
      <c r="BT319" s="82" t="n"/>
      <c r="BV319" s="82" t="n"/>
      <c r="BW319" s="82" t="n"/>
      <c r="BX319" s="82" t="n"/>
      <c r="BY319" s="82" t="n"/>
      <c r="CA319" s="82" t="n"/>
      <c r="CB319" s="82" t="n"/>
      <c r="CC319" s="82" t="n"/>
      <c r="CD319" s="82" t="n"/>
      <c r="CF319" s="82" t="n"/>
      <c r="CG319" s="82" t="n"/>
      <c r="CH319" s="82" t="n"/>
      <c r="CI319" s="82" t="n"/>
      <c r="CK319" s="82" t="n"/>
      <c r="CL319" s="82" t="n"/>
      <c r="CM319" s="82" t="n"/>
      <c r="CN319" s="82" t="n"/>
      <c r="CP319" s="82" t="n"/>
      <c r="CQ319" s="82" t="n"/>
      <c r="CR319" s="82" t="n"/>
      <c r="CS319" s="82" t="n"/>
      <c r="CU319" s="82" t="n"/>
      <c r="CV319" s="82" t="n"/>
      <c r="CW319" s="82" t="n"/>
      <c r="CX319" s="82" t="n"/>
    </row>
    <row r="320" customFormat="1" s="77">
      <c r="A320" s="76" t="n"/>
      <c r="B320" s="76" t="n"/>
      <c r="C320" s="77" t="inlineStr">
        <is>
          <t>(EBITDA - CAPEX) / TOTAL INTEREST (LTM)</t>
        </is>
      </c>
      <c r="D320" s="82" t="str">
        <f>IFERROR((D56-D155)/-D61,"")</f>
        <v/>
      </c>
      <c r="E320" s="82" t="str">
        <f>IFERROR((E56-E155)/-E61,"")</f>
        <v/>
      </c>
      <c r="F320" s="82" t="str">
        <f>IFERROR((F56-F155)/-F61,"")</f>
        <v/>
      </c>
      <c r="G320" s="82" t="str">
        <f>IFERROR((G56-G155)/-G61,"")</f>
        <v/>
      </c>
      <c r="H320" s="262" t="str">
        <f>IFERROR(IF(AND(COUNT(H56)=1,(H61)&lt;&gt;0),((H56)-(H155))/-(H61),""),"")</f>
        <v/>
      </c>
      <c r="I320" s="262" t="str">
        <f>""</f>
        <v/>
      </c>
      <c r="J320" s="262" t="str">
        <f>""</f>
        <v/>
      </c>
      <c r="K320" s="262" t="str">
        <f>""</f>
        <v/>
      </c>
      <c r="L320" s="262">
        <f>IFERROR(IF(AND(COUNT(I56,J56,K56,L56)=4,(I61+J61+K61+L61)&lt;&gt;0),((I56+J56+K56+L56)-(I155+J155+K155+L155))/-(I61+J61+K61+L61),""),"")</f>
        <v>8.54363827549947</v>
      </c>
      <c r="M320" s="262">
        <f>IFERROR(IF(AND(COUNT(I56,J56,K56,L56)=4,(I61+J61+K61+L61)&lt;&gt;0),((I56+J56+K56+L56)-(I155+J155+K155+L155))/-(I61+J61+K61+L61),""),"")</f>
        <v>8.54363827549947</v>
      </c>
      <c r="N320" s="262">
        <f>IFERROR(IF(AND(COUNT(J56,K56,L56,N56)=4,(J61+K61+L61+N61)&lt;&gt;0),((J56+K56+L56+N56)-(J155+K155+L155+N155))/-(J61+K61+L61+N61),""),"")</f>
        <v>9.01149425287356</v>
      </c>
      <c r="O320" s="262">
        <f>IFERROR(IF(AND(COUNT(K56,L56,N56,O56)=4,(K61+L61+N61+O61)&lt;&gt;0),((K56+L56+N56+O56)-(K155+L155+N155+O155))/-(K61+L61+N61+O61),""),"")</f>
        <v>8.94034707158351</v>
      </c>
      <c r="P320" s="262">
        <f>IFERROR(IF(AND(COUNT(L56,N56,O56,P56)=4,(L61+N61+O61+P61)&lt;&gt;0),((L56+N56+O56+P56)-(L155+N155+O155+P155))/-(L61+N61+O61+P61),""),"")</f>
        <v>8.96041470311027</v>
      </c>
      <c r="Q320" s="262">
        <f>IFERROR(IF(AND(COUNT(N56,O56,P56,Q56)=4,(N61+O61+P61+Q61)&lt;&gt;0),((N56+O56+P56+Q56)-(N155+O155+P155+Q155))/-(N61+O61+P61+Q61),""),"")</f>
        <v>8.23035850495805</v>
      </c>
      <c r="R320" s="262">
        <f>IFERROR(IF(AND(COUNT(N56,O56,P56,Q56)=4,(N61+O61+P61+Q61)&lt;&gt;0),((N56+O56+P56+Q56)-(N155+O155+P155+Q155))/-(N61+O61+P61+Q61),""),"")</f>
        <v>8.23035850495805</v>
      </c>
      <c r="S320" s="262">
        <f>IFERROR(IF(AND(COUNT(O56,P56,Q56,S56)=4,(O61+P61+Q61+S61)&lt;&gt;0),((O56+P56+Q56+S56)-(O155+P155+Q155+S155))/-(O61+P61+Q61+S61),""),"")</f>
        <v>7.09864146485529</v>
      </c>
      <c r="T320" s="262">
        <f>IFERROR(IF(AND(COUNT(P56,Q56,S56,T56)=4,(P61+Q61+S61+T61)&lt;&gt;0),((P56+Q56+S56+T56)-(P155+Q155+S155+T155))/-(P61+Q61+S61+T61),""),"")</f>
        <v>6.38019801980198</v>
      </c>
      <c r="U320" s="262">
        <f>IFERROR(IF(AND(COUNT(Q56,S56,T56,U56)=4,(Q61+S61+T61+U61)&lt;&gt;0),((Q56+S56+T56+U56)-(Q155+S155+T155+U155))/-(Q61+S61+T61+U61),""),"")</f>
        <v>5.28251121076233</v>
      </c>
      <c r="V320" s="262">
        <f>IFERROR(IF(AND(COUNT(S56,T56,U56,V56)=4,(S61+T61+U61+V61)&lt;&gt;0),((S56+T56+U56+V56)-(S155+T155+U155+V155))/-(S61+T61+U61+V61),""),"")</f>
        <v>3.76080691642651</v>
      </c>
      <c r="W320" s="262">
        <f>IFERROR(IF(AND(COUNT(S56,T56,U56,V56)=4,(S61+T61+U61+V61)&lt;&gt;0),((S56+T56+U56+V56)-(S155+T155+U155+V155))/-(S61+T61+U61+V61),""),"")</f>
        <v>3.76080691642651</v>
      </c>
      <c r="X320" s="262">
        <f>IFERROR(IF(AND(COUNT(T56,U56,V56,X56)=4,(T61+U61+V61+X61)&lt;&gt;0),((T56+U56+V56+X56)-(T155+U155+V155+X155))/-(T61+U61+V61+X61),""),"")</f>
        <v>2.1498521196188</v>
      </c>
      <c r="Y320" s="262">
        <f>IFERROR(IF(AND(COUNT(U56,V56,X56,Y56)=4,(U61+V61+X61+Y61)&lt;&gt;0),((U56+V56+X56+Y56)-(U155+V155+X155+Y155))/-(U61+V61+X61+Y61),""),"")</f>
        <v>0.928220858895706</v>
      </c>
      <c r="Z320" s="262">
        <f>IFERROR(IF(AND(COUNT(V56,X56,Y56,Z56)=4,(V61+X61+Y61+Z61)&lt;&gt;0),((V56+X56+Y56+Z56)-(V155+X155+Y155+Z155))/-(V61+X61+Y61+Z61),""),"")</f>
        <v>0</v>
      </c>
      <c r="AA320" s="262">
        <f>IFERROR(IF(AND(COUNT(X56,Y56,Z56,AA56)=4,(X61+Y61+Z61+AA61)&lt;&gt;0),((X56+Y56+Z56+AA56)-(X155+Y155+Z155+AA155))/-(X61+Y61+Z61+AA61),""),"")</f>
        <v>0</v>
      </c>
      <c r="AB320" s="262">
        <f>IFERROR(IF(AND(COUNT(X56,Y56,Z56,AA56)=4,(X61+Y61+Z61+AA61)&lt;&gt;0),((X56+Y56+Z56+AA56)-(X155+Y155+Z155+AA155))/-(X61+Y61+Z61+AA61),""),"")</f>
        <v>0</v>
      </c>
      <c r="AC320" s="262">
        <f>IFERROR(IF(AND(COUNT(Y56,Z56,AA56,AC56)=4,(Y61+Z61+AA61+AC61)&lt;&gt;0),((Y56+Z56+AA56+AC56)-(Y155+Z155+AA155+AC155))/-(Y61+Z61+AA61+AC61),""),"")</f>
        <v>0</v>
      </c>
      <c r="AD320" s="262">
        <f>IFERROR(IF(AND(COUNT(Z56,AA56,AC56,AD56)=4,(Z61+AA61+AC61+AD61)&lt;&gt;0),((Z56+AA56+AC56+AD56)-(Z155+AA155+AC155+AD155))/-(Z61+AA61+AC61+AD61),""),"")</f>
        <v>0</v>
      </c>
      <c r="AE320" s="262">
        <f>IFERROR(IF(AND(COUNT(AA56,AC56,AD56,AE56)=4,(AA61+AC61+AD61+AE61)&lt;&gt;0),((AA56+AC56+AD56+AE56)-(AA155+AC155+AD155+AE155))/-(AA61+AC61+AD61+AE61),""),"")</f>
        <v>0</v>
      </c>
      <c r="AF320" s="262">
        <f>IFERROR(IF(AND(COUNT(AB56,AD56,AE56,AF56)=4,(AB61+AD61+AE61+AF61)&lt;&gt;0),((AB56+AD56+AE56+AF56)-(AB155+AD155+AE155+AF155))/-(AB61+AD61+AE61+AF61),""),"")</f>
        <v>0.38</v>
      </c>
      <c r="AG320" s="262">
        <f>IFERROR(IF(AND(COUNT(AC56,AD56,AE56,AF56)=4,(AC61+AD61+AE61+AF61)&lt;&gt;0),((AC56+AD56+AE56+AF56)-(AC155+AD155+AE155+AF155))/-(AC61+AD61+AE61+AF61),""),"")</f>
        <v>0</v>
      </c>
      <c r="AH320" s="262">
        <f>IFERROR(IF(AND(COUNT(AD56,AF56,AG56,AH56)=4,(AD61+AF61+AG61+AH61)&lt;&gt;0),((AD56+AF56+AG56+AH56)-(AD155+AF155+AG155+AH155))/-(AD61+AF61+AG61+AH61),""),"")</f>
        <v>0</v>
      </c>
      <c r="AI320" s="262">
        <f>IFERROR(IF(AND(COUNT(AE56,AG56,AH56,AI56)=4,(AE61+AG61+AH61+AI61)&lt;&gt;0),((AE56+AG56+AH56+AI56)-(AE155+AG155+AH155+AI155))/-(AE61+AG61+AH61+AI61),""),"")</f>
        <v>0</v>
      </c>
      <c r="AJ320" s="262" t="str">
        <f>IFERROR(IF(AND(COUNT(AF56,AH56,AI56,AJ56)=4,(AF61+AH61+AI61+AJ61)&lt;&gt;0),((AF56+AH56+AI56+AJ56)-(AF155+AH155+AI155+AJ155))/-(AF61+AH61+AI61+AJ61),""),"")</f>
        <v/>
      </c>
      <c r="AK320" s="262" t="str">
        <f>IFERROR(IF(AND(COUNT(AH56,AI56,AJ56,AK56)=4,(AH61+AI61+AJ61+AK61)&lt;&gt;0),((AH56+AI56+AJ56+AK56)-(AH155+AI155+AJ155+AK155))/-(AH61+AI61+AJ61+AK61),""),"")</f>
        <v/>
      </c>
      <c r="AL320" s="262" t="str">
        <f>IFERROR(IF(AND(COUNT(AH56,AI56,AJ56,AK56)=4,(AH61+AI61+AJ61+AK61)&lt;&gt;0),((AH56+AI56+AJ56+AK56)-(AH155+AI155+AJ155+AK155))/-(AH61+AI61+AJ61+AK61),""),"")</f>
        <v/>
      </c>
      <c r="AM320" s="262" t="str">
        <f>IFERROR(IF(AND(COUNT(AI56,AJ56,AK56,AM56)=4,(AI61+AJ61+AK61+AM61)&lt;&gt;0),((AI56+AJ56+AK56+AM56)-(AI155+AJ155+AK155+AM155))/-(AI61+AJ61+AK61+AM61),""),"")</f>
        <v/>
      </c>
      <c r="AN320" s="262" t="str">
        <f>IFERROR(IF(AND(COUNT(AJ56,AK56,AM56,AN56)=4,(AJ61+AK61+AM61+AN61)&lt;&gt;0),((AJ56+AK56+AM56+AN56)-(AJ155+AK155+AM155+AN155))/-(AJ61+AK61+AM61+AN61),""),"")</f>
        <v/>
      </c>
      <c r="AO320" s="262" t="str">
        <f>IFERROR(IF(AND(COUNT(AK56,AM56,AN56,AO56)=4,(AK61+AM61+AN61+AO61)&lt;&gt;0),((AK56+AM56+AN56+AO56)-(AK155+AM155+AN155+AO155))/-(AK61+AM61+AN61+AO61),""),"")</f>
        <v/>
      </c>
      <c r="AP320" s="262" t="str">
        <f>IFERROR(IF(AND(COUNT(AM56,AN56,AO56,AP56)=4,(AM61+AN61+AO61+AP61)&lt;&gt;0),((AM56+AN56+AO56+AP56)-(AM155+AN155+AO155+AP155))/-(AM61+AN61+AO61+AP61),""),"")</f>
        <v/>
      </c>
      <c r="AQ320" s="262" t="str">
        <f>IFERROR(IF(AND(COUNT(AM56,AN56,AO56,AP56)=4,(AM61+AN61+AO61+AP61)&lt;&gt;0),((AM56+AN56+AO56+AP56)-(AM155+AN155+AO155+AP155))/-(AM61+AN61+AO61+AP61),""),"")</f>
        <v/>
      </c>
      <c r="AR320" s="262" t="str">
        <f>IFERROR(IF(AND(COUNT(AN56,AO56,AP56,AR56)=4,(AN61+AO61+AP61+AR61)&lt;&gt;0),((AN56+AO56+AP56+AR56)-(AN155+AO155+AP155+AR155))/-(AN61+AO61+AP61+AR61),""),"")</f>
        <v/>
      </c>
      <c r="AS320" s="262" t="str">
        <f>IFERROR(IF(AND(COUNT(AO56,AP56,AR56,AS56)=4,(AO61+AP61+AR61+AS61)&lt;&gt;0),((AO56+AP56+AR56+AS56)-(AO155+AP155+AR155+AS155))/-(AO61+AP61+AR61+AS61),""),"")</f>
        <v/>
      </c>
      <c r="AT320" s="262" t="str">
        <f>IFERROR(IF(AND(COUNT(AP56,AR56,AS56,AT56)=4,(AP61+AR61+AS61+AT61)&lt;&gt;0),((AP56+AR56+AS56+AT56)-(AP155+AR155+AS155+AT155))/-(AP61+AR61+AS61+AT61),""),"")</f>
        <v/>
      </c>
      <c r="AU320" s="262" t="str">
        <f>IFERROR(IF(AND(COUNT(AR56,AS56,AT56,AU56)=4,(AR61+AS61+AT61+AU61)&lt;&gt;0),((AR56+AS56+AT56+AU56)-(AR155+AS155+AT155+AU155))/-(AR61+AS61+AT61+AU61),""),"")</f>
        <v/>
      </c>
      <c r="AV320" s="262" t="str">
        <f>IFERROR(IF(AND(COUNT(AR56,AS56,AT56,AU56)=4,(AR61+AS61+AT61+AU61)&lt;&gt;0),((AR56+AS56+AT56+AU56)-(AR155+AS155+AT155+AU155))/-(AR61+AS61+AT61+AU61),""),"")</f>
        <v/>
      </c>
      <c r="AW320" s="262" t="str">
        <f>IFERROR(IF(AND(COUNT(AS56,AT56,AU56,AW56)=4,(AS61+AT61+AU61+AW61)&lt;&gt;0),((AS56+AT56+AU56+AW56)-(AS155+AT155+AU155+AW155))/-(AS61+AT61+AU61+AW61),""),"")</f>
        <v/>
      </c>
      <c r="AX320" s="262" t="str">
        <f>IFERROR(IF(AND(COUNT(AT56,AU56,AW56,AX56)=4,(AT61+AU61+AW61+AX61)&lt;&gt;0),((AT56+AU56+AW56+AX56)-(AT155+AU155+AW155+AX155))/-(AT61+AU61+AW61+AX61),""),"")</f>
        <v/>
      </c>
      <c r="AY320" s="262" t="str">
        <f>IFERROR(IF(AND(COUNT(AU56,AW56,AX56,AY56)=4,(AU61+AW61+AX61+AY61)&lt;&gt;0),((AU56+AW56+AX56+AY56)-(AU155+AW155+AX155+AY155))/-(AU61+AW61+AX61+AY61),""),"")</f>
        <v/>
      </c>
      <c r="AZ320" s="262" t="str">
        <f>IFERROR(IF(AND(COUNT(AW56,AX56,AY56,AZ56)=4,(AW61+AX61+AY61+AZ61)&lt;&gt;0),((AW56+AX56+AY56+AZ56)-(AW155+AX155+AY155+AZ155))/-(AW61+AX61+AY61+AZ61),""),"")</f>
        <v/>
      </c>
      <c r="BA320" s="262" t="str">
        <f>IFERROR(IF(AND(COUNT(AW56,AX56,AY56,AZ56)=4,(AW61+AX61+AY61+AZ61)&lt;&gt;0),((AW56+AX56+AY56+AZ56)-(AW155+AX155+AY155+AZ155))/-(AW61+AX61+AY61+AZ61),""),"")</f>
        <v/>
      </c>
      <c r="BB320" s="262" t="str">
        <f>IFERROR(IF(AND(COUNT(AX56,AY56,AZ56,BB56)=4,(AX61+AY61+AZ61+BB61)&lt;&gt;0),((AX56+AY56+AZ56+BB56)-(AX155+AY155+AZ155+BB155))/-(AX61+AY61+AZ61+BB61),""),"")</f>
        <v/>
      </c>
      <c r="BC320" s="262" t="str">
        <f>IFERROR(IF(AND(COUNT(AY56,AZ56,BB56,BC56)=4,(AY61+AZ61+BB61+BC61)&lt;&gt;0),((AY56+AZ56+BB56+BC56)-(AY155+AZ155+BB155+BC155))/-(AY61+AZ61+BB61+BC61),""),"")</f>
        <v/>
      </c>
      <c r="BD320" s="262" t="str">
        <f>IFERROR(IF(AND(COUNT(AZ56,BB56,BC56,BD56)=4,(AZ61+BB61+BC61+BD61)&lt;&gt;0),((AZ56+BB56+BC56+BD56)-(AZ155+BB155+BC155+BD155))/-(AZ61+BB61+BC61+BD61),""),"")</f>
        <v/>
      </c>
      <c r="BE320" s="262" t="str">
        <f>IFERROR(IF(AND(COUNT(BB56,BC56,BD56,BE56)=4,(BB61+BC61+BD61+BE61)&lt;&gt;0),((BB56+BC56+BD56+BE56)-(BB155+BC155+BD155+BE155))/-(BB61+BC61+BD61+BE61),""),"")</f>
        <v/>
      </c>
      <c r="BF320" s="262" t="str">
        <f>IFERROR(IF(AND(COUNT(BB56,BC56,BD56,BE56)=4,(BB61+BC61+BD61+BE61)&lt;&gt;0),((BB56+BC56+BD56+BE56)-(BB155+BC155+BD155+BE155))/-(BB61+BC61+BD61+BE61),""),"")</f>
        <v/>
      </c>
      <c r="BG320" s="82" t="n"/>
      <c r="BH320" s="82" t="n"/>
      <c r="BI320" s="82" t="n"/>
      <c r="BJ320" s="82" t="n"/>
      <c r="BL320" s="82" t="n"/>
      <c r="BM320" s="82" t="n"/>
      <c r="BN320" s="82" t="n"/>
      <c r="BO320" s="82" t="n"/>
      <c r="BQ320" s="82" t="n"/>
      <c r="BR320" s="82" t="n"/>
      <c r="BS320" s="82" t="n"/>
      <c r="BT320" s="82" t="n"/>
      <c r="BV320" s="82" t="n"/>
      <c r="BW320" s="82" t="n"/>
      <c r="BX320" s="82" t="n"/>
      <c r="BY320" s="82" t="n"/>
      <c r="CA320" s="82" t="n"/>
      <c r="CB320" s="82" t="n"/>
      <c r="CC320" s="82" t="n"/>
      <c r="CD320" s="82" t="n"/>
      <c r="CF320" s="82" t="n"/>
      <c r="CG320" s="82" t="n"/>
      <c r="CH320" s="82" t="n"/>
      <c r="CI320" s="82" t="n"/>
      <c r="CK320" s="82" t="n"/>
      <c r="CL320" s="82" t="n"/>
      <c r="CM320" s="82" t="n"/>
      <c r="CN320" s="82" t="n"/>
      <c r="CP320" s="82" t="n"/>
      <c r="CQ320" s="82" t="n"/>
      <c r="CR320" s="82" t="n"/>
      <c r="CS320" s="82" t="n"/>
      <c r="CU320" s="82" t="n"/>
      <c r="CV320" s="82" t="n"/>
      <c r="CW320" s="82" t="n"/>
      <c r="CX320" s="82" t="n"/>
    </row>
    <row r="321" customFormat="1" s="77">
      <c r="A321" s="76" t="n"/>
      <c r="B321" s="76" t="n"/>
      <c r="C321" s="77" t="inlineStr">
        <is>
          <t>TOTAL DEBT / EBITDA (LTM)</t>
        </is>
      </c>
      <c r="D321" s="82" t="str">
        <f>IFERROR(SUM(D199,D200,D201,D204,D222,D225)/D56,"")</f>
        <v/>
      </c>
      <c r="E321" s="82" t="str">
        <f>IFERROR(SUM(E199,E200,E201,E204,E222,E225)/E56,"")</f>
        <v/>
      </c>
      <c r="F321" s="82" t="str">
        <f>IFERROR(SUM(F199,F200,F201,F204,F222,F225)/F56,"")</f>
        <v/>
      </c>
      <c r="G321" s="82" t="str">
        <f>IFERROR(SUM(G199,G200,G201,G204,G222,G225)/G56,"")</f>
        <v/>
      </c>
      <c r="H321" s="262" t="str">
        <f>IFERROR(IF(AND(COUNT(H56)=1,(H56)&lt;&gt;0),(N(H199)+N(H200)+N(H201)+N(H204)+N(H222)+N(H225))/(H56),""),"")</f>
        <v/>
      </c>
      <c r="I321" s="262" t="str">
        <f>""</f>
        <v/>
      </c>
      <c r="J321" s="262" t="str">
        <f>""</f>
        <v/>
      </c>
      <c r="K321" s="262" t="str">
        <f>""</f>
        <v/>
      </c>
      <c r="L321" s="262">
        <f>IFERROR(IF(AND(COUNT(I56,J56,K56,L56)=4,(I56+J56+K56+L56)&lt;&gt;0),(N(L199)+N(L200)+N(L201)+N(L204)+N(L222)+N(L225))/(I56+J56+K56+L56),""),"")</f>
        <v>4.56209014260435</v>
      </c>
      <c r="M321" s="262">
        <f>IFERROR(IF(AND(COUNT(I56,J56,K56,L56)=4,(I56+J56+K56+L56)&lt;&gt;0),(N(M199)+N(M200)+N(M201)+N(M204)+N(M222)+N(M225))/(I56+J56+K56+L56),""),"")</f>
        <v>4.56209014260435</v>
      </c>
      <c r="N321" s="262">
        <f>IFERROR(IF(AND(COUNT(J56,K56,L56,N56)=4,(J56+K56+L56+N56)&lt;&gt;0),(N(N199)+N(N200)+N(N201)+N(N204)+N(N222)+N(N225))/(J56+K56+L56+N56),""),"")</f>
        <v>4.59207697819634</v>
      </c>
      <c r="O321" s="262">
        <f>IFERROR(IF(AND(COUNT(K56,L56,N56,O56)=4,(K56+L56+N56+O56)&lt;&gt;0),(N(O199)+N(O200)+N(O201)+N(O204)+N(O222)+N(O225))/(K56+L56+N56+O56),""),"")</f>
        <v>1.39431494049375</v>
      </c>
      <c r="P321" s="262">
        <f>IFERROR(IF(AND(COUNT(L56,N56,O56,P56)=4,(L56+N56+O56+P56)&lt;&gt;0),(N(P199)+N(P200)+N(P201)+N(P204)+N(P222)+N(P225))/(L56+N56+O56+P56),""),"")</f>
        <v>1.1043676547974</v>
      </c>
      <c r="Q321" s="262">
        <f>IFERROR(IF(AND(COUNT(N56,O56,P56,Q56)=4,(N56+O56+P56+Q56)&lt;&gt;0),(N(Q199)+N(Q200)+N(Q201)+N(Q204)+N(Q222)+N(Q225))/(N56+O56+P56+Q56),""),"")</f>
        <v>1.11313322303632</v>
      </c>
      <c r="R321" s="262">
        <f>IFERROR(IF(AND(COUNT(N56,O56,P56,Q56)=4,(N56+O56+P56+Q56)&lt;&gt;0),(N(R199)+N(R200)+N(R201)+N(R204)+N(R222)+N(R225))/(N56+O56+P56+Q56),""),"")</f>
        <v>1.11313322303632</v>
      </c>
      <c r="S321" s="262">
        <f>IFERROR(IF(AND(COUNT(O56,P56,Q56,S56)=4,(O56+P56+Q56+S56)&lt;&gt;0),(N(S199)+N(S200)+N(S201)+N(S204)+N(S222)+N(S225))/(O56+P56+Q56+S56),""),"")</f>
        <v>1.22425760286225</v>
      </c>
      <c r="T321" s="262">
        <f>IFERROR(IF(AND(COUNT(P56,Q56,S56,T56)=4,(P56+Q56+S56+T56)&lt;&gt;0),(N(T199)+N(T200)+N(T201)+N(T204)+N(T222)+N(T225))/(P56+Q56+S56+T56),""),"")</f>
        <v>1.15309073787583</v>
      </c>
      <c r="U321" s="262">
        <f>IFERROR(IF(AND(COUNT(Q56,S56,T56,U56)=4,(Q56+S56+T56+U56)&lt;&gt;0),(N(U199)+N(U200)+N(U201)+N(U204)+N(U222)+N(U225))/(Q56+S56+T56+U56),""),"")</f>
        <v>1.19897072583879</v>
      </c>
      <c r="V321" s="262">
        <f>IFERROR(IF(AND(COUNT(S56,T56,U56,V56)=4,(S56+T56+U56+V56)&lt;&gt;0),(N(V199)+N(V200)+N(V201)+N(V204)+N(V222)+N(V225))/(S56+T56+U56+V56),""),"")</f>
        <v>1.37265437048917</v>
      </c>
      <c r="W321" s="262">
        <f>IFERROR(IF(AND(COUNT(S56,T56,U56,V56)=4,(S56+T56+U56+V56)&lt;&gt;0),(N(W199)+N(W200)+N(W201)+N(W204)+N(W222)+N(W225))/(S56+T56+U56+V56),""),"")</f>
        <v>1.37265437048917</v>
      </c>
      <c r="X321" s="262">
        <f>IFERROR(IF(AND(COUNT(T56,U56,V56,X56)=4,(T56+U56+V56+X56)&lt;&gt;0),(N(X199)+N(X200)+N(X201)+N(X204)+N(X222)+N(X225))/(T56+U56+V56+X56),""),"")</f>
        <v>2.05898092135877</v>
      </c>
      <c r="Y321" s="262">
        <f>IFERROR(IF(AND(COUNT(U56,V56,X56,Y56)=4,(U56+V56+X56+Y56)&lt;&gt;0),(N(Y199)+N(Y200)+N(Y201)+N(Y204)+N(Y222)+N(Y225))/(U56+V56+X56+Y56),""),"")</f>
        <v>2.99823564007057</v>
      </c>
      <c r="Z321" s="262">
        <f>IFERROR(IF(AND(COUNT(V56,X56,Y56,Z56)=4,(V56+X56+Y56+Z56)&lt;&gt;0),(N(Z199)+N(Z200)+N(Z201)+N(Z204)+N(Z222)+N(Z225))/(V56+X56+Y56+Z56),""),"")</f>
        <v>6.38951841359773</v>
      </c>
      <c r="AA321" s="262">
        <f>IFERROR(IF(AND(COUNT(X56,Y56,Z56,AA56)=4,(X56+Y56+Z56+AA56)&lt;&gt;0),(N(AA199)+N(AA200)+N(AA201)+N(AA204)+N(AA222)+N(AA225))/(X56+Y56+Z56+AA56),""),"")</f>
        <v>5.96693060083838</v>
      </c>
      <c r="AB321" s="262">
        <f>IFERROR(IF(AND(COUNT(X56,Y56,Z56,AA56)=4,(X56+Y56+Z56+AA56)&lt;&gt;0),(N(AB199)+N(AB200)+N(AB201)+N(AB204)+N(AB222)+N(AB225))/(X56+Y56+Z56+AA56),""),"")</f>
        <v>5.96693060083838</v>
      </c>
      <c r="AC321" s="262">
        <f>IFERROR(IF(AND(COUNT(Y56,Z56,AA56,AC56)=4,(Y56+Z56+AA56+AC56)&lt;&gt;0),(N(AC199)+N(AC200)+N(AC201)+N(AC204)+N(AC222)+N(AC225))/(Y56+Z56+AA56+AC56),""),"")</f>
        <v>7.32567753789619</v>
      </c>
      <c r="AD321" s="262">
        <f>IFERROR(IF(AND(COUNT(Z56,AA56,AC56,AD56)=4,(Z56+AA56+AC56+AD56)&lt;&gt;0),(N(AD199)+N(AD200)+N(AD201)+N(AD204)+N(AD222)+N(AD225))/(Z56+AA56+AC56+AD56),""),"")</f>
        <v>6.67595978062157</v>
      </c>
      <c r="AE321" s="262">
        <f>IFERROR(IF(AND(COUNT(AA56,AC56,AD56,AE56)=4,(AA56+AC56+AD56+AE56)&lt;&gt;0),(N(AE199)+N(AE200)+N(AE201)+N(AE204)+N(AE222)+N(AE225))/(AA56+AC56+AD56+AE56),""),"")</f>
        <v>6.18932256617317</v>
      </c>
      <c r="AF321" s="262">
        <f>IFERROR(IF(AND(COUNT(AB56,AD56,AE56,AF56)=4,(AB56+AD56+AE56+AF56)&lt;&gt;0),(N(AF199)+N(AF200)+N(AF201)+N(AF204)+N(AF222)+N(AF225))/(AB56+AD56+AE56+AF56),""),"")</f>
        <v>3.72656654583118</v>
      </c>
      <c r="AG321" s="262">
        <f>IFERROR(IF(AND(COUNT(AC56,AD56,AE56,AF56)=4,(AC56+AD56+AE56+AF56)&lt;&gt;0),(N(AG199)+N(AG200)+N(AG201)+N(AG204)+N(AG222)+N(AG225))/(AC56+AD56+AE56+AF56),""),"")</f>
        <v>6.34008810572687</v>
      </c>
      <c r="AH321" s="262">
        <f>IFERROR(IF(AND(COUNT(AD56,AF56,AG56,AH56)=4,(AD56+AF56+AG56+AH56)&lt;&gt;0),(N(AH199)+N(AH200)+N(AH201)+N(AH204)+N(AH222)+N(AH225))/(AD56+AF56+AG56+AH56),""),"")</f>
        <v>3.89049278247885</v>
      </c>
      <c r="AI321" s="262">
        <f>IFERROR(IF(AND(COUNT(AE56,AG56,AH56,AI56)=4,(AE56+AG56+AH56+AI56)&lt;&gt;0),(N(AI199)+N(AI200)+N(AI201)+N(AI204)+N(AI222)+N(AI225))/(AE56+AG56+AH56+AI56),""),"")</f>
        <v>4.24900695134062</v>
      </c>
      <c r="AJ321" s="262">
        <f>IFERROR(IF(AND(COUNT(AF56,AH56,AI56,AJ56)=4,(AF56+AH56+AI56+AJ56)&lt;&gt;0),(N(AJ199)+N(AJ200)+N(AJ201)+N(AJ204)+N(AJ222)+N(AJ225))/(AF56+AH56+AI56+AJ56),""),"")</f>
        <v>7.15030853968434</v>
      </c>
      <c r="AK321" s="262">
        <f>IFERROR(IF(AND(COUNT(AH56,AI56,AJ56,AK56)=4,(AH56+AI56+AJ56+AK56)&lt;&gt;0),(N(AK199)+N(AK200)+N(AK201)+N(AK204)+N(AK222)+N(AK225))/(AH56+AI56+AJ56+AK56),""),"")</f>
        <v>7.52639561162847</v>
      </c>
      <c r="AL321" s="262">
        <f>IFERROR(IF(AND(COUNT(AH56,AI56,AJ56,AK56)=4,(AH56+AI56+AJ56+AK56)&lt;&gt;0),(N(AL199)+N(AL200)+N(AL201)+N(AL204)+N(AL222)+N(AL225))/(AH56+AI56+AJ56+AK56),""),"")</f>
        <v>7.52639561162847</v>
      </c>
      <c r="AM321" s="262">
        <f>IFERROR(IF(AND(COUNT(AI56,AJ56,AK56,AM56)=4,(AI56+AJ56+AK56+AM56)&lt;&gt;0),(N(AM199)+N(AM200)+N(AM201)+N(AM204)+N(AM222)+N(AM225))/(AI56+AJ56+AK56+AM56),""),"")</f>
        <v>7.33190102666772</v>
      </c>
      <c r="AN321" s="262">
        <f>IFERROR(IF(AND(COUNT(AJ56,AK56,AM56,AN56)=4,(AJ56+AK56+AM56+AN56)&lt;&gt;0),(N(AN199)+N(AN200)+N(AN201)+N(AN204)+N(AN222)+N(AN225))/(AJ56+AK56+AM56+AN56),""),"")</f>
        <v>7.2879518087006</v>
      </c>
      <c r="AO321" s="262">
        <f>IFERROR(IF(AND(COUNT(AK56,AM56,AN56,AO56)=4,(AK56+AM56+AN56+AO56)&lt;&gt;0),(N(AO199)+N(AO200)+N(AO201)+N(AO204)+N(AO222)+N(AO225))/(AK56+AM56+AN56+AO56),""),"")</f>
        <v>7.25985291152735</v>
      </c>
      <c r="AP321" s="262">
        <f>IFERROR(IF(AND(COUNT(AM56,AN56,AO56,AP56)=4,(AM56+AN56+AO56+AP56)&lt;&gt;0),(N(AP199)+N(AP200)+N(AP201)+N(AP204)+N(AP222)+N(AP225))/(AM56+AN56+AO56+AP56),""),"")</f>
        <v>7.23821216803651</v>
      </c>
      <c r="AQ321" s="262">
        <f>IFERROR(IF(AND(COUNT(AM56,AN56,AO56,AP56)=4,(AM56+AN56+AO56+AP56)&lt;&gt;0),(N(AQ199)+N(AQ200)+N(AQ201)+N(AQ204)+N(AQ222)+N(AQ225))/(AM56+AN56+AO56+AP56),""),"")</f>
        <v>7.23821216803651</v>
      </c>
      <c r="AR321" s="262">
        <f>IFERROR(IF(AND(COUNT(AN56,AO56,AP56,AR56)=4,(AN56+AO56+AP56+AR56)&lt;&gt;0),(N(AR199)+N(AR200)+N(AR201)+N(AR204)+N(AR222)+N(AR225))/(AN56+AO56+AP56+AR56),""),"")</f>
        <v>7.21826942606894</v>
      </c>
      <c r="AS321" s="262">
        <f>IFERROR(IF(AND(COUNT(AO56,AP56,AR56,AS56)=4,(AO56+AP56+AR56+AS56)&lt;&gt;0),(N(AS199)+N(AS200)+N(AS201)+N(AS204)+N(AS222)+N(AS225))/(AO56+AP56+AR56+AS56),""),"")</f>
        <v>7.19956230605752</v>
      </c>
      <c r="AT321" s="262">
        <f>IFERROR(IF(AND(COUNT(AP56,AR56,AS56,AT56)=4,(AP56+AR56+AS56+AT56)&lt;&gt;0),(N(AT199)+N(AT200)+N(AT201)+N(AT204)+N(AT222)+N(AT225))/(AP56+AR56+AS56+AT56),""),"")</f>
        <v>7.1809935471965</v>
      </c>
      <c r="AU321" s="262">
        <f>IFERROR(IF(AND(COUNT(AR56,AS56,AT56,AU56)=4,(AR56+AS56+AT56+AU56)&lt;&gt;0),(N(AU199)+N(AU200)+N(AU201)+N(AU204)+N(AU222)+N(AU225))/(AR56+AS56+AT56+AU56),""),"")</f>
        <v>7.16666009921849</v>
      </c>
      <c r="AV321" s="262">
        <f>IFERROR(IF(AND(COUNT(AR56,AS56,AT56,AU56)=4,(AR56+AS56+AT56+AU56)&lt;&gt;0),(N(AV199)+N(AV200)+N(AV201)+N(AV204)+N(AV222)+N(AV225))/(AR56+AS56+AT56+AU56),""),"")</f>
        <v>7.16666009921849</v>
      </c>
      <c r="AW321" s="262">
        <f>IFERROR(IF(AND(COUNT(AS56,AT56,AU56,AW56)=4,(AS56+AT56+AU56+AW56)&lt;&gt;0),(N(AW199)+N(AW200)+N(AW201)+N(AW204)+N(AW222)+N(AW225))/(AS56+AT56+AU56+AW56),""),"")</f>
        <v>7.15678948214477</v>
      </c>
      <c r="AX321" s="262">
        <f>IFERROR(IF(AND(COUNT(AT56,AU56,AW56,AX56)=4,(AT56+AU56+AW56+AX56)&lt;&gt;0),(N(AX199)+N(AX200)+N(AX201)+N(AX204)+N(AX222)+N(AX225))/(AT56+AU56+AW56+AX56),""),"")</f>
        <v>7.14750560727394</v>
      </c>
      <c r="AY321" s="262">
        <f>IFERROR(IF(AND(COUNT(AU56,AW56,AX56,AY56)=4,(AU56+AW56+AX56+AY56)&lt;&gt;0),(N(AY199)+N(AY200)+N(AY201)+N(AY204)+N(AY222)+N(AY225))/(AU56+AW56+AX56+AY56),""),"")</f>
        <v>7.13826653654698</v>
      </c>
      <c r="AZ321" s="262">
        <f>IFERROR(IF(AND(COUNT(AW56,AX56,AY56,AZ56)=4,(AW56+AX56+AY56+AZ56)&lt;&gt;0),(N(AZ199)+N(AZ200)+N(AZ201)+N(AZ204)+N(AZ222)+N(AZ225))/(AW56+AX56+AY56+AZ56),""),"")</f>
        <v>7.13111847103787</v>
      </c>
      <c r="BA321" s="262">
        <f>IFERROR(IF(AND(COUNT(AW56,AX56,AY56,AZ56)=4,(AW56+AX56+AY56+AZ56)&lt;&gt;0),(N(BA199)+N(BA200)+N(BA201)+N(BA204)+N(BA222)+N(BA225))/(AW56+AX56+AY56+AZ56),""),"")</f>
        <v>7.13111847103787</v>
      </c>
      <c r="BB321" s="262">
        <f>IFERROR(IF(AND(COUNT(AX56,AY56,AZ56,BB56)=4,(AX56+AY56+AZ56+BB56)&lt;&gt;0),(N(BB199)+N(BB200)+N(BB201)+N(BB204)+N(BB222)+N(BB225))/(AX56+AY56+AZ56+BB56),""),"")</f>
        <v>7.13111847103787</v>
      </c>
      <c r="BC321" s="262">
        <f>IFERROR(IF(AND(COUNT(AY56,AZ56,BB56,BC56)=4,(AY56+AZ56+BB56+BC56)&lt;&gt;0),(N(BC199)+N(BC200)+N(BC201)+N(BC204)+N(BC222)+N(BC225))/(AY56+AZ56+BB56+BC56),""),"")</f>
        <v>7.13111847103787</v>
      </c>
      <c r="BD321" s="262">
        <f>IFERROR(IF(AND(COUNT(AZ56,BB56,BC56,BD56)=4,(AZ56+BB56+BC56+BD56)&lt;&gt;0),(N(BD199)+N(BD200)+N(BD201)+N(BD204)+N(BD222)+N(BD225))/(AZ56+BB56+BC56+BD56),""),"")</f>
        <v>7.13111847103787</v>
      </c>
      <c r="BE321" s="262">
        <f>IFERROR(IF(AND(COUNT(BB56,BC56,BD56,BE56)=4,(BB56+BC56+BD56+BE56)&lt;&gt;0),(N(BE199)+N(BE200)+N(BE201)+N(BE204)+N(BE222)+N(BE225))/(BB56+BC56+BD56+BE56),""),"")</f>
        <v>7.13111847103787</v>
      </c>
      <c r="BF321" s="262">
        <f>IFERROR(IF(AND(COUNT(BB56,BC56,BD56,BE56)=4,(BB56+BC56+BD56+BE56)&lt;&gt;0),(N(BF199)+N(BF200)+N(BF201)+N(BF204)+N(BF222)+N(BF225))/(BB56+BC56+BD56+BE56),""),"")</f>
        <v>7.13111847103787</v>
      </c>
      <c r="BG321" s="82" t="n"/>
      <c r="BH321" s="82" t="n"/>
      <c r="BI321" s="82" t="n"/>
      <c r="BJ321" s="82" t="n"/>
      <c r="BL321" s="82" t="n"/>
      <c r="BM321" s="82" t="n"/>
      <c r="BN321" s="82" t="n"/>
      <c r="BO321" s="82" t="n"/>
      <c r="BQ321" s="82" t="n"/>
      <c r="BR321" s="82" t="n"/>
      <c r="BS321" s="82" t="n"/>
      <c r="BT321" s="82" t="n"/>
      <c r="BV321" s="82" t="n"/>
      <c r="BW321" s="82" t="n"/>
      <c r="BX321" s="82" t="n"/>
      <c r="BY321" s="82" t="n"/>
      <c r="CA321" s="82" t="n"/>
      <c r="CB321" s="82" t="n"/>
      <c r="CC321" s="82" t="n"/>
      <c r="CD321" s="82" t="n"/>
      <c r="CF321" s="82" t="n"/>
      <c r="CG321" s="82" t="n"/>
      <c r="CH321" s="82" t="n"/>
      <c r="CI321" s="82" t="n"/>
      <c r="CK321" s="82" t="n"/>
      <c r="CL321" s="82" t="n"/>
      <c r="CM321" s="82" t="n"/>
      <c r="CN321" s="82" t="n"/>
      <c r="CP321" s="82" t="n"/>
      <c r="CQ321" s="82" t="n"/>
      <c r="CR321" s="82" t="n"/>
      <c r="CS321" s="82" t="n"/>
      <c r="CU321" s="82" t="n"/>
      <c r="CV321" s="82" t="n"/>
      <c r="CW321" s="82" t="n"/>
      <c r="CX321" s="82" t="n"/>
    </row>
    <row r="322" customFormat="1" s="77">
      <c r="A322" s="76" t="n"/>
      <c r="B322" s="76" t="n"/>
      <c r="C322" s="77" t="inlineStr">
        <is>
          <t>TOTAL DEBT / TOTAL CAPITALIZATION</t>
        </is>
      </c>
      <c r="D322" s="80" t="str">
        <f>IFERROR(SUM(D199+D200+D201+D204+D222+D225)/(SUM(D199+D200+D201+D204+D222+D225)+D258),"")</f>
        <v/>
      </c>
      <c r="E322" s="80" t="str">
        <f>IFERROR(SUM(E199+E200+E201+E204+E222+E225)/(SUM(E199+E200+E201+E204+E222+E225)+E258),"")</f>
        <v/>
      </c>
      <c r="F322" s="80" t="str">
        <f>IFERROR(SUM(F199+F200+F201+F204+F222+F225)/(SUM(F199+F200+F201+F204+F222+F225)+F258),"")</f>
        <v/>
      </c>
      <c r="G322" s="80" t="str">
        <f>IFERROR(SUM(G199+G200+G201+G204+G222+G225)/(SUM(G199+G200+G201+G204+G222+G225)+G258),"")</f>
        <v/>
      </c>
      <c r="H322" s="258" t="str">
        <f>IFERROR(IF(((N(H199)+N(H200)+N(H201)+N(H204)+N(H222)+N(H225))+N(H258))&lt;&gt;0,(N(H199)+N(H200)+N(H201)+N(H204)+N(H222)+N(H225))/((N(H199)+N(H200)+N(H201)+N(H204)+N(H222)+N(H225))+H258),""),"")</f>
        <v/>
      </c>
      <c r="I322" s="258">
        <f>IFERROR(IF(((N(I199)+N(I200)+N(I201)+N(I204)+N(I222)+N(I225))+N(I258))&lt;&gt;0,(N(I199)+N(I200)+N(I201)+N(I204)+N(I222)+N(I225))/((N(I199)+N(I200)+N(I201)+N(I204)+N(I222)+N(I225))+I258),""),"")</f>
        <v>0.688369596631023</v>
      </c>
      <c r="J322" s="258">
        <f>IFERROR(IF(((N(J199)+N(J200)+N(J201)+N(J204)+N(J222)+N(J225))+N(J258))&lt;&gt;0,(N(J199)+N(J200)+N(J201)+N(J204)+N(J222)+N(J225))/((N(J199)+N(J200)+N(J201)+N(J204)+N(J222)+N(J225))+J258),""),"")</f>
        <v>0.730677713679237</v>
      </c>
      <c r="K322" s="258">
        <f>IFERROR(IF(((N(K199)+N(K200)+N(K201)+N(K204)+N(K222)+N(K225))+N(K258))&lt;&gt;0,(N(K199)+N(K200)+N(K201)+N(K204)+N(K222)+N(K225))/((N(K199)+N(K200)+N(K201)+N(K204)+N(K222)+N(K225))+K258),""),"")</f>
        <v>0.70382866599187</v>
      </c>
      <c r="L322" s="258">
        <f>IFERROR(IF(((N(L199)+N(L200)+N(L201)+N(L204)+N(L222)+N(L225))+N(L258))&lt;&gt;0,(N(L199)+N(L200)+N(L201)+N(L204)+N(L222)+N(L225))/((N(L199)+N(L200)+N(L201)+N(L204)+N(L222)+N(L225))+L258),""),"")</f>
        <v>0.711077941462782</v>
      </c>
      <c r="M322" s="258">
        <f>IFERROR(IF(((N(M199)+N(M200)+N(M201)+N(M204)+N(M222)+N(M225))+N(M258))&lt;&gt;0,(N(M199)+N(M200)+N(M201)+N(M204)+N(M222)+N(M225))/((N(M199)+N(M200)+N(M201)+N(M204)+N(M222)+N(M225))+M258),""),"")</f>
        <v>0.711077941462782</v>
      </c>
      <c r="N322" s="258">
        <f>IFERROR(IF(((N(N199)+N(N200)+N(N201)+N(N204)+N(N222)+N(N225))+N(N258))&lt;&gt;0,(N(N199)+N(N200)+N(N201)+N(N204)+N(N222)+N(N225))/((N(N199)+N(N200)+N(N201)+N(N204)+N(N222)+N(N225))+N258),""),"")</f>
        <v>0.702408167099865</v>
      </c>
      <c r="O322" s="258">
        <f>IFERROR(IF(((N(O199)+N(O200)+N(O201)+N(O204)+N(O222)+N(O225))+N(O258))&lt;&gt;0,(N(O199)+N(O200)+N(O201)+N(O204)+N(O222)+N(O225))/((N(O199)+N(O200)+N(O201)+N(O204)+N(O222)+N(O225))+O258),""),"")</f>
        <v>0.425616236827093</v>
      </c>
      <c r="P322" s="258">
        <f>IFERROR(IF(((N(P199)+N(P200)+N(P201)+N(P204)+N(P222)+N(P225))+N(P258))&lt;&gt;0,(N(P199)+N(P200)+N(P201)+N(P204)+N(P222)+N(P225))/((N(P199)+N(P200)+N(P201)+N(P204)+N(P222)+N(P225))+P258),""),"")</f>
        <v>0.382166378342287</v>
      </c>
      <c r="Q322" s="258">
        <f>IFERROR(IF(((N(Q199)+N(Q200)+N(Q201)+N(Q204)+N(Q222)+N(Q225))+N(Q258))&lt;&gt;0,(N(Q199)+N(Q200)+N(Q201)+N(Q204)+N(Q222)+N(Q225))/((N(Q199)+N(Q200)+N(Q201)+N(Q204)+N(Q222)+N(Q225))+Q258),""),"")</f>
        <v>0.397272599465767</v>
      </c>
      <c r="R322" s="258">
        <f>IFERROR(IF(((N(R199)+N(R200)+N(R201)+N(R204)+N(R222)+N(R225))+N(R258))&lt;&gt;0,(N(R199)+N(R200)+N(R201)+N(R204)+N(R222)+N(R225))/((N(R199)+N(R200)+N(R201)+N(R204)+N(R222)+N(R225))+R258),""),"")</f>
        <v>0.397272599465767</v>
      </c>
      <c r="S322" s="258">
        <f>IFERROR(IF(((N(S199)+N(S200)+N(S201)+N(S204)+N(S222)+N(S225))+N(S258))&lt;&gt;0,(N(S199)+N(S200)+N(S201)+N(S204)+N(S222)+N(S225))/((N(S199)+N(S200)+N(S201)+N(S204)+N(S222)+N(S225))+S258),""),"")</f>
        <v>0.431936379702095</v>
      </c>
      <c r="T322" s="258">
        <f>IFERROR(IF(((N(T199)+N(T200)+N(T201)+N(T204)+N(T222)+N(T225))+N(T258))&lt;&gt;0,(N(T199)+N(T200)+N(T201)+N(T204)+N(T222)+N(T225))/((N(T199)+N(T200)+N(T201)+N(T204)+N(T222)+N(T225))+T258),""),"")</f>
        <v>0.42543739918104</v>
      </c>
      <c r="U322" s="258">
        <f>IFERROR(IF(((N(U199)+N(U200)+N(U201)+N(U204)+N(U222)+N(U225))+N(U258))&lt;&gt;0,(N(U199)+N(U200)+N(U201)+N(U204)+N(U222)+N(U225))/((N(U199)+N(U200)+N(U201)+N(U204)+N(U222)+N(U225))+U258),""),"")</f>
        <v>0.450445699937225</v>
      </c>
      <c r="V322" s="258">
        <f>IFERROR(IF(((N(V199)+N(V200)+N(V201)+N(V204)+N(V222)+N(V225))+N(V258))&lt;&gt;0,(N(V199)+N(V200)+N(V201)+N(V204)+N(V222)+N(V225))/((N(V199)+N(V200)+N(V201)+N(V204)+N(V222)+N(V225))+V258),""),"")</f>
        <v>0.435591408794788</v>
      </c>
      <c r="W322" s="258">
        <f>IFERROR(IF(((N(W199)+N(W200)+N(W201)+N(W204)+N(W222)+N(W225))+N(W258))&lt;&gt;0,(N(W199)+N(W200)+N(W201)+N(W204)+N(W222)+N(W225))/((N(W199)+N(W200)+N(W201)+N(W204)+N(W222)+N(W225))+W258),""),"")</f>
        <v>0.435591408794788</v>
      </c>
      <c r="X322" s="258">
        <f>IFERROR(IF(((N(X199)+N(X200)+N(X201)+N(X204)+N(X222)+N(X225))+N(X258))&lt;&gt;0,(N(X199)+N(X200)+N(X201)+N(X204)+N(X222)+N(X225))/((N(X199)+N(X200)+N(X201)+N(X204)+N(X222)+N(X225))+X258),""),"")</f>
        <v>0.437174262072373</v>
      </c>
      <c r="Y322" s="258">
        <f>IFERROR(IF(((N(Y199)+N(Y200)+N(Y201)+N(Y204)+N(Y222)+N(Y225))+N(Y258))&lt;&gt;0,(N(Y199)+N(Y200)+N(Y201)+N(Y204)+N(Y222)+N(Y225))/((N(Y199)+N(Y200)+N(Y201)+N(Y204)+N(Y222)+N(Y225))+Y258),""),"")</f>
        <v>0.397835756834794</v>
      </c>
      <c r="Z322" s="258">
        <f>IFERROR(IF(((N(Z199)+N(Z200)+N(Z201)+N(Z204)+N(Z222)+N(Z225))+N(Z258))&lt;&gt;0,(N(Z199)+N(Z200)+N(Z201)+N(Z204)+N(Z222)+N(Z225))/((N(Z199)+N(Z200)+N(Z201)+N(Z204)+N(Z222)+N(Z225))+Z258),""),"")</f>
        <v>0.371194250918866</v>
      </c>
      <c r="AA322" s="258">
        <f>IFERROR(IF(((N(AA199)+N(AA200)+N(AA201)+N(AA204)+N(AA222)+N(AA225))+N(AA258))&lt;&gt;0,(N(AA199)+N(AA200)+N(AA201)+N(AA204)+N(AA222)+N(AA225))/((N(AA199)+N(AA200)+N(AA201)+N(AA204)+N(AA222)+N(AA225))+AA258),""),"")</f>
        <v>0.362148409893993</v>
      </c>
      <c r="AB322" s="258">
        <f>IFERROR(IF(((N(AB199)+N(AB200)+N(AB201)+N(AB204)+N(AB222)+N(AB225))+N(AB258))&lt;&gt;0,(N(AB199)+N(AB200)+N(AB201)+N(AB204)+N(AB222)+N(AB225))/((N(AB199)+N(AB200)+N(AB201)+N(AB204)+N(AB222)+N(AB225))+AB258),""),"")</f>
        <v>0.362148409893993</v>
      </c>
      <c r="AC322" s="258">
        <f>IFERROR(IF(((N(AC199)+N(AC200)+N(AC201)+N(AC204)+N(AC222)+N(AC225))+N(AC258))&lt;&gt;0,(N(AC199)+N(AC200)+N(AC201)+N(AC204)+N(AC222)+N(AC225))/((N(AC199)+N(AC200)+N(AC201)+N(AC204)+N(AC222)+N(AC225))+AC258),""),"")</f>
        <v>0.39547686356197</v>
      </c>
      <c r="AD322" s="258">
        <f>IFERROR(IF(((N(AD199)+N(AD200)+N(AD201)+N(AD204)+N(AD222)+N(AD225))+N(AD258))&lt;&gt;0,(N(AD199)+N(AD200)+N(AD201)+N(AD204)+N(AD222)+N(AD225))/((N(AD199)+N(AD200)+N(AD201)+N(AD204)+N(AD222)+N(AD225))+AD258),""),"")</f>
        <v>0.36635649971157</v>
      </c>
      <c r="AE322" s="258">
        <f>IFERROR(IF(((N(AE199)+N(AE200)+N(AE201)+N(AE204)+N(AE222)+N(AE225))+N(AE258))&lt;&gt;0,(N(AE199)+N(AE200)+N(AE201)+N(AE204)+N(AE222)+N(AE225))/((N(AE199)+N(AE200)+N(AE201)+N(AE204)+N(AE222)+N(AE225))+AE258),""),"")</f>
        <v>0.346607039670377</v>
      </c>
      <c r="AF322" s="258">
        <f>IFERROR(IF(((N(AF199)+N(AF200)+N(AF201)+N(AF204)+N(AF222)+N(AF225))+N(AF258))&lt;&gt;0,(N(AF199)+N(AF200)+N(AF201)+N(AF204)+N(AF222)+N(AF225))/((N(AF199)+N(AF200)+N(AF201)+N(AF204)+N(AF222)+N(AF225))+AF258),""),"")</f>
        <v>0.353186581265798</v>
      </c>
      <c r="AG322" s="258">
        <f>IFERROR(IF(((N(AG199)+N(AG200)+N(AG201)+N(AG204)+N(AG222)+N(AG225))+N(AG258))&lt;&gt;0,(N(AG199)+N(AG200)+N(AG201)+N(AG204)+N(AG222)+N(AG225))/((N(AG199)+N(AG200)+N(AG201)+N(AG204)+N(AG222)+N(AG225))+AG258),""),"")</f>
        <v>0.353186581265798</v>
      </c>
      <c r="AH322" s="258">
        <f>IFERROR(IF(((N(AH199)+N(AH200)+N(AH201)+N(AH204)+N(AH222)+N(AH225))+N(AH258))&lt;&gt;0,(N(AH199)+N(AH200)+N(AH201)+N(AH204)+N(AH222)+N(AH225))/((N(AH199)+N(AH200)+N(AH201)+N(AH204)+N(AH222)+N(AH225))+AH258),""),"")</f>
        <v>0.362758748723661</v>
      </c>
      <c r="AI322" s="258">
        <f>IFERROR(IF(((N(AI199)+N(AI200)+N(AI201)+N(AI204)+N(AI222)+N(AI225))+N(AI258))&lt;&gt;0,(N(AI199)+N(AI200)+N(AI201)+N(AI204)+N(AI222)+N(AI225))/((N(AI199)+N(AI200)+N(AI201)+N(AI204)+N(AI222)+N(AI225))+AI258),""),"")</f>
        <v>0.37901939941536</v>
      </c>
      <c r="AJ322" s="258">
        <f>IFERROR(IF(((N(AJ199)+N(AJ200)+N(AJ201)+N(AJ204)+N(AJ222)+N(AJ225))+N(AJ258))&lt;&gt;0,(N(AJ199)+N(AJ200)+N(AJ201)+N(AJ204)+N(AJ222)+N(AJ225))/((N(AJ199)+N(AJ200)+N(AJ201)+N(AJ204)+N(AJ222)+N(AJ225))+AJ258),""),"")</f>
        <v>0.363291082779419</v>
      </c>
      <c r="AK322" s="258">
        <f>IFERROR(IF(((N(AK199)+N(AK200)+N(AK201)+N(AK204)+N(AK222)+N(AK225))+N(AK258))&lt;&gt;0,(N(AK199)+N(AK200)+N(AK201)+N(AK204)+N(AK222)+N(AK225))/((N(AK199)+N(AK200)+N(AK201)+N(AK204)+N(AK222)+N(AK225))+AK258),""),"")</f>
        <v>0.351965059700476</v>
      </c>
      <c r="AL322" s="258">
        <f>IFERROR(IF(((N(AL199)+N(AL200)+N(AL201)+N(AL204)+N(AL222)+N(AL225))+N(AL258))&lt;&gt;0,(N(AL199)+N(AL200)+N(AL201)+N(AL204)+N(AL222)+N(AL225))/((N(AL199)+N(AL200)+N(AL201)+N(AL204)+N(AL222)+N(AL225))+AL258),""),"")</f>
        <v>0.351965059700476</v>
      </c>
      <c r="AM322" s="258">
        <f>IFERROR(IF(((N(AM199)+N(AM200)+N(AM201)+N(AM204)+N(AM222)+N(AM225))+N(AM258))&lt;&gt;0,(N(AM199)+N(AM200)+N(AM201)+N(AM204)+N(AM222)+N(AM225))/((N(AM199)+N(AM200)+N(AM201)+N(AM204)+N(AM222)+N(AM225))+AM258),""),"")</f>
        <v>0.337336021662302</v>
      </c>
      <c r="AN322" s="258">
        <f>IFERROR(IF(((N(AN199)+N(AN200)+N(AN201)+N(AN204)+N(AN222)+N(AN225))+N(AN258))&lt;&gt;0,(N(AN199)+N(AN200)+N(AN201)+N(AN204)+N(AN222)+N(AN225))/((N(AN199)+N(AN200)+N(AN201)+N(AN204)+N(AN222)+N(AN225))+AN258),""),"")</f>
        <v>0.32461189669073</v>
      </c>
      <c r="AO322" s="258">
        <f>IFERROR(IF(((N(AO199)+N(AO200)+N(AO201)+N(AO204)+N(AO222)+N(AO225))+N(AO258))&lt;&gt;0,(N(AO199)+N(AO200)+N(AO201)+N(AO204)+N(AO222)+N(AO225))/((N(AO199)+N(AO200)+N(AO201)+N(AO204)+N(AO222)+N(AO225))+AO258),""),"")</f>
        <v>0.312838287840807</v>
      </c>
      <c r="AP322" s="258">
        <f>IFERROR(IF(((N(AP199)+N(AP200)+N(AP201)+N(AP204)+N(AP222)+N(AP225))+N(AP258))&lt;&gt;0,(N(AP199)+N(AP200)+N(AP201)+N(AP204)+N(AP222)+N(AP225))/((N(AP199)+N(AP200)+N(AP201)+N(AP204)+N(AP222)+N(AP225))+AP258),""),"")</f>
        <v>0.304280215146065</v>
      </c>
      <c r="AQ322" s="258">
        <f>IFERROR(IF(((N(AQ199)+N(AQ200)+N(AQ201)+N(AQ204)+N(AQ222)+N(AQ225))+N(AQ258))&lt;&gt;0,(N(AQ199)+N(AQ200)+N(AQ201)+N(AQ204)+N(AQ222)+N(AQ225))/((N(AQ199)+N(AQ200)+N(AQ201)+N(AQ204)+N(AQ222)+N(AQ225))+AQ258),""),"")</f>
        <v>0.304280215146065</v>
      </c>
      <c r="AR322" s="258">
        <f>IFERROR(IF(((N(AR199)+N(AR200)+N(AR201)+N(AR204)+N(AR222)+N(AR225))+N(AR258))&lt;&gt;0,(N(AR199)+N(AR200)+N(AR201)+N(AR204)+N(AR222)+N(AR225))/((N(AR199)+N(AR200)+N(AR201)+N(AR204)+N(AR222)+N(AR225))+AR258),""),"")</f>
        <v>0.293178900148739</v>
      </c>
      <c r="AS322" s="258">
        <f>IFERROR(IF(((N(AS199)+N(AS200)+N(AS201)+N(AS204)+N(AS222)+N(AS225))+N(AS258))&lt;&gt;0,(N(AS199)+N(AS200)+N(AS201)+N(AS204)+N(AS222)+N(AS225))/((N(AS199)+N(AS200)+N(AS201)+N(AS204)+N(AS222)+N(AS225))+AS258),""),"")</f>
        <v>0.283427000822117</v>
      </c>
      <c r="AT322" s="258">
        <f>IFERROR(IF(((N(AT199)+N(AT200)+N(AT201)+N(AT204)+N(AT222)+N(AT225))+N(AT258))&lt;&gt;0,(N(AT199)+N(AT200)+N(AT201)+N(AT204)+N(AT222)+N(AT225))/((N(AT199)+N(AT200)+N(AT201)+N(AT204)+N(AT222)+N(AT225))+AT258),""),"")</f>
        <v>0.274322778292735</v>
      </c>
      <c r="AU322" s="258">
        <f>IFERROR(IF(((N(AU199)+N(AU200)+N(AU201)+N(AU204)+N(AU222)+N(AU225))+N(AU258))&lt;&gt;0,(N(AU199)+N(AU200)+N(AU201)+N(AU204)+N(AU222)+N(AU225))/((N(AU199)+N(AU200)+N(AU201)+N(AU204)+N(AU222)+N(AU225))+AU258),""),"")</f>
        <v>0.267655704941928</v>
      </c>
      <c r="AV322" s="258">
        <f>IFERROR(IF(((N(AV199)+N(AV200)+N(AV201)+N(AV204)+N(AV222)+N(AV225))+N(AV258))&lt;&gt;0,(N(AV199)+N(AV200)+N(AV201)+N(AV204)+N(AV222)+N(AV225))/((N(AV199)+N(AV200)+N(AV201)+N(AV204)+N(AV222)+N(AV225))+AV258),""),"")</f>
        <v>0.267655704941928</v>
      </c>
      <c r="AW322" s="258">
        <f>IFERROR(IF(((N(AW199)+N(AW200)+N(AW201)+N(AW204)+N(AW222)+N(AW225))+N(AW258))&lt;&gt;0,(N(AW199)+N(AW200)+N(AW201)+N(AW204)+N(AW222)+N(AW225))/((N(AW199)+N(AW200)+N(AW201)+N(AW204)+N(AW222)+N(AW225))+AW258),""),"")</f>
        <v>0.258986470703204</v>
      </c>
      <c r="AX322" s="258">
        <f>IFERROR(IF(((N(AX199)+N(AX200)+N(AX201)+N(AX204)+N(AX222)+N(AX225))+N(AX258))&lt;&gt;0,(N(AX199)+N(AX200)+N(AX201)+N(AX204)+N(AX222)+N(AX225))/((N(AX199)+N(AX200)+N(AX201)+N(AX204)+N(AX222)+N(AX225))+AX258),""),"")</f>
        <v>0.251310005433913</v>
      </c>
      <c r="AY322" s="258">
        <f>IFERROR(IF(((N(AY199)+N(AY200)+N(AY201)+N(AY204)+N(AY222)+N(AY225))+N(AY258))&lt;&gt;0,(N(AY199)+N(AY200)+N(AY201)+N(AY204)+N(AY222)+N(AY225))/((N(AY199)+N(AY200)+N(AY201)+N(AY204)+N(AY222)+N(AY225))+AY258),""),"")</f>
        <v>0.24409127275062</v>
      </c>
      <c r="AZ322" s="258">
        <f>IFERROR(IF(((N(AZ199)+N(AZ200)+N(AZ201)+N(AZ204)+N(AZ222)+N(AZ225))+N(AZ258))&lt;&gt;0,(N(AZ199)+N(AZ200)+N(AZ201)+N(AZ204)+N(AZ222)+N(AZ225))/((N(AZ199)+N(AZ200)+N(AZ201)+N(AZ204)+N(AZ222)+N(AZ225))+AZ258),""),"")</f>
        <v>0.23877272597337</v>
      </c>
      <c r="BA322" s="258">
        <f>IFERROR(IF(((N(BA199)+N(BA200)+N(BA201)+N(BA204)+N(BA222)+N(BA225))+N(BA258))&lt;&gt;0,(N(BA199)+N(BA200)+N(BA201)+N(BA204)+N(BA222)+N(BA225))/((N(BA199)+N(BA200)+N(BA201)+N(BA204)+N(BA222)+N(BA225))+BA258),""),"")</f>
        <v>0.23877272597337</v>
      </c>
      <c r="BB322" s="258">
        <f>IFERROR(IF(((N(BB199)+N(BB200)+N(BB201)+N(BB204)+N(BB222)+N(BB225))+N(BB258))&lt;&gt;0,(N(BB199)+N(BB200)+N(BB201)+N(BB204)+N(BB222)+N(BB225))/((N(BB199)+N(BB200)+N(BB201)+N(BB204)+N(BB222)+N(BB225))+BB258),""),"")</f>
        <v>0.231849352487778</v>
      </c>
      <c r="BC322" s="258">
        <f>IFERROR(IF(((N(BC199)+N(BC200)+N(BC201)+N(BC204)+N(BC222)+N(BC225))+N(BC258))&lt;&gt;0,(N(BC199)+N(BC200)+N(BC201)+N(BC204)+N(BC222)+N(BC225))/((N(BC199)+N(BC200)+N(BC201)+N(BC204)+N(BC222)+N(BC225))+BC258),""),"")</f>
        <v>0.225678149499422</v>
      </c>
      <c r="BD322" s="258">
        <f>IFERROR(IF(((N(BD199)+N(BD200)+N(BD201)+N(BD204)+N(BD222)+N(BD225))+N(BD258))&lt;&gt;0,(N(BD199)+N(BD200)+N(BD201)+N(BD204)+N(BD222)+N(BD225))/((N(BD199)+N(BD200)+N(BD201)+N(BD204)+N(BD222)+N(BD225))+BD258),""),"")</f>
        <v>0.219839738828366</v>
      </c>
      <c r="BE322" s="258">
        <f>IFERROR(IF(((N(BE199)+N(BE200)+N(BE201)+N(BE204)+N(BE222)+N(BE225))+N(BE258))&lt;&gt;0,(N(BE199)+N(BE200)+N(BE201)+N(BE204)+N(BE222)+N(BE225))/((N(BE199)+N(BE200)+N(BE201)+N(BE204)+N(BE222)+N(BE225))+BE258),""),"")</f>
        <v>0.215516172961096</v>
      </c>
      <c r="BF322" s="258">
        <f>IFERROR(IF(((N(BF199)+N(BF200)+N(BF201)+N(BF204)+N(BF222)+N(BF225))+N(BF258))&lt;&gt;0,(N(BF199)+N(BF200)+N(BF201)+N(BF204)+N(BF222)+N(BF225))/((N(BF199)+N(BF200)+N(BF201)+N(BF204)+N(BF222)+N(BF225))+BF258),""),"")</f>
        <v>0.215516172961096</v>
      </c>
      <c r="BG322" s="80" t="n"/>
      <c r="BH322" s="80" t="n"/>
      <c r="BI322" s="80" t="n"/>
      <c r="BJ322" s="80" t="n"/>
      <c r="BL322" s="80" t="n"/>
      <c r="BM322" s="80" t="n"/>
      <c r="BN322" s="80" t="n"/>
      <c r="BO322" s="80" t="n"/>
      <c r="BQ322" s="80" t="n"/>
      <c r="BR322" s="80" t="n"/>
      <c r="BS322" s="80" t="n"/>
      <c r="BT322" s="80" t="n"/>
      <c r="BV322" s="80" t="n"/>
      <c r="BW322" s="80" t="n"/>
      <c r="BX322" s="80" t="n"/>
      <c r="BY322" s="80" t="n"/>
      <c r="CA322" s="80" t="n"/>
      <c r="CB322" s="80" t="n"/>
      <c r="CC322" s="80" t="n"/>
      <c r="CD322" s="80" t="n"/>
      <c r="CF322" s="80" t="n"/>
      <c r="CG322" s="80" t="n"/>
      <c r="CH322" s="80" t="n"/>
      <c r="CI322" s="80" t="n"/>
      <c r="CK322" s="80" t="n"/>
      <c r="CL322" s="80" t="n"/>
      <c r="CM322" s="80" t="n"/>
      <c r="CN322" s="80" t="n"/>
      <c r="CP322" s="80" t="n"/>
      <c r="CQ322" s="80" t="n"/>
      <c r="CR322" s="80" t="n"/>
      <c r="CS322" s="80" t="n"/>
      <c r="CU322" s="80" t="n"/>
      <c r="CV322" s="80" t="n"/>
      <c r="CW322" s="80" t="n"/>
      <c r="CX322" s="80" t="n"/>
    </row>
    <row r="323" customFormat="1" s="77">
      <c r="A323" s="76" t="n"/>
      <c r="B323" s="76" t="n"/>
      <c r="C323" s="77" t="inlineStr">
        <is>
          <t>NET DEBT / EBITDA (LTM)</t>
        </is>
      </c>
      <c r="D323" s="82" t="str">
        <f>IFERROR(SUM((D199+D200+D201+D204+D222)-D131)/(D56*4),"")</f>
        <v/>
      </c>
      <c r="E323" s="82" t="str">
        <f>IFERROR(SUM((E199+E200+E201+E204+E222)-E131)/(E56*4),"")</f>
        <v/>
      </c>
      <c r="F323" s="82" t="str">
        <f>IFERROR(SUM((F199+F200+F201+F204+F222)-F131)/(F56*4),"")</f>
        <v/>
      </c>
      <c r="G323" s="82" t="str">
        <f>IFERROR(SUM((G199+G200+G201+G204+G222)-G131)/(G56*4),"")</f>
        <v/>
      </c>
      <c r="H323" s="262" t="str">
        <f>IFERROR(IF(AND(COUNT(H56)=1,(H56)&lt;&gt;0),((N(H199)+N(H200)+N(H201)+N(H204)+N(H222)+N(H225))-N(H131))/(H56),""),"")</f>
        <v/>
      </c>
      <c r="I323" s="262" t="str">
        <f>""</f>
        <v/>
      </c>
      <c r="J323" s="262" t="str">
        <f>""</f>
        <v/>
      </c>
      <c r="K323" s="262" t="str">
        <f>""</f>
        <v/>
      </c>
      <c r="L323" s="262">
        <f>IFERROR(IF(AND(COUNT(I56,J56,K56,L56)=4,(I56+J56+K56+L56)&lt;&gt;0),((N(L199)+N(L200)+N(L201)+N(L204)+N(L222)+N(L225))-N(L131))/(I56+J56+K56+L56),""),"")</f>
        <v>4.09659623191423</v>
      </c>
      <c r="M323" s="262">
        <f>IFERROR(IF(AND(COUNT(I56,J56,K56,L56)=4,(I56+J56+K56+L56)&lt;&gt;0),((N(M199)+N(M200)+N(M201)+N(M204)+N(M222)+N(M225))-N(M131))/(I56+J56+K56+L56),""),"")</f>
        <v>4.09659623191423</v>
      </c>
      <c r="N323" s="262">
        <f>IFERROR(IF(AND(COUNT(J56,K56,L56,N56)=4,(J56+K56+L56+N56)&lt;&gt;0),((N(N199)+N(N200)+N(N201)+N(N204)+N(N222)+N(N225))-N(N131))/(J56+K56+L56+N56),""),"")</f>
        <v>4.19510697103081</v>
      </c>
      <c r="O323" s="262">
        <f>IFERROR(IF(AND(COUNT(K56,L56,N56,O56)=4,(K56+L56+N56+O56)&lt;&gt;0),((N(O199)+N(O200)+N(O201)+N(O204)+N(O222)+N(O225))-N(O131))/(K56+L56+N56+O56),""),"")</f>
        <v>0.965574899183633</v>
      </c>
      <c r="P323" s="262">
        <f>IFERROR(IF(AND(COUNT(L56,N56,O56,P56)=4,(L56+N56+O56+P56)&lt;&gt;0),((N(P199)+N(P200)+N(P201)+N(P204)+N(P222)+N(P225))-N(P131))/(L56+N56+O56+P56),""),"")</f>
        <v>0.685669180845466</v>
      </c>
      <c r="Q323" s="262">
        <f>IFERROR(IF(AND(COUNT(N56,O56,P56,Q56)=4,(N56+O56+P56+Q56)&lt;&gt;0),((N(Q199)+N(Q200)+N(Q201)+N(Q204)+N(Q222)+N(Q225))-N(Q131))/(N56+O56+P56+Q56),""),"")</f>
        <v>0.799889702985898</v>
      </c>
      <c r="R323" s="262">
        <f>IFERROR(IF(AND(COUNT(N56,O56,P56,Q56)=4,(N56+O56+P56+Q56)&lt;&gt;0),((N(R199)+N(R200)+N(R201)+N(R204)+N(R222)+N(R225))-N(R131))/(N56+O56+P56+Q56),""),"")</f>
        <v>0.799889702985898</v>
      </c>
      <c r="S323" s="262">
        <f>IFERROR(IF(AND(COUNT(O56,P56,Q56,S56)=4,(O56+P56+Q56+S56)&lt;&gt;0),((N(S199)+N(S200)+N(S201)+N(S204)+N(S222)+N(S225))-N(S131))/(O56+P56+Q56+S56),""),"")</f>
        <v>0.84737030411449</v>
      </c>
      <c r="T323" s="262">
        <f>IFERROR(IF(AND(COUNT(P56,Q56,S56,T56)=4,(P56+Q56+S56+T56)&lt;&gt;0),((N(T199)+N(T200)+N(T201)+N(T204)+N(T222)+N(T225))-N(T131))/(P56+Q56+S56+T56),""),"")</f>
        <v>0.710768816842672</v>
      </c>
      <c r="U323" s="262">
        <f>IFERROR(IF(AND(COUNT(Q56,S56,T56,U56)=4,(Q56+S56+T56+U56)&lt;&gt;0),((N(U199)+N(U200)+N(U201)+N(U204)+N(U222)+N(U225))-N(U131))/(Q56+S56+T56+U56),""),"")</f>
        <v>0.700507953482155</v>
      </c>
      <c r="V323" s="262">
        <f>IFERROR(IF(AND(COUNT(S56,T56,U56,V56)=4,(S56+T56+U56+V56)&lt;&gt;0),((N(V199)+N(V200)+N(V201)+N(V204)+N(V222)+N(V225))-N(V131))/(S56+T56+U56+V56),""),"")</f>
        <v>0.960705693664796</v>
      </c>
      <c r="W323" s="262">
        <f>IFERROR(IF(AND(COUNT(S56,T56,U56,V56)=4,(S56+T56+U56+V56)&lt;&gt;0),((N(W199)+N(W200)+N(W201)+N(W204)+N(W222)+N(W225))-N(W131))/(S56+T56+U56+V56),""),"")</f>
        <v>0.960705693664796</v>
      </c>
      <c r="X323" s="262">
        <f>IFERROR(IF(AND(COUNT(T56,U56,V56,X56)=4,(T56+U56+V56+X56)&lt;&gt;0),((N(X199)+N(X200)+N(X201)+N(X204)+N(X222)+N(X225))-N(X131))/(T56+U56+V56+X56),""),"")</f>
        <v>1.41298278268962</v>
      </c>
      <c r="Y323" s="262">
        <f>IFERROR(IF(AND(COUNT(U56,V56,X56,Y56)=4,(U56+V56+X56+Y56)&lt;&gt;0),((N(Y199)+N(Y200)+N(Y201)+N(Y204)+N(Y222)+N(Y225))-N(Y131))/(U56+V56+X56+Y56),""),"")</f>
        <v>1.62517153499314</v>
      </c>
      <c r="Z323" s="262">
        <f>IFERROR(IF(AND(COUNT(V56,X56,Y56,Z56)=4,(V56+X56+Y56+Z56)&lt;&gt;0),((N(Z199)+N(Z200)+N(Z201)+N(Z204)+N(Z222)+N(Z225))-N(Z131))/(V56+X56+Y56+Z56),""),"")</f>
        <v>2.93153918791313</v>
      </c>
      <c r="AA323" s="262">
        <f>IFERROR(IF(AND(COUNT(X56,Y56,Z56,AA56)=4,(X56+Y56+Z56+AA56)&lt;&gt;0),((N(AA199)+N(AA200)+N(AA201)+N(AA204)+N(AA222)+N(AA225))-N(AA131))/(X56+Y56+Z56+AA56),""),"")</f>
        <v>2.89240801117839</v>
      </c>
      <c r="AB323" s="262">
        <f>IFERROR(IF(AND(COUNT(X56,Y56,Z56,AA56)=4,(X56+Y56+Z56+AA56)&lt;&gt;0),((N(AB199)+N(AB200)+N(AB201)+N(AB204)+N(AB222)+N(AB225))-N(AB131))/(X56+Y56+Z56+AA56),""),"")</f>
        <v>2.89240801117839</v>
      </c>
      <c r="AC323" s="262">
        <f>IFERROR(IF(AND(COUNT(Y56,Z56,AA56,AC56)=4,(Y56+Z56+AA56+AC56)&lt;&gt;0),((N(AC199)+N(AC200)+N(AC201)+N(AC204)+N(AC222)+N(AC225))-N(AC131))/(Y56+Z56+AA56+AC56),""),"")</f>
        <v>3.6550298576022</v>
      </c>
      <c r="AD323" s="262">
        <f>IFERROR(IF(AND(COUNT(Z56,AA56,AC56,AD56)=4,(Z56+AA56+AC56+AD56)&lt;&gt;0),((N(AD199)+N(AD200)+N(AD201)+N(AD204)+N(AD222)+N(AD225))-N(AD131))/(Z56+AA56+AC56+AD56),""),"")</f>
        <v>2.75457038391225</v>
      </c>
      <c r="AE323" s="262">
        <f>IFERROR(IF(AND(COUNT(AA56,AC56,AD56,AE56)=4,(AA56+AC56+AD56+AE56)&lt;&gt;0),((N(AE199)+N(AE200)+N(AE201)+N(AE204)+N(AE222)+N(AE225))-N(AE131))/(AA56+AC56+AD56+AE56),""),"")</f>
        <v>2.4764468371467</v>
      </c>
      <c r="AF323" s="262">
        <f>IFERROR(IF(AND(COUNT(AB56,AD56,AE56,AF56)=4,(AB56+AD56+AE56+AF56)&lt;&gt;0),((N(AF199)+N(AF200)+N(AF201)+N(AF204)+N(AF222)+N(AF225))-N(AF131))/(AB56+AD56+AE56+AF56),""),"")</f>
        <v>1.96633868461937</v>
      </c>
      <c r="AG323" s="262">
        <f>IFERROR(IF(AND(COUNT(AC56,AD56,AE56,AF56)=4,(AC56+AD56+AE56+AF56)&lt;&gt;0),((N(AG199)+N(AG200)+N(AG201)+N(AG204)+N(AG222)+N(AG225))-N(AG131))/(AC56+AD56+AE56+AF56),""),"")</f>
        <v>3.34537444933921</v>
      </c>
      <c r="AH323" s="262">
        <f>IFERROR(IF(AND(COUNT(AD56,AF56,AG56,AH56)=4,(AD56+AF56+AG56+AH56)&lt;&gt;0),((N(AH199)+N(AH200)+N(AH201)+N(AH204)+N(AH222)+N(AH225))-N(AH131))/(AD56+AF56+AG56+AH56),""),"")</f>
        <v>1.92309606769537</v>
      </c>
      <c r="AI323" s="262">
        <f>IFERROR(IF(AND(COUNT(AE56,AG56,AH56,AI56)=4,(AE56+AG56+AH56+AI56)&lt;&gt;0),((N(AI199)+N(AI200)+N(AI201)+N(AI204)+N(AI222)+N(AI225))-N(AI131))/(AE56+AG56+AH56+AI56),""),"")</f>
        <v>2.03252234359484</v>
      </c>
      <c r="AJ323" s="262">
        <f>IFERROR(IF(AND(COUNT(AF56,AH56,AI56,AJ56)=4,(AF56+AH56+AI56+AJ56)&lt;&gt;0),((N(AJ199)+N(AJ200)+N(AJ201)+N(AJ204)+N(AJ222)+N(AJ225))-N(AJ131))/(AF56+AH56+AI56+AJ56),""),"")</f>
        <v>-0.662678729081119</v>
      </c>
      <c r="AK323" s="262">
        <f>IFERROR(IF(AND(COUNT(AH56,AI56,AJ56,AK56)=4,(AH56+AI56+AJ56+AK56)&lt;&gt;0),((N(AK199)+N(AK200)+N(AK201)+N(AK204)+N(AK222)+N(AK225))-N(AK131))/(AH56+AI56+AJ56+AK56),""),"")</f>
        <v>-1.36666036640613</v>
      </c>
      <c r="AL323" s="262">
        <f>IFERROR(IF(AND(COUNT(AH56,AI56,AJ56,AK56)=4,(AH56+AI56+AJ56+AK56)&lt;&gt;0),((N(AL199)+N(AL200)+N(AL201)+N(AL204)+N(AL222)+N(AL225))-N(AL131))/(AH56+AI56+AJ56+AK56),""),"")</f>
        <v>-1.36666036640613</v>
      </c>
      <c r="AM323" s="262">
        <f>IFERROR(IF(AND(COUNT(AI56,AJ56,AK56,AM56)=4,(AI56+AJ56+AK56+AM56)&lt;&gt;0),((N(AM199)+N(AM200)+N(AM201)+N(AM204)+N(AM222)+N(AM225))-N(AM131))/(AI56+AJ56+AK56+AM56),""),"")</f>
        <v>-2.23805302353717</v>
      </c>
      <c r="AN323" s="262">
        <f>IFERROR(IF(AND(COUNT(AJ56,AK56,AM56,AN56)=4,(AJ56+AK56+AM56+AN56)&lt;&gt;0),((N(AN199)+N(AN200)+N(AN201)+N(AN204)+N(AN222)+N(AN225))-N(AN131))/(AJ56+AK56+AM56+AN56),""),"")</f>
        <v>-3.07460897817799</v>
      </c>
      <c r="AO323" s="262">
        <f>IFERROR(IF(AND(COUNT(AK56,AM56,AN56,AO56)=4,(AK56+AM56+AN56+AO56)&lt;&gt;0),((N(AO199)+N(AO200)+N(AO201)+N(AO204)+N(AO222)+N(AO225))-N(AO131))/(AK56+AM56+AN56+AO56),""),"")</f>
        <v>-3.90754935172095</v>
      </c>
      <c r="AP323" s="262">
        <f>IFERROR(IF(AND(COUNT(AM56,AN56,AO56,AP56)=4,(AM56+AN56+AO56+AP56)&lt;&gt;0),((N(AP199)+N(AP200)+N(AP201)+N(AP204)+N(AP222)+N(AP225))-N(AP131))/(AM56+AN56+AO56+AP56),""),"")</f>
        <v>-4.54904958056871</v>
      </c>
      <c r="AQ323" s="262">
        <f>IFERROR(IF(AND(COUNT(AM56,AN56,AO56,AP56)=4,(AM56+AN56+AO56+AP56)&lt;&gt;0),((N(AQ199)+N(AQ200)+N(AQ201)+N(AQ204)+N(AQ222)+N(AQ225))-N(AQ131))/(AM56+AN56+AO56+AP56),""),"")</f>
        <v>-4.54904958056871</v>
      </c>
      <c r="AR323" s="262">
        <f>IFERROR(IF(AND(COUNT(AN56,AO56,AP56,AR56)=4,(AN56+AO56+AP56+AR56)&lt;&gt;0),((N(AR199)+N(AR200)+N(AR201)+N(AR204)+N(AR222)+N(AR225))-N(AR131))/(AN56+AO56+AP56+AR56),""),"")</f>
        <v>-5.43808536084553</v>
      </c>
      <c r="AS323" s="262">
        <f>IFERROR(IF(AND(COUNT(AO56,AP56,AR56,AS56)=4,(AO56+AP56+AR56+AS56)&lt;&gt;0),((N(AS199)+N(AS200)+N(AS201)+N(AS204)+N(AS222)+N(AS225))-N(AS131))/(AO56+AP56+AR56+AS56),""),"")</f>
        <v>-6.27203783654464</v>
      </c>
      <c r="AT323" s="262">
        <f>IFERROR(IF(AND(COUNT(AP56,AR56,AS56,AT56)=4,(AP56+AR56+AS56+AT56)&lt;&gt;0),((N(AT199)+N(AT200)+N(AT201)+N(AT204)+N(AT222)+N(AT225))-N(AT131))/(AP56+AR56+AS56+AT56),""),"")</f>
        <v>-7.09982225303198</v>
      </c>
      <c r="AU323" s="262">
        <f>IFERROR(IF(AND(COUNT(AR56,AS56,AT56,AU56)=4,(AR56+AS56+AT56+AU56)&lt;&gt;0),((N(AU199)+N(AU200)+N(AU201)+N(AU204)+N(AU222)+N(AU225))-N(AU131))/(AR56+AS56+AT56+AU56),""),"")</f>
        <v>-7.73879898591579</v>
      </c>
      <c r="AV323" s="262">
        <f>IFERROR(IF(AND(COUNT(AR56,AS56,AT56,AU56)=4,(AR56+AS56+AT56+AU56)&lt;&gt;0),((N(AV199)+N(AV200)+N(AV201)+N(AV204)+N(AV222)+N(AV225))-N(AV131))/(AR56+AS56+AT56+AU56),""),"")</f>
        <v>-7.73879898591579</v>
      </c>
      <c r="AW323" s="262">
        <f>IFERROR(IF(AND(COUNT(AS56,AT56,AU56,AW56)=4,(AS56+AT56+AU56+AW56)&lt;&gt;0),((N(AW199)+N(AW200)+N(AW201)+N(AW204)+N(AW222)+N(AW225))-N(AW131))/(AS56+AT56+AU56+AW56),""),"")</f>
        <v>-8.62648595589929</v>
      </c>
      <c r="AX323" s="262">
        <f>IFERROR(IF(AND(COUNT(AT56,AU56,AW56,AX56)=4,(AT56+AU56+AW56+AX56)&lt;&gt;0),((N(AX199)+N(AX200)+N(AX201)+N(AX204)+N(AX222)+N(AX225))-N(AX131))/(AT56+AU56+AW56+AX56),""),"")</f>
        <v>-9.4614058694416</v>
      </c>
      <c r="AY323" s="262">
        <f>IFERROR(IF(AND(COUNT(AU56,AW56,AX56,AY56)=4,(AU56+AW56+AX56+AY56)&lt;&gt;0),((N(AY199)+N(AY200)+N(AY201)+N(AY204)+N(AY222)+N(AY225))-N(AY131))/(AU56+AW56+AX56+AY56),""),"")</f>
        <v>-10.2922964447553</v>
      </c>
      <c r="AZ323" s="262">
        <f>IFERROR(IF(AND(COUNT(AW56,AX56,AY56,AZ56)=4,(AW56+AX56+AY56+AZ56)&lt;&gt;0),((N(AZ199)+N(AZ200)+N(AZ201)+N(AZ204)+N(AZ222)+N(AZ225))-N(AZ131))/(AW56+AX56+AY56+AZ56),""),"")</f>
        <v>-10.9351381805492</v>
      </c>
      <c r="BA323" s="262">
        <f>IFERROR(IF(AND(COUNT(AW56,AX56,AY56,AZ56)=4,(AW56+AX56+AY56+AZ56)&lt;&gt;0),((N(BA199)+N(BA200)+N(BA201)+N(BA204)+N(BA222)+N(BA225))-N(BA131))/(AW56+AX56+AY56+AZ56),""),"")</f>
        <v>-10.9351381805492</v>
      </c>
      <c r="BB323" s="262">
        <f>IFERROR(IF(AND(COUNT(AX56,AY56,AZ56,BB56)=4,(AX56+AY56+AZ56+BB56)&lt;&gt;0),((N(BB199)+N(BB200)+N(BB201)+N(BB204)+N(BB222)+N(BB225))-N(BB131))/(AX56+AY56+AZ56+BB56),""),"")</f>
        <v>-11.8302614562512</v>
      </c>
      <c r="BC323" s="262">
        <f>IFERROR(IF(AND(COUNT(AY56,AZ56,BB56,BC56)=4,(AY56+AZ56+BB56+BC56)&lt;&gt;0),((N(BC199)+N(BC200)+N(BC201)+N(BC204)+N(BC222)+N(BC225))-N(BC131))/(AY56+AZ56+BB56+BC56),""),"")</f>
        <v>-12.6744318698986</v>
      </c>
      <c r="BD323" s="262">
        <f>IFERROR(IF(AND(COUNT(AZ56,BB56,BC56,BD56)=4,(AZ56+BB56+BC56+BD56)&lt;&gt;0),((N(BD199)+N(BD200)+N(BD201)+N(BD204)+N(BD222)+N(BD225))-N(BD131))/(AZ56+BB56+BC56+BD56),""),"")</f>
        <v>-13.5167082517331</v>
      </c>
      <c r="BE323" s="262">
        <f>IFERROR(IF(AND(COUNT(BB56,BC56,BD56,BE56)=4,(BB56+BC56+BD56+BE56)&lt;&gt;0),((N(BE199)+N(BE200)+N(BE201)+N(BE204)+N(BE222)+N(BE225))-N(BE131))/(BB56+BC56+BD56+BE56),""),"")</f>
        <v>-14.1698564126022</v>
      </c>
      <c r="BF323" s="262">
        <f>IFERROR(IF(AND(COUNT(BB56,BC56,BD56,BE56)=4,(BB56+BC56+BD56+BE56)&lt;&gt;0),((N(BF199)+N(BF200)+N(BF201)+N(BF204)+N(BF222)+N(BF225))-N(BF131))/(BB56+BC56+BD56+BE56),""),"")</f>
        <v>-14.1698564126022</v>
      </c>
      <c r="BG323" s="82" t="n"/>
      <c r="BH323" s="82" t="n"/>
      <c r="BI323" s="82" t="n"/>
      <c r="BJ323" s="82" t="n"/>
      <c r="BL323" s="82" t="n"/>
      <c r="BM323" s="82" t="n"/>
      <c r="BN323" s="82" t="n"/>
      <c r="BO323" s="82" t="n"/>
      <c r="BQ323" s="82" t="n"/>
      <c r="BR323" s="82" t="n"/>
      <c r="BS323" s="82" t="n"/>
      <c r="BT323" s="82" t="n"/>
      <c r="BV323" s="82" t="n"/>
      <c r="BW323" s="82" t="n"/>
      <c r="BX323" s="82" t="n"/>
      <c r="BY323" s="82" t="n"/>
      <c r="CA323" s="82" t="n"/>
      <c r="CB323" s="82" t="n"/>
      <c r="CC323" s="82" t="n"/>
      <c r="CD323" s="82" t="n"/>
      <c r="CF323" s="82" t="n"/>
      <c r="CG323" s="82" t="n"/>
      <c r="CH323" s="82" t="n"/>
      <c r="CI323" s="82" t="n"/>
      <c r="CK323" s="82" t="n"/>
      <c r="CL323" s="82" t="n"/>
      <c r="CM323" s="82" t="n"/>
      <c r="CN323" s="82" t="n"/>
      <c r="CP323" s="82" t="n"/>
      <c r="CQ323" s="82" t="n"/>
      <c r="CR323" s="82" t="n"/>
      <c r="CS323" s="82" t="n"/>
      <c r="CU323" s="82" t="n"/>
      <c r="CV323" s="82" t="n"/>
      <c r="CW323" s="82" t="n"/>
      <c r="CX323" s="82" t="n"/>
    </row>
    <row r="324" customFormat="1" s="77">
      <c r="A324" s="76" t="n"/>
      <c r="B324" s="76" t="n"/>
      <c r="C324" s="83" t="inlineStr">
        <is>
          <t>NET DEBT (EX IFRS 16.) / EBITDA (LTM)</t>
        </is>
      </c>
      <c r="D324" s="82" t="str">
        <f>IFERROR(SUM((D199+D200+D204)-D131)/(D56*4),"")</f>
        <v/>
      </c>
      <c r="E324" s="82" t="str">
        <f>IFERROR(SUM((E199+E200+E204)-E131)/(E56*4),"")</f>
        <v/>
      </c>
      <c r="F324" s="82" t="str">
        <f>IFERROR(SUM((F199+F200+F204)-F131)/(F56*4),"")</f>
        <v/>
      </c>
      <c r="G324" s="82" t="str">
        <f>IFERROR(SUM((G199+G200+G204)-G131)/(G56*4),"")</f>
        <v/>
      </c>
      <c r="H324" s="262" t="str">
        <f>IFERROR(IF(AND(COUNT(H56)=1,(H56)&lt;&gt;0),((N(H199)+N(H200)+N(H204)+N(H225))-N(H131))/(H56),""),"")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>
        <f>IFERROR(IF(AND(COUNT(I56,J56,K56,L56)=4,(I56+J56+K56+L56)&lt;&gt;0),((N(L199)+N(L200)+N(L204)+N(L225))-N(L131))/(I56+J56+K56+L56),""),"")</f>
        <v>4.09659623191423</v>
      </c>
      <c r="M324" s="262">
        <f>IFERROR(IF(AND(COUNT(I56,J56,K56,L56)=4,(I56+J56+K56+L56)&lt;&gt;0),((N(M199)+N(M200)+N(M204)+N(M225))-N(M131))/(I56+J56+K56+L56),""),"")</f>
        <v>4.09659623191423</v>
      </c>
      <c r="N324" s="262">
        <f>IFERROR(IF(AND(COUNT(J56,K56,L56,N56)=4,(J56+K56+L56+N56)&lt;&gt;0),((N(N199)+N(N200)+N(N204)+N(N225))-N(N131))/(J56+K56+L56+N56),""),"")</f>
        <v>4.19510697103081</v>
      </c>
      <c r="O324" s="262">
        <f>IFERROR(IF(AND(COUNT(K56,L56,N56,O56)=4,(K56+L56+N56+O56)&lt;&gt;0),((N(O199)+N(O200)+N(O204)+N(O225))-N(O131))/(K56+L56+N56+O56),""),"")</f>
        <v>0.965574899183633</v>
      </c>
      <c r="P324" s="262">
        <f>IFERROR(IF(AND(COUNT(L56,N56,O56,P56)=4,(L56+N56+O56+P56)&lt;&gt;0),((N(P199)+N(P200)+N(P204)+N(P225))-N(P131))/(L56+N56+O56+P56),""),"")</f>
        <v>0.685669180845466</v>
      </c>
      <c r="Q324" s="262">
        <f>IFERROR(IF(AND(COUNT(N56,O56,P56,Q56)=4,(N56+O56+P56+Q56)&lt;&gt;0),((N(Q199)+N(Q200)+N(Q204)+N(Q225))-N(Q131))/(N56+O56+P56+Q56),""),"")</f>
        <v>0.799889702985898</v>
      </c>
      <c r="R324" s="262">
        <f>IFERROR(IF(AND(COUNT(N56,O56,P56,Q56)=4,(N56+O56+P56+Q56)&lt;&gt;0),((N(R199)+N(R200)+N(R204)+N(R225))-N(R131))/(N56+O56+P56+Q56),""),"")</f>
        <v>0.799889702985898</v>
      </c>
      <c r="S324" s="262">
        <f>IFERROR(IF(AND(COUNT(O56,P56,Q56,S56)=4,(O56+P56+Q56+S56)&lt;&gt;0),((N(S199)+N(S200)+N(S204)+N(S225))-N(S131))/(O56+P56+Q56+S56),""),"")</f>
        <v>0.84737030411449</v>
      </c>
      <c r="T324" s="262">
        <f>IFERROR(IF(AND(COUNT(P56,Q56,S56,T56)=4,(P56+Q56+S56+T56)&lt;&gt;0),((N(T199)+N(T200)+N(T204)+N(T225))-N(T131))/(P56+Q56+S56+T56),""),"")</f>
        <v>0.710768816842672</v>
      </c>
      <c r="U324" s="262">
        <f>IFERROR(IF(AND(COUNT(Q56,S56,T56,U56)=4,(Q56+S56+T56+U56)&lt;&gt;0),((N(U199)+N(U200)+N(U204)+N(U225))-N(U131))/(Q56+S56+T56+U56),""),"")</f>
        <v>0.700507953482155</v>
      </c>
      <c r="V324" s="262">
        <f>IFERROR(IF(AND(COUNT(S56,T56,U56,V56)=4,(S56+T56+U56+V56)&lt;&gt;0),((N(V199)+N(V200)+N(V204)+N(V225))-N(V131))/(S56+T56+U56+V56),""),"")</f>
        <v>0.960705693664796</v>
      </c>
      <c r="W324" s="262">
        <f>IFERROR(IF(AND(COUNT(S56,T56,U56,V56)=4,(S56+T56+U56+V56)&lt;&gt;0),((N(W199)+N(W200)+N(W204)+N(W225))-N(W131))/(S56+T56+U56+V56),""),"")</f>
        <v>0.960705693664796</v>
      </c>
      <c r="X324" s="262">
        <f>IFERROR(IF(AND(COUNT(T56,U56,V56,X56)=4,(T56+U56+V56+X56)&lt;&gt;0),((N(X199)+N(X200)+N(X204)+N(X225))-N(X131))/(T56+U56+V56+X56),""),"")</f>
        <v>1.41298278268962</v>
      </c>
      <c r="Y324" s="262">
        <f>IFERROR(IF(AND(COUNT(U56,V56,X56,Y56)=4,(U56+V56+X56+Y56)&lt;&gt;0),((N(Y199)+N(Y200)+N(Y204)+N(Y225))-N(Y131))/(U56+V56+X56+Y56),""),"")</f>
        <v>1.62517153499314</v>
      </c>
      <c r="Z324" s="262">
        <f>IFERROR(IF(AND(COUNT(V56,X56,Y56,Z56)=4,(V56+X56+Y56+Z56)&lt;&gt;0),((N(Z199)+N(Z200)+N(Z204)+N(Z225))-N(Z131))/(V56+X56+Y56+Z56),""),"")</f>
        <v>2.93153918791313</v>
      </c>
      <c r="AA324" s="262">
        <f>IFERROR(IF(AND(COUNT(X56,Y56,Z56,AA56)=4,(X56+Y56+Z56+AA56)&lt;&gt;0),((N(AA199)+N(AA200)+N(AA204)+N(AA225))-N(AA131))/(X56+Y56+Z56+AA56),""),"")</f>
        <v>2.89240801117839</v>
      </c>
      <c r="AB324" s="262">
        <f>IFERROR(IF(AND(COUNT(X56,Y56,Z56,AA56)=4,(X56+Y56+Z56+AA56)&lt;&gt;0),((N(AB199)+N(AB200)+N(AB204)+N(AB225))-N(AB131))/(X56+Y56+Z56+AA56),""),"")</f>
        <v>2.89240801117839</v>
      </c>
      <c r="AC324" s="262">
        <f>IFERROR(IF(AND(COUNT(Y56,Z56,AA56,AC56)=4,(Y56+Z56+AA56+AC56)&lt;&gt;0),((N(AC199)+N(AC200)+N(AC204)+N(AC225))-N(AC131))/(Y56+Z56+AA56+AC56),""),"")</f>
        <v>3.6550298576022</v>
      </c>
      <c r="AD324" s="262">
        <f>IFERROR(IF(AND(COUNT(Z56,AA56,AC56,AD56)=4,(Z56+AA56+AC56+AD56)&lt;&gt;0),((N(AD199)+N(AD200)+N(AD204)+N(AD225))-N(AD131))/(Z56+AA56+AC56+AD56),""),"")</f>
        <v>2.75457038391225</v>
      </c>
      <c r="AE324" s="262">
        <f>IFERROR(IF(AND(COUNT(AA56,AC56,AD56,AE56)=4,(AA56+AC56+AD56+AE56)&lt;&gt;0),((N(AE199)+N(AE200)+N(AE204)+N(AE225))-N(AE131))/(AA56+AC56+AD56+AE56),""),"")</f>
        <v>2.4764468371467</v>
      </c>
      <c r="AF324" s="262">
        <f>IFERROR(IF(AND(COUNT(AB56,AD56,AE56,AF56)=4,(AB56+AD56+AE56+AF56)&lt;&gt;0),((N(AF199)+N(AF200)+N(AF204)+N(AF225))-N(AF131))/(AB56+AD56+AE56+AF56),""),"")</f>
        <v>1.96633868461937</v>
      </c>
      <c r="AG324" s="262">
        <f>IFERROR(IF(AND(COUNT(AC56,AD56,AE56,AF56)=4,(AC56+AD56+AE56+AF56)&lt;&gt;0),((N(AG199)+N(AG200)+N(AG204)+N(AG225))-N(AG131))/(AC56+AD56+AE56+AF56),""),"")</f>
        <v>3.34537444933921</v>
      </c>
      <c r="AH324" s="262">
        <f>IFERROR(IF(AND(COUNT(AD56,AF56,AG56,AH56)=4,(AD56+AF56+AG56+AH56)&lt;&gt;0),((N(AH199)+N(AH200)+N(AH204)+N(AH225))-N(AH131))/(AD56+AF56+AG56+AH56),""),"")</f>
        <v>1.92309606769537</v>
      </c>
      <c r="AI324" s="262">
        <f>IFERROR(IF(AND(COUNT(AE56,AG56,AH56,AI56)=4,(AE56+AG56+AH56+AI56)&lt;&gt;0),((N(AI199)+N(AI200)+N(AI204)+N(AI225))-N(AI131))/(AE56+AG56+AH56+AI56),""),"")</f>
        <v>2.03252234359484</v>
      </c>
      <c r="AJ324" s="262">
        <f>IFERROR(IF(AND(COUNT(AF56,AH56,AI56,AJ56)=4,(AF56+AH56+AI56+AJ56)&lt;&gt;0),((N(AJ199)+N(AJ200)+N(AJ204)+N(AJ225))-N(AJ131))/(AF56+AH56+AI56+AJ56),""),"")</f>
        <v>-0.662678729081119</v>
      </c>
      <c r="AK324" s="262">
        <f>IFERROR(IF(AND(COUNT(AH56,AI56,AJ56,AK56)=4,(AH56+AI56+AJ56+AK56)&lt;&gt;0),((N(AK199)+N(AK200)+N(AK204)+N(AK225))-N(AK131))/(AH56+AI56+AJ56+AK56),""),"")</f>
        <v>-1.36666036640613</v>
      </c>
      <c r="AL324" s="262">
        <f>IFERROR(IF(AND(COUNT(AH56,AI56,AJ56,AK56)=4,(AH56+AI56+AJ56+AK56)&lt;&gt;0),((N(AL199)+N(AL200)+N(AL204)+N(AL225))-N(AL131))/(AH56+AI56+AJ56+AK56),""),"")</f>
        <v>-1.36666036640613</v>
      </c>
      <c r="AM324" s="262">
        <f>IFERROR(IF(AND(COUNT(AI56,AJ56,AK56,AM56)=4,(AI56+AJ56+AK56+AM56)&lt;&gt;0),((N(AM199)+N(AM200)+N(AM204)+N(AM225))-N(AM131))/(AI56+AJ56+AK56+AM56),""),"")</f>
        <v>-2.23805302353717</v>
      </c>
      <c r="AN324" s="262">
        <f>IFERROR(IF(AND(COUNT(AJ56,AK56,AM56,AN56)=4,(AJ56+AK56+AM56+AN56)&lt;&gt;0),((N(AN199)+N(AN200)+N(AN204)+N(AN225))-N(AN131))/(AJ56+AK56+AM56+AN56),""),"")</f>
        <v>-3.07460897817799</v>
      </c>
      <c r="AO324" s="262">
        <f>IFERROR(IF(AND(COUNT(AK56,AM56,AN56,AO56)=4,(AK56+AM56+AN56+AO56)&lt;&gt;0),((N(AO199)+N(AO200)+N(AO204)+N(AO225))-N(AO131))/(AK56+AM56+AN56+AO56),""),"")</f>
        <v>-3.90754935172095</v>
      </c>
      <c r="AP324" s="262">
        <f>IFERROR(IF(AND(COUNT(AM56,AN56,AO56,AP56)=4,(AM56+AN56+AO56+AP56)&lt;&gt;0),((N(AP199)+N(AP200)+N(AP204)+N(AP225))-N(AP131))/(AM56+AN56+AO56+AP56),""),"")</f>
        <v>-4.54904958056871</v>
      </c>
      <c r="AQ324" s="262">
        <f>IFERROR(IF(AND(COUNT(AM56,AN56,AO56,AP56)=4,(AM56+AN56+AO56+AP56)&lt;&gt;0),((N(AQ199)+N(AQ200)+N(AQ204)+N(AQ225))-N(AQ131))/(AM56+AN56+AO56+AP56),""),"")</f>
        <v>-4.54904958056871</v>
      </c>
      <c r="AR324" s="262">
        <f>IFERROR(IF(AND(COUNT(AN56,AO56,AP56,AR56)=4,(AN56+AO56+AP56+AR56)&lt;&gt;0),((N(AR199)+N(AR200)+N(AR204)+N(AR225))-N(AR131))/(AN56+AO56+AP56+AR56),""),"")</f>
        <v>-5.43808536084553</v>
      </c>
      <c r="AS324" s="262">
        <f>IFERROR(IF(AND(COUNT(AO56,AP56,AR56,AS56)=4,(AO56+AP56+AR56+AS56)&lt;&gt;0),((N(AS199)+N(AS200)+N(AS204)+N(AS225))-N(AS131))/(AO56+AP56+AR56+AS56),""),"")</f>
        <v>-6.27203783654464</v>
      </c>
      <c r="AT324" s="262">
        <f>IFERROR(IF(AND(COUNT(AP56,AR56,AS56,AT56)=4,(AP56+AR56+AS56+AT56)&lt;&gt;0),((N(AT199)+N(AT200)+N(AT204)+N(AT225))-N(AT131))/(AP56+AR56+AS56+AT56),""),"")</f>
        <v>-7.09982225303198</v>
      </c>
      <c r="AU324" s="262">
        <f>IFERROR(IF(AND(COUNT(AR56,AS56,AT56,AU56)=4,(AR56+AS56+AT56+AU56)&lt;&gt;0),((N(AU199)+N(AU200)+N(AU204)+N(AU225))-N(AU131))/(AR56+AS56+AT56+AU56),""),"")</f>
        <v>-7.73879898591579</v>
      </c>
      <c r="AV324" s="262">
        <f>IFERROR(IF(AND(COUNT(AR56,AS56,AT56,AU56)=4,(AR56+AS56+AT56+AU56)&lt;&gt;0),((N(AV199)+N(AV200)+N(AV204)+N(AV225))-N(AV131))/(AR56+AS56+AT56+AU56),""),"")</f>
        <v>-7.73879898591579</v>
      </c>
      <c r="AW324" s="262">
        <f>IFERROR(IF(AND(COUNT(AS56,AT56,AU56,AW56)=4,(AS56+AT56+AU56+AW56)&lt;&gt;0),((N(AW199)+N(AW200)+N(AW204)+N(AW225))-N(AW131))/(AS56+AT56+AU56+AW56),""),"")</f>
        <v>-8.62648595589929</v>
      </c>
      <c r="AX324" s="262">
        <f>IFERROR(IF(AND(COUNT(AT56,AU56,AW56,AX56)=4,(AT56+AU56+AW56+AX56)&lt;&gt;0),((N(AX199)+N(AX200)+N(AX204)+N(AX225))-N(AX131))/(AT56+AU56+AW56+AX56),""),"")</f>
        <v>-9.4614058694416</v>
      </c>
      <c r="AY324" s="262">
        <f>IFERROR(IF(AND(COUNT(AU56,AW56,AX56,AY56)=4,(AU56+AW56+AX56+AY56)&lt;&gt;0),((N(AY199)+N(AY200)+N(AY204)+N(AY225))-N(AY131))/(AU56+AW56+AX56+AY56),""),"")</f>
        <v>-10.2922964447553</v>
      </c>
      <c r="AZ324" s="262">
        <f>IFERROR(IF(AND(COUNT(AW56,AX56,AY56,AZ56)=4,(AW56+AX56+AY56+AZ56)&lt;&gt;0),((N(AZ199)+N(AZ200)+N(AZ204)+N(AZ225))-N(AZ131))/(AW56+AX56+AY56+AZ56),""),"")</f>
        <v>-10.9351381805492</v>
      </c>
      <c r="BA324" s="262">
        <f>IFERROR(IF(AND(COUNT(AW56,AX56,AY56,AZ56)=4,(AW56+AX56+AY56+AZ56)&lt;&gt;0),((N(BA199)+N(BA200)+N(BA204)+N(BA225))-N(BA131))/(AW56+AX56+AY56+AZ56),""),"")</f>
        <v>-10.9351381805492</v>
      </c>
      <c r="BB324" s="262">
        <f>IFERROR(IF(AND(COUNT(AX56,AY56,AZ56,BB56)=4,(AX56+AY56+AZ56+BB56)&lt;&gt;0),((N(BB199)+N(BB200)+N(BB204)+N(BB225))-N(BB131))/(AX56+AY56+AZ56+BB56),""),"")</f>
        <v>-11.8302614562512</v>
      </c>
      <c r="BC324" s="262">
        <f>IFERROR(IF(AND(COUNT(AY56,AZ56,BB56,BC56)=4,(AY56+AZ56+BB56+BC56)&lt;&gt;0),((N(BC199)+N(BC200)+N(BC204)+N(BC225))-N(BC131))/(AY56+AZ56+BB56+BC56),""),"")</f>
        <v>-12.6744318698986</v>
      </c>
      <c r="BD324" s="262">
        <f>IFERROR(IF(AND(COUNT(AZ56,BB56,BC56,BD56)=4,(AZ56+BB56+BC56+BD56)&lt;&gt;0),((N(BD199)+N(BD200)+N(BD204)+N(BD225))-N(BD131))/(AZ56+BB56+BC56+BD56),""),"")</f>
        <v>-13.5167082517331</v>
      </c>
      <c r="BE324" s="262">
        <f>IFERROR(IF(AND(COUNT(BB56,BC56,BD56,BE56)=4,(BB56+BC56+BD56+BE56)&lt;&gt;0),((N(BE199)+N(BE200)+N(BE204)+N(BE225))-N(BE131))/(BB56+BC56+BD56+BE56),""),"")</f>
        <v>-14.1698564126022</v>
      </c>
      <c r="BF324" s="262">
        <f>IFERROR(IF(AND(COUNT(BB56,BC56,BD56,BE56)=4,(BB56+BC56+BD56+BE56)&lt;&gt;0),((N(BF199)+N(BF200)+N(BF204)+N(BF225))-N(BF131))/(BB56+BC56+BD56+BE56),""),"")</f>
        <v>-14.1698564126022</v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INTEREST COVERAGE (EBIT / INTEREST, LTM)</t>
        </is>
      </c>
      <c r="D325" s="82" t="str">
        <f>IFERROR(D60/-D61,"")</f>
        <v/>
      </c>
      <c r="E325" s="82" t="str">
        <f>IFERROR(E60/-E61,"")</f>
        <v/>
      </c>
      <c r="F325" s="82" t="str">
        <f>IFERROR(F60/-F61,"")</f>
        <v/>
      </c>
      <c r="G325" s="82" t="str">
        <f>IFERROR(G60/-G61,"")</f>
        <v/>
      </c>
      <c r="H325" s="262" t="str">
        <f>IFERROR(IF(AND(COUNT(H60)=1,(H61)&lt;&gt;0),(H60)/-(H61),""),"")</f>
        <v/>
      </c>
      <c r="I325" s="262" t="str">
        <f>""</f>
        <v/>
      </c>
      <c r="J325" s="262" t="str">
        <f>""</f>
        <v/>
      </c>
      <c r="K325" s="262" t="str">
        <f>""</f>
        <v/>
      </c>
      <c r="L325" s="262">
        <f>IFERROR(IF(AND(COUNT(I60,J60,K60,L60)=4,(I61+J61+K61+L61)&lt;&gt;0),(I60+J60+K60+L60)/-(I61+J61+K61+L61),""),"")</f>
        <v>8.00105152471083</v>
      </c>
      <c r="M325" s="262">
        <f>IFERROR(IF(AND(COUNT(I60,J60,K60,L60)=4,(I61+J61+K61+L61)&lt;&gt;0),(I60+J60+K60+L60)/-(I61+J61+K61+L61),""),"")</f>
        <v>8.00105152471083</v>
      </c>
      <c r="N325" s="262">
        <f>IFERROR(IF(AND(COUNT(J60,K60,L60,N60)=4,(J61+K61+L61+N61)&lt;&gt;0),(J60+K60+L60+N60)/-(J61+K61+L61+N61),""),"")</f>
        <v>9.01149425287356</v>
      </c>
      <c r="O325" s="262">
        <f>IFERROR(IF(AND(COUNT(K60,L60,N60,O60)=4,(K61+L61+N61+O61)&lt;&gt;0),(K60+L60+N60+O60)/-(K61+L61+N61+O61),""),"")</f>
        <v>8.94034707158351</v>
      </c>
      <c r="P325" s="262">
        <f>IFERROR(IF(AND(COUNT(L60,N60,O60,P60)=4,(L61+N61+O61+P61)&lt;&gt;0),(L60+N60+O60+P60)/-(L61+N61+O61+P61),""),"")</f>
        <v>8.96041470311027</v>
      </c>
      <c r="Q325" s="262">
        <f>IFERROR(IF(AND(COUNT(N60,O60,P60,Q60)=4,(N61+O61+P61+Q61)&lt;&gt;0),(N60+O60+P60+Q60)/-(N61+O61+P61+Q61),""),"")</f>
        <v>8.23035850495805</v>
      </c>
      <c r="R325" s="262">
        <f>IFERROR(IF(AND(COUNT(N60,O60,P60,Q60)=4,(N61+O61+P61+Q61)&lt;&gt;0),(N60+O60+P60+Q60)/-(N61+O61+P61+Q61),""),"")</f>
        <v>8.23035850495805</v>
      </c>
      <c r="S325" s="262">
        <f>IFERROR(IF(AND(COUNT(O60,P60,Q60,S60)=4,(O61+P61+Q61+S61)&lt;&gt;0),(O60+P60+Q60+S60)/-(O61+P61+Q61+S61),""),"")</f>
        <v>7.09864146485529</v>
      </c>
      <c r="T325" s="262">
        <f>IFERROR(IF(AND(COUNT(P60,Q60,S60,T60)=4,(P61+Q61+S61+T61)&lt;&gt;0),(P60+Q60+S60+T60)/-(P61+Q61+S61+T61),""),"")</f>
        <v>6.38019801980198</v>
      </c>
      <c r="U325" s="262">
        <f>IFERROR(IF(AND(COUNT(Q60,S60,T60,U60)=4,(Q61+S61+T61+U61)&lt;&gt;0),(Q60+S60+T60+U60)/-(Q61+S61+T61+U61),""),"")</f>
        <v>5.28251121076233</v>
      </c>
      <c r="V325" s="262">
        <f>IFERROR(IF(AND(COUNT(S60,T60,U60,V60)=4,(S61+T61+U61+V61)&lt;&gt;0),(S60+T60+U60+V60)/-(S61+T61+U61+V61),""),"")</f>
        <v>3.76080691642651</v>
      </c>
      <c r="W325" s="262">
        <f>IFERROR(IF(AND(COUNT(S60,T60,U60,V60)=4,(S61+T61+U61+V61)&lt;&gt;0),(S60+T60+U60+V60)/-(S61+T61+U61+V61),""),"")</f>
        <v>3.76080691642651</v>
      </c>
      <c r="X325" s="262">
        <f>IFERROR(IF(AND(COUNT(T60,U60,V60,X60)=4,(T61+U61+V61+X61)&lt;&gt;0),(T60+U60+V60+X60)/-(T61+U61+V61+X61),""),"")</f>
        <v>2.1498521196188</v>
      </c>
      <c r="Y325" s="262">
        <f>IFERROR(IF(AND(COUNT(U60,V60,X60,Y60)=4,(U61+V61+X61+Y61)&lt;&gt;0),(U60+V60+X60+Y60)/-(U61+V61+X61+Y61),""),"")</f>
        <v>0.928220858895706</v>
      </c>
      <c r="Z325" s="262">
        <f>IFERROR(IF(AND(COUNT(V60,X60,Y60,Z60)=4,(V61+X61+Y61+Z61)&lt;&gt;0),(V60+X60+Y60+Z60)/-(V61+X61+Y61+Z61),""),"")</f>
        <v>0</v>
      </c>
      <c r="AA325" s="262">
        <f>IFERROR(IF(AND(COUNT(X60,Y60,Z60,AA60)=4,(X61+Y61+Z61+AA61)&lt;&gt;0),(X60+Y60+Z60+AA60)/-(X61+Y61+Z61+AA61),""),"")</f>
        <v>0</v>
      </c>
      <c r="AB325" s="262">
        <f>IFERROR(IF(AND(COUNT(X60,Y60,Z60,AA60)=4,(X61+Y61+Z61+AA61)&lt;&gt;0),(X60+Y60+Z60+AA60)/-(X61+Y61+Z61+AA61),""),"")</f>
        <v>0</v>
      </c>
      <c r="AC325" s="262">
        <f>IFERROR(IF(AND(COUNT(Y60,Z60,AA60,AC60)=4,(Y61+Z61+AA61+AC61)&lt;&gt;0),(Y60+Z60+AA60+AC60)/-(Y61+Z61+AA61+AC61),""),"")</f>
        <v>0</v>
      </c>
      <c r="AD325" s="262">
        <f>IFERROR(IF(AND(COUNT(Z60,AA60,AC60,AD60)=4,(Z61+AA61+AC61+AD61)&lt;&gt;0),(Z60+AA60+AC60+AD60)/-(Z61+AA61+AC61+AD61),""),"")</f>
        <v>0</v>
      </c>
      <c r="AE325" s="262">
        <f>IFERROR(IF(AND(COUNT(AA60,AC60,AD60,AE60)=4,(AA61+AC61+AD61+AE61)&lt;&gt;0),(AA60+AC60+AD60+AE60)/-(AA61+AC61+AD61+AE61),""),"")</f>
        <v>0</v>
      </c>
      <c r="AF325" s="262">
        <f>IFERROR(IF(AND(COUNT(AB60,AD60,AE60,AF60)=4,(AB61+AD61+AE61+AF61)&lt;&gt;0),(AB60+AD60+AE60+AF60)/-(AB61+AD61+AE61+AF61),""),"")</f>
        <v>0</v>
      </c>
      <c r="AG325" s="262">
        <f>IFERROR(IF(AND(COUNT(AC60,AD60,AE60,AF60)=4,(AC61+AD61+AE61+AF61)&lt;&gt;0),(AC60+AD60+AE60+AF60)/-(AC61+AD61+AE61+AF61),""),"")</f>
        <v>0</v>
      </c>
      <c r="AH325" s="262">
        <f>IFERROR(IF(AND(COUNT(AD60,AF60,AG60,AH60)=4,(AD61+AF61+AG61+AH61)&lt;&gt;0),(AD60+AF60+AG60+AH60)/-(AD61+AF61+AG61+AH61),""),"")</f>
        <v>0</v>
      </c>
      <c r="AI325" s="262">
        <f>IFERROR(IF(AND(COUNT(AE60,AG60,AH60,AI60)=4,(AE61+AG61+AH61+AI61)&lt;&gt;0),(AE60+AG60+AH60+AI60)/-(AE61+AG61+AH61+AI61),""),"")</f>
        <v>0</v>
      </c>
      <c r="AJ325" s="262" t="str">
        <f>IFERROR(IF(AND(COUNT(AF60,AH60,AI60,AJ60)=4,(AF61+AH61+AI61+AJ61)&lt;&gt;0),(AF60+AH60+AI60+AJ60)/-(AF61+AH61+AI61+AJ61),""),"")</f>
        <v/>
      </c>
      <c r="AK325" s="262" t="str">
        <f>IFERROR(IF(AND(COUNT(AH60,AI60,AJ60,AK60)=4,(AH61+AI61+AJ61+AK61)&lt;&gt;0),(AH60+AI60+AJ60+AK60)/-(AH61+AI61+AJ61+AK61),""),"")</f>
        <v/>
      </c>
      <c r="AL325" s="262" t="str">
        <f>IFERROR(IF(AND(COUNT(AH60,AI60,AJ60,AK60)=4,(AH61+AI61+AJ61+AK61)&lt;&gt;0),(AH60+AI60+AJ60+AK60)/-(AH61+AI61+AJ61+AK61),""),"")</f>
        <v/>
      </c>
      <c r="AM325" s="262" t="str">
        <f>IFERROR(IF(AND(COUNT(AI60,AJ60,AK60,AM60)=4,(AI61+AJ61+AK61+AM61)&lt;&gt;0),(AI60+AJ60+AK60+AM60)/-(AI61+AJ61+AK61+AM61),""),"")</f>
        <v/>
      </c>
      <c r="AN325" s="262" t="str">
        <f>IFERROR(IF(AND(COUNT(AJ60,AK60,AM60,AN60)=4,(AJ61+AK61+AM61+AN61)&lt;&gt;0),(AJ60+AK60+AM60+AN60)/-(AJ61+AK61+AM61+AN61),""),"")</f>
        <v/>
      </c>
      <c r="AO325" s="262" t="str">
        <f>IFERROR(IF(AND(COUNT(AK60,AM60,AN60,AO60)=4,(AK61+AM61+AN61+AO61)&lt;&gt;0),(AK60+AM60+AN60+AO60)/-(AK61+AM61+AN61+AO61),""),"")</f>
        <v/>
      </c>
      <c r="AP325" s="262" t="str">
        <f>IFERROR(IF(AND(COUNT(AM60,AN60,AO60,AP60)=4,(AM61+AN61+AO61+AP61)&lt;&gt;0),(AM60+AN60+AO60+AP60)/-(AM61+AN61+AO61+AP61),""),"")</f>
        <v/>
      </c>
      <c r="AQ325" s="262" t="str">
        <f>IFERROR(IF(AND(COUNT(AM60,AN60,AO60,AP60)=4,(AM61+AN61+AO61+AP61)&lt;&gt;0),(AM60+AN60+AO60+AP60)/-(AM61+AN61+AO61+AP61),""),"")</f>
        <v/>
      </c>
      <c r="AR325" s="262" t="str">
        <f>IFERROR(IF(AND(COUNT(AN60,AO60,AP60,AR60)=4,(AN61+AO61+AP61+AR61)&lt;&gt;0),(AN60+AO60+AP60+AR60)/-(AN61+AO61+AP61+AR61),""),"")</f>
        <v/>
      </c>
      <c r="AS325" s="262" t="str">
        <f>IFERROR(IF(AND(COUNT(AO60,AP60,AR60,AS60)=4,(AO61+AP61+AR61+AS61)&lt;&gt;0),(AO60+AP60+AR60+AS60)/-(AO61+AP61+AR61+AS61),""),"")</f>
        <v/>
      </c>
      <c r="AT325" s="262" t="str">
        <f>IFERROR(IF(AND(COUNT(AP60,AR60,AS60,AT60)=4,(AP61+AR61+AS61+AT61)&lt;&gt;0),(AP60+AR60+AS60+AT60)/-(AP61+AR61+AS61+AT61),""),"")</f>
        <v/>
      </c>
      <c r="AU325" s="262" t="str">
        <f>IFERROR(IF(AND(COUNT(AR60,AS60,AT60,AU60)=4,(AR61+AS61+AT61+AU61)&lt;&gt;0),(AR60+AS60+AT60+AU60)/-(AR61+AS61+AT61+AU61),""),"")</f>
        <v/>
      </c>
      <c r="AV325" s="262" t="str">
        <f>IFERROR(IF(AND(COUNT(AR60,AS60,AT60,AU60)=4,(AR61+AS61+AT61+AU61)&lt;&gt;0),(AR60+AS60+AT60+AU60)/-(AR61+AS61+AT61+AU61),""),"")</f>
        <v/>
      </c>
      <c r="AW325" s="262" t="str">
        <f>IFERROR(IF(AND(COUNT(AS60,AT60,AU60,AW60)=4,(AS61+AT61+AU61+AW61)&lt;&gt;0),(AS60+AT60+AU60+AW60)/-(AS61+AT61+AU61+AW61),""),"")</f>
        <v/>
      </c>
      <c r="AX325" s="262" t="str">
        <f>IFERROR(IF(AND(COUNT(AT60,AU60,AW60,AX60)=4,(AT61+AU61+AW61+AX61)&lt;&gt;0),(AT60+AU60+AW60+AX60)/-(AT61+AU61+AW61+AX61),""),"")</f>
        <v/>
      </c>
      <c r="AY325" s="262" t="str">
        <f>IFERROR(IF(AND(COUNT(AU60,AW60,AX60,AY60)=4,(AU61+AW61+AX61+AY61)&lt;&gt;0),(AU60+AW60+AX60+AY60)/-(AU61+AW61+AX61+AY61),""),"")</f>
        <v/>
      </c>
      <c r="AZ325" s="262" t="str">
        <f>IFERROR(IF(AND(COUNT(AW60,AX60,AY60,AZ60)=4,(AW61+AX61+AY61+AZ61)&lt;&gt;0),(AW60+AX60+AY60+AZ60)/-(AW61+AX61+AY61+AZ61),""),"")</f>
        <v/>
      </c>
      <c r="BA325" s="262" t="str">
        <f>IFERROR(IF(AND(COUNT(AW60,AX60,AY60,AZ60)=4,(AW61+AX61+AY61+AZ61)&lt;&gt;0),(AW60+AX60+AY60+AZ60)/-(AW61+AX61+AY61+AZ61),""),"")</f>
        <v/>
      </c>
      <c r="BB325" s="262" t="str">
        <f>IFERROR(IF(AND(COUNT(AX60,AY60,AZ60,BB60)=4,(AX61+AY61+AZ61+BB61)&lt;&gt;0),(AX60+AY60+AZ60+BB60)/-(AX61+AY61+AZ61+BB61),""),"")</f>
        <v/>
      </c>
      <c r="BC325" s="262" t="str">
        <f>IFERROR(IF(AND(COUNT(AY60,AZ60,BB60,BC60)=4,(AY61+AZ61+BB61+BC61)&lt;&gt;0),(AY60+AZ60+BB60+BC60)/-(AY61+AZ61+BB61+BC61),""),"")</f>
        <v/>
      </c>
      <c r="BD325" s="262" t="str">
        <f>IFERROR(IF(AND(COUNT(AZ60,BB60,BC60,BD60)=4,(AZ61+BB61+BC61+BD61)&lt;&gt;0),(AZ60+BB60+BC60+BD60)/-(AZ61+BB61+BC61+BD61),""),"")</f>
        <v/>
      </c>
      <c r="BE325" s="262" t="str">
        <f>IFERROR(IF(AND(COUNT(BB60,BC60,BD60,BE60)=4,(BB61+BC61+BD61+BE61)&lt;&gt;0),(BB60+BC60+BD60+BE60)/-(BB61+BC61+BD61+BE61),""),"")</f>
        <v/>
      </c>
      <c r="BF325" s="262" t="str">
        <f>IFERROR(IF(AND(COUNT(BB60,BC60,BD60,BE60)=4,(BB61+BC61+BD61+BE61)&lt;&gt;0),(BB60+BC60+BD60+BE60)/-(BB61+BC61+BD61+BE61),""),"")</f>
        <v/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</row>
    <row r="327" customFormat="1" s="77">
      <c r="A327" s="76" t="n"/>
      <c r="B327" s="76" t="n"/>
      <c r="C327" s="74" t="inlineStr">
        <is>
          <t>INTERNAL LIQUIDITY</t>
        </is>
      </c>
    </row>
    <row r="328" customFormat="1" s="77">
      <c r="A328" s="76" t="n"/>
      <c r="B328" s="76" t="n"/>
      <c r="C328" s="77" t="inlineStr">
        <is>
          <t>CURRENT RATIO</t>
        </is>
      </c>
      <c r="D328" s="82" t="str">
        <f>IFERROR(SUM(D131,D132,D136,D140,D141,D142)/SUM(D185,D189,D191,D192),"")</f>
        <v/>
      </c>
      <c r="E328" s="82" t="str">
        <f>IFERROR(SUM(E131,E132,E136,E140,E141,E142)/SUM(E185,E189,E191,E192),"")</f>
        <v/>
      </c>
      <c r="F328" s="82" t="str">
        <f>IFERROR(SUM(F131,F132,F136,F140,F141,F142)/SUM(F185,F189,F191,F192),"")</f>
        <v/>
      </c>
      <c r="G328" s="82" t="str">
        <f>IFERROR(SUM(G131,G132,G136,G140,G141,G142)/SUM(G185,G189,G191,G192),"")</f>
        <v/>
      </c>
      <c r="H328" s="262" t="str">
        <f>IFERROR(IF((N(H185)+N(H189)+N(H191)+N(H192)+N(H199)+N(H200)+N(H201))&lt;&gt;0,(N(H131)+(N(H132)+N(H136)+N(H140)+N(H141)+N(H142)))/(N(H185)+N(H189)+N(H191)+N(H192)+N(H199)+N(H200)+N(H201)),""),"")</f>
        <v/>
      </c>
      <c r="I328" s="262">
        <f>IFERROR(IF((N(I185)+N(I189)+N(I191)+N(I192)+N(I199)+N(I200)+N(I201))&lt;&gt;0,(N(I131)+(N(I132)+N(I136)+N(I140)+N(I141)+N(I142)))/(N(I185)+N(I189)+N(I191)+N(I192)+N(I199)+N(I200)+N(I201)),""),"")</f>
        <v>1.17567482241515</v>
      </c>
      <c r="J328" s="262">
        <f>IFERROR(IF((N(J185)+N(J189)+N(J191)+N(J192)+N(J199)+N(J200)+N(J201))&lt;&gt;0,(N(J131)+(N(J132)+N(J136)+N(J140)+N(J141)+N(J142)))/(N(J185)+N(J189)+N(J191)+N(J192)+N(J199)+N(J200)+N(J201)),""),"")</f>
        <v>1.18362818125388</v>
      </c>
      <c r="K328" s="262">
        <f>IFERROR(IF((N(K185)+N(K189)+N(K191)+N(K192)+N(K199)+N(K200)+N(K201))&lt;&gt;0,(N(K131)+(N(K132)+N(K136)+N(K140)+N(K141)+N(K142)))/(N(K185)+N(K189)+N(K191)+N(K192)+N(K199)+N(K200)+N(K201)),""),"")</f>
        <v>1.22186040796264</v>
      </c>
      <c r="L328" s="262">
        <f>IFERROR(IF((N(L185)+N(L189)+N(L191)+N(L192)+N(L199)+N(L200)+N(L201))&lt;&gt;0,(N(L131)+(N(L132)+N(L136)+N(L140)+N(L141)+N(L142)))/(N(L185)+N(L189)+N(L191)+N(L192)+N(L199)+N(L200)+N(L201)),""),"")</f>
        <v>1.22796734693878</v>
      </c>
      <c r="M328" s="262">
        <f>IFERROR(IF((N(M185)+N(M189)+N(M191)+N(M192)+N(M199)+N(M200)+N(M201))&lt;&gt;0,(N(M131)+(N(M132)+N(M136)+N(M140)+N(M141)+N(M142)))/(N(M185)+N(M189)+N(M191)+N(M192)+N(M199)+N(M200)+N(M201)),""),"")</f>
        <v>1.22796734693878</v>
      </c>
      <c r="N328" s="262">
        <f>IFERROR(IF((N(N185)+N(N189)+N(N191)+N(N192)+N(N199)+N(N200)+N(N201))&lt;&gt;0,(N(N131)+(N(N132)+N(N136)+N(N140)+N(N141)+N(N142)))/(N(N185)+N(N189)+N(N191)+N(N192)+N(N199)+N(N200)+N(N201)),""),"")</f>
        <v>1.22362771086205</v>
      </c>
      <c r="O328" s="262">
        <f>IFERROR(IF((N(O185)+N(O189)+N(O191)+N(O192)+N(O199)+N(O200)+N(O201))&lt;&gt;0,(N(O131)+(N(O132)+N(O136)+N(O140)+N(O141)+N(O142)))/(N(O185)+N(O189)+N(O191)+N(O192)+N(O199)+N(O200)+N(O201)),""),"")</f>
        <v>0.61951582867784</v>
      </c>
      <c r="P328" s="262">
        <f>IFERROR(IF((N(P185)+N(P189)+N(P191)+N(P192)+N(P199)+N(P200)+N(P201))&lt;&gt;0,(N(P131)+(N(P132)+N(P136)+N(P140)+N(P141)+N(P142)))/(N(P185)+N(P189)+N(P191)+N(P192)+N(P199)+N(P200)+N(P201)),""),"")</f>
        <v>0.615152216022435</v>
      </c>
      <c r="Q328" s="262">
        <f>IFERROR(IF((N(Q185)+N(Q189)+N(Q191)+N(Q192)+N(Q199)+N(Q200)+N(Q201))&lt;&gt;0,(N(Q131)+(N(Q132)+N(Q136)+N(Q140)+N(Q141)+N(Q142)))/(N(Q185)+N(Q189)+N(Q191)+N(Q192)+N(Q199)+N(Q200)+N(Q201)),""),"")</f>
        <v>0.638814325701572</v>
      </c>
      <c r="R328" s="262">
        <f>IFERROR(IF((N(R185)+N(R189)+N(R191)+N(R192)+N(R199)+N(R200)+N(R201))&lt;&gt;0,(N(R131)+(N(R132)+N(R136)+N(R140)+N(R141)+N(R142)))/(N(R185)+N(R189)+N(R191)+N(R192)+N(R199)+N(R200)+N(R201)),""),"")</f>
        <v>0.638814325701572</v>
      </c>
      <c r="S328" s="262">
        <f>IFERROR(IF((N(S185)+N(S189)+N(S191)+N(S192)+N(S199)+N(S200)+N(S201))&lt;&gt;0,(N(S131)+(N(S132)+N(S136)+N(S140)+N(S141)+N(S142)))/(N(S185)+N(S189)+N(S191)+N(S192)+N(S199)+N(S200)+N(S201)),""),"")</f>
        <v>0.644441494657198</v>
      </c>
      <c r="T328" s="262">
        <f>IFERROR(IF((N(T185)+N(T189)+N(T191)+N(T192)+N(T199)+N(T200)+N(T201))&lt;&gt;0,(N(T131)+(N(T132)+N(T136)+N(T140)+N(T141)+N(T142)))/(N(T185)+N(T189)+N(T191)+N(T192)+N(T199)+N(T200)+N(T201)),""),"")</f>
        <v>0.625804186157338</v>
      </c>
      <c r="U328" s="262">
        <f>IFERROR(IF((N(U185)+N(U189)+N(U191)+N(U192)+N(U199)+N(U200)+N(U201))&lt;&gt;0,(N(U131)+(N(U132)+N(U136)+N(U140)+N(U141)+N(U142)))/(N(U185)+N(U189)+N(U191)+N(U192)+N(U199)+N(U200)+N(U201)),""),"")</f>
        <v>0.588215129589501</v>
      </c>
      <c r="V328" s="262">
        <f>IFERROR(IF((N(V185)+N(V189)+N(V191)+N(V192)+N(V199)+N(V200)+N(V201))&lt;&gt;0,(N(V131)+(N(V132)+N(V136)+N(V140)+N(V141)+N(V142)))/(N(V185)+N(V189)+N(V191)+N(V192)+N(V199)+N(V200)+N(V201)),""),"")</f>
        <v>0.587281605249104</v>
      </c>
      <c r="W328" s="262">
        <f>IFERROR(IF((N(W185)+N(W189)+N(W191)+N(W192)+N(W199)+N(W200)+N(W201))&lt;&gt;0,(N(W131)+(N(W132)+N(W136)+N(W140)+N(W141)+N(W142)))/(N(W185)+N(W189)+N(W191)+N(W192)+N(W199)+N(W200)+N(W201)),""),"")</f>
        <v>0.587281605249104</v>
      </c>
      <c r="X328" s="262">
        <f>IFERROR(IF((N(X185)+N(X189)+N(X191)+N(X192)+N(X199)+N(X200)+N(X201))&lt;&gt;0,(N(X131)+(N(X132)+N(X136)+N(X140)+N(X141)+N(X142)))/(N(X185)+N(X189)+N(X191)+N(X192)+N(X199)+N(X200)+N(X201)),""),"")</f>
        <v>0.583939478573424</v>
      </c>
      <c r="Y328" s="262">
        <f>IFERROR(IF((N(Y185)+N(Y189)+N(Y191)+N(Y192)+N(Y199)+N(Y200)+N(Y201))&lt;&gt;0,(N(Y131)+(N(Y132)+N(Y136)+N(Y140)+N(Y141)+N(Y142)))/(N(Y185)+N(Y189)+N(Y191)+N(Y192)+N(Y199)+N(Y200)+N(Y201)),""),"")</f>
        <v>0.601833489686621</v>
      </c>
      <c r="Z328" s="262">
        <f>IFERROR(IF((N(Z185)+N(Z189)+N(Z191)+N(Z192)+N(Z199)+N(Z200)+N(Z201))&lt;&gt;0,(N(Z131)+(N(Z132)+N(Z136)+N(Z140)+N(Z141)+N(Z142)))/(N(Z185)+N(Z189)+N(Z191)+N(Z192)+N(Z199)+N(Z200)+N(Z201)),""),"")</f>
        <v>0.587842749383319</v>
      </c>
      <c r="AA328" s="262">
        <f>IFERROR(IF((N(AA185)+N(AA189)+N(AA191)+N(AA192)+N(AA199)+N(AA200)+N(AA201))&lt;&gt;0,(N(AA131)+(N(AA132)+N(AA136)+N(AA140)+N(AA141)+N(AA142)))/(N(AA185)+N(AA189)+N(AA191)+N(AA192)+N(AA199)+N(AA200)+N(AA201)),""),"")</f>
        <v>0.607400102363089</v>
      </c>
      <c r="AB328" s="262">
        <f>IFERROR(IF((N(AB185)+N(AB189)+N(AB191)+N(AB192)+N(AB199)+N(AB200)+N(AB201))&lt;&gt;0,(N(AB131)+(N(AB132)+N(AB136)+N(AB140)+N(AB141)+N(AB142)))/(N(AB185)+N(AB189)+N(AB191)+N(AB192)+N(AB199)+N(AB200)+N(AB201)),""),"")</f>
        <v>0.607400102363089</v>
      </c>
      <c r="AC328" s="262">
        <f>IFERROR(IF((N(AC185)+N(AC189)+N(AC191)+N(AC192)+N(AC199)+N(AC200)+N(AC201))&lt;&gt;0,(N(AC131)+(N(AC132)+N(AC136)+N(AC140)+N(AC141)+N(AC142)))/(N(AC185)+N(AC189)+N(AC191)+N(AC192)+N(AC199)+N(AC200)+N(AC201)),""),"")</f>
        <v>0.619570423313562</v>
      </c>
      <c r="AD328" s="262">
        <f>IFERROR(IF((N(AD185)+N(AD189)+N(AD191)+N(AD192)+N(AD199)+N(AD200)+N(AD201))&lt;&gt;0,(N(AD131)+(N(AD132)+N(AD136)+N(AD140)+N(AD141)+N(AD142)))/(N(AD185)+N(AD189)+N(AD191)+N(AD192)+N(AD199)+N(AD200)+N(AD201)),""),"")</f>
        <v>0.619077792942094</v>
      </c>
      <c r="AE328" s="262">
        <f>IFERROR(IF((N(AE185)+N(AE189)+N(AE191)+N(AE192)+N(AE199)+N(AE200)+N(AE201))&lt;&gt;0,(N(AE131)+(N(AE132)+N(AE136)+N(AE140)+N(AE141)+N(AE142)))/(N(AE185)+N(AE189)+N(AE191)+N(AE192)+N(AE199)+N(AE200)+N(AE201)),""),"")</f>
        <v>0.622336748161649</v>
      </c>
      <c r="AF328" s="262">
        <f>IFERROR(IF((N(AF185)+N(AF189)+N(AF191)+N(AF192)+N(AF199)+N(AF200)+N(AF201))&lt;&gt;0,(N(AF131)+(N(AF132)+N(AF136)+N(AF140)+N(AF141)+N(AF142)))/(N(AF185)+N(AF189)+N(AF191)+N(AF192)+N(AF199)+N(AF200)+N(AF201)),""),"")</f>
        <v>0.648235370865679</v>
      </c>
      <c r="AG328" s="262">
        <f>IFERROR(IF((N(AG185)+N(AG189)+N(AG191)+N(AG192)+N(AG199)+N(AG200)+N(AG201))&lt;&gt;0,(N(AG131)+(N(AG132)+N(AG136)+N(AG140)+N(AG141)+N(AG142)))/(N(AG185)+N(AG189)+N(AG191)+N(AG192)+N(AG199)+N(AG200)+N(AG201)),""),"")</f>
        <v>0.648235370865679</v>
      </c>
      <c r="AH328" s="262">
        <f>IFERROR(IF((N(AH185)+N(AH189)+N(AH191)+N(AH192)+N(AH199)+N(AH200)+N(AH201))&lt;&gt;0,(N(AH131)+(N(AH132)+N(AH136)+N(AH140)+N(AH141)+N(AH142)))/(N(AH185)+N(AH189)+N(AH191)+N(AH192)+N(AH199)+N(AH200)+N(AH201)),""),"")</f>
        <v>0.663519508588329</v>
      </c>
      <c r="AI328" s="262">
        <f>IFERROR(IF((N(AI185)+N(AI189)+N(AI191)+N(AI192)+N(AI199)+N(AI200)+N(AI201))&lt;&gt;0,(N(AI131)+(N(AI132)+N(AI136)+N(AI140)+N(AI141)+N(AI142)))/(N(AI185)+N(AI189)+N(AI191)+N(AI192)+N(AI199)+N(AI200)+N(AI201)),""),"")</f>
        <v>0.669888194049649</v>
      </c>
      <c r="AJ328" s="262">
        <f>IFERROR(IF((N(AJ185)+N(AJ189)+N(AJ191)+N(AJ192)+N(AJ199)+N(AJ200)+N(AJ201))&lt;&gt;0,(N(AJ131)+(N(AJ132)+N(AJ136)+N(AJ140)+N(AJ141)+N(AJ142)))/(N(AJ185)+N(AJ189)+N(AJ191)+N(AJ192)+N(AJ199)+N(AJ200)+N(AJ201)),""),"")</f>
        <v>0.694677402521695</v>
      </c>
      <c r="AK328" s="262">
        <f>IFERROR(IF((N(AK185)+N(AK189)+N(AK191)+N(AK192)+N(AK199)+N(AK200)+N(AK201))&lt;&gt;0,(N(AK131)+(N(AK132)+N(AK136)+N(AK140)+N(AK141)+N(AK142)))/(N(AK185)+N(AK189)+N(AK191)+N(AK192)+N(AK199)+N(AK200)+N(AK201)),""),"")</f>
        <v>0.713900339638432</v>
      </c>
      <c r="AL328" s="262">
        <f>IFERROR(IF((N(AL185)+N(AL189)+N(AL191)+N(AL192)+N(AL199)+N(AL200)+N(AL201))&lt;&gt;0,(N(AL131)+(N(AL132)+N(AL136)+N(AL140)+N(AL141)+N(AL142)))/(N(AL185)+N(AL189)+N(AL191)+N(AL192)+N(AL199)+N(AL200)+N(AL201)),""),"")</f>
        <v>0.713900339638432</v>
      </c>
      <c r="AM328" s="262">
        <f>IFERROR(IF((N(AM185)+N(AM189)+N(AM191)+N(AM192)+N(AM199)+N(AM200)+N(AM201))&lt;&gt;0,(N(AM131)+(N(AM132)+N(AM136)+N(AM140)+N(AM141)+N(AM142)))/(N(AM185)+N(AM189)+N(AM191)+N(AM192)+N(AM199)+N(AM200)+N(AM201)),""),"")</f>
        <v>0.740639643177465</v>
      </c>
      <c r="AN328" s="262">
        <f>IFERROR(IF((N(AN185)+N(AN189)+N(AN191)+N(AN192)+N(AN199)+N(AN200)+N(AN201))&lt;&gt;0,(N(AN131)+(N(AN132)+N(AN136)+N(AN140)+N(AN141)+N(AN142)))/(N(AN185)+N(AN189)+N(AN191)+N(AN192)+N(AN199)+N(AN200)+N(AN201)),""),"")</f>
        <v>0.765856872515496</v>
      </c>
      <c r="AO328" s="262">
        <f>IFERROR(IF((N(AO185)+N(AO189)+N(AO191)+N(AO192)+N(AO199)+N(AO200)+N(AO201))&lt;&gt;0,(N(AO131)+(N(AO132)+N(AO136)+N(AO140)+N(AO141)+N(AO142)))/(N(AO185)+N(AO189)+N(AO191)+N(AO192)+N(AO199)+N(AO200)+N(AO201)),""),"")</f>
        <v>0.791017522952128</v>
      </c>
      <c r="AP328" s="262">
        <f>IFERROR(IF((N(AP185)+N(AP189)+N(AP191)+N(AP192)+N(AP199)+N(AP200)+N(AP201))&lt;&gt;0,(N(AP131)+(N(AP132)+N(AP136)+N(AP140)+N(AP141)+N(AP142)))/(N(AP185)+N(AP189)+N(AP191)+N(AP192)+N(AP199)+N(AP200)+N(AP201)),""),"")</f>
        <v>0.810528496919086</v>
      </c>
      <c r="AQ328" s="262">
        <f>IFERROR(IF((N(AQ185)+N(AQ189)+N(AQ191)+N(AQ192)+N(AQ199)+N(AQ200)+N(AQ201))&lt;&gt;0,(N(AQ131)+(N(AQ132)+N(AQ136)+N(AQ140)+N(AQ141)+N(AQ142)))/(N(AQ185)+N(AQ189)+N(AQ191)+N(AQ192)+N(AQ199)+N(AQ200)+N(AQ201)),""),"")</f>
        <v>0.810528496919086</v>
      </c>
      <c r="AR328" s="262">
        <f>IFERROR(IF((N(AR185)+N(AR189)+N(AR191)+N(AR192)+N(AR199)+N(AR200)+N(AR201))&lt;&gt;0,(N(AR131)+(N(AR132)+N(AR136)+N(AR140)+N(AR141)+N(AR142)))/(N(AR185)+N(AR189)+N(AR191)+N(AR192)+N(AR199)+N(AR200)+N(AR201)),""),"")</f>
        <v>0.837534766166062</v>
      </c>
      <c r="AS328" s="262">
        <f>IFERROR(IF((N(AS185)+N(AS189)+N(AS191)+N(AS192)+N(AS199)+N(AS200)+N(AS201))&lt;&gt;0,(N(AS131)+(N(AS132)+N(AS136)+N(AS140)+N(AS141)+N(AS142)))/(N(AS185)+N(AS189)+N(AS191)+N(AS192)+N(AS199)+N(AS200)+N(AS201)),""),"")</f>
        <v>0.863003764794671</v>
      </c>
      <c r="AT328" s="262">
        <f>IFERROR(IF((N(AT185)+N(AT189)+N(AT191)+N(AT192)+N(AT199)+N(AT200)+N(AT201))&lt;&gt;0,(N(AT131)+(N(AT132)+N(AT136)+N(AT140)+N(AT141)+N(AT142)))/(N(AT185)+N(AT189)+N(AT191)+N(AT192)+N(AT199)+N(AT200)+N(AT201)),""),"")</f>
        <v>0.888415619637068</v>
      </c>
      <c r="AU328" s="262">
        <f>IFERROR(IF((N(AU185)+N(AU189)+N(AU191)+N(AU192)+N(AU199)+N(AU200)+N(AU201))&lt;&gt;0,(N(AU131)+(N(AU132)+N(AU136)+N(AU140)+N(AU141)+N(AU142)))/(N(AU185)+N(AU189)+N(AU191)+N(AU192)+N(AU199)+N(AU200)+N(AU201)),""),"")</f>
        <v>0.908121391533977</v>
      </c>
      <c r="AV328" s="262">
        <f>IFERROR(IF((N(AV185)+N(AV189)+N(AV191)+N(AV192)+N(AV199)+N(AV200)+N(AV201))&lt;&gt;0,(N(AV131)+(N(AV132)+N(AV136)+N(AV140)+N(AV141)+N(AV142)))/(N(AV185)+N(AV189)+N(AV191)+N(AV192)+N(AV199)+N(AV200)+N(AV201)),""),"")</f>
        <v>0.908121391533977</v>
      </c>
      <c r="AW328" s="262">
        <f>IFERROR(IF((N(AW185)+N(AW189)+N(AW191)+N(AW192)+N(AW199)+N(AW200)+N(AW201))&lt;&gt;0,(N(AW131)+(N(AW132)+N(AW136)+N(AW140)+N(AW141)+N(AW142)))/(N(AW185)+N(AW189)+N(AW191)+N(AW192)+N(AW199)+N(AW200)+N(AW201)),""),"")</f>
        <v>0.935262260533295</v>
      </c>
      <c r="AX328" s="262">
        <f>IFERROR(IF((N(AX185)+N(AX189)+N(AX191)+N(AX192)+N(AX199)+N(AX200)+N(AX201))&lt;&gt;0,(N(AX131)+(N(AX132)+N(AX136)+N(AX140)+N(AX141)+N(AX142)))/(N(AX185)+N(AX189)+N(AX191)+N(AX192)+N(AX199)+N(AX200)+N(AX201)),""),"")</f>
        <v>0.960858197128657</v>
      </c>
      <c r="AY328" s="262">
        <f>IFERROR(IF((N(AY185)+N(AY189)+N(AY191)+N(AY192)+N(AY199)+N(AY200)+N(AY201))&lt;&gt;0,(N(AY131)+(N(AY132)+N(AY136)+N(AY140)+N(AY141)+N(AY142)))/(N(AY185)+N(AY189)+N(AY191)+N(AY192)+N(AY199)+N(AY200)+N(AY201)),""),"")</f>
        <v>0.986396705132105</v>
      </c>
      <c r="AZ328" s="262">
        <f>IFERROR(IF((N(AZ185)+N(AZ189)+N(AZ191)+N(AZ192)+N(AZ199)+N(AZ200)+N(AZ201))&lt;&gt;0,(N(AZ131)+(N(AZ132)+N(AZ136)+N(AZ140)+N(AZ141)+N(AZ142)))/(N(AZ185)+N(AZ189)+N(AZ191)+N(AZ192)+N(AZ199)+N(AZ200)+N(AZ201)),""),"")</f>
        <v>1.00620069096567</v>
      </c>
      <c r="BA328" s="262">
        <f>IFERROR(IF((N(BA185)+N(BA189)+N(BA191)+N(BA192)+N(BA199)+N(BA200)+N(BA201))&lt;&gt;0,(N(BA131)+(N(BA132)+N(BA136)+N(BA140)+N(BA141)+N(BA142)))/(N(BA185)+N(BA189)+N(BA191)+N(BA192)+N(BA199)+N(BA200)+N(BA201)),""),"")</f>
        <v>1.00620069096567</v>
      </c>
      <c r="BB328" s="262">
        <f>IFERROR(IF((N(BB185)+N(BB189)+N(BB191)+N(BB192)+N(BB199)+N(BB200)+N(BB201))&lt;&gt;0,(N(BB131)+(N(BB132)+N(BB136)+N(BB140)+N(BB141)+N(BB142)))/(N(BB185)+N(BB189)+N(BB191)+N(BB192)+N(BB199)+N(BB200)+N(BB201)),""),"")</f>
        <v>1.03334155996498</v>
      </c>
      <c r="BC328" s="262">
        <f>IFERROR(IF((N(BC185)+N(BC189)+N(BC191)+N(BC192)+N(BC199)+N(BC200)+N(BC201))&lt;&gt;0,(N(BC131)+(N(BC132)+N(BC136)+N(BC140)+N(BC141)+N(BC142)))/(N(BC185)+N(BC189)+N(BC191)+N(BC192)+N(BC199)+N(BC200)+N(BC201)),""),"")</f>
        <v>1.05893749656035</v>
      </c>
      <c r="BD328" s="262">
        <f>IFERROR(IF((N(BD185)+N(BD189)+N(BD191)+N(BD192)+N(BD199)+N(BD200)+N(BD201))&lt;&gt;0,(N(BD131)+(N(BD132)+N(BD136)+N(BD140)+N(BD141)+N(BD142)))/(N(BD185)+N(BD189)+N(BD191)+N(BD192)+N(BD199)+N(BD200)+N(BD201)),""),"")</f>
        <v>1.0844760045638</v>
      </c>
      <c r="BE328" s="262">
        <f>IFERROR(IF((N(BE185)+N(BE189)+N(BE191)+N(BE192)+N(BE199)+N(BE200)+N(BE201))&lt;&gt;0,(N(BE131)+(N(BE132)+N(BE136)+N(BE140)+N(BE141)+N(BE142)))/(N(BE185)+N(BE189)+N(BE191)+N(BE192)+N(BE199)+N(BE200)+N(BE201)),""),"")</f>
        <v>1.10427999039736</v>
      </c>
      <c r="BF328" s="262">
        <f>IFERROR(IF((N(BF185)+N(BF189)+N(BF191)+N(BF192)+N(BF199)+N(BF200)+N(BF201))&lt;&gt;0,(N(BF131)+(N(BF132)+N(BF136)+N(BF140)+N(BF141)+N(BF142)))/(N(BF185)+N(BF189)+N(BF191)+N(BF192)+N(BF199)+N(BF200)+N(BF201)),""),"")</f>
        <v>1.10427999039736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CASH RATIO</t>
        </is>
      </c>
      <c r="D329" s="82" t="str">
        <f>IFERROR(SUM(D131)/SUM(D185,D189,D191,D192),"")</f>
        <v/>
      </c>
      <c r="E329" s="82" t="str">
        <f>IFERROR(SUM(E131)/SUM(E185,E189,E191,E192),"")</f>
        <v/>
      </c>
      <c r="F329" s="82" t="str">
        <f>IFERROR(SUM(F131)/SUM(F185,F189,F191,F192),"")</f>
        <v/>
      </c>
      <c r="G329" s="82" t="str">
        <f>IFERROR(SUM(G131)/SUM(G185,G189,G191,G192),"")</f>
        <v/>
      </c>
      <c r="H329" s="262" t="str">
        <f>IFERROR(IF((N(H185)+N(H189)+N(H191)+N(H192)+N(H199)+N(H200)+N(H201))&lt;&gt;0,N(H131)/(N(H185)+N(H189)+N(H191)+N(H192)+N(H199)+N(H200)+N(H201)),""),"")</f>
        <v/>
      </c>
      <c r="I329" s="262">
        <f>IFERROR(IF((N(I185)+N(I189)+N(I191)+N(I192)+N(I199)+N(I200)+N(I201))&lt;&gt;0,N(I131)/(N(I185)+N(I189)+N(I191)+N(I192)+N(I199)+N(I200)+N(I201)),""),"")</f>
        <v>0.113370165745856</v>
      </c>
      <c r="J329" s="262">
        <f>IFERROR(IF((N(J185)+N(J189)+N(J191)+N(J192)+N(J199)+N(J200)+N(J201))&lt;&gt;0,N(J131)/(N(J185)+N(J189)+N(J191)+N(J192)+N(J199)+N(J200)+N(J201)),""),"")</f>
        <v>0.116682184978274</v>
      </c>
      <c r="K329" s="262">
        <f>IFERROR(IF((N(K185)+N(K189)+N(K191)+N(K192)+N(K199)+N(K200)+N(K201))&lt;&gt;0,N(K131)/(N(K185)+N(K189)+N(K191)+N(K192)+N(K199)+N(K200)+N(K201)),""),"")</f>
        <v>0.123141435242074</v>
      </c>
      <c r="L329" s="262">
        <f>IFERROR(IF((N(L185)+N(L189)+N(L191)+N(L192)+N(L199)+N(L200)+N(L201))&lt;&gt;0,N(L131)/(N(L185)+N(L189)+N(L191)+N(L192)+N(L199)+N(L200)+N(L201)),""),"")</f>
        <v>0.0730122448979592</v>
      </c>
      <c r="M329" s="262">
        <f>IFERROR(IF((N(M185)+N(M189)+N(M191)+N(M192)+N(M199)+N(M200)+N(M201))&lt;&gt;0,N(M131)/(N(M185)+N(M189)+N(M191)+N(M192)+N(M199)+N(M200)+N(M201)),""),"")</f>
        <v>0.0730122448979592</v>
      </c>
      <c r="N329" s="262">
        <f>IFERROR(IF((N(N185)+N(N189)+N(N191)+N(N192)+N(N199)+N(N200)+N(N201))&lt;&gt;0,N(N131)/(N(N185)+N(N189)+N(N191)+N(N192)+N(N199)+N(N200)+N(N201)),""),"")</f>
        <v>0.060115642778527</v>
      </c>
      <c r="O329" s="262">
        <f>IFERROR(IF((N(O185)+N(O189)+N(O191)+N(O192)+N(O199)+N(O200)+N(O201))&lt;&gt;0,N(O131)/(N(O185)+N(O189)+N(O191)+N(O192)+N(O199)+N(O200)+N(O201)),""),"")</f>
        <v>0.0649385474860335</v>
      </c>
      <c r="P329" s="262">
        <f>IFERROR(IF((N(P185)+N(P189)+N(P191)+N(P192)+N(P199)+N(P200)+N(P201))&lt;&gt;0,N(P131)/(N(P185)+N(P189)+N(P191)+N(P192)+N(P199)+N(P200)+N(P201)),""),"")</f>
        <v>0.0690103790222325</v>
      </c>
      <c r="Q329" s="262">
        <f>IFERROR(IF((N(Q185)+N(Q189)+N(Q191)+N(Q192)+N(Q199)+N(Q200)+N(Q201))&lt;&gt;0,N(Q131)/(N(Q185)+N(Q189)+N(Q191)+N(Q192)+N(Q199)+N(Q200)+N(Q201)),""),"")</f>
        <v>0.0570731357209503</v>
      </c>
      <c r="R329" s="262">
        <f>IFERROR(IF((N(R185)+N(R189)+N(R191)+N(R192)+N(R199)+N(R200)+N(R201))&lt;&gt;0,N(R131)/(N(R185)+N(R189)+N(R191)+N(R192)+N(R199)+N(R200)+N(R201)),""),"")</f>
        <v>0.0570731357209503</v>
      </c>
      <c r="S329" s="262">
        <f>IFERROR(IF((N(S185)+N(S189)+N(S191)+N(S192)+N(S199)+N(S200)+N(S201))&lt;&gt;0,N(S131)/(N(S185)+N(S189)+N(S191)+N(S192)+N(S199)+N(S200)+N(S201)),""),"")</f>
        <v>0.0699143824251676</v>
      </c>
      <c r="T329" s="262">
        <f>IFERROR(IF((N(T185)+N(T189)+N(T191)+N(T192)+N(T199)+N(T200)+N(T201))&lt;&gt;0,N(T131)/(N(T185)+N(T189)+N(T191)+N(T192)+N(T199)+N(T200)+N(T201)),""),"")</f>
        <v>0.0824690552928931</v>
      </c>
      <c r="U329" s="262">
        <f>IFERROR(IF((N(U185)+N(U189)+N(U191)+N(U192)+N(U199)+N(U200)+N(U201))&lt;&gt;0,N(U131)/(N(U185)+N(U189)+N(U191)+N(U192)+N(U199)+N(U200)+N(U201)),""),"")</f>
        <v>0.0913064237705219</v>
      </c>
      <c r="V329" s="262">
        <f>IFERROR(IF((N(V185)+N(V189)+N(V191)+N(V192)+N(V199)+N(V200)+N(V201))&lt;&gt;0,N(V131)/(N(V185)+N(V189)+N(V191)+N(V192)+N(V199)+N(V200)+N(V201)),""),"")</f>
        <v>0.0653213295694413</v>
      </c>
      <c r="W329" s="262">
        <f>IFERROR(IF((N(W185)+N(W189)+N(W191)+N(W192)+N(W199)+N(W200)+N(W201))&lt;&gt;0,N(W131)/(N(W185)+N(W189)+N(W191)+N(W192)+N(W199)+N(W200)+N(W201)),""),"")</f>
        <v>0.0653213295694413</v>
      </c>
      <c r="X329" s="262">
        <f>IFERROR(IF((N(X185)+N(X189)+N(X191)+N(X192)+N(X199)+N(X200)+N(X201))&lt;&gt;0,N(X131)/(N(X185)+N(X189)+N(X191)+N(X192)+N(X199)+N(X200)+N(X201)),""),"")</f>
        <v>0.067430875156343</v>
      </c>
      <c r="Y329" s="262">
        <f>IFERROR(IF((N(Y185)+N(Y189)+N(Y191)+N(Y192)+N(Y199)+N(Y200)+N(Y201))&lt;&gt;0,N(Y131)/(N(Y185)+N(Y189)+N(Y191)+N(Y192)+N(Y199)+N(Y200)+N(Y201)),""),"")</f>
        <v>0.0831720321573191</v>
      </c>
      <c r="Z329" s="262">
        <f>IFERROR(IF((N(Z185)+N(Z189)+N(Z191)+N(Z192)+N(Z199)+N(Z200)+N(Z201))&lt;&gt;0,N(Z131)/(N(Z185)+N(Z189)+N(Z191)+N(Z192)+N(Z199)+N(Z200)+N(Z201)),""),"")</f>
        <v>0.0872767138958733</v>
      </c>
      <c r="AA329" s="262">
        <f>IFERROR(IF((N(AA185)+N(AA189)+N(AA191)+N(AA192)+N(AA199)+N(AA200)+N(AA201))&lt;&gt;0,N(AA131)/(N(AA185)+N(AA189)+N(AA191)+N(AA192)+N(AA199)+N(AA200)+N(AA201)),""),"")</f>
        <v>0.0824022869412161</v>
      </c>
      <c r="AB329" s="262">
        <f>IFERROR(IF((N(AB185)+N(AB189)+N(AB191)+N(AB192)+N(AB199)+N(AB200)+N(AB201))&lt;&gt;0,N(AB131)/(N(AB185)+N(AB189)+N(AB191)+N(AB192)+N(AB199)+N(AB200)+N(AB201)),""),"")</f>
        <v>0.0824022869412161</v>
      </c>
      <c r="AC329" s="262">
        <f>IFERROR(IF((N(AC185)+N(AC189)+N(AC191)+N(AC192)+N(AC199)+N(AC200)+N(AC201))&lt;&gt;0,N(AC131)/(N(AC185)+N(AC189)+N(AC191)+N(AC192)+N(AC199)+N(AC200)+N(AC201)),""),"")</f>
        <v>0.098134571221555</v>
      </c>
      <c r="AD329" s="262">
        <f>IFERROR(IF((N(AD185)+N(AD189)+N(AD191)+N(AD192)+N(AD199)+N(AD200)+N(AD201))&lt;&gt;0,N(AD131)/(N(AD185)+N(AD189)+N(AD191)+N(AD192)+N(AD199)+N(AD200)+N(AD201)),""),"")</f>
        <v>0.104552544355625</v>
      </c>
      <c r="AE329" s="262">
        <f>IFERROR(IF((N(AE185)+N(AE189)+N(AE191)+N(AE192)+N(AE199)+N(AE200)+N(AE201))&lt;&gt;0,N(AE131)/(N(AE185)+N(AE189)+N(AE191)+N(AE192)+N(AE199)+N(AE200)+N(AE201)),""),"")</f>
        <v>0.104028659418013</v>
      </c>
      <c r="AF329" s="262">
        <f>IFERROR(IF((N(AF185)+N(AF189)+N(AF191)+N(AF192)+N(AF199)+N(AF200)+N(AF201))&lt;&gt;0,N(AF131)/(N(AF185)+N(AF189)+N(AF191)+N(AF192)+N(AF199)+N(AF200)+N(AF201)),""),"")</f>
        <v>0.0886946310913954</v>
      </c>
      <c r="AG329" s="262">
        <f>IFERROR(IF((N(AG185)+N(AG189)+N(AG191)+N(AG192)+N(AG199)+N(AG200)+N(AG201))&lt;&gt;0,N(AG131)/(N(AG185)+N(AG189)+N(AG191)+N(AG192)+N(AG199)+N(AG200)+N(AG201)),""),"")</f>
        <v>0.0886946310913954</v>
      </c>
      <c r="AH329" s="262">
        <f>IFERROR(IF((N(AH185)+N(AH189)+N(AH191)+N(AH192)+N(AH199)+N(AH200)+N(AH201))&lt;&gt;0,N(AH131)/(N(AH185)+N(AH189)+N(AH191)+N(AH192)+N(AH199)+N(AH200)+N(AH201)),""),"")</f>
        <v>0.0999127895954196</v>
      </c>
      <c r="AI329" s="262">
        <f>IFERROR(IF((N(AI185)+N(AI189)+N(AI191)+N(AI192)+N(AI199)+N(AI200)+N(AI201))&lt;&gt;0,N(AI131)/(N(AI185)+N(AI189)+N(AI191)+N(AI192)+N(AI199)+N(AI200)+N(AI201)),""),"")</f>
        <v>0.112791358726549</v>
      </c>
      <c r="AJ329" s="262">
        <f>IFERROR(IF((N(AJ185)+N(AJ189)+N(AJ191)+N(AJ192)+N(AJ199)+N(AJ200)+N(AJ201))&lt;&gt;0,N(AJ131)/(N(AJ185)+N(AJ189)+N(AJ191)+N(AJ192)+N(AJ199)+N(AJ200)+N(AJ201)),""),"")</f>
        <v>0.236260372643608</v>
      </c>
      <c r="AK329" s="262">
        <f>IFERROR(IF((N(AK185)+N(AK189)+N(AK191)+N(AK192)+N(AK199)+N(AK200)+N(AK201))&lt;&gt;0,N(AK131)/(N(AK185)+N(AK189)+N(AK191)+N(AK192)+N(AK199)+N(AK200)+N(AK201)),""),"")</f>
        <v>0.255483309760344</v>
      </c>
      <c r="AL329" s="262">
        <f>IFERROR(IF((N(AL185)+N(AL189)+N(AL191)+N(AL192)+N(AL199)+N(AL200)+N(AL201))&lt;&gt;0,N(AL131)/(N(AL185)+N(AL189)+N(AL191)+N(AL192)+N(AL199)+N(AL200)+N(AL201)),""),"")</f>
        <v>0.255483309760344</v>
      </c>
      <c r="AM329" s="262">
        <f>IFERROR(IF((N(AM185)+N(AM189)+N(AM191)+N(AM192)+N(AM199)+N(AM200)+N(AM201))&lt;&gt;0,N(AM131)/(N(AM185)+N(AM189)+N(AM191)+N(AM192)+N(AM199)+N(AM200)+N(AM201)),""),"")</f>
        <v>0.282222613299378</v>
      </c>
      <c r="AN329" s="262">
        <f>IFERROR(IF((N(AN185)+N(AN189)+N(AN191)+N(AN192)+N(AN199)+N(AN200)+N(AN201))&lt;&gt;0,N(AN131)/(N(AN185)+N(AN189)+N(AN191)+N(AN192)+N(AN199)+N(AN200)+N(AN201)),""),"")</f>
        <v>0.307439842637409</v>
      </c>
      <c r="AO329" s="262">
        <f>IFERROR(IF((N(AO185)+N(AO189)+N(AO191)+N(AO192)+N(AO199)+N(AO200)+N(AO201))&lt;&gt;0,N(AO131)/(N(AO185)+N(AO189)+N(AO191)+N(AO192)+N(AO199)+N(AO200)+N(AO201)),""),"")</f>
        <v>0.332600493074041</v>
      </c>
      <c r="AP329" s="262">
        <f>IFERROR(IF((N(AP185)+N(AP189)+N(AP191)+N(AP192)+N(AP199)+N(AP200)+N(AP201))&lt;&gt;0,N(AP131)/(N(AP185)+N(AP189)+N(AP191)+N(AP192)+N(AP199)+N(AP200)+N(AP201)),""),"")</f>
        <v>0.352111467040998</v>
      </c>
      <c r="AQ329" s="262">
        <f>IFERROR(IF((N(AQ185)+N(AQ189)+N(AQ191)+N(AQ192)+N(AQ199)+N(AQ200)+N(AQ201))&lt;&gt;0,N(AQ131)/(N(AQ185)+N(AQ189)+N(AQ191)+N(AQ192)+N(AQ199)+N(AQ200)+N(AQ201)),""),"")</f>
        <v>0.352111467040998</v>
      </c>
      <c r="AR329" s="262">
        <f>IFERROR(IF((N(AR185)+N(AR189)+N(AR191)+N(AR192)+N(AR199)+N(AR200)+N(AR201))&lt;&gt;0,N(AR131)/(N(AR185)+N(AR189)+N(AR191)+N(AR192)+N(AR199)+N(AR200)+N(AR201)),""),"")</f>
        <v>0.379117736287974</v>
      </c>
      <c r="AS329" s="262">
        <f>IFERROR(IF((N(AS185)+N(AS189)+N(AS191)+N(AS192)+N(AS199)+N(AS200)+N(AS201))&lt;&gt;0,N(AS131)/(N(AS185)+N(AS189)+N(AS191)+N(AS192)+N(AS199)+N(AS200)+N(AS201)),""),"")</f>
        <v>0.404586734916583</v>
      </c>
      <c r="AT329" s="262">
        <f>IFERROR(IF((N(AT185)+N(AT189)+N(AT191)+N(AT192)+N(AT199)+N(AT200)+N(AT201))&lt;&gt;0,N(AT131)/(N(AT185)+N(AT189)+N(AT191)+N(AT192)+N(AT199)+N(AT200)+N(AT201)),""),"")</f>
        <v>0.429998589758981</v>
      </c>
      <c r="AU329" s="262">
        <f>IFERROR(IF((N(AU185)+N(AU189)+N(AU191)+N(AU192)+N(AU199)+N(AU200)+N(AU201))&lt;&gt;0,N(AU131)/(N(AU185)+N(AU189)+N(AU191)+N(AU192)+N(AU199)+N(AU200)+N(AU201)),""),"")</f>
        <v>0.44970436165589</v>
      </c>
      <c r="AV329" s="262">
        <f>IFERROR(IF((N(AV185)+N(AV189)+N(AV191)+N(AV192)+N(AV199)+N(AV200)+N(AV201))&lt;&gt;0,N(AV131)/(N(AV185)+N(AV189)+N(AV191)+N(AV192)+N(AV199)+N(AV200)+N(AV201)),""),"")</f>
        <v>0.44970436165589</v>
      </c>
      <c r="AW329" s="262">
        <f>IFERROR(IF((N(AW185)+N(AW189)+N(AW191)+N(AW192)+N(AW199)+N(AW200)+N(AW201))&lt;&gt;0,N(AW131)/(N(AW185)+N(AW189)+N(AW191)+N(AW192)+N(AW199)+N(AW200)+N(AW201)),""),"")</f>
        <v>0.476845230655207</v>
      </c>
      <c r="AX329" s="262">
        <f>IFERROR(IF((N(AX185)+N(AX189)+N(AX191)+N(AX192)+N(AX199)+N(AX200)+N(AX201))&lt;&gt;0,N(AX131)/(N(AX185)+N(AX189)+N(AX191)+N(AX192)+N(AX199)+N(AX200)+N(AX201)),""),"")</f>
        <v>0.502441167250569</v>
      </c>
      <c r="AY329" s="262">
        <f>IFERROR(IF((N(AY185)+N(AY189)+N(AY191)+N(AY192)+N(AY199)+N(AY200)+N(AY201))&lt;&gt;0,N(AY131)/(N(AY185)+N(AY189)+N(AY191)+N(AY192)+N(AY199)+N(AY200)+N(AY201)),""),"")</f>
        <v>0.527979675254018</v>
      </c>
      <c r="AZ329" s="262">
        <f>IFERROR(IF((N(AZ185)+N(AZ189)+N(AZ191)+N(AZ192)+N(AZ199)+N(AZ200)+N(AZ201))&lt;&gt;0,N(AZ131)/(N(AZ185)+N(AZ189)+N(AZ191)+N(AZ192)+N(AZ199)+N(AZ200)+N(AZ201)),""),"")</f>
        <v>0.547783661087579</v>
      </c>
      <c r="BA329" s="262">
        <f>IFERROR(IF((N(BA185)+N(BA189)+N(BA191)+N(BA192)+N(BA199)+N(BA200)+N(BA201))&lt;&gt;0,N(BA131)/(N(BA185)+N(BA189)+N(BA191)+N(BA192)+N(BA199)+N(BA200)+N(BA201)),""),"")</f>
        <v>0.547783661087579</v>
      </c>
      <c r="BB329" s="262">
        <f>IFERROR(IF((N(BB185)+N(BB189)+N(BB191)+N(BB192)+N(BB199)+N(BB200)+N(BB201))&lt;&gt;0,N(BB131)/(N(BB185)+N(BB189)+N(BB191)+N(BB192)+N(BB199)+N(BB200)+N(BB201)),""),"")</f>
        <v>0.574924530086896</v>
      </c>
      <c r="BC329" s="262">
        <f>IFERROR(IF((N(BC185)+N(BC189)+N(BC191)+N(BC192)+N(BC199)+N(BC200)+N(BC201))&lt;&gt;0,N(BC131)/(N(BC185)+N(BC189)+N(BC191)+N(BC192)+N(BC199)+N(BC200)+N(BC201)),""),"")</f>
        <v>0.600520466682259</v>
      </c>
      <c r="BD329" s="262">
        <f>IFERROR(IF((N(BD185)+N(BD189)+N(BD191)+N(BD192)+N(BD199)+N(BD200)+N(BD201))&lt;&gt;0,N(BD131)/(N(BD185)+N(BD189)+N(BD191)+N(BD192)+N(BD199)+N(BD200)+N(BD201)),""),"")</f>
        <v>0.626058974685708</v>
      </c>
      <c r="BE329" s="262">
        <f>IFERROR(IF((N(BE185)+N(BE189)+N(BE191)+N(BE192)+N(BE199)+N(BE200)+N(BE201))&lt;&gt;0,N(BE131)/(N(BE185)+N(BE189)+N(BE191)+N(BE192)+N(BE199)+N(BE200)+N(BE201)),""),"")</f>
        <v>0.645862960519268</v>
      </c>
      <c r="BF329" s="262">
        <f>IFERROR(IF((N(BF185)+N(BF189)+N(BF191)+N(BF192)+N(BF199)+N(BF200)+N(BF201))&lt;&gt;0,N(BF131)/(N(BF185)+N(BF189)+N(BF191)+N(BF192)+N(BF199)+N(BF200)+N(BF201)),""),"")</f>
        <v>0.645862960519268</v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</row>
    <row r="331" customFormat="1" s="77">
      <c r="A331" s="76" t="n"/>
      <c r="B331" s="76" t="n"/>
      <c r="C331" s="74" t="inlineStr">
        <is>
          <t>OPERATING EFFICIENCY</t>
        </is>
      </c>
    </row>
    <row r="332" customFormat="1" s="84">
      <c r="A332" s="81" t="n"/>
      <c r="B332" s="81" t="n"/>
      <c r="C332" s="84" t="inlineStr">
        <is>
          <t>RETURN ON CAPITAL (ROIC) - LTM</t>
        </is>
      </c>
      <c r="D332" t="str">
        <f>IFERROR(D334/D337,"")</f>
        <v/>
      </c>
      <c r="E332" t="str">
        <f>IFERROR(E334/E337,"")</f>
        <v/>
      </c>
      <c r="F332" t="str">
        <f>IFERROR(F334/F337,"")</f>
        <v/>
      </c>
      <c r="G332" t="str">
        <f>IFERROR(G334/G337,"")</f>
        <v/>
      </c>
      <c r="H332" s="257" t="str">
        <f>IFERROR(IF(AND(COUNT(H334)=1,N(H337)&lt;&gt;0),(H334)/H337,""),"")</f>
        <v/>
      </c>
      <c r="I332" s="257" t="str">
        <f>""</f>
        <v/>
      </c>
      <c r="J332" s="257" t="str">
        <f>""</f>
        <v/>
      </c>
      <c r="K332" s="257" t="str">
        <f>""</f>
        <v/>
      </c>
      <c r="L332" s="257">
        <f>IFERROR(IF(AND(COUNT(I334,J334,K334,L334)=4,N(L337)&lt;&gt;0),(I334+J334+K334+L334)/L337,""),"")</f>
        <v>0.102620246690078</v>
      </c>
      <c r="M332" s="257">
        <f>IFERROR(IF(AND(COUNT(I334,J334,K334,L334)=4,N(M337)&lt;&gt;0),(I334+J334+K334+L334)/M337,""),"")</f>
        <v>0.102620246690078</v>
      </c>
      <c r="N332" s="257">
        <f>IFERROR(IF(AND(COUNT(J334,K334,L334,N334)=4,N(N337)&lt;&gt;0),(J334+K334+L334+N334)/N337,""),"")</f>
        <v>0.102869942052922</v>
      </c>
      <c r="O332" s="257">
        <f>IFERROR(IF(AND(COUNT(K334,L334,N334,O334)=4,N(O337)&lt;&gt;0),(K334+L334+N334+O334)/O337,""),"")</f>
        <v>0.21907606120493</v>
      </c>
      <c r="P332" s="257">
        <f>IFERROR(IF(AND(COUNT(L334,N334,O334,P334)=4,N(P337)&lt;&gt;0),(L334+N334+O334+P334)/P337,""),"")</f>
        <v>0.258669468326436</v>
      </c>
      <c r="Q332" s="257">
        <f>IFERROR(IF(AND(COUNT(N334,O334,P334,Q334)=4,N(Q337)&lt;&gt;0),(N334+O334+P334+Q334)/Q337,""),"")</f>
        <v>0.262392973185622</v>
      </c>
      <c r="R332" s="257">
        <f>IFERROR(IF(AND(COUNT(N334,O334,P334,Q334)=4,N(R337)&lt;&gt;0),(N334+O334+P334+Q334)/R337,""),"")</f>
        <v>0.262392973185622</v>
      </c>
      <c r="S332" s="257">
        <f>IFERROR(IF(AND(COUNT(O334,P334,Q334,S334)=4,N(S337)&lt;&gt;0),(O334+P334+Q334+S334)/S337,""),"")</f>
        <v>0.261988655380678</v>
      </c>
      <c r="T332" s="257">
        <f>IFERROR(IF(AND(COUNT(P334,Q334,S334,T334)=4,N(T337)&lt;&gt;0),(P334+Q334+S334+T334)/T337,""),"")</f>
        <v>0.294018623325517</v>
      </c>
      <c r="U332" s="257">
        <f>IFERROR(IF(AND(COUNT(Q334,S334,T334,U334)=4,N(U337)&lt;&gt;0),(Q334+S334+T334+U334)/U337,""),"")</f>
        <v>0.306973115778041</v>
      </c>
      <c r="V332" s="257">
        <f>IFERROR(IF(AND(COUNT(S334,T334,U334,V334)=4,N(V337)&lt;&gt;0),(S334+T334+U334+V334)/V337,""),"")</f>
        <v>0.233939610383804</v>
      </c>
      <c r="W332" s="257">
        <f>IFERROR(IF(AND(COUNT(S334,T334,U334,V334)=4,N(W337)&lt;&gt;0),(S334+T334+U334+V334)/W337,""),"")</f>
        <v>0.233939610383804</v>
      </c>
      <c r="X332" s="257">
        <f>IFERROR(IF(AND(COUNT(T334,U334,V334,X334)=4,N(X337)&lt;&gt;0),(T334+U334+V334+X334)/X337,""),"")</f>
        <v>0.147522422040434</v>
      </c>
      <c r="Y332" s="257">
        <f>IFERROR(IF(AND(COUNT(U334,V334,X334,Y334)=4,N(Y337)&lt;&gt;0),(U334+V334+X334+Y334)/Y337,""),"")</f>
        <v>0.072989135709433</v>
      </c>
      <c r="Z332" s="257">
        <f>IFERROR(IF(AND(COUNT(V334,X334,Y334,Z334)=4,N(Z337)&lt;&gt;0),(V334+X334+Y334+Z334)/Z337,""),"")</f>
        <v>0</v>
      </c>
      <c r="AA332" s="257">
        <f>IFERROR(IF(AND(COUNT(X334,Y334,Z334,AA334)=4,N(AA337)&lt;&gt;0),(X334+Y334+Z334+AA334)/AA337,""),"")</f>
        <v>0</v>
      </c>
      <c r="AB332" s="257">
        <f>IFERROR(IF(AND(COUNT(X334,Y334,Z334,AA334)=4,N(AB337)&lt;&gt;0),(X334+Y334+Z334+AA334)/AB337,""),"")</f>
        <v>0</v>
      </c>
      <c r="AC332" s="257">
        <f>IFERROR(IF(AND(COUNT(Y334,Z334,AA334,AC334)=4,N(AC337)&lt;&gt;0),(Y334+Z334+AA334+AC334)/AC337,""),"")</f>
        <v>0</v>
      </c>
      <c r="AD332" s="257">
        <f>IFERROR(IF(AND(COUNT(Z334,AA334,AC334,AD334)=4,N(AD337)&lt;&gt;0),(Z334+AA334+AC334+AD334)/AD337,""),"")</f>
        <v>0</v>
      </c>
      <c r="AE332" s="257">
        <f>IFERROR(IF(AND(COUNT(AA334,AC334,AD334,AE334)=4,N(AE337)&lt;&gt;0),(AA334+AC334+AD334+AE334)/AE337,""),"")</f>
        <v>0</v>
      </c>
      <c r="AF332" s="257">
        <f>IFERROR(IF(AND(COUNT(AB334,AD334,AE334,AF334)=4,N(AF337)&lt;&gt;0),(AB334+AD334+AE334+AF334)/AF337,""),"")</f>
        <v>0</v>
      </c>
      <c r="AG332" s="257">
        <f>IFERROR(IF(AND(COUNT(AC334,AD334,AE334,AF334)=4,N(AG337)&lt;&gt;0),(AC334+AD334+AE334+AF334)/AG337,""),"")</f>
        <v>0</v>
      </c>
      <c r="AH332" s="257">
        <f>IFERROR(IF(AND(COUNT(AD334,AF334,AG334,AH334)=4,N(AH337)&lt;&gt;0),(AD334+AF334+AG334+AH334)/AH337,""),"")</f>
        <v>0</v>
      </c>
      <c r="AI332" s="257">
        <f>IFERROR(IF(AND(COUNT(AE334,AG334,AH334,AI334)=4,N(AI337)&lt;&gt;0),(AE334+AG334+AH334+AI334)/AI337,""),"")</f>
        <v>0</v>
      </c>
      <c r="AJ332" s="257">
        <f>IFERROR(IF(AND(COUNT(AF334,AH334,AI334,AJ334)=4,N(AJ337)&lt;&gt;0),(AF334+AH334+AI334+AJ334)/AJ337,""),"")</f>
        <v>0</v>
      </c>
      <c r="AK332" s="257">
        <f>IFERROR(IF(AND(COUNT(AH334,AI334,AJ334,AK334)=4,N(AK337)&lt;&gt;0),(AH334+AI334+AJ334+AK334)/AK337,""),"")</f>
        <v>0</v>
      </c>
      <c r="AL332" s="257">
        <f>IFERROR(IF(AND(COUNT(AH334,AI334,AJ334,AK334)=4,N(AL337)&lt;&gt;0),(AH334+AI334+AJ334+AK334)/AL337,""),"")</f>
        <v>0</v>
      </c>
      <c r="AM332" s="257">
        <f>IFERROR(IF(AND(COUNT(AI334,AJ334,AK334,AM334)=4,N(AM337)&lt;&gt;0),(AI334+AJ334+AK334+AM334)/AM337,""),"")</f>
        <v>0</v>
      </c>
      <c r="AN332" s="257">
        <f>IFERROR(IF(AND(COUNT(AJ334,AK334,AM334,AN334)=4,N(AN337)&lt;&gt;0),(AJ334+AK334+AM334+AN334)/AN337,""),"")</f>
        <v>0</v>
      </c>
      <c r="AO332" s="257">
        <f>IFERROR(IF(AND(COUNT(AK334,AM334,AN334,AO334)=4,N(AO337)&lt;&gt;0),(AK334+AM334+AN334+AO334)/AO337,""),"")</f>
        <v>0</v>
      </c>
      <c r="AP332" s="257">
        <f>IFERROR(IF(AND(COUNT(AM334,AN334,AO334,AP334)=4,N(AP337)&lt;&gt;0),(AM334+AN334+AO334+AP334)/AP337,""),"")</f>
        <v>0</v>
      </c>
      <c r="AQ332" s="257">
        <f>IFERROR(IF(AND(COUNT(AM334,AN334,AO334,AP334)=4,N(AQ337)&lt;&gt;0),(AM334+AN334+AO334+AP334)/AQ337,""),"")</f>
        <v>0</v>
      </c>
      <c r="AR332" s="257">
        <f>IFERROR(IF(AND(COUNT(AN334,AO334,AP334,AR334)=4,N(AR337)&lt;&gt;0),(AN334+AO334+AP334+AR334)/AR337,""),"")</f>
        <v>0</v>
      </c>
      <c r="AS332" s="257">
        <f>IFERROR(IF(AND(COUNT(AO334,AP334,AR334,AS334)=4,N(AS337)&lt;&gt;0),(AO334+AP334+AR334+AS334)/AS337,""),"")</f>
        <v>0</v>
      </c>
      <c r="AT332" s="257">
        <f>IFERROR(IF(AND(COUNT(AP334,AR334,AS334,AT334)=4,N(AT337)&lt;&gt;0),(AP334+AR334+AS334+AT334)/AT337,""),"")</f>
        <v>0</v>
      </c>
      <c r="AU332" s="257">
        <f>IFERROR(IF(AND(COUNT(AR334,AS334,AT334,AU334)=4,N(AU337)&lt;&gt;0),(AR334+AS334+AT334+AU334)/AU337,""),"")</f>
        <v>0</v>
      </c>
      <c r="AV332" s="257">
        <f>IFERROR(IF(AND(COUNT(AR334,AS334,AT334,AU334)=4,N(AV337)&lt;&gt;0),(AR334+AS334+AT334+AU334)/AV337,""),"")</f>
        <v>0</v>
      </c>
      <c r="AW332" s="257">
        <f>IFERROR(IF(AND(COUNT(AS334,AT334,AU334,AW334)=4,N(AW337)&lt;&gt;0),(AS334+AT334+AU334+AW334)/AW337,""),"")</f>
        <v>0</v>
      </c>
      <c r="AX332" s="257">
        <f>IFERROR(IF(AND(COUNT(AT334,AU334,AW334,AX334)=4,N(AX337)&lt;&gt;0),(AT334+AU334+AW334+AX334)/AX337,""),"")</f>
        <v>0</v>
      </c>
      <c r="AY332" s="257">
        <f>IFERROR(IF(AND(COUNT(AU334,AW334,AX334,AY334)=4,N(AY337)&lt;&gt;0),(AU334+AW334+AX334+AY334)/AY337,""),"")</f>
        <v>0</v>
      </c>
      <c r="AZ332" s="257">
        <f>IFERROR(IF(AND(COUNT(AW334,AX334,AY334,AZ334)=4,N(AZ337)&lt;&gt;0),(AW334+AX334+AY334+AZ334)/AZ337,""),"")</f>
        <v>0</v>
      </c>
      <c r="BA332" s="257">
        <f>IFERROR(IF(AND(COUNT(AW334,AX334,AY334,AZ334)=4,N(BA337)&lt;&gt;0),(AW334+AX334+AY334+AZ334)/BA337,""),"")</f>
        <v>0</v>
      </c>
      <c r="BB332" s="257">
        <f>IFERROR(IF(AND(COUNT(AX334,AY334,AZ334,BB334)=4,N(BB337)&lt;&gt;0),(AX334+AY334+AZ334+BB334)/BB337,""),"")</f>
        <v>0</v>
      </c>
      <c r="BC332" s="257">
        <f>IFERROR(IF(AND(COUNT(AY334,AZ334,BB334,BC334)=4,N(BC337)&lt;&gt;0),(AY334+AZ334+BB334+BC334)/BC337,""),"")</f>
        <v>0</v>
      </c>
      <c r="BD332" s="257">
        <f>IFERROR(IF(AND(COUNT(AZ334,BB334,BC334,BD334)=4,N(BD337)&lt;&gt;0),(AZ334+BB334+BC334+BD334)/BD337,""),"")</f>
        <v>0</v>
      </c>
      <c r="BE332" s="257">
        <f>IFERROR(IF(AND(COUNT(BB334,BC334,BD334,BE334)=4,N(BE337)&lt;&gt;0),(BB334+BC334+BD334+BE334)/BE337,""),"")</f>
        <v>0</v>
      </c>
      <c r="BF332" s="257">
        <f>IFERROR(IF(AND(COUNT(BB334,BC334,BD334,BE334)=4,N(BF337)&lt;&gt;0),(BB334+BC334+BD334+BE334)/BF337,""),"")</f>
        <v>0</v>
      </c>
      <c r="BG332" s="81" t="n"/>
      <c r="BH332" s="81" t="n"/>
      <c r="BI332" s="81" t="n"/>
      <c r="BJ332" s="81" t="n"/>
      <c r="BL332" s="81" t="n"/>
      <c r="BM332" s="81" t="n"/>
      <c r="BN332" s="81" t="n"/>
      <c r="BO332" s="81" t="n"/>
      <c r="BQ332" s="81" t="n"/>
      <c r="BR332" s="81" t="n"/>
      <c r="BS332" s="81" t="n"/>
      <c r="BT332" s="81" t="n"/>
      <c r="BV332" s="81" t="n"/>
      <c r="BW332" s="81" t="n"/>
      <c r="BX332" s="81" t="n"/>
      <c r="BY332" s="81" t="n"/>
      <c r="CA332" s="81" t="n"/>
      <c r="CB332" s="81" t="n"/>
      <c r="CC332" s="81" t="n"/>
      <c r="CD332" s="81" t="n"/>
      <c r="CF332" s="81" t="n"/>
      <c r="CG332" s="81" t="n"/>
      <c r="CH332" s="81" t="n"/>
      <c r="CI332" s="81" t="n"/>
      <c r="CK332" s="81" t="n"/>
      <c r="CL332" s="81" t="n"/>
      <c r="CM332" s="81" t="n"/>
      <c r="CN332" s="81" t="n"/>
      <c r="CP332" s="81" t="n"/>
      <c r="CQ332" s="81" t="n"/>
      <c r="CR332" s="81" t="n"/>
      <c r="CS332" s="81" t="n"/>
      <c r="CU332" s="81" t="n"/>
      <c r="CV332" s="81" t="n"/>
      <c r="CW332" s="81" t="n"/>
      <c r="CX332" s="81" t="n"/>
    </row>
    <row r="333" customFormat="1" s="84">
      <c r="A333" s="81" t="n"/>
      <c r="B333" s="81" t="n"/>
      <c r="C333" s="84" t="inlineStr">
        <is>
          <t>RETURN ON CAPITAL (ROIC) - EX GOODWILL - LTM</t>
        </is>
      </c>
      <c r="D333" t="str">
        <f>IFERROR(D334/D338,"")</f>
        <v/>
      </c>
      <c r="E333" t="str">
        <f>IFERROR(E334/E338,"")</f>
        <v/>
      </c>
      <c r="F333" t="str">
        <f>IFERROR(F334/F338,"")</f>
        <v/>
      </c>
      <c r="G333" t="str">
        <f>IFERROR(G334/G338,"")</f>
        <v/>
      </c>
      <c r="H333" s="257" t="str">
        <f>IFERROR(IF(AND(COUNT(H334)=1,N(H338)&lt;&gt;0),(H334)/H338,""),"")</f>
        <v/>
      </c>
      <c r="I333" s="257" t="str">
        <f>""</f>
        <v/>
      </c>
      <c r="J333" s="257" t="str">
        <f>""</f>
        <v/>
      </c>
      <c r="K333" s="257" t="str">
        <f>""</f>
        <v/>
      </c>
      <c r="L333" s="257">
        <f>IFERROR(IF(AND(COUNT(I334,J334,K334,L334)=4,N(L338)&lt;&gt;0),(I334+J334+K334+L334)/L338,""),"")</f>
        <v>0.108627505849312</v>
      </c>
      <c r="M333" s="257">
        <f>IFERROR(IF(AND(COUNT(I334,J334,K334,L334)=4,N(M338)&lt;&gt;0),(I334+J334+K334+L334)/M338,""),"")</f>
        <v>0.108627505849312</v>
      </c>
      <c r="N333" s="257">
        <f>IFERROR(IF(AND(COUNT(J334,K334,L334,N334)=4,N(N338)&lt;&gt;0),(J334+K334+L334+N334)/N338,""),"")</f>
        <v>0.109778684461409</v>
      </c>
      <c r="O333" s="257">
        <f>IFERROR(IF(AND(COUNT(K334,L334,N334,O334)=4,N(O338)&lt;&gt;0),(K334+L334+N334+O334)/O338,""),"")</f>
        <v>0.251008172785722</v>
      </c>
      <c r="P333" s="257">
        <f>IFERROR(IF(AND(COUNT(L334,N334,O334,P334)=4,N(P338)&lt;&gt;0),(L334+N334+O334+P334)/P338,""),"")</f>
        <v>0.296844000196891</v>
      </c>
      <c r="Q333" s="257">
        <f>IFERROR(IF(AND(COUNT(N334,O334,P334,Q334)=4,N(Q338)&lt;&gt;0),(N334+O334+P334+Q334)/Q338,""),"")</f>
        <v>0.298575808308607</v>
      </c>
      <c r="R333" s="257">
        <f>IFERROR(IF(AND(COUNT(N334,O334,P334,Q334)=4,N(R338)&lt;&gt;0),(N334+O334+P334+Q334)/R338,""),"")</f>
        <v>0.298575808308607</v>
      </c>
      <c r="S333" s="257">
        <f>IFERROR(IF(AND(COUNT(O334,P334,Q334,S334)=4,N(S338)&lt;&gt;0),(O334+P334+Q334+S334)/S338,""),"")</f>
        <v>0.295599125785444</v>
      </c>
      <c r="T333" s="257">
        <f>IFERROR(IF(AND(COUNT(P334,Q334,S334,T334)=4,N(T338)&lt;&gt;0),(P334+Q334+S334+T334)/T338,""),"")</f>
        <v>0.332863199474573</v>
      </c>
      <c r="U333" s="257">
        <f>IFERROR(IF(AND(COUNT(Q334,S334,T334,U334)=4,N(U338)&lt;&gt;0),(Q334+S334+T334+U334)/U338,""),"")</f>
        <v>0.348274221499032</v>
      </c>
      <c r="V333" s="257">
        <f>IFERROR(IF(AND(COUNT(S334,T334,U334,V334)=4,N(V338)&lt;&gt;0),(S334+T334+U334+V334)/V338,""),"")</f>
        <v>0.264118984380557</v>
      </c>
      <c r="W333" s="257">
        <f>IFERROR(IF(AND(COUNT(S334,T334,U334,V334)=4,N(W338)&lt;&gt;0),(S334+T334+U334+V334)/W338,""),"")</f>
        <v>0.264118984380557</v>
      </c>
      <c r="X333" s="257">
        <f>IFERROR(IF(AND(COUNT(T334,U334,V334,X334)=4,N(X338)&lt;&gt;0),(T334+U334+V334+X334)/X338,""),"")</f>
        <v>0.165963310443621</v>
      </c>
      <c r="Y333" s="257">
        <f>IFERROR(IF(AND(COUNT(U334,V334,X334,Y334)=4,N(Y338)&lt;&gt;0),(U334+V334+X334+Y334)/Y338,""),"")</f>
        <v>0.0833266527841596</v>
      </c>
      <c r="Z333" s="257">
        <f>IFERROR(IF(AND(COUNT(V334,X334,Y334,Z334)=4,N(Z338)&lt;&gt;0),(V334+X334+Y334+Z334)/Z338,""),"")</f>
        <v>0</v>
      </c>
      <c r="AA333" s="257">
        <f>IFERROR(IF(AND(COUNT(X334,Y334,Z334,AA334)=4,N(AA338)&lt;&gt;0),(X334+Y334+Z334+AA334)/AA338,""),"")</f>
        <v>0</v>
      </c>
      <c r="AB333" s="257">
        <f>IFERROR(IF(AND(COUNT(X334,Y334,Z334,AA334)=4,N(AB338)&lt;&gt;0),(X334+Y334+Z334+AA334)/AB338,""),"")</f>
        <v>0</v>
      </c>
      <c r="AC333" s="257">
        <f>IFERROR(IF(AND(COUNT(Y334,Z334,AA334,AC334)=4,N(AC338)&lt;&gt;0),(Y334+Z334+AA334+AC334)/AC338,""),"")</f>
        <v>0</v>
      </c>
      <c r="AD333" s="257">
        <f>IFERROR(IF(AND(COUNT(Z334,AA334,AC334,AD334)=4,N(AD338)&lt;&gt;0),(Z334+AA334+AC334+AD334)/AD338,""),"")</f>
        <v>0</v>
      </c>
      <c r="AE333" s="257">
        <f>IFERROR(IF(AND(COUNT(AA334,AC334,AD334,AE334)=4,N(AE338)&lt;&gt;0),(AA334+AC334+AD334+AE334)/AE338,""),"")</f>
        <v>0</v>
      </c>
      <c r="AF333" s="257">
        <f>IFERROR(IF(AND(COUNT(AB334,AD334,AE334,AF334)=4,N(AF338)&lt;&gt;0),(AB334+AD334+AE334+AF334)/AF338,""),"")</f>
        <v>0</v>
      </c>
      <c r="AG333" s="257">
        <f>IFERROR(IF(AND(COUNT(AC334,AD334,AE334,AF334)=4,N(AG338)&lt;&gt;0),(AC334+AD334+AE334+AF334)/AG338,""),"")</f>
        <v>0</v>
      </c>
      <c r="AH333" s="257">
        <f>IFERROR(IF(AND(COUNT(AD334,AF334,AG334,AH334)=4,N(AH338)&lt;&gt;0),(AD334+AF334+AG334+AH334)/AH338,""),"")</f>
        <v>0</v>
      </c>
      <c r="AI333" s="257">
        <f>IFERROR(IF(AND(COUNT(AE334,AG334,AH334,AI334)=4,N(AI338)&lt;&gt;0),(AE334+AG334+AH334+AI334)/AI338,""),"")</f>
        <v>0</v>
      </c>
      <c r="AJ333" s="257">
        <f>IFERROR(IF(AND(COUNT(AF334,AH334,AI334,AJ334)=4,N(AJ338)&lt;&gt;0),(AF334+AH334+AI334+AJ334)/AJ338,""),"")</f>
        <v>0</v>
      </c>
      <c r="AK333" s="257">
        <f>IFERROR(IF(AND(COUNT(AH334,AI334,AJ334,AK334)=4,N(AK338)&lt;&gt;0),(AH334+AI334+AJ334+AK334)/AK338,""),"")</f>
        <v>0</v>
      </c>
      <c r="AL333" s="257">
        <f>IFERROR(IF(AND(COUNT(AH334,AI334,AJ334,AK334)=4,N(AL338)&lt;&gt;0),(AH334+AI334+AJ334+AK334)/AL338,""),"")</f>
        <v>0</v>
      </c>
      <c r="AM333" s="257">
        <f>IFERROR(IF(AND(COUNT(AI334,AJ334,AK334,AM334)=4,N(AM338)&lt;&gt;0),(AI334+AJ334+AK334+AM334)/AM338,""),"")</f>
        <v>0</v>
      </c>
      <c r="AN333" s="257">
        <f>IFERROR(IF(AND(COUNT(AJ334,AK334,AM334,AN334)=4,N(AN338)&lt;&gt;0),(AJ334+AK334+AM334+AN334)/AN338,""),"")</f>
        <v>0</v>
      </c>
      <c r="AO333" s="257">
        <f>IFERROR(IF(AND(COUNT(AK334,AM334,AN334,AO334)=4,N(AO338)&lt;&gt;0),(AK334+AM334+AN334+AO334)/AO338,""),"")</f>
        <v>0</v>
      </c>
      <c r="AP333" s="257">
        <f>IFERROR(IF(AND(COUNT(AM334,AN334,AO334,AP334)=4,N(AP338)&lt;&gt;0),(AM334+AN334+AO334+AP334)/AP338,""),"")</f>
        <v>0</v>
      </c>
      <c r="AQ333" s="257">
        <f>IFERROR(IF(AND(COUNT(AM334,AN334,AO334,AP334)=4,N(AQ338)&lt;&gt;0),(AM334+AN334+AO334+AP334)/AQ338,""),"")</f>
        <v>0</v>
      </c>
      <c r="AR333" s="257">
        <f>IFERROR(IF(AND(COUNT(AN334,AO334,AP334,AR334)=4,N(AR338)&lt;&gt;0),(AN334+AO334+AP334+AR334)/AR338,""),"")</f>
        <v>0</v>
      </c>
      <c r="AS333" s="257">
        <f>IFERROR(IF(AND(COUNT(AO334,AP334,AR334,AS334)=4,N(AS338)&lt;&gt;0),(AO334+AP334+AR334+AS334)/AS338,""),"")</f>
        <v>0</v>
      </c>
      <c r="AT333" s="257">
        <f>IFERROR(IF(AND(COUNT(AP334,AR334,AS334,AT334)=4,N(AT338)&lt;&gt;0),(AP334+AR334+AS334+AT334)/AT338,""),"")</f>
        <v>0</v>
      </c>
      <c r="AU333" s="257">
        <f>IFERROR(IF(AND(COUNT(AR334,AS334,AT334,AU334)=4,N(AU338)&lt;&gt;0),(AR334+AS334+AT334+AU334)/AU338,""),"")</f>
        <v>0</v>
      </c>
      <c r="AV333" s="257">
        <f>IFERROR(IF(AND(COUNT(AR334,AS334,AT334,AU334)=4,N(AV338)&lt;&gt;0),(AR334+AS334+AT334+AU334)/AV338,""),"")</f>
        <v>0</v>
      </c>
      <c r="AW333" s="257">
        <f>IFERROR(IF(AND(COUNT(AS334,AT334,AU334,AW334)=4,N(AW338)&lt;&gt;0),(AS334+AT334+AU334+AW334)/AW338,""),"")</f>
        <v>0</v>
      </c>
      <c r="AX333" s="257">
        <f>IFERROR(IF(AND(COUNT(AT334,AU334,AW334,AX334)=4,N(AX338)&lt;&gt;0),(AT334+AU334+AW334+AX334)/AX338,""),"")</f>
        <v>0</v>
      </c>
      <c r="AY333" s="257">
        <f>IFERROR(IF(AND(COUNT(AU334,AW334,AX334,AY334)=4,N(AY338)&lt;&gt;0),(AU334+AW334+AX334+AY334)/AY338,""),"")</f>
        <v>0</v>
      </c>
      <c r="AZ333" s="257">
        <f>IFERROR(IF(AND(COUNT(AW334,AX334,AY334,AZ334)=4,N(AZ338)&lt;&gt;0),(AW334+AX334+AY334+AZ334)/AZ338,""),"")</f>
        <v>0</v>
      </c>
      <c r="BA333" s="257">
        <f>IFERROR(IF(AND(COUNT(AW334,AX334,AY334,AZ334)=4,N(BA338)&lt;&gt;0),(AW334+AX334+AY334+AZ334)/BA338,""),"")</f>
        <v>0</v>
      </c>
      <c r="BB333" s="257">
        <f>IFERROR(IF(AND(COUNT(AX334,AY334,AZ334,BB334)=4,N(BB338)&lt;&gt;0),(AX334+AY334+AZ334+BB334)/BB338,""),"")</f>
        <v>0</v>
      </c>
      <c r="BC333" s="257">
        <f>IFERROR(IF(AND(COUNT(AY334,AZ334,BB334,BC334)=4,N(BC338)&lt;&gt;0),(AY334+AZ334+BB334+BC334)/BC338,""),"")</f>
        <v>0</v>
      </c>
      <c r="BD333" s="257">
        <f>IFERROR(IF(AND(COUNT(AZ334,BB334,BC334,BD334)=4,N(BD338)&lt;&gt;0),(AZ334+BB334+BC334+BD334)/BD338,""),"")</f>
        <v>0</v>
      </c>
      <c r="BE333" s="257">
        <f>IFERROR(IF(AND(COUNT(BB334,BC334,BD334,BE334)=4,N(BE338)&lt;&gt;0),(BB334+BC334+BD334+BE334)/BE338,""),"")</f>
        <v>0</v>
      </c>
      <c r="BF333" s="257">
        <f>IFERROR(IF(AND(COUNT(BB334,BC334,BD334,BE334)=4,N(BF338)&lt;&gt;0),(BB334+BC334+BD334+BE334)/BF338,""),"")</f>
        <v>0</v>
      </c>
      <c r="BG333" s="81" t="n"/>
      <c r="BH333" s="81" t="n"/>
      <c r="BI333" s="81" t="n"/>
      <c r="BJ333" s="81" t="n"/>
      <c r="BL333" s="81" t="n"/>
      <c r="BM333" s="81" t="n"/>
      <c r="BN333" s="81" t="n"/>
      <c r="BO333" s="81" t="n"/>
      <c r="BQ333" s="81" t="n"/>
      <c r="BR333" s="81" t="n"/>
      <c r="BS333" s="81" t="n"/>
      <c r="BT333" s="81" t="n"/>
      <c r="BV333" s="81" t="n"/>
      <c r="BW333" s="81" t="n"/>
      <c r="BX333" s="81" t="n"/>
      <c r="BY333" s="81" t="n"/>
      <c r="CA333" s="81" t="n"/>
      <c r="CB333" s="81" t="n"/>
      <c r="CC333" s="81" t="n"/>
      <c r="CD333" s="81" t="n"/>
      <c r="CF333" s="81" t="n"/>
      <c r="CG333" s="81" t="n"/>
      <c r="CH333" s="81" t="n"/>
      <c r="CI333" s="81" t="n"/>
      <c r="CK333" s="81" t="n"/>
      <c r="CL333" s="81" t="n"/>
      <c r="CM333" s="81" t="n"/>
      <c r="CN333" s="81" t="n"/>
      <c r="CP333" s="81" t="n"/>
      <c r="CQ333" s="81" t="n"/>
      <c r="CR333" s="81" t="n"/>
      <c r="CS333" s="81" t="n"/>
      <c r="CU333" s="81" t="n"/>
      <c r="CV333" s="81" t="n"/>
      <c r="CW333" s="81" t="n"/>
      <c r="CX333" s="81" t="n"/>
    </row>
    <row r="334" customFormat="1" s="77">
      <c r="A334" s="76" t="n"/>
      <c r="B334" s="76" t="n"/>
      <c r="C334" s="77" t="inlineStr">
        <is>
          <t>NOPLAT</t>
        </is>
      </c>
      <c r="D334">
        <f>IFERROR(D335*(1-D336),"")</f>
        <v>0</v>
      </c>
      <c r="E334">
        <f>IFERROR(E335*(1-E336),"")</f>
        <v>0</v>
      </c>
      <c r="F334">
        <f>IFERROR(F335*(1-F336),"")</f>
        <v>0</v>
      </c>
      <c r="G334">
        <f>IFERROR(G335*(1-G336),"")</f>
        <v>0</v>
      </c>
      <c r="H334" s="263">
        <f>IFERROR(H335*(1-N(H336)),0)</f>
        <v>0</v>
      </c>
      <c r="I334" s="263">
        <f>IFERROR(I335*(1-N(I336)),0)</f>
        <v>1879.88667820069</v>
      </c>
      <c r="J334" s="263">
        <f>IFERROR(J335*(1-N(J336)),0)</f>
        <v>1730.76139534884</v>
      </c>
      <c r="K334" s="263">
        <f>IFERROR(K335*(1-N(K336)),0)</f>
        <v>1345.83756974582</v>
      </c>
      <c r="L334" s="263">
        <f>IFERROR(L335*(1-N(L336)),0)</f>
        <v>966.754995655951</v>
      </c>
      <c r="M334" s="263">
        <f>IFERROR(M335*(1-N(M336)),0)</f>
        <v>5923.14212565735</v>
      </c>
      <c r="N334" s="263">
        <f>IFERROR(N335*(1-N(N336)),0)</f>
        <v>2187.684169279</v>
      </c>
      <c r="O334" s="263">
        <f>IFERROR(O335*(1-N(O336)),0)</f>
        <v>1964.43875541552</v>
      </c>
      <c r="P334" s="263">
        <f>IFERROR(P335*(1-N(P336)),0)</f>
        <v>2297.17573656846</v>
      </c>
      <c r="Q334" s="263">
        <f>IFERROR(Q335*(1-N(Q336)),0)</f>
        <v>1975.61492178099</v>
      </c>
      <c r="R334" s="263">
        <f>IFERROR(R335*(1-N(R336)),0)</f>
        <v>8424.63081478651</v>
      </c>
      <c r="S334" s="263">
        <f>IFERROR(S335*(1-N(S336)),0)</f>
        <v>2894.12318087318</v>
      </c>
      <c r="T334" s="263">
        <f>IFERROR(T335*(1-N(T336)),0)</f>
        <v>2895.87354409318</v>
      </c>
      <c r="U334" s="263">
        <f>IFERROR(U335*(1-N(U336)),0)</f>
        <v>2329.8132118451</v>
      </c>
      <c r="V334" s="263">
        <f>IFERROR(V335*(1-N(V336)),0)</f>
        <v>0</v>
      </c>
      <c r="W334" s="263">
        <f>IFERROR(W335*(1-N(W336)),0)</f>
        <v>8143.39664102967</v>
      </c>
      <c r="X334" s="263">
        <f>IFERROR(X335*(1-N(X336)),0)</f>
        <v>0</v>
      </c>
      <c r="Y334" s="263">
        <f>IFERROR(Y335*(1-N(Y336)),0)</f>
        <v>0</v>
      </c>
      <c r="Z334" s="263">
        <f>IFERROR(Z335*(1-N(Z336)),0)</f>
        <v>0</v>
      </c>
      <c r="AA334" s="263">
        <f>IFERROR(AA335*(1-N(AA336)),0)</f>
        <v>0</v>
      </c>
      <c r="AB334" s="263">
        <f>IFERROR(AB335*(1-N(AB336)),0)</f>
        <v>0</v>
      </c>
      <c r="AC334" s="263">
        <f>IFERROR(AC335*(1-N(AC336)),0)</f>
        <v>0</v>
      </c>
      <c r="AD334" s="263">
        <f>IFERROR(AD335*(1-N(AD336)),0)</f>
        <v>0</v>
      </c>
      <c r="AE334" s="263">
        <f>IFERROR(AE335*(1-N(AE336)),0)</f>
        <v>0</v>
      </c>
      <c r="AF334" s="263">
        <f>IFERROR(AF335*(1-N(AF336)),0)</f>
        <v>0</v>
      </c>
      <c r="AG334" s="263">
        <f>IFERROR(AG335*(1-N(AG336)),0)</f>
        <v>0</v>
      </c>
      <c r="AH334" s="263">
        <f>IFERROR(AH335*(1-N(AH336)),0)</f>
        <v>0</v>
      </c>
      <c r="AI334" s="263">
        <f>IFERROR(AI335*(1-N(AI336)),0)</f>
        <v>0</v>
      </c>
      <c r="AJ334" s="263">
        <f>IFERROR(AJ335*(1-N(AJ336)),0)</f>
        <v>0</v>
      </c>
      <c r="AK334" s="263">
        <f>IFERROR(AK335*(1-N(AK336)),0)</f>
        <v>0</v>
      </c>
      <c r="AL334" s="263">
        <f>IFERROR(AL335*(1-N(AL336)),0)</f>
        <v>0</v>
      </c>
      <c r="AM334" s="263">
        <f>IFERROR(AM335*(1-N(AM336)),0)</f>
        <v>0</v>
      </c>
      <c r="AN334" s="263">
        <f>IFERROR(AN335*(1-N(AN336)),0)</f>
        <v>0</v>
      </c>
      <c r="AO334" s="263">
        <f>IFERROR(AO335*(1-N(AO336)),0)</f>
        <v>0</v>
      </c>
      <c r="AP334" s="263">
        <f>IFERROR(AP335*(1-N(AP336)),0)</f>
        <v>0</v>
      </c>
      <c r="AQ334" s="263">
        <f>IFERROR(AQ335*(1-N(AQ336)),0)</f>
        <v>0</v>
      </c>
      <c r="AR334" s="263">
        <f>IFERROR(AR335*(1-N(AR336)),0)</f>
        <v>0</v>
      </c>
      <c r="AS334" s="263">
        <f>IFERROR(AS335*(1-N(AS336)),0)</f>
        <v>0</v>
      </c>
      <c r="AT334" s="263">
        <f>IFERROR(AT335*(1-N(AT336)),0)</f>
        <v>0</v>
      </c>
      <c r="AU334" s="263">
        <f>IFERROR(AU335*(1-N(AU336)),0)</f>
        <v>0</v>
      </c>
      <c r="AV334" s="263">
        <f>IFERROR(AV335*(1-N(AV336)),0)</f>
        <v>0</v>
      </c>
      <c r="AW334" s="263">
        <f>IFERROR(AW335*(1-N(AW336)),0)</f>
        <v>0</v>
      </c>
      <c r="AX334" s="263">
        <f>IFERROR(AX335*(1-N(AX336)),0)</f>
        <v>0</v>
      </c>
      <c r="AY334" s="263">
        <f>IFERROR(AY335*(1-N(AY336)),0)</f>
        <v>0</v>
      </c>
      <c r="AZ334" s="263">
        <f>IFERROR(AZ335*(1-N(AZ336)),0)</f>
        <v>0</v>
      </c>
      <c r="BA334" s="263">
        <f>IFERROR(BA335*(1-N(BA336)),0)</f>
        <v>0</v>
      </c>
      <c r="BB334" s="263">
        <f>IFERROR(BB335*(1-N(BB336)),0)</f>
        <v>0</v>
      </c>
      <c r="BC334" s="263">
        <f>IFERROR(BC335*(1-N(BC336)),0)</f>
        <v>0</v>
      </c>
      <c r="BD334" s="263">
        <f>IFERROR(BD335*(1-N(BD336)),0)</f>
        <v>0</v>
      </c>
      <c r="BE334" s="263">
        <f>IFERROR(BE335*(1-N(BE336)),0)</f>
        <v>0</v>
      </c>
      <c r="BF334" s="263">
        <f>IFERROR(BF335*(1-N(BF336)),0)</f>
        <v>0</v>
      </c>
      <c r="BG334" s="85" t="n"/>
      <c r="BH334" s="76" t="n"/>
      <c r="BI334" s="76" t="n"/>
      <c r="BJ334" s="76" t="n"/>
      <c r="BL334" s="85" t="n"/>
      <c r="BM334" s="76" t="n"/>
      <c r="BN334" s="76" t="n"/>
      <c r="BO334" s="76" t="n"/>
      <c r="BQ334" s="85" t="n"/>
      <c r="BR334" s="76" t="n"/>
      <c r="BS334" s="76" t="n"/>
      <c r="BT334" s="76" t="n"/>
      <c r="BV334" s="85" t="n"/>
      <c r="BW334" s="76" t="n"/>
      <c r="BX334" s="76" t="n"/>
      <c r="BY334" s="76" t="n"/>
      <c r="CA334" s="85" t="n"/>
      <c r="CB334" s="76" t="n"/>
      <c r="CC334" s="76" t="n"/>
      <c r="CD334" s="76" t="n"/>
      <c r="CF334" s="85" t="n"/>
      <c r="CG334" s="76" t="n"/>
      <c r="CH334" s="76" t="n"/>
      <c r="CI334" s="76" t="n"/>
      <c r="CK334" s="85" t="n"/>
      <c r="CL334" s="76" t="n"/>
      <c r="CM334" s="76" t="n"/>
      <c r="CN334" s="76" t="n"/>
      <c r="CP334" s="85" t="n"/>
      <c r="CQ334" s="76" t="n"/>
      <c r="CR334" s="76" t="n"/>
      <c r="CS334" s="76" t="n"/>
      <c r="CU334" s="85" t="n"/>
      <c r="CV334" s="76" t="n"/>
      <c r="CW334" s="76" t="n"/>
      <c r="CX334" s="76" t="n"/>
    </row>
    <row r="335" customFormat="1" s="77">
      <c r="A335" s="76" t="n"/>
      <c r="B335" s="76" t="n"/>
      <c r="C335" s="77" t="inlineStr">
        <is>
          <t>EBIT</t>
        </is>
      </c>
      <c r="D335" s="86">
        <f>IFERROR(D117,"")</f>
        <v>0</v>
      </c>
      <c r="E335" s="86">
        <f>IFERROR(E117,"")</f>
        <v>0</v>
      </c>
      <c r="F335" s="86">
        <f>IFERROR(F117,"")</f>
        <v>0</v>
      </c>
      <c r="G335" s="86">
        <f>IFERROR(G117,"")</f>
        <v>0</v>
      </c>
      <c r="H335" s="263">
        <f>IFERROR(H60,0)</f>
        <v>0</v>
      </c>
      <c r="I335" s="263">
        <f>IFERROR(I60,0)</f>
        <v>2439</v>
      </c>
      <c r="J335" s="263">
        <f>IFERROR(J60,0)</f>
        <v>2243</v>
      </c>
      <c r="K335" s="263">
        <f>IFERROR(K60,0)</f>
        <v>1692</v>
      </c>
      <c r="L335" s="263">
        <f>IFERROR(L60,0)</f>
        <v>1235</v>
      </c>
      <c r="M335" s="263">
        <f>IFERROR(M60,0)</f>
        <v>7609</v>
      </c>
      <c r="N335" s="263">
        <f>IFERROR(N60,0)</f>
        <v>2670</v>
      </c>
      <c r="O335" s="263">
        <f>IFERROR(O60,0)</f>
        <v>2646</v>
      </c>
      <c r="P335" s="263">
        <f>IFERROR(P60,0)</f>
        <v>2956</v>
      </c>
      <c r="Q335" s="263">
        <f>IFERROR(Q60,0)</f>
        <v>2518</v>
      </c>
      <c r="R335" s="263">
        <f>IFERROR(R60,0)</f>
        <v>10790</v>
      </c>
      <c r="S335" s="263">
        <f>IFERROR(S60,0)</f>
        <v>3898</v>
      </c>
      <c r="T335" s="263">
        <f>IFERROR(T60,0)</f>
        <v>3516</v>
      </c>
      <c r="U335" s="263">
        <f>IFERROR(U60,0)</f>
        <v>3026</v>
      </c>
      <c r="V335" s="263">
        <f>IFERROR(V60,0)</f>
        <v>0</v>
      </c>
      <c r="W335" s="263">
        <f>IFERROR(W60,0)</f>
        <v>10440</v>
      </c>
      <c r="X335" s="263">
        <f>IFERROR(X60,0)</f>
        <v>0</v>
      </c>
      <c r="Y335" s="263">
        <f>IFERROR(Y60,0)</f>
        <v>0</v>
      </c>
      <c r="Z335" s="263">
        <f>IFERROR(Z60,0)</f>
        <v>0</v>
      </c>
      <c r="AA335" s="263">
        <f>IFERROR(AA60,0)</f>
        <v>0</v>
      </c>
      <c r="AB335" s="263">
        <f>IFERROR(AB60,0)</f>
        <v>0</v>
      </c>
      <c r="AC335" s="263">
        <f>IFERROR(AC60,0)</f>
        <v>0</v>
      </c>
      <c r="AD335" s="263">
        <f>IFERROR(AD60,0)</f>
        <v>0</v>
      </c>
      <c r="AE335" s="263">
        <f>IFERROR(AE60,0)</f>
        <v>0</v>
      </c>
      <c r="AF335" s="263">
        <f>IFERROR(AF60,0)</f>
        <v>0</v>
      </c>
      <c r="AG335" s="263">
        <f>IFERROR(AG60,0)</f>
        <v>0</v>
      </c>
      <c r="AH335" s="263">
        <f>IFERROR(AH60,0)</f>
        <v>0</v>
      </c>
      <c r="AI335" s="263">
        <f>IFERROR(AI60,0)</f>
        <v>0</v>
      </c>
      <c r="AJ335" s="263">
        <f>IFERROR(AJ60,0)</f>
        <v>0</v>
      </c>
      <c r="AK335" s="263">
        <f>IFERROR(AK60,0)</f>
        <v>0</v>
      </c>
      <c r="AL335" s="263">
        <f>IFERROR(AL60,0)</f>
        <v>0</v>
      </c>
      <c r="AM335" s="263">
        <f>IFERROR(AM60,0)</f>
        <v>0</v>
      </c>
      <c r="AN335" s="263">
        <f>IFERROR(AN60,0)</f>
        <v>0</v>
      </c>
      <c r="AO335" s="263">
        <f>IFERROR(AO60,0)</f>
        <v>0</v>
      </c>
      <c r="AP335" s="263">
        <f>IFERROR(AP60,0)</f>
        <v>0</v>
      </c>
      <c r="AQ335" s="263">
        <f>IFERROR(AQ60,0)</f>
        <v>0</v>
      </c>
      <c r="AR335" s="263">
        <f>IFERROR(AR60,0)</f>
        <v>0</v>
      </c>
      <c r="AS335" s="263">
        <f>IFERROR(AS60,0)</f>
        <v>0</v>
      </c>
      <c r="AT335" s="263">
        <f>IFERROR(AT60,0)</f>
        <v>0</v>
      </c>
      <c r="AU335" s="263">
        <f>IFERROR(AU60,0)</f>
        <v>0</v>
      </c>
      <c r="AV335" s="263">
        <f>IFERROR(AV60,0)</f>
        <v>0</v>
      </c>
      <c r="AW335" s="263">
        <f>IFERROR(AW60,0)</f>
        <v>0</v>
      </c>
      <c r="AX335" s="263">
        <f>IFERROR(AX60,0)</f>
        <v>0</v>
      </c>
      <c r="AY335" s="263">
        <f>IFERROR(AY60,0)</f>
        <v>0</v>
      </c>
      <c r="AZ335" s="263">
        <f>IFERROR(AZ60,0)</f>
        <v>0</v>
      </c>
      <c r="BA335" s="263">
        <f>IFERROR(BA60,0)</f>
        <v>0</v>
      </c>
      <c r="BB335" s="263">
        <f>IFERROR(BB60,0)</f>
        <v>0</v>
      </c>
      <c r="BC335" s="263">
        <f>IFERROR(BC60,0)</f>
        <v>0</v>
      </c>
      <c r="BD335" s="263">
        <f>IFERROR(BD60,0)</f>
        <v>0</v>
      </c>
      <c r="BE335" s="263">
        <f>IFERROR(BE60,0)</f>
        <v>0</v>
      </c>
      <c r="BF335" s="263">
        <f>IFERROR(BF60,0)</f>
        <v>0</v>
      </c>
      <c r="BG335" s="63" t="n"/>
      <c r="BH335" s="63" t="n"/>
      <c r="BI335" s="63" t="n"/>
      <c r="BJ335" s="63" t="n"/>
      <c r="BL335" s="63" t="n"/>
      <c r="BM335" s="63" t="n"/>
      <c r="BN335" s="63" t="n"/>
      <c r="BO335" s="63" t="n"/>
      <c r="BQ335" s="63" t="n"/>
      <c r="BR335" s="63" t="n"/>
      <c r="BS335" s="63" t="n"/>
      <c r="BT335" s="63" t="n"/>
      <c r="BV335" s="63" t="n"/>
      <c r="BW335" s="63" t="n"/>
      <c r="BX335" s="63" t="n"/>
      <c r="BY335" s="63" t="n"/>
      <c r="CA335" s="63" t="n"/>
      <c r="CB335" s="63" t="n"/>
      <c r="CC335" s="63" t="n"/>
      <c r="CD335" s="63" t="n"/>
      <c r="CF335" s="63" t="n"/>
      <c r="CG335" s="63" t="n"/>
      <c r="CH335" s="63" t="n"/>
      <c r="CI335" s="63" t="n"/>
      <c r="CK335" s="63" t="n"/>
      <c r="CL335" s="63" t="n"/>
      <c r="CM335" s="63" t="n"/>
      <c r="CN335" s="63" t="n"/>
      <c r="CP335" s="63" t="n"/>
      <c r="CQ335" s="63" t="n"/>
      <c r="CR335" s="63" t="n"/>
      <c r="CS335" s="63" t="n"/>
      <c r="CU335" s="63" t="n"/>
      <c r="CV335" s="63" t="n"/>
      <c r="CW335" s="63" t="n"/>
      <c r="CX335" s="63" t="n"/>
    </row>
    <row r="336" customFormat="1" s="77">
      <c r="A336" s="76" t="n"/>
      <c r="B336" s="76" t="n"/>
      <c r="C336" s="77" t="inlineStr">
        <is>
          <t>ETR (LIMITED TO 0%-100%)</t>
        </is>
      </c>
      <c r="D336" s="87">
        <f>IFERROR(D119,"")</f>
        <v>0</v>
      </c>
      <c r="E336" s="87">
        <f>IFERROR(E119,"")</f>
        <v>0</v>
      </c>
      <c r="F336" s="87">
        <f>IFERROR(F119,"")</f>
        <v>0</v>
      </c>
      <c r="G336" s="87">
        <f>IFERROR(G119,"")</f>
        <v>0</v>
      </c>
      <c r="H336" s="258" t="str">
        <f>IFERROR(IF(N(H117)&lt;&gt;0,MAX(0,MIN(1,-H118/H117)),""),"")</f>
        <v/>
      </c>
      <c r="I336" s="258">
        <f>IFERROR(IF(N(I117)&lt;&gt;0,MAX(0,MIN(1,-I118/I117)),""),"")</f>
        <v>0.22923875432526</v>
      </c>
      <c r="J336" s="258">
        <f>IFERROR(IF(N(J117)&lt;&gt;0,MAX(0,MIN(1,-J118/J117)),""),"")</f>
        <v>0.228372093023256</v>
      </c>
      <c r="K336" s="258">
        <f>IFERROR(IF(N(K117)&lt;&gt;0,MAX(0,MIN(1,-K118/K117)),""),"")</f>
        <v>0.204587724736516</v>
      </c>
      <c r="L336" s="258">
        <f>IFERROR(IF(N(L117)&lt;&gt;0,MAX(0,MIN(1,-L118/L117)),""),"")</f>
        <v>0.217202432667246</v>
      </c>
      <c r="M336" s="258">
        <f>IFERROR(IF(N(M117)&lt;&gt;0,MAX(0,MIN(1,-M118/M117)),""),"")</f>
        <v>0.221561029615278</v>
      </c>
      <c r="N336" s="258">
        <f>IFERROR(IF(N(N117)&lt;&gt;0,MAX(0,MIN(1,-N118/N117)),""),"")</f>
        <v>0.18064263322884</v>
      </c>
      <c r="O336" s="258">
        <f>IFERROR(IF(N(O117)&lt;&gt;0,MAX(0,MIN(1,-O118/O117)),""),"")</f>
        <v>0.257581725088618</v>
      </c>
      <c r="P336" s="258">
        <f>IFERROR(IF(N(P117)&lt;&gt;0,MAX(0,MIN(1,-P118/P117)),""),"")</f>
        <v>0.222876949740035</v>
      </c>
      <c r="Q336" s="258">
        <f>IFERROR(IF(N(Q117)&lt;&gt;0,MAX(0,MIN(1,-Q118/Q117)),""),"")</f>
        <v>0.215403128760529</v>
      </c>
      <c r="R336" s="258">
        <f>IFERROR(IF(N(R117)&lt;&gt;0,MAX(0,MIN(1,-R118/R117)),""),"")</f>
        <v>0.219218645524883</v>
      </c>
      <c r="S336" s="258">
        <f>IFERROR(IF(N(S117)&lt;&gt;0,MAX(0,MIN(1,-S118/S117)),""),"")</f>
        <v>0.257536382536383</v>
      </c>
      <c r="T336" s="258">
        <f>IFERROR(IF(N(T117)&lt;&gt;0,MAX(0,MIN(1,-T118/T117)),""),"")</f>
        <v>0.176372712146423</v>
      </c>
      <c r="U336" s="258">
        <f>IFERROR(IF(N(U117)&lt;&gt;0,MAX(0,MIN(1,-U118/U117)),""),"")</f>
        <v>0.230068337129841</v>
      </c>
      <c r="V336" s="258">
        <f>IFERROR(IF(N(V117)&lt;&gt;0,MAX(0,MIN(1,-V118/V117)),""),"")</f>
        <v>0.211738148984199</v>
      </c>
      <c r="W336" s="258">
        <f>IFERROR(IF(N(W117)&lt;&gt;0,MAX(0,MIN(1,-W118/W117)),""),"")</f>
        <v>0.219981164652331</v>
      </c>
      <c r="X336" s="258">
        <f>IFERROR(IF(N(X117)&lt;&gt;0,MAX(0,MIN(1,-X118/X117)),""),"")</f>
        <v>0.240936798203401</v>
      </c>
      <c r="Y336" s="258">
        <f>IFERROR(IF(N(Y117)&lt;&gt;0,MAX(0,MIN(1,-Y118/Y117)),""),"")</f>
        <v>0.265392781316348</v>
      </c>
      <c r="Z336" s="258">
        <f>IFERROR(IF(N(Z117)&lt;&gt;0,MAX(0,MIN(1,-Z118/Z117)),""),"")</f>
        <v>0.163923633969717</v>
      </c>
      <c r="AA336" s="258">
        <f>IFERROR(IF(N(AA117)&lt;&gt;0,MAX(0,MIN(1,-AA118/AA117)),""),"")</f>
        <v>0.0301675977653631</v>
      </c>
      <c r="AB336" s="258">
        <f>IFERROR(IF(N(AB117)&lt;&gt;0,MAX(0,MIN(1,-AB118/AB117)),""),"")</f>
        <v>0.20948516358103</v>
      </c>
      <c r="AC336" s="258">
        <f>IFERROR(IF(N(AC117)&lt;&gt;0,MAX(0,MIN(1,-AC118/AC117)),""),"")</f>
        <v>0.23063756953359</v>
      </c>
      <c r="AD336" s="258">
        <f>IFERROR(IF(N(AD117)&lt;&gt;0,MAX(0,MIN(1,-AD118/AD117)),""),"")</f>
        <v>0.211875</v>
      </c>
      <c r="AE336" s="258">
        <f>IFERROR(IF(N(AE117)&lt;&gt;0,MAX(0,MIN(1,-AE118/AE117)),""),"")</f>
        <v>0.248421052631579</v>
      </c>
      <c r="AF336" s="258">
        <f>IFERROR(IF(N(AF117)&lt;&gt;0,MAX(0,MIN(1,-AF118/AF117)),""),"")</f>
        <v>0.23444976076555</v>
      </c>
      <c r="AG336" s="258">
        <f>IFERROR(IF(N(AG117)&lt;&gt;0,MAX(0,MIN(1,-AG118/AG117)),""),"")</f>
        <v>0.230396902226525</v>
      </c>
      <c r="AH336" s="258">
        <f>IFERROR(IF(N(AH117)&lt;&gt;0,MAX(0,MIN(1,-AH118/AH117)),""),"")</f>
        <v>0.225904928041867</v>
      </c>
      <c r="AI336" s="258">
        <f>IFERROR(IF(N(AI117)&lt;&gt;0,MAX(0,MIN(1,-AI118/AI117)),""),"")</f>
        <v>0.281083953241233</v>
      </c>
      <c r="AJ336" s="258">
        <f>IFERROR(IF(N(AJ117)&lt;&gt;0,MAX(0,MIN(1,-AJ118/AJ117)),""),"")</f>
        <v>0.238728710702303</v>
      </c>
      <c r="AK336" s="258">
        <f>IFERROR(IF(N(AK117)&lt;&gt;0,MAX(0,MIN(1,-AK118/AK117)),""),"")</f>
        <v>0.238728710702303</v>
      </c>
      <c r="AL336" s="258">
        <f>IFERROR(IF(N(AL117)&lt;&gt;0,MAX(0,MIN(1,-AL118/AL117)),""),"")</f>
        <v>0.244488383700891</v>
      </c>
      <c r="AM336" s="258">
        <f>IFERROR(IF(N(AM117)&lt;&gt;0,MAX(0,MIN(1,-AM118/AM117)),""),"")</f>
        <v>0.238728710702303</v>
      </c>
      <c r="AN336" s="258">
        <f>IFERROR(IF(N(AN117)&lt;&gt;0,MAX(0,MIN(1,-AN118/AN117)),""),"")</f>
        <v>0.238728710702303</v>
      </c>
      <c r="AO336" s="258">
        <f>IFERROR(IF(N(AO117)&lt;&gt;0,MAX(0,MIN(1,-AO118/AO117)),""),"")</f>
        <v>0.238728710702303</v>
      </c>
      <c r="AP336" s="258">
        <f>IFERROR(IF(N(AP117)&lt;&gt;0,MAX(0,MIN(1,-AP118/AP117)),""),"")</f>
        <v>0.238728710702303</v>
      </c>
      <c r="AQ336" s="258">
        <f>IFERROR(IF(N(AQ117)&lt;&gt;0,MAX(0,MIN(1,-AQ118/AQ117)),""),"")</f>
        <v>0.238728710702303</v>
      </c>
      <c r="AR336" s="258">
        <f>IFERROR(IF(N(AR117)&lt;&gt;0,MAX(0,MIN(1,-AR118/AR117)),""),"")</f>
        <v>0.238728710702303</v>
      </c>
      <c r="AS336" s="258">
        <f>IFERROR(IF(N(AS117)&lt;&gt;0,MAX(0,MIN(1,-AS118/AS117)),""),"")</f>
        <v>0.238728710702303</v>
      </c>
      <c r="AT336" s="258">
        <f>IFERROR(IF(N(AT117)&lt;&gt;0,MAX(0,MIN(1,-AT118/AT117)),""),"")</f>
        <v>0.238728710702303</v>
      </c>
      <c r="AU336" s="258">
        <f>IFERROR(IF(N(AU117)&lt;&gt;0,MAX(0,MIN(1,-AU118/AU117)),""),"")</f>
        <v>0.238728710702303</v>
      </c>
      <c r="AV336" s="258">
        <f>IFERROR(IF(N(AV117)&lt;&gt;0,MAX(0,MIN(1,-AV118/AV117)),""),"")</f>
        <v>0.238728710702303</v>
      </c>
      <c r="AW336" s="258">
        <f>IFERROR(IF(N(AW117)&lt;&gt;0,MAX(0,MIN(1,-AW118/AW117)),""),"")</f>
        <v>0.238728710702303</v>
      </c>
      <c r="AX336" s="258">
        <f>IFERROR(IF(N(AX117)&lt;&gt;0,MAX(0,MIN(1,-AX118/AX117)),""),"")</f>
        <v>0.238728710702303</v>
      </c>
      <c r="AY336" s="258">
        <f>IFERROR(IF(N(AY117)&lt;&gt;0,MAX(0,MIN(1,-AY118/AY117)),""),"")</f>
        <v>0.238728710702303</v>
      </c>
      <c r="AZ336" s="258">
        <f>IFERROR(IF(N(AZ117)&lt;&gt;0,MAX(0,MIN(1,-AZ118/AZ117)),""),"")</f>
        <v>0.238728710702303</v>
      </c>
      <c r="BA336" s="258">
        <f>IFERROR(IF(N(BA117)&lt;&gt;0,MAX(0,MIN(1,-BA118/BA117)),""),"")</f>
        <v>0.238728710702303</v>
      </c>
      <c r="BB336" s="258">
        <f>IFERROR(IF(N(BB117)&lt;&gt;0,MAX(0,MIN(1,-BB118/BB117)),""),"")</f>
        <v>0.238728710702303</v>
      </c>
      <c r="BC336" s="258">
        <f>IFERROR(IF(N(BC117)&lt;&gt;0,MAX(0,MIN(1,-BC118/BC117)),""),"")</f>
        <v>0.238728710702303</v>
      </c>
      <c r="BD336" s="258">
        <f>IFERROR(IF(N(BD117)&lt;&gt;0,MAX(0,MIN(1,-BD118/BD117)),""),"")</f>
        <v>0.238728710702303</v>
      </c>
      <c r="BE336" s="258">
        <f>IFERROR(IF(N(BE117)&lt;&gt;0,MAX(0,MIN(1,-BE118/BE117)),""),"")</f>
        <v>0.238728710702303</v>
      </c>
      <c r="BF336" s="258">
        <f>IFERROR(IF(N(BF117)&lt;&gt;0,MAX(0,MIN(1,-BF118/BF117)),""),"")</f>
        <v>0.238728710702303</v>
      </c>
      <c r="BG336" s="88" t="n"/>
      <c r="BH336" s="88" t="n"/>
      <c r="BI336" s="88" t="n"/>
      <c r="BJ336" s="88" t="n"/>
      <c r="BL336" s="88" t="n"/>
      <c r="BM336" s="88" t="n"/>
      <c r="BN336" s="88" t="n"/>
      <c r="BO336" s="88" t="n"/>
      <c r="BQ336" s="88" t="n"/>
      <c r="BR336" s="88" t="n"/>
      <c r="BS336" s="88" t="n"/>
      <c r="BT336" s="88" t="n"/>
      <c r="BV336" s="88" t="n"/>
      <c r="BW336" s="88" t="n"/>
      <c r="BX336" s="88" t="n"/>
      <c r="BY336" s="88" t="n"/>
      <c r="CA336" s="88" t="n"/>
      <c r="CB336" s="88" t="n"/>
      <c r="CC336" s="88" t="n"/>
      <c r="CD336" s="88" t="n"/>
      <c r="CF336" s="88" t="n"/>
      <c r="CG336" s="88" t="n"/>
      <c r="CH336" s="88" t="n"/>
      <c r="CI336" s="88" t="n"/>
      <c r="CK336" s="88" t="n"/>
      <c r="CL336" s="88" t="n"/>
      <c r="CM336" s="88" t="n"/>
      <c r="CN336" s="88" t="n"/>
      <c r="CP336" s="88" t="n"/>
      <c r="CQ336" s="88" t="n"/>
      <c r="CR336" s="88" t="n"/>
      <c r="CS336" s="88" t="n"/>
      <c r="CU336" s="88" t="n"/>
      <c r="CV336" s="88" t="n"/>
      <c r="CW336" s="88" t="n"/>
      <c r="CX336" s="88" t="n"/>
    </row>
    <row r="337" customFormat="1" s="77">
      <c r="A337" s="76" t="n"/>
      <c r="B337" s="76" t="n"/>
      <c r="C337" s="77" t="inlineStr">
        <is>
          <t>INVESTED CAPITAL</t>
        </is>
      </c>
      <c r="D337" s="86">
        <f>IFERROR(D340-D341+D342,"")</f>
        <v>0</v>
      </c>
      <c r="E337" s="86">
        <f>IFERROR(E340-E341+E342,"")</f>
        <v>0</v>
      </c>
      <c r="F337" s="86">
        <f>IFERROR(F340-F341+F342,"")</f>
        <v>0</v>
      </c>
      <c r="G337" s="86">
        <f>IFERROR(G340-G341+G342,"")</f>
        <v>0</v>
      </c>
      <c r="H337" s="263">
        <f>IFERROR(H339+H342,0)</f>
        <v>0</v>
      </c>
      <c r="I337" s="263">
        <f>IFERROR(I339+I342,0)</f>
        <v>41793</v>
      </c>
      <c r="J337" s="263">
        <f>IFERROR(J339+J342,0)</f>
        <v>51413</v>
      </c>
      <c r="K337" s="263">
        <f>IFERROR(K339+K342,0)</f>
        <v>54800</v>
      </c>
      <c r="L337" s="263">
        <f>IFERROR(L339+L342,0)</f>
        <v>57720</v>
      </c>
      <c r="M337" s="263">
        <f>IFERROR(M339+M342,0)</f>
        <v>57720</v>
      </c>
      <c r="N337" s="263">
        <f>IFERROR(N339+N342,0)</f>
        <v>60572</v>
      </c>
      <c r="O337" s="263">
        <f>IFERROR(O339+O342,0)</f>
        <v>29509</v>
      </c>
      <c r="P337" s="263">
        <f>IFERROR(P339+P342,0)</f>
        <v>28670</v>
      </c>
      <c r="Q337" s="263">
        <f>IFERROR(Q339+Q342,0)</f>
        <v>32108</v>
      </c>
      <c r="R337" s="263">
        <f>IFERROR(R339+R342,0)</f>
        <v>32108</v>
      </c>
      <c r="S337" s="263">
        <f>IFERROR(S339+S342,0)</f>
        <v>34854</v>
      </c>
      <c r="T337" s="263">
        <f>IFERROR(T339+T342,0)</f>
        <v>34225</v>
      </c>
      <c r="U337" s="263">
        <f>IFERROR(U339+U342,0)</f>
        <v>32887</v>
      </c>
      <c r="V337" s="263">
        <f>IFERROR(V339+V342,0)</f>
        <v>34709</v>
      </c>
      <c r="W337" s="263">
        <f>IFERROR(W339+W342,0)</f>
        <v>34709</v>
      </c>
      <c r="X337" s="263">
        <f>IFERROR(X339+X342,0)</f>
        <v>35423</v>
      </c>
      <c r="Y337" s="263">
        <f>IFERROR(Y339+Y342,0)</f>
        <v>31920</v>
      </c>
      <c r="Z337" s="263">
        <f>IFERROR(Z339+Z342,0)</f>
        <v>29612</v>
      </c>
      <c r="AA337" s="263">
        <f>IFERROR(AA339+AA342,0)</f>
        <v>29222</v>
      </c>
      <c r="AB337" s="263">
        <f>IFERROR(AB339+AB342,0)</f>
        <v>29222</v>
      </c>
      <c r="AC337" s="263">
        <f>IFERROR(AC339+AC342,0)</f>
        <v>32831</v>
      </c>
      <c r="AD337" s="263">
        <f>IFERROR(AD339+AD342,0)</f>
        <v>31780</v>
      </c>
      <c r="AE337" s="263">
        <f>IFERROR(AE339+AE342,0)</f>
        <v>31961</v>
      </c>
      <c r="AF337" s="263">
        <f>IFERROR(AF339+AF342,0)</f>
        <v>34385</v>
      </c>
      <c r="AG337" s="263">
        <f>IFERROR(AG339+AG342,0)</f>
        <v>34385</v>
      </c>
      <c r="AH337" s="263">
        <f>IFERROR(AH339+AH342,0)</f>
        <v>35609</v>
      </c>
      <c r="AI337" s="263">
        <f>IFERROR(AI339+AI342,0)</f>
        <v>36639</v>
      </c>
      <c r="AJ337" s="263">
        <f>IFERROR(AJ339+AJ342,0)</f>
        <v>28820.7931349301</v>
      </c>
      <c r="AK337" s="263">
        <f>IFERROR(AK339+AK342,0)</f>
        <v>28815.204529138</v>
      </c>
      <c r="AL337" s="263">
        <f>IFERROR(AL339+AL342,0)</f>
        <v>28815.204529138</v>
      </c>
      <c r="AM337" s="263">
        <f>IFERROR(AM339+AM342,0)</f>
        <v>28807.4307209146</v>
      </c>
      <c r="AN337" s="263">
        <f>IFERROR(AN339+AN342,0)</f>
        <v>28800.099419091</v>
      </c>
      <c r="AO337" s="263">
        <f>IFERROR(AO339+AO342,0)</f>
        <v>28792.7845662197</v>
      </c>
      <c r="AP337" s="263">
        <f>IFERROR(AP339+AP342,0)</f>
        <v>28787.1122206536</v>
      </c>
      <c r="AQ337" s="263">
        <f>IFERROR(AQ339+AQ342,0)</f>
        <v>28787.1122206536</v>
      </c>
      <c r="AR337" s="263">
        <f>IFERROR(AR339+AR342,0)</f>
        <v>28779.2607985832</v>
      </c>
      <c r="AS337" s="263">
        <f>IFERROR(AS339+AS342,0)</f>
        <v>28771.8563009047</v>
      </c>
      <c r="AT337" s="263">
        <f>IFERROR(AT339+AT342,0)</f>
        <v>28764.4684164052</v>
      </c>
      <c r="AU337" s="263">
        <f>IFERROR(AU339+AU342,0)</f>
        <v>28758.7394380346</v>
      </c>
      <c r="AV337" s="263">
        <f>IFERROR(AV339+AV342,0)</f>
        <v>28758.7394380346</v>
      </c>
      <c r="AW337" s="263">
        <f>IFERROR(AW339+AW342,0)</f>
        <v>28750.8488843294</v>
      </c>
      <c r="AX337" s="263">
        <f>IFERROR(AX339+AX342,0)</f>
        <v>28743.4074824956</v>
      </c>
      <c r="AY337" s="263">
        <f>IFERROR(AY339+AY342,0)</f>
        <v>28735.9827766412</v>
      </c>
      <c r="AZ337" s="263">
        <f>IFERROR(AZ339+AZ342,0)</f>
        <v>28730.225244935</v>
      </c>
      <c r="BA337" s="263">
        <f>IFERROR(BA339+BA342,0)</f>
        <v>28730.225244935</v>
      </c>
      <c r="BB337" s="263">
        <f>IFERROR(BB339+BB342,0)</f>
        <v>28722.3346912298</v>
      </c>
      <c r="BC337" s="263">
        <f>IFERROR(BC339+BC342,0)</f>
        <v>28714.893289396</v>
      </c>
      <c r="BD337" s="263">
        <f>IFERROR(BD339+BD342,0)</f>
        <v>28707.4685835416</v>
      </c>
      <c r="BE337" s="263">
        <f>IFERROR(BE339+BE342,0)</f>
        <v>28701.7110518354</v>
      </c>
      <c r="BF337" s="263">
        <f>IFERROR(BF339+BF342,0)</f>
        <v>28701.7110518354</v>
      </c>
      <c r="BG337" s="63" t="n"/>
      <c r="BH337" s="63" t="n"/>
      <c r="BI337" s="63" t="n"/>
      <c r="BJ337" s="63" t="n"/>
      <c r="BL337" s="63" t="n"/>
      <c r="BM337" s="63" t="n"/>
      <c r="BN337" s="63" t="n"/>
      <c r="BO337" s="63" t="n"/>
      <c r="BQ337" s="63" t="n"/>
      <c r="BR337" s="63" t="n"/>
      <c r="BS337" s="63" t="n"/>
      <c r="BT337" s="63" t="n"/>
      <c r="BV337" s="63" t="n"/>
      <c r="BW337" s="63" t="n"/>
      <c r="BX337" s="63" t="n"/>
      <c r="BY337" s="63" t="n"/>
      <c r="CA337" s="63" t="n"/>
      <c r="CB337" s="63" t="n"/>
      <c r="CC337" s="63" t="n"/>
      <c r="CD337" s="63" t="n"/>
      <c r="CF337" s="63" t="n"/>
      <c r="CG337" s="63" t="n"/>
      <c r="CH337" s="63" t="n"/>
      <c r="CI337" s="63" t="n"/>
      <c r="CK337" s="63" t="n"/>
      <c r="CL337" s="63" t="n"/>
      <c r="CM337" s="63" t="n"/>
      <c r="CN337" s="63" t="n"/>
      <c r="CP337" s="63" t="n"/>
      <c r="CQ337" s="63" t="n"/>
      <c r="CR337" s="63" t="n"/>
      <c r="CS337" s="63" t="n"/>
      <c r="CU337" s="63" t="n"/>
      <c r="CV337" s="63" t="n"/>
      <c r="CW337" s="63" t="n"/>
      <c r="CX337" s="63" t="n"/>
    </row>
    <row r="338" customFormat="1" s="77">
      <c r="A338" s="76" t="n"/>
      <c r="B338" s="76" t="n"/>
      <c r="C338" s="77" t="inlineStr">
        <is>
          <t>INVESTED CAPITAL - EX GOODWILL</t>
        </is>
      </c>
      <c r="D338" s="89">
        <f>IFERROR(D337-D166,"")</f>
        <v>0</v>
      </c>
      <c r="E338" s="89">
        <f>IFERROR(E337-E166,"")</f>
        <v>0</v>
      </c>
      <c r="F338" s="89">
        <f>IFERROR(F337-F166,"")</f>
        <v>0</v>
      </c>
      <c r="G338" s="89">
        <f>IFERROR(G337-G166,"")</f>
        <v>0</v>
      </c>
      <c r="H338" s="263">
        <f>IFERROR(H337-N(H166),0)</f>
        <v>0</v>
      </c>
      <c r="I338" s="263">
        <f>IFERROR(I337-N(I166),0)</f>
        <v>38603</v>
      </c>
      <c r="J338" s="263">
        <f>IFERROR(J337-N(J166),0)</f>
        <v>48265</v>
      </c>
      <c r="K338" s="263">
        <f>IFERROR(K337-N(K166),0)</f>
        <v>51509</v>
      </c>
      <c r="L338" s="263">
        <f>IFERROR(L337-N(L166),0)</f>
        <v>54528</v>
      </c>
      <c r="M338" s="263">
        <f>IFERROR(M337-N(M166),0)</f>
        <v>54528</v>
      </c>
      <c r="N338" s="263">
        <f>IFERROR(N337-N(N166),0)</f>
        <v>56760</v>
      </c>
      <c r="O338" s="263">
        <f>IFERROR(O337-N(O166),0)</f>
        <v>25755</v>
      </c>
      <c r="P338" s="263">
        <f>IFERROR(P337-N(P166),0)</f>
        <v>24983</v>
      </c>
      <c r="Q338" s="263">
        <f>IFERROR(Q337-N(Q166),0)</f>
        <v>28217</v>
      </c>
      <c r="R338" s="263">
        <f>IFERROR(R337-N(R166),0)</f>
        <v>28217</v>
      </c>
      <c r="S338" s="263">
        <f>IFERROR(S337-N(S166),0)</f>
        <v>30891</v>
      </c>
      <c r="T338" s="263">
        <f>IFERROR(T337-N(T166),0)</f>
        <v>30231</v>
      </c>
      <c r="U338" s="263">
        <f>IFERROR(U337-N(U166),0)</f>
        <v>28987</v>
      </c>
      <c r="V338" s="263">
        <f>IFERROR(V337-N(V166),0)</f>
        <v>30743</v>
      </c>
      <c r="W338" s="263">
        <f>IFERROR(W337-N(W166),0)</f>
        <v>30743</v>
      </c>
      <c r="X338" s="263">
        <f>IFERROR(X337-N(X166),0)</f>
        <v>31487</v>
      </c>
      <c r="Y338" s="263">
        <f>IFERROR(Y337-N(Y166),0)</f>
        <v>27960</v>
      </c>
      <c r="Z338" s="263">
        <f>IFERROR(Z337-N(Z166),0)</f>
        <v>25653</v>
      </c>
      <c r="AA338" s="263">
        <f>IFERROR(AA337-N(AA166),0)</f>
        <v>25350</v>
      </c>
      <c r="AB338" s="263">
        <f>IFERROR(AB337-N(AB166),0)</f>
        <v>25350</v>
      </c>
      <c r="AC338" s="263">
        <f>IFERROR(AC337-N(AC166),0)</f>
        <v>28737</v>
      </c>
      <c r="AD338" s="263">
        <f>IFERROR(AD337-N(AD166),0)</f>
        <v>27571</v>
      </c>
      <c r="AE338" s="263">
        <f>IFERROR(AE337-N(AE166),0)</f>
        <v>27773</v>
      </c>
      <c r="AF338" s="263">
        <f>IFERROR(AF337-N(AF166),0)</f>
        <v>30105</v>
      </c>
      <c r="AG338" s="263">
        <f>IFERROR(AG337-N(AG166),0)</f>
        <v>30105</v>
      </c>
      <c r="AH338" s="263">
        <f>IFERROR(AH337-N(AH166),0)</f>
        <v>31096</v>
      </c>
      <c r="AI338" s="263">
        <f>IFERROR(AI337-N(AI166),0)</f>
        <v>32173</v>
      </c>
      <c r="AJ338" s="263">
        <f>IFERROR(AJ337-N(AJ166),0)</f>
        <v>24354.7931349301</v>
      </c>
      <c r="AK338" s="263">
        <f>IFERROR(AK337-N(AK166),0)</f>
        <v>24349.204529138</v>
      </c>
      <c r="AL338" s="263">
        <f>IFERROR(AL337-N(AL166),0)</f>
        <v>24349.204529138</v>
      </c>
      <c r="AM338" s="263">
        <f>IFERROR(AM337-N(AM166),0)</f>
        <v>24341.4307209146</v>
      </c>
      <c r="AN338" s="263">
        <f>IFERROR(AN337-N(AN166),0)</f>
        <v>24334.099419091</v>
      </c>
      <c r="AO338" s="263">
        <f>IFERROR(AO337-N(AO166),0)</f>
        <v>24326.7845662197</v>
      </c>
      <c r="AP338" s="263">
        <f>IFERROR(AP337-N(AP166),0)</f>
        <v>24321.1122206536</v>
      </c>
      <c r="AQ338" s="263">
        <f>IFERROR(AQ337-N(AQ166),0)</f>
        <v>24321.1122206536</v>
      </c>
      <c r="AR338" s="263">
        <f>IFERROR(AR337-N(AR166),0)</f>
        <v>24313.2607985832</v>
      </c>
      <c r="AS338" s="263">
        <f>IFERROR(AS337-N(AS166),0)</f>
        <v>24305.8563009047</v>
      </c>
      <c r="AT338" s="263">
        <f>IFERROR(AT337-N(AT166),0)</f>
        <v>24298.4684164052</v>
      </c>
      <c r="AU338" s="263">
        <f>IFERROR(AU337-N(AU166),0)</f>
        <v>24292.7394380346</v>
      </c>
      <c r="AV338" s="263">
        <f>IFERROR(AV337-N(AV166),0)</f>
        <v>24292.7394380346</v>
      </c>
      <c r="AW338" s="263">
        <f>IFERROR(AW337-N(AW166),0)</f>
        <v>24284.8488843294</v>
      </c>
      <c r="AX338" s="263">
        <f>IFERROR(AX337-N(AX166),0)</f>
        <v>24277.4074824956</v>
      </c>
      <c r="AY338" s="263">
        <f>IFERROR(AY337-N(AY166),0)</f>
        <v>24269.9827766412</v>
      </c>
      <c r="AZ338" s="263">
        <f>IFERROR(AZ337-N(AZ166),0)</f>
        <v>24264.225244935</v>
      </c>
      <c r="BA338" s="263">
        <f>IFERROR(BA337-N(BA166),0)</f>
        <v>24264.225244935</v>
      </c>
      <c r="BB338" s="263">
        <f>IFERROR(BB337-N(BB166),0)</f>
        <v>24256.3346912298</v>
      </c>
      <c r="BC338" s="263">
        <f>IFERROR(BC337-N(BC166),0)</f>
        <v>24248.893289396</v>
      </c>
      <c r="BD338" s="263">
        <f>IFERROR(BD337-N(BD166),0)</f>
        <v>24241.4685835416</v>
      </c>
      <c r="BE338" s="263">
        <f>IFERROR(BE337-N(BE166),0)</f>
        <v>24235.7110518354</v>
      </c>
      <c r="BF338" s="263">
        <f>IFERROR(BF337-N(BF166),0)</f>
        <v>24235.7110518354</v>
      </c>
      <c r="BG338" s="90" t="n"/>
      <c r="BH338" s="90" t="n"/>
      <c r="BI338" s="90" t="n"/>
      <c r="BJ338" s="90" t="n"/>
      <c r="BL338" s="90" t="n"/>
      <c r="BM338" s="90" t="n"/>
      <c r="BN338" s="90" t="n"/>
      <c r="BO338" s="90" t="n"/>
      <c r="BQ338" s="90" t="n"/>
      <c r="BR338" s="90" t="n"/>
      <c r="BS338" s="90" t="n"/>
      <c r="BT338" s="90" t="n"/>
      <c r="BV338" s="90" t="n"/>
      <c r="BW338" s="90" t="n"/>
      <c r="BX338" s="90" t="n"/>
      <c r="BY338" s="90" t="n"/>
      <c r="CA338" s="90" t="n"/>
      <c r="CB338" s="90" t="n"/>
      <c r="CC338" s="90" t="n"/>
      <c r="CD338" s="90" t="n"/>
      <c r="CF338" s="90" t="n"/>
      <c r="CG338" s="90" t="n"/>
      <c r="CH338" s="90" t="n"/>
      <c r="CI338" s="90" t="n"/>
      <c r="CK338" s="90" t="n"/>
      <c r="CL338" s="90" t="n"/>
      <c r="CM338" s="90" t="n"/>
      <c r="CN338" s="90" t="n"/>
      <c r="CP338" s="90" t="n"/>
      <c r="CQ338" s="90" t="n"/>
      <c r="CR338" s="90" t="n"/>
      <c r="CS338" s="90" t="n"/>
      <c r="CU338" s="90" t="n"/>
      <c r="CV338" s="90" t="n"/>
      <c r="CW338" s="90" t="n"/>
      <c r="CX338" s="90" t="n"/>
    </row>
    <row r="339" customFormat="1" s="77">
      <c r="A339" s="76" t="n"/>
      <c r="B339" s="76" t="n"/>
      <c r="C339" s="77" t="inlineStr">
        <is>
          <t>OPERATING WORKING CAPITAL</t>
        </is>
      </c>
      <c r="D339" s="91">
        <f>IFERROR(D340-D341,"")</f>
        <v>0</v>
      </c>
      <c r="E339" s="91">
        <f>IFERROR(E340-E341,"")</f>
        <v>0</v>
      </c>
      <c r="F339" s="91">
        <f>IFERROR(F340-F341,"")</f>
        <v>0</v>
      </c>
      <c r="G339" s="91">
        <f>IFERROR(G340-G341,"")</f>
        <v>0</v>
      </c>
      <c r="H339" s="263">
        <f>IFERROR(H340-H341,0)</f>
        <v>0</v>
      </c>
      <c r="I339" s="263">
        <f>IFERROR(I340-I341,0)</f>
        <v>37293</v>
      </c>
      <c r="J339" s="263">
        <f>IFERROR(J340-J341,0)</f>
        <v>46998</v>
      </c>
      <c r="K339" s="263">
        <f>IFERROR(K340-K341,0)</f>
        <v>50234</v>
      </c>
      <c r="L339" s="263">
        <f>IFERROR(L340-L341,0)</f>
        <v>53319</v>
      </c>
      <c r="M339" s="263">
        <f>IFERROR(M340-M341,0)</f>
        <v>53319</v>
      </c>
      <c r="N339" s="263">
        <f>IFERROR(N340-N341,0)</f>
        <v>55408</v>
      </c>
      <c r="O339" s="263">
        <f>IFERROR(O340-O341,0)</f>
        <v>-15723</v>
      </c>
      <c r="P339" s="263">
        <f>IFERROR(P340-P341,0)</f>
        <v>-18805</v>
      </c>
      <c r="Q339" s="263">
        <f>IFERROR(Q340-Q341,0)</f>
        <v>-15009</v>
      </c>
      <c r="R339" s="263">
        <f>IFERROR(R340-R341,0)</f>
        <v>-15009</v>
      </c>
      <c r="S339" s="263">
        <f>IFERROR(S340-S341,0)</f>
        <v>-14944</v>
      </c>
      <c r="T339" s="263">
        <f>IFERROR(T340-T341,0)</f>
        <v>-19271</v>
      </c>
      <c r="U339" s="263">
        <f>IFERROR(U340-U341,0)</f>
        <v>-23154</v>
      </c>
      <c r="V339" s="263">
        <f>IFERROR(V340-V341,0)</f>
        <v>-20477</v>
      </c>
      <c r="W339" s="263">
        <f>IFERROR(W340-W341,0)</f>
        <v>-20477</v>
      </c>
      <c r="X339" s="263">
        <f>IFERROR(X340-X341,0)</f>
        <v>-22117</v>
      </c>
      <c r="Y339" s="263">
        <f>IFERROR(Y340-Y341,0)</f>
        <v>-25240</v>
      </c>
      <c r="Z339" s="263">
        <f>IFERROR(Z340-Z341,0)</f>
        <v>-28378</v>
      </c>
      <c r="AA339" s="263">
        <f>IFERROR(AA340-AA341,0)</f>
        <v>-25240</v>
      </c>
      <c r="AB339" s="263">
        <f>IFERROR(AB340-AB341,0)</f>
        <v>-25240</v>
      </c>
      <c r="AC339" s="263">
        <f>IFERROR(AC340-AC341,0)</f>
        <v>-23021</v>
      </c>
      <c r="AD339" s="263">
        <f>IFERROR(AD340-AD341,0)</f>
        <v>-25233</v>
      </c>
      <c r="AE339" s="263">
        <f>IFERROR(AE340-AE341,0)</f>
        <v>-24525</v>
      </c>
      <c r="AF339" s="263">
        <f>IFERROR(AF340-AF341,0)</f>
        <v>-19367</v>
      </c>
      <c r="AG339" s="263">
        <f>IFERROR(AG340-AG341,0)</f>
        <v>-19367</v>
      </c>
      <c r="AH339" s="263">
        <f>IFERROR(AH340-AH341,0)</f>
        <v>-18895</v>
      </c>
      <c r="AI339" s="263">
        <f>IFERROR(AI340-AI341,0)</f>
        <v>-17943</v>
      </c>
      <c r="AJ339" s="263">
        <f>IFERROR(AJ340-AJ341,0)</f>
        <v>-25754</v>
      </c>
      <c r="AK339" s="263">
        <f>IFERROR(AK340-AK341,0)</f>
        <v>-25754</v>
      </c>
      <c r="AL339" s="263">
        <f>IFERROR(AL340-AL341,0)</f>
        <v>-25754</v>
      </c>
      <c r="AM339" s="263">
        <f>IFERROR(AM340-AM341,0)</f>
        <v>-25754</v>
      </c>
      <c r="AN339" s="263">
        <f>IFERROR(AN340-AN341,0)</f>
        <v>-25754</v>
      </c>
      <c r="AO339" s="263">
        <f>IFERROR(AO340-AO341,0)</f>
        <v>-25754</v>
      </c>
      <c r="AP339" s="263">
        <f>IFERROR(AP340-AP341,0)</f>
        <v>-25754</v>
      </c>
      <c r="AQ339" s="263">
        <f>IFERROR(AQ340-AQ341,0)</f>
        <v>-25754</v>
      </c>
      <c r="AR339" s="263">
        <f>IFERROR(AR340-AR341,0)</f>
        <v>-25754</v>
      </c>
      <c r="AS339" s="263">
        <f>IFERROR(AS340-AS341,0)</f>
        <v>-25754</v>
      </c>
      <c r="AT339" s="263">
        <f>IFERROR(AT340-AT341,0)</f>
        <v>-25754</v>
      </c>
      <c r="AU339" s="263">
        <f>IFERROR(AU340-AU341,0)</f>
        <v>-25754</v>
      </c>
      <c r="AV339" s="263">
        <f>IFERROR(AV340-AV341,0)</f>
        <v>-25754</v>
      </c>
      <c r="AW339" s="263">
        <f>IFERROR(AW340-AW341,0)</f>
        <v>-25754</v>
      </c>
      <c r="AX339" s="263">
        <f>IFERROR(AX340-AX341,0)</f>
        <v>-25754</v>
      </c>
      <c r="AY339" s="263">
        <f>IFERROR(AY340-AY341,0)</f>
        <v>-25754</v>
      </c>
      <c r="AZ339" s="263">
        <f>IFERROR(AZ340-AZ341,0)</f>
        <v>-25754</v>
      </c>
      <c r="BA339" s="263">
        <f>IFERROR(BA340-BA341,0)</f>
        <v>-25754</v>
      </c>
      <c r="BB339" s="263">
        <f>IFERROR(BB340-BB341,0)</f>
        <v>-25754</v>
      </c>
      <c r="BC339" s="263">
        <f>IFERROR(BC340-BC341,0)</f>
        <v>-25754</v>
      </c>
      <c r="BD339" s="263">
        <f>IFERROR(BD340-BD341,0)</f>
        <v>-25754</v>
      </c>
      <c r="BE339" s="263">
        <f>IFERROR(BE340-BE341,0)</f>
        <v>-25754</v>
      </c>
      <c r="BF339" s="263">
        <f>IFERROR(BF340-BF341,0)</f>
        <v>-25754</v>
      </c>
      <c r="BG339" s="63" t="n"/>
      <c r="BH339" s="63" t="n"/>
      <c r="BI339" s="63" t="n"/>
      <c r="BJ339" s="63" t="n"/>
      <c r="BL339" s="63" t="n"/>
      <c r="BM339" s="63" t="n"/>
      <c r="BN339" s="63" t="n"/>
      <c r="BO339" s="63" t="n"/>
      <c r="BQ339" s="63" t="n"/>
      <c r="BR339" s="63" t="n"/>
      <c r="BS339" s="63" t="n"/>
      <c r="BT339" s="63" t="n"/>
      <c r="BV339" s="63" t="n"/>
      <c r="BW339" s="63" t="n"/>
      <c r="BX339" s="63" t="n"/>
      <c r="BY339" s="63" t="n"/>
      <c r="CA339" s="63" t="n"/>
      <c r="CB339" s="63" t="n"/>
      <c r="CC339" s="63" t="n"/>
      <c r="CD339" s="63" t="n"/>
      <c r="CF339" s="63" t="n"/>
      <c r="CG339" s="63" t="n"/>
      <c r="CH339" s="63" t="n"/>
      <c r="CI339" s="63" t="n"/>
      <c r="CK339" s="63" t="n"/>
      <c r="CL339" s="63" t="n"/>
      <c r="CM339" s="63" t="n"/>
      <c r="CN339" s="63" t="n"/>
      <c r="CP339" s="63" t="n"/>
      <c r="CQ339" s="63" t="n"/>
      <c r="CR339" s="63" t="n"/>
      <c r="CS339" s="63" t="n"/>
      <c r="CU339" s="63" t="n"/>
      <c r="CV339" s="63" t="n"/>
      <c r="CW339" s="63" t="n"/>
      <c r="CX339" s="63" t="n"/>
    </row>
    <row r="340" customFormat="1" s="77">
      <c r="A340" s="76" t="n"/>
      <c r="B340" s="76" t="n"/>
      <c r="C340" s="77" t="inlineStr">
        <is>
          <t>CURRENT ASSETS (OPERATING, EX CASH)</t>
        </is>
      </c>
      <c r="D340" s="89">
        <f>IFERROR(D132+D136+D140+D141+D142,"")</f>
        <v>0</v>
      </c>
      <c r="E340" s="89">
        <f>IFERROR(E132+E136+E140+E141+E142,"")</f>
        <v>0</v>
      </c>
      <c r="F340" s="89">
        <f>IFERROR(F132+F136+F140+F141+F142,"")</f>
        <v>0</v>
      </c>
      <c r="G340" s="89">
        <f>IFERROR(G132+G136+G140+G141+G142,"")</f>
        <v>0</v>
      </c>
      <c r="H340" s="263">
        <f>IFERROR((N(H132)+N(H136)+N(H140)+N(H141)+N(H142)),0)</f>
        <v>0</v>
      </c>
      <c r="I340" s="263">
        <f>IFERROR((N(I132)+N(I136)+N(I140)+N(I141)+N(I142)),0)</f>
        <v>67297</v>
      </c>
      <c r="J340" s="263">
        <f>IFERROR((N(J132)+N(J136)+N(J140)+N(J141)+N(J142)),0)</f>
        <v>68754</v>
      </c>
      <c r="K340" s="263">
        <f>IFERROR((N(K132)+N(K136)+N(K140)+N(K141)+N(K142)),0)</f>
        <v>71531</v>
      </c>
      <c r="L340" s="263">
        <f>IFERROR((N(L132)+N(L136)+N(L140)+N(L141)+N(L142)),0)</f>
        <v>70741</v>
      </c>
      <c r="M340" s="263">
        <f>IFERROR((N(M132)+N(M136)+N(M140)+N(M141)+N(M142)),0)</f>
        <v>70741</v>
      </c>
      <c r="N340" s="263">
        <f>IFERROR((N(N132)+N(N136)+N(N140)+N(N141)+N(N142)),0)</f>
        <v>75057</v>
      </c>
      <c r="O340" s="263">
        <f>IFERROR((N(O132)+N(O136)+N(O140)+N(O141)+N(O142)),0)</f>
        <v>37226</v>
      </c>
      <c r="P340" s="263">
        <f>IFERROR((N(P132)+N(P136)+N(P140)+N(P141)+N(P142)),0)</f>
        <v>37781</v>
      </c>
      <c r="Q340" s="263">
        <f>IFERROR((N(Q132)+N(Q136)+N(Q140)+N(Q141)+N(Q142)),0)</f>
        <v>40527</v>
      </c>
      <c r="R340" s="263">
        <f>IFERROR((N(R132)+N(R136)+N(R140)+N(R141)+N(R142)),0)</f>
        <v>40527</v>
      </c>
      <c r="S340" s="263">
        <f>IFERROR((N(S132)+N(S136)+N(S140)+N(S141)+N(S142)),0)</f>
        <v>43282</v>
      </c>
      <c r="T340" s="263">
        <f>IFERROR((N(T132)+N(T136)+N(T140)+N(T141)+N(T142)),0)</f>
        <v>43325</v>
      </c>
      <c r="U340" s="263">
        <f>IFERROR((N(U132)+N(U136)+N(U140)+N(U141)+N(U142)),0)</f>
        <v>40588</v>
      </c>
      <c r="V340" s="263">
        <f>IFERROR((N(V132)+N(V136)+N(V140)+N(V141)+N(V142)),0)</f>
        <v>41048</v>
      </c>
      <c r="W340" s="263">
        <f>IFERROR((N(W132)+N(W136)+N(W140)+N(W141)+N(W142)),0)</f>
        <v>41048</v>
      </c>
      <c r="X340" s="263">
        <f>IFERROR((N(X132)+N(X136)+N(X140)+N(X141)+N(X142)),0)</f>
        <v>42535</v>
      </c>
      <c r="Y340" s="263">
        <f>IFERROR((N(Y132)+N(Y136)+N(Y140)+N(Y141)+N(Y142)),0)</f>
        <v>43677</v>
      </c>
      <c r="Z340" s="263">
        <f>IFERROR((N(Z132)+N(Z136)+N(Z140)+N(Z141)+N(Z142)),0)</f>
        <v>42006</v>
      </c>
      <c r="AA340" s="263">
        <f>IFERROR((N(AA132)+N(AA136)+N(AA140)+N(AA141)+N(AA142)),0)</f>
        <v>42056</v>
      </c>
      <c r="AB340" s="263">
        <f>IFERROR((N(AB132)+N(AB136)+N(AB140)+N(AB141)+N(AB142)),0)</f>
        <v>42056</v>
      </c>
      <c r="AC340" s="263">
        <f>IFERROR((N(AC132)+N(AC136)+N(AC140)+N(AC141)+N(AC142)),0)</f>
        <v>42460</v>
      </c>
      <c r="AD340" s="263">
        <f>IFERROR((N(AD132)+N(AD136)+N(AD140)+N(AD141)+N(AD142)),0)</f>
        <v>42224</v>
      </c>
      <c r="AE340" s="263">
        <f>IFERROR((N(AE132)+N(AE136)+N(AE140)+N(AE141)+N(AE142)),0)</f>
        <v>41234</v>
      </c>
      <c r="AF340" s="263">
        <f>IFERROR((N(AF132)+N(AF136)+N(AF140)+N(AF141)+N(AF142)),0)</f>
        <v>42886</v>
      </c>
      <c r="AG340" s="263">
        <f>IFERROR((N(AG132)+N(AG136)+N(AG140)+N(AG141)+N(AG142)),0)</f>
        <v>42886</v>
      </c>
      <c r="AH340" s="263">
        <f>IFERROR((N(AH132)+N(AH136)+N(AH140)+N(AH141)+N(AH142)),0)</f>
        <v>44592</v>
      </c>
      <c r="AI340" s="263">
        <f>IFERROR((N(AI132)+N(AI136)+N(AI140)+N(AI141)+N(AI142)),0)</f>
        <v>44097</v>
      </c>
      <c r="AJ340" s="263">
        <f>IFERROR((N(AJ132)+N(AJ136)+N(AJ140)+N(AJ141)+N(AJ142)),0)</f>
        <v>36286</v>
      </c>
      <c r="AK340" s="263">
        <f>IFERROR((N(AK132)+N(AK136)+N(AK140)+N(AK141)+N(AK142)),0)</f>
        <v>36286</v>
      </c>
      <c r="AL340" s="263">
        <f>IFERROR((N(AL132)+N(AL136)+N(AL140)+N(AL141)+N(AL142)),0)</f>
        <v>36286</v>
      </c>
      <c r="AM340" s="263">
        <f>IFERROR((N(AM132)+N(AM136)+N(AM140)+N(AM141)+N(AM142)),0)</f>
        <v>36286</v>
      </c>
      <c r="AN340" s="263">
        <f>IFERROR((N(AN132)+N(AN136)+N(AN140)+N(AN141)+N(AN142)),0)</f>
        <v>36286</v>
      </c>
      <c r="AO340" s="263">
        <f>IFERROR((N(AO132)+N(AO136)+N(AO140)+N(AO141)+N(AO142)),0)</f>
        <v>36286</v>
      </c>
      <c r="AP340" s="263">
        <f>IFERROR((N(AP132)+N(AP136)+N(AP140)+N(AP141)+N(AP142)),0)</f>
        <v>36286</v>
      </c>
      <c r="AQ340" s="263">
        <f>IFERROR((N(AQ132)+N(AQ136)+N(AQ140)+N(AQ141)+N(AQ142)),0)</f>
        <v>36286</v>
      </c>
      <c r="AR340" s="263">
        <f>IFERROR((N(AR132)+N(AR136)+N(AR140)+N(AR141)+N(AR142)),0)</f>
        <v>36286</v>
      </c>
      <c r="AS340" s="263">
        <f>IFERROR((N(AS132)+N(AS136)+N(AS140)+N(AS141)+N(AS142)),0)</f>
        <v>36286</v>
      </c>
      <c r="AT340" s="263">
        <f>IFERROR((N(AT132)+N(AT136)+N(AT140)+N(AT141)+N(AT142)),0)</f>
        <v>36286</v>
      </c>
      <c r="AU340" s="263">
        <f>IFERROR((N(AU132)+N(AU136)+N(AU140)+N(AU141)+N(AU142)),0)</f>
        <v>36286</v>
      </c>
      <c r="AV340" s="263">
        <f>IFERROR((N(AV132)+N(AV136)+N(AV140)+N(AV141)+N(AV142)),0)</f>
        <v>36286</v>
      </c>
      <c r="AW340" s="263">
        <f>IFERROR((N(AW132)+N(AW136)+N(AW140)+N(AW141)+N(AW142)),0)</f>
        <v>36286</v>
      </c>
      <c r="AX340" s="263">
        <f>IFERROR((N(AX132)+N(AX136)+N(AX140)+N(AX141)+N(AX142)),0)</f>
        <v>36286</v>
      </c>
      <c r="AY340" s="263">
        <f>IFERROR((N(AY132)+N(AY136)+N(AY140)+N(AY141)+N(AY142)),0)</f>
        <v>36286</v>
      </c>
      <c r="AZ340" s="263">
        <f>IFERROR((N(AZ132)+N(AZ136)+N(AZ140)+N(AZ141)+N(AZ142)),0)</f>
        <v>36286</v>
      </c>
      <c r="BA340" s="263">
        <f>IFERROR((N(BA132)+N(BA136)+N(BA140)+N(BA141)+N(BA142)),0)</f>
        <v>36286</v>
      </c>
      <c r="BB340" s="263">
        <f>IFERROR((N(BB132)+N(BB136)+N(BB140)+N(BB141)+N(BB142)),0)</f>
        <v>36286</v>
      </c>
      <c r="BC340" s="263">
        <f>IFERROR((N(BC132)+N(BC136)+N(BC140)+N(BC141)+N(BC142)),0)</f>
        <v>36286</v>
      </c>
      <c r="BD340" s="263">
        <f>IFERROR((N(BD132)+N(BD136)+N(BD140)+N(BD141)+N(BD142)),0)</f>
        <v>36286</v>
      </c>
      <c r="BE340" s="263">
        <f>IFERROR((N(BE132)+N(BE136)+N(BE140)+N(BE141)+N(BE142)),0)</f>
        <v>36286</v>
      </c>
      <c r="BF340" s="263">
        <f>IFERROR((N(BF132)+N(BF136)+N(BF140)+N(BF141)+N(BF142)),0)</f>
        <v>36286</v>
      </c>
      <c r="BG340" s="90" t="n"/>
      <c r="BH340" s="90" t="n"/>
      <c r="BI340" s="90" t="n"/>
      <c r="BJ340" s="90" t="n"/>
      <c r="BL340" s="90" t="n"/>
      <c r="BM340" s="90" t="n"/>
      <c r="BN340" s="90" t="n"/>
      <c r="BO340" s="90" t="n"/>
      <c r="BQ340" s="90" t="n"/>
      <c r="BR340" s="90" t="n"/>
      <c r="BS340" s="90" t="n"/>
      <c r="BT340" s="90" t="n"/>
      <c r="BV340" s="90" t="n"/>
      <c r="BW340" s="90" t="n"/>
      <c r="BX340" s="90" t="n"/>
      <c r="BY340" s="90" t="n"/>
      <c r="CA340" s="90" t="n"/>
      <c r="CB340" s="90" t="n"/>
      <c r="CC340" s="90" t="n"/>
      <c r="CD340" s="90" t="n"/>
      <c r="CF340" s="90" t="n"/>
      <c r="CG340" s="90" t="n"/>
      <c r="CH340" s="90" t="n"/>
      <c r="CI340" s="90" t="n"/>
      <c r="CK340" s="90" t="n"/>
      <c r="CL340" s="90" t="n"/>
      <c r="CM340" s="90" t="n"/>
      <c r="CN340" s="90" t="n"/>
      <c r="CP340" s="90" t="n"/>
      <c r="CQ340" s="90" t="n"/>
      <c r="CR340" s="90" t="n"/>
      <c r="CS340" s="90" t="n"/>
      <c r="CU340" s="90" t="n"/>
      <c r="CV340" s="90" t="n"/>
      <c r="CW340" s="90" t="n"/>
      <c r="CX340" s="90" t="n"/>
    </row>
    <row r="341" customFormat="1" s="77">
      <c r="A341" s="76" t="n"/>
      <c r="B341" s="76" t="n"/>
      <c r="C341" s="77" t="inlineStr">
        <is>
          <t>CURRENT LIABILITIES (OPERATING, EX DEBT)</t>
        </is>
      </c>
      <c r="D341" s="89">
        <f>IFERROR(D185+D189+D191+D192,"")</f>
        <v>0</v>
      </c>
      <c r="E341" s="89">
        <f>IFERROR(E185+E189+E191+E192,"")</f>
        <v>0</v>
      </c>
      <c r="F341" s="89">
        <f>IFERROR(F185+F189+F191+F192,"")</f>
        <v>0</v>
      </c>
      <c r="G341" s="89">
        <f>IFERROR(G185+G189+G191+G192,"")</f>
        <v>0</v>
      </c>
      <c r="H341" s="263">
        <f>IFERROR((N(H185)+N(H189)+N(H191)+N(H192)),0)</f>
        <v>0</v>
      </c>
      <c r="I341" s="263">
        <f>IFERROR((N(I185)+N(I189)+N(I191)+N(I192)),0)</f>
        <v>30004</v>
      </c>
      <c r="J341" s="263">
        <f>IFERROR((N(J185)+N(J189)+N(J191)+N(J192)),0)</f>
        <v>21756</v>
      </c>
      <c r="K341" s="263">
        <f>IFERROR((N(K185)+N(K189)+N(K191)+N(K192)),0)</f>
        <v>21297</v>
      </c>
      <c r="L341" s="263">
        <f>IFERROR((N(L185)+N(L189)+N(L191)+N(L192)),0)</f>
        <v>17422</v>
      </c>
      <c r="M341" s="263">
        <f>IFERROR((N(M185)+N(M189)+N(M191)+N(M192)),0)</f>
        <v>17422</v>
      </c>
      <c r="N341" s="263">
        <f>IFERROR((N(N185)+N(N189)+N(N191)+N(N192)),0)</f>
        <v>19649</v>
      </c>
      <c r="O341" s="263">
        <f>IFERROR((N(O185)+N(O189)+N(O191)+N(O192)),0)</f>
        <v>52949</v>
      </c>
      <c r="P341" s="263">
        <f>IFERROR((N(P185)+N(P189)+N(P191)+N(P192)),0)</f>
        <v>56586</v>
      </c>
      <c r="Q341" s="263">
        <f>IFERROR((N(Q185)+N(Q189)+N(Q191)+N(Q192)),0)</f>
        <v>55536</v>
      </c>
      <c r="R341" s="263">
        <f>IFERROR((N(R185)+N(R189)+N(R191)+N(R192)),0)</f>
        <v>55536</v>
      </c>
      <c r="S341" s="263">
        <f>IFERROR((N(S185)+N(S189)+N(S191)+N(S192)),0)</f>
        <v>58226</v>
      </c>
      <c r="T341" s="263">
        <f>IFERROR((N(T185)+N(T189)+N(T191)+N(T192)),0)</f>
        <v>62596</v>
      </c>
      <c r="U341" s="263">
        <f>IFERROR((N(U185)+N(U189)+N(U191)+N(U192)),0)</f>
        <v>63742</v>
      </c>
      <c r="V341" s="263">
        <f>IFERROR((N(V185)+N(V189)+N(V191)+N(V192)),0)</f>
        <v>61525</v>
      </c>
      <c r="W341" s="263">
        <f>IFERROR((N(W185)+N(W189)+N(W191)+N(W192)),0)</f>
        <v>61525</v>
      </c>
      <c r="X341" s="263">
        <f>IFERROR((N(X185)+N(X189)+N(X191)+N(X192)),0)</f>
        <v>64652</v>
      </c>
      <c r="Y341" s="263">
        <f>IFERROR((N(Y185)+N(Y189)+N(Y191)+N(Y192)),0)</f>
        <v>68917</v>
      </c>
      <c r="Z341" s="263">
        <f>IFERROR((N(Z185)+N(Z189)+N(Z191)+N(Z192)),0)</f>
        <v>70384</v>
      </c>
      <c r="AA341" s="263">
        <f>IFERROR((N(AA185)+N(AA189)+N(AA191)+N(AA192)),0)</f>
        <v>67296</v>
      </c>
      <c r="AB341" s="263">
        <f>IFERROR((N(AB185)+N(AB189)+N(AB191)+N(AB192)),0)</f>
        <v>67296</v>
      </c>
      <c r="AC341" s="263">
        <f>IFERROR((N(AC185)+N(AC189)+N(AC191)+N(AC192)),0)</f>
        <v>65481</v>
      </c>
      <c r="AD341" s="263">
        <f>IFERROR((N(AD185)+N(AD189)+N(AD191)+N(AD192)),0)</f>
        <v>67457</v>
      </c>
      <c r="AE341" s="263">
        <f>IFERROR((N(AE185)+N(AE189)+N(AE191)+N(AE192)),0)</f>
        <v>65759</v>
      </c>
      <c r="AF341" s="263">
        <f>IFERROR((N(AF185)+N(AF189)+N(AF191)+N(AF192)),0)</f>
        <v>62253</v>
      </c>
      <c r="AG341" s="263">
        <f>IFERROR((N(AG185)+N(AG189)+N(AG191)+N(AG192)),0)</f>
        <v>62253</v>
      </c>
      <c r="AH341" s="263">
        <f>IFERROR((N(AH185)+N(AH189)+N(AH191)+N(AH192)),0)</f>
        <v>63487</v>
      </c>
      <c r="AI341" s="263">
        <f>IFERROR((N(AI185)+N(AI189)+N(AI191)+N(AI192)),0)</f>
        <v>62040</v>
      </c>
      <c r="AJ341" s="263">
        <f>IFERROR((N(AJ185)+N(AJ189)+N(AJ191)+N(AJ192)),0)</f>
        <v>62040</v>
      </c>
      <c r="AK341" s="263">
        <f>IFERROR((N(AK185)+N(AK189)+N(AK191)+N(AK192)),0)</f>
        <v>62040</v>
      </c>
      <c r="AL341" s="263">
        <f>IFERROR((N(AL185)+N(AL189)+N(AL191)+N(AL192)),0)</f>
        <v>62040</v>
      </c>
      <c r="AM341" s="263">
        <f>IFERROR((N(AM185)+N(AM189)+N(AM191)+N(AM192)),0)</f>
        <v>62040</v>
      </c>
      <c r="AN341" s="263">
        <f>IFERROR((N(AN185)+N(AN189)+N(AN191)+N(AN192)),0)</f>
        <v>62040</v>
      </c>
      <c r="AO341" s="263">
        <f>IFERROR((N(AO185)+N(AO189)+N(AO191)+N(AO192)),0)</f>
        <v>62040</v>
      </c>
      <c r="AP341" s="263">
        <f>IFERROR((N(AP185)+N(AP189)+N(AP191)+N(AP192)),0)</f>
        <v>62040</v>
      </c>
      <c r="AQ341" s="263">
        <f>IFERROR((N(AQ185)+N(AQ189)+N(AQ191)+N(AQ192)),0)</f>
        <v>62040</v>
      </c>
      <c r="AR341" s="263">
        <f>IFERROR((N(AR185)+N(AR189)+N(AR191)+N(AR192)),0)</f>
        <v>62040</v>
      </c>
      <c r="AS341" s="263">
        <f>IFERROR((N(AS185)+N(AS189)+N(AS191)+N(AS192)),0)</f>
        <v>62040</v>
      </c>
      <c r="AT341" s="263">
        <f>IFERROR((N(AT185)+N(AT189)+N(AT191)+N(AT192)),0)</f>
        <v>62040</v>
      </c>
      <c r="AU341" s="263">
        <f>IFERROR((N(AU185)+N(AU189)+N(AU191)+N(AU192)),0)</f>
        <v>62040</v>
      </c>
      <c r="AV341" s="263">
        <f>IFERROR((N(AV185)+N(AV189)+N(AV191)+N(AV192)),0)</f>
        <v>62040</v>
      </c>
      <c r="AW341" s="263">
        <f>IFERROR((N(AW185)+N(AW189)+N(AW191)+N(AW192)),0)</f>
        <v>62040</v>
      </c>
      <c r="AX341" s="263">
        <f>IFERROR((N(AX185)+N(AX189)+N(AX191)+N(AX192)),0)</f>
        <v>62040</v>
      </c>
      <c r="AY341" s="263">
        <f>IFERROR((N(AY185)+N(AY189)+N(AY191)+N(AY192)),0)</f>
        <v>62040</v>
      </c>
      <c r="AZ341" s="263">
        <f>IFERROR((N(AZ185)+N(AZ189)+N(AZ191)+N(AZ192)),0)</f>
        <v>62040</v>
      </c>
      <c r="BA341" s="263">
        <f>IFERROR((N(BA185)+N(BA189)+N(BA191)+N(BA192)),0)</f>
        <v>62040</v>
      </c>
      <c r="BB341" s="263">
        <f>IFERROR((N(BB185)+N(BB189)+N(BB191)+N(BB192)),0)</f>
        <v>62040</v>
      </c>
      <c r="BC341" s="263">
        <f>IFERROR((N(BC185)+N(BC189)+N(BC191)+N(BC192)),0)</f>
        <v>62040</v>
      </c>
      <c r="BD341" s="263">
        <f>IFERROR((N(BD185)+N(BD189)+N(BD191)+N(BD192)),0)</f>
        <v>62040</v>
      </c>
      <c r="BE341" s="263">
        <f>IFERROR((N(BE185)+N(BE189)+N(BE191)+N(BE192)),0)</f>
        <v>62040</v>
      </c>
      <c r="BF341" s="263">
        <f>IFERROR((N(BF185)+N(BF189)+N(BF191)+N(BF192)),0)</f>
        <v>62040</v>
      </c>
      <c r="BG341" s="90" t="n"/>
      <c r="BH341" s="90" t="n"/>
      <c r="BI341" s="90" t="n"/>
      <c r="BJ341" s="90" t="n"/>
      <c r="BL341" s="90" t="n"/>
      <c r="BM341" s="90" t="n"/>
      <c r="BN341" s="90" t="n"/>
      <c r="BO341" s="90" t="n"/>
      <c r="BQ341" s="90" t="n"/>
      <c r="BR341" s="90" t="n"/>
      <c r="BS341" s="90" t="n"/>
      <c r="BT341" s="90" t="n"/>
      <c r="BV341" s="90" t="n"/>
      <c r="BW341" s="90" t="n"/>
      <c r="BX341" s="90" t="n"/>
      <c r="BY341" s="90" t="n"/>
      <c r="CA341" s="90" t="n"/>
      <c r="CB341" s="90" t="n"/>
      <c r="CC341" s="90" t="n"/>
      <c r="CD341" s="90" t="n"/>
      <c r="CF341" s="90" t="n"/>
      <c r="CG341" s="90" t="n"/>
      <c r="CH341" s="90" t="n"/>
      <c r="CI341" s="90" t="n"/>
      <c r="CK341" s="90" t="n"/>
      <c r="CL341" s="90" t="n"/>
      <c r="CM341" s="90" t="n"/>
      <c r="CN341" s="90" t="n"/>
      <c r="CP341" s="90" t="n"/>
      <c r="CQ341" s="90" t="n"/>
      <c r="CR341" s="90" t="n"/>
      <c r="CS341" s="90" t="n"/>
      <c r="CU341" s="90" t="n"/>
      <c r="CV341" s="90" t="n"/>
      <c r="CW341" s="90" t="n"/>
      <c r="CX341" s="90" t="n"/>
    </row>
    <row r="342" customFormat="1" s="77">
      <c r="A342" s="76" t="n"/>
      <c r="B342" s="76" t="n"/>
      <c r="C342" s="77" t="inlineStr">
        <is>
          <t>FIXED ASSETS</t>
        </is>
      </c>
      <c r="D342" s="89">
        <f>IFERROR(D153+D163+D166+D167+D176-D227,"")</f>
        <v>0</v>
      </c>
      <c r="E342" s="89">
        <f>IFERROR(E153+E163+E166+E167+E176-E227,"")</f>
        <v>0</v>
      </c>
      <c r="F342" s="89">
        <f>IFERROR(F153+F163+F166+F167+F176-F227,"")</f>
        <v>0</v>
      </c>
      <c r="G342" s="89">
        <f>IFERROR(G153+G163+G166+G167+G176-G227,"")</f>
        <v>0</v>
      </c>
      <c r="H342" s="263">
        <f>IFERROR((N(H153)+N(H163)+N(H166)+N(H167)+N(H176))-N(H227),0)</f>
        <v>0</v>
      </c>
      <c r="I342" s="263">
        <f>IFERROR((N(I153)+N(I163)+N(I166)+N(I167)+N(I176))-N(I227),0)</f>
        <v>4500</v>
      </c>
      <c r="J342" s="263">
        <f>IFERROR((N(J153)+N(J163)+N(J166)+N(J167)+N(J176))-N(J227),0)</f>
        <v>4415</v>
      </c>
      <c r="K342" s="263">
        <f>IFERROR((N(K153)+N(K163)+N(K166)+N(K167)+N(K176))-N(K227),0)</f>
        <v>4566</v>
      </c>
      <c r="L342" s="263">
        <f>IFERROR((N(L153)+N(L163)+N(L166)+N(L167)+N(L176))-N(L227),0)</f>
        <v>4401</v>
      </c>
      <c r="M342" s="263">
        <f>IFERROR((N(M153)+N(M163)+N(M166)+N(M167)+N(M176))-N(M227),0)</f>
        <v>4401</v>
      </c>
      <c r="N342" s="263">
        <f>IFERROR((N(N153)+N(N163)+N(N166)+N(N167)+N(N176))-N(N227),0)</f>
        <v>5164</v>
      </c>
      <c r="O342" s="263">
        <f>IFERROR((N(O153)+N(O163)+N(O166)+N(O167)+N(O176))-N(O227),0)</f>
        <v>45232</v>
      </c>
      <c r="P342" s="263">
        <f>IFERROR((N(P153)+N(P163)+N(P166)+N(P167)+N(P176))-N(P227),0)</f>
        <v>47475</v>
      </c>
      <c r="Q342" s="263">
        <f>IFERROR((N(Q153)+N(Q163)+N(Q166)+N(Q167)+N(Q176))-N(Q227),0)</f>
        <v>47117</v>
      </c>
      <c r="R342" s="263">
        <f>IFERROR((N(R153)+N(R163)+N(R166)+N(R167)+N(R176))-N(R227),0)</f>
        <v>47117</v>
      </c>
      <c r="S342" s="263">
        <f>IFERROR((N(S153)+N(S163)+N(S166)+N(S167)+N(S176))-N(S227),0)</f>
        <v>49798</v>
      </c>
      <c r="T342" s="263">
        <f>IFERROR((N(T153)+N(T163)+N(T166)+N(T167)+N(T176))-N(T227),0)</f>
        <v>53496</v>
      </c>
      <c r="U342" s="263">
        <f>IFERROR((N(U153)+N(U163)+N(U166)+N(U167)+N(U176))-N(U227),0)</f>
        <v>56041</v>
      </c>
      <c r="V342" s="263">
        <f>IFERROR((N(V153)+N(V163)+N(V166)+N(V167)+N(V176))-N(V227),0)</f>
        <v>55186</v>
      </c>
      <c r="W342" s="263">
        <f>IFERROR((N(W153)+N(W163)+N(W166)+N(W167)+N(W176))-N(W227),0)</f>
        <v>55186</v>
      </c>
      <c r="X342" s="263">
        <f>IFERROR((N(X153)+N(X163)+N(X166)+N(X167)+N(X176))-N(X227),0)</f>
        <v>57540</v>
      </c>
      <c r="Y342" s="263">
        <f>IFERROR((N(Y153)+N(Y163)+N(Y166)+N(Y167)+N(Y176))-N(Y227),0)</f>
        <v>57160</v>
      </c>
      <c r="Z342" s="263">
        <f>IFERROR((N(Z153)+N(Z163)+N(Z166)+N(Z167)+N(Z176))-N(Z227),0)</f>
        <v>57990</v>
      </c>
      <c r="AA342" s="263">
        <f>IFERROR((N(AA153)+N(AA163)+N(AA166)+N(AA167)+N(AA176))-N(AA227),0)</f>
        <v>54462</v>
      </c>
      <c r="AB342" s="263">
        <f>IFERROR((N(AB153)+N(AB163)+N(AB166)+N(AB167)+N(AB176))-N(AB227),0)</f>
        <v>54462</v>
      </c>
      <c r="AC342" s="263">
        <f>IFERROR((N(AC153)+N(AC163)+N(AC166)+N(AC167)+N(AC176))-N(AC227),0)</f>
        <v>55852</v>
      </c>
      <c r="AD342" s="263">
        <f>IFERROR((N(AD153)+N(AD163)+N(AD166)+N(AD167)+N(AD176))-N(AD227),0)</f>
        <v>57013</v>
      </c>
      <c r="AE342" s="263">
        <f>IFERROR((N(AE153)+N(AE163)+N(AE166)+N(AE167)+N(AE176))-N(AE227),0)</f>
        <v>56486</v>
      </c>
      <c r="AF342" s="263">
        <f>IFERROR((N(AF153)+N(AF163)+N(AF166)+N(AF167)+N(AF176))-N(AF227),0)</f>
        <v>53752</v>
      </c>
      <c r="AG342" s="263">
        <f>IFERROR((N(AG153)+N(AG163)+N(AG166)+N(AG167)+N(AG176))-N(AG227),0)</f>
        <v>53752</v>
      </c>
      <c r="AH342" s="263">
        <f>IFERROR((N(AH153)+N(AH163)+N(AH166)+N(AH167)+N(AH176))-N(AH227),0)</f>
        <v>54504</v>
      </c>
      <c r="AI342" s="263">
        <f>IFERROR((N(AI153)+N(AI163)+N(AI166)+N(AI167)+N(AI176))-N(AI227),0)</f>
        <v>54582</v>
      </c>
      <c r="AJ342" s="263">
        <f>IFERROR((N(AJ153)+N(AJ163)+N(AJ166)+N(AJ167)+N(AJ176))-N(AJ227),0)</f>
        <v>54574.7931349301</v>
      </c>
      <c r="AK342" s="263">
        <f>IFERROR((N(AK153)+N(AK163)+N(AK166)+N(AK167)+N(AK176))-N(AK227),0)</f>
        <v>54569.204529138</v>
      </c>
      <c r="AL342" s="263">
        <f>IFERROR((N(AL153)+N(AL163)+N(AL166)+N(AL167)+N(AL176))-N(AL227),0)</f>
        <v>54569.204529138</v>
      </c>
      <c r="AM342" s="263">
        <f>IFERROR((N(AM153)+N(AM163)+N(AM166)+N(AM167)+N(AM176))-N(AM227),0)</f>
        <v>54561.4307209146</v>
      </c>
      <c r="AN342" s="263">
        <f>IFERROR((N(AN153)+N(AN163)+N(AN166)+N(AN167)+N(AN176))-N(AN227),0)</f>
        <v>54554.099419091</v>
      </c>
      <c r="AO342" s="263">
        <f>IFERROR((N(AO153)+N(AO163)+N(AO166)+N(AO167)+N(AO176))-N(AO227),0)</f>
        <v>54546.7845662197</v>
      </c>
      <c r="AP342" s="263">
        <f>IFERROR((N(AP153)+N(AP163)+N(AP166)+N(AP167)+N(AP176))-N(AP227),0)</f>
        <v>54541.1122206536</v>
      </c>
      <c r="AQ342" s="263">
        <f>IFERROR((N(AQ153)+N(AQ163)+N(AQ166)+N(AQ167)+N(AQ176))-N(AQ227),0)</f>
        <v>54541.1122206536</v>
      </c>
      <c r="AR342" s="263">
        <f>IFERROR((N(AR153)+N(AR163)+N(AR166)+N(AR167)+N(AR176))-N(AR227),0)</f>
        <v>54533.2607985832</v>
      </c>
      <c r="AS342" s="263">
        <f>IFERROR((N(AS153)+N(AS163)+N(AS166)+N(AS167)+N(AS176))-N(AS227),0)</f>
        <v>54525.8563009047</v>
      </c>
      <c r="AT342" s="263">
        <f>IFERROR((N(AT153)+N(AT163)+N(AT166)+N(AT167)+N(AT176))-N(AT227),0)</f>
        <v>54518.4684164052</v>
      </c>
      <c r="AU342" s="263">
        <f>IFERROR((N(AU153)+N(AU163)+N(AU166)+N(AU167)+N(AU176))-N(AU227),0)</f>
        <v>54512.7394380346</v>
      </c>
      <c r="AV342" s="263">
        <f>IFERROR((N(AV153)+N(AV163)+N(AV166)+N(AV167)+N(AV176))-N(AV227),0)</f>
        <v>54512.7394380346</v>
      </c>
      <c r="AW342" s="263">
        <f>IFERROR((N(AW153)+N(AW163)+N(AW166)+N(AW167)+N(AW176))-N(AW227),0)</f>
        <v>54504.8488843294</v>
      </c>
      <c r="AX342" s="263">
        <f>IFERROR((N(AX153)+N(AX163)+N(AX166)+N(AX167)+N(AX176))-N(AX227),0)</f>
        <v>54497.4074824956</v>
      </c>
      <c r="AY342" s="263">
        <f>IFERROR((N(AY153)+N(AY163)+N(AY166)+N(AY167)+N(AY176))-N(AY227),0)</f>
        <v>54489.9827766412</v>
      </c>
      <c r="AZ342" s="263">
        <f>IFERROR((N(AZ153)+N(AZ163)+N(AZ166)+N(AZ167)+N(AZ176))-N(AZ227),0)</f>
        <v>54484.225244935</v>
      </c>
      <c r="BA342" s="263">
        <f>IFERROR((N(BA153)+N(BA163)+N(BA166)+N(BA167)+N(BA176))-N(BA227),0)</f>
        <v>54484.225244935</v>
      </c>
      <c r="BB342" s="263">
        <f>IFERROR((N(BB153)+N(BB163)+N(BB166)+N(BB167)+N(BB176))-N(BB227),0)</f>
        <v>54476.3346912298</v>
      </c>
      <c r="BC342" s="263">
        <f>IFERROR((N(BC153)+N(BC163)+N(BC166)+N(BC167)+N(BC176))-N(BC227),0)</f>
        <v>54468.893289396</v>
      </c>
      <c r="BD342" s="263">
        <f>IFERROR((N(BD153)+N(BD163)+N(BD166)+N(BD167)+N(BD176))-N(BD227),0)</f>
        <v>54461.4685835416</v>
      </c>
      <c r="BE342" s="263">
        <f>IFERROR((N(BE153)+N(BE163)+N(BE166)+N(BE167)+N(BE176))-N(BE227),0)</f>
        <v>54455.7110518354</v>
      </c>
      <c r="BF342" s="263">
        <f>IFERROR((N(BF153)+N(BF163)+N(BF166)+N(BF167)+N(BF176))-N(BF227),0)</f>
        <v>54455.7110518354</v>
      </c>
      <c r="BG342" s="90" t="n"/>
      <c r="BH342" s="90" t="n"/>
      <c r="BI342" s="90" t="n"/>
      <c r="BJ342" s="90" t="n"/>
      <c r="BL342" s="90" t="n"/>
      <c r="BM342" s="90" t="n"/>
      <c r="BN342" s="90" t="n"/>
      <c r="BO342" s="90" t="n"/>
      <c r="BQ342" s="90" t="n"/>
      <c r="BR342" s="90" t="n"/>
      <c r="BS342" s="90" t="n"/>
      <c r="BT342" s="90" t="n"/>
      <c r="BV342" s="90" t="n"/>
      <c r="BW342" s="90" t="n"/>
      <c r="BX342" s="90" t="n"/>
      <c r="BY342" s="90" t="n"/>
      <c r="CA342" s="90" t="n"/>
      <c r="CB342" s="90" t="n"/>
      <c r="CC342" s="90" t="n"/>
      <c r="CD342" s="90" t="n"/>
      <c r="CF342" s="90" t="n"/>
      <c r="CG342" s="90" t="n"/>
      <c r="CH342" s="90" t="n"/>
      <c r="CI342" s="90" t="n"/>
      <c r="CK342" s="90" t="n"/>
      <c r="CL342" s="90" t="n"/>
      <c r="CM342" s="90" t="n"/>
      <c r="CN342" s="90" t="n"/>
      <c r="CP342" s="90" t="n"/>
      <c r="CQ342" s="90" t="n"/>
      <c r="CR342" s="90" t="n"/>
      <c r="CS342" s="90" t="n"/>
      <c r="CU342" s="90" t="n"/>
      <c r="CV342" s="90" t="n"/>
      <c r="CW342" s="90" t="n"/>
      <c r="CX342" s="90" t="n"/>
    </row>
    <row r="343" customFormat="1" s="77">
      <c r="A343" s="76" t="n"/>
      <c r="B343" s="76" t="n"/>
    </row>
    <row r="344" customFormat="1" s="77">
      <c r="A344" s="76" t="n"/>
      <c r="B344" s="76" t="n"/>
    </row>
    <row r="345" customFormat="1" s="77">
      <c r="A345" s="76" t="n"/>
      <c r="B345" s="76" t="n"/>
    </row>
    <row r="346" customFormat="1" s="77">
      <c r="A346" s="76" t="n"/>
      <c r="B346" s="76" t="n"/>
    </row>
    <row r="347" customFormat="1" s="77">
      <c r="A347" s="76" t="n"/>
      <c r="B347" s="76" t="n"/>
    </row>
    <row r="348" customFormat="1" s="77">
      <c r="A348" s="76" t="n"/>
      <c r="B348" s="76" t="n"/>
    </row>
    <row r="349" customFormat="1" s="77">
      <c r="A349" s="76" t="n"/>
      <c r="B349" s="76" t="n"/>
    </row>
    <row r="350" customFormat="1" s="77">
      <c r="A350" s="76" t="n"/>
      <c r="B350" s="76" t="n"/>
      <c r="C350" s="74" t="inlineStr">
        <is>
          <t>DUPONT ANALYSIS</t>
        </is>
      </c>
    </row>
    <row r="351" customFormat="1" s="77">
      <c r="A351" s="76" t="n"/>
      <c r="B351" s="76" t="n"/>
      <c r="C351" s="77" t="inlineStr">
        <is>
          <t>NET PROFIT MARGIN (LTM)</t>
        </is>
      </c>
      <c r="D351" s="84" t="str">
        <f>IFERROR(D124/D15,"")</f>
        <v/>
      </c>
      <c r="E351" s="84" t="str">
        <f>IFERROR(E124/E15,"")</f>
        <v/>
      </c>
      <c r="F351" s="84" t="str">
        <f>IFERROR(F124/F15,"")</f>
        <v/>
      </c>
      <c r="G351" s="84" t="str">
        <f>IFERROR(G124/G15,"")</f>
        <v/>
      </c>
      <c r="H351" s="258" t="str">
        <f>IFERROR(IF(AND(COUNT(H124)=1,(H15)&lt;&gt;0),(H124)/(H15),""),"")</f>
        <v/>
      </c>
      <c r="I351" s="257" t="str">
        <f>""</f>
        <v/>
      </c>
      <c r="J351" s="257" t="str">
        <f>""</f>
        <v/>
      </c>
      <c r="K351" s="257" t="str">
        <f>""</f>
        <v/>
      </c>
      <c r="L351" s="257">
        <f>IFERROR(IF(AND(COUNT(I124,J124,K124,L124)=4,(I15+J15+K15+L15)&lt;&gt;0),(I124+J124+K124+L124)/(I15+J15+K15+L15),""),"")</f>
        <v>0.126863155054967</v>
      </c>
      <c r="M351" s="258">
        <f>IFERROR(IF(AND(COUNT(I124,J124,K124,L124)=4,(I15+J15+K15+L15)&lt;&gt;0),(I124+J124+K124+L124)/(I15+J15+K15+L15),""),"")</f>
        <v>0.126863155054967</v>
      </c>
      <c r="N351" s="257">
        <f>IFERROR(IF(AND(COUNT(J124,K124,L124,N124)=4,(J15+K15+L15+N15)&lt;&gt;0),(J124+K124+L124+N124)/(J15+K15+L15+N15),""),"")</f>
        <v>0.129954359836656</v>
      </c>
      <c r="O351" s="257">
        <f>IFERROR(IF(AND(COUNT(K124,L124,N124,O124)=4,(K15+L15+N15+O15)&lt;&gt;0),(K124+L124+N124+O124)/(K15+L15+N15+O15),""),"")</f>
        <v>0.127522328812438</v>
      </c>
      <c r="P351" s="257">
        <f>IFERROR(IF(AND(COUNT(L124,N124,O124,P124)=4,(L15+N15+O15+P15)&lt;&gt;0),(L124+N124+O124+P124)/(L15+N15+O15+P15),""),"")</f>
        <v>0.135629647944919</v>
      </c>
      <c r="Q351" s="257">
        <f>IFERROR(IF(AND(COUNT(N124,O124,P124,Q124)=4,(N15+O15+P15+Q15)&lt;&gt;0),(N124+O124+P124+Q124)/(N15+O15+P15+Q15),""),"")</f>
        <v>0.147089471793029</v>
      </c>
      <c r="R351" s="258">
        <f>IFERROR(IF(AND(COUNT(N124,O124,P124,Q124)=4,(N15+O15+P15+Q15)&lt;&gt;0),(N124+O124+P124+Q124)/(N15+O15+P15+Q15),""),"")</f>
        <v>0.147089471793029</v>
      </c>
      <c r="S351" s="257">
        <f>IFERROR(IF(AND(COUNT(O124,P124,Q124,S124)=4,(O15+P15+Q15+S15)&lt;&gt;0),(O124+P124+Q124+S124)/(O15+P15+Q15+S15),""),"")</f>
        <v>0.149957269970005</v>
      </c>
      <c r="T351" s="257">
        <f>IFERROR(IF(AND(COUNT(P124,Q124,S124,T124)=4,(P15+Q15+S15+T15)&lt;&gt;0),(P124+Q124+S124+T124)/(P15+Q15+S15+T15),""),"")</f>
        <v>0.163630735140772</v>
      </c>
      <c r="U351" s="257">
        <f>IFERROR(IF(AND(COUNT(Q124,S124,T124,U124)=4,(Q15+S15+T15+U15)&lt;&gt;0),(Q124+S124+T124+U124)/(Q15+S15+T15+U15),""),"")</f>
        <v>0.165970090772546</v>
      </c>
      <c r="V351" s="257">
        <f>IFERROR(IF(AND(COUNT(S124,T124,U124,V124)=4,(S15+T15+U15+V15)&lt;&gt;0),(S124+T124+U124+V124)/(S15+T15+U15+V15),""),"")</f>
        <v>0.163823311672288</v>
      </c>
      <c r="W351" s="258">
        <f>IFERROR(IF(AND(COUNT(S124,T124,U124,V124)=4,(S15+T15+U15+V15)&lt;&gt;0),(S124+T124+U124+V124)/(S15+T15+U15+V15),""),"")</f>
        <v>0.163823311672288</v>
      </c>
      <c r="X351" s="257">
        <f>IFERROR(IF(AND(COUNT(T124,U124,V124,X124)=4,(T15+U15+V15+X15)&lt;&gt;0),(T124+U124+V124+X124)/(T15+U15+V15+X15),""),"")</f>
        <v>0.161479030580049</v>
      </c>
      <c r="Y351" s="257">
        <f>IFERROR(IF(AND(COUNT(U124,V124,X124,Y124)=4,(U15+V15+X15+Y15)&lt;&gt;0),(U124+V124+X124+Y124)/(U15+V15+X15+Y15),""),"")</f>
        <v>0.146899114032581</v>
      </c>
      <c r="Z351" s="257">
        <f>IFERROR(IF(AND(COUNT(V124,X124,Y124,Z124)=4,(V15+X15+Y15+Z15)&lt;&gt;0),(V124+X124+Y124+Z124)/(V15+X15+Y15+Z15),""),"")</f>
        <v>0.137288266687292</v>
      </c>
      <c r="AA351" s="257">
        <f>IFERROR(IF(AND(COUNT(X124,Y124,Z124,AA124)=4,(X15+Y15+Z15+AA15)&lt;&gt;0),(X124+Y124+Z124+AA124)/(X15+Y15+Z15+AA15),""),"")</f>
        <v>0.129436499510814</v>
      </c>
      <c r="AB351" s="258">
        <f>IFERROR(IF(AND(COUNT(X124,Y124,Z124,AA124)=4,(X15+Y15+Z15+AA15)&lt;&gt;0),(X124+Y124+Z124+AA124)/(X15+Y15+Z15+AA15),""),"")</f>
        <v>0.129436499510814</v>
      </c>
      <c r="AC351" s="257">
        <f>IFERROR(IF(AND(COUNT(Y124,Z124,AA124,AC124)=4,(Y15+Z15+AA15+AC15)&lt;&gt;0),(Y124+Z124+AA124+AC124)/(Y15+Z15+AA15+AC15),""),"")</f>
        <v>0.124037132135098</v>
      </c>
      <c r="AD351" s="257">
        <f>IFERROR(IF(AND(COUNT(Z124,AA124,AC124,AD124)=4,(Z15+AA15+AC15+AD15)&lt;&gt;0),(Z124+AA124+AC124+AD124)/(Z15+AA15+AC15+AD15),""),"")</f>
        <v>0.117187675826525</v>
      </c>
      <c r="AE351" s="257">
        <f>IFERROR(IF(AND(COUNT(AA124,AC124,AD124,AE124)=4,(AA15+AC15+AD15+AE15)&lt;&gt;0),(AA124+AC124+AD124+AE124)/(AA15+AC15+AD15+AE15),""),"")</f>
        <v>0.110040934264387</v>
      </c>
      <c r="AF351" s="257">
        <f>IFERROR(IF(AND(COUNT(AB124,AD124,AE124,AF124)=4,(AB15+AD15+AE15+AF15)&lt;&gt;0),(AB124+AD124+AE124+AF124)/(AB15+AD15+AE15+AF15),""),"")</f>
        <v>0.112451561014842</v>
      </c>
      <c r="AG351" s="258">
        <f>IFERROR(IF(AND(COUNT(AC124,AD124,AE124,AF124)=4,(AC15+AD15+AE15+AF15)&lt;&gt;0),(AC124+AD124+AE124+AF124)/(AC15+AD15+AE15+AF15),""),"")</f>
        <v>0.102894028128073</v>
      </c>
      <c r="AH351" s="257">
        <f>IFERROR(IF(AND(COUNT(AD124,AF124,AG124,AH124)=4,(AD15+AF15+AG15+AH15)&lt;&gt;0),(AD124+AF124+AG124+AH124)/(AD15+AF15+AG15+AH15),""),"")</f>
        <v>0.104323584075125</v>
      </c>
      <c r="AI351" s="257">
        <f>IFERROR(IF(AND(COUNT(AE124,AG124,AH124,AI124)=4,(AE15+AG15+AH15+AI15)&lt;&gt;0),(AE124+AG124+AH124+AI124)/(AE15+AG15+AH15+AI15),""),"")</f>
        <v>0.106051176063037</v>
      </c>
      <c r="AJ351" s="257">
        <f>IFERROR(IF(AND(COUNT(AF124,AH124,AI124,AJ124)=4,(AF15+AH15+AI15+AJ15)&lt;&gt;0),(AF124+AH124+AI124+AJ124)/(AF15+AH15+AI15+AJ15),""),"")</f>
        <v>0.119644108071819</v>
      </c>
      <c r="AK351" s="257">
        <f>IFERROR(IF(AND(COUNT(AH124,AI124,AJ124,AK124)=4,(AH15+AI15+AJ15+AK15)&lt;&gt;0),(AH124+AI124+AJ124+AK124)/(AH15+AI15+AJ15+AK15),""),"")</f>
        <v>0.137088587538431</v>
      </c>
      <c r="AL351" s="258">
        <f>IFERROR(IF(AND(COUNT(AH124,AI124,AJ124,AK124)=4,(AH15+AI15+AJ15+AK15)&lt;&gt;0),(AH124+AI124+AJ124+AK124)/(AH15+AI15+AJ15+AK15),""),"")</f>
        <v>0.137088587538431</v>
      </c>
      <c r="AM351" s="257">
        <f>IFERROR(IF(AND(COUNT(AI124,AJ124,AK124,AM124)=4,(AI15+AJ15+AK15+AM15)&lt;&gt;0),(AI124+AJ124+AK124+AM124)/(AI15+AJ15+AK15+AM15),""),"")</f>
        <v>0.143443998755894</v>
      </c>
      <c r="AN351" s="257">
        <f>IFERROR(IF(AND(COUNT(AJ124,AK124,AM124,AN124)=4,(AJ15+AK15+AM15+AN15)&lt;&gt;0),(AJ124+AK124+AM124+AN124)/(AJ15+AK15+AM15+AN15),""),"")</f>
        <v>0.15540760731729</v>
      </c>
      <c r="AO351" s="257">
        <f>IFERROR(IF(AND(COUNT(AK124,AM124,AN124,AO124)=4,(AK15+AM15+AN15+AO15)&lt;&gt;0),(AK124+AM124+AN124+AO124)/(AK15+AM15+AN15+AO15),""),"")</f>
        <v>0.15540760731729</v>
      </c>
      <c r="AP351" s="257">
        <f>IFERROR(IF(AND(COUNT(AM124,AN124,AO124,AP124)=4,(AM15+AN15+AO15+AP15)&lt;&gt;0),(AM124+AN124+AO124+AP124)/(AM15+AN15+AO15+AP15),""),"")</f>
        <v>0.15540760731729</v>
      </c>
      <c r="AQ351" s="258">
        <f>IFERROR(IF(AND(COUNT(AM124,AN124,AO124,AP124)=4,(AM15+AN15+AO15+AP15)&lt;&gt;0),(AM124+AN124+AO124+AP124)/(AM15+AN15+AO15+AP15),""),"")</f>
        <v>0.15540760731729</v>
      </c>
      <c r="AR351" s="257">
        <f>IFERROR(IF(AND(COUNT(AN124,AO124,AP124,AR124)=4,(AN15+AO15+AP15+AR15)&lt;&gt;0),(AN124+AO124+AP124+AR124)/(AN15+AO15+AP15+AR15),""),"")</f>
        <v>0.15540760731729</v>
      </c>
      <c r="AS351" s="257">
        <f>IFERROR(IF(AND(COUNT(AO124,AP124,AR124,AS124)=4,(AO15+AP15+AR15+AS15)&lt;&gt;0),(AO124+AP124+AR124+AS124)/(AO15+AP15+AR15+AS15),""),"")</f>
        <v>0.15540760731729</v>
      </c>
      <c r="AT351" s="257">
        <f>IFERROR(IF(AND(COUNT(AP124,AR124,AS124,AT124)=4,(AP15+AR15+AS15+AT15)&lt;&gt;0),(AP124+AR124+AS124+AT124)/(AP15+AR15+AS15+AT15),""),"")</f>
        <v>0.15540760731729</v>
      </c>
      <c r="AU351" s="257">
        <f>IFERROR(IF(AND(COUNT(AR124,AS124,AT124,AU124)=4,(AR15+AS15+AT15+AU15)&lt;&gt;0),(AR124+AS124+AT124+AU124)/(AR15+AS15+AT15+AU15),""),"")</f>
        <v>0.15540760731729</v>
      </c>
      <c r="AV351" s="258">
        <f>IFERROR(IF(AND(COUNT(AR124,AS124,AT124,AU124)=4,(AR15+AS15+AT15+AU15)&lt;&gt;0),(AR124+AS124+AT124+AU124)/(AR15+AS15+AT15+AU15),""),"")</f>
        <v>0.15540760731729</v>
      </c>
      <c r="AW351" s="257">
        <f>IFERROR(IF(AND(COUNT(AS124,AT124,AU124,AW124)=4,(AS15+AT15+AU15+AW15)&lt;&gt;0),(AS124+AT124+AU124+AW124)/(AS15+AT15+AU15+AW15),""),"")</f>
        <v>0.15540760731729</v>
      </c>
      <c r="AX351" s="257">
        <f>IFERROR(IF(AND(COUNT(AT124,AU124,AW124,AX124)=4,(AT15+AU15+AW15+AX15)&lt;&gt;0),(AT124+AU124+AW124+AX124)/(AT15+AU15+AW15+AX15),""),"")</f>
        <v>0.15540760731729</v>
      </c>
      <c r="AY351" s="257">
        <f>IFERROR(IF(AND(COUNT(AU124,AW124,AX124,AY124)=4,(AU15+AW15+AX15+AY15)&lt;&gt;0),(AU124+AW124+AX124+AY124)/(AU15+AW15+AX15+AY15),""),"")</f>
        <v>0.15540760731729</v>
      </c>
      <c r="AZ351" s="257">
        <f>IFERROR(IF(AND(COUNT(AW124,AX124,AY124,AZ124)=4,(AW15+AX15+AY15+AZ15)&lt;&gt;0),(AW124+AX124+AY124+AZ124)/(AW15+AX15+AY15+AZ15),""),"")</f>
        <v>0.15540760731729</v>
      </c>
      <c r="BA351" s="258">
        <f>IFERROR(IF(AND(COUNT(AW124,AX124,AY124,AZ124)=4,(AW15+AX15+AY15+AZ15)&lt;&gt;0),(AW124+AX124+AY124+AZ124)/(AW15+AX15+AY15+AZ15),""),"")</f>
        <v>0.15540760731729</v>
      </c>
      <c r="BB351" s="257">
        <f>IFERROR(IF(AND(COUNT(AX124,AY124,AZ124,BB124)=4,(AX15+AY15+AZ15+BB15)&lt;&gt;0),(AX124+AY124+AZ124+BB124)/(AX15+AY15+AZ15+BB15),""),"")</f>
        <v>0.15540760731729</v>
      </c>
      <c r="BC351" s="257">
        <f>IFERROR(IF(AND(COUNT(AY124,AZ124,BB124,BC124)=4,(AY15+AZ15+BB15+BC15)&lt;&gt;0),(AY124+AZ124+BB124+BC124)/(AY15+AZ15+BB15+BC15),""),"")</f>
        <v>0.15540760731729</v>
      </c>
      <c r="BD351" s="257">
        <f>IFERROR(IF(AND(COUNT(AZ124,BB124,BC124,BD124)=4,(AZ15+BB15+BC15+BD15)&lt;&gt;0),(AZ124+BB124+BC124+BD124)/(AZ15+BB15+BC15+BD15),""),"")</f>
        <v>0.15540760731729</v>
      </c>
      <c r="BE351" s="257">
        <f>IFERROR(IF(AND(COUNT(BB124,BC124,BD124,BE124)=4,(BB15+BC15+BD15+BE15)&lt;&gt;0),(BB124+BC124+BD124+BE124)/(BB15+BC15+BD15+BE15),""),"")</f>
        <v>0.15540760731729</v>
      </c>
      <c r="BF351" s="258">
        <f>IFERROR(IF(AND(COUNT(BB124,BC124,BD124,BE124)=4,(BB15+BC15+BD15+BE15)&lt;&gt;0),(BB124+BC124+BD124+BE124)/(BB15+BC15+BD15+BE15),""),"")</f>
        <v>0.15540760731729</v>
      </c>
      <c r="BG351" s="81" t="n"/>
      <c r="BH351" s="81" t="n"/>
      <c r="BI351" s="81" t="n"/>
      <c r="BJ351" s="81" t="n"/>
      <c r="BL351" s="81" t="n"/>
      <c r="BM351" s="81" t="n"/>
      <c r="BN351" s="81" t="n"/>
      <c r="BO351" s="81" t="n"/>
      <c r="BQ351" s="81" t="n"/>
      <c r="BR351" s="81" t="n"/>
      <c r="BS351" s="81" t="n"/>
      <c r="BT351" s="81" t="n"/>
      <c r="BV351" s="81" t="n"/>
      <c r="BW351" s="81" t="n"/>
      <c r="BX351" s="81" t="n"/>
      <c r="BY351" s="81" t="n"/>
      <c r="CA351" s="81" t="n"/>
      <c r="CB351" s="81" t="n"/>
      <c r="CC351" s="81" t="n"/>
      <c r="CD351" s="81" t="n"/>
      <c r="CF351" s="81" t="n"/>
      <c r="CG351" s="81" t="n"/>
      <c r="CH351" s="81" t="n"/>
      <c r="CI351" s="81" t="n"/>
      <c r="CK351" s="81" t="n"/>
      <c r="CL351" s="81" t="n"/>
      <c r="CM351" s="81" t="n"/>
      <c r="CN351" s="81" t="n"/>
      <c r="CP351" s="81" t="n"/>
      <c r="CQ351" s="81" t="n"/>
      <c r="CR351" s="81" t="n"/>
      <c r="CS351" s="81" t="n"/>
      <c r="CU351" s="81" t="n"/>
      <c r="CV351" s="81" t="n"/>
      <c r="CW351" s="81" t="n"/>
      <c r="CX351" s="81" t="n"/>
    </row>
    <row r="352" customFormat="1" s="77">
      <c r="A352" s="76" t="n"/>
      <c r="B352" s="76" t="n"/>
      <c r="C352" s="77" t="inlineStr">
        <is>
          <t>ASSET TURNOVER (LTM REVENUE / ASSETS)</t>
        </is>
      </c>
      <c r="D352" s="84" t="str">
        <f>IFERROR(D15/D184,"")</f>
        <v/>
      </c>
      <c r="E352" s="84" t="str">
        <f>IFERROR(E15/E184,"")</f>
        <v/>
      </c>
      <c r="F352" s="84" t="str">
        <f>IFERROR(F15/F184,"")</f>
        <v/>
      </c>
      <c r="G352" s="84" t="str">
        <f>IFERROR(G15/G184,"")</f>
        <v/>
      </c>
      <c r="H352" s="262" t="str">
        <f>IFERROR(IF(AND(COUNT(H15)=1,N(H184)&lt;&gt;0),(H15)/H184,""),"")</f>
        <v/>
      </c>
      <c r="I352" s="264" t="str">
        <f>""</f>
        <v/>
      </c>
      <c r="J352" s="264" t="str">
        <f>""</f>
        <v/>
      </c>
      <c r="K352" s="264" t="str">
        <f>""</f>
        <v/>
      </c>
      <c r="L352" s="264">
        <f>IFERROR(IF(AND(COUNT(I15,J15,K15,L15)=4,N(L184)&lt;&gt;0),(I15+J15+K15+L15)/L184,""),"")</f>
        <v>0.558708267390158</v>
      </c>
      <c r="M352" s="262">
        <f>IFERROR(IF(AND(COUNT(I15,J15,K15,L15)=4,N(M184)&lt;&gt;0),(I15+J15+K15+L15)/M184,""),"")</f>
        <v>0.558708267390158</v>
      </c>
      <c r="N352" s="264">
        <f>IFERROR(IF(AND(COUNT(J15,K15,L15,N15)=4,N(N184)&lt;&gt;0),(J15+K15+L15+N15)/N184,""),"")</f>
        <v>0.544513014423477</v>
      </c>
      <c r="O352" s="264">
        <f>IFERROR(IF(AND(COUNT(K15,L15,N15,O15)=4,N(O184)&lt;&gt;0),(K15+L15+N15+O15)/O184,""),"")</f>
        <v>0.557125908520221</v>
      </c>
      <c r="P352" s="264">
        <f>IFERROR(IF(AND(COUNT(L15,N15,O15,P15)=4,N(P184)&lt;&gt;0),(L15+N15+O15+P15)/P184,""),"")</f>
        <v>0.583994224147506</v>
      </c>
      <c r="Q352" s="264">
        <f>IFERROR(IF(AND(COUNT(N15,O15,P15,Q15)=4,N(Q184)&lt;&gt;0),(N15+O15+P15+Q15)/Q184,""),"")</f>
        <v>0.607509277450338</v>
      </c>
      <c r="R352" s="262">
        <f>IFERROR(IF(AND(COUNT(N15,O15,P15,Q15)=4,N(R184)&lt;&gt;0),(N15+O15+P15+Q15)/R184,""),"")</f>
        <v>0.607509277450338</v>
      </c>
      <c r="S352" s="264">
        <f>IFERROR(IF(AND(COUNT(O15,P15,Q15,S15)=4,N(S184)&lt;&gt;0),(O15+P15+Q15+S15)/S184,""),"")</f>
        <v>0.606800410790365</v>
      </c>
      <c r="T352" s="264">
        <f>IFERROR(IF(AND(COUNT(P15,Q15,S15,T15)=4,N(T184)&lt;&gt;0),(P15+Q15+S15+T15)/T184,""),"")</f>
        <v>0.593595558865344</v>
      </c>
      <c r="U352" s="264">
        <f>IFERROR(IF(AND(COUNT(Q15,S15,T15,U15)=4,N(U184)&lt;&gt;0),(Q15+S15+T15+U15)/U184,""),"")</f>
        <v>0.588469261291035</v>
      </c>
      <c r="V352" s="264">
        <f>IFERROR(IF(AND(COUNT(S15,T15,U15,V15)=4,N(V184)&lt;&gt;0),(S15+T15+U15+V15)/V184,""),"")</f>
        <v>0.599629085241341</v>
      </c>
      <c r="W352" s="262">
        <f>IFERROR(IF(AND(COUNT(S15,T15,U15,V15)=4,N(W184)&lt;&gt;0),(S15+T15+U15+V15)/W184,""),"")</f>
        <v>0.599629085241341</v>
      </c>
      <c r="X352" s="264">
        <f>IFERROR(IF(AND(COUNT(T15,U15,V15,X15)=4,N(X184)&lt;&gt;0),(T15+U15+V15+X15)/X184,""),"")</f>
        <v>0.555089559586473</v>
      </c>
      <c r="Y352" s="264">
        <f>IFERROR(IF(AND(COUNT(U15,V15,X15,Y15)=4,N(Y184)&lt;&gt;0),(U15+V15+X15+Y15)/Y184,""),"")</f>
        <v>0.519134651941284</v>
      </c>
      <c r="Z352" s="264">
        <f>IFERROR(IF(AND(COUNT(V15,X15,Y15,Z15)=4,N(Z184)&lt;&gt;0),(V15+X15+Y15+Z15)/Z184,""),"")</f>
        <v>0.481885948565039</v>
      </c>
      <c r="AA352" s="264">
        <f>IFERROR(IF(AND(COUNT(X15,Y15,Z15,AA15)=4,N(AA184)&lt;&gt;0),(X15+Y15+Z15+AA15)/AA184,""),"")</f>
        <v>0.465859831844762</v>
      </c>
      <c r="AB352" s="262">
        <f>IFERROR(IF(AND(COUNT(X15,Y15,Z15,AA15)=4,N(AB184)&lt;&gt;0),(X15+Y15+Z15+AA15)/AB184,""),"")</f>
        <v>0.465859831844762</v>
      </c>
      <c r="AC352" s="264">
        <f>IFERROR(IF(AND(COUNT(Y15,Z15,AA15,AC15)=4,N(AC184)&lt;&gt;0),(Y15+Z15+AA15+AC15)/AC184,""),"")</f>
        <v>0.428652060619174</v>
      </c>
      <c r="AD352" s="264">
        <f>IFERROR(IF(AND(COUNT(Z15,AA15,AC15,AD15)=4,N(AD184)&lt;&gt;0),(Z15+AA15+AC15+AD15)/AD184,""),"")</f>
        <v>0.412114972592448</v>
      </c>
      <c r="AE352" s="264">
        <f>IFERROR(IF(AND(COUNT(AA15,AC15,AD15,AE15)=4,N(AE184)&lt;&gt;0),(AA15+AC15+AD15+AE15)/AE184,""),"")</f>
        <v>0.43098796180988</v>
      </c>
      <c r="AF352" s="264">
        <f>IFERROR(IF(AND(COUNT(AB15,AD15,AE15,AF15)=4,N(AF184)&lt;&gt;0),(AB15+AD15+AE15+AF15)/AF184,""),"")</f>
        <v>0.793360145403921</v>
      </c>
      <c r="AG352" s="262">
        <f>IFERROR(IF(AND(COUNT(AC15,AD15,AE15,AF15)=4,N(AG184)&lt;&gt;0),(AC15+AD15+AE15+AF15)/AG184,""),"")</f>
        <v>0.452318341776558</v>
      </c>
      <c r="AH352" s="264">
        <f>IFERROR(IF(AND(COUNT(AD15,AF15,AG15,AH15)=4,N(AH184)&lt;&gt;0),(AD15+AF15+AG15+AH15)/AH184,""),"")</f>
        <v>0.764329305333595</v>
      </c>
      <c r="AI352" s="264">
        <f>IFERROR(IF(AND(COUNT(AE15,AG15,AH15,AI15)=4,N(AI184)&lt;&gt;0),(AE15+AG15+AH15+AI15)/AI184,""),"")</f>
        <v>0.791370449877796</v>
      </c>
      <c r="AJ352" s="264">
        <f>IFERROR(IF(AND(COUNT(AF15,AH15,AI15,AJ15)=4,N(AJ184)&lt;&gt;0),(AF15+AH15+AI15+AJ15)/AJ184,""),"")</f>
        <v>0.439638920724072</v>
      </c>
      <c r="AK352" s="264">
        <f>IFERROR(IF(AND(COUNT(AH15,AI15,AJ15,AK15)=4,N(AK184)&lt;&gt;0),(AH15+AI15+AJ15+AK15)/AK184,""),"")</f>
        <v>0.434935175817617</v>
      </c>
      <c r="AL352" s="262">
        <f>IFERROR(IF(AND(COUNT(AH15,AI15,AJ15,AK15)=4,N(AL184)&lt;&gt;0),(AH15+AI15+AJ15+AK15)/AL184,""),"")</f>
        <v>0.434935175817617</v>
      </c>
      <c r="AM352" s="264">
        <f>IFERROR(IF(AND(COUNT(AI15,AJ15,AK15,AM15)=4,N(AM184)&lt;&gt;0),(AI15+AJ15+AK15+AM15)/AM184,""),"")</f>
        <v>0.428601754840577</v>
      </c>
      <c r="AN352" s="264">
        <f>IFERROR(IF(AND(COUNT(AJ15,AK15,AM15,AN15)=4,N(AN184)&lt;&gt;0),(AJ15+AK15+AM15+AN15)/AN184,""),"")</f>
        <v>0.422841343157183</v>
      </c>
      <c r="AO352" s="264">
        <f>IFERROR(IF(AND(COUNT(AK15,AM15,AN15,AO15)=4,N(AO184)&lt;&gt;0),(AK15+AM15+AN15+AO15)/AO184,""),"")</f>
        <v>0.417288759400495</v>
      </c>
      <c r="AP352" s="264">
        <f>IFERROR(IF(AND(COUNT(AM15,AN15,AO15,AP15)=4,N(AP184)&lt;&gt;0),(AM15+AN15+AO15+AP15)/AP184,""),"")</f>
        <v>0.413110772281443</v>
      </c>
      <c r="AQ352" s="262">
        <f>IFERROR(IF(AND(COUNT(AM15,AN15,AO15,AP15)=4,N(AQ184)&lt;&gt;0),(AM15+AN15+AO15+AP15)/AQ184,""),"")</f>
        <v>0.413110772281443</v>
      </c>
      <c r="AR352" s="264">
        <f>IFERROR(IF(AND(COUNT(AN15,AO15,AP15,AR15)=4,N(AR184)&lt;&gt;0),(AN15+AO15+AP15+AR15)/AR184,""),"")</f>
        <v>0.406950136671001</v>
      </c>
      <c r="AS352" s="264">
        <f>IFERROR(IF(AND(COUNT(AO15,AP15,AR15,AS15)=4,N(AS184)&lt;&gt;0),(AO15+AP15+AR15+AS15)/AS184,""),"")</f>
        <v>0.401335920940907</v>
      </c>
      <c r="AT352" s="264">
        <f>IFERROR(IF(AND(COUNT(AP15,AR15,AS15,AT15)=4,N(AT184)&lt;&gt;0),(AP15+AR15+AS15+AT15)/AT184,""),"")</f>
        <v>0.395914350735172</v>
      </c>
      <c r="AU352" s="264">
        <f>IFERROR(IF(AND(COUNT(AR15,AS15,AT15,AU15)=4,N(AU184)&lt;&gt;0),(AR15+AS15+AT15+AU15)/AU184,""),"")</f>
        <v>0.39182851511608</v>
      </c>
      <c r="AV352" s="262">
        <f>IFERROR(IF(AND(COUNT(AR15,AS15,AT15,AU15)=4,N(AV184)&lt;&gt;0),(AR15+AS15+AT15+AU15)/AV184,""),"")</f>
        <v>0.39182851511608</v>
      </c>
      <c r="AW352" s="264">
        <f>IFERROR(IF(AND(COUNT(AS15,AT15,AU15,AW15)=4,N(AW184)&lt;&gt;0),(AS15+AT15+AU15+AW15)/AW184,""),"")</f>
        <v>0.385834978761313</v>
      </c>
      <c r="AX352" s="264">
        <f>IFERROR(IF(AND(COUNT(AT15,AU15,AW15,AX15)=4,N(AX184)&lt;&gt;0),(AT15+AU15+AW15+AX15)/AX184,""),"")</f>
        <v>0.380362677777131</v>
      </c>
      <c r="AY352" s="264">
        <f>IFERROR(IF(AND(COUNT(AU15,AW15,AX15,AY15)=4,N(AY184)&lt;&gt;0),(AU15+AW15+AX15+AY15)/AY184,""),"")</f>
        <v>0.375068746857093</v>
      </c>
      <c r="AZ352" s="264">
        <f>IFERROR(IF(AND(COUNT(AW15,AX15,AY15,AZ15)=4,N(AZ184)&lt;&gt;0),(AW15+AX15+AY15+AZ15)/AZ184,""),"")</f>
        <v>0.371072981841859</v>
      </c>
      <c r="BA352" s="262">
        <f>IFERROR(IF(AND(COUNT(AW15,AX15,AY15,AZ15)=4,N(BA184)&lt;&gt;0),(AW15+AX15+AY15+AZ15)/BA184,""),"")</f>
        <v>0.371072981841859</v>
      </c>
      <c r="BB352" s="264">
        <f>IFERROR(IF(AND(COUNT(AX15,AY15,AZ15,BB15)=4,N(BB184)&lt;&gt;0),(AX15+AY15+AZ15+BB15)/BB184,""),"")</f>
        <v>0.365244417583873</v>
      </c>
      <c r="BC352" s="264">
        <f>IFERROR(IF(AND(COUNT(AY15,AZ15,BB15,BC15)=4,N(BC184)&lt;&gt;0),(AY15+AZ15+BB15+BC15)/BC184,""),"")</f>
        <v>0.359912947196046</v>
      </c>
      <c r="BD352" s="264">
        <f>IFERROR(IF(AND(COUNT(AZ15,BB15,BC15,BD15)=4,N(BD184)&lt;&gt;0),(AZ15+BB15+BC15+BD15)/BD184,""),"")</f>
        <v>0.354746335435066</v>
      </c>
      <c r="BE352" s="264">
        <f>IFERROR(IF(AND(COUNT(BB15,BC15,BD15,BE15)=4,N(BE184)&lt;&gt;0),(BB15+BC15+BD15+BE15)/BE184,""),"")</f>
        <v>0.350840844878933</v>
      </c>
      <c r="BF352" s="262">
        <f>IFERROR(IF(AND(COUNT(BB15,BC15,BD15,BE15)=4,N(BF184)&lt;&gt;0),(BB15+BC15+BD15+BE15)/BF184,""),"")</f>
        <v>0.350840844878933</v>
      </c>
      <c r="BG352" s="81" t="n"/>
      <c r="BH352" s="81" t="n"/>
      <c r="BI352" s="81" t="n"/>
      <c r="BJ352" s="81" t="n"/>
      <c r="BL352" s="81" t="n"/>
      <c r="BM352" s="81" t="n"/>
      <c r="BN352" s="81" t="n"/>
      <c r="BO352" s="81" t="n"/>
      <c r="BQ352" s="81" t="n"/>
      <c r="BR352" s="81" t="n"/>
      <c r="BS352" s="81" t="n"/>
      <c r="BT352" s="81" t="n"/>
      <c r="BV352" s="81" t="n"/>
      <c r="BW352" s="81" t="n"/>
      <c r="BX352" s="81" t="n"/>
      <c r="BY352" s="81" t="n"/>
      <c r="CA352" s="81" t="n"/>
      <c r="CB352" s="81" t="n"/>
      <c r="CC352" s="81" t="n"/>
      <c r="CD352" s="81" t="n"/>
      <c r="CF352" s="81" t="n"/>
      <c r="CG352" s="81" t="n"/>
      <c r="CH352" s="81" t="n"/>
      <c r="CI352" s="81" t="n"/>
      <c r="CK352" s="81" t="n"/>
      <c r="CL352" s="81" t="n"/>
      <c r="CM352" s="81" t="n"/>
      <c r="CN352" s="81" t="n"/>
      <c r="CP352" s="81" t="n"/>
      <c r="CQ352" s="81" t="n"/>
      <c r="CR352" s="81" t="n"/>
      <c r="CS352" s="81" t="n"/>
      <c r="CU352" s="81" t="n"/>
      <c r="CV352" s="81" t="n"/>
      <c r="CW352" s="81" t="n"/>
      <c r="CX352" s="81" t="n"/>
    </row>
    <row r="353" customFormat="1" s="77">
      <c r="A353" s="76" t="n"/>
      <c r="B353" s="76" t="n"/>
      <c r="C353" s="77" t="inlineStr">
        <is>
          <t>EQUITY MULTIPLIER (ASSETS / EQUITY)</t>
        </is>
      </c>
      <c r="D353" s="84" t="str">
        <f>IFERROR(D184/D258,"")</f>
        <v/>
      </c>
      <c r="E353" s="84" t="str">
        <f>IFERROR(E184/E258,"")</f>
        <v/>
      </c>
      <c r="F353" s="84" t="str">
        <f>IFERROR(F184/F258,"")</f>
        <v/>
      </c>
      <c r="G353" s="84" t="str">
        <f>IFERROR(G184/G258,"")</f>
        <v/>
      </c>
      <c r="H353" s="262" t="str">
        <f>IFERROR(IF(N(H258)&lt;&gt;0,H184/H258,""),"")</f>
        <v/>
      </c>
      <c r="I353" s="264">
        <f>IFERROR(IF(N(I258)&lt;&gt;0,I184/I258,""),"")</f>
        <v>5.23178325384208</v>
      </c>
      <c r="J353" s="264">
        <f>IFERROR(IF(N(J258)&lt;&gt;0,J184/J258,""),"")</f>
        <v>5.12858323269561</v>
      </c>
      <c r="K353" s="264">
        <f>IFERROR(IF(N(K258)&lt;&gt;0,K184/K258,""),"")</f>
        <v>4.56298144732559</v>
      </c>
      <c r="L353" s="264">
        <f>IFERROR(IF(N(L258)&lt;&gt;0,L184/L258,""),"")</f>
        <v>4.47068733153639</v>
      </c>
      <c r="M353" s="262">
        <f>IFERROR(IF(N(M258)&lt;&gt;0,M184/M258,""),"")</f>
        <v>4.47068733153639</v>
      </c>
      <c r="N353" s="264">
        <f>IFERROR(IF(N(N258)&lt;&gt;0,N184/N258,""),"")</f>
        <v>4.42486583184258</v>
      </c>
      <c r="O353" s="264">
        <f>IFERROR(IF(N(O258)&lt;&gt;0,O184/O258,""),"")</f>
        <v>4.53802728555747</v>
      </c>
      <c r="P353" s="264">
        <f>IFERROR(IF(N(P258)&lt;&gt;0,P184/P258,""),"")</f>
        <v>4.42255735127966</v>
      </c>
      <c r="Q353" s="264">
        <f>IFERROR(IF(N(Q258)&lt;&gt;0,Q184/Q258,""),"")</f>
        <v>4.27411830565404</v>
      </c>
      <c r="R353" s="262">
        <f>IFERROR(IF(N(R258)&lt;&gt;0,R184/R258,""),"")</f>
        <v>4.27411830565404</v>
      </c>
      <c r="S353" s="264">
        <f>IFERROR(IF(N(S258)&lt;&gt;0,S184/S258,""),"")</f>
        <v>4.37078352073241</v>
      </c>
      <c r="T353" s="264">
        <f>IFERROR(IF(N(T258)&lt;&gt;0,T184/T258,""),"")</f>
        <v>4.46600725639254</v>
      </c>
      <c r="U353" s="264">
        <f>IFERROR(IF(N(U258)&lt;&gt;0,U184/U258,""),"")</f>
        <v>4.75587133327241</v>
      </c>
      <c r="V353" s="264">
        <f>IFERROR(IF(N(V258)&lt;&gt;0,V184/V258,""),"")</f>
        <v>4.57058478741152</v>
      </c>
      <c r="W353" s="262">
        <f>IFERROR(IF(N(W258)&lt;&gt;0,W184/W258,""),"")</f>
        <v>4.57058478741152</v>
      </c>
      <c r="X353" s="264">
        <f>IFERROR(IF(N(X258)&lt;&gt;0,X184/X258,""),"")</f>
        <v>4.63565347142983</v>
      </c>
      <c r="Y353" s="264">
        <f>IFERROR(IF(N(Y258)&lt;&gt;0,Y184/Y258,""),"")</f>
        <v>4.65855976500065</v>
      </c>
      <c r="Z353" s="264">
        <f>IFERROR(IF(N(Z258)&lt;&gt;0,Z184/Z258,""),"")</f>
        <v>4.68135223555071</v>
      </c>
      <c r="AA353" s="264">
        <f>IFERROR(IF(N(AA258)&lt;&gt;0,AA184/AA258,""),"")</f>
        <v>4.57006736394256</v>
      </c>
      <c r="AB353" s="262">
        <f>IFERROR(IF(N(AB258)&lt;&gt;0,AB184/AB258,""),"")</f>
        <v>4.57006736394256</v>
      </c>
      <c r="AC353" s="264">
        <f>IFERROR(IF(N(AC258)&lt;&gt;0,AC184/AC258,""),"")</f>
        <v>4.36061202723767</v>
      </c>
      <c r="AD353" s="264">
        <f>IFERROR(IF(N(AD258)&lt;&gt;0,AD184/AD258,""),"")</f>
        <v>4.26761399620013</v>
      </c>
      <c r="AE353" s="264">
        <f>IFERROR(IF(N(AE258)&lt;&gt;0,AE184/AE258,""),"")</f>
        <v>4.07567193447918</v>
      </c>
      <c r="AF353" s="264">
        <f>IFERROR(IF(N(AF258)&lt;&gt;0,AF184/AF258,""),"")</f>
        <v>3.92442235459271</v>
      </c>
      <c r="AG353" s="262">
        <f>IFERROR(IF(N(AG258)&lt;&gt;0,AG184/AG258,""),"")</f>
        <v>3.92442235459271</v>
      </c>
      <c r="AH353" s="264">
        <f>IFERROR(IF(N(AH258)&lt;&gt;0,AH184/AH258,""),"")</f>
        <v>3.89661325564457</v>
      </c>
      <c r="AI353" s="264">
        <f>IFERROR(IF(N(AI258)&lt;&gt;0,AI184/AI258,""),"")</f>
        <v>3.83748796405264</v>
      </c>
      <c r="AJ353" s="264">
        <f>IFERROR(IF(N(AJ258)&lt;&gt;0,AJ184/AJ258,""),"")</f>
        <v>3.65255518319262</v>
      </c>
      <c r="AK353" s="264">
        <f>IFERROR(IF(N(AK258)&lt;&gt;0,AK184/AK258,""),"")</f>
        <v>3.5249440076268</v>
      </c>
      <c r="AL353" s="262">
        <f>IFERROR(IF(N(AL258)&lt;&gt;0,AL184/AL258,""),"")</f>
        <v>3.5249440076268</v>
      </c>
      <c r="AM353" s="264">
        <f>IFERROR(IF(N(AM258)&lt;&gt;0,AM184/AM258,""),"")</f>
        <v>3.36657339192033</v>
      </c>
      <c r="AN353" s="264">
        <f>IFERROR(IF(N(AN258)&lt;&gt;0,AN184/AN258,""),"")</f>
        <v>3.23440373034356</v>
      </c>
      <c r="AO353" s="264">
        <f>IFERROR(IF(N(AO258)&lt;&gt;0,AO184/AO258,""),"")</f>
        <v>3.11646733064679</v>
      </c>
      <c r="AP353" s="264">
        <f>IFERROR(IF(N(AP258)&lt;&gt;0,AP184/AP258,""),"")</f>
        <v>3.03324626243034</v>
      </c>
      <c r="AQ353" s="262">
        <f>IFERROR(IF(N(AQ258)&lt;&gt;0,AQ184/AQ258,""),"")</f>
        <v>3.03324626243034</v>
      </c>
      <c r="AR353" s="264">
        <f>IFERROR(IF(N(AR258)&lt;&gt;0,AR184/AR258,""),"")</f>
        <v>2.92829656560704</v>
      </c>
      <c r="AS353" s="264">
        <f>IFERROR(IF(N(AS258)&lt;&gt;0,AS184/AS258,""),"")</f>
        <v>2.83878691003605</v>
      </c>
      <c r="AT353" s="264">
        <f>IFERROR(IF(N(AT258)&lt;&gt;0,AT184/AT258,""),"")</f>
        <v>2.75739344162225</v>
      </c>
      <c r="AU353" s="264">
        <f>IFERROR(IF(N(AU258)&lt;&gt;0,AU184/AU258,""),"")</f>
        <v>2.69907215971898</v>
      </c>
      <c r="AV353" s="262">
        <f>IFERROR(IF(N(AV258)&lt;&gt;0,AV184/AV258,""),"")</f>
        <v>2.69907215971898</v>
      </c>
      <c r="AW353" s="264">
        <f>IFERROR(IF(N(AW258)&lt;&gt;0,AW184/AW258,""),"")</f>
        <v>2.62480617918398</v>
      </c>
      <c r="AX353" s="264">
        <f>IFERROR(IF(N(AX258)&lt;&gt;0,AX184/AX258,""),"")</f>
        <v>2.56048059415445</v>
      </c>
      <c r="AY353" s="264">
        <f>IFERROR(IF(N(AY258)&lt;&gt;0,AY184/AY258,""),"")</f>
        <v>2.50118257405199</v>
      </c>
      <c r="AZ353" s="264">
        <f>IFERROR(IF(N(AZ258)&lt;&gt;0,AZ184/AZ258,""),"")</f>
        <v>2.45821311310024</v>
      </c>
      <c r="BA353" s="262">
        <f>IFERROR(IF(N(BA258)&lt;&gt;0,BA184/BA258,""),"")</f>
        <v>2.45821311310024</v>
      </c>
      <c r="BB353" s="264">
        <f>IFERROR(IF(N(BB258)&lt;&gt;0,BB184/BB258,""),"")</f>
        <v>2.40316941030115</v>
      </c>
      <c r="BC353" s="264">
        <f>IFERROR(IF(N(BC258)&lt;&gt;0,BC184/BC258,""),"")</f>
        <v>2.35493549259592</v>
      </c>
      <c r="BD353" s="264">
        <f>IFERROR(IF(N(BD258)&lt;&gt;0,BD184/BD258,""),"")</f>
        <v>2.3100051301459</v>
      </c>
      <c r="BE353" s="264">
        <f>IFERROR(IF(N(BE258)&lt;&gt;0,BE184/BE258,""),"")</f>
        <v>2.27716348668007</v>
      </c>
      <c r="BF353" s="262">
        <f>IFERROR(IF(N(BF258)&lt;&gt;0,BF184/BF258,""),"")</f>
        <v>2.27716348668007</v>
      </c>
      <c r="BG353" s="81" t="n"/>
      <c r="BH353" s="81" t="n"/>
      <c r="BI353" s="81" t="n"/>
      <c r="BJ353" s="81" t="n"/>
      <c r="BL353" s="81" t="n"/>
      <c r="BM353" s="81" t="n"/>
      <c r="BN353" s="81" t="n"/>
      <c r="BO353" s="81" t="n"/>
      <c r="BQ353" s="81" t="n"/>
      <c r="BR353" s="81" t="n"/>
      <c r="BS353" s="81" t="n"/>
      <c r="BT353" s="81" t="n"/>
      <c r="BV353" s="81" t="n"/>
      <c r="BW353" s="81" t="n"/>
      <c r="BX353" s="81" t="n"/>
      <c r="BY353" s="81" t="n"/>
      <c r="CA353" s="81" t="n"/>
      <c r="CB353" s="81" t="n"/>
      <c r="CC353" s="81" t="n"/>
      <c r="CD353" s="81" t="n"/>
      <c r="CF353" s="81" t="n"/>
      <c r="CG353" s="81" t="n"/>
      <c r="CH353" s="81" t="n"/>
      <c r="CI353" s="81" t="n"/>
      <c r="CK353" s="81" t="n"/>
      <c r="CL353" s="81" t="n"/>
      <c r="CM353" s="81" t="n"/>
      <c r="CN353" s="81" t="n"/>
      <c r="CP353" s="81" t="n"/>
      <c r="CQ353" s="81" t="n"/>
      <c r="CR353" s="81" t="n"/>
      <c r="CS353" s="81" t="n"/>
      <c r="CU353" s="81" t="n"/>
      <c r="CV353" s="81" t="n"/>
      <c r="CW353" s="81" t="n"/>
      <c r="CX353" s="81" t="n"/>
    </row>
    <row r="354" customFormat="1" s="77">
      <c r="A354" s="76" t="n"/>
      <c r="B354" s="76" t="n"/>
      <c r="C354" s="77" t="inlineStr">
        <is>
          <t>ROE - DUPONT</t>
        </is>
      </c>
      <c r="D354" s="84">
        <f>IFERROR(PRODUCT(D351:D353),"")</f>
        <v>0</v>
      </c>
      <c r="E354" s="84">
        <f>IFERROR(PRODUCT(E351:E353),"")</f>
        <v>0</v>
      </c>
      <c r="F354" s="84">
        <f>IFERROR(PRODUCT(F351:F353),"")</f>
        <v>0</v>
      </c>
      <c r="G354" s="84">
        <f>IFERROR(PRODUCT(G351:G353),"")</f>
        <v>0</v>
      </c>
      <c r="H354" s="258" t="str">
        <f>IFERROR(IF(COUNT(H351,H352,H353)=3,H351*H352*H353,""),"")</f>
        <v/>
      </c>
      <c r="I354" s="257" t="str">
        <f>IFERROR(IF(COUNT(I351,I352,I353)=3,I351*I352*I353,""),"")</f>
        <v/>
      </c>
      <c r="J354" s="257" t="str">
        <f>IFERROR(IF(COUNT(J351,J352,J353)=3,J351*J352*J353,""),"")</f>
        <v/>
      </c>
      <c r="K354" s="257" t="str">
        <f>IFERROR(IF(COUNT(K351,K352,K353)=3,K351*K352*K353,""),"")</f>
        <v/>
      </c>
      <c r="L354" s="257">
        <f>IFERROR(IF(COUNT(L351,L352,L353)=3,L351*L352*L353,""),"")</f>
        <v>0.316880053908356</v>
      </c>
      <c r="M354" s="258">
        <f>IFERROR(IF(COUNT(M351,M352,M353)=3,M351*M352*M353,""),"")</f>
        <v>0.316880053908356</v>
      </c>
      <c r="N354" s="257">
        <f>IFERROR(IF(COUNT(N351,N352,N353)=3,N351*N352*N353,""),"")</f>
        <v>0.313111648952962</v>
      </c>
      <c r="O354" s="257">
        <f>IFERROR(IF(COUNT(O351,O352,O353)=3,O351*O352*O353,""),"")</f>
        <v>0.322408656107888</v>
      </c>
      <c r="P354" s="257">
        <f>IFERROR(IF(COUNT(P351,P352,P353)=3,P351*P352*P353,""),"")</f>
        <v>0.350297195068036</v>
      </c>
      <c r="Q354" s="257">
        <f>IFERROR(IF(COUNT(Q351,Q352,Q353)=3,Q351*Q352*Q353,""),"")</f>
        <v>0.381927598432543</v>
      </c>
      <c r="R354" s="258">
        <f>IFERROR(IF(COUNT(R351,R352,R353)=3,R351*R352*R353,""),"")</f>
        <v>0.381927598432543</v>
      </c>
      <c r="S354" s="257">
        <f>IFERROR(IF(COUNT(S351,S352,S353)=3,S351*S352*S353,""),"")</f>
        <v>0.397715657081908</v>
      </c>
      <c r="T354" s="257">
        <f>IFERROR(IF(COUNT(T351,T352,T353)=3,T351*T352*T353,""),"")</f>
        <v>0.433785418106427</v>
      </c>
      <c r="U354" s="257">
        <f>IFERROR(IF(COUNT(U351,U352,U353)=3,U351*U352*U353,""),"")</f>
        <v>0.464497852508453</v>
      </c>
      <c r="V354" s="257">
        <f>IFERROR(IF(COUNT(V351,V352,V353)=3,V351*V352*V353,""),"")</f>
        <v>0.448983272464944</v>
      </c>
      <c r="W354" s="258">
        <f>IFERROR(IF(COUNT(W351,W352,W353)=3,W351*W352*W353,""),"")</f>
        <v>0.448983272464944</v>
      </c>
      <c r="X354" s="257">
        <f>IFERROR(IF(COUNT(X351,X352,X353)=3,X351*X352*X353,""),"")</f>
        <v>0.415518300710963</v>
      </c>
      <c r="Y354" s="257">
        <f>IFERROR(IF(COUNT(Y351,Y352,Y353)=3,Y351*Y352*Y353,""),"")</f>
        <v>0.355263726294872</v>
      </c>
      <c r="Z354" s="257">
        <f>IFERROR(IF(COUNT(Z351,Z352,Z353)=3,Z351*Z352*Z353,""),"")</f>
        <v>0.309705561613959</v>
      </c>
      <c r="AA354" s="257">
        <f>IFERROR(IF(COUNT(AA351,AA352,AA353)=3,AA351*AA352*AA353,""),"")</f>
        <v>0.275571707144123</v>
      </c>
      <c r="AB354" s="258">
        <f>IFERROR(IF(COUNT(AB351,AB352,AB353)=3,AB351*AB352*AB353,""),"")</f>
        <v>0.275571707144123</v>
      </c>
      <c r="AC354" s="257">
        <f>IFERROR(IF(COUNT(AC351,AC352,AC353)=3,AC351*AC352*AC353,""),"")</f>
        <v>0.231848387890721</v>
      </c>
      <c r="AD354" s="257">
        <f>IFERROR(IF(COUNT(AD351,AD352,AD353)=3,AD351*AD352*AD353,""),"")</f>
        <v>0.206103546548448</v>
      </c>
      <c r="AE354" s="257">
        <f>IFERROR(IF(COUNT(AE351,AE352,AE353)=3,AE351*AE352*AE353,""),"")</f>
        <v>0.19329411312339</v>
      </c>
      <c r="AF354" s="257">
        <f>IFERROR(IF(COUNT(AF351,AF352,AF353)=3,AF351*AF352*AF353,""),"")</f>
        <v>0.350115718784384</v>
      </c>
      <c r="AG354" s="258">
        <f>IFERROR(IF(COUNT(AG351,AG352,AG353)=3,AG351*AG352*AG353,""),"")</f>
        <v>0.182645976400956</v>
      </c>
      <c r="AH354" s="257">
        <f>IFERROR(IF(COUNT(AH351,AH352,AH353)=3,AH351*AH352*AH353,""),"")</f>
        <v>0.310706482155863</v>
      </c>
      <c r="AI354" s="257">
        <f>IFERROR(IF(COUNT(AI351,AI352,AI353)=3,AI351*AI352*AI353,""),"")</f>
        <v>0.322064120395136</v>
      </c>
      <c r="AJ354" s="257">
        <f>IFERROR(IF(COUNT(AJ351,AJ352,AJ353)=3,AJ351*AJ352*AJ353,""),"")</f>
        <v>0.192125157048153</v>
      </c>
      <c r="AK354" s="257">
        <f>IFERROR(IF(COUNT(AK351,AK352,AK353)=3,AK351*AK352*AK353,""),"")</f>
        <v>0.210173548930154</v>
      </c>
      <c r="AL354" s="258">
        <f>IFERROR(IF(COUNT(AL351,AL352,AL353)=3,AL351*AL352*AL353,""),"")</f>
        <v>0.210173548930154</v>
      </c>
      <c r="AM354" s="257">
        <f>IFERROR(IF(COUNT(AM351,AM352,AM353)=3,AM351*AM352*AM353,""),"")</f>
        <v>0.206978109049344</v>
      </c>
      <c r="AN354" s="257">
        <f>IFERROR(IF(COUNT(AN351,AN352,AN353)=3,AN351*AN352*AN353,""),"")</f>
        <v>0.212541600651487</v>
      </c>
      <c r="AO354" s="257">
        <f>IFERROR(IF(COUNT(AO351,AO352,AO353)=3,AO351*AO352*AO353,""),"")</f>
        <v>0.202102431626169</v>
      </c>
      <c r="AP354" s="257">
        <f>IFERROR(IF(COUNT(AP351,AP352,AP353)=3,AP351*AP352*AP353,""),"")</f>
        <v>0.194736098587236</v>
      </c>
      <c r="AQ354" s="258">
        <f>IFERROR(IF(COUNT(AQ351,AQ352,AQ353)=3,AQ351*AQ352*AQ353,""),"")</f>
        <v>0.194736098587236</v>
      </c>
      <c r="AR354" s="257">
        <f>IFERROR(IF(COUNT(AR351,AR352,AR353)=3,AR351*AR352*AR353,""),"")</f>
        <v>0.185194690268047</v>
      </c>
      <c r="AS354" s="257">
        <f>IFERROR(IF(COUNT(AS351,AS352,AS353)=3,AS351*AS352*AS353,""),"")</f>
        <v>0.177056999563225</v>
      </c>
      <c r="AT354" s="257">
        <f>IFERROR(IF(COUNT(AT351,AT352,AT353)=3,AT351*AT352*AT353,""),"")</f>
        <v>0.169657184793309</v>
      </c>
      <c r="AU354" s="257">
        <f>IFERROR(IF(COUNT(AU351,AU352,AU353)=3,AU351*AU352*AU353,""),"")</f>
        <v>0.164354957334048</v>
      </c>
      <c r="AV354" s="258">
        <f>IFERROR(IF(COUNT(AV351,AV352,AV353)=3,AV351*AV352*AV353,""),"")</f>
        <v>0.164354957334048</v>
      </c>
      <c r="AW354" s="257">
        <f>IFERROR(IF(COUNT(AW351,AW352,AW353)=3,AW351*AW352*AW353,""),"")</f>
        <v>0.157387816706255</v>
      </c>
      <c r="AX354" s="257">
        <f>IFERROR(IF(COUNT(AX351,AX352,AX353)=3,AX351*AX352*AX353,""),"")</f>
        <v>0.151353217908296</v>
      </c>
      <c r="AY354" s="257">
        <f>IFERROR(IF(COUNT(AY351,AY352,AY353)=3,AY351*AY352*AY353,""),"")</f>
        <v>0.145790271832215</v>
      </c>
      <c r="AZ354" s="257">
        <f>IFERROR(IF(COUNT(AZ351,AZ352,AZ353)=3,AZ351*AZ352*AZ353,""),"")</f>
        <v>0.141759162635318</v>
      </c>
      <c r="BA354" s="258">
        <f>IFERROR(IF(COUNT(BA351,BA352,BA353)=3,BA351*BA352*BA353,""),"")</f>
        <v>0.141759162635318</v>
      </c>
      <c r="BB354" s="257">
        <f>IFERROR(IF(COUNT(BB351,BB352,BB353)=3,BB351*BB352*BB353,""),"")</f>
        <v>0.136408127764594</v>
      </c>
      <c r="BC354" s="257">
        <f>IFERROR(IF(COUNT(BC351,BC352,BC353)=3,BC351*BC352*BC353,""),"")</f>
        <v>0.131719101364346</v>
      </c>
      <c r="BD354" s="257">
        <f>IFERROR(IF(COUNT(BD351,BD352,BD353)=3,BD351*BD352*BD353,""),"")</f>
        <v>0.127351227765764</v>
      </c>
      <c r="BE354" s="257">
        <f>IFERROR(IF(COUNT(BE351,BE352,BE353)=3,BE351*BE352*BE353,""),"")</f>
        <v>0.124158550484605</v>
      </c>
      <c r="BF354" s="258">
        <f>IFERROR(IF(COUNT(BF351,BF352,BF353)=3,BF351*BF352*BF353,""),"")</f>
        <v>0.124158550484605</v>
      </c>
      <c r="BG354" s="81" t="n"/>
      <c r="BH354" s="81" t="n"/>
      <c r="BI354" s="81" t="n"/>
      <c r="BJ354" s="81" t="n"/>
      <c r="BL354" s="81" t="n"/>
      <c r="BM354" s="81" t="n"/>
      <c r="BN354" s="81" t="n"/>
      <c r="BO354" s="81" t="n"/>
      <c r="BQ354" s="81" t="n"/>
      <c r="BR354" s="81" t="n"/>
      <c r="BS354" s="81" t="n"/>
      <c r="BT354" s="81" t="n"/>
      <c r="BV354" s="81" t="n"/>
      <c r="BW354" s="81" t="n"/>
      <c r="BX354" s="81" t="n"/>
      <c r="BY354" s="81" t="n"/>
      <c r="CA354" s="81" t="n"/>
      <c r="CB354" s="81" t="n"/>
      <c r="CC354" s="81" t="n"/>
      <c r="CD354" s="81" t="n"/>
      <c r="CF354" s="81" t="n"/>
      <c r="CG354" s="81" t="n"/>
      <c r="CH354" s="81" t="n"/>
      <c r="CI354" s="81" t="n"/>
      <c r="CK354" s="81" t="n"/>
      <c r="CL354" s="81" t="n"/>
      <c r="CM354" s="81" t="n"/>
      <c r="CN354" s="81" t="n"/>
      <c r="CP354" s="81" t="n"/>
      <c r="CQ354" s="81" t="n"/>
      <c r="CR354" s="81" t="n"/>
      <c r="CS354" s="81" t="n"/>
      <c r="CU354" s="81" t="n"/>
      <c r="CV354" s="81" t="n"/>
      <c r="CW354" s="81" t="n"/>
      <c r="CX354" s="81" t="n"/>
    </row>
    <row r="355" customFormat="1" s="77">
      <c r="A355" s="76" t="n"/>
      <c r="B355" s="76" t="n"/>
      <c r="C355" s="77" t="inlineStr">
        <is>
          <t>ROE (LTM)</t>
        </is>
      </c>
      <c r="D355" s="84" t="str">
        <f>IFERROR(D124/D258,"")</f>
        <v/>
      </c>
      <c r="E355" s="84" t="str">
        <f>IFERROR(E124/E258,"")</f>
        <v/>
      </c>
      <c r="F355" s="84" t="str">
        <f>IFERROR(F124/F258,"")</f>
        <v/>
      </c>
      <c r="G355" s="84" t="str">
        <f>IFERROR(G124/G258,"")</f>
        <v/>
      </c>
      <c r="H355" s="258" t="str">
        <f>IFERROR(IF(AND(COUNT(H124)=1,N(H258)&lt;&gt;0),(H124)/H258,""),"")</f>
        <v/>
      </c>
      <c r="I355" s="257" t="str">
        <f>""</f>
        <v/>
      </c>
      <c r="J355" s="257" t="str">
        <f>""</f>
        <v/>
      </c>
      <c r="K355" s="257" t="str">
        <f>""</f>
        <v/>
      </c>
      <c r="L355" s="257">
        <f>IFERROR(IF(AND(COUNT(I124,J124,K124,L124)=4,N(L258)&lt;&gt;0),(I124+J124+K124+L124)/L258,""),"")</f>
        <v>0.316880053908356</v>
      </c>
      <c r="M355" s="258">
        <f>IFERROR(IF(AND(COUNT(I124,J124,K124,L124)=4,N(M258)&lt;&gt;0),(I124+J124+K124+L124)/M258,""),"")</f>
        <v>0.316880053908356</v>
      </c>
      <c r="N355" s="257">
        <f>IFERROR(IF(AND(COUNT(J124,K124,L124,N124)=4,N(N258)&lt;&gt;0),(J124+K124+L124+N124)/N258,""),"")</f>
        <v>0.313111648952962</v>
      </c>
      <c r="O355" s="257">
        <f>IFERROR(IF(AND(COUNT(K124,L124,N124,O124)=4,N(O258)&lt;&gt;0),(K124+L124+N124+O124)/O258,""),"")</f>
        <v>0.322408656107888</v>
      </c>
      <c r="P355" s="257">
        <f>IFERROR(IF(AND(COUNT(L124,N124,O124,P124)=4,N(P258)&lt;&gt;0),(L124+N124+O124+P124)/P258,""),"")</f>
        <v>0.350297195068036</v>
      </c>
      <c r="Q355" s="257">
        <f>IFERROR(IF(AND(COUNT(N124,O124,P124,Q124)=4,N(Q258)&lt;&gt;0),(N124+O124+P124+Q124)/Q258,""),"")</f>
        <v>0.381927598432543</v>
      </c>
      <c r="R355" s="258">
        <f>IFERROR(IF(AND(COUNT(N124,O124,P124,Q124)=4,N(R258)&lt;&gt;0),(N124+O124+P124+Q124)/R258,""),"")</f>
        <v>0.381927598432543</v>
      </c>
      <c r="S355" s="257">
        <f>IFERROR(IF(AND(COUNT(O124,P124,Q124,S124)=4,N(S258)&lt;&gt;0),(O124+P124+Q124+S124)/S258,""),"")</f>
        <v>0.397715657081908</v>
      </c>
      <c r="T355" s="257">
        <f>IFERROR(IF(AND(COUNT(P124,Q124,S124,T124)=4,N(T258)&lt;&gt;0),(P124+Q124+S124+T124)/T258,""),"")</f>
        <v>0.433785418106427</v>
      </c>
      <c r="U355" s="257">
        <f>IFERROR(IF(AND(COUNT(Q124,S124,T124,U124)=4,N(U258)&lt;&gt;0),(Q124+S124+T124+U124)/U258,""),"")</f>
        <v>0.464497852508453</v>
      </c>
      <c r="V355" s="257">
        <f>IFERROR(IF(AND(COUNT(S124,T124,U124,V124)=4,N(V258)&lt;&gt;0),(S124+T124+U124+V124)/V258,""),"")</f>
        <v>0.448983272464944</v>
      </c>
      <c r="W355" s="258">
        <f>IFERROR(IF(AND(COUNT(S124,T124,U124,V124)=4,N(W258)&lt;&gt;0),(S124+T124+U124+V124)/W258,""),"")</f>
        <v>0.448983272464944</v>
      </c>
      <c r="X355" s="257">
        <f>IFERROR(IF(AND(COUNT(T124,U124,V124,X124)=4,N(X258)&lt;&gt;0),(T124+U124+V124+X124)/X258,""),"")</f>
        <v>0.415518300710963</v>
      </c>
      <c r="Y355" s="257">
        <f>IFERROR(IF(AND(COUNT(U124,V124,X124,Y124)=4,N(Y258)&lt;&gt;0),(U124+V124+X124+Y124)/Y258,""),"")</f>
        <v>0.355263726294872</v>
      </c>
      <c r="Z355" s="257">
        <f>IFERROR(IF(AND(COUNT(V124,X124,Y124,Z124)=4,N(Z258)&lt;&gt;0),(V124+X124+Y124+Z124)/Z258,""),"")</f>
        <v>0.309705561613959</v>
      </c>
      <c r="AA355" s="257">
        <f>IFERROR(IF(AND(COUNT(X124,Y124,Z124,AA124)=4,N(AA258)&lt;&gt;0),(X124+Y124+Z124+AA124)/AA258,""),"")</f>
        <v>0.275571707144123</v>
      </c>
      <c r="AB355" s="258">
        <f>IFERROR(IF(AND(COUNT(X124,Y124,Z124,AA124)=4,N(AB258)&lt;&gt;0),(X124+Y124+Z124+AA124)/AB258,""),"")</f>
        <v>0.275571707144123</v>
      </c>
      <c r="AC355" s="257">
        <f>IFERROR(IF(AND(COUNT(Y124,Z124,AA124,AC124)=4,N(AC258)&lt;&gt;0),(Y124+Z124+AA124+AC124)/AC258,""),"")</f>
        <v>0.231848387890721</v>
      </c>
      <c r="AD355" s="257">
        <f>IFERROR(IF(AND(COUNT(Z124,AA124,AC124,AD124)=4,N(AD258)&lt;&gt;0),(Z124+AA124+AC124+AD124)/AD258,""),"")</f>
        <v>0.206103546548448</v>
      </c>
      <c r="AE355" s="257">
        <f>IFERROR(IF(AND(COUNT(AA124,AC124,AD124,AE124)=4,N(AE258)&lt;&gt;0),(AA124+AC124+AD124+AE124)/AE258,""),"")</f>
        <v>0.19329411312339</v>
      </c>
      <c r="AF355" s="257">
        <f>IFERROR(IF(AND(COUNT(AB124,AD124,AE124,AF124)=4,N(AF258)&lt;&gt;0),(AB124+AD124+AE124+AF124)/AF258,""),"")</f>
        <v>0.350115718784384</v>
      </c>
      <c r="AG355" s="258">
        <f>IFERROR(IF(AND(COUNT(AC124,AD124,AE124,AF124)=4,N(AG258)&lt;&gt;0),(AC124+AD124+AE124+AF124)/AG258,""),"")</f>
        <v>0.182645976400956</v>
      </c>
      <c r="AH355" s="257">
        <f>IFERROR(IF(AND(COUNT(AD124,AF124,AG124,AH124)=4,N(AH258)&lt;&gt;0),(AD124+AF124+AG124+AH124)/AH258,""),"")</f>
        <v>0.310706482155863</v>
      </c>
      <c r="AI355" s="257">
        <f>IFERROR(IF(AND(COUNT(AE124,AG124,AH124,AI124)=4,N(AI258)&lt;&gt;0),(AE124+AG124+AH124+AI124)/AI258,""),"")</f>
        <v>0.322064120395136</v>
      </c>
      <c r="AJ355" s="257">
        <f>IFERROR(IF(AND(COUNT(AF124,AH124,AI124,AJ124)=4,N(AJ258)&lt;&gt;0),(AF124+AH124+AI124+AJ124)/AJ258,""),"")</f>
        <v>0.192125157048153</v>
      </c>
      <c r="AK355" s="257">
        <f>IFERROR(IF(AND(COUNT(AH124,AI124,AJ124,AK124)=4,N(AK258)&lt;&gt;0),(AH124+AI124+AJ124+AK124)/AK258,""),"")</f>
        <v>0.210173548930154</v>
      </c>
      <c r="AL355" s="258">
        <f>IFERROR(IF(AND(COUNT(AH124,AI124,AJ124,AK124)=4,N(AL258)&lt;&gt;0),(AH124+AI124+AJ124+AK124)/AL258,""),"")</f>
        <v>0.210173548930154</v>
      </c>
      <c r="AM355" s="257">
        <f>IFERROR(IF(AND(COUNT(AI124,AJ124,AK124,AM124)=4,N(AM258)&lt;&gt;0),(AI124+AJ124+AK124+AM124)/AM258,""),"")</f>
        <v>0.206978109049344</v>
      </c>
      <c r="AN355" s="257">
        <f>IFERROR(IF(AND(COUNT(AJ124,AK124,AM124,AN124)=4,N(AN258)&lt;&gt;0),(AJ124+AK124+AM124+AN124)/AN258,""),"")</f>
        <v>0.212541600651487</v>
      </c>
      <c r="AO355" s="257">
        <f>IFERROR(IF(AND(COUNT(AK124,AM124,AN124,AO124)=4,N(AO258)&lt;&gt;0),(AK124+AM124+AN124+AO124)/AO258,""),"")</f>
        <v>0.202102431626169</v>
      </c>
      <c r="AP355" s="257">
        <f>IFERROR(IF(AND(COUNT(AM124,AN124,AO124,AP124)=4,N(AP258)&lt;&gt;0),(AM124+AN124+AO124+AP124)/AP258,""),"")</f>
        <v>0.194736098587236</v>
      </c>
      <c r="AQ355" s="258">
        <f>IFERROR(IF(AND(COUNT(AM124,AN124,AO124,AP124)=4,N(AQ258)&lt;&gt;0),(AM124+AN124+AO124+AP124)/AQ258,""),"")</f>
        <v>0.194736098587236</v>
      </c>
      <c r="AR355" s="257">
        <f>IFERROR(IF(AND(COUNT(AN124,AO124,AP124,AR124)=4,N(AR258)&lt;&gt;0),(AN124+AO124+AP124+AR124)/AR258,""),"")</f>
        <v>0.185194690268047</v>
      </c>
      <c r="AS355" s="257">
        <f>IFERROR(IF(AND(COUNT(AO124,AP124,AR124,AS124)=4,N(AS258)&lt;&gt;0),(AO124+AP124+AR124+AS124)/AS258,""),"")</f>
        <v>0.177056999563225</v>
      </c>
      <c r="AT355" s="257">
        <f>IFERROR(IF(AND(COUNT(AP124,AR124,AS124,AT124)=4,N(AT258)&lt;&gt;0),(AP124+AR124+AS124+AT124)/AT258,""),"")</f>
        <v>0.169657184793309</v>
      </c>
      <c r="AU355" s="257">
        <f>IFERROR(IF(AND(COUNT(AR124,AS124,AT124,AU124)=4,N(AU258)&lt;&gt;0),(AR124+AS124+AT124+AU124)/AU258,""),"")</f>
        <v>0.164354957334048</v>
      </c>
      <c r="AV355" s="258">
        <f>IFERROR(IF(AND(COUNT(AR124,AS124,AT124,AU124)=4,N(AV258)&lt;&gt;0),(AR124+AS124+AT124+AU124)/AV258,""),"")</f>
        <v>0.164354957334048</v>
      </c>
      <c r="AW355" s="257">
        <f>IFERROR(IF(AND(COUNT(AS124,AT124,AU124,AW124)=4,N(AW258)&lt;&gt;0),(AS124+AT124+AU124+AW124)/AW258,""),"")</f>
        <v>0.157387816706255</v>
      </c>
      <c r="AX355" s="257">
        <f>IFERROR(IF(AND(COUNT(AT124,AU124,AW124,AX124)=4,N(AX258)&lt;&gt;0),(AT124+AU124+AW124+AX124)/AX258,""),"")</f>
        <v>0.151353217908296</v>
      </c>
      <c r="AY355" s="257">
        <f>IFERROR(IF(AND(COUNT(AU124,AW124,AX124,AY124)=4,N(AY258)&lt;&gt;0),(AU124+AW124+AX124+AY124)/AY258,""),"")</f>
        <v>0.145790271832215</v>
      </c>
      <c r="AZ355" s="257">
        <f>IFERROR(IF(AND(COUNT(AW124,AX124,AY124,AZ124)=4,N(AZ258)&lt;&gt;0),(AW124+AX124+AY124+AZ124)/AZ258,""),"")</f>
        <v>0.141759162635318</v>
      </c>
      <c r="BA355" s="258">
        <f>IFERROR(IF(AND(COUNT(AW124,AX124,AY124,AZ124)=4,N(BA258)&lt;&gt;0),(AW124+AX124+AY124+AZ124)/BA258,""),"")</f>
        <v>0.141759162635318</v>
      </c>
      <c r="BB355" s="257">
        <f>IFERROR(IF(AND(COUNT(AX124,AY124,AZ124,BB124)=4,N(BB258)&lt;&gt;0),(AX124+AY124+AZ124+BB124)/BB258,""),"")</f>
        <v>0.136408127764594</v>
      </c>
      <c r="BC355" s="257">
        <f>IFERROR(IF(AND(COUNT(AY124,AZ124,BB124,BC124)=4,N(BC258)&lt;&gt;0),(AY124+AZ124+BB124+BC124)/BC258,""),"")</f>
        <v>0.131719101364346</v>
      </c>
      <c r="BD355" s="257">
        <f>IFERROR(IF(AND(COUNT(AZ124,BB124,BC124,BD124)=4,N(BD258)&lt;&gt;0),(AZ124+BB124+BC124+BD124)/BD258,""),"")</f>
        <v>0.127351227765764</v>
      </c>
      <c r="BE355" s="257">
        <f>IFERROR(IF(AND(COUNT(BB124,BC124,BD124,BE124)=4,N(BE258)&lt;&gt;0),(BB124+BC124+BD124+BE124)/BE258,""),"")</f>
        <v>0.124158550484605</v>
      </c>
      <c r="BF355" s="258">
        <f>IFERROR(IF(AND(COUNT(BB124,BC124,BD124,BE124)=4,N(BF258)&lt;&gt;0),(BB124+BC124+BD124+BE124)/BF258,""),"")</f>
        <v>0.124158550484605</v>
      </c>
      <c r="BG355" s="81" t="n"/>
      <c r="BH355" s="81" t="n"/>
      <c r="BI355" s="81" t="n"/>
      <c r="BJ355" s="81" t="n"/>
      <c r="BL355" s="81" t="n"/>
      <c r="BM355" s="81" t="n"/>
      <c r="BN355" s="81" t="n"/>
      <c r="BO355" s="81" t="n"/>
      <c r="BQ355" s="81" t="n"/>
      <c r="BR355" s="81" t="n"/>
      <c r="BS355" s="81" t="n"/>
      <c r="BT355" s="81" t="n"/>
      <c r="BV355" s="81" t="n"/>
      <c r="BW355" s="81" t="n"/>
      <c r="BX355" s="81" t="n"/>
      <c r="BY355" s="81" t="n"/>
      <c r="CA355" s="81" t="n"/>
      <c r="CB355" s="81" t="n"/>
      <c r="CC355" s="81" t="n"/>
      <c r="CD355" s="81" t="n"/>
      <c r="CF355" s="81" t="n"/>
      <c r="CG355" s="81" t="n"/>
      <c r="CH355" s="81" t="n"/>
      <c r="CI355" s="81" t="n"/>
      <c r="CK355" s="81" t="n"/>
      <c r="CL355" s="81" t="n"/>
      <c r="CM355" s="81" t="n"/>
      <c r="CN355" s="81" t="n"/>
      <c r="CP355" s="81" t="n"/>
      <c r="CQ355" s="81" t="n"/>
      <c r="CR355" s="81" t="n"/>
      <c r="CS355" s="81" t="n"/>
      <c r="CU355" s="81" t="n"/>
      <c r="CV355" s="81" t="n"/>
      <c r="CW355" s="81" t="n"/>
      <c r="CX355" s="81" t="n"/>
    </row>
    <row r="356"/>
    <row r="357">
      <c r="C357" s="73" t="inlineStr">
        <is>
          <t>Scenario Analysis</t>
        </is>
      </c>
      <c r="D357" s="73" t="n"/>
      <c r="E357" s="73" t="n"/>
      <c r="F357" s="73" t="n"/>
      <c r="G357" s="73" t="n"/>
      <c r="H357" s="73" t="n"/>
      <c r="I357" s="73" t="n"/>
      <c r="J357" s="73" t="n"/>
      <c r="K357" s="73" t="n"/>
      <c r="L357" s="73" t="n"/>
      <c r="M357" s="73" t="n"/>
      <c r="N357" s="73" t="n"/>
      <c r="O357" s="73" t="n"/>
      <c r="P357" s="73" t="n"/>
      <c r="Q357" s="73" t="n"/>
      <c r="R357" s="73" t="n"/>
      <c r="S357" s="73" t="n"/>
      <c r="T357" s="73" t="n"/>
      <c r="U357" s="73" t="n"/>
      <c r="V357" s="73" t="n"/>
      <c r="W357" s="73" t="n"/>
      <c r="X357" s="73" t="n"/>
      <c r="Y357" s="73" t="n"/>
      <c r="Z357" s="73" t="n"/>
      <c r="AA357" s="73" t="n"/>
      <c r="AB357" s="73" t="n"/>
      <c r="AC357" s="73" t="n"/>
      <c r="AD357" s="73" t="n"/>
      <c r="AE357" s="73" t="n"/>
      <c r="AF357" s="73" t="n"/>
      <c r="AG357" s="73" t="n"/>
      <c r="AH357" s="73" t="n"/>
      <c r="AI357" s="73" t="n"/>
      <c r="AJ357" s="73" t="n"/>
      <c r="AK357" s="73" t="n"/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73" t="n"/>
      <c r="BR357" s="73" t="n"/>
      <c r="BS357" s="73" t="n"/>
      <c r="BT357" s="73" t="n"/>
      <c r="BU357" s="73" t="n"/>
      <c r="BV357" s="73" t="n"/>
      <c r="BW357" s="73" t="n"/>
      <c r="BX357" s="73" t="n"/>
      <c r="BY357" s="73" t="n"/>
      <c r="BZ357" s="73" t="n"/>
      <c r="CA357" s="73" t="n"/>
      <c r="CB357" s="73" t="n"/>
      <c r="CC357" s="73" t="n"/>
      <c r="CD357" s="73" t="n"/>
      <c r="CE357" s="73" t="n"/>
      <c r="CF357" s="73" t="n"/>
      <c r="CG357" s="73" t="n"/>
      <c r="CH357" s="73" t="n"/>
      <c r="CI357" s="73" t="n"/>
      <c r="CJ357" s="73" t="n"/>
      <c r="CK357" s="73" t="n"/>
      <c r="CL357" s="73" t="n"/>
      <c r="CM357" s="73" t="n"/>
      <c r="CN357" s="73" t="n"/>
      <c r="CO357" s="73" t="n"/>
      <c r="CP357" s="73" t="n"/>
      <c r="CQ357" s="73" t="n"/>
      <c r="CR357" s="73" t="n"/>
      <c r="CS357" s="73" t="n"/>
      <c r="CT357" s="73" t="n"/>
      <c r="CU357" s="73" t="n"/>
      <c r="CV357" s="73" t="n"/>
      <c r="CW357" s="73" t="n"/>
      <c r="CX357" s="73" t="n"/>
      <c r="CY357" s="73" t="n"/>
    </row>
    <row r="358"/>
    <row r="359"/>
    <row r="360">
      <c r="C360" s="4" t="inlineStr">
        <is>
          <t>Bull case</t>
        </is>
      </c>
    </row>
    <row r="361">
      <c r="C361" s="4" t="inlineStr">
        <is>
          <t>Base case</t>
        </is>
      </c>
    </row>
    <row r="362">
      <c r="C362" s="4" t="inlineStr">
        <is>
          <t>Bear case</t>
        </is>
      </c>
    </row>
    <row r="363"/>
    <row r="364"/>
    <row r="365">
      <c r="C365" s="4" t="inlineStr">
        <is>
          <t>Bull case</t>
        </is>
      </c>
    </row>
    <row r="366">
      <c r="C366" s="4" t="inlineStr">
        <is>
          <t>Base case</t>
        </is>
      </c>
    </row>
    <row r="367">
      <c r="C367" s="4" t="inlineStr">
        <is>
          <t>Bear case</t>
        </is>
      </c>
    </row>
    <row r="368"/>
    <row r="369"/>
    <row r="370">
      <c r="C370" s="4" t="inlineStr">
        <is>
          <t>% Gross Margin</t>
        </is>
      </c>
    </row>
    <row r="371">
      <c r="C371" s="4" t="inlineStr">
        <is>
          <t>Bull case</t>
        </is>
      </c>
    </row>
    <row r="372">
      <c r="C372" s="4" t="inlineStr">
        <is>
          <t>Base case</t>
        </is>
      </c>
    </row>
    <row r="373">
      <c r="C373" s="4" t="inlineStr">
        <is>
          <t>Bear case</t>
        </is>
      </c>
    </row>
    <row r="374"/>
    <row r="375"/>
    <row r="376">
      <c r="C376" s="4" t="inlineStr">
        <is>
          <t>Capital expenditures</t>
        </is>
      </c>
    </row>
    <row r="377">
      <c r="C377" s="4" t="inlineStr">
        <is>
          <t>Bull case</t>
        </is>
      </c>
    </row>
    <row r="378">
      <c r="C378" s="4" t="inlineStr">
        <is>
          <t>Base case</t>
        </is>
      </c>
    </row>
    <row r="379">
      <c r="C379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2:G302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2:L302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2:Q302">
    <cfRule type="cellIs" priority="22" operator="notEqual" dxfId="0">
      <formula>0</formula>
    </cfRule>
  </conditionalFormatting>
  <conditionalFormatting sqref="S302:V302">
    <cfRule type="cellIs" priority="21" operator="notEqual" dxfId="0">
      <formula>0</formula>
    </cfRule>
  </conditionalFormatting>
  <conditionalFormatting sqref="X302:AA302">
    <cfRule type="cellIs" priority="20" operator="notEqual" dxfId="0">
      <formula>0</formula>
    </cfRule>
  </conditionalFormatting>
  <conditionalFormatting sqref="AC302:AF302">
    <cfRule type="cellIs" priority="19" operator="notEqual" dxfId="0">
      <formula>0</formula>
    </cfRule>
  </conditionalFormatting>
  <conditionalFormatting sqref="AH302:AK302">
    <cfRule type="cellIs" priority="15" operator="notEqual" dxfId="0">
      <formula>0</formula>
    </cfRule>
  </conditionalFormatting>
  <conditionalFormatting sqref="AM302:AP302">
    <cfRule type="cellIs" priority="14" operator="notEqual" dxfId="0">
      <formula>0</formula>
    </cfRule>
  </conditionalFormatting>
  <conditionalFormatting sqref="AR302:AU302">
    <cfRule type="cellIs" priority="13" operator="notEqual" dxfId="0">
      <formula>0</formula>
    </cfRule>
  </conditionalFormatting>
  <conditionalFormatting sqref="AW302:AZ302">
    <cfRule type="cellIs" priority="12" operator="notEqual" dxfId="0">
      <formula>0</formula>
    </cfRule>
  </conditionalFormatting>
  <conditionalFormatting sqref="BB302:BE302">
    <cfRule type="cellIs" priority="11" operator="notEqual" dxfId="0">
      <formula>0</formula>
    </cfRule>
  </conditionalFormatting>
  <conditionalFormatting sqref="BG302:BJ302">
    <cfRule type="cellIs" priority="10" operator="notEqual" dxfId="0">
      <formula>0</formula>
    </cfRule>
  </conditionalFormatting>
  <conditionalFormatting sqref="BL302:BO302">
    <cfRule type="cellIs" priority="9" operator="notEqual" dxfId="0">
      <formula>0</formula>
    </cfRule>
  </conditionalFormatting>
  <conditionalFormatting sqref="BQ302:BT302">
    <cfRule type="cellIs" priority="8" operator="notEqual" dxfId="0">
      <formula>0</formula>
    </cfRule>
  </conditionalFormatting>
  <conditionalFormatting sqref="BV302:BY302">
    <cfRule type="cellIs" priority="7" operator="notEqual" dxfId="0">
      <formula>0</formula>
    </cfRule>
  </conditionalFormatting>
  <conditionalFormatting sqref="CA302:CD302">
    <cfRule type="cellIs" priority="6" operator="notEqual" dxfId="0">
      <formula>0</formula>
    </cfRule>
  </conditionalFormatting>
  <conditionalFormatting sqref="CF302:CI302">
    <cfRule type="cellIs" priority="5" operator="notEqual" dxfId="0">
      <formula>0</formula>
    </cfRule>
  </conditionalFormatting>
  <conditionalFormatting sqref="CK302:CN302">
    <cfRule type="cellIs" priority="4" operator="notEqual" dxfId="0">
      <formula>0</formula>
    </cfRule>
  </conditionalFormatting>
  <conditionalFormatting sqref="CP302:CS302">
    <cfRule type="cellIs" priority="3" operator="notEqual" dxfId="0">
      <formula>0</formula>
    </cfRule>
  </conditionalFormatting>
  <conditionalFormatting sqref="CU302:CX302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DE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60785</v>
      </c>
      <c r="E18" s="113">
        <f>IFERROR(Model!AB15,"")</f>
        <v>48039</v>
      </c>
      <c r="F18" s="113">
        <f>IFERROR(Model!AG15,"")</f>
        <v>46786</v>
      </c>
      <c r="G18" s="113">
        <f>IFERROR(Model!AL15,"")</f>
        <v>48311.7233326323</v>
      </c>
      <c r="H18" s="113">
        <f>IFERROR(Model!AQ15,"")</f>
        <v>49035.6271009779</v>
      </c>
      <c r="I18" s="113">
        <f>IFERROR(Model!AV15,"")</f>
        <v>49525.1997214579</v>
      </c>
      <c r="J18" s="113">
        <f>IFERROR(Model!BA15,"")</f>
        <v>49772.0342455539</v>
      </c>
      <c r="K18" s="113">
        <f>IFERROR(Model!BF15,"")</f>
        <v>49772.0342455539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-0.209689890598009</v>
      </c>
      <c r="F19" s="117">
        <f>IFERROR(IF(E18=0,"",F18/E18-1),"")</f>
        <v>-0.0260829742500884</v>
      </c>
      <c r="G19" s="117">
        <f>IFERROR(IF(F18=0,"",G18/F18-1),"")</f>
        <v>0.0326106812429419</v>
      </c>
      <c r="H19" s="117">
        <f>IFERROR(IF(G18=0,"",H18/G18-1),"")</f>
        <v>0.0149840187517514</v>
      </c>
      <c r="I19" s="117">
        <f>IFERROR(IF(H18=0,"",I18/H18-1),"")</f>
        <v>0.00998401875175103</v>
      </c>
      <c r="J19" s="117">
        <f>IFERROR(IF(I18=0,"",J18/I18-1),"")</f>
        <v>0.00498401875175114</v>
      </c>
      <c r="K19" s="117">
        <f>IFERROR(IF(J18=0,"",K18/J18-1),"")</f>
        <v>0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IFERROR(Model!W56,"")</f>
        <v>12470</v>
      </c>
      <c r="E20" s="113">
        <f>IFERROR(Model!AB56,"")</f>
        <v>2147</v>
      </c>
      <c r="F20" s="113">
        <f>IFERROR(Model!AG56,"")</f>
        <v>2270</v>
      </c>
      <c r="G20" s="113">
        <f>IFERROR(Model!AL56,"")</f>
        <v>2273.99686159958</v>
      </c>
      <c r="H20" s="113">
        <f>IFERROR(Model!AQ56,"")</f>
        <v>2364.53416985741</v>
      </c>
      <c r="I20" s="113">
        <f>IFERROR(Model!AV56,"")</f>
        <v>2388.14172334842</v>
      </c>
      <c r="J20" s="113">
        <f>IFERROR(Model!BA56,"")</f>
        <v>2400.04426647943</v>
      </c>
      <c r="K20" s="113">
        <f>IFERROR(Model!BF56,"")</f>
        <v>2400.04426647943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0.205149296701489</v>
      </c>
      <c r="E21" s="122">
        <f>IFERROR(IF(E18=0,"",E20/E18),"")</f>
        <v>0.0446928537230167</v>
      </c>
      <c r="F21" s="122">
        <f>IFERROR(IF(F18=0,"",F20/F18),"")</f>
        <v>0.0485187876715257</v>
      </c>
      <c r="G21" s="122">
        <f>IFERROR(IF(G18=0,"",G20/G18),"")</f>
        <v>0.0470692557568859</v>
      </c>
      <c r="H21" s="122">
        <f>IFERROR(IF(H18=0,"",H20/H18),"")</f>
        <v>0.0482207388719264</v>
      </c>
      <c r="I21" s="122">
        <f>IFERROR(IF(I18=0,"",I20/I18),"")</f>
        <v>0.0482207388719264</v>
      </c>
      <c r="J21" s="122">
        <f>IFERROR(IF(J18=0,"",J20/J18),"")</f>
        <v>0.0482207388719264</v>
      </c>
      <c r="K21" s="122">
        <f>IFERROR(IF(K18=0,"",K20/K18),"")</f>
        <v>0.0482207388719264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IFERROR(Model!W60,"")</f>
        <v>10440</v>
      </c>
      <c r="E22" s="113">
        <f>IFERROR(Model!AB60,"")</f>
        <v>0</v>
      </c>
      <c r="F22" s="113">
        <f>IFERROR(Model!AG60,"")</f>
        <v>0</v>
      </c>
      <c r="G22" s="113">
        <f>IFERROR(Model!AL60,"")</f>
        <v>0</v>
      </c>
      <c r="H22" s="113">
        <f>IFERROR(Model!AQ60,"")</f>
        <v>0</v>
      </c>
      <c r="I22" s="113">
        <f>IFERROR(Model!AV60,"")</f>
        <v>0</v>
      </c>
      <c r="J22" s="113">
        <f>IFERROR(Model!BA60,"")</f>
        <v>0</v>
      </c>
      <c r="K22" s="113">
        <f>IFERROR(Model!BF60,"")</f>
        <v>0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0.171752899564037</v>
      </c>
      <c r="E23" s="122">
        <f>IFERROR(IF(E18=0,"",E22/E18),"")</f>
        <v>0</v>
      </c>
      <c r="F23" s="122">
        <f>IFERROR(IF(F18=0,"",F22/F18),"")</f>
        <v>0</v>
      </c>
      <c r="G23" s="122">
        <f>IFERROR(IF(G18=0,"",G22/G18),"")</f>
        <v>0</v>
      </c>
      <c r="H23" s="122">
        <f>IFERROR(IF(H18=0,"",H22/H18),"")</f>
        <v>0</v>
      </c>
      <c r="I23" s="122">
        <f>IFERROR(IF(I18=0,"",I22/I18),"")</f>
        <v>0</v>
      </c>
      <c r="J23" s="122">
        <f>IFERROR(IF(J18=0,"",J22/J18),"")</f>
        <v>0</v>
      </c>
      <c r="K23" s="122">
        <f>IFERROR(IF(K18=0,"",K22/K18),"")</f>
        <v>0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IFERROR(Model!W119,"")</f>
        <v>0.219981164652331</v>
      </c>
      <c r="E24" s="125">
        <f>IFERROR(Model!AB119,"")</f>
        <v>0.20948516358103</v>
      </c>
      <c r="F24" s="125">
        <f>IFERROR(Model!AG119,"")</f>
        <v>0.230396902226525</v>
      </c>
      <c r="G24" s="125">
        <f>IFERROR(Model!AL119,"")</f>
        <v>0.244488383700891</v>
      </c>
      <c r="H24" s="125">
        <f>IFERROR(Model!AQ119,"")</f>
        <v>0.238728710702303</v>
      </c>
      <c r="I24" s="125">
        <f>IFERROR(Model!AV119,"")</f>
        <v>0.238728710702303</v>
      </c>
      <c r="J24" s="125">
        <f>IFERROR(Model!BA119,"")</f>
        <v>0.238728710702303</v>
      </c>
      <c r="K24" s="125">
        <f>IFERROR(Model!BF119,"")</f>
        <v>0.238728710702303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8143.39664102967</v>
      </c>
      <c r="E25" s="127">
        <f>IFERROR(E22*(1-E24),"")</f>
        <v>0</v>
      </c>
      <c r="F25" s="127">
        <f>IFERROR(F22*(1-F24),"")</f>
        <v>0</v>
      </c>
      <c r="G25" s="127">
        <f>IFERROR(G22*(1-G24),"")</f>
        <v>0</v>
      </c>
      <c r="H25" s="127">
        <f>IFERROR(H22*(1-H24),"")</f>
        <v>0</v>
      </c>
      <c r="I25" s="127">
        <f>IFERROR(I22*(1-I24),"")</f>
        <v>0</v>
      </c>
      <c r="J25" s="127">
        <f>IFERROR(J22*(1-J24),"")</f>
        <v>0</v>
      </c>
      <c r="K25" s="127">
        <f>IFERROR(K22*(1-K24),"")</f>
        <v>0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IFERROR(-Model!W57,"")</f>
        <v>2030</v>
      </c>
      <c r="E26" s="130">
        <f>IFERROR(-Model!AB57,"")</f>
        <v>2147</v>
      </c>
      <c r="F26" s="130">
        <f>IFERROR(-Model!AG57,"")</f>
        <v>2270</v>
      </c>
      <c r="G26" s="130">
        <f>IFERROR(-Model!AL57,"")</f>
        <v>2273.99686159958</v>
      </c>
      <c r="H26" s="130">
        <f>IFERROR(-Model!AQ57,"")</f>
        <v>2364.53416985741</v>
      </c>
      <c r="I26" s="130">
        <f>IFERROR(-Model!AV57,"")</f>
        <v>2388.14172334842</v>
      </c>
      <c r="J26" s="130">
        <f>IFERROR(-Model!BA57,"")</f>
        <v>2400.04426647943</v>
      </c>
      <c r="K26" s="130">
        <f>IFERROR(-Model!BF57,"")</f>
        <v>2400.04426647943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IFERROR(Model!W266,"")</f>
        <v>5499</v>
      </c>
      <c r="E27" s="133">
        <f>IFERROR(Model!AB266,"")</f>
        <v>4661</v>
      </c>
      <c r="F27" s="133">
        <f>IFERROR(Model!AG266,"")</f>
        <v>-5887</v>
      </c>
      <c r="G27" s="133">
        <f>IFERROR(Model!AL266,"")</f>
        <v>6364</v>
      </c>
      <c r="H27" s="133">
        <f>IFERROR(Model!AQ266,"")</f>
        <v>0</v>
      </c>
      <c r="I27" s="133">
        <f>IFERROR(Model!AV266,"")</f>
        <v>0</v>
      </c>
      <c r="J27" s="133">
        <f>IFERROR(Model!BA266,"")</f>
        <v>0</v>
      </c>
      <c r="K27" s="133">
        <f>IFERROR(Model!BF266,"")</f>
        <v>0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IFERROR(Model!W267,"")</f>
        <v>0</v>
      </c>
      <c r="E28" s="136">
        <f>IFERROR(Model!AB267,"")</f>
        <v>0</v>
      </c>
      <c r="F28" s="136">
        <f>IFERROR(Model!AG267,"")</f>
        <v>0</v>
      </c>
      <c r="G28" s="136">
        <f>IFERROR(Model!AL267,"")</f>
        <v>0</v>
      </c>
      <c r="H28" s="136">
        <f>IFERROR(Model!AQ267,"")</f>
        <v>0</v>
      </c>
      <c r="I28" s="136">
        <f>IFERROR(Model!AV267,"")</f>
        <v>0</v>
      </c>
      <c r="J28" s="136">
        <f>IFERROR(Model!BA267,"")</f>
        <v>0</v>
      </c>
      <c r="K28" s="136">
        <f>IFERROR(Model!BF267,"")</f>
        <v>0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IFERROR(Model!W268,"")</f>
        <v>1119</v>
      </c>
      <c r="E29" s="136">
        <f>IFERROR(Model!AB268,"")</f>
        <v>1193</v>
      </c>
      <c r="F29" s="136">
        <f>IFERROR(Model!AG268,"")</f>
        <v>-542</v>
      </c>
      <c r="G29" s="136">
        <f>IFERROR(Model!AL268,"")</f>
        <v>8286</v>
      </c>
      <c r="H29" s="136">
        <f>IFERROR(Model!AQ268,"")</f>
        <v>0</v>
      </c>
      <c r="I29" s="136">
        <f>IFERROR(Model!AV268,"")</f>
        <v>0</v>
      </c>
      <c r="J29" s="136">
        <f>IFERROR(Model!BA268,"")</f>
        <v>0</v>
      </c>
      <c r="K29" s="136">
        <f>IFERROR(Model!BF268,"")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IFERROR(Model!W269,"")</f>
        <v>-919</v>
      </c>
      <c r="E30" s="136">
        <f>IFERROR(Model!AB269,"")</f>
        <v>-19</v>
      </c>
      <c r="F30" s="136">
        <f>IFERROR(Model!AG269,"")</f>
        <v>-416</v>
      </c>
      <c r="G30" s="136">
        <f>IFERROR(Model!AL269,"")</f>
        <v>-75</v>
      </c>
      <c r="H30" s="136">
        <f>IFERROR(Model!AQ269,"")</f>
        <v>0</v>
      </c>
      <c r="I30" s="136">
        <f>IFERROR(Model!AV269,"")</f>
        <v>0</v>
      </c>
      <c r="J30" s="136">
        <f>IFERROR(Model!BA269,"")</f>
        <v>0</v>
      </c>
      <c r="K30" s="136">
        <f>IFERROR(Model!BF269,"")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IFERROR(Model!W270,"")</f>
        <v>0</v>
      </c>
      <c r="E31" s="136">
        <f>IFERROR(Model!AB270,"")</f>
        <v>0</v>
      </c>
      <c r="F31" s="136">
        <f>IFERROR(Model!AG270,"")</f>
        <v>0</v>
      </c>
      <c r="G31" s="136">
        <f>IFERROR(Model!AL270,"")</f>
        <v>0</v>
      </c>
      <c r="H31" s="136">
        <f>IFERROR(Model!AQ270,"")</f>
        <v>0</v>
      </c>
      <c r="I31" s="136">
        <f>IFERROR(Model!AV270,"")</f>
        <v>0</v>
      </c>
      <c r="J31" s="136">
        <f>IFERROR(Model!BA270,"")</f>
        <v>0</v>
      </c>
      <c r="K31" s="136">
        <f>IFERROR(Model!BF270,"")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IFERROR(Model!W271,"")</f>
        <v>-721</v>
      </c>
      <c r="E32" s="136">
        <f>IFERROR(Model!AB271,"")</f>
        <v>-2182</v>
      </c>
      <c r="F32" s="136">
        <f>IFERROR(Model!AG271,"")</f>
        <v>128</v>
      </c>
      <c r="G32" s="136">
        <f>IFERROR(Model!AL271,"")</f>
        <v>-1611</v>
      </c>
      <c r="H32" s="136">
        <f>IFERROR(Model!AQ271,"")</f>
        <v>0</v>
      </c>
      <c r="I32" s="136">
        <f>IFERROR(Model!AV271,"")</f>
        <v>0</v>
      </c>
      <c r="J32" s="136">
        <f>IFERROR(Model!BA271,"")</f>
        <v>0</v>
      </c>
      <c r="K32" s="136">
        <f>IFERROR(Model!BF271,"")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IFERROR(Model!W272,"")</f>
        <v>0</v>
      </c>
      <c r="E33" s="136">
        <f>IFERROR(Model!AB272,"")</f>
        <v>0</v>
      </c>
      <c r="F33" s="136">
        <f>IFERROR(Model!AG272,"")</f>
        <v>0</v>
      </c>
      <c r="G33" s="136">
        <f>IFERROR(Model!AL272,"")</f>
        <v>0</v>
      </c>
      <c r="H33" s="136">
        <f>IFERROR(Model!AQ272,"")</f>
        <v>0</v>
      </c>
      <c r="I33" s="136">
        <f>IFERROR(Model!AV272,"")</f>
        <v>0</v>
      </c>
      <c r="J33" s="136">
        <f>IFERROR(Model!BA272,"")</f>
        <v>0</v>
      </c>
      <c r="K33" s="136">
        <f>IFERROR(Model!BF272,"")</f>
        <v>0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IFERROR(Model!W273,"")</f>
        <v>0</v>
      </c>
      <c r="E34" s="136">
        <f>IFERROR(Model!AB273,"")</f>
        <v>0</v>
      </c>
      <c r="F34" s="136">
        <f>IFERROR(Model!AG273,"")</f>
        <v>0</v>
      </c>
      <c r="G34" s="136">
        <f>IFERROR(Model!AL273,"")</f>
        <v>0</v>
      </c>
      <c r="H34" s="136">
        <f>IFERROR(Model!AQ273,"")</f>
        <v>0</v>
      </c>
      <c r="I34" s="136">
        <f>IFERROR(Model!AV273,"")</f>
        <v>0</v>
      </c>
      <c r="J34" s="136">
        <f>IFERROR(Model!BA273,"")</f>
        <v>0</v>
      </c>
      <c r="K34" s="136">
        <f>IFERROR(Model!BF273,"")</f>
        <v>0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IFERROR(Model!W274,"")</f>
        <v>0</v>
      </c>
      <c r="E35" s="136">
        <f>IFERROR(Model!AB274,"")</f>
        <v>0</v>
      </c>
      <c r="F35" s="136">
        <f>IFERROR(Model!AG274,"")</f>
        <v>0</v>
      </c>
      <c r="G35" s="136">
        <f>IFERROR(Model!AL274,"")</f>
        <v>0</v>
      </c>
      <c r="H35" s="136">
        <f>IFERROR(Model!AQ274,"")</f>
        <v>0</v>
      </c>
      <c r="I35" s="136">
        <f>IFERROR(Model!AV274,"")</f>
        <v>0</v>
      </c>
      <c r="J35" s="136">
        <f>IFERROR(Model!BA274,"")</f>
        <v>0</v>
      </c>
      <c r="K35" s="136">
        <f>IFERROR(Model!BF274,"")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IFERROR(Model!W275,"")</f>
        <v>5989</v>
      </c>
      <c r="E36" s="136">
        <f>IFERROR(Model!AB275,"")</f>
        <v>5771</v>
      </c>
      <c r="F36" s="136">
        <f>IFERROR(Model!AG275,"")</f>
        <v>-5043</v>
      </c>
      <c r="G36" s="136">
        <f>IFERROR(Model!AL275,"")</f>
        <v>-213</v>
      </c>
      <c r="H36" s="136">
        <f>IFERROR(Model!AQ275,"")</f>
        <v>0</v>
      </c>
      <c r="I36" s="136">
        <f>IFERROR(Model!AV275,"")</f>
        <v>0</v>
      </c>
      <c r="J36" s="136">
        <f>IFERROR(Model!BA275,"")</f>
        <v>0</v>
      </c>
      <c r="K36" s="136">
        <f>IFERROR(Model!BF275,"")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IFERROR(Model!W276,"")</f>
        <v>31</v>
      </c>
      <c r="E37" s="136">
        <f>IFERROR(Model!AB276,"")</f>
        <v>-102</v>
      </c>
      <c r="F37" s="136">
        <f>IFERROR(Model!AG276,"")</f>
        <v>-14</v>
      </c>
      <c r="G37" s="136">
        <f>IFERROR(Model!AL276,"")</f>
        <v>-23</v>
      </c>
      <c r="H37" s="136">
        <f>IFERROR(Model!AQ276,"")</f>
        <v>0</v>
      </c>
      <c r="I37" s="136">
        <f>IFERROR(Model!AV276,"")</f>
        <v>0</v>
      </c>
      <c r="J37" s="136">
        <f>IFERROR(Model!BA276,"")</f>
        <v>0</v>
      </c>
      <c r="K37" s="136">
        <f>IFERROR(Model!BF276,"")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IFERROR((Model!W176-Model!R176)*-1,"")</f>
        <v>-8137</v>
      </c>
      <c r="E38" s="136">
        <f>IFERROR((Model!AB176-Model!W176)*-1,"")</f>
        <v>455</v>
      </c>
      <c r="F38" s="136">
        <f>IFERROR((Model!AG176-Model!AB176)*-1,"")</f>
        <v>1061</v>
      </c>
      <c r="G38" s="136">
        <f>IFERROR((Model!AL176-Model!AG176)*-1,"")</f>
        <v>-584</v>
      </c>
      <c r="H38" s="136">
        <f>IFERROR((Model!AQ176-Model!AL176)*-1,"")</f>
        <v>0</v>
      </c>
      <c r="I38" s="136">
        <f>IFERROR((Model!AV176-Model!AQ176)*-1,"")</f>
        <v>0</v>
      </c>
      <c r="J38" s="136">
        <f>IFERROR((Model!BA176-Model!AV176)*-1,"")</f>
        <v>0</v>
      </c>
      <c r="K38" s="136">
        <f>IFERROR((Model!BF176-Model!BA176)*-1,"")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IFERROR(Model!W227-Model!R227,"")</f>
        <v>0</v>
      </c>
      <c r="E39" s="136">
        <f>IFERROR(Model!AB227-Model!W227,"")</f>
        <v>0</v>
      </c>
      <c r="F39" s="136">
        <f>IFERROR(Model!AG227-Model!AB227,"")</f>
        <v>0</v>
      </c>
      <c r="G39" s="136">
        <f>IFERROR(Model!AL227-Model!AG227,"")</f>
        <v>0</v>
      </c>
      <c r="H39" s="136">
        <f>IFERROR(Model!AQ227-Model!AL227,"")</f>
        <v>0</v>
      </c>
      <c r="I39" s="136">
        <f>IFERROR(Model!AV227-Model!AQ227,"")</f>
        <v>0</v>
      </c>
      <c r="J39" s="136">
        <f>IFERROR(Model!BA227-Model!AV227,"")</f>
        <v>0</v>
      </c>
      <c r="K39" s="136">
        <f>IFERROR(Model!BF227-Model!BA227,"")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IFERROR(Model!W282,"")</f>
        <v>-2030</v>
      </c>
      <c r="E40" s="136">
        <f>IFERROR(Model!AB282,"")</f>
        <v>-2147</v>
      </c>
      <c r="F40" s="136">
        <f>IFERROR(Model!AG282,"")</f>
        <v>-2270</v>
      </c>
      <c r="G40" s="136">
        <f>IFERROR(Model!AL282,"")</f>
        <v>-2261.20139073755</v>
      </c>
      <c r="H40" s="136">
        <f>IFERROR(Model!AQ282,"")</f>
        <v>-2336.44186137309</v>
      </c>
      <c r="I40" s="136">
        <f>IFERROR(Model!AV282,"")</f>
        <v>-2359.76894072942</v>
      </c>
      <c r="J40" s="136">
        <f>IFERROR(Model!BA282,"")</f>
        <v>-2371.53007337981</v>
      </c>
      <c r="K40" s="136">
        <f>IFERROR(Model!BF282,"")</f>
        <v>-2371.53007337981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5499</v>
      </c>
      <c r="E44" s="133">
        <f>IFERROR(SUM(E27,E40:E42,E26),"")</f>
        <v>4661</v>
      </c>
      <c r="F44" s="133">
        <f>IFERROR(SUM(F27,F40:F42,F26),"")</f>
        <v>-5887</v>
      </c>
      <c r="G44" s="133">
        <f>IFERROR(SUM(G27,G40:G42,G26),"")</f>
        <v>6376.79547086204</v>
      </c>
      <c r="H44" s="133">
        <f>IFERROR(SUM(H27,H40:H42,H26),"")</f>
        <v>28.0923084843175</v>
      </c>
      <c r="I44" s="133">
        <f>IFERROR(SUM(I27,I40:I42,I26),"")</f>
        <v>28.3727826190056</v>
      </c>
      <c r="J44" s="133">
        <f>IFERROR(SUM(J27,J40:J42,J26),"")</f>
        <v>28.5141930996178</v>
      </c>
      <c r="K44" s="133">
        <f>IFERROR(SUM(K27,K40:K42,K26),"")</f>
        <v>28.5141930996178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IFERROR(Model!W337,"")</f>
        <v>34709</v>
      </c>
      <c r="E46" s="136">
        <f>IFERROR(Model!AB337,"")</f>
        <v>29222</v>
      </c>
      <c r="F46" s="136">
        <f>IFERROR(Model!AG337,"")</f>
        <v>34385</v>
      </c>
      <c r="G46" s="136">
        <f>IFERROR(Model!AL337,"")</f>
        <v>28815.204529138</v>
      </c>
      <c r="H46" s="136">
        <f>IFERROR(Model!AQ337,"")</f>
        <v>28787.1122206536</v>
      </c>
      <c r="I46" s="136">
        <f>IFERROR(Model!AV337,"")</f>
        <v>28758.7394380346</v>
      </c>
      <c r="J46" s="136">
        <f>IFERROR(Model!BA337,"")</f>
        <v>28730.225244935</v>
      </c>
      <c r="K46" s="136">
        <f>IFERROR(Model!BF337,"")</f>
        <v>28701.7110518354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IFERROR(Model!W338,"")</f>
        <v>30743</v>
      </c>
      <c r="E47" s="136">
        <f>IFERROR(Model!AB338,"")</f>
        <v>25350</v>
      </c>
      <c r="F47" s="136">
        <f>IFERROR(Model!AG338,"")</f>
        <v>30105</v>
      </c>
      <c r="G47" s="136">
        <f>IFERROR(Model!AL338,"")</f>
        <v>24349.204529138</v>
      </c>
      <c r="H47" s="136">
        <f>IFERROR(Model!AQ338,"")</f>
        <v>24321.1122206536</v>
      </c>
      <c r="I47" s="136">
        <f>IFERROR(Model!AV338,"")</f>
        <v>24292.7394380346</v>
      </c>
      <c r="J47" s="136">
        <f>IFERROR(Model!BA338,"")</f>
        <v>24264.225244935</v>
      </c>
      <c r="K47" s="136">
        <f>IFERROR(Model!BF338,"")</f>
        <v>24235.7110518354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0.571012585341778</v>
      </c>
      <c r="E48" s="122">
        <f>IFERROR(IF(E18=0,"",E46/E18),"")</f>
        <v>0.608297425008847</v>
      </c>
      <c r="F48" s="122">
        <f>IFERROR(IF(F18=0,"",F46/F18),"")</f>
        <v>0.734942076689608</v>
      </c>
      <c r="G48" s="122">
        <f>IFERROR(IF(G18=0,"",G46/G18),"")</f>
        <v>0.596443317302959</v>
      </c>
      <c r="H48" s="122">
        <f>IFERROR(IF(H18=0,"",H46/H18),"")</f>
        <v>0.587065240572391</v>
      </c>
      <c r="I48" s="122">
        <f>IFERROR(IF(I18=0,"",I46/I18),"")</f>
        <v>0.580689014880929</v>
      </c>
      <c r="J48" s="122">
        <f>IFERROR(IF(J18=0,"",J46/J18),"")</f>
        <v>0.577236307103552</v>
      </c>
      <c r="K48" s="122">
        <f>IFERROR(IF(K18=0,"",K46/K18),"")</f>
        <v>0.576663411228753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0.234619166240159</v>
      </c>
      <c r="E50" s="150">
        <f>IFERROR(IF(E46=0,"",E25/E46),"")</f>
        <v>0</v>
      </c>
      <c r="F50" s="150">
        <f>IFERROR(IF(F46=0,"",F25/F46),"")</f>
        <v>0</v>
      </c>
      <c r="G50" s="150">
        <f>IFERROR(IF(G46=0,"",G25/G46),"")</f>
        <v>0</v>
      </c>
      <c r="H50" s="150">
        <f>IFERROR(IF(H46=0,"",H25/H46),"")</f>
        <v>0</v>
      </c>
      <c r="I50" s="150">
        <f>IFERROR(IF(I46=0,"",I25/I46),"")</f>
        <v>0</v>
      </c>
      <c r="J50" s="150">
        <f>IFERROR(IF(J46=0,"",J25/J46),"")</f>
        <v>0</v>
      </c>
      <c r="K50" s="150">
        <f>IFERROR(IF(K46=0,"",K25/K46),"")</f>
        <v>0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1.75127488547639</v>
      </c>
      <c r="E51" s="154">
        <f>IFERROR(IF(E46=0,"",E18/E46),"")</f>
        <v>1.64393265348025</v>
      </c>
      <c r="F51" s="154">
        <f>IFERROR(IF(F46=0,"",F18/F46),"")</f>
        <v>1.36065144685183</v>
      </c>
      <c r="G51" s="154">
        <f>IFERROR(IF(G46=0,"",G18/G46),"")</f>
        <v>1.67660525483272</v>
      </c>
      <c r="H51" s="154">
        <f>IFERROR(IF(H46=0,"",H18/H46),"")</f>
        <v>1.70338819417241</v>
      </c>
      <c r="I51" s="154">
        <f>IFERROR(IF(I46=0,"",I18/I46),"")</f>
        <v>1.7220921601299</v>
      </c>
      <c r="J51" s="154">
        <f>IFERROR(IF(J46=0,"",J18/J46),"")</f>
        <v>1.73239276132471</v>
      </c>
      <c r="K51" s="154">
        <f>IFERROR(IF(K46=0,"",K18/K46),"")</f>
        <v>1.73411383578022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13642.3966410297</v>
      </c>
      <c r="E53" s="155">
        <f>IFERROR(E25+E44,"")</f>
        <v>4661</v>
      </c>
      <c r="F53" s="155">
        <f>IFERROR(F25+F44,"")</f>
        <v>-5887</v>
      </c>
      <c r="G53" s="156">
        <f>IFERROR(G25+G44,"")</f>
        <v>6376.79547086204</v>
      </c>
      <c r="H53" s="155">
        <f>IFERROR(H25+H44,"")</f>
        <v>28.0923084843175</v>
      </c>
      <c r="I53" s="155">
        <f>IFERROR(I25+I44,"")</f>
        <v>28.3727826190056</v>
      </c>
      <c r="J53" s="155">
        <f>IFERROR(J25+J44,"")</f>
        <v>28.5141930996178</v>
      </c>
      <c r="K53" s="155">
        <f>IFERROR(K25+K44,"")</f>
        <v>28.5141930996178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</v>
      </c>
      <c r="E64" s="157" t="inlineStr">
        <is>
          <t>Current portion of long-term debt</t>
        </is>
      </c>
      <c r="H64" s="137">
        <f>IFERROR(INDEX(Model!$I$199:$BF$199,1,MATCH(Control!$B$7,Model!$I$5:$BF$5,0)),"")</f>
        <v>17115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IFERROR(INDEX(Model!$I$200:$BF$200,1,MATCH(Control!$B$7,Model!$I$5:$BF$5,0)),"")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IFERROR(INDEX(Model!$I$204:$BF$204,1,MATCH(Control!$B$7,Model!$I$5:$BF$5,0)),"")</f>
        <v>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IFERROR(INDEX(Model!$I$225:$BF$225,1,MATCH(Control!$B$7,Model!$I$5:$BF$5,0)),"")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IFERROR(INDEX(Model!$I$235:$BF$235,1,MATCH(Control!$B$7,Model!$I$5:$BF$5,0)),"")</f>
        <v>51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IFERROR(INDEX(Model!$I$240:$BF$240,1,MATCH(Control!$B$7,Model!$I$5:$BF$5,0)),"")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IFERROR(INDEX(Model!$I$201:$BF$201,1,MATCH(Control!$B$7,Model!$I$5:$BF$5,0)),"")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IFERROR(INDEX(Model!$I$222:$BF$222,1,MATCH(Control!$B$7,Model!$I$5:$BF$5,0)),"")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IFERROR(-INDEX(Model!$I$131:$BF$131,1,MATCH(Control!$B$7,Model!$I$5:$BF$5,0)),"")</f>
        <v>-8928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2400.04426647943</v>
      </c>
      <c r="E73" s="157" t="inlineStr">
        <is>
          <t>Less: Equity investments</t>
        </is>
      </c>
      <c r="H73" s="137">
        <f>IFERROR(-INDEX(Model!$I$148:$BF$148,1,MATCH(Control!$B$7,Model!$I$5:$BF$5,0)),"")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8238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8238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8238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DE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Deere &amp; Company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DE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IFERROR(-Model!AG61/AVERAGE(Model!AB79,Model!AG79),"")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0.0149840187517511</v>
      </c>
      <c r="C18" s="247">
        <f>IF(B18="","",B18)</f>
        <v>0.0149840187517511</v>
      </c>
      <c r="D18" s="247">
        <f>IF(C18="","",MAX(0,C18-0.5%))</f>
        <v>0.00998401875175113</v>
      </c>
      <c r="E18" s="247">
        <f>IF(D18="","",MAX(0,D18-0.5%))</f>
        <v>0.00498401875175113</v>
      </c>
      <c r="F18" s="247">
        <f>IF(E18="","",MAX(0,E18-0.5%))</f>
        <v>0</v>
      </c>
    </row>
    <row r="19" ht="15" customHeight="1">
      <c r="A19" t="inlineStr">
        <is>
          <t>Gross margin</t>
        </is>
      </c>
      <c r="B19" s="247">
        <f>IFERROR(AVERAGE(Model!AC42:AF42,Model!AH42:AI42),"")</f>
        <v>1</v>
      </c>
      <c r="C19" s="247">
        <f>IF(B19="","",B19)</f>
        <v>1</v>
      </c>
      <c r="D19" s="247">
        <f>IF(C19="","",C19)</f>
        <v>1</v>
      </c>
      <c r="E19" s="247">
        <f>IF(D19="","",D19)</f>
        <v>1</v>
      </c>
      <c r="F19" s="247">
        <f>IF(E19="","",E19)</f>
        <v>1</v>
      </c>
    </row>
    <row r="20" ht="15" customHeight="1">
      <c r="A20" t="inlineStr">
        <is>
          <t>SG&amp;A / Revenue</t>
        </is>
      </c>
      <c r="B20" s="247">
        <f>IFERROR(AVERAGE(Model!AC46:AF46,Model!AH46:AI46),"")</f>
        <v>0.951779261128074</v>
      </c>
      <c r="C20" s="247">
        <f>IF(B20="","",B20)</f>
        <v>0.951779261128074</v>
      </c>
      <c r="D20" s="247">
        <f>IF(C20="","",C20)</f>
        <v>0.951779261128074</v>
      </c>
      <c r="E20" s="247">
        <f>IF(D20="","",D20)</f>
        <v>0.951779261128074</v>
      </c>
      <c r="F20" s="247">
        <f>IF(E20="","",E20)</f>
        <v>0.951779261128074</v>
      </c>
    </row>
    <row r="21" ht="15" customHeight="1">
      <c r="A21" t="inlineStr">
        <is>
          <t>D&amp;A / Revenue</t>
        </is>
      </c>
      <c r="B21" s="247">
        <f>IFERROR(AVERAGE(Model!AC58:AF58,Model!AH58:AI58),"")</f>
        <v>0.0482207388719264</v>
      </c>
      <c r="C21" s="247">
        <f>IF(B21="","",B21)</f>
        <v>0.0482207388719264</v>
      </c>
      <c r="D21" s="247">
        <f>IF(C21="","",C21)</f>
        <v>0.0482207388719264</v>
      </c>
      <c r="E21" s="247">
        <f>IF(D21="","",D21)</f>
        <v>0.0482207388719264</v>
      </c>
      <c r="F21" s="247">
        <f>IF(E21="","",E21)</f>
        <v>0.0482207388719264</v>
      </c>
    </row>
    <row r="22" ht="15" customHeight="1">
      <c r="A22" t="inlineStr">
        <is>
          <t>Effective tax rate</t>
        </is>
      </c>
      <c r="B22" s="247">
        <f>IFERROR(AVERAGE(Model!AC119:AF119,Model!AH119:AI119),"")</f>
        <v>0.238728710702303</v>
      </c>
      <c r="C22" s="247">
        <f>IF(B22="","",B22)</f>
        <v>0.238728710702303</v>
      </c>
      <c r="D22" s="247">
        <f>IF(C22="","",C22)</f>
        <v>0.238728710702303</v>
      </c>
      <c r="E22" s="247">
        <f>IF(D22="","",D22)</f>
        <v>0.238728710702303</v>
      </c>
      <c r="F22" s="247">
        <f>IF(E22="","",E22)</f>
        <v>0.238728710702303</v>
      </c>
    </row>
    <row r="23" ht="15" customHeight="1">
      <c r="A23" t="inlineStr">
        <is>
          <t>Financial income / Revenue</t>
        </is>
      </c>
      <c r="B23" s="247">
        <f>IFERROR(AVERAGE(Model!AC110:AF110,Model!AH110:AI110)/AVERAGE(Model!AC15:AF15,Model!AH15:AI15),"")</f>
        <v>0.204142215136814</v>
      </c>
      <c r="C23" s="247">
        <f>IF(B23="","",B23)</f>
        <v>0.204142215136814</v>
      </c>
      <c r="D23" s="247">
        <f>IF(C23="","",C23)</f>
        <v>0.204142215136814</v>
      </c>
      <c r="E23" s="247">
        <f>IF(D23="","",D23)</f>
        <v>0.204142215136814</v>
      </c>
      <c r="F23" s="247">
        <f>IF(E23="","",E23)</f>
        <v>0.204142215136814</v>
      </c>
    </row>
    <row r="24" ht="15" customHeight="1">
      <c r="A24" t="inlineStr">
        <is>
          <t>Capex / Revenue</t>
        </is>
      </c>
      <c r="B24" s="247">
        <f>IFERROR(-AVERAGE(Model!AC282:AF282,Model!AH282:AI282)/AVERAGE(Model!AC15:AF15,Model!AH15:AI15),"")</f>
        <v>0.0476478429971277</v>
      </c>
      <c r="C24" s="247">
        <f>IF(B24="","",B24)</f>
        <v>0.0476478429971277</v>
      </c>
      <c r="D24" s="247">
        <f>IF(C24="","",C24)</f>
        <v>0.0476478429971277</v>
      </c>
      <c r="E24" s="247">
        <f>IF(D24="","",D24)</f>
        <v>0.0476478429971277</v>
      </c>
      <c r="F24" s="247">
        <f>IF(E24="","",E24)</f>
        <v>0.0476478429971277</v>
      </c>
    </row>
    <row r="25" ht="15" customHeight="1">
      <c r="A25" t="inlineStr">
        <is>
          <t>DSO</t>
        </is>
      </c>
      <c r="B25" s="249">
        <f>IFERROR(AVERAGE(Model!AC133:AF133,Model!AH133:AI133),0)</f>
        <v>0</v>
      </c>
      <c r="C25" s="249">
        <f>IF(B25="","",B25)</f>
        <v>0</v>
      </c>
      <c r="D25" s="249">
        <f>IF(C25="","",C25)</f>
        <v>0</v>
      </c>
      <c r="E25" s="249">
        <f>IF(D25="","",D25)</f>
        <v>0</v>
      </c>
      <c r="F25" s="249">
        <f>IF(E25="","",E25)</f>
        <v>0</v>
      </c>
    </row>
    <row r="26" ht="15" customHeight="1">
      <c r="A26" t="inlineStr">
        <is>
          <t>DIO</t>
        </is>
      </c>
      <c r="B26" s="249">
        <f>IFERROR(AVERAGE(Model!AC137:AF137,Model!AH137:AI137),0)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IFERROR(AVERAGE(Model!AC186:AF186,Model!AH186:AI186),0)</f>
        <v>0</v>
      </c>
      <c r="C27" s="249">
        <f>IF(B27="","",B27)</f>
        <v>0</v>
      </c>
      <c r="D27" s="249">
        <f>IF(C27="","",C27)</f>
        <v>0</v>
      </c>
      <c r="E27" s="249">
        <f>IF(D27="","",D27)</f>
        <v>0</v>
      </c>
      <c r="F27" s="249">
        <f>IF(E27="","",E27)</f>
        <v>0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Deere &amp; Company (DE, CIK 315189) - fonte: SEC EDGAR XBRL (instâncias dos 10-Q/10-K). Moeda: USD. Brutos em USD unidades (fator 0,000001 -&gt; milhões). Colunas = trimestres-CALENDÁRIO (cada fechamento vai para o fim de trimestre mais próximo); ano fisca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2026-10-16T15:37:35Z</dcterms:modified>
  <cp:lastModifiedBy>Lucas Nascimento</cp:lastModifiedBy>
  <cp:revision>0</cp:revision>
</cp:coreProperties>
</file>