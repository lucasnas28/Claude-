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Deere &amp; Company (DE, CIK 315189) - fonte: SEC EDGAR XBRL (instâncias dos 10-Q/10-K). Moeda: USD. Brutos em USD unidades (fator 0,000001 -&gt; milhões). Colunas = trimestres-CALENDÁRIO (cada fechamento vai para o fim de trimestre mais próximo); ano fiscal termina no trimestre-calendário de set.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FQ2</t>
        </is>
      </c>
      <c r="L2" t="inlineStr">
        <is>
          <t>FQ3</t>
        </is>
      </c>
      <c r="M2" t="inlineStr">
        <is>
          <t>FQ4</t>
        </is>
      </c>
      <c r="N2" t="inlineStr">
        <is>
          <t>FQ1</t>
        </is>
      </c>
      <c r="O2" t="inlineStr">
        <is>
          <t>FQ2</t>
        </is>
      </c>
      <c r="P2" t="inlineStr">
        <is>
          <t>FQ3</t>
        </is>
      </c>
      <c r="Q2" t="inlineStr">
        <is>
          <t>FQ4</t>
        </is>
      </c>
      <c r="R2" t="inlineStr">
        <is>
          <t>FQ1</t>
        </is>
      </c>
      <c r="S2" t="inlineStr">
        <is>
          <t>FQ2</t>
        </is>
      </c>
      <c r="T2" t="inlineStr">
        <is>
          <t>FQ3</t>
        </is>
      </c>
      <c r="U2" t="inlineStr">
        <is>
          <t>FQ4</t>
        </is>
      </c>
      <c r="V2" t="inlineStr">
        <is>
          <t>FQ1</t>
        </is>
      </c>
      <c r="W2" t="inlineStr">
        <is>
          <t>FQ2</t>
        </is>
      </c>
      <c r="X2" t="inlineStr">
        <is>
          <t>FQ3</t>
        </is>
      </c>
      <c r="Y2" t="inlineStr">
        <is>
          <t>FQ4</t>
        </is>
      </c>
      <c r="Z2" t="inlineStr">
        <is>
          <t>FQ1</t>
        </is>
      </c>
      <c r="AA2" t="inlineStr">
        <is>
          <t>FQ2</t>
        </is>
      </c>
      <c r="AB2" t="inlineStr">
        <is>
          <t>FQ3</t>
        </is>
      </c>
      <c r="AC2" t="inlineStr">
        <is>
          <t>FQ4</t>
        </is>
      </c>
      <c r="AD2" t="inlineStr">
        <is>
          <t>FQ1</t>
        </is>
      </c>
      <c r="AE2" t="inlineStr">
        <is>
          <t>FQ2</t>
        </is>
      </c>
      <c r="AF2" t="inlineStr">
        <is>
          <t>FQ3</t>
        </is>
      </c>
      <c r="AG2" t="inlineStr">
        <is>
          <t>FQ4</t>
        </is>
      </c>
      <c r="AH2" t="inlineStr">
        <is>
          <t>FQ1</t>
        </is>
      </c>
      <c r="AI2" t="inlineStr">
        <is>
          <t>FQ2</t>
        </is>
      </c>
      <c r="AJ2" t="inlineStr">
        <is>
          <t>FQ3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9253000000</v>
      </c>
      <c r="L6" s="259" t="n">
        <v>8925000000</v>
      </c>
      <c r="M6" s="259" t="n">
        <v>9731000000</v>
      </c>
      <c r="N6" s="259" t="n">
        <v>9112000000</v>
      </c>
      <c r="O6" s="259" t="n">
        <v>12058000000</v>
      </c>
      <c r="P6" s="259" t="n">
        <v>11527000000</v>
      </c>
      <c r="Q6" s="259" t="n">
        <v>11327000000</v>
      </c>
      <c r="R6" s="259" t="n">
        <v>9569000000</v>
      </c>
      <c r="S6" s="259" t="n">
        <v>13370000000</v>
      </c>
      <c r="T6" s="259" t="n">
        <v>14102000000</v>
      </c>
      <c r="U6" s="259" t="n">
        <v>15536000000</v>
      </c>
      <c r="V6" s="259" t="n">
        <v>12652000000</v>
      </c>
      <c r="W6" s="259" t="n">
        <v>17387000000</v>
      </c>
      <c r="X6" s="259" t="n">
        <v>15801000000</v>
      </c>
      <c r="Y6" s="259" t="n">
        <v>15412000000</v>
      </c>
      <c r="Z6" s="259" t="n">
        <v>12185000000</v>
      </c>
      <c r="AA6" s="259" t="n">
        <v>15235000000</v>
      </c>
      <c r="AB6" s="259" t="n">
        <v>13152000000</v>
      </c>
      <c r="AC6" s="259" t="n">
        <v>11144000000</v>
      </c>
      <c r="AD6" s="259" t="n">
        <v>8508000000</v>
      </c>
      <c r="AE6" s="259" t="n">
        <v>12763000000</v>
      </c>
      <c r="AF6" s="259" t="n">
        <v>12018000000</v>
      </c>
      <c r="AG6" s="259" t="n">
        <v>12394000000</v>
      </c>
      <c r="AH6" s="259" t="n">
        <v>9611000000</v>
      </c>
      <c r="AI6" s="259" t="n">
        <v>13369000000</v>
      </c>
      <c r="AJ6" s="259" t="n">
        <v>12608000000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0</v>
      </c>
      <c r="L7" s="259" t="n">
        <v>0</v>
      </c>
      <c r="M7" s="259" t="n">
        <v>0</v>
      </c>
      <c r="N7" s="259" t="n">
        <v>0</v>
      </c>
      <c r="O7" s="259" t="n">
        <v>0</v>
      </c>
      <c r="P7" s="259" t="n">
        <v>0</v>
      </c>
      <c r="Q7" s="259" t="n">
        <v>0</v>
      </c>
      <c r="R7" s="259" t="n">
        <v>0</v>
      </c>
      <c r="S7" s="259" t="n">
        <v>0</v>
      </c>
      <c r="T7" s="259" t="n">
        <v>0</v>
      </c>
      <c r="U7" s="259" t="n">
        <v>0</v>
      </c>
      <c r="V7" s="259" t="n">
        <v>0</v>
      </c>
      <c r="W7" s="259" t="n">
        <v>0</v>
      </c>
      <c r="X7" s="259" t="n">
        <v>0</v>
      </c>
      <c r="Y7" s="259" t="n">
        <v>0</v>
      </c>
      <c r="Z7" s="259" t="n">
        <v>0</v>
      </c>
      <c r="AA7" s="259" t="n">
        <v>0</v>
      </c>
      <c r="AB7" s="259" t="n">
        <v>0</v>
      </c>
      <c r="AC7" s="259" t="n">
        <v>0</v>
      </c>
      <c r="AD7" s="259" t="n">
        <v>0</v>
      </c>
      <c r="AE7" s="259" t="n">
        <v>0</v>
      </c>
      <c r="AF7" s="259" t="n">
        <v>0</v>
      </c>
      <c r="AG7" s="259" t="n">
        <v>0</v>
      </c>
      <c r="AH7" s="259" t="n">
        <v>0</v>
      </c>
      <c r="AI7" s="259" t="n">
        <v>0</v>
      </c>
      <c r="AJ7" s="259" t="n">
        <v>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965000000</v>
      </c>
      <c r="L8" s="259" t="n">
        <v>1390000000</v>
      </c>
      <c r="M8" s="259" t="n">
        <v>1304000000</v>
      </c>
      <c r="N8" s="259" t="n">
        <v>1638000000</v>
      </c>
      <c r="O8" s="259" t="n">
        <v>2439000000</v>
      </c>
      <c r="P8" s="259" t="n">
        <v>2243000000</v>
      </c>
      <c r="Q8" s="259" t="n">
        <v>1692000000</v>
      </c>
      <c r="R8" s="259" t="n">
        <v>1235000000</v>
      </c>
      <c r="S8" s="259" t="n">
        <v>2670000000</v>
      </c>
      <c r="T8" s="259" t="n">
        <v>2646000000</v>
      </c>
      <c r="U8" s="259" t="n">
        <v>2956000000</v>
      </c>
      <c r="V8" s="259" t="n">
        <v>2518000000</v>
      </c>
      <c r="W8" s="259" t="n">
        <v>3898000000</v>
      </c>
      <c r="X8" s="259" t="n">
        <v>3516000000</v>
      </c>
      <c r="Y8" s="259" t="n">
        <v>3026000000</v>
      </c>
      <c r="Z8" s="259" t="n"/>
      <c r="AA8" s="259" t="n"/>
      <c r="AB8" s="259" t="n"/>
      <c r="AC8" s="259" t="n"/>
      <c r="AD8" s="259" t="n"/>
      <c r="AE8" s="259" t="n"/>
      <c r="AF8" s="259" t="n"/>
      <c r="AG8" s="259" t="n"/>
      <c r="AH8" s="259" t="n"/>
      <c r="AI8" s="259" t="n"/>
      <c r="AJ8" s="259" t="n"/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8288000000</v>
      </c>
      <c r="L9" s="259">
        <f>N(L6)-N(L7)-N(L8)</f>
        <v>7535000000</v>
      </c>
      <c r="M9" s="259">
        <f>N(M6)-N(M7)-N(M8)</f>
        <v>8427000000</v>
      </c>
      <c r="N9" s="259">
        <f>N(N6)-N(N7)-N(N8)</f>
        <v>7474000000</v>
      </c>
      <c r="O9" s="259">
        <f>N(O6)-N(O7)-N(O8)</f>
        <v>9619000000</v>
      </c>
      <c r="P9" s="259">
        <f>N(P6)-N(P7)-N(P8)</f>
        <v>9284000000</v>
      </c>
      <c r="Q9" s="259">
        <f>N(Q6)-N(Q7)-N(Q8)</f>
        <v>9635000000</v>
      </c>
      <c r="R9" s="259">
        <f>N(R6)-N(R7)-N(R8)</f>
        <v>8334000000</v>
      </c>
      <c r="S9" s="259">
        <f>N(S6)-N(S7)-N(S8)</f>
        <v>10700000000</v>
      </c>
      <c r="T9" s="259">
        <f>N(T6)-N(T7)-N(T8)</f>
        <v>11456000000</v>
      </c>
      <c r="U9" s="259">
        <f>N(U6)-N(U7)-N(U8)</f>
        <v>12580000000</v>
      </c>
      <c r="V9" s="259">
        <f>N(V6)-N(V7)-N(V8)</f>
        <v>10134000000</v>
      </c>
      <c r="W9" s="259">
        <f>N(W6)-N(W7)-N(W8)</f>
        <v>13489000000</v>
      </c>
      <c r="X9" s="259">
        <f>N(X6)-N(X7)-N(X8)</f>
        <v>12285000000</v>
      </c>
      <c r="Y9" s="259">
        <f>N(Y6)-N(Y7)-N(Y8)</f>
        <v>12386000000</v>
      </c>
      <c r="Z9" s="259">
        <f>N(Z6)-N(Z7)-N(Z8)</f>
        <v>12185000000</v>
      </c>
      <c r="AA9" s="259">
        <f>N(AA6)-N(AA7)-N(AA8)</f>
        <v>15235000000</v>
      </c>
      <c r="AB9" s="259">
        <f>N(AB6)-N(AB7)-N(AB8)</f>
        <v>13152000000</v>
      </c>
      <c r="AC9" s="259">
        <f>N(AC6)-N(AC7)-N(AC8)</f>
        <v>11144000000</v>
      </c>
      <c r="AD9" s="259">
        <f>N(AD6)-N(AD7)-N(AD8)</f>
        <v>8508000000</v>
      </c>
      <c r="AE9" s="259">
        <f>N(AE6)-N(AE7)-N(AE8)</f>
        <v>12763000000</v>
      </c>
      <c r="AF9" s="259">
        <f>N(AF6)-N(AF7)-N(AF8)</f>
        <v>12018000000</v>
      </c>
      <c r="AG9" s="259">
        <f>N(AG6)-N(AG7)-N(AG8)</f>
        <v>12394000000</v>
      </c>
      <c r="AH9" s="259">
        <f>N(AH6)-N(AH7)-N(AH8)</f>
        <v>9611000000</v>
      </c>
      <c r="AI9" s="259">
        <f>N(AI6)-N(AI7)-N(AI8)</f>
        <v>13369000000</v>
      </c>
      <c r="AJ9" s="259">
        <f>N(AJ6)-N(AJ7)-N(AJ8)</f>
        <v>12608000000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928000000</v>
      </c>
      <c r="L10" s="259" t="n">
        <v>1270000000</v>
      </c>
      <c r="M10" s="259" t="n">
        <v>1115000000</v>
      </c>
      <c r="N10" s="259" t="n">
        <v>1528000000</v>
      </c>
      <c r="O10" s="259" t="n">
        <v>2312000000</v>
      </c>
      <c r="P10" s="259" t="n">
        <v>2150000000</v>
      </c>
      <c r="Q10" s="259" t="n">
        <v>1613000000</v>
      </c>
      <c r="R10" s="259" t="n">
        <v>1151000000</v>
      </c>
      <c r="S10" s="259" t="n">
        <v>2552000000</v>
      </c>
      <c r="T10" s="259" t="n">
        <v>2539000000</v>
      </c>
      <c r="U10" s="259" t="n">
        <v>2885000000</v>
      </c>
      <c r="V10" s="259" t="n">
        <v>2493000000</v>
      </c>
      <c r="W10" s="259" t="n">
        <v>3848000000</v>
      </c>
      <c r="X10" s="259" t="n">
        <v>3606000000</v>
      </c>
      <c r="Y10" s="259" t="n">
        <v>3073000000</v>
      </c>
      <c r="Z10" s="259" t="n">
        <v>2215000000</v>
      </c>
      <c r="AA10" s="259" t="n">
        <v>3117000000</v>
      </c>
      <c r="AB10" s="259" t="n">
        <v>2355000000</v>
      </c>
      <c r="AC10" s="259" t="n">
        <v>1519000000</v>
      </c>
      <c r="AD10" s="259" t="n">
        <v>895000000</v>
      </c>
      <c r="AE10" s="259" t="n">
        <v>2337000000</v>
      </c>
      <c r="AF10" s="259" t="n">
        <v>1600000000</v>
      </c>
      <c r="AG10" s="259" t="n">
        <v>1425000000</v>
      </c>
      <c r="AH10" s="259" t="n">
        <v>836000000</v>
      </c>
      <c r="AI10" s="259" t="n">
        <v>2293000000</v>
      </c>
      <c r="AJ10" s="259" t="n">
        <v>1882000000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-37000000</v>
      </c>
      <c r="L11" s="259">
        <f>N(L10)-N(L8)</f>
        <v>-120000000</v>
      </c>
      <c r="M11" s="259">
        <f>N(M10)-N(M8)</f>
        <v>-189000000</v>
      </c>
      <c r="N11" s="259">
        <f>N(N10)-N(N8)</f>
        <v>-110000000</v>
      </c>
      <c r="O11" s="259">
        <f>N(O10)-N(O8)</f>
        <v>-127000000</v>
      </c>
      <c r="P11" s="259">
        <f>N(P10)-N(P8)</f>
        <v>-93000000</v>
      </c>
      <c r="Q11" s="259">
        <f>N(Q10)-N(Q8)</f>
        <v>-79000000</v>
      </c>
      <c r="R11" s="259">
        <f>N(R10)-N(R8)</f>
        <v>-84000000</v>
      </c>
      <c r="S11" s="259">
        <f>N(S10)-N(S8)</f>
        <v>-118000000</v>
      </c>
      <c r="T11" s="259">
        <f>N(T10)-N(T8)</f>
        <v>-107000000</v>
      </c>
      <c r="U11" s="259">
        <f>N(U10)-N(U8)</f>
        <v>-71000000</v>
      </c>
      <c r="V11" s="259">
        <f>N(V10)-N(V8)</f>
        <v>-25000000</v>
      </c>
      <c r="W11" s="259">
        <f>N(W10)-N(W8)</f>
        <v>-50000000</v>
      </c>
      <c r="X11" s="259">
        <f>N(X10)-N(X8)</f>
        <v>90000000</v>
      </c>
      <c r="Y11" s="259">
        <f>N(Y10)-N(Y8)</f>
        <v>47000000</v>
      </c>
      <c r="Z11" s="259">
        <f>N(Z10)-N(Z8)</f>
        <v>2215000000</v>
      </c>
      <c r="AA11" s="259">
        <f>N(AA10)-N(AA8)</f>
        <v>3117000000</v>
      </c>
      <c r="AB11" s="259">
        <f>N(AB10)-N(AB8)</f>
        <v>2355000000</v>
      </c>
      <c r="AC11" s="259">
        <f>N(AC10)-N(AC8)</f>
        <v>1519000000</v>
      </c>
      <c r="AD11" s="259">
        <f>N(AD10)-N(AD8)</f>
        <v>895000000</v>
      </c>
      <c r="AE11" s="259">
        <f>N(AE10)-N(AE8)</f>
        <v>2337000000</v>
      </c>
      <c r="AF11" s="259">
        <f>N(AF10)-N(AF8)</f>
        <v>1600000000</v>
      </c>
      <c r="AG11" s="259">
        <f>N(AG10)-N(AG8)</f>
        <v>1425000000</v>
      </c>
      <c r="AH11" s="259">
        <f>N(AH10)-N(AH8)</f>
        <v>836000000</v>
      </c>
      <c r="AI11" s="259">
        <f>N(AI10)-N(AI8)</f>
        <v>2293000000</v>
      </c>
      <c r="AJ11" s="259">
        <f>N(AJ10)-N(AJ8)</f>
        <v>1882000000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342000000</v>
      </c>
      <c r="L12" s="259" t="n">
        <v>290000000</v>
      </c>
      <c r="M12" s="259" t="n">
        <v>278000000</v>
      </c>
      <c r="N12" s="259" t="n">
        <v>271000000</v>
      </c>
      <c r="O12" s="259" t="n">
        <v>268000000</v>
      </c>
      <c r="P12" s="259" t="n">
        <v>244000000</v>
      </c>
      <c r="Q12" s="259" t="n">
        <v>210000000</v>
      </c>
      <c r="R12" s="259" t="n">
        <v>229000000</v>
      </c>
      <c r="S12" s="259" t="n">
        <v>187000000</v>
      </c>
      <c r="T12" s="259" t="n">
        <v>296000000</v>
      </c>
      <c r="U12" s="259" t="n">
        <v>349000000</v>
      </c>
      <c r="V12" s="259" t="n">
        <v>479000000</v>
      </c>
      <c r="W12" s="259" t="n">
        <v>569000000</v>
      </c>
      <c r="X12" s="259" t="n">
        <v>623000000</v>
      </c>
      <c r="Y12" s="259" t="n">
        <v>782000000</v>
      </c>
      <c r="Z12" s="259" t="n">
        <v>802000000</v>
      </c>
      <c r="AA12" s="259" t="n">
        <v>836000000</v>
      </c>
      <c r="AB12" s="259" t="n">
        <v>840000000</v>
      </c>
      <c r="AC12" s="259" t="n">
        <v>870000000</v>
      </c>
      <c r="AD12" s="259" t="n">
        <v>829000000</v>
      </c>
      <c r="AE12" s="259" t="n">
        <v>784000000</v>
      </c>
      <c r="AF12" s="259" t="n">
        <v>794000000</v>
      </c>
      <c r="AG12" s="259" t="n">
        <v>762000000</v>
      </c>
      <c r="AH12" s="259" t="n">
        <v>719000000</v>
      </c>
      <c r="AI12" s="259" t="n">
        <v>712000000</v>
      </c>
      <c r="AJ12" s="259" t="n">
        <v>710000000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245000000</v>
      </c>
      <c r="L13" s="259" t="n">
        <v>457000000</v>
      </c>
      <c r="M13" s="259" t="n">
        <v>330000000</v>
      </c>
      <c r="N13" s="259" t="n">
        <v>308000000</v>
      </c>
      <c r="O13" s="259" t="n">
        <v>530000000</v>
      </c>
      <c r="P13" s="259" t="n">
        <v>491000000</v>
      </c>
      <c r="Q13" s="259" t="n">
        <v>330000000</v>
      </c>
      <c r="R13" s="259" t="n">
        <v>250000000</v>
      </c>
      <c r="S13" s="259" t="n">
        <v>461000000</v>
      </c>
      <c r="T13" s="259" t="n">
        <v>654000000</v>
      </c>
      <c r="U13" s="259" t="n">
        <v>643000000</v>
      </c>
      <c r="V13" s="259" t="n">
        <v>537000000</v>
      </c>
      <c r="W13" s="259" t="n">
        <v>991000000</v>
      </c>
      <c r="X13" s="259" t="n">
        <v>636000000</v>
      </c>
      <c r="Y13" s="259" t="n">
        <v>707000000</v>
      </c>
      <c r="Z13" s="259" t="n">
        <v>469000000</v>
      </c>
      <c r="AA13" s="259" t="n">
        <v>751000000</v>
      </c>
      <c r="AB13" s="259" t="n">
        <v>625000000</v>
      </c>
      <c r="AC13" s="259" t="n">
        <v>249000000</v>
      </c>
      <c r="AD13" s="259" t="n">
        <v>27000000</v>
      </c>
      <c r="AE13" s="259" t="n">
        <v>539000000</v>
      </c>
      <c r="AF13" s="259" t="n">
        <v>339000000</v>
      </c>
      <c r="AG13" s="259" t="n">
        <v>354000000</v>
      </c>
      <c r="AH13" s="259" t="n">
        <v>196000000</v>
      </c>
      <c r="AI13" s="259" t="n">
        <v>518000000</v>
      </c>
      <c r="AJ13" s="259" t="n">
        <v>529000000</v>
      </c>
    </row>
    <row r="14">
      <c r="A14" t="n">
        <v>9</v>
      </c>
      <c r="B14" t="n">
        <v>-1</v>
      </c>
      <c r="G14" t="inlineStr">
        <is>
          <t>moeda</t>
        </is>
      </c>
      <c r="H14" t="inlineStr">
        <is>
          <t>Lucro atribuído a não controladores (divulgado positivo) [us-gaap:NetIncomeLossAttributableToNoncontrollingInterest]</t>
        </is>
      </c>
      <c r="J14" t="inlineStr">
        <is>
          <t>fonte</t>
        </is>
      </c>
      <c r="K14" s="259" t="n">
        <v>0</v>
      </c>
      <c r="L14" s="259" t="n">
        <v>0</v>
      </c>
      <c r="M14" s="259" t="n">
        <v>0</v>
      </c>
      <c r="N14" s="259" t="n">
        <v>0</v>
      </c>
      <c r="O14" s="259" t="n">
        <v>1000000</v>
      </c>
      <c r="P14" s="259" t="n">
        <v>1000000</v>
      </c>
      <c r="Q14" s="259" t="n">
        <v>0</v>
      </c>
      <c r="R14" s="259" t="n">
        <v>1000000</v>
      </c>
      <c r="S14" s="259" t="n">
        <v>-1000000</v>
      </c>
      <c r="T14" s="259" t="n">
        <v>1000000</v>
      </c>
      <c r="U14" s="259" t="n">
        <v>-2000000</v>
      </c>
      <c r="V14" s="259" t="n">
        <v>-2000000</v>
      </c>
      <c r="W14" s="259" t="n">
        <v>-1000000</v>
      </c>
      <c r="X14" s="259" t="n">
        <v>-6000000</v>
      </c>
      <c r="Y14" s="259" t="n">
        <v>-1000000</v>
      </c>
      <c r="Z14" s="259" t="n">
        <v>-3000000</v>
      </c>
      <c r="AA14" s="259" t="n">
        <v>-2000000</v>
      </c>
      <c r="AB14" s="259" t="n">
        <v>-3000000</v>
      </c>
      <c r="AC14" s="259" t="n">
        <v>-3000000</v>
      </c>
      <c r="AD14" s="259" t="n">
        <v>-2000000</v>
      </c>
      <c r="AE14" s="259" t="n">
        <v>-3000000</v>
      </c>
      <c r="AF14" s="259" t="n">
        <v>-18000000</v>
      </c>
      <c r="AG14" s="259" t="n">
        <v>-5000000</v>
      </c>
      <c r="AH14" s="259" t="n">
        <v>-1000000</v>
      </c>
      <c r="AI14" s="259" t="n">
        <v>-3000000</v>
      </c>
      <c r="AJ14" s="259" t="n">
        <v>-2000000</v>
      </c>
    </row>
    <row r="15">
      <c r="G15" t="inlineStr">
        <is>
          <t>moeda</t>
        </is>
      </c>
      <c r="H15" t="inlineStr">
        <is>
          <t>Lucro líquido atribuído à companhia [us-gaap:NetIncomeLoss]</t>
        </is>
      </c>
      <c r="J15" t="inlineStr">
        <is>
          <t>memoria</t>
        </is>
      </c>
      <c r="K15" s="259" t="n">
        <v>666000000</v>
      </c>
      <c r="L15" s="259" t="n">
        <v>811000000</v>
      </c>
      <c r="M15" s="259" t="n">
        <v>757000000</v>
      </c>
      <c r="N15" s="259" t="n">
        <v>1224000000</v>
      </c>
      <c r="O15" s="259" t="n">
        <v>1790000000</v>
      </c>
      <c r="P15" s="259" t="n">
        <v>1667000000</v>
      </c>
      <c r="Q15" s="259" t="n">
        <v>1283000000</v>
      </c>
      <c r="R15" s="259" t="n">
        <v>903000000</v>
      </c>
      <c r="S15" s="259" t="n">
        <v>2098000000</v>
      </c>
      <c r="T15" s="259" t="n">
        <v>1884000000</v>
      </c>
      <c r="U15" s="259" t="n">
        <v>2246000000</v>
      </c>
      <c r="V15" s="259" t="n">
        <v>1959000000</v>
      </c>
      <c r="W15" s="259" t="n">
        <v>2860000000</v>
      </c>
      <c r="X15" s="259" t="n">
        <v>2978000000</v>
      </c>
      <c r="Y15" s="259" t="n">
        <v>2369000000</v>
      </c>
      <c r="Z15" s="259" t="n">
        <v>1751000000</v>
      </c>
      <c r="AA15" s="259" t="n">
        <v>2370000000</v>
      </c>
      <c r="AB15" s="259" t="n">
        <v>1734000000</v>
      </c>
      <c r="AC15" s="259" t="n">
        <v>1245000000</v>
      </c>
      <c r="AD15" s="259" t="n">
        <v>869000000</v>
      </c>
      <c r="AE15" s="259" t="n">
        <v>1804000000</v>
      </c>
      <c r="AF15" s="259" t="n">
        <v>1289000000</v>
      </c>
      <c r="AG15" s="259" t="n">
        <v>1065000000</v>
      </c>
      <c r="AH15" s="259" t="n">
        <v>656000000</v>
      </c>
      <c r="AI15" s="259" t="n">
        <v>1773000000</v>
      </c>
      <c r="AJ15" s="259" t="n">
        <v>1379000000</v>
      </c>
    </row>
    <row r="16">
      <c r="A16" t="n">
        <v>8</v>
      </c>
      <c r="B16" t="n">
        <v>1</v>
      </c>
      <c r="G16" t="inlineStr">
        <is>
          <t>moeda</t>
        </is>
      </c>
      <c r="H16" t="inlineStr">
        <is>
          <t>Resultado após IR não classificado acima (equivalência patrimonial, operações descontinuadas): lucro - (LAIR - IR - minoritários); zero quando não há</t>
        </is>
      </c>
      <c r="J16" t="inlineStr">
        <is>
          <t>derivada</t>
        </is>
      </c>
      <c r="K16" s="259">
        <f>N(K15)-(N(K10)-N(K13)-N(K14))</f>
        <v>-17000000</v>
      </c>
      <c r="L16" s="259">
        <f>N(L15)-(N(L10)-N(L13)-N(L14))</f>
        <v>-2000000</v>
      </c>
      <c r="M16" s="259">
        <f>N(M15)-(N(M10)-N(M13)-N(M14))</f>
        <v>-28000000</v>
      </c>
      <c r="N16" s="259">
        <f>N(N15)-(N(N10)-N(N13)-N(N14))</f>
        <v>4000000</v>
      </c>
      <c r="O16" s="259">
        <f>N(O15)-(N(O10)-N(O13)-N(O14))</f>
        <v>9000000</v>
      </c>
      <c r="P16" s="259">
        <f>N(P15)-(N(P10)-N(P13)-N(P14))</f>
        <v>9000000</v>
      </c>
      <c r="Q16" s="259">
        <f>N(Q15)-(N(Q10)-N(Q13)-N(Q14))</f>
        <v>0</v>
      </c>
      <c r="R16" s="259">
        <f>N(R15)-(N(R10)-N(R13)-N(R14))</f>
        <v>3000000</v>
      </c>
      <c r="S16" s="259">
        <f>N(S15)-(N(S10)-N(S13)-N(S14))</f>
        <v>6000000</v>
      </c>
      <c r="T16" s="259">
        <f>N(T15)-(N(T10)-N(T13)-N(T14))</f>
        <v>0</v>
      </c>
      <c r="U16" s="259">
        <f>N(U15)-(N(U10)-N(U13)-N(U14))</f>
        <v>2000000</v>
      </c>
      <c r="V16" s="259">
        <f>N(V15)-(N(V10)-N(V13)-N(V14))</f>
        <v>1000000</v>
      </c>
      <c r="W16" s="259">
        <f>N(W15)-(N(W10)-N(W13)-N(W14))</f>
        <v>2000000</v>
      </c>
      <c r="X16" s="259">
        <f>N(X15)-(N(X10)-N(X13)-N(X14))</f>
        <v>2000000</v>
      </c>
      <c r="Y16" s="259">
        <f>N(Y15)-(N(Y10)-N(Y13)-N(Y14))</f>
        <v>2000000</v>
      </c>
      <c r="Z16" s="259">
        <f>N(Z15)-(N(Z10)-N(Z13)-N(Z14))</f>
        <v>2000000</v>
      </c>
      <c r="AA16" s="259">
        <f>N(AA15)-(N(AA10)-N(AA13)-N(AA14))</f>
        <v>2000000</v>
      </c>
      <c r="AB16" s="259">
        <f>N(AB15)-(N(AB10)-N(AB13)-N(AB14))</f>
        <v>1000000</v>
      </c>
      <c r="AC16" s="259">
        <f>N(AC15)-(N(AC10)-N(AC13)-N(AC14))</f>
        <v>-28000000</v>
      </c>
      <c r="AD16" s="259">
        <f>N(AD15)-(N(AD10)-N(AD13)-N(AD14))</f>
        <v>-1000000</v>
      </c>
      <c r="AE16" s="259">
        <f>N(AE15)-(N(AE10)-N(AE13)-N(AE14))</f>
        <v>3000000</v>
      </c>
      <c r="AF16" s="259">
        <f>N(AF15)-(N(AF10)-N(AF13)-N(AF14))</f>
        <v>10000000</v>
      </c>
      <c r="AG16" s="259">
        <f>N(AG15)-(N(AG10)-N(AG13)-N(AG14))</f>
        <v>-11000000</v>
      </c>
      <c r="AH16" s="259">
        <f>N(AH15)-(N(AH10)-N(AH13)-N(AH14))</f>
        <v>15000000</v>
      </c>
      <c r="AI16" s="259">
        <f>N(AI15)-(N(AI10)-N(AI13)-N(AI14))</f>
        <v>-5000000</v>
      </c>
      <c r="AJ16" s="259">
        <f>N(AJ15)-(N(AJ10)-N(AJ13)-N(AJ14))</f>
        <v>24000000</v>
      </c>
    </row>
    <row r="17">
      <c r="A17" t="n">
        <v>44</v>
      </c>
      <c r="B17" t="n">
        <v>1</v>
      </c>
      <c r="G17" t="inlineStr">
        <is>
          <t>moeda</t>
        </is>
      </c>
      <c r="H17" t="inlineStr">
        <is>
          <t>Lucro líquido (check IS, código 44)</t>
        </is>
      </c>
      <c r="J17" t="inlineStr">
        <is>
          <t>derivada</t>
        </is>
      </c>
      <c r="K17" s="259">
        <f>N(K15)</f>
        <v>666000000</v>
      </c>
      <c r="L17" s="259">
        <f>N(L15)</f>
        <v>811000000</v>
      </c>
      <c r="M17" s="259">
        <f>N(M15)</f>
        <v>757000000</v>
      </c>
      <c r="N17" s="259">
        <f>N(N15)</f>
        <v>1224000000</v>
      </c>
      <c r="O17" s="259">
        <f>N(O15)</f>
        <v>1790000000</v>
      </c>
      <c r="P17" s="259">
        <f>N(P15)</f>
        <v>1667000000</v>
      </c>
      <c r="Q17" s="259">
        <f>N(Q15)</f>
        <v>1283000000</v>
      </c>
      <c r="R17" s="259">
        <f>N(R15)</f>
        <v>903000000</v>
      </c>
      <c r="S17" s="259">
        <f>N(S15)</f>
        <v>2098000000</v>
      </c>
      <c r="T17" s="259">
        <f>N(T15)</f>
        <v>1884000000</v>
      </c>
      <c r="U17" s="259">
        <f>N(U15)</f>
        <v>2246000000</v>
      </c>
      <c r="V17" s="259">
        <f>N(V15)</f>
        <v>1959000000</v>
      </c>
      <c r="W17" s="259">
        <f>N(W15)</f>
        <v>2860000000</v>
      </c>
      <c r="X17" s="259">
        <f>N(X15)</f>
        <v>2978000000</v>
      </c>
      <c r="Y17" s="259">
        <f>N(Y15)</f>
        <v>2369000000</v>
      </c>
      <c r="Z17" s="259">
        <f>N(Z15)</f>
        <v>1751000000</v>
      </c>
      <c r="AA17" s="259">
        <f>N(AA15)</f>
        <v>2370000000</v>
      </c>
      <c r="AB17" s="259">
        <f>N(AB15)</f>
        <v>1734000000</v>
      </c>
      <c r="AC17" s="259">
        <f>N(AC15)</f>
        <v>1245000000</v>
      </c>
      <c r="AD17" s="259">
        <f>N(AD15)</f>
        <v>869000000</v>
      </c>
      <c r="AE17" s="259">
        <f>N(AE15)</f>
        <v>1804000000</v>
      </c>
      <c r="AF17" s="259">
        <f>N(AF15)</f>
        <v>1289000000</v>
      </c>
      <c r="AG17" s="259">
        <f>N(AG15)</f>
        <v>1065000000</v>
      </c>
      <c r="AH17" s="259">
        <f>N(AH15)</f>
        <v>656000000</v>
      </c>
      <c r="AI17" s="259">
        <f>N(AI15)</f>
        <v>1773000000</v>
      </c>
      <c r="AJ17" s="259">
        <f>N(AJ15)</f>
        <v>1379000000</v>
      </c>
    </row>
    <row r="18">
      <c r="H18" s="254" t="inlineStr">
        <is>
          <t>DFC - trimestre isolado (desacumulado na extração)</t>
        </is>
      </c>
    </row>
    <row r="19">
      <c r="A19" t="n">
        <v>4</v>
      </c>
      <c r="B19" t="n">
        <v>-1</v>
      </c>
      <c r="C19" t="n">
        <v>3</v>
      </c>
      <c r="D19" t="n">
        <v>1</v>
      </c>
      <c r="G19" t="inlineStr">
        <is>
          <t>moeda</t>
        </is>
      </c>
      <c r="H19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t="inlineStr">
        <is>
          <t>fonte</t>
        </is>
      </c>
      <c r="K19" s="259" t="n">
        <v>529000000</v>
      </c>
      <c r="L19" s="259" t="n">
        <v>547000000</v>
      </c>
      <c r="M19" s="259" t="n">
        <v>504000000</v>
      </c>
      <c r="N19" s="259" t="n">
        <v>538000000</v>
      </c>
      <c r="O19" s="259" t="n">
        <v>516000000</v>
      </c>
      <c r="P19" s="259" t="n">
        <v>515000000</v>
      </c>
      <c r="Q19" s="259" t="n">
        <v>481000000</v>
      </c>
      <c r="R19" s="259" t="n">
        <v>486000000</v>
      </c>
      <c r="S19" s="259" t="n">
        <v>447000000</v>
      </c>
      <c r="T19" s="259" t="n">
        <v>510000000</v>
      </c>
      <c r="U19" s="259" t="n">
        <v>452000000</v>
      </c>
      <c r="V19" s="259" t="n">
        <v>494000000</v>
      </c>
      <c r="W19" s="259" t="n">
        <v>501000000</v>
      </c>
      <c r="X19" s="259" t="n">
        <v>532000000</v>
      </c>
      <c r="Y19" s="259" t="n">
        <v>477000000</v>
      </c>
      <c r="Z19" s="259" t="n">
        <v>520000000</v>
      </c>
      <c r="AA19" s="259" t="n">
        <v>525000000</v>
      </c>
      <c r="AB19" s="259" t="n">
        <v>553000000</v>
      </c>
      <c r="AC19" s="259" t="n">
        <v>520000000</v>
      </c>
      <c r="AD19" s="259" t="n">
        <v>549000000</v>
      </c>
      <c r="AE19" s="259" t="n">
        <v>555000000</v>
      </c>
      <c r="AF19" s="259" t="n">
        <v>564000000</v>
      </c>
      <c r="AG19" s="259" t="n">
        <v>561000000</v>
      </c>
      <c r="AH19" s="259" t="n">
        <v>590000000</v>
      </c>
      <c r="AI19" s="259" t="n">
        <v>594000000</v>
      </c>
      <c r="AJ19" s="259" t="n">
        <v>603000000</v>
      </c>
    </row>
    <row r="20">
      <c r="A20" t="n">
        <v>10</v>
      </c>
      <c r="B20" t="n">
        <v>-1</v>
      </c>
      <c r="G20" t="inlineStr">
        <is>
          <t>moeda</t>
        </is>
      </c>
      <c r="H20" t="inlineStr">
        <is>
          <t>Dividendos pagos [us-gaap:PaymentsOfDividends]</t>
        </is>
      </c>
      <c r="J20" t="inlineStr">
        <is>
          <t>fonte</t>
        </is>
      </c>
      <c r="K20" s="259" t="n">
        <v>239000000</v>
      </c>
      <c r="L20" s="259" t="n">
        <v>237000000</v>
      </c>
      <c r="M20" s="259" t="n">
        <v>238000000</v>
      </c>
      <c r="N20" s="259" t="n">
        <v>242000000</v>
      </c>
      <c r="O20" s="259" t="n">
        <v>238000000</v>
      </c>
      <c r="P20" s="259" t="n">
        <v>281000000</v>
      </c>
      <c r="Q20" s="259" t="n">
        <v>279000000</v>
      </c>
      <c r="R20" s="259" t="n">
        <v>327000000</v>
      </c>
      <c r="S20" s="259" t="n">
        <v>322000000</v>
      </c>
      <c r="T20" s="259" t="n">
        <v>322000000</v>
      </c>
      <c r="U20" s="259" t="n">
        <v>342000000</v>
      </c>
      <c r="V20" s="259" t="n">
        <v>341000000</v>
      </c>
      <c r="W20" s="259" t="n">
        <v>356000000</v>
      </c>
      <c r="X20" s="259" t="n">
        <v>368000000</v>
      </c>
      <c r="Y20" s="259" t="n">
        <v>362000000</v>
      </c>
      <c r="Z20" s="259" t="n">
        <v>386000000</v>
      </c>
      <c r="AA20" s="259" t="n">
        <v>410000000</v>
      </c>
      <c r="AB20" s="259" t="n">
        <v>406000000</v>
      </c>
      <c r="AC20" s="259" t="n">
        <v>403000000</v>
      </c>
      <c r="AD20" s="259" t="n">
        <v>403000000</v>
      </c>
      <c r="AE20" s="259" t="n">
        <v>440000000</v>
      </c>
      <c r="AF20" s="259" t="n">
        <v>439000000</v>
      </c>
      <c r="AG20" s="259" t="n">
        <v>438000000</v>
      </c>
      <c r="AH20" s="259" t="n">
        <v>441000000</v>
      </c>
      <c r="AI20" s="259" t="n">
        <v>437000000</v>
      </c>
      <c r="AJ20" s="259" t="n">
        <v>438000000</v>
      </c>
    </row>
    <row r="21">
      <c r="H21" s="254" t="inlineStr">
        <is>
          <t>BALANÇO DE FACE (USD, saldo no fim do trimestre; cada trimestre lido da instância do próprio 10-Q/10-K)</t>
        </is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CashAndCashEquivalentsAtCarryingValue</t>
        </is>
      </c>
      <c r="J22" t="inlineStr">
        <is>
          <t>fonte</t>
        </is>
      </c>
      <c r="K22" s="259" t="n">
        <v>8900000000</v>
      </c>
      <c r="L22" s="259" t="n">
        <v>8190000000</v>
      </c>
      <c r="M22" s="259" t="n">
        <v>7066000000</v>
      </c>
      <c r="N22" s="259" t="n">
        <v>6962000000</v>
      </c>
      <c r="O22" s="259" t="n">
        <v>7182000000</v>
      </c>
      <c r="P22" s="259" t="n">
        <v>7519000000</v>
      </c>
      <c r="Q22" s="259" t="n">
        <v>8017000000</v>
      </c>
      <c r="R22" s="259" t="n">
        <v>4472000000</v>
      </c>
      <c r="S22" s="259" t="n">
        <v>3878000000</v>
      </c>
      <c r="T22" s="259" t="n">
        <v>4359000000</v>
      </c>
      <c r="U22" s="259" t="n">
        <v>4774000000</v>
      </c>
      <c r="V22" s="259" t="n">
        <v>3976000000</v>
      </c>
      <c r="W22" s="259" t="n">
        <v>5267000000</v>
      </c>
      <c r="X22" s="259" t="n">
        <v>6576000000</v>
      </c>
      <c r="Y22" s="259" t="n">
        <v>7458000000</v>
      </c>
      <c r="Z22" s="259" t="n">
        <v>5137000000</v>
      </c>
      <c r="AA22" s="259" t="n">
        <v>5553000000</v>
      </c>
      <c r="AB22" s="259" t="n">
        <v>7004000000</v>
      </c>
      <c r="AC22" s="259" t="n">
        <v>7324000000</v>
      </c>
      <c r="AD22" s="259" t="n">
        <v>6601000000</v>
      </c>
      <c r="AE22" s="259" t="n">
        <v>7991000000</v>
      </c>
      <c r="AF22" s="259" t="n">
        <v>8580000000</v>
      </c>
      <c r="AG22" s="259" t="n">
        <v>8276000000</v>
      </c>
      <c r="AH22" s="259" t="n">
        <v>6798000000</v>
      </c>
      <c r="AI22" s="259" t="n">
        <v>7905000000</v>
      </c>
      <c r="AJ22" s="259" t="n">
        <v>8928000000</v>
      </c>
    </row>
    <row r="23">
      <c r="A23" t="n">
        <v>13</v>
      </c>
      <c r="B23" t="n">
        <v>1</v>
      </c>
      <c r="G23" t="inlineStr">
        <is>
          <t>moeda</t>
        </is>
      </c>
      <c r="H23" t="inlineStr">
        <is>
          <t>InventoryNet</t>
        </is>
      </c>
      <c r="J23" t="inlineStr">
        <is>
          <t>fonte</t>
        </is>
      </c>
      <c r="K23" s="259" t="n">
        <v>6171000000</v>
      </c>
      <c r="L23" s="259" t="n">
        <v>5650000000</v>
      </c>
      <c r="M23" s="259" t="n">
        <v>4999000000</v>
      </c>
      <c r="N23" s="259" t="n">
        <v>5956000000</v>
      </c>
      <c r="O23" s="259" t="n">
        <v>6042000000</v>
      </c>
      <c r="P23" s="259" t="n">
        <v>6410000000</v>
      </c>
      <c r="Q23" s="259" t="n">
        <v>6781000000</v>
      </c>
      <c r="R23" s="259" t="n">
        <v>7935000000</v>
      </c>
      <c r="S23" s="259" t="n">
        <v>9030000000</v>
      </c>
      <c r="T23" s="259" t="n">
        <v>9121000000</v>
      </c>
      <c r="U23" s="259" t="n">
        <v>8495000000</v>
      </c>
      <c r="V23" s="259" t="n">
        <v>10056000000</v>
      </c>
      <c r="W23" s="259" t="n">
        <v>9713000000</v>
      </c>
      <c r="X23" s="259" t="n">
        <v>9350000000</v>
      </c>
      <c r="Y23" s="259" t="n">
        <v>8160000000</v>
      </c>
      <c r="Z23" s="259" t="n">
        <v>8937000000</v>
      </c>
      <c r="AA23" s="259" t="n">
        <v>8443000000</v>
      </c>
      <c r="AB23" s="259" t="n">
        <v>7696000000</v>
      </c>
      <c r="AC23" s="259" t="n">
        <v>7093000000</v>
      </c>
      <c r="AD23" s="259" t="n">
        <v>7744000000</v>
      </c>
      <c r="AE23" s="259" t="n">
        <v>7870000000</v>
      </c>
      <c r="AF23" s="259" t="n">
        <v>7713000000</v>
      </c>
      <c r="AG23" s="259" t="n">
        <v>7406000000</v>
      </c>
      <c r="AH23" s="259" t="n">
        <v>8286000000</v>
      </c>
      <c r="AI23" s="259" t="n">
        <v>8188000000</v>
      </c>
      <c r="AJ23" s="259" t="n">
        <v>7811000000</v>
      </c>
    </row>
    <row r="24">
      <c r="A24" t="n">
        <v>14</v>
      </c>
      <c r="B24" t="n">
        <v>1</v>
      </c>
      <c r="G24" t="inlineStr">
        <is>
          <t>moeda</t>
        </is>
      </c>
      <c r="H24" t="inlineStr">
        <is>
          <t>DeferredIncomeTaxAssetsNet</t>
        </is>
      </c>
      <c r="J24" t="inlineStr">
        <is>
          <t>fonte</t>
        </is>
      </c>
      <c r="K24" s="259" t="n">
        <v>1435000000</v>
      </c>
      <c r="L24" s="259" t="n">
        <v>1534000000</v>
      </c>
      <c r="M24" s="259" t="n">
        <v>1499000000</v>
      </c>
      <c r="N24" s="259" t="n">
        <v>1556000000</v>
      </c>
      <c r="O24" s="259" t="n">
        <v>1724000000</v>
      </c>
      <c r="P24" s="259" t="n">
        <v>1767000000</v>
      </c>
      <c r="Q24" s="259" t="n">
        <v>1037000000</v>
      </c>
      <c r="R24" s="259" t="n">
        <v>923000000</v>
      </c>
      <c r="S24" s="259" t="n">
        <v>1104000000</v>
      </c>
      <c r="T24" s="259" t="n">
        <v>1110000000</v>
      </c>
      <c r="U24" s="259" t="n">
        <v>824000000</v>
      </c>
      <c r="V24" s="259" t="n">
        <v>914000000</v>
      </c>
      <c r="W24" s="259" t="n">
        <v>1308000000</v>
      </c>
      <c r="X24" s="259" t="n">
        <v>1360000000</v>
      </c>
      <c r="Y24" s="259" t="n">
        <v>1814000000</v>
      </c>
      <c r="Z24" s="259" t="n">
        <v>1833000000</v>
      </c>
      <c r="AA24" s="259" t="n">
        <v>1936000000</v>
      </c>
      <c r="AB24" s="259" t="n">
        <v>1898000000</v>
      </c>
      <c r="AC24" s="259" t="n">
        <v>2086000000</v>
      </c>
      <c r="AD24" s="259" t="n">
        <v>1852000000</v>
      </c>
      <c r="AE24" s="259" t="n">
        <v>2088000000</v>
      </c>
      <c r="AF24" s="259" t="n">
        <v>2209000000</v>
      </c>
      <c r="AG24" s="259" t="n">
        <v>2284000000</v>
      </c>
      <c r="AH24" s="259" t="n">
        <v>2268000000</v>
      </c>
      <c r="AI24" s="259" t="n">
        <v>2361000000</v>
      </c>
      <c r="AJ24" s="259" t="n">
        <v>2343000000</v>
      </c>
    </row>
    <row r="25">
      <c r="A25" t="n">
        <v>16</v>
      </c>
      <c r="B25" t="n">
        <v>1</v>
      </c>
      <c r="G25" t="inlineStr">
        <is>
          <t>moeda</t>
        </is>
      </c>
      <c r="H25" t="inlineStr">
        <is>
          <t>MarketableSecurities</t>
        </is>
      </c>
      <c r="J25" t="inlineStr">
        <is>
          <t>fonte</t>
        </is>
      </c>
      <c r="K25" s="259" t="n">
        <v>626000000</v>
      </c>
      <c r="L25" s="259" t="n">
        <v>640000000</v>
      </c>
      <c r="M25" s="259" t="n">
        <v>641000000</v>
      </c>
      <c r="N25" s="259" t="n">
        <v>667000000</v>
      </c>
      <c r="O25" s="259" t="n">
        <v>668000000</v>
      </c>
      <c r="P25" s="259" t="n">
        <v>688000000</v>
      </c>
      <c r="Q25" s="259" t="n">
        <v>728000000</v>
      </c>
      <c r="R25" s="259" t="n">
        <v>735000000</v>
      </c>
      <c r="S25" s="259" t="n">
        <v>682000000</v>
      </c>
      <c r="T25" s="259" t="n">
        <v>719000000</v>
      </c>
      <c r="U25" s="259" t="n">
        <v>734000000</v>
      </c>
      <c r="V25" s="259" t="n">
        <v>852000000</v>
      </c>
      <c r="W25" s="259" t="n">
        <v>856000000</v>
      </c>
      <c r="X25" s="259" t="n">
        <v>841000000</v>
      </c>
      <c r="Y25" s="259" t="n">
        <v>946000000</v>
      </c>
      <c r="Z25" s="259" t="n">
        <v>1136000000</v>
      </c>
      <c r="AA25" s="259" t="n">
        <v>1094000000</v>
      </c>
      <c r="AB25" s="259" t="n">
        <v>1140000000</v>
      </c>
      <c r="AC25" s="259" t="n">
        <v>1154000000</v>
      </c>
      <c r="AD25" s="259" t="n">
        <v>1214000000</v>
      </c>
      <c r="AE25" s="259" t="n">
        <v>1272000000</v>
      </c>
      <c r="AF25" s="259" t="n">
        <v>1407000000</v>
      </c>
      <c r="AG25" s="259" t="n">
        <v>1411000000</v>
      </c>
      <c r="AH25" s="259" t="n">
        <v>1398000000</v>
      </c>
      <c r="AI25" s="259" t="n">
        <v>1430000000</v>
      </c>
      <c r="AJ25" s="259" t="n">
        <v>1350000000</v>
      </c>
    </row>
    <row r="26">
      <c r="A26" t="n">
        <v>16</v>
      </c>
      <c r="B26" t="n">
        <v>1</v>
      </c>
      <c r="G26" t="inlineStr">
        <is>
          <t>moeda</t>
        </is>
      </c>
      <c r="H26" t="inlineStr">
        <is>
          <t>DueFromRelatedParties</t>
        </is>
      </c>
      <c r="J26" t="inlineStr">
        <is>
          <t>fonte</t>
        </is>
      </c>
      <c r="K26" s="259" t="n">
        <v>32000000</v>
      </c>
      <c r="L26" s="259" t="n">
        <v>26000000</v>
      </c>
      <c r="M26" s="259" t="n">
        <v>31000000</v>
      </c>
      <c r="N26" s="259" t="n">
        <v>28000000</v>
      </c>
      <c r="O26" s="259" t="n">
        <v>31000000</v>
      </c>
      <c r="P26" s="259" t="n">
        <v>29000000</v>
      </c>
      <c r="Q26" s="259" t="n">
        <v>27000000</v>
      </c>
      <c r="R26" s="259" t="n">
        <v>33000000</v>
      </c>
      <c r="S26" s="259" t="n">
        <v>0</v>
      </c>
      <c r="T26" s="259" t="n">
        <v>0</v>
      </c>
      <c r="U26" s="259" t="n">
        <v>0</v>
      </c>
      <c r="V26" s="259" t="n">
        <v>0</v>
      </c>
      <c r="W26" s="259" t="n">
        <v>0</v>
      </c>
      <c r="X26" s="259" t="n">
        <v>0</v>
      </c>
      <c r="Y26" s="259" t="n">
        <v>0</v>
      </c>
      <c r="Z26" s="259" t="n">
        <v>0</v>
      </c>
      <c r="AA26" s="259" t="n">
        <v>0</v>
      </c>
      <c r="AB26" s="259" t="n">
        <v>0</v>
      </c>
      <c r="AC26" s="259" t="n">
        <v>0</v>
      </c>
      <c r="AD26" s="259" t="n">
        <v>0</v>
      </c>
      <c r="AE26" s="259" t="n">
        <v>0</v>
      </c>
      <c r="AF26" s="259" t="n">
        <v>0</v>
      </c>
      <c r="AG26" s="259" t="n">
        <v>0</v>
      </c>
      <c r="AH26" s="259" t="n">
        <v>0</v>
      </c>
      <c r="AI26" s="259" t="n">
        <v>0</v>
      </c>
      <c r="AJ26" s="259" t="n">
        <v>0</v>
      </c>
    </row>
    <row r="27">
      <c r="A27" t="n">
        <v>16</v>
      </c>
      <c r="B27" t="n">
        <v>1</v>
      </c>
      <c r="G27" t="inlineStr">
        <is>
          <t>moeda</t>
        </is>
      </c>
      <c r="H27" t="inlineStr">
        <is>
          <t>AccountsReceivableNet</t>
        </is>
      </c>
      <c r="J27" t="inlineStr">
        <is>
          <t>fonte</t>
        </is>
      </c>
      <c r="K27" s="259" t="n">
        <v>5986000000</v>
      </c>
      <c r="L27" s="259" t="n">
        <v>5473000000</v>
      </c>
      <c r="M27" s="259" t="n">
        <v>4171000000</v>
      </c>
      <c r="N27" s="259" t="n">
        <v>5037000000</v>
      </c>
      <c r="O27" s="259" t="n">
        <v>6158000000</v>
      </c>
      <c r="P27" s="259" t="n">
        <v>5268000000</v>
      </c>
      <c r="Q27" s="259" t="n">
        <v>4208000000</v>
      </c>
      <c r="R27" s="259" t="n">
        <v>4855000000</v>
      </c>
      <c r="S27" s="259" t="n">
        <v>6258000000</v>
      </c>
      <c r="T27" s="259" t="n">
        <v>6696000000</v>
      </c>
      <c r="U27" s="259" t="n">
        <v>6410000000</v>
      </c>
      <c r="V27" s="259" t="n">
        <v>7609000000</v>
      </c>
      <c r="W27" s="259" t="n">
        <v>9971000000</v>
      </c>
      <c r="X27" s="259" t="n">
        <v>9297000000</v>
      </c>
      <c r="Y27" s="259" t="n">
        <v>7739000000</v>
      </c>
      <c r="Z27" s="259" t="n">
        <v>7795000000</v>
      </c>
      <c r="AA27" s="259" t="n">
        <v>8880000000</v>
      </c>
      <c r="AB27" s="259" t="n">
        <v>7469000000</v>
      </c>
      <c r="AC27" s="259" t="n">
        <v>5326000000</v>
      </c>
      <c r="AD27" s="259" t="n">
        <v>4931000000</v>
      </c>
      <c r="AE27" s="259" t="n">
        <v>6748000000</v>
      </c>
      <c r="AF27" s="259" t="n">
        <v>6103000000</v>
      </c>
      <c r="AG27" s="259" t="n">
        <v>5317000000</v>
      </c>
      <c r="AH27" s="259" t="n">
        <v>5993000000</v>
      </c>
      <c r="AI27" s="259" t="n">
        <v>7571000000</v>
      </c>
      <c r="AJ27" s="259" t="n">
        <v>7723000000</v>
      </c>
    </row>
    <row r="28">
      <c r="A28" t="n">
        <v>16</v>
      </c>
      <c r="B28" t="n">
        <v>1</v>
      </c>
      <c r="G28" t="inlineStr">
        <is>
          <t>moeda</t>
        </is>
      </c>
      <c r="H28" t="inlineStr">
        <is>
          <t>LoansAndLeasesReceivableNetReportedAmount</t>
        </is>
      </c>
      <c r="J28" t="inlineStr">
        <is>
          <t>fonte</t>
        </is>
      </c>
      <c r="K28" s="259" t="n">
        <v>27256000000</v>
      </c>
      <c r="L28" s="259" t="n">
        <v>27814000000</v>
      </c>
      <c r="M28" s="259" t="n">
        <v>29750000000</v>
      </c>
      <c r="N28" s="259" t="n">
        <v>29438000000</v>
      </c>
      <c r="O28" s="259" t="n">
        <v>30994000000</v>
      </c>
      <c r="P28" s="259" t="n">
        <v>31449000000</v>
      </c>
      <c r="Q28" s="259" t="n">
        <v>33799000000</v>
      </c>
      <c r="R28" s="259" t="n">
        <v>33191000000</v>
      </c>
      <c r="S28" s="259" t="n">
        <v>34085000000</v>
      </c>
      <c r="T28" s="259" t="n">
        <v>0</v>
      </c>
      <c r="U28" s="259" t="n">
        <v>0</v>
      </c>
      <c r="V28" s="259" t="n">
        <v>0</v>
      </c>
      <c r="W28" s="259" t="n">
        <v>0</v>
      </c>
      <c r="X28" s="259" t="n">
        <v>0</v>
      </c>
      <c r="Y28" s="259" t="n">
        <v>0</v>
      </c>
      <c r="Z28" s="259" t="n">
        <v>0</v>
      </c>
      <c r="AA28" s="259" t="n">
        <v>0</v>
      </c>
      <c r="AB28" s="259" t="n">
        <v>0</v>
      </c>
      <c r="AC28" s="259" t="n">
        <v>0</v>
      </c>
      <c r="AD28" s="259" t="n">
        <v>0</v>
      </c>
      <c r="AE28" s="259" t="n">
        <v>0</v>
      </c>
      <c r="AF28" s="259" t="n">
        <v>0</v>
      </c>
      <c r="AG28" s="259" t="n">
        <v>0</v>
      </c>
      <c r="AH28" s="259" t="n">
        <v>0</v>
      </c>
      <c r="AI28" s="259" t="n">
        <v>0</v>
      </c>
      <c r="AJ28" s="259" t="n">
        <v>0</v>
      </c>
    </row>
    <row r="29">
      <c r="A29" t="n">
        <v>16</v>
      </c>
      <c r="B29" t="n">
        <v>1</v>
      </c>
      <c r="G29" t="inlineStr">
        <is>
          <t>moeda</t>
        </is>
      </c>
      <c r="H29" t="inlineStr">
        <is>
          <t>LoansPledgedAsCollateral</t>
        </is>
      </c>
      <c r="J29" t="inlineStr">
        <is>
          <t>fonte</t>
        </is>
      </c>
      <c r="K29" s="259" t="n">
        <v>4685000000</v>
      </c>
      <c r="L29" s="259" t="n">
        <v>5469000000</v>
      </c>
      <c r="M29" s="259" t="n">
        <v>4703000000</v>
      </c>
      <c r="N29" s="259" t="n">
        <v>3931000000</v>
      </c>
      <c r="O29" s="259" t="n">
        <v>4107000000</v>
      </c>
      <c r="P29" s="259" t="n">
        <v>5401000000</v>
      </c>
      <c r="Q29" s="259" t="n">
        <v>4659000000</v>
      </c>
      <c r="R29" s="259" t="n">
        <v>3516000000</v>
      </c>
      <c r="S29" s="259" t="n">
        <v>4073000000</v>
      </c>
      <c r="T29" s="259" t="n">
        <v>0</v>
      </c>
      <c r="U29" s="259" t="n">
        <v>0</v>
      </c>
      <c r="V29" s="259" t="n">
        <v>0</v>
      </c>
      <c r="W29" s="259" t="n">
        <v>0</v>
      </c>
      <c r="X29" s="259" t="n">
        <v>0</v>
      </c>
      <c r="Y29" s="259" t="n">
        <v>0</v>
      </c>
      <c r="Z29" s="259" t="n">
        <v>0</v>
      </c>
      <c r="AA29" s="259" t="n">
        <v>0</v>
      </c>
      <c r="AB29" s="259" t="n">
        <v>0</v>
      </c>
      <c r="AC29" s="259" t="n">
        <v>0</v>
      </c>
      <c r="AD29" s="259" t="n">
        <v>0</v>
      </c>
      <c r="AE29" s="259" t="n">
        <v>0</v>
      </c>
      <c r="AF29" s="259" t="n">
        <v>0</v>
      </c>
      <c r="AG29" s="259" t="n">
        <v>0</v>
      </c>
      <c r="AH29" s="259" t="n">
        <v>0</v>
      </c>
      <c r="AI29" s="259" t="n">
        <v>0</v>
      </c>
      <c r="AJ29" s="259" t="n">
        <v>0</v>
      </c>
    </row>
    <row r="30">
      <c r="A30" t="n">
        <v>16</v>
      </c>
      <c r="B30" t="n">
        <v>1</v>
      </c>
      <c r="G30" t="inlineStr">
        <is>
          <t>moeda</t>
        </is>
      </c>
      <c r="H30" t="inlineStr">
        <is>
          <t>OtherReceivables</t>
        </is>
      </c>
      <c r="J30" t="inlineStr">
        <is>
          <t>fonte</t>
        </is>
      </c>
      <c r="K30" s="259" t="n">
        <v>1212000000</v>
      </c>
      <c r="L30" s="259" t="n">
        <v>1217000000</v>
      </c>
      <c r="M30" s="259" t="n">
        <v>1220000000</v>
      </c>
      <c r="N30" s="259" t="n">
        <v>1141000000</v>
      </c>
      <c r="O30" s="259" t="n">
        <v>1473000000</v>
      </c>
      <c r="P30" s="259" t="n">
        <v>1673000000</v>
      </c>
      <c r="Q30" s="259" t="n">
        <v>1738000000</v>
      </c>
      <c r="R30" s="259" t="n">
        <v>1903000000</v>
      </c>
      <c r="S30" s="259" t="n">
        <v>2306000000</v>
      </c>
      <c r="T30" s="259" t="n">
        <v>1999000000</v>
      </c>
      <c r="U30" s="259" t="n">
        <v>2492000000</v>
      </c>
      <c r="V30" s="259" t="n">
        <v>1992000000</v>
      </c>
      <c r="W30" s="259" t="n">
        <v>2593000000</v>
      </c>
      <c r="X30" s="259" t="n">
        <v>3118000000</v>
      </c>
      <c r="Y30" s="259" t="n">
        <v>2623000000</v>
      </c>
      <c r="Z30" s="259" t="n">
        <v>2017000000</v>
      </c>
      <c r="AA30" s="259" t="n">
        <v>2535000000</v>
      </c>
      <c r="AB30" s="259" t="n">
        <v>2270000000</v>
      </c>
      <c r="AC30" s="259" t="n">
        <v>2545000000</v>
      </c>
      <c r="AD30" s="259" t="n">
        <v>2979000000</v>
      </c>
      <c r="AE30" s="259" t="n">
        <v>2975000000</v>
      </c>
      <c r="AF30" s="259" t="n">
        <v>2826000000</v>
      </c>
      <c r="AG30" s="259" t="n">
        <v>2403000000</v>
      </c>
      <c r="AH30" s="259" t="n">
        <v>2411000000</v>
      </c>
      <c r="AI30" s="259" t="n">
        <v>2582000000</v>
      </c>
      <c r="AJ30" s="259" t="n">
        <v>2466000000</v>
      </c>
    </row>
    <row r="31">
      <c r="A31" t="n">
        <v>16</v>
      </c>
      <c r="B31" t="n">
        <v>1</v>
      </c>
      <c r="G31" t="inlineStr">
        <is>
          <t>moeda</t>
        </is>
      </c>
      <c r="H31" t="inlineStr">
        <is>
          <t>EquipmentOnOperatingLeasesNet</t>
        </is>
      </c>
      <c r="J31" t="inlineStr">
        <is>
          <t>fonte</t>
        </is>
      </c>
      <c r="K31" s="259" t="n">
        <v>7245000000</v>
      </c>
      <c r="L31" s="259" t="n">
        <v>7158000000</v>
      </c>
      <c r="M31" s="259" t="n">
        <v>7298000000</v>
      </c>
      <c r="N31" s="259" t="n">
        <v>7030000000</v>
      </c>
      <c r="O31" s="259" t="n">
        <v>0</v>
      </c>
      <c r="P31" s="259" t="n">
        <v>0</v>
      </c>
      <c r="Q31" s="259" t="n">
        <v>0</v>
      </c>
      <c r="R31" s="259" t="n">
        <v>0</v>
      </c>
      <c r="S31" s="259" t="n">
        <v>0</v>
      </c>
      <c r="T31" s="259" t="n">
        <v>0</v>
      </c>
      <c r="U31" s="259" t="n">
        <v>0</v>
      </c>
      <c r="V31" s="259" t="n">
        <v>0</v>
      </c>
      <c r="W31" s="259" t="n">
        <v>0</v>
      </c>
      <c r="X31" s="259" t="n">
        <v>0</v>
      </c>
      <c r="Y31" s="259" t="n">
        <v>0</v>
      </c>
      <c r="Z31" s="259" t="n">
        <v>0</v>
      </c>
      <c r="AA31" s="259" t="n">
        <v>0</v>
      </c>
      <c r="AB31" s="259" t="n">
        <v>0</v>
      </c>
      <c r="AC31" s="259" t="n">
        <v>0</v>
      </c>
      <c r="AD31" s="259" t="n">
        <v>0</v>
      </c>
      <c r="AE31" s="259" t="n">
        <v>0</v>
      </c>
      <c r="AF31" s="259" t="n">
        <v>0</v>
      </c>
      <c r="AG31" s="259" t="n">
        <v>0</v>
      </c>
      <c r="AH31" s="259" t="n">
        <v>0</v>
      </c>
      <c r="AI31" s="259" t="n">
        <v>0</v>
      </c>
      <c r="AJ31" s="259" t="n">
        <v>0</v>
      </c>
    </row>
    <row r="32">
      <c r="A32" t="n">
        <v>16</v>
      </c>
      <c r="B32" t="n">
        <v>1</v>
      </c>
      <c r="G32" t="inlineStr">
        <is>
          <t>moeda</t>
        </is>
      </c>
      <c r="H32" t="inlineStr">
        <is>
          <t>InvestmentsInAffiliatesSubsidiariesAssociatesAndJointVentures</t>
        </is>
      </c>
      <c r="J32" t="inlineStr">
        <is>
          <t>fonte</t>
        </is>
      </c>
      <c r="K32" s="259" t="n">
        <v>192000000</v>
      </c>
      <c r="L32" s="259" t="n">
        <v>199000000</v>
      </c>
      <c r="M32" s="259" t="n">
        <v>193000000</v>
      </c>
      <c r="N32" s="259" t="n">
        <v>178000000</v>
      </c>
      <c r="O32" s="259" t="n">
        <v>182000000</v>
      </c>
      <c r="P32" s="259" t="n">
        <v>188000000</v>
      </c>
      <c r="Q32" s="259" t="n">
        <v>175000000</v>
      </c>
      <c r="R32" s="259" t="n">
        <v>176000000</v>
      </c>
      <c r="S32" s="259" t="n">
        <v>0</v>
      </c>
      <c r="T32" s="259" t="n">
        <v>0</v>
      </c>
      <c r="U32" s="259" t="n">
        <v>0</v>
      </c>
      <c r="V32" s="259" t="n">
        <v>0</v>
      </c>
      <c r="W32" s="259" t="n">
        <v>0</v>
      </c>
      <c r="X32" s="259" t="n">
        <v>0</v>
      </c>
      <c r="Y32" s="259" t="n">
        <v>0</v>
      </c>
      <c r="Z32" s="259" t="n">
        <v>0</v>
      </c>
      <c r="AA32" s="259" t="n">
        <v>0</v>
      </c>
      <c r="AB32" s="259" t="n">
        <v>0</v>
      </c>
      <c r="AC32" s="259" t="n">
        <v>0</v>
      </c>
      <c r="AD32" s="259" t="n">
        <v>0</v>
      </c>
      <c r="AE32" s="259" t="n">
        <v>0</v>
      </c>
      <c r="AF32" s="259" t="n">
        <v>0</v>
      </c>
      <c r="AG32" s="259" t="n">
        <v>0</v>
      </c>
      <c r="AH32" s="259" t="n">
        <v>0</v>
      </c>
      <c r="AI32" s="259" t="n">
        <v>0</v>
      </c>
      <c r="AJ32" s="259" t="n">
        <v>0</v>
      </c>
    </row>
    <row r="33">
      <c r="A33" t="n">
        <v>16</v>
      </c>
      <c r="B33" t="n">
        <v>1</v>
      </c>
      <c r="G33" t="inlineStr">
        <is>
          <t>moeda</t>
        </is>
      </c>
      <c r="H33" t="inlineStr">
        <is>
          <t>DefinedBenefitPlanAssetsForPlanBenefitsNoncurrent</t>
        </is>
      </c>
      <c r="J33" t="inlineStr">
        <is>
          <t>fonte</t>
        </is>
      </c>
      <c r="K33" s="259" t="n">
        <v>960000000</v>
      </c>
      <c r="L33" s="259" t="n">
        <v>1031000000</v>
      </c>
      <c r="M33" s="259" t="n">
        <v>863000000</v>
      </c>
      <c r="N33" s="259" t="n">
        <v>906000000</v>
      </c>
      <c r="O33" s="259" t="n">
        <v>951000000</v>
      </c>
      <c r="P33" s="259" t="n">
        <v>990000000</v>
      </c>
      <c r="Q33" s="259" t="n">
        <v>3601000000</v>
      </c>
      <c r="R33" s="259" t="n">
        <v>3158000000</v>
      </c>
      <c r="S33" s="259" t="n">
        <v>3059000000</v>
      </c>
      <c r="T33" s="259" t="n">
        <v>3125000000</v>
      </c>
      <c r="U33" s="259" t="n">
        <v>3730000000</v>
      </c>
      <c r="V33" s="259" t="n">
        <v>3793000000</v>
      </c>
      <c r="W33" s="259" t="n">
        <v>3519000000</v>
      </c>
      <c r="X33" s="259" t="n">
        <v>3573000000</v>
      </c>
      <c r="Y33" s="259" t="n">
        <v>3007000000</v>
      </c>
      <c r="Z33" s="259" t="n">
        <v>3087000000</v>
      </c>
      <c r="AA33" s="259" t="n">
        <v>3056000000</v>
      </c>
      <c r="AB33" s="259" t="n">
        <v>3126000000</v>
      </c>
      <c r="AC33" s="259" t="n">
        <v>2921000000</v>
      </c>
      <c r="AD33" s="259" t="n">
        <v>3018000000</v>
      </c>
      <c r="AE33" s="259" t="n">
        <v>3133000000</v>
      </c>
      <c r="AF33" s="259" t="n">
        <v>3182000000</v>
      </c>
      <c r="AG33" s="259" t="n">
        <v>3273000000</v>
      </c>
      <c r="AH33" s="259" t="n">
        <v>3378000000</v>
      </c>
      <c r="AI33" s="259" t="n">
        <v>3450000000</v>
      </c>
      <c r="AJ33" s="259" t="n">
        <v>3541000000</v>
      </c>
    </row>
    <row r="34">
      <c r="A34" t="n">
        <v>16</v>
      </c>
      <c r="B34" t="n">
        <v>1</v>
      </c>
      <c r="G34" t="inlineStr">
        <is>
          <t>moeda</t>
        </is>
      </c>
      <c r="H34" t="inlineStr">
        <is>
          <t>OtherAssets</t>
        </is>
      </c>
      <c r="J34" t="inlineStr">
        <is>
          <t>fonte</t>
        </is>
      </c>
      <c r="K34" s="259" t="n">
        <v>2713000000</v>
      </c>
      <c r="L34" s="259" t="n">
        <v>2824000000</v>
      </c>
      <c r="M34" s="259" t="n">
        <v>2432000000</v>
      </c>
      <c r="N34" s="259" t="n">
        <v>2373000000</v>
      </c>
      <c r="O34" s="259" t="n">
        <v>2155000000</v>
      </c>
      <c r="P34" s="259" t="n">
        <v>2260000000</v>
      </c>
      <c r="Q34" s="259" t="n">
        <v>1970000000</v>
      </c>
      <c r="R34" s="259" t="n">
        <v>2027000000</v>
      </c>
      <c r="S34" s="259" t="n">
        <v>2280000000</v>
      </c>
      <c r="T34" s="259" t="n">
        <v>2236000000</v>
      </c>
      <c r="U34" s="259" t="n">
        <v>2417000000</v>
      </c>
      <c r="V34" s="259" t="n">
        <v>2597000000</v>
      </c>
      <c r="W34" s="259" t="n">
        <v>2510000000</v>
      </c>
      <c r="X34" s="259" t="n">
        <v>2659000000</v>
      </c>
      <c r="Y34" s="259" t="n">
        <v>2503000000</v>
      </c>
      <c r="Z34" s="259" t="n">
        <v>2578000000</v>
      </c>
      <c r="AA34" s="259" t="n">
        <v>2592000000</v>
      </c>
      <c r="AB34" s="259" t="n">
        <v>2903000000</v>
      </c>
      <c r="AC34" s="259" t="n">
        <v>2906000000</v>
      </c>
      <c r="AD34" s="259" t="n">
        <v>2807000000</v>
      </c>
      <c r="AE34" s="259" t="n">
        <v>3483000000</v>
      </c>
      <c r="AF34" s="259" t="n">
        <v>3559000000</v>
      </c>
      <c r="AG34" s="259" t="n">
        <v>3461000000</v>
      </c>
      <c r="AH34" s="259" t="n">
        <v>3556000000</v>
      </c>
      <c r="AI34" s="259" t="n">
        <v>3461000000</v>
      </c>
      <c r="AJ34" s="259" t="n">
        <v>3457000000</v>
      </c>
    </row>
    <row r="35">
      <c r="A35" t="n">
        <v>16</v>
      </c>
      <c r="B35" t="n">
        <v>1</v>
      </c>
      <c r="G35" t="inlineStr">
        <is>
          <t>moeda</t>
        </is>
      </c>
      <c r="H35" t="inlineStr">
        <is>
          <t>PropertySubjectToOrAvailableForEquipmentOnOperatingLeaseNet</t>
        </is>
      </c>
      <c r="J35" t="inlineStr">
        <is>
          <t>fonte</t>
        </is>
      </c>
      <c r="K35" s="259" t="n">
        <v>0</v>
      </c>
      <c r="L35" s="259" t="n">
        <v>0</v>
      </c>
      <c r="M35" s="259" t="n">
        <v>0</v>
      </c>
      <c r="N35" s="259" t="n">
        <v>0</v>
      </c>
      <c r="O35" s="259" t="n">
        <v>7108000000</v>
      </c>
      <c r="P35" s="259" t="n">
        <v>6982000000</v>
      </c>
      <c r="Q35" s="259" t="n">
        <v>0</v>
      </c>
      <c r="R35" s="259" t="n">
        <v>0</v>
      </c>
      <c r="S35" s="259" t="n">
        <v>0</v>
      </c>
      <c r="T35" s="259" t="n">
        <v>0</v>
      </c>
      <c r="U35" s="259" t="n">
        <v>0</v>
      </c>
      <c r="V35" s="259" t="n">
        <v>0</v>
      </c>
      <c r="W35" s="259" t="n">
        <v>0</v>
      </c>
      <c r="X35" s="259" t="n">
        <v>0</v>
      </c>
      <c r="Y35" s="259" t="n">
        <v>0</v>
      </c>
      <c r="Z35" s="259" t="n">
        <v>0</v>
      </c>
      <c r="AA35" s="259" t="n">
        <v>0</v>
      </c>
      <c r="AB35" s="259" t="n">
        <v>0</v>
      </c>
      <c r="AC35" s="259" t="n">
        <v>0</v>
      </c>
      <c r="AD35" s="259" t="n">
        <v>0</v>
      </c>
      <c r="AE35" s="259" t="n">
        <v>0</v>
      </c>
      <c r="AF35" s="259" t="n">
        <v>0</v>
      </c>
      <c r="AG35" s="259" t="n">
        <v>0</v>
      </c>
      <c r="AH35" s="259" t="n">
        <v>0</v>
      </c>
      <c r="AI35" s="259" t="n">
        <v>0</v>
      </c>
      <c r="AJ35" s="259" t="n">
        <v>0</v>
      </c>
    </row>
    <row r="36">
      <c r="A36" t="n">
        <v>16</v>
      </c>
      <c r="B36" t="n">
        <v>1</v>
      </c>
      <c r="G36" t="inlineStr">
        <is>
          <t>moeda</t>
        </is>
      </c>
      <c r="H36" t="inlineStr">
        <is>
          <t>PropertyPlantAndEquipmentAndFinanceLeaseRightOfUseAssetExcludingLessorAssetUnderOperatingLeaseAfterAccumulatedDepreciationAndAmortization</t>
        </is>
      </c>
      <c r="J36" t="inlineStr">
        <is>
          <t>fonte</t>
        </is>
      </c>
      <c r="K36" s="259" t="n">
        <v>0</v>
      </c>
      <c r="L36" s="259" t="n">
        <v>0</v>
      </c>
      <c r="M36" s="259" t="n">
        <v>0</v>
      </c>
      <c r="N36" s="259" t="n">
        <v>0</v>
      </c>
      <c r="O36" s="259" t="n">
        <v>5704000000</v>
      </c>
      <c r="P36" s="259" t="n">
        <v>5649000000</v>
      </c>
      <c r="Q36" s="259" t="n">
        <v>5820000000</v>
      </c>
      <c r="R36" s="259" t="n">
        <v>5665000000</v>
      </c>
      <c r="S36" s="259" t="n">
        <v>5715000000</v>
      </c>
      <c r="T36" s="259" t="n">
        <v>5666000000</v>
      </c>
      <c r="U36" s="259" t="n">
        <v>6056000000</v>
      </c>
      <c r="V36" s="259" t="n">
        <v>6212000000</v>
      </c>
      <c r="W36" s="259" t="n">
        <v>6288000000</v>
      </c>
      <c r="X36" s="259" t="n">
        <v>6418000000</v>
      </c>
      <c r="Y36" s="259" t="n">
        <v>6879000000</v>
      </c>
      <c r="Z36" s="259" t="n">
        <v>6914000000</v>
      </c>
      <c r="AA36" s="259" t="n">
        <v>7034000000</v>
      </c>
      <c r="AB36" s="259" t="n">
        <v>7092000000</v>
      </c>
      <c r="AC36" s="259" t="n">
        <v>7580000000</v>
      </c>
      <c r="AD36" s="259" t="n">
        <v>7425000000</v>
      </c>
      <c r="AE36" s="259" t="n">
        <v>7555000000</v>
      </c>
      <c r="AF36" s="259" t="n">
        <v>7713000000</v>
      </c>
      <c r="AG36" s="259" t="n">
        <v>8079000000</v>
      </c>
      <c r="AH36" s="259" t="n">
        <v>8084000000</v>
      </c>
      <c r="AI36" s="259" t="n">
        <v>8035000000</v>
      </c>
      <c r="AJ36" s="259" t="n">
        <v>8006000000</v>
      </c>
    </row>
    <row r="37">
      <c r="A37" t="n">
        <v>16</v>
      </c>
      <c r="B37" t="n">
        <v>1</v>
      </c>
      <c r="G37" t="inlineStr">
        <is>
          <t>moeda</t>
        </is>
      </c>
      <c r="H37" t="inlineStr">
        <is>
          <t>PropertySubjectToOrAvailableForOperatingLeaseNet</t>
        </is>
      </c>
      <c r="J37" t="inlineStr">
        <is>
          <t>fonte</t>
        </is>
      </c>
      <c r="K37" s="259" t="n">
        <v>0</v>
      </c>
      <c r="L37" s="259" t="n">
        <v>0</v>
      </c>
      <c r="M37" s="259" t="n">
        <v>0</v>
      </c>
      <c r="N37" s="259" t="n">
        <v>0</v>
      </c>
      <c r="O37" s="259" t="n">
        <v>0</v>
      </c>
      <c r="P37" s="259" t="n">
        <v>0</v>
      </c>
      <c r="Q37" s="259" t="n">
        <v>6988000000</v>
      </c>
      <c r="R37" s="259" t="n">
        <v>6624000000</v>
      </c>
      <c r="S37" s="259" t="n">
        <v>6465000000</v>
      </c>
      <c r="T37" s="259" t="n">
        <v>6554000000</v>
      </c>
      <c r="U37" s="259" t="n">
        <v>6623000000</v>
      </c>
      <c r="V37" s="259" t="n">
        <v>6502000000</v>
      </c>
      <c r="W37" s="259" t="n">
        <v>6524000000</v>
      </c>
      <c r="X37" s="259" t="n">
        <v>6709000000</v>
      </c>
      <c r="Y37" s="259" t="n">
        <v>6917000000</v>
      </c>
      <c r="Z37" s="259" t="n">
        <v>6751000000</v>
      </c>
      <c r="AA37" s="259" t="n">
        <v>6965000000</v>
      </c>
      <c r="AB37" s="259" t="n">
        <v>7118000000</v>
      </c>
      <c r="AC37" s="259" t="n">
        <v>7451000000</v>
      </c>
      <c r="AD37" s="259" t="n">
        <v>7157000000</v>
      </c>
      <c r="AE37" s="259" t="n">
        <v>7336000000</v>
      </c>
      <c r="AF37" s="259" t="n">
        <v>7512000000</v>
      </c>
      <c r="AG37" s="259" t="n">
        <v>7600000000</v>
      </c>
      <c r="AH37" s="259" t="n">
        <v>7512000000</v>
      </c>
      <c r="AI37" s="259" t="n">
        <v>7514000000</v>
      </c>
      <c r="AJ37" s="259" t="n">
        <v>7400000000</v>
      </c>
    </row>
    <row r="38">
      <c r="A38" t="n">
        <v>16</v>
      </c>
      <c r="B38" t="n">
        <v>1</v>
      </c>
      <c r="G38" t="inlineStr">
        <is>
          <t>moeda</t>
        </is>
      </c>
      <c r="H38" t="inlineStr">
        <is>
          <t>AssetsOfDisposalGroupIncludingDiscontinuedOperation</t>
        </is>
      </c>
      <c r="J38" t="inlineStr">
        <is>
          <t>fonte</t>
        </is>
      </c>
      <c r="K38" s="259" t="n">
        <v>0</v>
      </c>
      <c r="L38" s="259" t="n">
        <v>0</v>
      </c>
      <c r="M38" s="259" t="n">
        <v>0</v>
      </c>
      <c r="N38" s="259" t="n">
        <v>0</v>
      </c>
      <c r="O38" s="259" t="n">
        <v>0</v>
      </c>
      <c r="P38" s="259" t="n">
        <v>0</v>
      </c>
      <c r="Q38" s="259" t="n">
        <v>0</v>
      </c>
      <c r="R38" s="259" t="n">
        <v>0</v>
      </c>
      <c r="S38" s="259" t="n">
        <v>0</v>
      </c>
      <c r="T38" s="259" t="n">
        <v>0</v>
      </c>
      <c r="U38" s="259" t="n">
        <v>0</v>
      </c>
      <c r="V38" s="259" t="n">
        <v>0</v>
      </c>
      <c r="W38" s="259" t="n">
        <v>0</v>
      </c>
      <c r="X38" s="259" t="n">
        <v>0</v>
      </c>
      <c r="Y38" s="259" t="n">
        <v>0</v>
      </c>
      <c r="Z38" s="259" t="n">
        <v>0</v>
      </c>
      <c r="AA38" s="259" t="n">
        <v>0</v>
      </c>
      <c r="AB38" s="259" t="n">
        <v>2965000000</v>
      </c>
      <c r="AC38" s="259" t="n">
        <v>2944000000</v>
      </c>
      <c r="AD38" s="259" t="n">
        <v>2929000000</v>
      </c>
      <c r="AE38" s="259" t="n">
        <v>0</v>
      </c>
      <c r="AF38" s="259" t="n">
        <v>0</v>
      </c>
      <c r="AG38" s="259" t="n">
        <v>0</v>
      </c>
      <c r="AH38" s="259" t="n">
        <v>0</v>
      </c>
      <c r="AI38" s="259" t="n">
        <v>0</v>
      </c>
      <c r="AJ38" s="259" t="n">
        <v>0</v>
      </c>
    </row>
    <row r="39">
      <c r="A39" t="n">
        <v>18</v>
      </c>
      <c r="B39" t="n">
        <v>1</v>
      </c>
      <c r="G39" t="inlineStr">
        <is>
          <t>moeda</t>
        </is>
      </c>
      <c r="H39" t="inlineStr">
        <is>
          <t>PropertyPlantAndEquipmentNet</t>
        </is>
      </c>
      <c r="J39" t="inlineStr">
        <is>
          <t>fonte</t>
        </is>
      </c>
      <c r="K39" s="259" t="n">
        <v>5685000000</v>
      </c>
      <c r="L39" s="259" t="n">
        <v>0</v>
      </c>
      <c r="M39" s="259" t="n">
        <v>0</v>
      </c>
      <c r="N39" s="259" t="n">
        <v>0</v>
      </c>
      <c r="O39" s="259" t="n">
        <v>0</v>
      </c>
      <c r="P39" s="259" t="n">
        <v>0</v>
      </c>
      <c r="Q39" s="259" t="n">
        <v>0</v>
      </c>
      <c r="R39" s="259" t="n">
        <v>0</v>
      </c>
      <c r="S39" s="259" t="n">
        <v>0</v>
      </c>
      <c r="T39" s="259" t="n">
        <v>0</v>
      </c>
      <c r="U39" s="259" t="n">
        <v>0</v>
      </c>
      <c r="V39" s="259" t="n">
        <v>0</v>
      </c>
      <c r="W39" s="259" t="n">
        <v>0</v>
      </c>
      <c r="X39" s="259" t="n">
        <v>0</v>
      </c>
      <c r="Y39" s="259" t="n">
        <v>0</v>
      </c>
      <c r="Z39" s="259" t="n">
        <v>0</v>
      </c>
      <c r="AA39" s="259" t="n">
        <v>0</v>
      </c>
      <c r="AB39" s="259" t="n">
        <v>0</v>
      </c>
      <c r="AC39" s="259" t="n">
        <v>0</v>
      </c>
      <c r="AD39" s="259" t="n">
        <v>0</v>
      </c>
      <c r="AE39" s="259" t="n">
        <v>0</v>
      </c>
      <c r="AF39" s="259" t="n">
        <v>0</v>
      </c>
      <c r="AG39" s="259" t="n">
        <v>0</v>
      </c>
      <c r="AH39" s="259" t="n">
        <v>0</v>
      </c>
      <c r="AI39" s="259" t="n">
        <v>0</v>
      </c>
      <c r="AJ39" s="259" t="n">
        <v>0</v>
      </c>
    </row>
    <row r="40">
      <c r="A40" t="n">
        <v>18</v>
      </c>
      <c r="B40" t="n">
        <v>1</v>
      </c>
      <c r="G40" t="inlineStr">
        <is>
          <t>moeda</t>
        </is>
      </c>
      <c r="H40" t="inlineStr">
        <is>
          <t>PropertyPlantAndEquipmentAndFinanceLeaseRightOfUseAssetAfterAccumulatedDepreciationAndAmortization</t>
        </is>
      </c>
      <c r="J40" t="inlineStr">
        <is>
          <t>fonte</t>
        </is>
      </c>
      <c r="K40" s="259" t="n">
        <v>0</v>
      </c>
      <c r="L40" s="259" t="n">
        <v>5754000000</v>
      </c>
      <c r="M40" s="259" t="n">
        <v>5817000000</v>
      </c>
      <c r="N40" s="259" t="n">
        <v>5741000000</v>
      </c>
      <c r="O40" s="259" t="n">
        <v>0</v>
      </c>
      <c r="P40" s="259" t="n">
        <v>0</v>
      </c>
      <c r="Q40" s="259" t="n">
        <v>0</v>
      </c>
      <c r="R40" s="259" t="n">
        <v>0</v>
      </c>
      <c r="S40" s="259" t="n">
        <v>0</v>
      </c>
      <c r="T40" s="259" t="n">
        <v>0</v>
      </c>
      <c r="U40" s="259" t="n">
        <v>0</v>
      </c>
      <c r="V40" s="259" t="n">
        <v>0</v>
      </c>
      <c r="W40" s="259" t="n">
        <v>0</v>
      </c>
      <c r="X40" s="259" t="n">
        <v>0</v>
      </c>
      <c r="Y40" s="259" t="n">
        <v>0</v>
      </c>
      <c r="Z40" s="259" t="n">
        <v>0</v>
      </c>
      <c r="AA40" s="259" t="n">
        <v>0</v>
      </c>
      <c r="AB40" s="259" t="n">
        <v>0</v>
      </c>
      <c r="AC40" s="259" t="n">
        <v>0</v>
      </c>
      <c r="AD40" s="259" t="n">
        <v>0</v>
      </c>
      <c r="AE40" s="259" t="n">
        <v>0</v>
      </c>
      <c r="AF40" s="259" t="n">
        <v>0</v>
      </c>
      <c r="AG40" s="259" t="n">
        <v>0</v>
      </c>
      <c r="AH40" s="259" t="n">
        <v>0</v>
      </c>
      <c r="AI40" s="259" t="n">
        <v>0</v>
      </c>
      <c r="AJ40" s="259" t="n">
        <v>0</v>
      </c>
    </row>
    <row r="41">
      <c r="A41" t="n">
        <v>20</v>
      </c>
      <c r="B41" t="n">
        <v>1</v>
      </c>
      <c r="G41" t="inlineStr">
        <is>
          <t>moeda</t>
        </is>
      </c>
      <c r="H41" t="inlineStr">
        <is>
          <t>Goodwill</t>
        </is>
      </c>
      <c r="J41" t="inlineStr">
        <is>
          <t>fonte</t>
        </is>
      </c>
      <c r="K41" s="259" t="n">
        <v>2917000000</v>
      </c>
      <c r="L41" s="259" t="n">
        <v>2984000000</v>
      </c>
      <c r="M41" s="259" t="n">
        <v>3081000000</v>
      </c>
      <c r="N41" s="259" t="n">
        <v>3194000000</v>
      </c>
      <c r="O41" s="259" t="n">
        <v>3190000000</v>
      </c>
      <c r="P41" s="259" t="n">
        <v>3148000000</v>
      </c>
      <c r="Q41" s="259" t="n">
        <v>3291000000</v>
      </c>
      <c r="R41" s="259" t="n">
        <v>3192000000</v>
      </c>
      <c r="S41" s="259" t="n">
        <v>3812000000</v>
      </c>
      <c r="T41" s="259" t="n">
        <v>3754000000</v>
      </c>
      <c r="U41" s="259" t="n">
        <v>3687000000</v>
      </c>
      <c r="V41" s="259" t="n">
        <v>3891000000</v>
      </c>
      <c r="W41" s="259" t="n">
        <v>3963000000</v>
      </c>
      <c r="X41" s="259" t="n">
        <v>3994000000</v>
      </c>
      <c r="Y41" s="259" t="n">
        <v>3900000000</v>
      </c>
      <c r="Z41" s="259" t="n">
        <v>3966000000</v>
      </c>
      <c r="AA41" s="259" t="n">
        <v>3936000000</v>
      </c>
      <c r="AB41" s="259" t="n">
        <v>3960000000</v>
      </c>
      <c r="AC41" s="259" t="n">
        <v>3959000000</v>
      </c>
      <c r="AD41" s="259" t="n">
        <v>3872000000</v>
      </c>
      <c r="AE41" s="259" t="n">
        <v>4094000000</v>
      </c>
      <c r="AF41" s="259" t="n">
        <v>4209000000</v>
      </c>
      <c r="AG41" s="259" t="n">
        <v>4188000000</v>
      </c>
      <c r="AH41" s="259" t="n">
        <v>4280000000</v>
      </c>
      <c r="AI41" s="259" t="n">
        <v>4513000000</v>
      </c>
      <c r="AJ41" s="259" t="n">
        <v>4466000000</v>
      </c>
    </row>
    <row r="42">
      <c r="A42" t="n">
        <v>21</v>
      </c>
      <c r="B42" t="n">
        <v>1</v>
      </c>
      <c r="G42" t="inlineStr">
        <is>
          <t>moeda</t>
        </is>
      </c>
      <c r="H42" t="inlineStr">
        <is>
          <t>FiniteLivedIntangibleAssetsNet</t>
        </is>
      </c>
      <c r="J42" t="inlineStr">
        <is>
          <t>fonte</t>
        </is>
      </c>
      <c r="K42" s="259" t="n">
        <v>1311000000</v>
      </c>
      <c r="L42" s="259" t="n">
        <v>1301000000</v>
      </c>
      <c r="M42" s="259" t="n">
        <v>1327000000</v>
      </c>
      <c r="N42" s="259" t="n">
        <v>1342000000</v>
      </c>
      <c r="O42" s="259" t="n">
        <v>1310000000</v>
      </c>
      <c r="P42" s="259" t="n">
        <v>1267000000</v>
      </c>
      <c r="Q42" s="259" t="n">
        <v>1275000000</v>
      </c>
      <c r="R42" s="259" t="n">
        <v>1209000000</v>
      </c>
      <c r="S42" s="259" t="n">
        <v>1352000000</v>
      </c>
      <c r="T42" s="259" t="n">
        <v>1281000000</v>
      </c>
      <c r="U42" s="259" t="n">
        <v>1218000000</v>
      </c>
      <c r="V42" s="259" t="n">
        <v>1255000000</v>
      </c>
      <c r="W42" s="259" t="n">
        <v>1222000000</v>
      </c>
      <c r="X42" s="259" t="n">
        <v>1199000000</v>
      </c>
      <c r="Y42" s="259" t="n">
        <v>1133000000</v>
      </c>
      <c r="Z42" s="259" t="n">
        <v>1112000000</v>
      </c>
      <c r="AA42" s="259" t="n">
        <v>1064000000</v>
      </c>
      <c r="AB42" s="259" t="n">
        <v>1030000000</v>
      </c>
      <c r="AC42" s="259" t="n">
        <v>999000000</v>
      </c>
      <c r="AD42" s="259" t="n">
        <v>937000000</v>
      </c>
      <c r="AE42" s="259" t="n">
        <v>964000000</v>
      </c>
      <c r="AF42" s="259" t="n">
        <v>926000000</v>
      </c>
      <c r="AG42" s="259" t="n">
        <v>892000000</v>
      </c>
      <c r="AH42" s="259" t="n">
        <v>880000000</v>
      </c>
      <c r="AI42" s="259" t="n">
        <v>975000000</v>
      </c>
      <c r="AJ42" s="259" t="n">
        <v>940000000</v>
      </c>
    </row>
    <row r="43">
      <c r="A43" t="n">
        <v>26</v>
      </c>
      <c r="B43" t="n">
        <v>1</v>
      </c>
      <c r="G43" t="inlineStr">
        <is>
          <t>moeda</t>
        </is>
      </c>
      <c r="H43" t="inlineStr">
        <is>
          <t>ShortTermBorrowingsIncludingLongTermDebtCurrent</t>
        </is>
      </c>
      <c r="J43" t="inlineStr">
        <is>
          <t>fonte</t>
        </is>
      </c>
      <c r="K43" s="259" t="n">
        <v>11179000000</v>
      </c>
      <c r="L43" s="259" t="n">
        <v>9075000000</v>
      </c>
      <c r="M43" s="259" t="n">
        <v>8582000000</v>
      </c>
      <c r="N43" s="259" t="n">
        <v>9224000000</v>
      </c>
      <c r="O43" s="259" t="n">
        <v>9911000000</v>
      </c>
      <c r="P43" s="259" t="n">
        <v>0</v>
      </c>
      <c r="Q43" s="259" t="n">
        <v>0</v>
      </c>
      <c r="R43" s="259" t="n">
        <v>0</v>
      </c>
      <c r="S43" s="259" t="n">
        <v>0</v>
      </c>
      <c r="T43" s="259" t="n">
        <v>0</v>
      </c>
      <c r="U43" s="259" t="n">
        <v>0</v>
      </c>
      <c r="V43" s="259" t="n">
        <v>0</v>
      </c>
      <c r="W43" s="259" t="n">
        <v>0</v>
      </c>
      <c r="X43" s="259" t="n">
        <v>0</v>
      </c>
      <c r="Y43" s="259" t="n">
        <v>0</v>
      </c>
      <c r="Z43" s="259" t="n">
        <v>0</v>
      </c>
      <c r="AA43" s="259" t="n">
        <v>0</v>
      </c>
      <c r="AB43" s="259" t="n">
        <v>0</v>
      </c>
      <c r="AC43" s="259" t="n">
        <v>0</v>
      </c>
      <c r="AD43" s="259" t="n">
        <v>0</v>
      </c>
      <c r="AE43" s="259" t="n">
        <v>0</v>
      </c>
      <c r="AF43" s="259" t="n">
        <v>0</v>
      </c>
      <c r="AG43" s="259" t="n">
        <v>0</v>
      </c>
      <c r="AH43" s="259" t="n">
        <v>0</v>
      </c>
      <c r="AI43" s="259" t="n">
        <v>0</v>
      </c>
      <c r="AJ43" s="259" t="n">
        <v>0</v>
      </c>
    </row>
    <row r="44">
      <c r="A44" t="n">
        <v>26</v>
      </c>
      <c r="B44" t="n">
        <v>1</v>
      </c>
      <c r="G44" t="inlineStr">
        <is>
          <t>moeda</t>
        </is>
      </c>
      <c r="H44" t="inlineStr">
        <is>
          <t>SecuredDebt</t>
        </is>
      </c>
      <c r="J44" t="inlineStr">
        <is>
          <t>fonte</t>
        </is>
      </c>
      <c r="K44" s="259" t="n">
        <v>4640000000</v>
      </c>
      <c r="L44" s="259" t="n">
        <v>5361000000</v>
      </c>
      <c r="M44" s="259" t="n">
        <v>4682000000</v>
      </c>
      <c r="N44" s="259" t="n">
        <v>3969000000</v>
      </c>
      <c r="O44" s="259" t="n">
        <v>4106000000</v>
      </c>
      <c r="P44" s="259" t="n">
        <v>5277000000</v>
      </c>
      <c r="Q44" s="259" t="n">
        <v>4605000000</v>
      </c>
      <c r="R44" s="259" t="n">
        <v>3482000000</v>
      </c>
      <c r="S44" s="259" t="n">
        <v>4006000000</v>
      </c>
      <c r="T44" s="259" t="n">
        <v>4920000000</v>
      </c>
      <c r="U44" s="259" t="n">
        <v>5711000000</v>
      </c>
      <c r="V44" s="259" t="n">
        <v>4864000000</v>
      </c>
      <c r="W44" s="259" t="n">
        <v>5379000000</v>
      </c>
      <c r="X44" s="259" t="n">
        <v>6608000000</v>
      </c>
      <c r="Y44" s="259" t="n">
        <v>6995000000</v>
      </c>
      <c r="Z44" s="259" t="n">
        <v>6116000000</v>
      </c>
      <c r="AA44" s="259" t="n">
        <v>6976000000</v>
      </c>
      <c r="AB44" s="259" t="n">
        <v>7869000000</v>
      </c>
      <c r="AC44" s="259" t="n">
        <v>8431000000</v>
      </c>
      <c r="AD44" s="259" t="n">
        <v>8014000000</v>
      </c>
      <c r="AE44" s="259" t="n">
        <v>7562000000</v>
      </c>
      <c r="AF44" s="259" t="n">
        <v>7610000000</v>
      </c>
      <c r="AG44" s="259" t="n">
        <v>6596000000</v>
      </c>
      <c r="AH44" s="259" t="n">
        <v>6283000000</v>
      </c>
      <c r="AI44" s="259" t="n">
        <v>5929000000</v>
      </c>
      <c r="AJ44" s="259" t="n">
        <v>6095000000</v>
      </c>
    </row>
    <row r="45">
      <c r="A45" t="n">
        <v>26</v>
      </c>
      <c r="B45" t="n">
        <v>1</v>
      </c>
      <c r="G45" t="inlineStr">
        <is>
          <t>moeda</t>
        </is>
      </c>
      <c r="H45" t="inlineStr">
        <is>
          <t>DueToRelatedPartiesCurrentAndNoncurrent</t>
        </is>
      </c>
      <c r="J45" t="inlineStr">
        <is>
          <t>fonte</t>
        </is>
      </c>
      <c r="K45" s="259" t="n">
        <v>91000000</v>
      </c>
      <c r="L45" s="259" t="n">
        <v>80000000</v>
      </c>
      <c r="M45" s="259" t="n">
        <v>105000000</v>
      </c>
      <c r="N45" s="259" t="n">
        <v>119000000</v>
      </c>
      <c r="O45" s="259" t="n">
        <v>155000000</v>
      </c>
      <c r="P45" s="259" t="n">
        <v>116000000</v>
      </c>
      <c r="Q45" s="259" t="n">
        <v>143000000</v>
      </c>
      <c r="R45" s="259" t="n">
        <v>172000000</v>
      </c>
      <c r="S45" s="259" t="n">
        <v>0</v>
      </c>
      <c r="T45" s="259" t="n">
        <v>0</v>
      </c>
      <c r="U45" s="259" t="n">
        <v>0</v>
      </c>
      <c r="V45" s="259" t="n">
        <v>0</v>
      </c>
      <c r="W45" s="259" t="n">
        <v>0</v>
      </c>
      <c r="X45" s="259" t="n">
        <v>0</v>
      </c>
      <c r="Y45" s="259" t="n">
        <v>0</v>
      </c>
      <c r="Z45" s="259" t="n">
        <v>0</v>
      </c>
      <c r="AA45" s="259" t="n">
        <v>0</v>
      </c>
      <c r="AB45" s="259" t="n">
        <v>0</v>
      </c>
      <c r="AC45" s="259" t="n">
        <v>0</v>
      </c>
      <c r="AD45" s="259" t="n">
        <v>0</v>
      </c>
      <c r="AE45" s="259" t="n">
        <v>0</v>
      </c>
      <c r="AF45" s="259" t="n">
        <v>0</v>
      </c>
      <c r="AG45" s="259" t="n">
        <v>0</v>
      </c>
      <c r="AH45" s="259" t="n">
        <v>0</v>
      </c>
      <c r="AI45" s="259" t="n">
        <v>0</v>
      </c>
      <c r="AJ45" s="259" t="n">
        <v>0</v>
      </c>
    </row>
    <row r="46">
      <c r="A46" t="n">
        <v>26</v>
      </c>
      <c r="B46" t="n">
        <v>1</v>
      </c>
      <c r="G46" t="inlineStr">
        <is>
          <t>moeda</t>
        </is>
      </c>
      <c r="H46" t="inlineStr">
        <is>
          <t>AccountsPayableAndAccruedLiabilitiesCurrentAndNoncurrent</t>
        </is>
      </c>
      <c r="J46" t="inlineStr">
        <is>
          <t>fonte</t>
        </is>
      </c>
      <c r="K46" s="259" t="n">
        <v>9072000000</v>
      </c>
      <c r="L46" s="259" t="n">
        <v>9565000000</v>
      </c>
      <c r="M46" s="259" t="n">
        <v>10112000000</v>
      </c>
      <c r="N46" s="259" t="n">
        <v>9404000000</v>
      </c>
      <c r="O46" s="259" t="n">
        <v>10527000000</v>
      </c>
      <c r="P46" s="259" t="n">
        <v>11091000000</v>
      </c>
      <c r="Q46" s="259" t="n">
        <v>12205000000</v>
      </c>
      <c r="R46" s="259" t="n">
        <v>10479000000</v>
      </c>
      <c r="S46" s="259" t="n">
        <v>12679000000</v>
      </c>
      <c r="T46" s="259" t="n">
        <v>12986000000</v>
      </c>
      <c r="U46" s="259" t="n">
        <v>14822000000</v>
      </c>
      <c r="V46" s="259" t="n">
        <v>13108000000</v>
      </c>
      <c r="W46" s="259" t="n">
        <v>14716000000</v>
      </c>
      <c r="X46" s="259" t="n">
        <v>15340000000</v>
      </c>
      <c r="Y46" s="259" t="n">
        <v>16130000000</v>
      </c>
      <c r="Z46" s="259" t="n">
        <v>13361000000</v>
      </c>
      <c r="AA46" s="259" t="n">
        <v>14609000000</v>
      </c>
      <c r="AB46" s="259" t="n">
        <v>14397000000</v>
      </c>
      <c r="AC46" s="259" t="n">
        <v>14543000000</v>
      </c>
      <c r="AD46" s="259" t="n">
        <v>12162000000</v>
      </c>
      <c r="AE46" s="259" t="n">
        <v>13345000000</v>
      </c>
      <c r="AF46" s="259" t="n">
        <v>13582000000</v>
      </c>
      <c r="AG46" s="259" t="n">
        <v>13909000000</v>
      </c>
      <c r="AH46" s="259" t="n">
        <v>12533000000</v>
      </c>
      <c r="AI46" s="259" t="n">
        <v>13653000000</v>
      </c>
      <c r="AJ46" s="259" t="n">
        <v>13668000000</v>
      </c>
    </row>
    <row r="47">
      <c r="A47" t="n">
        <v>26</v>
      </c>
      <c r="B47" t="n">
        <v>1</v>
      </c>
      <c r="G47" t="inlineStr">
        <is>
          <t>moeda</t>
        </is>
      </c>
      <c r="H47" t="inlineStr">
        <is>
          <t>PensionAndOtherPostretirementDefinedBenefitPlansAndOtherLiabilitiesCurrentAndNoncurrent</t>
        </is>
      </c>
      <c r="J47" t="inlineStr">
        <is>
          <t>fonte</t>
        </is>
      </c>
      <c r="K47" s="259" t="n">
        <v>5680000000</v>
      </c>
      <c r="L47" s="259" t="n">
        <v>5776000000</v>
      </c>
      <c r="M47" s="259" t="n">
        <v>5413000000</v>
      </c>
      <c r="N47" s="259" t="n">
        <v>5374000000</v>
      </c>
      <c r="O47" s="259" t="n">
        <v>5305000000</v>
      </c>
      <c r="P47" s="259" t="n">
        <v>5272000000</v>
      </c>
      <c r="Q47" s="259" t="n">
        <v>4344000000</v>
      </c>
      <c r="R47" s="259" t="n">
        <v>3289000000</v>
      </c>
      <c r="S47" s="259" t="n">
        <v>2964000000</v>
      </c>
      <c r="T47" s="259" t="n">
        <v>2911000000</v>
      </c>
      <c r="U47" s="259" t="n">
        <v>2457000000</v>
      </c>
      <c r="V47" s="259" t="n">
        <v>2493000000</v>
      </c>
      <c r="W47" s="259" t="n">
        <v>2520000000</v>
      </c>
      <c r="X47" s="259" t="n">
        <v>2536000000</v>
      </c>
      <c r="Y47" s="259" t="n">
        <v>2140000000</v>
      </c>
      <c r="Z47" s="259" t="n">
        <v>2115000000</v>
      </c>
      <c r="AA47" s="259" t="n">
        <v>2105000000</v>
      </c>
      <c r="AB47" s="259" t="n">
        <v>2156000000</v>
      </c>
      <c r="AC47" s="259" t="n">
        <v>2354000000</v>
      </c>
      <c r="AD47" s="259" t="n">
        <v>1734000000</v>
      </c>
      <c r="AE47" s="259" t="n">
        <v>1763000000</v>
      </c>
      <c r="AF47" s="259" t="n">
        <v>1836000000</v>
      </c>
      <c r="AG47" s="259" t="n">
        <v>1710000000</v>
      </c>
      <c r="AH47" s="259" t="n">
        <v>1633000000</v>
      </c>
      <c r="AI47" s="259" t="n">
        <v>1644000000</v>
      </c>
      <c r="AJ47" s="259" t="n">
        <v>1651000000</v>
      </c>
    </row>
    <row r="48">
      <c r="A48" t="n">
        <v>26</v>
      </c>
      <c r="B48" t="n">
        <v>1</v>
      </c>
      <c r="G48" t="inlineStr">
        <is>
          <t>moeda</t>
        </is>
      </c>
      <c r="H48" t="inlineStr">
        <is>
          <t>LongTermDebtAndFinanceLeasesNoncurrent</t>
        </is>
      </c>
      <c r="J48" t="inlineStr">
        <is>
          <t>fonte</t>
        </is>
      </c>
      <c r="K48" s="259" t="n">
        <v>0</v>
      </c>
      <c r="L48" s="259" t="n">
        <v>0</v>
      </c>
      <c r="M48" s="259" t="n">
        <v>0</v>
      </c>
      <c r="N48" s="259" t="n">
        <v>0</v>
      </c>
      <c r="O48" s="259" t="n">
        <v>0</v>
      </c>
      <c r="P48" s="259" t="n">
        <v>0</v>
      </c>
      <c r="Q48" s="259" t="n">
        <v>0</v>
      </c>
      <c r="R48" s="259" t="n">
        <v>0</v>
      </c>
      <c r="S48" s="259" t="n">
        <v>0</v>
      </c>
      <c r="T48" s="259" t="n">
        <v>32132000000</v>
      </c>
      <c r="U48" s="259" t="n">
        <v>33596000000</v>
      </c>
      <c r="V48" s="259" t="n">
        <v>35071000000</v>
      </c>
      <c r="W48" s="259" t="n">
        <v>35611000000</v>
      </c>
      <c r="X48" s="259" t="n">
        <v>38112000000</v>
      </c>
      <c r="Y48" s="259" t="n">
        <v>38477000000</v>
      </c>
      <c r="Z48" s="259" t="n">
        <v>39933000000</v>
      </c>
      <c r="AA48" s="259" t="n">
        <v>40962000000</v>
      </c>
      <c r="AB48" s="259" t="n">
        <v>42692000000</v>
      </c>
      <c r="AC48" s="259" t="n">
        <v>43229000000</v>
      </c>
      <c r="AD48" s="259" t="n">
        <v>43556000000</v>
      </c>
      <c r="AE48" s="259" t="n">
        <v>42811000000</v>
      </c>
      <c r="AF48" s="259" t="n">
        <v>44429000000</v>
      </c>
      <c r="AG48" s="259" t="n">
        <v>43544000000</v>
      </c>
      <c r="AH48" s="259" t="n">
        <v>41804000000</v>
      </c>
      <c r="AI48" s="259" t="n">
        <v>42261000000</v>
      </c>
      <c r="AJ48" s="259" t="n">
        <v>40626000000</v>
      </c>
    </row>
    <row r="49">
      <c r="A49" t="n">
        <v>26</v>
      </c>
      <c r="B49" t="n">
        <v>1</v>
      </c>
      <c r="G49" t="inlineStr">
        <is>
          <t>moeda</t>
        </is>
      </c>
      <c r="H49" t="inlineStr">
        <is>
          <t>LiabilitiesOfDisposalGroupIncludingDiscontinuedOperation</t>
        </is>
      </c>
      <c r="J49" t="inlineStr">
        <is>
          <t>fonte</t>
        </is>
      </c>
      <c r="K49" s="259" t="n">
        <v>0</v>
      </c>
      <c r="L49" s="259" t="n">
        <v>0</v>
      </c>
      <c r="M49" s="259" t="n">
        <v>0</v>
      </c>
      <c r="N49" s="259" t="n">
        <v>0</v>
      </c>
      <c r="O49" s="259" t="n">
        <v>0</v>
      </c>
      <c r="P49" s="259" t="n">
        <v>0</v>
      </c>
      <c r="Q49" s="259" t="n">
        <v>0</v>
      </c>
      <c r="R49" s="259" t="n">
        <v>0</v>
      </c>
      <c r="S49" s="259" t="n">
        <v>0</v>
      </c>
      <c r="T49" s="259" t="n">
        <v>0</v>
      </c>
      <c r="U49" s="259" t="n">
        <v>0</v>
      </c>
      <c r="V49" s="259" t="n">
        <v>0</v>
      </c>
      <c r="W49" s="259" t="n">
        <v>0</v>
      </c>
      <c r="X49" s="259" t="n">
        <v>0</v>
      </c>
      <c r="Y49" s="259" t="n">
        <v>0</v>
      </c>
      <c r="Z49" s="259" t="n">
        <v>0</v>
      </c>
      <c r="AA49" s="259" t="n">
        <v>0</v>
      </c>
      <c r="AB49" s="259" t="n">
        <v>1803000000</v>
      </c>
      <c r="AC49" s="259" t="n">
        <v>1827000000</v>
      </c>
      <c r="AD49" s="259" t="n">
        <v>1830000000</v>
      </c>
      <c r="AE49" s="259" t="n">
        <v>0</v>
      </c>
      <c r="AF49" s="259" t="n">
        <v>0</v>
      </c>
      <c r="AG49" s="259" t="n">
        <v>0</v>
      </c>
      <c r="AH49" s="259" t="n">
        <v>0</v>
      </c>
      <c r="AI49" s="259" t="n">
        <v>0</v>
      </c>
      <c r="AJ49" s="259" t="n">
        <v>0</v>
      </c>
    </row>
    <row r="50">
      <c r="A50" t="n">
        <v>27</v>
      </c>
      <c r="B50" t="n">
        <v>1</v>
      </c>
      <c r="G50" t="inlineStr">
        <is>
          <t>moeda</t>
        </is>
      </c>
      <c r="H50" t="inlineStr">
        <is>
          <t>LongTermDebtNoncurrent</t>
        </is>
      </c>
      <c r="J50" t="inlineStr">
        <is>
          <t>fonte</t>
        </is>
      </c>
      <c r="K50" s="259" t="n">
        <v>34324000000</v>
      </c>
      <c r="L50" s="259" t="n">
        <v>34037000000</v>
      </c>
      <c r="M50" s="259" t="n">
        <v>32734000000</v>
      </c>
      <c r="N50" s="259" t="n">
        <v>32772000000</v>
      </c>
      <c r="O50" s="259" t="n">
        <v>33346000000</v>
      </c>
      <c r="P50" s="259" t="n">
        <v>32280000000</v>
      </c>
      <c r="Q50" s="259" t="n">
        <v>32888000000</v>
      </c>
      <c r="R50" s="259" t="n">
        <v>32838000000</v>
      </c>
      <c r="S50" s="259" t="n">
        <v>32447000000</v>
      </c>
      <c r="T50" s="259" t="n">
        <v>0</v>
      </c>
      <c r="U50" s="259" t="n">
        <v>0</v>
      </c>
      <c r="V50" s="259" t="n">
        <v>0</v>
      </c>
      <c r="W50" s="259" t="n">
        <v>0</v>
      </c>
      <c r="X50" s="259" t="n">
        <v>0</v>
      </c>
      <c r="Y50" s="259" t="n">
        <v>0</v>
      </c>
      <c r="Z50" s="259" t="n">
        <v>0</v>
      </c>
      <c r="AA50" s="259" t="n">
        <v>0</v>
      </c>
      <c r="AB50" s="259" t="n">
        <v>0</v>
      </c>
      <c r="AC50" s="259" t="n">
        <v>0</v>
      </c>
      <c r="AD50" s="259" t="n">
        <v>0</v>
      </c>
      <c r="AE50" s="259" t="n">
        <v>0</v>
      </c>
      <c r="AF50" s="259" t="n">
        <v>0</v>
      </c>
      <c r="AG50" s="259" t="n">
        <v>0</v>
      </c>
      <c r="AH50" s="259" t="n">
        <v>0</v>
      </c>
      <c r="AI50" s="259" t="n">
        <v>0</v>
      </c>
      <c r="AJ50" s="259" t="n">
        <v>0</v>
      </c>
    </row>
    <row r="51">
      <c r="A51" t="n">
        <v>27</v>
      </c>
      <c r="B51" t="n">
        <v>1</v>
      </c>
      <c r="G51" t="inlineStr">
        <is>
          <t>moeda</t>
        </is>
      </c>
      <c r="H51" t="inlineStr">
        <is>
          <t>DebtCurrent</t>
        </is>
      </c>
      <c r="J51" t="inlineStr">
        <is>
          <t>fonte</t>
        </is>
      </c>
      <c r="K51" s="259" t="n">
        <v>0</v>
      </c>
      <c r="L51" s="259" t="n">
        <v>0</v>
      </c>
      <c r="M51" s="259" t="n">
        <v>0</v>
      </c>
      <c r="N51" s="259" t="n">
        <v>0</v>
      </c>
      <c r="O51" s="259" t="n">
        <v>0</v>
      </c>
      <c r="P51" s="259" t="n">
        <v>10404000000</v>
      </c>
      <c r="Q51" s="259" t="n">
        <v>10919000000</v>
      </c>
      <c r="R51" s="259" t="n">
        <v>10990000000</v>
      </c>
      <c r="S51" s="259" t="n">
        <v>12413000000</v>
      </c>
      <c r="T51" s="259" t="n">
        <v>14176000000</v>
      </c>
      <c r="U51" s="259" t="n">
        <v>12592000000</v>
      </c>
      <c r="V51" s="259" t="n">
        <v>14129000000</v>
      </c>
      <c r="W51" s="259" t="n">
        <v>17109000000</v>
      </c>
      <c r="X51" s="259" t="n">
        <v>17143000000</v>
      </c>
      <c r="Y51" s="259" t="n">
        <v>17939000000</v>
      </c>
      <c r="Z51" s="259" t="n">
        <v>17117000000</v>
      </c>
      <c r="AA51" s="259" t="n">
        <v>17699000000</v>
      </c>
      <c r="AB51" s="259" t="n">
        <v>15294000000</v>
      </c>
      <c r="AC51" s="259" t="n">
        <v>13533000000</v>
      </c>
      <c r="AD51" s="259" t="n">
        <v>12811000000</v>
      </c>
      <c r="AE51" s="259" t="n">
        <v>15948000000</v>
      </c>
      <c r="AF51" s="259" t="n">
        <v>14607000000</v>
      </c>
      <c r="AG51" s="259" t="n">
        <v>13796000000</v>
      </c>
      <c r="AH51" s="259" t="n">
        <v>14392000000</v>
      </c>
      <c r="AI51" s="259" t="n">
        <v>15632000000</v>
      </c>
      <c r="AJ51" s="259" t="n">
        <v>17115000000</v>
      </c>
    </row>
    <row r="52">
      <c r="A52" t="n">
        <v>33</v>
      </c>
      <c r="B52" t="n">
        <v>1</v>
      </c>
      <c r="G52" t="inlineStr">
        <is>
          <t>moeda</t>
        </is>
      </c>
      <c r="H52" t="inlineStr">
        <is>
          <t>DeferredIncomeTaxLiabilitiesNet</t>
        </is>
      </c>
      <c r="J52" t="inlineStr">
        <is>
          <t>fonte</t>
        </is>
      </c>
      <c r="K52" s="259" t="n">
        <v>475000000</v>
      </c>
      <c r="L52" s="259" t="n">
        <v>479000000</v>
      </c>
      <c r="M52" s="259" t="n">
        <v>519000000</v>
      </c>
      <c r="N52" s="259" t="n">
        <v>532000000</v>
      </c>
      <c r="O52" s="259" t="n">
        <v>533000000</v>
      </c>
      <c r="P52" s="259" t="n">
        <v>515000000</v>
      </c>
      <c r="Q52" s="259" t="n">
        <v>576000000</v>
      </c>
      <c r="R52" s="259" t="n">
        <v>556000000</v>
      </c>
      <c r="S52" s="259" t="n">
        <v>584000000</v>
      </c>
      <c r="T52" s="259" t="n">
        <v>561000000</v>
      </c>
      <c r="U52" s="259" t="n">
        <v>495000000</v>
      </c>
      <c r="V52" s="259" t="n">
        <v>519000000</v>
      </c>
      <c r="W52" s="259" t="n">
        <v>511000000</v>
      </c>
      <c r="X52" s="259" t="n">
        <v>506000000</v>
      </c>
      <c r="Y52" s="259" t="n">
        <v>520000000</v>
      </c>
      <c r="Z52" s="259" t="n">
        <v>550000000</v>
      </c>
      <c r="AA52" s="259" t="n">
        <v>491000000</v>
      </c>
      <c r="AB52" s="259" t="n">
        <v>481000000</v>
      </c>
      <c r="AC52" s="259" t="n">
        <v>478000000</v>
      </c>
      <c r="AD52" s="259" t="n">
        <v>448000000</v>
      </c>
      <c r="AE52" s="259" t="n">
        <v>496000000</v>
      </c>
      <c r="AF52" s="259" t="n">
        <v>489000000</v>
      </c>
      <c r="AG52" s="259" t="n">
        <v>434000000</v>
      </c>
      <c r="AH52" s="259" t="n">
        <v>434000000</v>
      </c>
      <c r="AI52" s="259" t="n">
        <v>422000000</v>
      </c>
      <c r="AJ52" s="259" t="n">
        <v>411000000</v>
      </c>
    </row>
    <row r="53">
      <c r="A53" t="n">
        <v>35</v>
      </c>
      <c r="B53" t="n">
        <v>1</v>
      </c>
      <c r="G53" t="inlineStr">
        <is>
          <t>moeda</t>
        </is>
      </c>
      <c r="H53" t="inlineStr">
        <is>
          <t>MinorityInterest</t>
        </is>
      </c>
      <c r="J53" t="inlineStr">
        <is>
          <t>fonte</t>
        </is>
      </c>
      <c r="K53" s="259" t="n">
        <v>1000000</v>
      </c>
      <c r="L53" s="259" t="n">
        <v>3000000</v>
      </c>
      <c r="M53" s="259" t="n">
        <v>7000000</v>
      </c>
      <c r="N53" s="259" t="n">
        <v>3000000</v>
      </c>
      <c r="O53" s="259" t="n">
        <v>4000000</v>
      </c>
      <c r="P53" s="259" t="n">
        <v>2000000</v>
      </c>
      <c r="Q53" s="259" t="n">
        <v>3000000</v>
      </c>
      <c r="R53" s="259" t="n">
        <v>4000000</v>
      </c>
      <c r="S53" s="259" t="n">
        <v>3000000</v>
      </c>
      <c r="T53" s="259" t="n">
        <v>3000000</v>
      </c>
      <c r="U53" s="259" t="n">
        <v>3000000</v>
      </c>
      <c r="V53" s="259" t="n">
        <v>4000000</v>
      </c>
      <c r="W53" s="259" t="n">
        <v>4000000</v>
      </c>
      <c r="X53" s="259" t="n">
        <v>3000000</v>
      </c>
      <c r="Y53" s="259" t="n">
        <v>4000000</v>
      </c>
      <c r="Z53" s="259" t="n">
        <v>4000000</v>
      </c>
      <c r="AA53" s="259" t="n">
        <v>4000000</v>
      </c>
      <c r="AB53" s="259" t="n">
        <v>3000000</v>
      </c>
      <c r="AC53" s="259" t="n">
        <v>7000000</v>
      </c>
      <c r="AD53" s="259" t="n">
        <v>7000000</v>
      </c>
      <c r="AE53" s="259" t="n">
        <v>8000000</v>
      </c>
      <c r="AF53" s="259" t="n">
        <v>5000000</v>
      </c>
      <c r="AG53" s="259" t="n">
        <v>6000000</v>
      </c>
      <c r="AH53" s="259" t="n">
        <v>7000000</v>
      </c>
      <c r="AI53" s="259" t="n">
        <v>7000000</v>
      </c>
      <c r="AJ53" s="259" t="n">
        <v>7000000</v>
      </c>
    </row>
    <row r="54">
      <c r="A54" t="n">
        <v>35</v>
      </c>
      <c r="B54" t="n">
        <v>1</v>
      </c>
      <c r="G54" t="inlineStr">
        <is>
          <t>moeda</t>
        </is>
      </c>
      <c r="H54" t="inlineStr">
        <is>
          <t>RedeemableNoncontrollingInterestEquityCarryingAmount</t>
        </is>
      </c>
      <c r="J54" t="inlineStr">
        <is>
          <t>fonte</t>
        </is>
      </c>
      <c r="K54" s="259" t="n">
        <v>0</v>
      </c>
      <c r="L54" s="259" t="n">
        <v>0</v>
      </c>
      <c r="M54" s="259" t="n">
        <v>0</v>
      </c>
      <c r="N54" s="259" t="n">
        <v>0</v>
      </c>
      <c r="O54" s="259" t="n">
        <v>0</v>
      </c>
      <c r="P54" s="259" t="n">
        <v>0</v>
      </c>
      <c r="Q54" s="259" t="n">
        <v>0</v>
      </c>
      <c r="R54" s="259" t="n">
        <v>0</v>
      </c>
      <c r="S54" s="259" t="n">
        <v>99000000</v>
      </c>
      <c r="T54" s="259" t="n">
        <v>95000000</v>
      </c>
      <c r="U54" s="259" t="n">
        <v>92000000</v>
      </c>
      <c r="V54" s="259" t="n">
        <v>100000000</v>
      </c>
      <c r="W54" s="259" t="n">
        <v>102000000</v>
      </c>
      <c r="X54" s="259" t="n">
        <v>101000000</v>
      </c>
      <c r="Y54" s="259" t="n">
        <v>97000000</v>
      </c>
      <c r="Z54" s="259" t="n">
        <v>100000000</v>
      </c>
      <c r="AA54" s="259" t="n">
        <v>98000000</v>
      </c>
      <c r="AB54" s="259" t="n">
        <v>84000000</v>
      </c>
      <c r="AC54" s="259" t="n">
        <v>82000000</v>
      </c>
      <c r="AD54" s="259" t="n">
        <v>78000000</v>
      </c>
      <c r="AE54" s="259" t="n">
        <v>83000000</v>
      </c>
      <c r="AF54" s="259" t="n">
        <v>84000000</v>
      </c>
      <c r="AG54" s="259" t="n">
        <v>51000000</v>
      </c>
      <c r="AH54" s="259" t="n">
        <v>50000000</v>
      </c>
      <c r="AI54" s="259" t="n">
        <v>47000000</v>
      </c>
      <c r="AJ54" s="259" t="n">
        <v>44000000</v>
      </c>
    </row>
    <row r="55">
      <c r="A55" t="n">
        <v>37</v>
      </c>
      <c r="B55" t="n">
        <v>1</v>
      </c>
      <c r="G55" t="inlineStr">
        <is>
          <t>moeda</t>
        </is>
      </c>
      <c r="H55" t="inlineStr">
        <is>
          <t>CommonStockValue</t>
        </is>
      </c>
      <c r="J55" t="inlineStr">
        <is>
          <t>fonte</t>
        </is>
      </c>
      <c r="K55" s="259" t="n">
        <v>4713000000</v>
      </c>
      <c r="L55" s="259" t="n">
        <v>4750000000</v>
      </c>
      <c r="M55" s="259" t="n">
        <v>4895000000</v>
      </c>
      <c r="N55" s="259" t="n">
        <v>4942000000</v>
      </c>
      <c r="O55" s="259" t="n">
        <v>4999000000</v>
      </c>
      <c r="P55" s="259" t="n">
        <v>5031000000</v>
      </c>
      <c r="Q55" s="259" t="n">
        <v>5054000000</v>
      </c>
      <c r="R55" s="259" t="n">
        <v>5066000000</v>
      </c>
      <c r="S55" s="259" t="n">
        <v>5117000000</v>
      </c>
      <c r="T55" s="259" t="n">
        <v>5139000000</v>
      </c>
      <c r="U55" s="259" t="n">
        <v>5165000000</v>
      </c>
      <c r="V55" s="259" t="n">
        <v>5191000000</v>
      </c>
      <c r="W55" s="259" t="n">
        <v>5227000000</v>
      </c>
      <c r="X55" s="259" t="n">
        <v>5272000000</v>
      </c>
      <c r="Y55" s="259" t="n">
        <v>5303000000</v>
      </c>
      <c r="Z55" s="259" t="n">
        <v>5335000000</v>
      </c>
      <c r="AA55" s="259" t="n">
        <v>5391000000</v>
      </c>
      <c r="AB55" s="259" t="n">
        <v>5441000000</v>
      </c>
      <c r="AC55" s="259" t="n">
        <v>5489000000</v>
      </c>
      <c r="AD55" s="259" t="n">
        <v>5526000000</v>
      </c>
      <c r="AE55" s="259" t="n">
        <v>5565000000</v>
      </c>
      <c r="AF55" s="259" t="n">
        <v>5620000000</v>
      </c>
      <c r="AG55" s="259" t="n">
        <v>5668000000</v>
      </c>
      <c r="AH55" s="259" t="n">
        <v>5715000000</v>
      </c>
      <c r="AI55" s="259" t="n">
        <v>5777000000</v>
      </c>
      <c r="AJ55" s="259" t="n">
        <v>5826000000</v>
      </c>
    </row>
    <row r="56">
      <c r="A56" t="n">
        <v>38</v>
      </c>
      <c r="B56" t="n">
        <v>1</v>
      </c>
      <c r="G56" t="inlineStr">
        <is>
          <t>moeda</t>
        </is>
      </c>
      <c r="H56" t="inlineStr">
        <is>
          <t>TreasuryStockValue (divulgado positivo, lançado negativo)</t>
        </is>
      </c>
      <c r="J56" t="inlineStr">
        <is>
          <t>fonte</t>
        </is>
      </c>
      <c r="K56" s="259" t="n">
        <v>-17690000000</v>
      </c>
      <c r="L56" s="259" t="n">
        <v>-17671000000</v>
      </c>
      <c r="M56" s="259" t="n">
        <v>-18065000000</v>
      </c>
      <c r="N56" s="259" t="n">
        <v>-18377000000</v>
      </c>
      <c r="O56" s="259" t="n">
        <v>-19052000000</v>
      </c>
      <c r="P56" s="259" t="n">
        <v>-19780000000</v>
      </c>
      <c r="Q56" s="259" t="n">
        <v>-20533000000</v>
      </c>
      <c r="R56" s="259" t="n">
        <v>-21139000000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A57" t="n">
        <v>38</v>
      </c>
      <c r="B57" t="n">
        <v>1</v>
      </c>
      <c r="G57" t="inlineStr">
        <is>
          <t>moeda</t>
        </is>
      </c>
      <c r="H57" t="inlineStr">
        <is>
          <t>TreasuryStockCommonValue (divulgado positivo, lançado negativo)</t>
        </is>
      </c>
      <c r="J57" t="inlineStr">
        <is>
          <t>fonte</t>
        </is>
      </c>
      <c r="K57" s="259" t="n">
        <v>0</v>
      </c>
      <c r="L57" s="259" t="n">
        <v>0</v>
      </c>
      <c r="M57" s="259" t="n">
        <v>0</v>
      </c>
      <c r="N57" s="259" t="n">
        <v>0</v>
      </c>
      <c r="O57" s="259" t="n">
        <v>0</v>
      </c>
      <c r="P57" s="259" t="n">
        <v>0</v>
      </c>
      <c r="Q57" s="259" t="n">
        <v>0</v>
      </c>
      <c r="R57" s="259" t="n">
        <v>0</v>
      </c>
      <c r="S57" s="259" t="n">
        <v>-21727000000</v>
      </c>
      <c r="T57" s="259" t="n">
        <v>-22976000000</v>
      </c>
      <c r="U57" s="259" t="n">
        <v>-24094000000</v>
      </c>
      <c r="V57" s="259" t="n">
        <v>-25333000000</v>
      </c>
      <c r="W57" s="259" t="n">
        <v>-26630000000</v>
      </c>
      <c r="X57" s="259" t="n">
        <v>-28760000000</v>
      </c>
      <c r="Y57" s="259" t="n">
        <v>-31335000000</v>
      </c>
      <c r="Z57" s="259" t="n">
        <v>-32663000000</v>
      </c>
      <c r="AA57" s="259" t="n">
        <v>-33764000000</v>
      </c>
      <c r="AB57" s="259" t="n">
        <v>-34570000000</v>
      </c>
      <c r="AC57" s="259" t="n">
        <v>-35349000000</v>
      </c>
      <c r="AD57" s="259" t="n">
        <v>-35709000000</v>
      </c>
      <c r="AE57" s="259" t="n">
        <v>-36064000000</v>
      </c>
      <c r="AF57" s="259" t="n">
        <v>-36361000000</v>
      </c>
      <c r="AG57" s="259" t="n">
        <v>-36362000000</v>
      </c>
      <c r="AH57" s="259" t="n">
        <v>-36645000000</v>
      </c>
      <c r="AI57" s="259" t="n">
        <v>-36831000000</v>
      </c>
      <c r="AJ57" s="259" t="n">
        <v>-37029000000</v>
      </c>
    </row>
    <row r="58">
      <c r="A58" t="n">
        <v>39</v>
      </c>
      <c r="B58" t="n">
        <v>1</v>
      </c>
      <c r="G58" t="inlineStr">
        <is>
          <t>moeda</t>
        </is>
      </c>
      <c r="H58" t="inlineStr">
        <is>
          <t>AccumulatedOtherComprehensiveIncomeLossNetOfTax</t>
        </is>
      </c>
      <c r="J58" t="inlineStr">
        <is>
          <t>fonte</t>
        </is>
      </c>
      <c r="K58" s="259" t="n">
        <v>-5715000000</v>
      </c>
      <c r="L58" s="259" t="n">
        <v>-5319000000</v>
      </c>
      <c r="M58" s="259" t="n">
        <v>-5539000000</v>
      </c>
      <c r="N58" s="259" t="n">
        <v>-5078000000</v>
      </c>
      <c r="O58" s="259" t="n">
        <v>-4960000000</v>
      </c>
      <c r="P58" s="259" t="n">
        <v>-5011000000</v>
      </c>
      <c r="Q58" s="259" t="n">
        <v>-2539000000</v>
      </c>
      <c r="R58" s="259" t="n">
        <v>-3152000000</v>
      </c>
      <c r="S58" s="259" t="n">
        <v>-3291000000</v>
      </c>
      <c r="T58" s="259" t="n">
        <v>-3476000000</v>
      </c>
      <c r="U58" s="259" t="n">
        <v>-3056000000</v>
      </c>
      <c r="V58" s="259" t="n">
        <v>-2372000000</v>
      </c>
      <c r="W58" s="259" t="n">
        <v>-2538000000</v>
      </c>
      <c r="X58" s="259" t="n">
        <v>-2411000000</v>
      </c>
      <c r="Y58" s="259" t="n">
        <v>-3114000000</v>
      </c>
      <c r="Z58" s="259" t="n">
        <v>-2863000000</v>
      </c>
      <c r="AA58" s="259" t="n">
        <v>-3171000000</v>
      </c>
      <c r="AB58" s="259" t="n">
        <v>-3368000000</v>
      </c>
      <c r="AC58" s="259" t="n">
        <v>-3706000000</v>
      </c>
      <c r="AD58" s="259" t="n">
        <v>-4167000000</v>
      </c>
      <c r="AE58" s="259" t="n">
        <v>-3405000000</v>
      </c>
      <c r="AF58" s="259" t="n">
        <v>-3107000000</v>
      </c>
      <c r="AG58" s="259" t="n">
        <v>-3032000000</v>
      </c>
      <c r="AH58" s="259" t="n">
        <v>-2665000000</v>
      </c>
      <c r="AI58" s="259" t="n">
        <v>-2768000000</v>
      </c>
      <c r="AJ58" s="259" t="n">
        <v>-2976000000</v>
      </c>
    </row>
    <row r="59">
      <c r="A59" t="n">
        <v>41</v>
      </c>
      <c r="B59" t="n">
        <v>1</v>
      </c>
      <c r="G59" t="inlineStr">
        <is>
          <t>moeda</t>
        </is>
      </c>
      <c r="H59" t="inlineStr">
        <is>
          <t>RetainedEarningsAccumulatedDeficit</t>
        </is>
      </c>
      <c r="J59" t="inlineStr">
        <is>
          <t>fonte</t>
        </is>
      </c>
      <c r="K59" s="259" t="n">
        <v>30556000000</v>
      </c>
      <c r="L59" s="259" t="n">
        <v>31128000000</v>
      </c>
      <c r="M59" s="259" t="n">
        <v>31646000000</v>
      </c>
      <c r="N59" s="259" t="n">
        <v>32596000000</v>
      </c>
      <c r="O59" s="259" t="n">
        <v>34105000000</v>
      </c>
      <c r="P59" s="259" t="n">
        <v>35491000000</v>
      </c>
      <c r="Q59" s="259" t="n">
        <v>36449000000</v>
      </c>
      <c r="R59" s="259" t="n">
        <v>37029000000</v>
      </c>
      <c r="S59" s="259" t="n">
        <v>38805000000</v>
      </c>
      <c r="T59" s="259" t="n">
        <v>40346000000</v>
      </c>
      <c r="U59" s="259" t="n">
        <v>42247000000</v>
      </c>
      <c r="V59" s="259" t="n">
        <v>43846000000</v>
      </c>
      <c r="W59" s="259" t="n">
        <v>46336000000</v>
      </c>
      <c r="X59" s="259" t="n">
        <v>48947000000</v>
      </c>
      <c r="Y59" s="259" t="n">
        <v>50931000000</v>
      </c>
      <c r="Z59" s="259" t="n">
        <v>52266000000</v>
      </c>
      <c r="AA59" s="259" t="n">
        <v>54228000000</v>
      </c>
      <c r="AB59" s="259" t="n">
        <v>55559000000</v>
      </c>
      <c r="AC59" s="259" t="n">
        <v>56402000000</v>
      </c>
      <c r="AD59" s="259" t="n">
        <v>56829000000</v>
      </c>
      <c r="AE59" s="259" t="n">
        <v>58191000000</v>
      </c>
      <c r="AF59" s="259" t="n">
        <v>59023000000</v>
      </c>
      <c r="AG59" s="259" t="n">
        <v>59676000000</v>
      </c>
      <c r="AH59" s="259" t="n">
        <v>59895000000</v>
      </c>
      <c r="AI59" s="259" t="n">
        <v>61228000000</v>
      </c>
      <c r="AJ59" s="259" t="n">
        <v>62169000000</v>
      </c>
    </row>
    <row r="60">
      <c r="A60" t="n">
        <v>12</v>
      </c>
      <c r="B60" t="n">
        <v>1</v>
      </c>
      <c r="G60" t="inlineStr">
        <is>
          <t>moeda</t>
        </is>
      </c>
      <c r="H60" t="inlineStr">
        <is>
          <t>[vazio] Contas a receber: não aparece como linha própria nas demonstrações (zero)</t>
        </is>
      </c>
      <c r="J60" t="inlineStr">
        <is>
          <t>derivada</t>
        </is>
      </c>
      <c r="K60" s="259" t="n">
        <v>0</v>
      </c>
      <c r="L60" s="259" t="n">
        <v>0</v>
      </c>
      <c r="M60" s="259" t="n">
        <v>0</v>
      </c>
      <c r="N60" s="259" t="n">
        <v>0</v>
      </c>
      <c r="O60" s="259" t="n">
        <v>0</v>
      </c>
      <c r="P60" s="259" t="n">
        <v>0</v>
      </c>
      <c r="Q60" s="259" t="n">
        <v>0</v>
      </c>
      <c r="R60" s="259" t="n">
        <v>0</v>
      </c>
      <c r="S60" s="259" t="n">
        <v>0</v>
      </c>
      <c r="T60" s="259" t="n">
        <v>0</v>
      </c>
      <c r="U60" s="259" t="n">
        <v>0</v>
      </c>
      <c r="V60" s="259" t="n">
        <v>0</v>
      </c>
      <c r="W60" s="259" t="n">
        <v>0</v>
      </c>
      <c r="X60" s="259" t="n">
        <v>0</v>
      </c>
      <c r="Y60" s="259" t="n">
        <v>0</v>
      </c>
      <c r="Z60" s="259" t="n">
        <v>0</v>
      </c>
      <c r="AA60" s="259" t="n">
        <v>0</v>
      </c>
      <c r="AB60" s="259" t="n">
        <v>0</v>
      </c>
      <c r="AC60" s="259" t="n">
        <v>0</v>
      </c>
      <c r="AD60" s="259" t="n">
        <v>0</v>
      </c>
      <c r="AE60" s="259" t="n">
        <v>0</v>
      </c>
      <c r="AF60" s="259" t="n">
        <v>0</v>
      </c>
      <c r="AG60" s="259" t="n">
        <v>0</v>
      </c>
      <c r="AH60" s="259" t="n">
        <v>0</v>
      </c>
      <c r="AI60" s="259" t="n">
        <v>0</v>
      </c>
      <c r="AJ60" s="259" t="n">
        <v>0</v>
      </c>
    </row>
    <row r="61">
      <c r="A61" t="n">
        <v>15</v>
      </c>
      <c r="B61" t="n">
        <v>1</v>
      </c>
      <c r="G61" t="inlineStr">
        <is>
          <t>moeda</t>
        </is>
      </c>
      <c r="H61" t="inlineStr">
        <is>
          <t>[vazio] Despesas antecipadas: não aparece como linha própria nas demonstrações (zero)</t>
        </is>
      </c>
      <c r="J61" t="inlineStr">
        <is>
          <t>derivada</t>
        </is>
      </c>
      <c r="K61" s="259" t="n">
        <v>0</v>
      </c>
      <c r="L61" s="259" t="n">
        <v>0</v>
      </c>
      <c r="M61" s="259" t="n">
        <v>0</v>
      </c>
      <c r="N61" s="259" t="n">
        <v>0</v>
      </c>
      <c r="O61" s="259" t="n">
        <v>0</v>
      </c>
      <c r="P61" s="259" t="n">
        <v>0</v>
      </c>
      <c r="Q61" s="259" t="n">
        <v>0</v>
      </c>
      <c r="R61" s="259" t="n">
        <v>0</v>
      </c>
      <c r="S61" s="259" t="n">
        <v>0</v>
      </c>
      <c r="T61" s="259" t="n">
        <v>0</v>
      </c>
      <c r="U61" s="259" t="n">
        <v>0</v>
      </c>
      <c r="V61" s="259" t="n">
        <v>0</v>
      </c>
      <c r="W61" s="259" t="n">
        <v>0</v>
      </c>
      <c r="X61" s="259" t="n">
        <v>0</v>
      </c>
      <c r="Y61" s="259" t="n">
        <v>0</v>
      </c>
      <c r="Z61" s="259" t="n">
        <v>0</v>
      </c>
      <c r="AA61" s="259" t="n">
        <v>0</v>
      </c>
      <c r="AB61" s="259" t="n">
        <v>0</v>
      </c>
      <c r="AC61" s="259" t="n">
        <v>0</v>
      </c>
      <c r="AD61" s="259" t="n">
        <v>0</v>
      </c>
      <c r="AE61" s="259" t="n">
        <v>0</v>
      </c>
      <c r="AF61" s="259" t="n">
        <v>0</v>
      </c>
      <c r="AG61" s="259" t="n">
        <v>0</v>
      </c>
      <c r="AH61" s="259" t="n">
        <v>0</v>
      </c>
      <c r="AI61" s="259" t="n">
        <v>0</v>
      </c>
      <c r="AJ61" s="259" t="n">
        <v>0</v>
      </c>
    </row>
    <row r="62">
      <c r="A62" t="n">
        <v>17</v>
      </c>
      <c r="B62" t="n">
        <v>1</v>
      </c>
      <c r="G62" t="inlineStr">
        <is>
          <t>moeda</t>
        </is>
      </c>
      <c r="H62" t="inlineStr">
        <is>
          <t>[vazio] Investimentos em coligadas: não aparece como linha própria nas demonstrações (zero)</t>
        </is>
      </c>
      <c r="J62" t="inlineStr">
        <is>
          <t>derivada</t>
        </is>
      </c>
      <c r="K62" s="259" t="n">
        <v>0</v>
      </c>
      <c r="L62" s="259" t="n">
        <v>0</v>
      </c>
      <c r="M62" s="259" t="n">
        <v>0</v>
      </c>
      <c r="N62" s="259" t="n">
        <v>0</v>
      </c>
      <c r="O62" s="259" t="n">
        <v>0</v>
      </c>
      <c r="P62" s="259" t="n">
        <v>0</v>
      </c>
      <c r="Q62" s="259" t="n">
        <v>0</v>
      </c>
      <c r="R62" s="259" t="n">
        <v>0</v>
      </c>
      <c r="S62" s="259" t="n">
        <v>0</v>
      </c>
      <c r="T62" s="259" t="n">
        <v>0</v>
      </c>
      <c r="U62" s="259" t="n">
        <v>0</v>
      </c>
      <c r="V62" s="259" t="n">
        <v>0</v>
      </c>
      <c r="W62" s="259" t="n">
        <v>0</v>
      </c>
      <c r="X62" s="259" t="n">
        <v>0</v>
      </c>
      <c r="Y62" s="259" t="n">
        <v>0</v>
      </c>
      <c r="Z62" s="259" t="n">
        <v>0</v>
      </c>
      <c r="AA62" s="259" t="n">
        <v>0</v>
      </c>
      <c r="AB62" s="259" t="n">
        <v>0</v>
      </c>
      <c r="AC62" s="259" t="n">
        <v>0</v>
      </c>
      <c r="AD62" s="259" t="n">
        <v>0</v>
      </c>
      <c r="AE62" s="259" t="n">
        <v>0</v>
      </c>
      <c r="AF62" s="259" t="n">
        <v>0</v>
      </c>
      <c r="AG62" s="259" t="n">
        <v>0</v>
      </c>
      <c r="AH62" s="259" t="n">
        <v>0</v>
      </c>
      <c r="AI62" s="259" t="n">
        <v>0</v>
      </c>
      <c r="AJ62" s="259" t="n">
        <v>0</v>
      </c>
    </row>
    <row r="63">
      <c r="A63" t="n">
        <v>19</v>
      </c>
      <c r="B63" t="n">
        <v>1</v>
      </c>
      <c r="G63" t="inlineStr">
        <is>
          <t>moeda</t>
        </is>
      </c>
      <c r="H63" t="inlineStr">
        <is>
          <t>[vazio] Direito de uso: não aparece como linha própria nas demonstrações (zero)</t>
        </is>
      </c>
      <c r="J63" t="inlineStr">
        <is>
          <t>derivada</t>
        </is>
      </c>
      <c r="K63" s="259" t="n">
        <v>0</v>
      </c>
      <c r="L63" s="259" t="n">
        <v>0</v>
      </c>
      <c r="M63" s="259" t="n">
        <v>0</v>
      </c>
      <c r="N63" s="259" t="n">
        <v>0</v>
      </c>
      <c r="O63" s="259" t="n">
        <v>0</v>
      </c>
      <c r="P63" s="259" t="n">
        <v>0</v>
      </c>
      <c r="Q63" s="259" t="n">
        <v>0</v>
      </c>
      <c r="R63" s="259" t="n">
        <v>0</v>
      </c>
      <c r="S63" s="259" t="n">
        <v>0</v>
      </c>
      <c r="T63" s="259" t="n">
        <v>0</v>
      </c>
      <c r="U63" s="259" t="n">
        <v>0</v>
      </c>
      <c r="V63" s="259" t="n">
        <v>0</v>
      </c>
      <c r="W63" s="259" t="n">
        <v>0</v>
      </c>
      <c r="X63" s="259" t="n">
        <v>0</v>
      </c>
      <c r="Y63" s="259" t="n">
        <v>0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0</v>
      </c>
      <c r="AE63" s="259" t="n">
        <v>0</v>
      </c>
      <c r="AF63" s="259" t="n">
        <v>0</v>
      </c>
      <c r="AG63" s="259" t="n">
        <v>0</v>
      </c>
      <c r="AH63" s="259" t="n">
        <v>0</v>
      </c>
      <c r="AI63" s="259" t="n">
        <v>0</v>
      </c>
      <c r="AJ63" s="259" t="n">
        <v>0</v>
      </c>
    </row>
    <row r="64">
      <c r="A64" t="n">
        <v>22</v>
      </c>
      <c r="B64" t="n">
        <v>1</v>
      </c>
      <c r="G64" t="inlineStr">
        <is>
          <t>moeda</t>
        </is>
      </c>
      <c r="H64" t="inlineStr">
        <is>
          <t>[vazio] Outros ativos não circulantes: não aparece como linha própria nas demonstrações (zero)</t>
        </is>
      </c>
      <c r="J64" t="inlineStr">
        <is>
          <t>derivada</t>
        </is>
      </c>
      <c r="K64" s="259" t="n">
        <v>0</v>
      </c>
      <c r="L64" s="259" t="n">
        <v>0</v>
      </c>
      <c r="M64" s="259" t="n">
        <v>0</v>
      </c>
      <c r="N64" s="259" t="n">
        <v>0</v>
      </c>
      <c r="O64" s="259" t="n">
        <v>0</v>
      </c>
      <c r="P64" s="259" t="n">
        <v>0</v>
      </c>
      <c r="Q64" s="259" t="n">
        <v>0</v>
      </c>
      <c r="R64" s="259" t="n">
        <v>0</v>
      </c>
      <c r="S64" s="259" t="n">
        <v>0</v>
      </c>
      <c r="T64" s="259" t="n">
        <v>0</v>
      </c>
      <c r="U64" s="259" t="n">
        <v>0</v>
      </c>
      <c r="V64" s="259" t="n">
        <v>0</v>
      </c>
      <c r="W64" s="259" t="n">
        <v>0</v>
      </c>
      <c r="X64" s="259" t="n">
        <v>0</v>
      </c>
      <c r="Y64" s="259" t="n">
        <v>0</v>
      </c>
      <c r="Z64" s="259" t="n">
        <v>0</v>
      </c>
      <c r="AA64" s="259" t="n">
        <v>0</v>
      </c>
      <c r="AB64" s="259" t="n">
        <v>0</v>
      </c>
      <c r="AC64" s="259" t="n">
        <v>0</v>
      </c>
      <c r="AD64" s="259" t="n">
        <v>0</v>
      </c>
      <c r="AE64" s="259" t="n">
        <v>0</v>
      </c>
      <c r="AF64" s="259" t="n">
        <v>0</v>
      </c>
      <c r="AG64" s="259" t="n">
        <v>0</v>
      </c>
      <c r="AH64" s="259" t="n">
        <v>0</v>
      </c>
      <c r="AI64" s="259" t="n">
        <v>0</v>
      </c>
      <c r="AJ64" s="259" t="n">
        <v>0</v>
      </c>
    </row>
    <row r="65">
      <c r="A65" t="n">
        <v>23</v>
      </c>
      <c r="B65" t="n">
        <v>1</v>
      </c>
      <c r="G65" t="inlineStr">
        <is>
          <t>moeda</t>
        </is>
      </c>
      <c r="H65" t="inlineStr">
        <is>
          <t>[vazio] Fornecedores: não aparece como linha própria nas demonstrações (zero)</t>
        </is>
      </c>
      <c r="J65" t="inlineStr">
        <is>
          <t>derivada</t>
        </is>
      </c>
      <c r="K65" s="259" t="n">
        <v>0</v>
      </c>
      <c r="L65" s="259" t="n">
        <v>0</v>
      </c>
      <c r="M65" s="259" t="n">
        <v>0</v>
      </c>
      <c r="N65" s="259" t="n">
        <v>0</v>
      </c>
      <c r="O65" s="259" t="n">
        <v>0</v>
      </c>
      <c r="P65" s="259" t="n">
        <v>0</v>
      </c>
      <c r="Q65" s="259" t="n">
        <v>0</v>
      </c>
      <c r="R65" s="259" t="n">
        <v>0</v>
      </c>
      <c r="S65" s="259" t="n">
        <v>0</v>
      </c>
      <c r="T65" s="259" t="n">
        <v>0</v>
      </c>
      <c r="U65" s="259" t="n">
        <v>0</v>
      </c>
      <c r="V65" s="259" t="n">
        <v>0</v>
      </c>
      <c r="W65" s="259" t="n">
        <v>0</v>
      </c>
      <c r="X65" s="259" t="n">
        <v>0</v>
      </c>
      <c r="Y65" s="259" t="n">
        <v>0</v>
      </c>
      <c r="Z65" s="259" t="n">
        <v>0</v>
      </c>
      <c r="AA65" s="259" t="n">
        <v>0</v>
      </c>
      <c r="AB65" s="259" t="n">
        <v>0</v>
      </c>
      <c r="AC65" s="259" t="n">
        <v>0</v>
      </c>
      <c r="AD65" s="259" t="n">
        <v>0</v>
      </c>
      <c r="AE65" s="259" t="n">
        <v>0</v>
      </c>
      <c r="AF65" s="259" t="n">
        <v>0</v>
      </c>
      <c r="AG65" s="259" t="n">
        <v>0</v>
      </c>
      <c r="AH65" s="259" t="n">
        <v>0</v>
      </c>
      <c r="AI65" s="259" t="n">
        <v>0</v>
      </c>
      <c r="AJ65" s="259" t="n">
        <v>0</v>
      </c>
    </row>
    <row r="66">
      <c r="A66" t="n">
        <v>24</v>
      </c>
      <c r="B66" t="n">
        <v>1</v>
      </c>
      <c r="G66" t="inlineStr">
        <is>
          <t>moeda</t>
        </is>
      </c>
      <c r="H66" t="inlineStr">
        <is>
          <t>[vazio] Despesas provisionadas: não aparece como linha própria nas demonstrações (zero)</t>
        </is>
      </c>
      <c r="J66" t="inlineStr">
        <is>
          <t>derivada</t>
        </is>
      </c>
      <c r="K66" s="259" t="n">
        <v>0</v>
      </c>
      <c r="L66" s="259" t="n">
        <v>0</v>
      </c>
      <c r="M66" s="259" t="n">
        <v>0</v>
      </c>
      <c r="N66" s="259" t="n">
        <v>0</v>
      </c>
      <c r="O66" s="259" t="n">
        <v>0</v>
      </c>
      <c r="P66" s="259" t="n">
        <v>0</v>
      </c>
      <c r="Q66" s="259" t="n">
        <v>0</v>
      </c>
      <c r="R66" s="259" t="n">
        <v>0</v>
      </c>
      <c r="S66" s="259" t="n">
        <v>0</v>
      </c>
      <c r="T66" s="259" t="n">
        <v>0</v>
      </c>
      <c r="U66" s="259" t="n">
        <v>0</v>
      </c>
      <c r="V66" s="259" t="n">
        <v>0</v>
      </c>
      <c r="W66" s="259" t="n">
        <v>0</v>
      </c>
      <c r="X66" s="259" t="n">
        <v>0</v>
      </c>
      <c r="Y66" s="259" t="n">
        <v>0</v>
      </c>
      <c r="Z66" s="259" t="n">
        <v>0</v>
      </c>
      <c r="AA66" s="259" t="n">
        <v>0</v>
      </c>
      <c r="AB66" s="259" t="n">
        <v>0</v>
      </c>
      <c r="AC66" s="259" t="n">
        <v>0</v>
      </c>
      <c r="AD66" s="259" t="n">
        <v>0</v>
      </c>
      <c r="AE66" s="259" t="n">
        <v>0</v>
      </c>
      <c r="AF66" s="259" t="n">
        <v>0</v>
      </c>
      <c r="AG66" s="259" t="n">
        <v>0</v>
      </c>
      <c r="AH66" s="259" t="n">
        <v>0</v>
      </c>
      <c r="AI66" s="259" t="n">
        <v>0</v>
      </c>
      <c r="AJ66" s="259" t="n">
        <v>0</v>
      </c>
    </row>
    <row r="67">
      <c r="A67" t="n">
        <v>25</v>
      </c>
      <c r="B67" t="n">
        <v>1</v>
      </c>
      <c r="G67" t="inlineStr">
        <is>
          <t>moeda</t>
        </is>
      </c>
      <c r="H67" t="inlineStr">
        <is>
          <t>[vazio] Impostos a pagar: não aparece como linha própria nas demonstrações (zero)</t>
        </is>
      </c>
      <c r="J67" t="inlineStr">
        <is>
          <t>derivada</t>
        </is>
      </c>
      <c r="K67" s="259" t="n">
        <v>0</v>
      </c>
      <c r="L67" s="259" t="n">
        <v>0</v>
      </c>
      <c r="M67" s="259" t="n">
        <v>0</v>
      </c>
      <c r="N67" s="259" t="n">
        <v>0</v>
      </c>
      <c r="O67" s="259" t="n">
        <v>0</v>
      </c>
      <c r="P67" s="259" t="n">
        <v>0</v>
      </c>
      <c r="Q67" s="259" t="n">
        <v>0</v>
      </c>
      <c r="R67" s="259" t="n">
        <v>0</v>
      </c>
      <c r="S67" s="259" t="n">
        <v>0</v>
      </c>
      <c r="T67" s="259" t="n">
        <v>0</v>
      </c>
      <c r="U67" s="259" t="n">
        <v>0</v>
      </c>
      <c r="V67" s="259" t="n">
        <v>0</v>
      </c>
      <c r="W67" s="259" t="n">
        <v>0</v>
      </c>
      <c r="X67" s="259" t="n">
        <v>0</v>
      </c>
      <c r="Y67" s="259" t="n">
        <v>0</v>
      </c>
      <c r="Z67" s="259" t="n">
        <v>0</v>
      </c>
      <c r="AA67" s="259" t="n">
        <v>0</v>
      </c>
      <c r="AB67" s="259" t="n">
        <v>0</v>
      </c>
      <c r="AC67" s="259" t="n">
        <v>0</v>
      </c>
      <c r="AD67" s="259" t="n">
        <v>0</v>
      </c>
      <c r="AE67" s="259" t="n">
        <v>0</v>
      </c>
      <c r="AF67" s="259" t="n">
        <v>0</v>
      </c>
      <c r="AG67" s="259" t="n">
        <v>0</v>
      </c>
      <c r="AH67" s="259" t="n">
        <v>0</v>
      </c>
      <c r="AI67" s="259" t="n">
        <v>0</v>
      </c>
      <c r="AJ67" s="259" t="n">
        <v>0</v>
      </c>
    </row>
    <row r="68">
      <c r="A68" t="n">
        <v>28</v>
      </c>
      <c r="B68" t="n">
        <v>1</v>
      </c>
      <c r="G68" t="inlineStr">
        <is>
          <t>moeda</t>
        </is>
      </c>
      <c r="H68" t="inlineStr">
        <is>
          <t>[vazio] Revolving: não aparece como linha própria nas demonstrações (zero)</t>
        </is>
      </c>
      <c r="J68" t="inlineStr">
        <is>
          <t>derivada</t>
        </is>
      </c>
      <c r="K68" s="259" t="n">
        <v>0</v>
      </c>
      <c r="L68" s="259" t="n">
        <v>0</v>
      </c>
      <c r="M68" s="259" t="n">
        <v>0</v>
      </c>
      <c r="N68" s="259" t="n">
        <v>0</v>
      </c>
      <c r="O68" s="259" t="n">
        <v>0</v>
      </c>
      <c r="P68" s="259" t="n">
        <v>0</v>
      </c>
      <c r="Q68" s="259" t="n">
        <v>0</v>
      </c>
      <c r="R68" s="259" t="n">
        <v>0</v>
      </c>
      <c r="S68" s="259" t="n">
        <v>0</v>
      </c>
      <c r="T68" s="259" t="n">
        <v>0</v>
      </c>
      <c r="U68" s="259" t="n">
        <v>0</v>
      </c>
      <c r="V68" s="259" t="n">
        <v>0</v>
      </c>
      <c r="W68" s="259" t="n">
        <v>0</v>
      </c>
      <c r="X68" s="259" t="n">
        <v>0</v>
      </c>
      <c r="Y68" s="259" t="n">
        <v>0</v>
      </c>
      <c r="Z68" s="259" t="n">
        <v>0</v>
      </c>
      <c r="AA68" s="259" t="n">
        <v>0</v>
      </c>
      <c r="AB68" s="259" t="n">
        <v>0</v>
      </c>
      <c r="AC68" s="259" t="n">
        <v>0</v>
      </c>
      <c r="AD68" s="259" t="n">
        <v>0</v>
      </c>
      <c r="AE68" s="259" t="n">
        <v>0</v>
      </c>
      <c r="AF68" s="259" t="n">
        <v>0</v>
      </c>
      <c r="AG68" s="259" t="n">
        <v>0</v>
      </c>
      <c r="AH68" s="259" t="n">
        <v>0</v>
      </c>
      <c r="AI68" s="259" t="n">
        <v>0</v>
      </c>
      <c r="AJ68" s="259" t="n">
        <v>0</v>
      </c>
    </row>
    <row r="69">
      <c r="A69" t="n">
        <v>29</v>
      </c>
      <c r="B69" t="n">
        <v>1</v>
      </c>
      <c r="G69" t="inlineStr">
        <is>
          <t>moeda</t>
        </is>
      </c>
      <c r="H69" t="inlineStr">
        <is>
          <t>[vazio] Arrendamento CP: não aparece como linha própria nas demonstrações (zero)</t>
        </is>
      </c>
      <c r="J69" t="inlineStr">
        <is>
          <t>derivada</t>
        </is>
      </c>
      <c r="K69" s="259" t="n">
        <v>0</v>
      </c>
      <c r="L69" s="259" t="n">
        <v>0</v>
      </c>
      <c r="M69" s="259" t="n">
        <v>0</v>
      </c>
      <c r="N69" s="259" t="n">
        <v>0</v>
      </c>
      <c r="O69" s="259" t="n">
        <v>0</v>
      </c>
      <c r="P69" s="259" t="n">
        <v>0</v>
      </c>
      <c r="Q69" s="259" t="n">
        <v>0</v>
      </c>
      <c r="R69" s="259" t="n">
        <v>0</v>
      </c>
      <c r="S69" s="259" t="n">
        <v>0</v>
      </c>
      <c r="T69" s="259" t="n">
        <v>0</v>
      </c>
      <c r="U69" s="259" t="n">
        <v>0</v>
      </c>
      <c r="V69" s="259" t="n">
        <v>0</v>
      </c>
      <c r="W69" s="259" t="n">
        <v>0</v>
      </c>
      <c r="X69" s="259" t="n">
        <v>0</v>
      </c>
      <c r="Y69" s="259" t="n">
        <v>0</v>
      </c>
      <c r="Z69" s="259" t="n">
        <v>0</v>
      </c>
      <c r="AA69" s="259" t="n">
        <v>0</v>
      </c>
      <c r="AB69" s="259" t="n">
        <v>0</v>
      </c>
      <c r="AC69" s="259" t="n">
        <v>0</v>
      </c>
      <c r="AD69" s="259" t="n">
        <v>0</v>
      </c>
      <c r="AE69" s="259" t="n">
        <v>0</v>
      </c>
      <c r="AF69" s="259" t="n">
        <v>0</v>
      </c>
      <c r="AG69" s="259" t="n">
        <v>0</v>
      </c>
      <c r="AH69" s="259" t="n">
        <v>0</v>
      </c>
      <c r="AI69" s="259" t="n">
        <v>0</v>
      </c>
      <c r="AJ69" s="259" t="n">
        <v>0</v>
      </c>
    </row>
    <row r="70">
      <c r="A70" t="n">
        <v>30</v>
      </c>
      <c r="B70" t="n">
        <v>1</v>
      </c>
      <c r="G70" t="inlineStr">
        <is>
          <t>moeda</t>
        </is>
      </c>
      <c r="H70" t="inlineStr">
        <is>
          <t>[vazio] Dívida LP: não aparece como linha própria nas demonstrações (zero)</t>
        </is>
      </c>
      <c r="J70" t="inlineStr">
        <is>
          <t>derivada</t>
        </is>
      </c>
      <c r="K70" s="259" t="n">
        <v>0</v>
      </c>
      <c r="L70" s="259" t="n">
        <v>0</v>
      </c>
      <c r="M70" s="259" t="n">
        <v>0</v>
      </c>
      <c r="N70" s="259" t="n">
        <v>0</v>
      </c>
      <c r="O70" s="259" t="n">
        <v>0</v>
      </c>
      <c r="P70" s="259" t="n">
        <v>0</v>
      </c>
      <c r="Q70" s="259" t="n">
        <v>0</v>
      </c>
      <c r="R70" s="259" t="n">
        <v>0</v>
      </c>
      <c r="S70" s="259" t="n">
        <v>0</v>
      </c>
      <c r="T70" s="259" t="n">
        <v>0</v>
      </c>
      <c r="U70" s="259" t="n">
        <v>0</v>
      </c>
      <c r="V70" s="259" t="n">
        <v>0</v>
      </c>
      <c r="W70" s="259" t="n">
        <v>0</v>
      </c>
      <c r="X70" s="259" t="n">
        <v>0</v>
      </c>
      <c r="Y70" s="259" t="n">
        <v>0</v>
      </c>
      <c r="Z70" s="259" t="n">
        <v>0</v>
      </c>
      <c r="AA70" s="259" t="n">
        <v>0</v>
      </c>
      <c r="AB70" s="259" t="n">
        <v>0</v>
      </c>
      <c r="AC70" s="259" t="n">
        <v>0</v>
      </c>
      <c r="AD70" s="259" t="n">
        <v>0</v>
      </c>
      <c r="AE70" s="259" t="n">
        <v>0</v>
      </c>
      <c r="AF70" s="259" t="n">
        <v>0</v>
      </c>
      <c r="AG70" s="259" t="n">
        <v>0</v>
      </c>
      <c r="AH70" s="259" t="n">
        <v>0</v>
      </c>
      <c r="AI70" s="259" t="n">
        <v>0</v>
      </c>
      <c r="AJ70" s="259" t="n">
        <v>0</v>
      </c>
    </row>
    <row r="71">
      <c r="A71" t="n">
        <v>31</v>
      </c>
      <c r="B71" t="n">
        <v>1</v>
      </c>
      <c r="G71" t="inlineStr">
        <is>
          <t>moeda</t>
        </is>
      </c>
      <c r="H71" t="inlineStr">
        <is>
          <t>[vazio] Arrendamento LP: não aparece como linha própria nas demonstrações (zero)</t>
        </is>
      </c>
      <c r="J71" t="inlineStr">
        <is>
          <t>derivada</t>
        </is>
      </c>
      <c r="K71" s="259" t="n">
        <v>0</v>
      </c>
      <c r="L71" s="259" t="n">
        <v>0</v>
      </c>
      <c r="M71" s="259" t="n">
        <v>0</v>
      </c>
      <c r="N71" s="259" t="n">
        <v>0</v>
      </c>
      <c r="O71" s="259" t="n">
        <v>0</v>
      </c>
      <c r="P71" s="259" t="n">
        <v>0</v>
      </c>
      <c r="Q71" s="259" t="n">
        <v>0</v>
      </c>
      <c r="R71" s="259" t="n">
        <v>0</v>
      </c>
      <c r="S71" s="259" t="n">
        <v>0</v>
      </c>
      <c r="T71" s="259" t="n">
        <v>0</v>
      </c>
      <c r="U71" s="259" t="n">
        <v>0</v>
      </c>
      <c r="V71" s="259" t="n">
        <v>0</v>
      </c>
      <c r="W71" s="259" t="n">
        <v>0</v>
      </c>
      <c r="X71" s="259" t="n">
        <v>0</v>
      </c>
      <c r="Y71" s="259" t="n">
        <v>0</v>
      </c>
      <c r="Z71" s="259" t="n">
        <v>0</v>
      </c>
      <c r="AA71" s="259" t="n">
        <v>0</v>
      </c>
      <c r="AB71" s="259" t="n">
        <v>0</v>
      </c>
      <c r="AC71" s="259" t="n">
        <v>0</v>
      </c>
      <c r="AD71" s="259" t="n">
        <v>0</v>
      </c>
      <c r="AE71" s="259" t="n">
        <v>0</v>
      </c>
      <c r="AF71" s="259" t="n">
        <v>0</v>
      </c>
      <c r="AG71" s="259" t="n">
        <v>0</v>
      </c>
      <c r="AH71" s="259" t="n">
        <v>0</v>
      </c>
      <c r="AI71" s="259" t="n">
        <v>0</v>
      </c>
      <c r="AJ71" s="259" t="n">
        <v>0</v>
      </c>
    </row>
    <row r="72">
      <c r="A72" t="n">
        <v>32</v>
      </c>
      <c r="B72" t="n">
        <v>1</v>
      </c>
      <c r="G72" t="inlineStr">
        <is>
          <t>moeda</t>
        </is>
      </c>
      <c r="H72" t="inlineStr">
        <is>
          <t>[vazio] Dívida conversível: não aparece como linha própria nas demonstrações (zero)</t>
        </is>
      </c>
      <c r="J72" t="inlineStr">
        <is>
          <t>derivada</t>
        </is>
      </c>
      <c r="K72" s="259" t="n">
        <v>0</v>
      </c>
      <c r="L72" s="259" t="n">
        <v>0</v>
      </c>
      <c r="M72" s="259" t="n">
        <v>0</v>
      </c>
      <c r="N72" s="259" t="n">
        <v>0</v>
      </c>
      <c r="O72" s="259" t="n">
        <v>0</v>
      </c>
      <c r="P72" s="259" t="n">
        <v>0</v>
      </c>
      <c r="Q72" s="259" t="n">
        <v>0</v>
      </c>
      <c r="R72" s="259" t="n">
        <v>0</v>
      </c>
      <c r="S72" s="259" t="n">
        <v>0</v>
      </c>
      <c r="T72" s="259" t="n">
        <v>0</v>
      </c>
      <c r="U72" s="259" t="n">
        <v>0</v>
      </c>
      <c r="V72" s="259" t="n">
        <v>0</v>
      </c>
      <c r="W72" s="259" t="n">
        <v>0</v>
      </c>
      <c r="X72" s="259" t="n">
        <v>0</v>
      </c>
      <c r="Y72" s="259" t="n">
        <v>0</v>
      </c>
      <c r="Z72" s="259" t="n">
        <v>0</v>
      </c>
      <c r="AA72" s="259" t="n">
        <v>0</v>
      </c>
      <c r="AB72" s="259" t="n">
        <v>0</v>
      </c>
      <c r="AC72" s="259" t="n">
        <v>0</v>
      </c>
      <c r="AD72" s="259" t="n">
        <v>0</v>
      </c>
      <c r="AE72" s="259" t="n">
        <v>0</v>
      </c>
      <c r="AF72" s="259" t="n">
        <v>0</v>
      </c>
      <c r="AG72" s="259" t="n">
        <v>0</v>
      </c>
      <c r="AH72" s="259" t="n">
        <v>0</v>
      </c>
      <c r="AI72" s="259" t="n">
        <v>0</v>
      </c>
      <c r="AJ72" s="259" t="n">
        <v>0</v>
      </c>
    </row>
    <row r="73">
      <c r="A73" t="n">
        <v>34</v>
      </c>
      <c r="B73" t="n">
        <v>1</v>
      </c>
      <c r="G73" t="inlineStr">
        <is>
          <t>moeda</t>
        </is>
      </c>
      <c r="H73" t="inlineStr">
        <is>
          <t>[vazio] Outros passivos não circulantes: não aparece como linha própria nas demonstrações (zero)</t>
        </is>
      </c>
      <c r="J73" t="inlineStr">
        <is>
          <t>derivada</t>
        </is>
      </c>
      <c r="K73" s="259" t="n">
        <v>0</v>
      </c>
      <c r="L73" s="259" t="n">
        <v>0</v>
      </c>
      <c r="M73" s="259" t="n">
        <v>0</v>
      </c>
      <c r="N73" s="259" t="n">
        <v>0</v>
      </c>
      <c r="O73" s="259" t="n">
        <v>0</v>
      </c>
      <c r="P73" s="259" t="n">
        <v>0</v>
      </c>
      <c r="Q73" s="259" t="n">
        <v>0</v>
      </c>
      <c r="R73" s="259" t="n">
        <v>0</v>
      </c>
      <c r="S73" s="259" t="n">
        <v>0</v>
      </c>
      <c r="T73" s="259" t="n">
        <v>0</v>
      </c>
      <c r="U73" s="259" t="n">
        <v>0</v>
      </c>
      <c r="V73" s="259" t="n">
        <v>0</v>
      </c>
      <c r="W73" s="259" t="n">
        <v>0</v>
      </c>
      <c r="X73" s="259" t="n">
        <v>0</v>
      </c>
      <c r="Y73" s="259" t="n">
        <v>0</v>
      </c>
      <c r="Z73" s="259" t="n">
        <v>0</v>
      </c>
      <c r="AA73" s="259" t="n">
        <v>0</v>
      </c>
      <c r="AB73" s="259" t="n">
        <v>0</v>
      </c>
      <c r="AC73" s="259" t="n">
        <v>0</v>
      </c>
      <c r="AD73" s="259" t="n">
        <v>0</v>
      </c>
      <c r="AE73" s="259" t="n">
        <v>0</v>
      </c>
      <c r="AF73" s="259" t="n">
        <v>0</v>
      </c>
      <c r="AG73" s="259" t="n">
        <v>0</v>
      </c>
      <c r="AH73" s="259" t="n">
        <v>0</v>
      </c>
      <c r="AI73" s="259" t="n">
        <v>0</v>
      </c>
      <c r="AJ73" s="259" t="n">
        <v>0</v>
      </c>
    </row>
    <row r="74">
      <c r="A74" t="n">
        <v>40</v>
      </c>
      <c r="B74" t="n">
        <v>1</v>
      </c>
      <c r="G74" t="inlineStr">
        <is>
          <t>moeda</t>
        </is>
      </c>
      <c r="H74" t="inlineStr">
        <is>
          <t>[vazio] Outras contas do PL: não aparece como linha própria nas demonstrações (zero)</t>
        </is>
      </c>
      <c r="J74" t="inlineStr">
        <is>
          <t>derivada</t>
        </is>
      </c>
      <c r="K74" s="259" t="n">
        <v>0</v>
      </c>
      <c r="L74" s="259" t="n">
        <v>0</v>
      </c>
      <c r="M74" s="259" t="n">
        <v>0</v>
      </c>
      <c r="N74" s="259" t="n">
        <v>0</v>
      </c>
      <c r="O74" s="259" t="n">
        <v>0</v>
      </c>
      <c r="P74" s="259" t="n">
        <v>0</v>
      </c>
      <c r="Q74" s="259" t="n">
        <v>0</v>
      </c>
      <c r="R74" s="259" t="n">
        <v>0</v>
      </c>
      <c r="S74" s="259" t="n">
        <v>0</v>
      </c>
      <c r="T74" s="259" t="n">
        <v>0</v>
      </c>
      <c r="U74" s="259" t="n">
        <v>0</v>
      </c>
      <c r="V74" s="259" t="n">
        <v>0</v>
      </c>
      <c r="W74" s="259" t="n">
        <v>0</v>
      </c>
      <c r="X74" s="259" t="n">
        <v>0</v>
      </c>
      <c r="Y74" s="259" t="n">
        <v>0</v>
      </c>
      <c r="Z74" s="259" t="n">
        <v>0</v>
      </c>
      <c r="AA74" s="259" t="n">
        <v>0</v>
      </c>
      <c r="AB74" s="259" t="n">
        <v>0</v>
      </c>
      <c r="AC74" s="259" t="n">
        <v>0</v>
      </c>
      <c r="AD74" s="259" t="n">
        <v>0</v>
      </c>
      <c r="AE74" s="259" t="n">
        <v>0</v>
      </c>
      <c r="AF74" s="259" t="n">
        <v>0</v>
      </c>
      <c r="AG74" s="259" t="n">
        <v>0</v>
      </c>
      <c r="AH74" s="259" t="n">
        <v>0</v>
      </c>
      <c r="AI74" s="259" t="n">
        <v>0</v>
      </c>
      <c r="AJ74" s="259" t="n">
        <v>0</v>
      </c>
    </row>
    <row r="75">
      <c r="A75" t="n">
        <v>22</v>
      </c>
      <c r="B75" t="n">
        <v>1</v>
      </c>
      <c r="G75" t="inlineStr">
        <is>
          <t>moeda</t>
        </is>
      </c>
      <c r="H75" t="inlineStr">
        <is>
          <t>Recebíveis de financiamento (John Deere Financial) e demais ativos de face etiquetados por dimensão = ativo total - linhas identificadas</t>
        </is>
      </c>
      <c r="J75" t="inlineStr">
        <is>
          <t>derivada</t>
        </is>
      </c>
      <c r="K75" s="259" t="n">
        <v>0</v>
      </c>
      <c r="L75" s="259" t="n">
        <v>0</v>
      </c>
      <c r="M75" s="259" t="n">
        <v>0</v>
      </c>
      <c r="N75" s="259" t="n">
        <v>0</v>
      </c>
      <c r="O75" s="259" t="n">
        <v>0</v>
      </c>
      <c r="P75" s="259" t="n">
        <v>0</v>
      </c>
      <c r="Q75" s="259" t="n">
        <v>0</v>
      </c>
      <c r="R75" s="259" t="n">
        <v>0</v>
      </c>
      <c r="S75" s="259" t="n">
        <v>0</v>
      </c>
      <c r="T75" s="259" t="n">
        <v>40197000000</v>
      </c>
      <c r="U75" s="259" t="n">
        <v>42570000000</v>
      </c>
      <c r="V75" s="259" t="n">
        <v>41971000000</v>
      </c>
      <c r="W75" s="259" t="n">
        <v>44613000000</v>
      </c>
      <c r="X75" s="259" t="n">
        <v>48303000000</v>
      </c>
      <c r="Y75" s="259" t="n">
        <v>51008000000</v>
      </c>
      <c r="Z75" s="259" t="n">
        <v>50108000000</v>
      </c>
      <c r="AA75" s="259" t="n">
        <v>52540000000</v>
      </c>
      <c r="AB75" s="259" t="n">
        <v>52170000000</v>
      </c>
      <c r="AC75" s="259" t="n">
        <v>53032000000</v>
      </c>
      <c r="AD75" s="259" t="n">
        <v>49653000000</v>
      </c>
      <c r="AE75" s="259" t="n">
        <v>50794000000</v>
      </c>
      <c r="AF75" s="259" t="n">
        <v>51878000000</v>
      </c>
      <c r="AG75" s="259" t="n">
        <v>51406000000</v>
      </c>
      <c r="AH75" s="259" t="n">
        <v>48592000000</v>
      </c>
      <c r="AI75" s="259" t="n">
        <v>49016000000</v>
      </c>
      <c r="AJ75" s="259" t="n">
        <v>49176000000</v>
      </c>
    </row>
    <row r="76">
      <c r="H76" s="254" t="inlineStr">
        <is>
          <t>BALANÇO - totais divulgados (memória)</t>
        </is>
      </c>
    </row>
    <row r="77">
      <c r="G77" t="inlineStr">
        <is>
          <t>moeda</t>
        </is>
      </c>
      <c r="H77" t="inlineStr">
        <is>
          <t>Total do ativo [us-gaap:Assets]</t>
        </is>
      </c>
      <c r="J77" t="inlineStr">
        <is>
          <t>memoria</t>
        </is>
      </c>
      <c r="K77" s="259" t="n">
        <v>77326000000</v>
      </c>
      <c r="L77" s="259" t="n">
        <v>77264000000</v>
      </c>
      <c r="M77" s="259" t="n">
        <v>75091000000</v>
      </c>
      <c r="N77" s="259" t="n">
        <v>75480000000</v>
      </c>
      <c r="O77" s="259" t="n">
        <v>78979000000</v>
      </c>
      <c r="P77" s="259" t="n">
        <v>80688000000</v>
      </c>
      <c r="Q77" s="259" t="n">
        <v>84114000000</v>
      </c>
      <c r="R77" s="259" t="n">
        <v>79614000000</v>
      </c>
      <c r="S77" s="259" t="n">
        <v>84099000000</v>
      </c>
      <c r="T77" s="259" t="n">
        <v>86817000000</v>
      </c>
      <c r="U77" s="259" t="n">
        <v>90030000000</v>
      </c>
      <c r="V77" s="259" t="n">
        <v>91620000000</v>
      </c>
      <c r="W77" s="259" t="n">
        <v>98347000000</v>
      </c>
      <c r="X77" s="259" t="n">
        <v>103397000000</v>
      </c>
      <c r="Y77" s="259" t="n">
        <v>104087000000</v>
      </c>
      <c r="Z77" s="259" t="n">
        <v>101371000000</v>
      </c>
      <c r="AA77" s="259" t="n">
        <v>105628000000</v>
      </c>
      <c r="AB77" s="259" t="n">
        <v>107841000000</v>
      </c>
      <c r="AC77" s="259" t="n">
        <v>107320000000</v>
      </c>
      <c r="AD77" s="259" t="n">
        <v>103119000000</v>
      </c>
      <c r="AE77" s="259" t="n">
        <v>106303000000</v>
      </c>
      <c r="AF77" s="259" t="n">
        <v>107817000000</v>
      </c>
      <c r="AG77" s="259" t="n">
        <v>105996000000</v>
      </c>
      <c r="AH77" s="259" t="n">
        <v>103436000000</v>
      </c>
      <c r="AI77" s="259" t="n">
        <v>107001000000</v>
      </c>
      <c r="AJ77" s="259" t="n">
        <v>107607000000</v>
      </c>
    </row>
    <row r="78">
      <c r="G78" t="inlineStr">
        <is>
          <t>moeda</t>
        </is>
      </c>
      <c r="H78" t="inlineStr">
        <is>
          <t>Total do passivo + PL [us-gaap:LiabilitiesAndStockholdersEquity]</t>
        </is>
      </c>
      <c r="J78" t="inlineStr">
        <is>
          <t>memoria</t>
        </is>
      </c>
      <c r="K78" s="259" t="n">
        <v>77326000000</v>
      </c>
      <c r="L78" s="259" t="n">
        <v>77264000000</v>
      </c>
      <c r="M78" s="259" t="n">
        <v>75091000000</v>
      </c>
      <c r="N78" s="259" t="n">
        <v>75480000000</v>
      </c>
      <c r="O78" s="259" t="n">
        <v>78979000000</v>
      </c>
      <c r="P78" s="259" t="n">
        <v>80688000000</v>
      </c>
      <c r="Q78" s="259" t="n">
        <v>84114000000</v>
      </c>
      <c r="R78" s="259" t="n">
        <v>79614000000</v>
      </c>
      <c r="S78" s="259" t="n">
        <v>84099000000</v>
      </c>
      <c r="T78" s="259" t="n">
        <v>86817000000</v>
      </c>
      <c r="U78" s="259" t="n">
        <v>90030000000</v>
      </c>
      <c r="V78" s="259" t="n">
        <v>91620000000</v>
      </c>
      <c r="W78" s="259" t="n">
        <v>98347000000</v>
      </c>
      <c r="X78" s="259" t="n">
        <v>103397000000</v>
      </c>
      <c r="Y78" s="259" t="n">
        <v>104087000000</v>
      </c>
      <c r="Z78" s="259" t="n">
        <v>101371000000</v>
      </c>
      <c r="AA78" s="259" t="n">
        <v>105628000000</v>
      </c>
      <c r="AB78" s="259" t="n">
        <v>107841000000</v>
      </c>
      <c r="AC78" s="259" t="n">
        <v>107320000000</v>
      </c>
      <c r="AD78" s="259" t="n">
        <v>103119000000</v>
      </c>
      <c r="AE78" s="259" t="n">
        <v>106303000000</v>
      </c>
      <c r="AF78" s="259" t="n">
        <v>107817000000</v>
      </c>
      <c r="AG78" s="259" t="n">
        <v>105996000000</v>
      </c>
      <c r="AH78" s="259" t="n">
        <v>103436000000</v>
      </c>
      <c r="AI78" s="259" t="n">
        <v>107001000000</v>
      </c>
      <c r="AJ78" s="259" t="n">
        <v>107607000000</v>
      </c>
    </row>
    <row r="79">
      <c r="H79" s="254" t="inlineStr">
        <is>
          <t>CHECKS (devem ser 0)</t>
        </is>
      </c>
    </row>
    <row r="80">
      <c r="G80" t="inlineStr">
        <is>
          <t>moeda</t>
        </is>
      </c>
      <c r="H80" t="inlineStr">
        <is>
          <t>CHECK: contas de ativo - ativo total (USD, arredondado a 100 mil)</t>
        </is>
      </c>
      <c r="J80" t="inlineStr">
        <is>
          <t>derivada</t>
        </is>
      </c>
      <c r="K80" s="260">
        <f>ROUND(N(K22)+N(K23)+N(K24)+N(K25)+N(K26)+N(K27)+N(K28)+N(K29)+N(K30)+N(K31)+N(K32)+N(K33)+N(K34)+N(K35)+N(K36)+N(K37)+N(K38)+N(K39)+N(K40)+N(K41)+N(K42)+N(K75)-N(K77),-5)</f>
        <v>0</v>
      </c>
      <c r="L80" s="260">
        <f>ROUND(N(L22)+N(L23)+N(L24)+N(L25)+N(L26)+N(L27)+N(L28)+N(L29)+N(L30)+N(L31)+N(L32)+N(L33)+N(L34)+N(L35)+N(L36)+N(L37)+N(L38)+N(L39)+N(L40)+N(L41)+N(L42)+N(L75)-N(L77),-5)</f>
        <v>0</v>
      </c>
      <c r="M80" s="260">
        <f>ROUND(N(M22)+N(M23)+N(M24)+N(M25)+N(M26)+N(M27)+N(M28)+N(M29)+N(M30)+N(M31)+N(M32)+N(M33)+N(M34)+N(M35)+N(M36)+N(M37)+N(M38)+N(M39)+N(M40)+N(M41)+N(M42)+N(M75)-N(M77),-5)</f>
        <v>0</v>
      </c>
      <c r="N80" s="260">
        <f>ROUND(N(N22)+N(N23)+N(N24)+N(N25)+N(N26)+N(N27)+N(N28)+N(N29)+N(N30)+N(N31)+N(N32)+N(N33)+N(N34)+N(N35)+N(N36)+N(N37)+N(N38)+N(N39)+N(N40)+N(N41)+N(N42)+N(N75)-N(N77),-5)</f>
        <v>0</v>
      </c>
      <c r="O80" s="260">
        <f>ROUND(N(O22)+N(O23)+N(O24)+N(O25)+N(O26)+N(O27)+N(O28)+N(O29)+N(O30)+N(O31)+N(O32)+N(O33)+N(O34)+N(O35)+N(O36)+N(O37)+N(O38)+N(O39)+N(O40)+N(O41)+N(O42)+N(O75)-N(O77),-5)</f>
        <v>0</v>
      </c>
      <c r="P80" s="260">
        <f>ROUND(N(P22)+N(P23)+N(P24)+N(P25)+N(P26)+N(P27)+N(P28)+N(P29)+N(P30)+N(P31)+N(P32)+N(P33)+N(P34)+N(P35)+N(P36)+N(P37)+N(P38)+N(P39)+N(P40)+N(P41)+N(P42)+N(P75)-N(P77),-5)</f>
        <v>0</v>
      </c>
      <c r="Q80" s="260">
        <f>ROUND(N(Q22)+N(Q23)+N(Q24)+N(Q25)+N(Q26)+N(Q27)+N(Q28)+N(Q29)+N(Q30)+N(Q31)+N(Q32)+N(Q33)+N(Q34)+N(Q35)+N(Q36)+N(Q37)+N(Q38)+N(Q39)+N(Q40)+N(Q41)+N(Q42)+N(Q75)-N(Q77),-5)</f>
        <v>0</v>
      </c>
      <c r="R80" s="260">
        <f>ROUND(N(R22)+N(R23)+N(R24)+N(R25)+N(R26)+N(R27)+N(R28)+N(R29)+N(R30)+N(R31)+N(R32)+N(R33)+N(R34)+N(R35)+N(R36)+N(R37)+N(R38)+N(R39)+N(R40)+N(R41)+N(R42)+N(R75)-N(R77),-5)</f>
        <v>0</v>
      </c>
      <c r="S80" s="260">
        <f>ROUND(N(S22)+N(S23)+N(S24)+N(S25)+N(S26)+N(S27)+N(S28)+N(S29)+N(S30)+N(S31)+N(S32)+N(S33)+N(S34)+N(S35)+N(S36)+N(S37)+N(S38)+N(S39)+N(S40)+N(S41)+N(S42)+N(S75)-N(S77),-5)</f>
        <v>0</v>
      </c>
      <c r="T80" s="260">
        <f>ROUND(N(T22)+N(T23)+N(T24)+N(T25)+N(T26)+N(T27)+N(T28)+N(T29)+N(T30)+N(T31)+N(T32)+N(T33)+N(T34)+N(T35)+N(T36)+N(T37)+N(T38)+N(T39)+N(T40)+N(T41)+N(T42)+N(T75)-N(T77),-5)</f>
        <v>0</v>
      </c>
      <c r="U80" s="260">
        <f>ROUND(N(U22)+N(U23)+N(U24)+N(U25)+N(U26)+N(U27)+N(U28)+N(U29)+N(U30)+N(U31)+N(U32)+N(U33)+N(U34)+N(U35)+N(U36)+N(U37)+N(U38)+N(U39)+N(U40)+N(U41)+N(U42)+N(U75)-N(U77),-5)</f>
        <v>0</v>
      </c>
      <c r="V80" s="260">
        <f>ROUND(N(V22)+N(V23)+N(V24)+N(V25)+N(V26)+N(V27)+N(V28)+N(V29)+N(V30)+N(V31)+N(V32)+N(V33)+N(V34)+N(V35)+N(V36)+N(V37)+N(V38)+N(V39)+N(V40)+N(V41)+N(V42)+N(V75)-N(V77),-5)</f>
        <v>0</v>
      </c>
      <c r="W80" s="260">
        <f>ROUND(N(W22)+N(W23)+N(W24)+N(W25)+N(W26)+N(W27)+N(W28)+N(W29)+N(W30)+N(W31)+N(W32)+N(W33)+N(W34)+N(W35)+N(W36)+N(W37)+N(W38)+N(W39)+N(W40)+N(W41)+N(W42)+N(W75)-N(W77),-5)</f>
        <v>0</v>
      </c>
      <c r="X80" s="260">
        <f>ROUND(N(X22)+N(X23)+N(X24)+N(X25)+N(X26)+N(X27)+N(X28)+N(X29)+N(X30)+N(X31)+N(X32)+N(X33)+N(X34)+N(X35)+N(X36)+N(X37)+N(X38)+N(X39)+N(X40)+N(X41)+N(X42)+N(X75)-N(X77),-5)</f>
        <v>0</v>
      </c>
      <c r="Y80" s="260">
        <f>ROUND(N(Y22)+N(Y23)+N(Y24)+N(Y25)+N(Y26)+N(Y27)+N(Y28)+N(Y29)+N(Y30)+N(Y31)+N(Y32)+N(Y33)+N(Y34)+N(Y35)+N(Y36)+N(Y37)+N(Y38)+N(Y39)+N(Y40)+N(Y41)+N(Y42)+N(Y75)-N(Y77),-5)</f>
        <v>0</v>
      </c>
      <c r="Z80" s="260">
        <f>ROUND(N(Z22)+N(Z23)+N(Z24)+N(Z25)+N(Z26)+N(Z27)+N(Z28)+N(Z29)+N(Z30)+N(Z31)+N(Z32)+N(Z33)+N(Z34)+N(Z35)+N(Z36)+N(Z37)+N(Z38)+N(Z39)+N(Z40)+N(Z41)+N(Z42)+N(Z75)-N(Z77),-5)</f>
        <v>0</v>
      </c>
      <c r="AA80" s="260">
        <f>ROUND(N(AA22)+N(AA23)+N(AA24)+N(AA25)+N(AA26)+N(AA27)+N(AA28)+N(AA29)+N(AA30)+N(AA31)+N(AA32)+N(AA33)+N(AA34)+N(AA35)+N(AA36)+N(AA37)+N(AA38)+N(AA39)+N(AA40)+N(AA41)+N(AA42)+N(AA75)-N(AA77),-5)</f>
        <v>0</v>
      </c>
      <c r="AB80" s="260">
        <f>ROUND(N(AB22)+N(AB23)+N(AB24)+N(AB25)+N(AB26)+N(AB27)+N(AB28)+N(AB29)+N(AB30)+N(AB31)+N(AB32)+N(AB33)+N(AB34)+N(AB35)+N(AB36)+N(AB37)+N(AB38)+N(AB39)+N(AB40)+N(AB41)+N(AB42)+N(AB75)-N(AB77),-5)</f>
        <v>0</v>
      </c>
      <c r="AC80" s="260">
        <f>ROUND(N(AC22)+N(AC23)+N(AC24)+N(AC25)+N(AC26)+N(AC27)+N(AC28)+N(AC29)+N(AC30)+N(AC31)+N(AC32)+N(AC33)+N(AC34)+N(AC35)+N(AC36)+N(AC37)+N(AC38)+N(AC39)+N(AC40)+N(AC41)+N(AC42)+N(AC75)-N(AC77),-5)</f>
        <v>0</v>
      </c>
      <c r="AD80" s="260">
        <f>ROUND(N(AD22)+N(AD23)+N(AD24)+N(AD25)+N(AD26)+N(AD27)+N(AD28)+N(AD29)+N(AD30)+N(AD31)+N(AD32)+N(AD33)+N(AD34)+N(AD35)+N(AD36)+N(AD37)+N(AD38)+N(AD39)+N(AD40)+N(AD41)+N(AD42)+N(AD75)-N(AD77),-5)</f>
        <v>0</v>
      </c>
      <c r="AE80" s="260">
        <f>ROUND(N(AE22)+N(AE23)+N(AE24)+N(AE25)+N(AE26)+N(AE27)+N(AE28)+N(AE29)+N(AE30)+N(AE31)+N(AE32)+N(AE33)+N(AE34)+N(AE35)+N(AE36)+N(AE37)+N(AE38)+N(AE39)+N(AE40)+N(AE41)+N(AE42)+N(AE75)-N(AE77),-5)</f>
        <v>0</v>
      </c>
      <c r="AF80" s="260">
        <f>ROUND(N(AF22)+N(AF23)+N(AF24)+N(AF25)+N(AF26)+N(AF27)+N(AF28)+N(AF29)+N(AF30)+N(AF31)+N(AF32)+N(AF33)+N(AF34)+N(AF35)+N(AF36)+N(AF37)+N(AF38)+N(AF39)+N(AF40)+N(AF41)+N(AF42)+N(AF75)-N(AF77),-5)</f>
        <v>0</v>
      </c>
      <c r="AG80" s="260">
        <f>ROUND(N(AG22)+N(AG23)+N(AG24)+N(AG25)+N(AG26)+N(AG27)+N(AG28)+N(AG29)+N(AG30)+N(AG31)+N(AG32)+N(AG33)+N(AG34)+N(AG35)+N(AG36)+N(AG37)+N(AG38)+N(AG39)+N(AG40)+N(AG41)+N(AG42)+N(AG75)-N(AG77),-5)</f>
        <v>0</v>
      </c>
      <c r="AH80" s="260">
        <f>ROUND(N(AH22)+N(AH23)+N(AH24)+N(AH25)+N(AH26)+N(AH27)+N(AH28)+N(AH29)+N(AH30)+N(AH31)+N(AH32)+N(AH33)+N(AH34)+N(AH35)+N(AH36)+N(AH37)+N(AH38)+N(AH39)+N(AH40)+N(AH41)+N(AH42)+N(AH75)-N(AH77),-5)</f>
        <v>0</v>
      </c>
      <c r="AI80" s="260">
        <f>ROUND(N(AI22)+N(AI23)+N(AI24)+N(AI25)+N(AI26)+N(AI27)+N(AI28)+N(AI29)+N(AI30)+N(AI31)+N(AI32)+N(AI33)+N(AI34)+N(AI35)+N(AI36)+N(AI37)+N(AI38)+N(AI39)+N(AI40)+N(AI41)+N(AI42)+N(AI75)-N(AI77),-5)</f>
        <v>0</v>
      </c>
      <c r="AJ80" s="260">
        <f>ROUND(N(AJ22)+N(AJ23)+N(AJ24)+N(AJ25)+N(AJ26)+N(AJ27)+N(AJ28)+N(AJ29)+N(AJ30)+N(AJ31)+N(AJ32)+N(AJ33)+N(AJ34)+N(AJ35)+N(AJ36)+N(AJ37)+N(AJ38)+N(AJ39)+N(AJ40)+N(AJ41)+N(AJ42)+N(AJ75)-N(AJ77),-5)</f>
        <v>0</v>
      </c>
    </row>
    <row r="81">
      <c r="G81" t="inlineStr">
        <is>
          <t>moeda</t>
        </is>
      </c>
      <c r="H81" t="inlineStr">
        <is>
          <t>CHECK: passivo + PL (contas) - passivo + PL total</t>
        </is>
      </c>
      <c r="J81" t="inlineStr">
        <is>
          <t>derivada</t>
        </is>
      </c>
      <c r="K81" s="260">
        <f>ROUND(N(K43)+N(K44)+N(K45)+N(K46)+N(K47)+N(K48)+N(K49)+N(K50)+N(K51)+N(K52)+N(K53)+N(K54)+N(K55)+N(K56)+N(K57)+N(K58)+N(K59)-N(K78),-5)</f>
        <v>0</v>
      </c>
      <c r="L81" s="260">
        <f>ROUND(N(L43)+N(L44)+N(L45)+N(L46)+N(L47)+N(L48)+N(L49)+N(L50)+N(L51)+N(L52)+N(L53)+N(L54)+N(L55)+N(L56)+N(L57)+N(L58)+N(L59)-N(L78),-5)</f>
        <v>0</v>
      </c>
      <c r="M81" s="260">
        <f>ROUND(N(M43)+N(M44)+N(M45)+N(M46)+N(M47)+N(M48)+N(M49)+N(M50)+N(M51)+N(M52)+N(M53)+N(M54)+N(M55)+N(M56)+N(M57)+N(M58)+N(M59)-N(M78),-5)</f>
        <v>0</v>
      </c>
      <c r="N81" s="260">
        <f>ROUND(N(N43)+N(N44)+N(N45)+N(N46)+N(N47)+N(N48)+N(N49)+N(N50)+N(N51)+N(N52)+N(N53)+N(N54)+N(N55)+N(N56)+N(N57)+N(N58)+N(N59)-N(N78),-5)</f>
        <v>0</v>
      </c>
      <c r="O81" s="260">
        <f>ROUND(N(O43)+N(O44)+N(O45)+N(O46)+N(O47)+N(O48)+N(O49)+N(O50)+N(O51)+N(O52)+N(O53)+N(O54)+N(O55)+N(O56)+N(O57)+N(O58)+N(O59)-N(O78),-5)</f>
        <v>0</v>
      </c>
      <c r="P81" s="260">
        <f>ROUND(N(P43)+N(P44)+N(P45)+N(P46)+N(P47)+N(P48)+N(P49)+N(P50)+N(P51)+N(P52)+N(P53)+N(P54)+N(P55)+N(P56)+N(P57)+N(P58)+N(P59)-N(P78),-5)</f>
        <v>0</v>
      </c>
      <c r="Q81" s="260">
        <f>ROUND(N(Q43)+N(Q44)+N(Q45)+N(Q46)+N(Q47)+N(Q48)+N(Q49)+N(Q50)+N(Q51)+N(Q52)+N(Q53)+N(Q54)+N(Q55)+N(Q56)+N(Q57)+N(Q58)+N(Q59)-N(Q78),-5)</f>
        <v>0</v>
      </c>
      <c r="R81" s="260">
        <f>ROUND(N(R43)+N(R44)+N(R45)+N(R46)+N(R47)+N(R48)+N(R49)+N(R50)+N(R51)+N(R52)+N(R53)+N(R54)+N(R55)+N(R56)+N(R57)+N(R58)+N(R59)-N(R78),-5)</f>
        <v>0</v>
      </c>
      <c r="S81" s="260">
        <f>ROUND(N(S43)+N(S44)+N(S45)+N(S46)+N(S47)+N(S48)+N(S49)+N(S50)+N(S51)+N(S52)+N(S53)+N(S54)+N(S55)+N(S56)+N(S57)+N(S58)+N(S59)-N(S78),-5)</f>
        <v>0</v>
      </c>
      <c r="T81" s="260">
        <f>ROUND(N(T43)+N(T44)+N(T45)+N(T46)+N(T47)+N(T48)+N(T49)+N(T50)+N(T51)+N(T52)+N(T53)+N(T54)+N(T55)+N(T56)+N(T57)+N(T58)+N(T59)-N(T78),-5)</f>
        <v>0</v>
      </c>
      <c r="U81" s="260">
        <f>ROUND(N(U43)+N(U44)+N(U45)+N(U46)+N(U47)+N(U48)+N(U49)+N(U50)+N(U51)+N(U52)+N(U53)+N(U54)+N(U55)+N(U56)+N(U57)+N(U58)+N(U59)-N(U78),-5)</f>
        <v>0</v>
      </c>
      <c r="V81" s="260">
        <f>ROUND(N(V43)+N(V44)+N(V45)+N(V46)+N(V47)+N(V48)+N(V49)+N(V50)+N(V51)+N(V52)+N(V53)+N(V54)+N(V55)+N(V56)+N(V57)+N(V58)+N(V59)-N(V78),-5)</f>
        <v>0</v>
      </c>
      <c r="W81" s="260">
        <f>ROUND(N(W43)+N(W44)+N(W45)+N(W46)+N(W47)+N(W48)+N(W49)+N(W50)+N(W51)+N(W52)+N(W53)+N(W54)+N(W55)+N(W56)+N(W57)+N(W58)+N(W59)-N(W78),-5)</f>
        <v>0</v>
      </c>
      <c r="X81" s="260">
        <f>ROUND(N(X43)+N(X44)+N(X45)+N(X46)+N(X47)+N(X48)+N(X49)+N(X50)+N(X51)+N(X52)+N(X53)+N(X54)+N(X55)+N(X56)+N(X57)+N(X58)+N(X59)-N(X78),-5)</f>
        <v>0</v>
      </c>
      <c r="Y81" s="260">
        <f>ROUND(N(Y43)+N(Y44)+N(Y45)+N(Y46)+N(Y47)+N(Y48)+N(Y49)+N(Y50)+N(Y51)+N(Y52)+N(Y53)+N(Y54)+N(Y55)+N(Y56)+N(Y57)+N(Y58)+N(Y59)-N(Y78),-5)</f>
        <v>0</v>
      </c>
      <c r="Z81" s="260">
        <f>ROUND(N(Z43)+N(Z44)+N(Z45)+N(Z46)+N(Z47)+N(Z48)+N(Z49)+N(Z50)+N(Z51)+N(Z52)+N(Z53)+N(Z54)+N(Z55)+N(Z56)+N(Z57)+N(Z58)+N(Z59)-N(Z78),-5)</f>
        <v>0</v>
      </c>
      <c r="AA81" s="260">
        <f>ROUND(N(AA43)+N(AA44)+N(AA45)+N(AA46)+N(AA47)+N(AA48)+N(AA49)+N(AA50)+N(AA51)+N(AA52)+N(AA53)+N(AA54)+N(AA55)+N(AA56)+N(AA57)+N(AA58)+N(AA59)-N(AA78),-5)</f>
        <v>0</v>
      </c>
      <c r="AB81" s="260">
        <f>ROUND(N(AB43)+N(AB44)+N(AB45)+N(AB46)+N(AB47)+N(AB48)+N(AB49)+N(AB50)+N(AB51)+N(AB52)+N(AB53)+N(AB54)+N(AB55)+N(AB56)+N(AB57)+N(AB58)+N(AB59)-N(AB78),-5)</f>
        <v>0</v>
      </c>
      <c r="AC81" s="260">
        <f>ROUND(N(AC43)+N(AC44)+N(AC45)+N(AC46)+N(AC47)+N(AC48)+N(AC49)+N(AC50)+N(AC51)+N(AC52)+N(AC53)+N(AC54)+N(AC55)+N(AC56)+N(AC57)+N(AC58)+N(AC59)-N(AC78),-5)</f>
        <v>0</v>
      </c>
      <c r="AD81" s="260">
        <f>ROUND(N(AD43)+N(AD44)+N(AD45)+N(AD46)+N(AD47)+N(AD48)+N(AD49)+N(AD50)+N(AD51)+N(AD52)+N(AD53)+N(AD54)+N(AD55)+N(AD56)+N(AD57)+N(AD58)+N(AD59)-N(AD78),-5)</f>
        <v>0</v>
      </c>
      <c r="AE81" s="260">
        <f>ROUND(N(AE43)+N(AE44)+N(AE45)+N(AE46)+N(AE47)+N(AE48)+N(AE49)+N(AE50)+N(AE51)+N(AE52)+N(AE53)+N(AE54)+N(AE55)+N(AE56)+N(AE57)+N(AE58)+N(AE59)-N(AE78),-5)</f>
        <v>0</v>
      </c>
      <c r="AF81" s="260">
        <f>ROUND(N(AF43)+N(AF44)+N(AF45)+N(AF46)+N(AF47)+N(AF48)+N(AF49)+N(AF50)+N(AF51)+N(AF52)+N(AF53)+N(AF54)+N(AF55)+N(AF56)+N(AF57)+N(AF58)+N(AF59)-N(AF78),-5)</f>
        <v>0</v>
      </c>
      <c r="AG81" s="260">
        <f>ROUND(N(AG43)+N(AG44)+N(AG45)+N(AG46)+N(AG47)+N(AG48)+N(AG49)+N(AG50)+N(AG51)+N(AG52)+N(AG53)+N(AG54)+N(AG55)+N(AG56)+N(AG57)+N(AG58)+N(AG59)-N(AG78),-5)</f>
        <v>0</v>
      </c>
      <c r="AH81" s="260">
        <f>ROUND(N(AH43)+N(AH44)+N(AH45)+N(AH46)+N(AH47)+N(AH48)+N(AH49)+N(AH50)+N(AH51)+N(AH52)+N(AH53)+N(AH54)+N(AH55)+N(AH56)+N(AH57)+N(AH58)+N(AH59)-N(AH78),-5)</f>
        <v>0</v>
      </c>
      <c r="AI81" s="260">
        <f>ROUND(N(AI43)+N(AI44)+N(AI45)+N(AI46)+N(AI47)+N(AI48)+N(AI49)+N(AI50)+N(AI51)+N(AI52)+N(AI53)+N(AI54)+N(AI55)+N(AI56)+N(AI57)+N(AI58)+N(AI59)-N(AI78),-5)</f>
        <v>0</v>
      </c>
      <c r="AJ81" s="260">
        <f>ROUND(N(AJ43)+N(AJ44)+N(AJ45)+N(AJ46)+N(AJ47)+N(AJ48)+N(AJ49)+N(AJ50)+N(AJ51)+N(AJ52)+N(AJ53)+N(AJ54)+N(AJ55)+N(AJ56)+N(AJ57)+N(AJ58)+N(AJ59)-N(AJ78),-5)</f>
        <v>0</v>
      </c>
    </row>
    <row r="82">
      <c r="H82" t="inlineStr">
        <is>
          <t>CHECK: receita - custo - despesas + não operacional - IR - minoritários + outros após IR - lucro (deve ser 0)</t>
        </is>
      </c>
      <c r="J82" t="inlineStr">
        <is>
          <t>derivada</t>
        </is>
      </c>
      <c r="K82">
        <f>ROUND(N(K6)-N(K7)-N(K9)+N(K11)-N(K13)-N(K14)+N(K16)-N(K17),-5)</f>
        <v>0</v>
      </c>
      <c r="L82">
        <f>ROUND(N(L6)-N(L7)-N(L9)+N(L11)-N(L13)-N(L14)+N(L16)-N(L17),-5)</f>
        <v>0</v>
      </c>
      <c r="M82">
        <f>ROUND(N(M6)-N(M7)-N(M9)+N(M11)-N(M13)-N(M14)+N(M16)-N(M17),-5)</f>
        <v>0</v>
      </c>
      <c r="N82">
        <f>ROUND(N(N6)-N(N7)-N(N9)+N(N11)-N(N13)-N(N14)+N(N16)-N(N17),-5)</f>
        <v>0</v>
      </c>
      <c r="O82">
        <f>ROUND(N(O6)-N(O7)-N(O9)+N(O11)-N(O13)-N(O14)+N(O16)-N(O17),-5)</f>
        <v>0</v>
      </c>
      <c r="P82">
        <f>ROUND(N(P6)-N(P7)-N(P9)+N(P11)-N(P13)-N(P14)+N(P16)-N(P17),-5)</f>
        <v>0</v>
      </c>
      <c r="Q82">
        <f>ROUND(N(Q6)-N(Q7)-N(Q9)+N(Q11)-N(Q13)-N(Q14)+N(Q16)-N(Q17),-5)</f>
        <v>0</v>
      </c>
      <c r="R82">
        <f>ROUND(N(R6)-N(R7)-N(R9)+N(R11)-N(R13)-N(R14)+N(R16)-N(R17),-5)</f>
        <v>0</v>
      </c>
      <c r="S82">
        <f>ROUND(N(S6)-N(S7)-N(S9)+N(S11)-N(S13)-N(S14)+N(S16)-N(S17),-5)</f>
        <v>0</v>
      </c>
      <c r="T82">
        <f>ROUND(N(T6)-N(T7)-N(T9)+N(T11)-N(T13)-N(T14)+N(T16)-N(T17),-5)</f>
        <v>0</v>
      </c>
      <c r="U82">
        <f>ROUND(N(U6)-N(U7)-N(U9)+N(U11)-N(U13)-N(U14)+N(U16)-N(U17),-5)</f>
        <v>0</v>
      </c>
      <c r="V82">
        <f>ROUND(N(V6)-N(V7)-N(V9)+N(V11)-N(V13)-N(V14)+N(V16)-N(V17),-5)</f>
        <v>0</v>
      </c>
      <c r="W82">
        <f>ROUND(N(W6)-N(W7)-N(W9)+N(W11)-N(W13)-N(W14)+N(W16)-N(W17),-5)</f>
        <v>0</v>
      </c>
      <c r="X82">
        <f>ROUND(N(X6)-N(X7)-N(X9)+N(X11)-N(X13)-N(X14)+N(X16)-N(X17),-5)</f>
        <v>0</v>
      </c>
      <c r="Y82">
        <f>ROUND(N(Y6)-N(Y7)-N(Y9)+N(Y11)-N(Y13)-N(Y14)+N(Y16)-N(Y17),-5)</f>
        <v>0</v>
      </c>
      <c r="Z82">
        <f>ROUND(N(Z6)-N(Z7)-N(Z9)+N(Z11)-N(Z13)-N(Z14)+N(Z16)-N(Z17),-5)</f>
        <v>0</v>
      </c>
      <c r="AA82">
        <f>ROUND(N(AA6)-N(AA7)-N(AA9)+N(AA11)-N(AA13)-N(AA14)+N(AA16)-N(AA17),-5)</f>
        <v>0</v>
      </c>
      <c r="AB82">
        <f>ROUND(N(AB6)-N(AB7)-N(AB9)+N(AB11)-N(AB13)-N(AB14)+N(AB16)-N(AB17),-5)</f>
        <v>0</v>
      </c>
      <c r="AC82">
        <f>ROUND(N(AC6)-N(AC7)-N(AC9)+N(AC11)-N(AC13)-N(AC14)+N(AC16)-N(AC17),-5)</f>
        <v>0</v>
      </c>
      <c r="AD82">
        <f>ROUND(N(AD6)-N(AD7)-N(AD9)+N(AD11)-N(AD13)-N(AD14)+N(AD16)-N(AD17),-5)</f>
        <v>0</v>
      </c>
      <c r="AE82">
        <f>ROUND(N(AE6)-N(AE7)-N(AE9)+N(AE11)-N(AE13)-N(AE14)+N(AE16)-N(AE17),-5)</f>
        <v>0</v>
      </c>
      <c r="AF82">
        <f>ROUND(N(AF6)-N(AF7)-N(AF9)+N(AF11)-N(AF13)-N(AF14)+N(AF16)-N(AF17),-5)</f>
        <v>0</v>
      </c>
      <c r="AG82">
        <f>ROUND(N(AG6)-N(AG7)-N(AG9)+N(AG11)-N(AG13)-N(AG14)+N(AG16)-N(AG17),-5)</f>
        <v>0</v>
      </c>
      <c r="AH82">
        <f>ROUND(N(AH6)-N(AH7)-N(AH9)+N(AH11)-N(AH13)-N(AH14)+N(AH16)-N(AH17),-5)</f>
        <v>0</v>
      </c>
      <c r="AI82">
        <f>ROUND(N(AI6)-N(AI7)-N(AI9)+N(AI11)-N(AI13)-N(AI14)+N(AI16)-N(AI17),-5)</f>
        <v>0</v>
      </c>
      <c r="AJ82">
        <f>ROUND(N(AJ6)-N(AJ7)-N(AJ9)+N(AJ11)-N(AJ13)-N(AJ14)+N(AJ16)-N(AJ17),-5)</f>
        <v>0</v>
      </c>
    </row>
    <row r="84">
      <c r="H84" s="254" t="inlineStr">
        <is>
          <t>DRIVERS DE RECEITA (codigos 45+): segmentos Production &amp; Precision Ag, Small Ag &amp; Turf, Construction &amp; Forestry e Financial Services (receita e lucro operacional) - SEC XBRL (USD, fator 0,000001).</t>
        </is>
      </c>
    </row>
    <row r="85">
      <c r="A85" t="n">
        <v>45</v>
      </c>
      <c r="B85" t="n">
        <v>1</v>
      </c>
      <c r="G85" t="inlineStr">
        <is>
          <t>moeda</t>
        </is>
      </c>
      <c r="H85" t="inlineStr">
        <is>
          <t>Production &amp; Precision Agriculture - receita (USD)</t>
        </is>
      </c>
      <c r="J85" t="inlineStr">
        <is>
          <t>fonte</t>
        </is>
      </c>
      <c r="K85" s="262" t="n">
        <v>3431000000</v>
      </c>
      <c r="L85" s="262" t="n">
        <v>3376000000</v>
      </c>
      <c r="M85" s="262" t="n">
        <v>3881000000</v>
      </c>
      <c r="N85" s="262" t="n">
        <v>3147000000</v>
      </c>
      <c r="O85" s="262" t="n">
        <v>4602000000</v>
      </c>
      <c r="P85" s="262" t="n">
        <v>4338000000</v>
      </c>
      <c r="Q85" s="262" t="n">
        <v>4730000000</v>
      </c>
      <c r="R85" s="262" t="n">
        <v>3433000000</v>
      </c>
      <c r="S85" s="262" t="n">
        <v>5176000000</v>
      </c>
      <c r="T85" s="262" t="n">
        <v>6185000000</v>
      </c>
      <c r="U85" s="262" t="n">
        <v>7524000000</v>
      </c>
      <c r="V85" s="262" t="n">
        <v>5303000000</v>
      </c>
      <c r="W85" s="262" t="n">
        <v>7912000000</v>
      </c>
      <c r="X85" s="262" t="n">
        <v>6972000000</v>
      </c>
      <c r="Y85" s="262" t="n">
        <v>7103000000</v>
      </c>
      <c r="Z85" s="262" t="n">
        <v>5043000000</v>
      </c>
      <c r="AA85" s="262" t="n">
        <v>6679000000</v>
      </c>
      <c r="AB85" s="262" t="n">
        <v>5242000000</v>
      </c>
      <c r="AC85" s="262" t="n">
        <v>4416000000</v>
      </c>
      <c r="AD85" s="262" t="n">
        <v>3189000000</v>
      </c>
      <c r="AE85" s="262" t="n">
        <v>5334000000</v>
      </c>
      <c r="AF85" s="262" t="n">
        <v>4379000000</v>
      </c>
      <c r="AG85" s="262" t="n">
        <v>4849000000</v>
      </c>
      <c r="AH85" s="262" t="n">
        <v>3286000000</v>
      </c>
      <c r="AI85" s="262" t="n">
        <v>4612000000</v>
      </c>
      <c r="AJ85" s="262" t="n">
        <v>4105000000</v>
      </c>
    </row>
    <row r="86">
      <c r="A86" t="n">
        <v>46</v>
      </c>
      <c r="B86" t="n">
        <v>1</v>
      </c>
      <c r="G86" t="inlineStr">
        <is>
          <t>moeda</t>
        </is>
      </c>
      <c r="H86" t="inlineStr">
        <is>
          <t>Production &amp; Precision Agriculture - lucro do segmento (USD)</t>
        </is>
      </c>
      <c r="J86" t="inlineStr">
        <is>
          <t>fonte</t>
        </is>
      </c>
      <c r="K86" s="262" t="n">
        <v>568000000</v>
      </c>
      <c r="L86" s="262" t="n">
        <v>605000000</v>
      </c>
      <c r="M86" s="262" t="n">
        <v>578000000</v>
      </c>
      <c r="N86" s="262" t="n">
        <v>643000000</v>
      </c>
      <c r="O86" s="262" t="n">
        <v>1007000000</v>
      </c>
      <c r="P86" s="262" t="n">
        <v>906000000</v>
      </c>
      <c r="Q86" s="262" t="n">
        <v>777000000</v>
      </c>
      <c r="R86" s="262" t="n">
        <v>296000000</v>
      </c>
      <c r="S86" s="262" t="n">
        <v>1057000000</v>
      </c>
      <c r="T86" s="262" t="n">
        <v>1293000000</v>
      </c>
      <c r="U86" s="262" t="n">
        <v>1740000000</v>
      </c>
      <c r="V86" s="262" t="n">
        <v>1208000000</v>
      </c>
      <c r="W86" s="262" t="n">
        <v>2170000000</v>
      </c>
      <c r="X86" s="262" t="n">
        <v>1782000000</v>
      </c>
      <c r="Y86" s="262" t="n">
        <v>1836000000</v>
      </c>
      <c r="Z86" s="262" t="n">
        <v>1045000000</v>
      </c>
      <c r="AA86" s="262" t="n">
        <v>1650000000</v>
      </c>
      <c r="AB86" s="262" t="n">
        <v>1162000000</v>
      </c>
      <c r="AC86" s="262" t="n">
        <v>657000000</v>
      </c>
      <c r="AD86" s="262" t="n">
        <v>338000000</v>
      </c>
      <c r="AE86" s="262" t="n">
        <v>1148000000</v>
      </c>
      <c r="AF86" s="262" t="n">
        <v>580000000</v>
      </c>
      <c r="AG86" s="262" t="n">
        <v>605000000</v>
      </c>
      <c r="AH86" s="262" t="n">
        <v>139000000</v>
      </c>
      <c r="AI86" s="262" t="n">
        <v>706000000</v>
      </c>
      <c r="AJ86" s="262" t="n">
        <v>527000000</v>
      </c>
    </row>
    <row r="87">
      <c r="A87" t="n">
        <v>47</v>
      </c>
      <c r="B87" t="n">
        <v>1</v>
      </c>
      <c r="G87" t="inlineStr">
        <is>
          <t>moeda</t>
        </is>
      </c>
      <c r="H87" t="inlineStr">
        <is>
          <t>Small Agriculture &amp; Turf - receita (USD)</t>
        </is>
      </c>
      <c r="J87" t="inlineStr">
        <is>
          <t>fonte</t>
        </is>
      </c>
      <c r="K87" s="262" t="n">
        <v>2634000000</v>
      </c>
      <c r="L87" s="262" t="n">
        <v>2419000000</v>
      </c>
      <c r="M87" s="262" t="n">
        <v>2435000000</v>
      </c>
      <c r="N87" s="262" t="n">
        <v>2551000000</v>
      </c>
      <c r="O87" s="262" t="n">
        <v>3427000000</v>
      </c>
      <c r="P87" s="262" t="n">
        <v>3212000000</v>
      </c>
      <c r="Q87" s="262" t="n">
        <v>2857000000</v>
      </c>
      <c r="R87" s="262" t="n">
        <v>2674000000</v>
      </c>
      <c r="S87" s="262" t="n">
        <v>3606000000</v>
      </c>
      <c r="T87" s="262" t="n">
        <v>3691000000</v>
      </c>
      <c r="U87" s="262" t="n">
        <v>3598000000</v>
      </c>
      <c r="V87" s="262" t="n">
        <v>3054000000</v>
      </c>
      <c r="W87" s="262" t="n">
        <v>4200000000</v>
      </c>
      <c r="X87" s="262" t="n">
        <v>3806000000</v>
      </c>
      <c r="Y87" s="262" t="n">
        <v>3164000000</v>
      </c>
      <c r="Z87" s="262" t="n">
        <v>2492000000</v>
      </c>
      <c r="AA87" s="262" t="n">
        <v>3253000000</v>
      </c>
      <c r="AB87" s="262" t="n">
        <v>3128000000</v>
      </c>
      <c r="AC87" s="262" t="n">
        <v>2342000000</v>
      </c>
      <c r="AD87" s="262" t="n">
        <v>1795000000</v>
      </c>
      <c r="AE87" s="262" t="n">
        <v>3044000000</v>
      </c>
      <c r="AF87" s="262" t="n">
        <v>3082000000</v>
      </c>
      <c r="AG87" s="262" t="n">
        <v>2511000000</v>
      </c>
      <c r="AH87" s="262" t="n">
        <v>2223000000</v>
      </c>
      <c r="AI87" s="262" t="n">
        <v>3540000000</v>
      </c>
      <c r="AJ87" s="262" t="n">
        <v>3445000000</v>
      </c>
    </row>
    <row r="88">
      <c r="A88" t="n">
        <v>48</v>
      </c>
      <c r="B88" t="n">
        <v>1</v>
      </c>
      <c r="G88" t="inlineStr">
        <is>
          <t>moeda</t>
        </is>
      </c>
      <c r="H88" t="inlineStr">
        <is>
          <t>Small Agriculture &amp; Turf - lucro do segmento (USD)</t>
        </is>
      </c>
      <c r="J88" t="inlineStr">
        <is>
          <t>fonte</t>
        </is>
      </c>
      <c r="K88" s="262" t="n">
        <v>226000000</v>
      </c>
      <c r="L88" s="262" t="n">
        <v>337000000</v>
      </c>
      <c r="M88" s="262" t="n">
        <v>282000000</v>
      </c>
      <c r="N88" s="262" t="n">
        <v>469000000</v>
      </c>
      <c r="O88" s="262" t="n">
        <v>648000000</v>
      </c>
      <c r="P88" s="262" t="n">
        <v>583000000</v>
      </c>
      <c r="Q88" s="262" t="n">
        <v>346000000</v>
      </c>
      <c r="R88" s="262" t="n">
        <v>371000000</v>
      </c>
      <c r="S88" s="262" t="n">
        <v>520000000</v>
      </c>
      <c r="T88" s="262" t="n">
        <v>552000000</v>
      </c>
      <c r="U88" s="262" t="n">
        <v>506000000</v>
      </c>
      <c r="V88" s="262" t="n">
        <v>447000000</v>
      </c>
      <c r="W88" s="262" t="n">
        <v>849000000</v>
      </c>
      <c r="X88" s="262" t="n">
        <v>732000000</v>
      </c>
      <c r="Y88" s="262" t="n">
        <v>444000000</v>
      </c>
      <c r="Z88" s="262" t="n">
        <v>326000000</v>
      </c>
      <c r="AA88" s="262" t="n">
        <v>571000000</v>
      </c>
      <c r="AB88" s="262" t="n">
        <v>496000000</v>
      </c>
      <c r="AC88" s="262" t="n">
        <v>234000000</v>
      </c>
      <c r="AD88" s="262" t="n">
        <v>124000000</v>
      </c>
      <c r="AE88" s="262" t="n">
        <v>574000000</v>
      </c>
      <c r="AF88" s="262" t="n">
        <v>485000000</v>
      </c>
      <c r="AG88" s="262" t="n">
        <v>25000000</v>
      </c>
      <c r="AH88" s="262" t="n">
        <v>196000000</v>
      </c>
      <c r="AI88" s="262" t="n">
        <v>719000000</v>
      </c>
      <c r="AJ88" s="262" t="n">
        <v>622000000</v>
      </c>
    </row>
    <row r="89">
      <c r="A89" t="n">
        <v>49</v>
      </c>
      <c r="B89" t="n">
        <v>1</v>
      </c>
      <c r="G89" t="inlineStr">
        <is>
          <t>moeda</t>
        </is>
      </c>
      <c r="H89" t="inlineStr">
        <is>
          <t>Construction &amp; Forestry - receita (USD)</t>
        </is>
      </c>
      <c r="J89" t="inlineStr">
        <is>
          <t>fonte</t>
        </is>
      </c>
      <c r="K89" s="262" t="n">
        <v>2313000000</v>
      </c>
      <c r="L89" s="262" t="n">
        <v>2238000000</v>
      </c>
      <c r="M89" s="262" t="n">
        <v>2525000000</v>
      </c>
      <c r="N89" s="262" t="n">
        <v>2530000000</v>
      </c>
      <c r="O89" s="262" t="n">
        <v>3137000000</v>
      </c>
      <c r="P89" s="262" t="n">
        <v>3075000000</v>
      </c>
      <c r="Q89" s="262" t="n">
        <v>2871000000</v>
      </c>
      <c r="R89" s="262" t="n">
        <v>2592000000</v>
      </c>
      <c r="S89" s="262" t="n">
        <v>3724000000</v>
      </c>
      <c r="T89" s="262" t="n">
        <v>3323000000</v>
      </c>
      <c r="U89" s="262" t="n">
        <v>3426000000</v>
      </c>
      <c r="V89" s="262" t="n">
        <v>3255000000</v>
      </c>
      <c r="W89" s="262" t="n">
        <v>4168000000</v>
      </c>
      <c r="X89" s="262" t="n">
        <v>3795000000</v>
      </c>
      <c r="Y89" s="262" t="n">
        <v>3768000000</v>
      </c>
      <c r="Z89" s="262" t="n">
        <v>3274000000</v>
      </c>
      <c r="AA89" s="262" t="n">
        <v>3908000000</v>
      </c>
      <c r="AB89" s="262" t="n">
        <v>3293000000</v>
      </c>
      <c r="AC89" s="262" t="n">
        <v>2730000000</v>
      </c>
      <c r="AD89" s="262" t="n">
        <v>2043000000</v>
      </c>
      <c r="AE89" s="262" t="n">
        <v>2996000000</v>
      </c>
      <c r="AF89" s="262" t="n">
        <v>3112000000</v>
      </c>
      <c r="AG89" s="262" t="n">
        <v>3492000000</v>
      </c>
      <c r="AH89" s="262" t="n">
        <v>2731000000</v>
      </c>
      <c r="AI89" s="262" t="n">
        <v>3854000000</v>
      </c>
      <c r="AJ89" s="262" t="n">
        <v>3682000000</v>
      </c>
    </row>
    <row r="90">
      <c r="A90" t="n">
        <v>50</v>
      </c>
      <c r="B90" t="n">
        <v>1</v>
      </c>
      <c r="G90" t="inlineStr">
        <is>
          <t>moeda</t>
        </is>
      </c>
      <c r="H90" t="inlineStr">
        <is>
          <t>Construction &amp; Forestry - lucro do segmento (USD)</t>
        </is>
      </c>
      <c r="J90" t="inlineStr">
        <is>
          <t>fonte</t>
        </is>
      </c>
      <c r="K90" s="262" t="n">
        <v>96000000</v>
      </c>
      <c r="L90" s="262" t="n">
        <v>205000000</v>
      </c>
      <c r="M90" s="262" t="n">
        <v>196000000</v>
      </c>
      <c r="N90" s="262" t="n">
        <v>268000000</v>
      </c>
      <c r="O90" s="262" t="n">
        <v>489000000</v>
      </c>
      <c r="P90" s="262" t="n">
        <v>463000000</v>
      </c>
      <c r="Q90" s="262" t="n">
        <v>269000000</v>
      </c>
      <c r="R90" s="262" t="n">
        <v>272000000</v>
      </c>
      <c r="S90" s="262" t="n">
        <v>814000000</v>
      </c>
      <c r="T90" s="262" t="n">
        <v>514000000</v>
      </c>
      <c r="U90" s="262" t="n">
        <v>415000000</v>
      </c>
      <c r="V90" s="262" t="n">
        <v>625000000</v>
      </c>
      <c r="W90" s="262" t="n">
        <v>838000000</v>
      </c>
      <c r="X90" s="262" t="n">
        <v>716000000</v>
      </c>
      <c r="Y90" s="262" t="n">
        <v>516000000</v>
      </c>
      <c r="Z90" s="262" t="n">
        <v>566000000</v>
      </c>
      <c r="AA90" s="262" t="n">
        <v>668000000</v>
      </c>
      <c r="AB90" s="262" t="n">
        <v>448000000</v>
      </c>
      <c r="AC90" s="262" t="n">
        <v>327000000</v>
      </c>
      <c r="AD90" s="262" t="n">
        <v>65000000</v>
      </c>
      <c r="AE90" s="262" t="n">
        <v>379000000</v>
      </c>
      <c r="AF90" s="262" t="n">
        <v>237000000</v>
      </c>
      <c r="AG90" s="262" t="n">
        <v>347000000</v>
      </c>
      <c r="AH90" s="262" t="n">
        <v>137000000</v>
      </c>
      <c r="AI90" s="262" t="n">
        <v>561000000</v>
      </c>
      <c r="AJ90" s="262" t="n">
        <v>436000000</v>
      </c>
    </row>
    <row r="91">
      <c r="A91" t="n">
        <v>51</v>
      </c>
      <c r="B91" t="n">
        <v>1</v>
      </c>
      <c r="G91" t="inlineStr">
        <is>
          <t>moeda</t>
        </is>
      </c>
      <c r="H91" t="inlineStr">
        <is>
          <t>Financial Services - receita (USD)</t>
        </is>
      </c>
      <c r="J91" t="inlineStr">
        <is>
          <t>fonte</t>
        </is>
      </c>
      <c r="K91" s="262" t="n">
        <v>875000000</v>
      </c>
      <c r="L91" s="262" t="n">
        <v>892000000</v>
      </c>
      <c r="M91" s="262" t="n">
        <v>890000000</v>
      </c>
      <c r="N91" s="262" t="n">
        <v>884000000</v>
      </c>
      <c r="O91" s="262" t="n">
        <v>892000000</v>
      </c>
      <c r="P91" s="262" t="n">
        <v>902000000</v>
      </c>
      <c r="Q91" s="262" t="n">
        <v>869000000</v>
      </c>
      <c r="R91" s="262" t="n">
        <v>870000000</v>
      </c>
      <c r="S91" s="262" t="n">
        <v>864000000</v>
      </c>
      <c r="T91" s="262" t="n">
        <v>903000000</v>
      </c>
      <c r="U91" s="262" t="n">
        <v>988000000</v>
      </c>
      <c r="V91" s="262" t="n">
        <v>1040000000</v>
      </c>
      <c r="W91" s="262" t="n">
        <v>1107000000</v>
      </c>
      <c r="X91" s="262" t="n">
        <v>1228000000</v>
      </c>
      <c r="Y91" s="262" t="n">
        <v>1346000000</v>
      </c>
      <c r="Z91" s="262" t="n">
        <v>1376000000</v>
      </c>
      <c r="AA91" s="262" t="n">
        <v>1395000000</v>
      </c>
      <c r="AB91" s="262" t="n">
        <v>1489000000</v>
      </c>
      <c r="AC91" s="262" t="n">
        <v>1523000000</v>
      </c>
      <c r="AD91" s="262" t="n">
        <v>1573000000</v>
      </c>
      <c r="AE91" s="262" t="n">
        <v>1501000000</v>
      </c>
      <c r="AF91" s="262" t="n">
        <v>1544000000</v>
      </c>
      <c r="AG91" s="262" t="n">
        <v>1671000000</v>
      </c>
      <c r="AH91" s="262" t="n">
        <v>1488000000</v>
      </c>
      <c r="AI91" s="262" t="n">
        <v>1509000000</v>
      </c>
      <c r="AJ91" s="262" t="n">
        <v>1505000000</v>
      </c>
    </row>
    <row r="92">
      <c r="A92" t="n">
        <v>52</v>
      </c>
      <c r="B92" t="n">
        <v>1</v>
      </c>
      <c r="G92" t="inlineStr">
        <is>
          <t>moeda</t>
        </is>
      </c>
      <c r="H92" t="inlineStr">
        <is>
          <t>Financial Services - lucro do segmento (USD)</t>
        </is>
      </c>
      <c r="J92" t="inlineStr">
        <is>
          <t>fonte</t>
        </is>
      </c>
      <c r="K92" s="262" t="n">
        <v>75000000</v>
      </c>
      <c r="L92" s="262" t="n">
        <v>243000000</v>
      </c>
      <c r="M92" s="262" t="n">
        <v>248000000</v>
      </c>
      <c r="N92" s="262" t="n">
        <v>258000000</v>
      </c>
      <c r="O92" s="262" t="n">
        <v>295000000</v>
      </c>
      <c r="P92" s="262" t="n">
        <v>291000000</v>
      </c>
      <c r="Q92" s="262" t="n">
        <v>300000000</v>
      </c>
      <c r="R92" s="262" t="n">
        <v>296000000</v>
      </c>
      <c r="S92" s="262" t="n">
        <v>279000000</v>
      </c>
      <c r="T92" s="262" t="n">
        <v>287000000</v>
      </c>
      <c r="U92" s="262" t="n">
        <v>295000000</v>
      </c>
      <c r="V92" s="262" t="n">
        <v>238000000</v>
      </c>
      <c r="W92" s="262" t="n">
        <v>41000000</v>
      </c>
      <c r="X92" s="262" t="n">
        <v>286000000</v>
      </c>
      <c r="Y92" s="262" t="n">
        <v>230000000</v>
      </c>
      <c r="Z92" s="262" t="n">
        <v>257000000</v>
      </c>
      <c r="AA92" s="262" t="n">
        <v>209000000</v>
      </c>
      <c r="AB92" s="262" t="n">
        <v>191000000</v>
      </c>
      <c r="AC92" s="262" t="n">
        <v>232000000</v>
      </c>
      <c r="AD92" s="262" t="n">
        <v>266000000</v>
      </c>
      <c r="AE92" s="262" t="n">
        <v>207000000</v>
      </c>
      <c r="AF92" s="262" t="n">
        <v>266000000</v>
      </c>
      <c r="AG92" s="262" t="n">
        <v>374000000</v>
      </c>
      <c r="AH92" s="262" t="n">
        <v>301000000</v>
      </c>
      <c r="AI92" s="262" t="n">
        <v>251000000</v>
      </c>
      <c r="AJ92" s="262" t="n">
        <v>271000000</v>
      </c>
    </row>
    <row r="93">
      <c r="H93" t="inlineStr">
        <is>
          <t>Notas: ano fiscal da Deere termina no fim de outubro/início de novembro (fechamento de jan -&gt; 4T anterior, abr -&gt; 1T, jul -&gt; 2T, out -&gt; 3T). Segmentos agrícolas atuais desde 2020. A diferença para a linha 15 são outras receitas e eliminações.</t>
        </is>
      </c>
    </row>
    <row r="133">
      <c r="H133" s="254" t="inlineStr">
        <is>
          <t>CONVENCOES</t>
        </is>
      </c>
    </row>
    <row r="134">
      <c r="H134" t="inlineStr">
        <is>
          <t>Linhas de origem: 5 a 93. As formulas da Inputs (2) varrem as linhas 5 a 130; as linhas 94 a 130 estao livres para novas contas.</t>
        </is>
      </c>
    </row>
    <row r="135">
      <c r="H135" t="inlineStr">
        <is>
          <t>Periodos: colunas K a AJ = trimestres-calendário 1Q20 a 2Q26 (linha 2: trimestre fiscal correspondente).</t>
        </is>
      </c>
    </row>
    <row r="136">
      <c r="H136" t="inlineStr">
        <is>
          <t>Brutos em USD unidades: fator da célula B1 = 0,000001 converte para USD milhões nas linhas UNID = moeda.</t>
        </is>
      </c>
    </row>
    <row r="137">
      <c r="H137" t="inlineStr">
        <is>
          <t>ORIGEM: fonte = copiado da SEC; memoria = como divulgado, sem codigo; derivada = formula nesta aba ou desacumulado na extração.</t>
        </is>
      </c>
    </row>
    <row r="138">
      <c r="H138" t="inlineStr">
        <is>
          <t>Balanço: contas de face sem mapeamento específico vão para "outros" do seu bloco (ativo circulante 16, não circulante 22, passivo circulante 26, não circulante 34, PL 40).</t>
        </is>
      </c>
    </row>
    <row r="139">
      <c r="H139" t="inlineStr">
        <is>
          <t>Codigos 45 a 52: drivers de receita (memoria); alimentam o bloco logo abaixo da receita liquida no Model.</t>
        </is>
      </c>
    </row>
    <row r="153">
      <c r="H153" s="254" t="n"/>
    </row>
    <row r="154"/>
    <row r="155"/>
    <row r="156"/>
    <row r="157"/>
    <row r="158"/>
    <row r="159"/>
    <row r="160"/>
    <row r="161"/>
    <row r="162"/>
    <row r="163"/>
    <row r="16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0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52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$130=$B4)*ISNUMBER(INDEX(Inputs!$K$5:$AJ$130,0,MATCH(D$2,Inputs!$K$4:$AJ$4,0))))+SUMPRODUCT((Inputs!$C$5:$C$130=$B4)*ISNUMBER(INDEX(Inputs!$K$5:$AJ$130,0,MATCH(D$2,Inputs!$K$4:$AJ$4,0))))+SUMPRODUCT((Inputs!$E$5:$E$130=$B4)*ISNUMBER(INDEX(Inputs!$K$5:$AJ$130,0,MATCH(D$2,Inputs!$K$4:$AJ$4,0))))=0,NA(),SUMPRODUCT((Inputs!$A$5:$A$130=$B4)*Inputs!$B$5:$B$130*(((Inputs!$G$5:$G$130="moeda")+(Inputs!$G$5:$G$130="acoes"))*Inputs!$B$1+((Inputs!$G$5:$G$130&lt;&gt;"moeda")*(Inputs!$G$5:$G$130&lt;&gt;"acoes")))*INDEX(Inputs!$K$5:$AJ$130,0,MATCH(D$2,Inputs!$K$4:$AJ$4,0)))+SUMPRODUCT((Inputs!$C$5:$C$130=$B4)*Inputs!$D$5:$D$130*(((Inputs!$G$5:$G$130="moeda")+(Inputs!$G$5:$G$130="acoes"))*Inputs!$B$1+((Inputs!$G$5:$G$130&lt;&gt;"moeda")*(Inputs!$G$5:$G$130&lt;&gt;"acoes")))*INDEX(Inputs!$K$5:$AJ$130,0,MATCH(D$2,Inputs!$K$4:$AJ$4,0)))+SUMPRODUCT((Inputs!$E$5:$E$130=$B4)*Inputs!$F$5:$F$130*(((Inputs!$G$5:$G$130="moeda")+(Inputs!$G$5:$G$130="acoes"))*Inputs!$B$1+((Inputs!$G$5:$G$130&lt;&gt;"moeda")*(Inputs!$G$5:$G$130&lt;&gt;"acoes")))*INDEX(Inputs!$K$5:$AJ$130,0,MATCH(D$2,Inputs!$K$4:$AJ$4,0)))))</f>
        <v>12058</v>
      </c>
      <c r="E4" s="6">
        <f>IF(ISNA(MATCH(E$2,Inputs!$K$4:$AJ$4,0)),NA(),IF(SUMPRODUCT((Inputs!$A$5:$A$130=$B4)*ISNUMBER(INDEX(Inputs!$K$5:$AJ$130,0,MATCH(E$2,Inputs!$K$4:$AJ$4,0))))+SUMPRODUCT((Inputs!$C$5:$C$130=$B4)*ISNUMBER(INDEX(Inputs!$K$5:$AJ$130,0,MATCH(E$2,Inputs!$K$4:$AJ$4,0))))+SUMPRODUCT((Inputs!$E$5:$E$130=$B4)*ISNUMBER(INDEX(Inputs!$K$5:$AJ$130,0,MATCH(E$2,Inputs!$K$4:$AJ$4,0))))=0,NA(),SUMPRODUCT((Inputs!$A$5:$A$130=$B4)*Inputs!$B$5:$B$130*(((Inputs!$G$5:$G$130="moeda")+(Inputs!$G$5:$G$130="acoes"))*Inputs!$B$1+((Inputs!$G$5:$G$130&lt;&gt;"moeda")*(Inputs!$G$5:$G$130&lt;&gt;"acoes")))*INDEX(Inputs!$K$5:$AJ$130,0,MATCH(E$2,Inputs!$K$4:$AJ$4,0)))+SUMPRODUCT((Inputs!$C$5:$C$130=$B4)*Inputs!$D$5:$D$130*(((Inputs!$G$5:$G$130="moeda")+(Inputs!$G$5:$G$130="acoes"))*Inputs!$B$1+((Inputs!$G$5:$G$130&lt;&gt;"moeda")*(Inputs!$G$5:$G$130&lt;&gt;"acoes")))*INDEX(Inputs!$K$5:$AJ$130,0,MATCH(E$2,Inputs!$K$4:$AJ$4,0)))+SUMPRODUCT((Inputs!$E$5:$E$130=$B4)*Inputs!$F$5:$F$130*(((Inputs!$G$5:$G$130="moeda")+(Inputs!$G$5:$G$130="acoes"))*Inputs!$B$1+((Inputs!$G$5:$G$130&lt;&gt;"moeda")*(Inputs!$G$5:$G$130&lt;&gt;"acoes")))*INDEX(Inputs!$K$5:$AJ$130,0,MATCH(E$2,Inputs!$K$4:$AJ$4,0)))))</f>
        <v>11527</v>
      </c>
      <c r="F4" s="6">
        <f>IF(ISNA(MATCH(F$2,Inputs!$K$4:$AJ$4,0)),NA(),IF(SUMPRODUCT((Inputs!$A$5:$A$130=$B4)*ISNUMBER(INDEX(Inputs!$K$5:$AJ$130,0,MATCH(F$2,Inputs!$K$4:$AJ$4,0))))+SUMPRODUCT((Inputs!$C$5:$C$130=$B4)*ISNUMBER(INDEX(Inputs!$K$5:$AJ$130,0,MATCH(F$2,Inputs!$K$4:$AJ$4,0))))+SUMPRODUCT((Inputs!$E$5:$E$130=$B4)*ISNUMBER(INDEX(Inputs!$K$5:$AJ$130,0,MATCH(F$2,Inputs!$K$4:$AJ$4,0))))=0,NA(),SUMPRODUCT((Inputs!$A$5:$A$130=$B4)*Inputs!$B$5:$B$130*(((Inputs!$G$5:$G$130="moeda")+(Inputs!$G$5:$G$130="acoes"))*Inputs!$B$1+((Inputs!$G$5:$G$130&lt;&gt;"moeda")*(Inputs!$G$5:$G$130&lt;&gt;"acoes")))*INDEX(Inputs!$K$5:$AJ$130,0,MATCH(F$2,Inputs!$K$4:$AJ$4,0)))+SUMPRODUCT((Inputs!$C$5:$C$130=$B4)*Inputs!$D$5:$D$130*(((Inputs!$G$5:$G$130="moeda")+(Inputs!$G$5:$G$130="acoes"))*Inputs!$B$1+((Inputs!$G$5:$G$130&lt;&gt;"moeda")*(Inputs!$G$5:$G$130&lt;&gt;"acoes")))*INDEX(Inputs!$K$5:$AJ$130,0,MATCH(F$2,Inputs!$K$4:$AJ$4,0)))+SUMPRODUCT((Inputs!$E$5:$E$130=$B4)*Inputs!$F$5:$F$130*(((Inputs!$G$5:$G$130="moeda")+(Inputs!$G$5:$G$130="acoes"))*Inputs!$B$1+((Inputs!$G$5:$G$130&lt;&gt;"moeda")*(Inputs!$G$5:$G$130&lt;&gt;"acoes")))*INDEX(Inputs!$K$5:$AJ$130,0,MATCH(F$2,Inputs!$K$4:$AJ$4,0)))))</f>
        <v>11327</v>
      </c>
      <c r="G4" s="6">
        <f>IF(ISNA(MATCH(G$2,Inputs!$K$4:$AJ$4,0)),NA(),IF(SUMPRODUCT((Inputs!$A$5:$A$130=$B4)*ISNUMBER(INDEX(Inputs!$K$5:$AJ$130,0,MATCH(G$2,Inputs!$K$4:$AJ$4,0))))+SUMPRODUCT((Inputs!$C$5:$C$130=$B4)*ISNUMBER(INDEX(Inputs!$K$5:$AJ$130,0,MATCH(G$2,Inputs!$K$4:$AJ$4,0))))+SUMPRODUCT((Inputs!$E$5:$E$130=$B4)*ISNUMBER(INDEX(Inputs!$K$5:$AJ$130,0,MATCH(G$2,Inputs!$K$4:$AJ$4,0))))=0,NA(),SUMPRODUCT((Inputs!$A$5:$A$130=$B4)*Inputs!$B$5:$B$130*(((Inputs!$G$5:$G$130="moeda")+(Inputs!$G$5:$G$130="acoes"))*Inputs!$B$1+((Inputs!$G$5:$G$130&lt;&gt;"moeda")*(Inputs!$G$5:$G$130&lt;&gt;"acoes")))*INDEX(Inputs!$K$5:$AJ$130,0,MATCH(G$2,Inputs!$K$4:$AJ$4,0)))+SUMPRODUCT((Inputs!$C$5:$C$130=$B4)*Inputs!$D$5:$D$130*(((Inputs!$G$5:$G$130="moeda")+(Inputs!$G$5:$G$130="acoes"))*Inputs!$B$1+((Inputs!$G$5:$G$130&lt;&gt;"moeda")*(Inputs!$G$5:$G$130&lt;&gt;"acoes")))*INDEX(Inputs!$K$5:$AJ$130,0,MATCH(G$2,Inputs!$K$4:$AJ$4,0)))+SUMPRODUCT((Inputs!$E$5:$E$130=$B4)*Inputs!$F$5:$F$130*(((Inputs!$G$5:$G$130="moeda")+(Inputs!$G$5:$G$130="acoes"))*Inputs!$B$1+((Inputs!$G$5:$G$130&lt;&gt;"moeda")*(Inputs!$G$5:$G$130&lt;&gt;"acoes")))*INDEX(Inputs!$K$5:$AJ$130,0,MATCH(G$2,Inputs!$K$4:$AJ$4,0)))))</f>
        <v>9569</v>
      </c>
      <c r="H4" s="3">
        <f>SUM(D4:G4)</f>
        <v>44481</v>
      </c>
      <c r="I4" s="6">
        <f>IF(ISNA(MATCH(I$2,Inputs!$K$4:$AJ$4,0)),NA(),IF(SUMPRODUCT((Inputs!$A$5:$A$130=$B4)*ISNUMBER(INDEX(Inputs!$K$5:$AJ$130,0,MATCH(I$2,Inputs!$K$4:$AJ$4,0))))+SUMPRODUCT((Inputs!$C$5:$C$130=$B4)*ISNUMBER(INDEX(Inputs!$K$5:$AJ$130,0,MATCH(I$2,Inputs!$K$4:$AJ$4,0))))+SUMPRODUCT((Inputs!$E$5:$E$130=$B4)*ISNUMBER(INDEX(Inputs!$K$5:$AJ$130,0,MATCH(I$2,Inputs!$K$4:$AJ$4,0))))=0,NA(),SUMPRODUCT((Inputs!$A$5:$A$130=$B4)*Inputs!$B$5:$B$130*(((Inputs!$G$5:$G$130="moeda")+(Inputs!$G$5:$G$130="acoes"))*Inputs!$B$1+((Inputs!$G$5:$G$130&lt;&gt;"moeda")*(Inputs!$G$5:$G$130&lt;&gt;"acoes")))*INDEX(Inputs!$K$5:$AJ$130,0,MATCH(I$2,Inputs!$K$4:$AJ$4,0)))+SUMPRODUCT((Inputs!$C$5:$C$130=$B4)*Inputs!$D$5:$D$130*(((Inputs!$G$5:$G$130="moeda")+(Inputs!$G$5:$G$130="acoes"))*Inputs!$B$1+((Inputs!$G$5:$G$130&lt;&gt;"moeda")*(Inputs!$G$5:$G$130&lt;&gt;"acoes")))*INDEX(Inputs!$K$5:$AJ$130,0,MATCH(I$2,Inputs!$K$4:$AJ$4,0)))+SUMPRODUCT((Inputs!$E$5:$E$130=$B4)*Inputs!$F$5:$F$130*(((Inputs!$G$5:$G$130="moeda")+(Inputs!$G$5:$G$130="acoes"))*Inputs!$B$1+((Inputs!$G$5:$G$130&lt;&gt;"moeda")*(Inputs!$G$5:$G$130&lt;&gt;"acoes")))*INDEX(Inputs!$K$5:$AJ$130,0,MATCH(I$2,Inputs!$K$4:$AJ$4,0)))))</f>
        <v>13370</v>
      </c>
      <c r="J4" s="6">
        <f>IF(ISNA(MATCH(J$2,Inputs!$K$4:$AJ$4,0)),NA(),IF(SUMPRODUCT((Inputs!$A$5:$A$130=$B4)*ISNUMBER(INDEX(Inputs!$K$5:$AJ$130,0,MATCH(J$2,Inputs!$K$4:$AJ$4,0))))+SUMPRODUCT((Inputs!$C$5:$C$130=$B4)*ISNUMBER(INDEX(Inputs!$K$5:$AJ$130,0,MATCH(J$2,Inputs!$K$4:$AJ$4,0))))+SUMPRODUCT((Inputs!$E$5:$E$130=$B4)*ISNUMBER(INDEX(Inputs!$K$5:$AJ$130,0,MATCH(J$2,Inputs!$K$4:$AJ$4,0))))=0,NA(),SUMPRODUCT((Inputs!$A$5:$A$130=$B4)*Inputs!$B$5:$B$130*(((Inputs!$G$5:$G$130="moeda")+(Inputs!$G$5:$G$130="acoes"))*Inputs!$B$1+((Inputs!$G$5:$G$130&lt;&gt;"moeda")*(Inputs!$G$5:$G$130&lt;&gt;"acoes")))*INDEX(Inputs!$K$5:$AJ$130,0,MATCH(J$2,Inputs!$K$4:$AJ$4,0)))+SUMPRODUCT((Inputs!$C$5:$C$130=$B4)*Inputs!$D$5:$D$130*(((Inputs!$G$5:$G$130="moeda")+(Inputs!$G$5:$G$130="acoes"))*Inputs!$B$1+((Inputs!$G$5:$G$130&lt;&gt;"moeda")*(Inputs!$G$5:$G$130&lt;&gt;"acoes")))*INDEX(Inputs!$K$5:$AJ$130,0,MATCH(J$2,Inputs!$K$4:$AJ$4,0)))+SUMPRODUCT((Inputs!$E$5:$E$130=$B4)*Inputs!$F$5:$F$130*(((Inputs!$G$5:$G$130="moeda")+(Inputs!$G$5:$G$130="acoes"))*Inputs!$B$1+((Inputs!$G$5:$G$130&lt;&gt;"moeda")*(Inputs!$G$5:$G$130&lt;&gt;"acoes")))*INDEX(Inputs!$K$5:$AJ$130,0,MATCH(J$2,Inputs!$K$4:$AJ$4,0)))))</f>
        <v>14102</v>
      </c>
      <c r="K4" s="6">
        <f>IF(ISNA(MATCH(K$2,Inputs!$K$4:$AJ$4,0)),NA(),IF(SUMPRODUCT((Inputs!$A$5:$A$130=$B4)*ISNUMBER(INDEX(Inputs!$K$5:$AJ$130,0,MATCH(K$2,Inputs!$K$4:$AJ$4,0))))+SUMPRODUCT((Inputs!$C$5:$C$130=$B4)*ISNUMBER(INDEX(Inputs!$K$5:$AJ$130,0,MATCH(K$2,Inputs!$K$4:$AJ$4,0))))+SUMPRODUCT((Inputs!$E$5:$E$130=$B4)*ISNUMBER(INDEX(Inputs!$K$5:$AJ$130,0,MATCH(K$2,Inputs!$K$4:$AJ$4,0))))=0,NA(),SUMPRODUCT((Inputs!$A$5:$A$130=$B4)*Inputs!$B$5:$B$130*(((Inputs!$G$5:$G$130="moeda")+(Inputs!$G$5:$G$130="acoes"))*Inputs!$B$1+((Inputs!$G$5:$G$130&lt;&gt;"moeda")*(Inputs!$G$5:$G$130&lt;&gt;"acoes")))*INDEX(Inputs!$K$5:$AJ$130,0,MATCH(K$2,Inputs!$K$4:$AJ$4,0)))+SUMPRODUCT((Inputs!$C$5:$C$130=$B4)*Inputs!$D$5:$D$130*(((Inputs!$G$5:$G$130="moeda")+(Inputs!$G$5:$G$130="acoes"))*Inputs!$B$1+((Inputs!$G$5:$G$130&lt;&gt;"moeda")*(Inputs!$G$5:$G$130&lt;&gt;"acoes")))*INDEX(Inputs!$K$5:$AJ$130,0,MATCH(K$2,Inputs!$K$4:$AJ$4,0)))+SUMPRODUCT((Inputs!$E$5:$E$130=$B4)*Inputs!$F$5:$F$130*(((Inputs!$G$5:$G$130="moeda")+(Inputs!$G$5:$G$130="acoes"))*Inputs!$B$1+((Inputs!$G$5:$G$130&lt;&gt;"moeda")*(Inputs!$G$5:$G$130&lt;&gt;"acoes")))*INDEX(Inputs!$K$5:$AJ$130,0,MATCH(K$2,Inputs!$K$4:$AJ$4,0)))))</f>
        <v>15536</v>
      </c>
      <c r="L4" s="6">
        <f>IF(ISNA(MATCH(L$2,Inputs!$K$4:$AJ$4,0)),NA(),IF(SUMPRODUCT((Inputs!$A$5:$A$130=$B4)*ISNUMBER(INDEX(Inputs!$K$5:$AJ$130,0,MATCH(L$2,Inputs!$K$4:$AJ$4,0))))+SUMPRODUCT((Inputs!$C$5:$C$130=$B4)*ISNUMBER(INDEX(Inputs!$K$5:$AJ$130,0,MATCH(L$2,Inputs!$K$4:$AJ$4,0))))+SUMPRODUCT((Inputs!$E$5:$E$130=$B4)*ISNUMBER(INDEX(Inputs!$K$5:$AJ$130,0,MATCH(L$2,Inputs!$K$4:$AJ$4,0))))=0,NA(),SUMPRODUCT((Inputs!$A$5:$A$130=$B4)*Inputs!$B$5:$B$130*(((Inputs!$G$5:$G$130="moeda")+(Inputs!$G$5:$G$130="acoes"))*Inputs!$B$1+((Inputs!$G$5:$G$130&lt;&gt;"moeda")*(Inputs!$G$5:$G$130&lt;&gt;"acoes")))*INDEX(Inputs!$K$5:$AJ$130,0,MATCH(L$2,Inputs!$K$4:$AJ$4,0)))+SUMPRODUCT((Inputs!$C$5:$C$130=$B4)*Inputs!$D$5:$D$130*(((Inputs!$G$5:$G$130="moeda")+(Inputs!$G$5:$G$130="acoes"))*Inputs!$B$1+((Inputs!$G$5:$G$130&lt;&gt;"moeda")*(Inputs!$G$5:$G$130&lt;&gt;"acoes")))*INDEX(Inputs!$K$5:$AJ$130,0,MATCH(L$2,Inputs!$K$4:$AJ$4,0)))+SUMPRODUCT((Inputs!$E$5:$E$130=$B4)*Inputs!$F$5:$F$130*(((Inputs!$G$5:$G$130="moeda")+(Inputs!$G$5:$G$130="acoes"))*Inputs!$B$1+((Inputs!$G$5:$G$130&lt;&gt;"moeda")*(Inputs!$G$5:$G$130&lt;&gt;"acoes")))*INDEX(Inputs!$K$5:$AJ$130,0,MATCH(L$2,Inputs!$K$4:$AJ$4,0)))))</f>
        <v>12652</v>
      </c>
      <c r="M4" s="3">
        <f>SUM(I4:L4)</f>
        <v>55660</v>
      </c>
      <c r="N4" s="6">
        <f>IF(ISNA(MATCH(N$2,Inputs!$K$4:$AJ$4,0)),NA(),IF(SUMPRODUCT((Inputs!$A$5:$A$130=$B4)*ISNUMBER(INDEX(Inputs!$K$5:$AJ$130,0,MATCH(N$2,Inputs!$K$4:$AJ$4,0))))+SUMPRODUCT((Inputs!$C$5:$C$130=$B4)*ISNUMBER(INDEX(Inputs!$K$5:$AJ$130,0,MATCH(N$2,Inputs!$K$4:$AJ$4,0))))+SUMPRODUCT((Inputs!$E$5:$E$130=$B4)*ISNUMBER(INDEX(Inputs!$K$5:$AJ$130,0,MATCH(N$2,Inputs!$K$4:$AJ$4,0))))=0,NA(),SUMPRODUCT((Inputs!$A$5:$A$130=$B4)*Inputs!$B$5:$B$130*(((Inputs!$G$5:$G$130="moeda")+(Inputs!$G$5:$G$130="acoes"))*Inputs!$B$1+((Inputs!$G$5:$G$130&lt;&gt;"moeda")*(Inputs!$G$5:$G$130&lt;&gt;"acoes")))*INDEX(Inputs!$K$5:$AJ$130,0,MATCH(N$2,Inputs!$K$4:$AJ$4,0)))+SUMPRODUCT((Inputs!$C$5:$C$130=$B4)*Inputs!$D$5:$D$130*(((Inputs!$G$5:$G$130="moeda")+(Inputs!$G$5:$G$130="acoes"))*Inputs!$B$1+((Inputs!$G$5:$G$130&lt;&gt;"moeda")*(Inputs!$G$5:$G$130&lt;&gt;"acoes")))*INDEX(Inputs!$K$5:$AJ$130,0,MATCH(N$2,Inputs!$K$4:$AJ$4,0)))+SUMPRODUCT((Inputs!$E$5:$E$130=$B4)*Inputs!$F$5:$F$130*(((Inputs!$G$5:$G$130="moeda")+(Inputs!$G$5:$G$130="acoes"))*Inputs!$B$1+((Inputs!$G$5:$G$130&lt;&gt;"moeda")*(Inputs!$G$5:$G$130&lt;&gt;"acoes")))*INDEX(Inputs!$K$5:$AJ$130,0,MATCH(N$2,Inputs!$K$4:$AJ$4,0)))))</f>
        <v>17387</v>
      </c>
      <c r="O4" s="6">
        <f>IF(ISNA(MATCH(O$2,Inputs!$K$4:$AJ$4,0)),NA(),IF(SUMPRODUCT((Inputs!$A$5:$A$130=$B4)*ISNUMBER(INDEX(Inputs!$K$5:$AJ$130,0,MATCH(O$2,Inputs!$K$4:$AJ$4,0))))+SUMPRODUCT((Inputs!$C$5:$C$130=$B4)*ISNUMBER(INDEX(Inputs!$K$5:$AJ$130,0,MATCH(O$2,Inputs!$K$4:$AJ$4,0))))+SUMPRODUCT((Inputs!$E$5:$E$130=$B4)*ISNUMBER(INDEX(Inputs!$K$5:$AJ$130,0,MATCH(O$2,Inputs!$K$4:$AJ$4,0))))=0,NA(),SUMPRODUCT((Inputs!$A$5:$A$130=$B4)*Inputs!$B$5:$B$130*(((Inputs!$G$5:$G$130="moeda")+(Inputs!$G$5:$G$130="acoes"))*Inputs!$B$1+((Inputs!$G$5:$G$130&lt;&gt;"moeda")*(Inputs!$G$5:$G$130&lt;&gt;"acoes")))*INDEX(Inputs!$K$5:$AJ$130,0,MATCH(O$2,Inputs!$K$4:$AJ$4,0)))+SUMPRODUCT((Inputs!$C$5:$C$130=$B4)*Inputs!$D$5:$D$130*(((Inputs!$G$5:$G$130="moeda")+(Inputs!$G$5:$G$130="acoes"))*Inputs!$B$1+((Inputs!$G$5:$G$130&lt;&gt;"moeda")*(Inputs!$G$5:$G$130&lt;&gt;"acoes")))*INDEX(Inputs!$K$5:$AJ$130,0,MATCH(O$2,Inputs!$K$4:$AJ$4,0)))+SUMPRODUCT((Inputs!$E$5:$E$130=$B4)*Inputs!$F$5:$F$130*(((Inputs!$G$5:$G$130="moeda")+(Inputs!$G$5:$G$130="acoes"))*Inputs!$B$1+((Inputs!$G$5:$G$130&lt;&gt;"moeda")*(Inputs!$G$5:$G$130&lt;&gt;"acoes")))*INDEX(Inputs!$K$5:$AJ$130,0,MATCH(O$2,Inputs!$K$4:$AJ$4,0)))))</f>
        <v>15801</v>
      </c>
      <c r="P4" s="6">
        <f>IF(ISNA(MATCH(P$2,Inputs!$K$4:$AJ$4,0)),NA(),IF(SUMPRODUCT((Inputs!$A$5:$A$130=$B4)*ISNUMBER(INDEX(Inputs!$K$5:$AJ$130,0,MATCH(P$2,Inputs!$K$4:$AJ$4,0))))+SUMPRODUCT((Inputs!$C$5:$C$130=$B4)*ISNUMBER(INDEX(Inputs!$K$5:$AJ$130,0,MATCH(P$2,Inputs!$K$4:$AJ$4,0))))+SUMPRODUCT((Inputs!$E$5:$E$130=$B4)*ISNUMBER(INDEX(Inputs!$K$5:$AJ$130,0,MATCH(P$2,Inputs!$K$4:$AJ$4,0))))=0,NA(),SUMPRODUCT((Inputs!$A$5:$A$130=$B4)*Inputs!$B$5:$B$130*(((Inputs!$G$5:$G$130="moeda")+(Inputs!$G$5:$G$130="acoes"))*Inputs!$B$1+((Inputs!$G$5:$G$130&lt;&gt;"moeda")*(Inputs!$G$5:$G$130&lt;&gt;"acoes")))*INDEX(Inputs!$K$5:$AJ$130,0,MATCH(P$2,Inputs!$K$4:$AJ$4,0)))+SUMPRODUCT((Inputs!$C$5:$C$130=$B4)*Inputs!$D$5:$D$130*(((Inputs!$G$5:$G$130="moeda")+(Inputs!$G$5:$G$130="acoes"))*Inputs!$B$1+((Inputs!$G$5:$G$130&lt;&gt;"moeda")*(Inputs!$G$5:$G$130&lt;&gt;"acoes")))*INDEX(Inputs!$K$5:$AJ$130,0,MATCH(P$2,Inputs!$K$4:$AJ$4,0)))+SUMPRODUCT((Inputs!$E$5:$E$130=$B4)*Inputs!$F$5:$F$130*(((Inputs!$G$5:$G$130="moeda")+(Inputs!$G$5:$G$130="acoes"))*Inputs!$B$1+((Inputs!$G$5:$G$130&lt;&gt;"moeda")*(Inputs!$G$5:$G$130&lt;&gt;"acoes")))*INDEX(Inputs!$K$5:$AJ$130,0,MATCH(P$2,Inputs!$K$4:$AJ$4,0)))))</f>
        <v>15412</v>
      </c>
      <c r="Q4" s="6">
        <f>IF(ISNA(MATCH(Q$2,Inputs!$K$4:$AJ$4,0)),NA(),IF(SUMPRODUCT((Inputs!$A$5:$A$130=$B4)*ISNUMBER(INDEX(Inputs!$K$5:$AJ$130,0,MATCH(Q$2,Inputs!$K$4:$AJ$4,0))))+SUMPRODUCT((Inputs!$C$5:$C$130=$B4)*ISNUMBER(INDEX(Inputs!$K$5:$AJ$130,0,MATCH(Q$2,Inputs!$K$4:$AJ$4,0))))+SUMPRODUCT((Inputs!$E$5:$E$130=$B4)*ISNUMBER(INDEX(Inputs!$K$5:$AJ$130,0,MATCH(Q$2,Inputs!$K$4:$AJ$4,0))))=0,NA(),SUMPRODUCT((Inputs!$A$5:$A$130=$B4)*Inputs!$B$5:$B$130*(((Inputs!$G$5:$G$130="moeda")+(Inputs!$G$5:$G$130="acoes"))*Inputs!$B$1+((Inputs!$G$5:$G$130&lt;&gt;"moeda")*(Inputs!$G$5:$G$130&lt;&gt;"acoes")))*INDEX(Inputs!$K$5:$AJ$130,0,MATCH(Q$2,Inputs!$K$4:$AJ$4,0)))+SUMPRODUCT((Inputs!$C$5:$C$130=$B4)*Inputs!$D$5:$D$130*(((Inputs!$G$5:$G$130="moeda")+(Inputs!$G$5:$G$130="acoes"))*Inputs!$B$1+((Inputs!$G$5:$G$130&lt;&gt;"moeda")*(Inputs!$G$5:$G$130&lt;&gt;"acoes")))*INDEX(Inputs!$K$5:$AJ$130,0,MATCH(Q$2,Inputs!$K$4:$AJ$4,0)))+SUMPRODUCT((Inputs!$E$5:$E$130=$B4)*Inputs!$F$5:$F$130*(((Inputs!$G$5:$G$130="moeda")+(Inputs!$G$5:$G$130="acoes"))*Inputs!$B$1+((Inputs!$G$5:$G$130&lt;&gt;"moeda")*(Inputs!$G$5:$G$130&lt;&gt;"acoes")))*INDEX(Inputs!$K$5:$AJ$130,0,MATCH(Q$2,Inputs!$K$4:$AJ$4,0)))))</f>
        <v>12185</v>
      </c>
      <c r="R4" s="3">
        <f>SUM(N4:Q4)</f>
        <v>60785</v>
      </c>
      <c r="S4" s="6">
        <f>IF(ISNA(MATCH(S$2,Inputs!$K$4:$AJ$4,0)),NA(),IF(SUMPRODUCT((Inputs!$A$5:$A$130=$B4)*ISNUMBER(INDEX(Inputs!$K$5:$AJ$130,0,MATCH(S$2,Inputs!$K$4:$AJ$4,0))))+SUMPRODUCT((Inputs!$C$5:$C$130=$B4)*ISNUMBER(INDEX(Inputs!$K$5:$AJ$130,0,MATCH(S$2,Inputs!$K$4:$AJ$4,0))))+SUMPRODUCT((Inputs!$E$5:$E$130=$B4)*ISNUMBER(INDEX(Inputs!$K$5:$AJ$130,0,MATCH(S$2,Inputs!$K$4:$AJ$4,0))))=0,NA(),SUMPRODUCT((Inputs!$A$5:$A$130=$B4)*Inputs!$B$5:$B$130*(((Inputs!$G$5:$G$130="moeda")+(Inputs!$G$5:$G$130="acoes"))*Inputs!$B$1+((Inputs!$G$5:$G$130&lt;&gt;"moeda")*(Inputs!$G$5:$G$130&lt;&gt;"acoes")))*INDEX(Inputs!$K$5:$AJ$130,0,MATCH(S$2,Inputs!$K$4:$AJ$4,0)))+SUMPRODUCT((Inputs!$C$5:$C$130=$B4)*Inputs!$D$5:$D$130*(((Inputs!$G$5:$G$130="moeda")+(Inputs!$G$5:$G$130="acoes"))*Inputs!$B$1+((Inputs!$G$5:$G$130&lt;&gt;"moeda")*(Inputs!$G$5:$G$130&lt;&gt;"acoes")))*INDEX(Inputs!$K$5:$AJ$130,0,MATCH(S$2,Inputs!$K$4:$AJ$4,0)))+SUMPRODUCT((Inputs!$E$5:$E$130=$B4)*Inputs!$F$5:$F$130*(((Inputs!$G$5:$G$130="moeda")+(Inputs!$G$5:$G$130="acoes"))*Inputs!$B$1+((Inputs!$G$5:$G$130&lt;&gt;"moeda")*(Inputs!$G$5:$G$130&lt;&gt;"acoes")))*INDEX(Inputs!$K$5:$AJ$130,0,MATCH(S$2,Inputs!$K$4:$AJ$4,0)))))</f>
        <v>15235</v>
      </c>
      <c r="T4" s="6">
        <f>IF(ISNA(MATCH(T$2,Inputs!$K$4:$AJ$4,0)),NA(),IF(SUMPRODUCT((Inputs!$A$5:$A$130=$B4)*ISNUMBER(INDEX(Inputs!$K$5:$AJ$130,0,MATCH(T$2,Inputs!$K$4:$AJ$4,0))))+SUMPRODUCT((Inputs!$C$5:$C$130=$B4)*ISNUMBER(INDEX(Inputs!$K$5:$AJ$130,0,MATCH(T$2,Inputs!$K$4:$AJ$4,0))))+SUMPRODUCT((Inputs!$E$5:$E$130=$B4)*ISNUMBER(INDEX(Inputs!$K$5:$AJ$130,0,MATCH(T$2,Inputs!$K$4:$AJ$4,0))))=0,NA(),SUMPRODUCT((Inputs!$A$5:$A$130=$B4)*Inputs!$B$5:$B$130*(((Inputs!$G$5:$G$130="moeda")+(Inputs!$G$5:$G$130="acoes"))*Inputs!$B$1+((Inputs!$G$5:$G$130&lt;&gt;"moeda")*(Inputs!$G$5:$G$130&lt;&gt;"acoes")))*INDEX(Inputs!$K$5:$AJ$130,0,MATCH(T$2,Inputs!$K$4:$AJ$4,0)))+SUMPRODUCT((Inputs!$C$5:$C$130=$B4)*Inputs!$D$5:$D$130*(((Inputs!$G$5:$G$130="moeda")+(Inputs!$G$5:$G$130="acoes"))*Inputs!$B$1+((Inputs!$G$5:$G$130&lt;&gt;"moeda")*(Inputs!$G$5:$G$130&lt;&gt;"acoes")))*INDEX(Inputs!$K$5:$AJ$130,0,MATCH(T$2,Inputs!$K$4:$AJ$4,0)))+SUMPRODUCT((Inputs!$E$5:$E$130=$B4)*Inputs!$F$5:$F$130*(((Inputs!$G$5:$G$130="moeda")+(Inputs!$G$5:$G$130="acoes"))*Inputs!$B$1+((Inputs!$G$5:$G$130&lt;&gt;"moeda")*(Inputs!$G$5:$G$130&lt;&gt;"acoes")))*INDEX(Inputs!$K$5:$AJ$130,0,MATCH(T$2,Inputs!$K$4:$AJ$4,0)))))</f>
        <v>13152</v>
      </c>
      <c r="U4" s="6">
        <f>IF(ISNA(MATCH(U$2,Inputs!$K$4:$AJ$4,0)),NA(),IF(SUMPRODUCT((Inputs!$A$5:$A$130=$B4)*ISNUMBER(INDEX(Inputs!$K$5:$AJ$130,0,MATCH(U$2,Inputs!$K$4:$AJ$4,0))))+SUMPRODUCT((Inputs!$C$5:$C$130=$B4)*ISNUMBER(INDEX(Inputs!$K$5:$AJ$130,0,MATCH(U$2,Inputs!$K$4:$AJ$4,0))))+SUMPRODUCT((Inputs!$E$5:$E$130=$B4)*ISNUMBER(INDEX(Inputs!$K$5:$AJ$130,0,MATCH(U$2,Inputs!$K$4:$AJ$4,0))))=0,NA(),SUMPRODUCT((Inputs!$A$5:$A$130=$B4)*Inputs!$B$5:$B$130*(((Inputs!$G$5:$G$130="moeda")+(Inputs!$G$5:$G$130="acoes"))*Inputs!$B$1+((Inputs!$G$5:$G$130&lt;&gt;"moeda")*(Inputs!$G$5:$G$130&lt;&gt;"acoes")))*INDEX(Inputs!$K$5:$AJ$130,0,MATCH(U$2,Inputs!$K$4:$AJ$4,0)))+SUMPRODUCT((Inputs!$C$5:$C$130=$B4)*Inputs!$D$5:$D$130*(((Inputs!$G$5:$G$130="moeda")+(Inputs!$G$5:$G$130="acoes"))*Inputs!$B$1+((Inputs!$G$5:$G$130&lt;&gt;"moeda")*(Inputs!$G$5:$G$130&lt;&gt;"acoes")))*INDEX(Inputs!$K$5:$AJ$130,0,MATCH(U$2,Inputs!$K$4:$AJ$4,0)))+SUMPRODUCT((Inputs!$E$5:$E$130=$B4)*Inputs!$F$5:$F$130*(((Inputs!$G$5:$G$130="moeda")+(Inputs!$G$5:$G$130="acoes"))*Inputs!$B$1+((Inputs!$G$5:$G$130&lt;&gt;"moeda")*(Inputs!$G$5:$G$130&lt;&gt;"acoes")))*INDEX(Inputs!$K$5:$AJ$130,0,MATCH(U$2,Inputs!$K$4:$AJ$4,0)))))</f>
        <v>11144</v>
      </c>
      <c r="V4" s="6">
        <f>IF(ISNA(MATCH(V$2,Inputs!$K$4:$AJ$4,0)),NA(),IF(SUMPRODUCT((Inputs!$A$5:$A$130=$B4)*ISNUMBER(INDEX(Inputs!$K$5:$AJ$130,0,MATCH(V$2,Inputs!$K$4:$AJ$4,0))))+SUMPRODUCT((Inputs!$C$5:$C$130=$B4)*ISNUMBER(INDEX(Inputs!$K$5:$AJ$130,0,MATCH(V$2,Inputs!$K$4:$AJ$4,0))))+SUMPRODUCT((Inputs!$E$5:$E$130=$B4)*ISNUMBER(INDEX(Inputs!$K$5:$AJ$130,0,MATCH(V$2,Inputs!$K$4:$AJ$4,0))))=0,NA(),SUMPRODUCT((Inputs!$A$5:$A$130=$B4)*Inputs!$B$5:$B$130*(((Inputs!$G$5:$G$130="moeda")+(Inputs!$G$5:$G$130="acoes"))*Inputs!$B$1+((Inputs!$G$5:$G$130&lt;&gt;"moeda")*(Inputs!$G$5:$G$130&lt;&gt;"acoes")))*INDEX(Inputs!$K$5:$AJ$130,0,MATCH(V$2,Inputs!$K$4:$AJ$4,0)))+SUMPRODUCT((Inputs!$C$5:$C$130=$B4)*Inputs!$D$5:$D$130*(((Inputs!$G$5:$G$130="moeda")+(Inputs!$G$5:$G$130="acoes"))*Inputs!$B$1+((Inputs!$G$5:$G$130&lt;&gt;"moeda")*(Inputs!$G$5:$G$130&lt;&gt;"acoes")))*INDEX(Inputs!$K$5:$AJ$130,0,MATCH(V$2,Inputs!$K$4:$AJ$4,0)))+SUMPRODUCT((Inputs!$E$5:$E$130=$B4)*Inputs!$F$5:$F$130*(((Inputs!$G$5:$G$130="moeda")+(Inputs!$G$5:$G$130="acoes"))*Inputs!$B$1+((Inputs!$G$5:$G$130&lt;&gt;"moeda")*(Inputs!$G$5:$G$130&lt;&gt;"acoes")))*INDEX(Inputs!$K$5:$AJ$130,0,MATCH(V$2,Inputs!$K$4:$AJ$4,0)))))</f>
        <v>8508</v>
      </c>
      <c r="W4" s="3">
        <f>SUM(S4:V4)</f>
        <v>48039</v>
      </c>
      <c r="X4" s="6">
        <f>IF(ISNA(MATCH(X$2,Inputs!$K$4:$AJ$4,0)),NA(),IF(SUMPRODUCT((Inputs!$A$5:$A$130=$B4)*ISNUMBER(INDEX(Inputs!$K$5:$AJ$130,0,MATCH(X$2,Inputs!$K$4:$AJ$4,0))))+SUMPRODUCT((Inputs!$C$5:$C$130=$B4)*ISNUMBER(INDEX(Inputs!$K$5:$AJ$130,0,MATCH(X$2,Inputs!$K$4:$AJ$4,0))))+SUMPRODUCT((Inputs!$E$5:$E$130=$B4)*ISNUMBER(INDEX(Inputs!$K$5:$AJ$130,0,MATCH(X$2,Inputs!$K$4:$AJ$4,0))))=0,NA(),SUMPRODUCT((Inputs!$A$5:$A$130=$B4)*Inputs!$B$5:$B$130*(((Inputs!$G$5:$G$130="moeda")+(Inputs!$G$5:$G$130="acoes"))*Inputs!$B$1+((Inputs!$G$5:$G$130&lt;&gt;"moeda")*(Inputs!$G$5:$G$130&lt;&gt;"acoes")))*INDEX(Inputs!$K$5:$AJ$130,0,MATCH(X$2,Inputs!$K$4:$AJ$4,0)))+SUMPRODUCT((Inputs!$C$5:$C$130=$B4)*Inputs!$D$5:$D$130*(((Inputs!$G$5:$G$130="moeda")+(Inputs!$G$5:$G$130="acoes"))*Inputs!$B$1+((Inputs!$G$5:$G$130&lt;&gt;"moeda")*(Inputs!$G$5:$G$130&lt;&gt;"acoes")))*INDEX(Inputs!$K$5:$AJ$130,0,MATCH(X$2,Inputs!$K$4:$AJ$4,0)))+SUMPRODUCT((Inputs!$E$5:$E$130=$B4)*Inputs!$F$5:$F$130*(((Inputs!$G$5:$G$130="moeda")+(Inputs!$G$5:$G$130="acoes"))*Inputs!$B$1+((Inputs!$G$5:$G$130&lt;&gt;"moeda")*(Inputs!$G$5:$G$130&lt;&gt;"acoes")))*INDEX(Inputs!$K$5:$AJ$130,0,MATCH(X$2,Inputs!$K$4:$AJ$4,0)))))</f>
        <v>12763</v>
      </c>
      <c r="Y4" s="6">
        <f>IF(ISNA(MATCH(Y$2,Inputs!$K$4:$AJ$4,0)),NA(),IF(SUMPRODUCT((Inputs!$A$5:$A$130=$B4)*ISNUMBER(INDEX(Inputs!$K$5:$AJ$130,0,MATCH(Y$2,Inputs!$K$4:$AJ$4,0))))+SUMPRODUCT((Inputs!$C$5:$C$130=$B4)*ISNUMBER(INDEX(Inputs!$K$5:$AJ$130,0,MATCH(Y$2,Inputs!$K$4:$AJ$4,0))))+SUMPRODUCT((Inputs!$E$5:$E$130=$B4)*ISNUMBER(INDEX(Inputs!$K$5:$AJ$130,0,MATCH(Y$2,Inputs!$K$4:$AJ$4,0))))=0,NA(),SUMPRODUCT((Inputs!$A$5:$A$130=$B4)*Inputs!$B$5:$B$130*(((Inputs!$G$5:$G$130="moeda")+(Inputs!$G$5:$G$130="acoes"))*Inputs!$B$1+((Inputs!$G$5:$G$130&lt;&gt;"moeda")*(Inputs!$G$5:$G$130&lt;&gt;"acoes")))*INDEX(Inputs!$K$5:$AJ$130,0,MATCH(Y$2,Inputs!$K$4:$AJ$4,0)))+SUMPRODUCT((Inputs!$C$5:$C$130=$B4)*Inputs!$D$5:$D$130*(((Inputs!$G$5:$G$130="moeda")+(Inputs!$G$5:$G$130="acoes"))*Inputs!$B$1+((Inputs!$G$5:$G$130&lt;&gt;"moeda")*(Inputs!$G$5:$G$130&lt;&gt;"acoes")))*INDEX(Inputs!$K$5:$AJ$130,0,MATCH(Y$2,Inputs!$K$4:$AJ$4,0)))+SUMPRODUCT((Inputs!$E$5:$E$130=$B4)*Inputs!$F$5:$F$130*(((Inputs!$G$5:$G$130="moeda")+(Inputs!$G$5:$G$130="acoes"))*Inputs!$B$1+((Inputs!$G$5:$G$130&lt;&gt;"moeda")*(Inputs!$G$5:$G$130&lt;&gt;"acoes")))*INDEX(Inputs!$K$5:$AJ$130,0,MATCH(Y$2,Inputs!$K$4:$AJ$4,0)))))</f>
        <v>12018</v>
      </c>
      <c r="Z4" s="6">
        <f>IF(ISNA(MATCH(Z$2,Inputs!$K$4:$AJ$4,0)),NA(),IF(SUMPRODUCT((Inputs!$A$5:$A$130=$B4)*ISNUMBER(INDEX(Inputs!$K$5:$AJ$130,0,MATCH(Z$2,Inputs!$K$4:$AJ$4,0))))+SUMPRODUCT((Inputs!$C$5:$C$130=$B4)*ISNUMBER(INDEX(Inputs!$K$5:$AJ$130,0,MATCH(Z$2,Inputs!$K$4:$AJ$4,0))))+SUMPRODUCT((Inputs!$E$5:$E$130=$B4)*ISNUMBER(INDEX(Inputs!$K$5:$AJ$130,0,MATCH(Z$2,Inputs!$K$4:$AJ$4,0))))=0,NA(),SUMPRODUCT((Inputs!$A$5:$A$130=$B4)*Inputs!$B$5:$B$130*(((Inputs!$G$5:$G$130="moeda")+(Inputs!$G$5:$G$130="acoes"))*Inputs!$B$1+((Inputs!$G$5:$G$130&lt;&gt;"moeda")*(Inputs!$G$5:$G$130&lt;&gt;"acoes")))*INDEX(Inputs!$K$5:$AJ$130,0,MATCH(Z$2,Inputs!$K$4:$AJ$4,0)))+SUMPRODUCT((Inputs!$C$5:$C$130=$B4)*Inputs!$D$5:$D$130*(((Inputs!$G$5:$G$130="moeda")+(Inputs!$G$5:$G$130="acoes"))*Inputs!$B$1+((Inputs!$G$5:$G$130&lt;&gt;"moeda")*(Inputs!$G$5:$G$130&lt;&gt;"acoes")))*INDEX(Inputs!$K$5:$AJ$130,0,MATCH(Z$2,Inputs!$K$4:$AJ$4,0)))+SUMPRODUCT((Inputs!$E$5:$E$130=$B4)*Inputs!$F$5:$F$130*(((Inputs!$G$5:$G$130="moeda")+(Inputs!$G$5:$G$130="acoes"))*Inputs!$B$1+((Inputs!$G$5:$G$130&lt;&gt;"moeda")*(Inputs!$G$5:$G$130&lt;&gt;"acoes")))*INDEX(Inputs!$K$5:$AJ$130,0,MATCH(Z$2,Inputs!$K$4:$AJ$4,0)))))</f>
        <v>12394</v>
      </c>
      <c r="AA4" s="6">
        <f>IF(ISNA(MATCH(AA$2,Inputs!$K$4:$AJ$4,0)),NA(),IF(SUMPRODUCT((Inputs!$A$5:$A$130=$B4)*ISNUMBER(INDEX(Inputs!$K$5:$AJ$130,0,MATCH(AA$2,Inputs!$K$4:$AJ$4,0))))+SUMPRODUCT((Inputs!$C$5:$C$130=$B4)*ISNUMBER(INDEX(Inputs!$K$5:$AJ$130,0,MATCH(AA$2,Inputs!$K$4:$AJ$4,0))))+SUMPRODUCT((Inputs!$E$5:$E$130=$B4)*ISNUMBER(INDEX(Inputs!$K$5:$AJ$130,0,MATCH(AA$2,Inputs!$K$4:$AJ$4,0))))=0,NA(),SUMPRODUCT((Inputs!$A$5:$A$130=$B4)*Inputs!$B$5:$B$130*(((Inputs!$G$5:$G$130="moeda")+(Inputs!$G$5:$G$130="acoes"))*Inputs!$B$1+((Inputs!$G$5:$G$130&lt;&gt;"moeda")*(Inputs!$G$5:$G$130&lt;&gt;"acoes")))*INDEX(Inputs!$K$5:$AJ$130,0,MATCH(AA$2,Inputs!$K$4:$AJ$4,0)))+SUMPRODUCT((Inputs!$C$5:$C$130=$B4)*Inputs!$D$5:$D$130*(((Inputs!$G$5:$G$130="moeda")+(Inputs!$G$5:$G$130="acoes"))*Inputs!$B$1+((Inputs!$G$5:$G$130&lt;&gt;"moeda")*(Inputs!$G$5:$G$130&lt;&gt;"acoes")))*INDEX(Inputs!$K$5:$AJ$130,0,MATCH(AA$2,Inputs!$K$4:$AJ$4,0)))+SUMPRODUCT((Inputs!$E$5:$E$130=$B4)*Inputs!$F$5:$F$130*(((Inputs!$G$5:$G$130="moeda")+(Inputs!$G$5:$G$130="acoes"))*Inputs!$B$1+((Inputs!$G$5:$G$130&lt;&gt;"moeda")*(Inputs!$G$5:$G$130&lt;&gt;"acoes")))*INDEX(Inputs!$K$5:$AJ$130,0,MATCH(AA$2,Inputs!$K$4:$AJ$4,0)))))</f>
        <v>9611</v>
      </c>
      <c r="AB4" s="3">
        <f>SUM(X4:AA4)</f>
        <v>46786</v>
      </c>
      <c r="AC4" s="6">
        <f>IF(ISNA(MATCH(AC$2,Inputs!$K$4:$AJ$4,0)),NA(),IF(SUMPRODUCT((Inputs!$A$5:$A$130=$B4)*ISNUMBER(INDEX(Inputs!$K$5:$AJ$130,0,MATCH(AC$2,Inputs!$K$4:$AJ$4,0))))+SUMPRODUCT((Inputs!$C$5:$C$130=$B4)*ISNUMBER(INDEX(Inputs!$K$5:$AJ$130,0,MATCH(AC$2,Inputs!$K$4:$AJ$4,0))))+SUMPRODUCT((Inputs!$E$5:$E$130=$B4)*ISNUMBER(INDEX(Inputs!$K$5:$AJ$130,0,MATCH(AC$2,Inputs!$K$4:$AJ$4,0))))=0,NA(),SUMPRODUCT((Inputs!$A$5:$A$130=$B4)*Inputs!$B$5:$B$130*(((Inputs!$G$5:$G$130="moeda")+(Inputs!$G$5:$G$130="acoes"))*Inputs!$B$1+((Inputs!$G$5:$G$130&lt;&gt;"moeda")*(Inputs!$G$5:$G$130&lt;&gt;"acoes")))*INDEX(Inputs!$K$5:$AJ$130,0,MATCH(AC$2,Inputs!$K$4:$AJ$4,0)))+SUMPRODUCT((Inputs!$C$5:$C$130=$B4)*Inputs!$D$5:$D$130*(((Inputs!$G$5:$G$130="moeda")+(Inputs!$G$5:$G$130="acoes"))*Inputs!$B$1+((Inputs!$G$5:$G$130&lt;&gt;"moeda")*(Inputs!$G$5:$G$130&lt;&gt;"acoes")))*INDEX(Inputs!$K$5:$AJ$130,0,MATCH(AC$2,Inputs!$K$4:$AJ$4,0)))+SUMPRODUCT((Inputs!$E$5:$E$130=$B4)*Inputs!$F$5:$F$130*(((Inputs!$G$5:$G$130="moeda")+(Inputs!$G$5:$G$130="acoes"))*Inputs!$B$1+((Inputs!$G$5:$G$130&lt;&gt;"moeda")*(Inputs!$G$5:$G$130&lt;&gt;"acoes")))*INDEX(Inputs!$K$5:$AJ$130,0,MATCH(AC$2,Inputs!$K$4:$AJ$4,0)))))</f>
        <v>13369</v>
      </c>
      <c r="AD4" s="6">
        <f>IF(ISNA(MATCH(AD$2,Inputs!$K$4:$AJ$4,0)),NA(),IF(SUMPRODUCT((Inputs!$A$5:$A$130=$B4)*ISNUMBER(INDEX(Inputs!$K$5:$AJ$130,0,MATCH(AD$2,Inputs!$K$4:$AJ$4,0))))+SUMPRODUCT((Inputs!$C$5:$C$130=$B4)*ISNUMBER(INDEX(Inputs!$K$5:$AJ$130,0,MATCH(AD$2,Inputs!$K$4:$AJ$4,0))))+SUMPRODUCT((Inputs!$E$5:$E$130=$B4)*ISNUMBER(INDEX(Inputs!$K$5:$AJ$130,0,MATCH(AD$2,Inputs!$K$4:$AJ$4,0))))=0,NA(),SUMPRODUCT((Inputs!$A$5:$A$130=$B4)*Inputs!$B$5:$B$130*(((Inputs!$G$5:$G$130="moeda")+(Inputs!$G$5:$G$130="acoes"))*Inputs!$B$1+((Inputs!$G$5:$G$130&lt;&gt;"moeda")*(Inputs!$G$5:$G$130&lt;&gt;"acoes")))*INDEX(Inputs!$K$5:$AJ$130,0,MATCH(AD$2,Inputs!$K$4:$AJ$4,0)))+SUMPRODUCT((Inputs!$C$5:$C$130=$B4)*Inputs!$D$5:$D$130*(((Inputs!$G$5:$G$130="moeda")+(Inputs!$G$5:$G$130="acoes"))*Inputs!$B$1+((Inputs!$G$5:$G$130&lt;&gt;"moeda")*(Inputs!$G$5:$G$130&lt;&gt;"acoes")))*INDEX(Inputs!$K$5:$AJ$130,0,MATCH(AD$2,Inputs!$K$4:$AJ$4,0)))+SUMPRODUCT((Inputs!$E$5:$E$130=$B4)*Inputs!$F$5:$F$130*(((Inputs!$G$5:$G$130="moeda")+(Inputs!$G$5:$G$130="acoes"))*Inputs!$B$1+((Inputs!$G$5:$G$130&lt;&gt;"moeda")*(Inputs!$G$5:$G$130&lt;&gt;"acoes")))*INDEX(Inputs!$K$5:$AJ$130,0,MATCH(AD$2,Inputs!$K$4:$AJ$4,0)))))</f>
        <v>12608</v>
      </c>
      <c r="AE4" s="6" t="e">
        <f>IF(ISNA(MATCH(AE$2,Inputs!$K$4:$AJ$4,0)),NA(),IF(SUMPRODUCT((Inputs!$A$5:$A$130=$B4)*ISNUMBER(INDEX(Inputs!$K$5:$AJ$130,0,MATCH(AE$2,Inputs!$K$4:$AJ$4,0))))+SUMPRODUCT((Inputs!$C$5:$C$130=$B4)*ISNUMBER(INDEX(Inputs!$K$5:$AJ$130,0,MATCH(AE$2,Inputs!$K$4:$AJ$4,0))))+SUMPRODUCT((Inputs!$E$5:$E$130=$B4)*ISNUMBER(INDEX(Inputs!$K$5:$AJ$130,0,MATCH(AE$2,Inputs!$K$4:$AJ$4,0))))=0,NA(),SUMPRODUCT((Inputs!$A$5:$A$130=$B4)*Inputs!$B$5:$B$130*(((Inputs!$G$5:$G$130="moeda")+(Inputs!$G$5:$G$130="acoes"))*Inputs!$B$1+((Inputs!$G$5:$G$130&lt;&gt;"moeda")*(Inputs!$G$5:$G$130&lt;&gt;"acoes")))*INDEX(Inputs!$K$5:$AJ$130,0,MATCH(AE$2,Inputs!$K$4:$AJ$4,0)))+SUMPRODUCT((Inputs!$C$5:$C$130=$B4)*Inputs!$D$5:$D$130*(((Inputs!$G$5:$G$130="moeda")+(Inputs!$G$5:$G$130="acoes"))*Inputs!$B$1+((Inputs!$G$5:$G$130&lt;&gt;"moeda")*(Inputs!$G$5:$G$130&lt;&gt;"acoes")))*INDEX(Inputs!$K$5:$AJ$130,0,MATCH(AE$2,Inputs!$K$4:$AJ$4,0)))+SUMPRODUCT((Inputs!$E$5:$E$130=$B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" s="6" t="e">
        <f>IF(ISNA(MATCH(AF$2,Inputs!$K$4:$AJ$4,0)),NA(),IF(SUMPRODUCT((Inputs!$A$5:$A$130=$B4)*ISNUMBER(INDEX(Inputs!$K$5:$AJ$130,0,MATCH(AF$2,Inputs!$K$4:$AJ$4,0))))+SUMPRODUCT((Inputs!$C$5:$C$130=$B4)*ISNUMBER(INDEX(Inputs!$K$5:$AJ$130,0,MATCH(AF$2,Inputs!$K$4:$AJ$4,0))))+SUMPRODUCT((Inputs!$E$5:$E$130=$B4)*ISNUMBER(INDEX(Inputs!$K$5:$AJ$130,0,MATCH(AF$2,Inputs!$K$4:$AJ$4,0))))=0,NA(),SUMPRODUCT((Inputs!$A$5:$A$130=$B4)*Inputs!$B$5:$B$130*(((Inputs!$G$5:$G$130="moeda")+(Inputs!$G$5:$G$130="acoes"))*Inputs!$B$1+((Inputs!$G$5:$G$130&lt;&gt;"moeda")*(Inputs!$G$5:$G$130&lt;&gt;"acoes")))*INDEX(Inputs!$K$5:$AJ$130,0,MATCH(AF$2,Inputs!$K$4:$AJ$4,0)))+SUMPRODUCT((Inputs!$C$5:$C$130=$B4)*Inputs!$D$5:$D$130*(((Inputs!$G$5:$G$130="moeda")+(Inputs!$G$5:$G$130="acoes"))*Inputs!$B$1+((Inputs!$G$5:$G$130&lt;&gt;"moeda")*(Inputs!$G$5:$G$130&lt;&gt;"acoes")))*INDEX(Inputs!$K$5:$AJ$130,0,MATCH(AF$2,Inputs!$K$4:$AJ$4,0)))+SUMPRODUCT((Inputs!$E$5:$E$130=$B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" s="3" t="e">
        <f>SUM(AC4:AF4)</f>
        <v>#N/A</v>
      </c>
      <c r="AH4" s="6">
        <f>IF(ISNA(MATCH(AH$2,Inputs!$K$4:$AJ$4,0)),NA(),IF(SUMPRODUCT((Inputs!$A$5:$A$130=$B4)*ISNUMBER(INDEX(Inputs!$K$5:$AJ$130,0,MATCH(AH$2,Inputs!$K$4:$AJ$4,0))))+SUMPRODUCT((Inputs!$C$5:$C$130=$B4)*ISNUMBER(INDEX(Inputs!$K$5:$AJ$130,0,MATCH(AH$2,Inputs!$K$4:$AJ$4,0))))+SUMPRODUCT((Inputs!$E$5:$E$130=$B4)*ISNUMBER(INDEX(Inputs!$K$5:$AJ$130,0,MATCH(AH$2,Inputs!$K$4:$AJ$4,0))))=0,NA(),SUMPRODUCT((Inputs!$A$5:$A$130=$B4)*Inputs!$B$5:$B$130*(((Inputs!$G$5:$G$130="moeda")+(Inputs!$G$5:$G$130="acoes"))*Inputs!$B$1+((Inputs!$G$5:$G$130&lt;&gt;"moeda")*(Inputs!$G$5:$G$130&lt;&gt;"acoes")))*INDEX(Inputs!$K$5:$AJ$130,0,MATCH(AH$2,Inputs!$K$4:$AJ$4,0)))+SUMPRODUCT((Inputs!$C$5:$C$130=$B4)*Inputs!$D$5:$D$130*(((Inputs!$G$5:$G$130="moeda")+(Inputs!$G$5:$G$130="acoes"))*Inputs!$B$1+((Inputs!$G$5:$G$130&lt;&gt;"moeda")*(Inputs!$G$5:$G$130&lt;&gt;"acoes")))*INDEX(Inputs!$K$5:$AJ$130,0,MATCH(AH$2,Inputs!$K$4:$AJ$4,0)))+SUMPRODUCT((Inputs!$E$5:$E$130=$B4)*Inputs!$F$5:$F$130*(((Inputs!$G$5:$G$130="moeda")+(Inputs!$G$5:$G$130="acoes"))*Inputs!$B$1+((Inputs!$G$5:$G$130&lt;&gt;"moeda")*(Inputs!$G$5:$G$130&lt;&gt;"acoes")))*INDEX(Inputs!$K$5:$AJ$130,0,MATCH(AH$2,Inputs!$K$4:$AJ$4,0)))))</f>
        <v>9253</v>
      </c>
      <c r="AI4" s="6">
        <f>IF(ISNA(MATCH(AI$2,Inputs!$K$4:$AJ$4,0)),NA(),IF(SUMPRODUCT((Inputs!$A$5:$A$130=$B4)*ISNUMBER(INDEX(Inputs!$K$5:$AJ$130,0,MATCH(AI$2,Inputs!$K$4:$AJ$4,0))))+SUMPRODUCT((Inputs!$C$5:$C$130=$B4)*ISNUMBER(INDEX(Inputs!$K$5:$AJ$130,0,MATCH(AI$2,Inputs!$K$4:$AJ$4,0))))+SUMPRODUCT((Inputs!$E$5:$E$130=$B4)*ISNUMBER(INDEX(Inputs!$K$5:$AJ$130,0,MATCH(AI$2,Inputs!$K$4:$AJ$4,0))))=0,NA(),SUMPRODUCT((Inputs!$A$5:$A$130=$B4)*Inputs!$B$5:$B$130*(((Inputs!$G$5:$G$130="moeda")+(Inputs!$G$5:$G$130="acoes"))*Inputs!$B$1+((Inputs!$G$5:$G$130&lt;&gt;"moeda")*(Inputs!$G$5:$G$130&lt;&gt;"acoes")))*INDEX(Inputs!$K$5:$AJ$130,0,MATCH(AI$2,Inputs!$K$4:$AJ$4,0)))+SUMPRODUCT((Inputs!$C$5:$C$130=$B4)*Inputs!$D$5:$D$130*(((Inputs!$G$5:$G$130="moeda")+(Inputs!$G$5:$G$130="acoes"))*Inputs!$B$1+((Inputs!$G$5:$G$130&lt;&gt;"moeda")*(Inputs!$G$5:$G$130&lt;&gt;"acoes")))*INDEX(Inputs!$K$5:$AJ$130,0,MATCH(AI$2,Inputs!$K$4:$AJ$4,0)))+SUMPRODUCT((Inputs!$E$5:$E$130=$B4)*Inputs!$F$5:$F$130*(((Inputs!$G$5:$G$130="moeda")+(Inputs!$G$5:$G$130="acoes"))*Inputs!$B$1+((Inputs!$G$5:$G$130&lt;&gt;"moeda")*(Inputs!$G$5:$G$130&lt;&gt;"acoes")))*INDEX(Inputs!$K$5:$AJ$130,0,MATCH(AI$2,Inputs!$K$4:$AJ$4,0)))))</f>
        <v>8925</v>
      </c>
      <c r="AJ4" s="6">
        <f>IF(ISNA(MATCH(AJ$2,Inputs!$K$4:$AJ$4,0)),NA(),IF(SUMPRODUCT((Inputs!$A$5:$A$130=$B4)*ISNUMBER(INDEX(Inputs!$K$5:$AJ$130,0,MATCH(AJ$2,Inputs!$K$4:$AJ$4,0))))+SUMPRODUCT((Inputs!$C$5:$C$130=$B4)*ISNUMBER(INDEX(Inputs!$K$5:$AJ$130,0,MATCH(AJ$2,Inputs!$K$4:$AJ$4,0))))+SUMPRODUCT((Inputs!$E$5:$E$130=$B4)*ISNUMBER(INDEX(Inputs!$K$5:$AJ$130,0,MATCH(AJ$2,Inputs!$K$4:$AJ$4,0))))=0,NA(),SUMPRODUCT((Inputs!$A$5:$A$130=$B4)*Inputs!$B$5:$B$130*(((Inputs!$G$5:$G$130="moeda")+(Inputs!$G$5:$G$130="acoes"))*Inputs!$B$1+((Inputs!$G$5:$G$130&lt;&gt;"moeda")*(Inputs!$G$5:$G$130&lt;&gt;"acoes")))*INDEX(Inputs!$K$5:$AJ$130,0,MATCH(AJ$2,Inputs!$K$4:$AJ$4,0)))+SUMPRODUCT((Inputs!$C$5:$C$130=$B4)*Inputs!$D$5:$D$130*(((Inputs!$G$5:$G$130="moeda")+(Inputs!$G$5:$G$130="acoes"))*Inputs!$B$1+((Inputs!$G$5:$G$130&lt;&gt;"moeda")*(Inputs!$G$5:$G$130&lt;&gt;"acoes")))*INDEX(Inputs!$K$5:$AJ$130,0,MATCH(AJ$2,Inputs!$K$4:$AJ$4,0)))+SUMPRODUCT((Inputs!$E$5:$E$130=$B4)*Inputs!$F$5:$F$130*(((Inputs!$G$5:$G$130="moeda")+(Inputs!$G$5:$G$130="acoes"))*Inputs!$B$1+((Inputs!$G$5:$G$130&lt;&gt;"moeda")*(Inputs!$G$5:$G$130&lt;&gt;"acoes")))*INDEX(Inputs!$K$5:$AJ$130,0,MATCH(AJ$2,Inputs!$K$4:$AJ$4,0)))))</f>
        <v>9731</v>
      </c>
      <c r="AK4" s="6">
        <f>IF(ISNA(MATCH(AK$2,Inputs!$K$4:$AJ$4,0)),NA(),IF(SUMPRODUCT((Inputs!$A$5:$A$130=$B4)*ISNUMBER(INDEX(Inputs!$K$5:$AJ$130,0,MATCH(AK$2,Inputs!$K$4:$AJ$4,0))))+SUMPRODUCT((Inputs!$C$5:$C$130=$B4)*ISNUMBER(INDEX(Inputs!$K$5:$AJ$130,0,MATCH(AK$2,Inputs!$K$4:$AJ$4,0))))+SUMPRODUCT((Inputs!$E$5:$E$130=$B4)*ISNUMBER(INDEX(Inputs!$K$5:$AJ$130,0,MATCH(AK$2,Inputs!$K$4:$AJ$4,0))))=0,NA(),SUMPRODUCT((Inputs!$A$5:$A$130=$B4)*Inputs!$B$5:$B$130*(((Inputs!$G$5:$G$130="moeda")+(Inputs!$G$5:$G$130="acoes"))*Inputs!$B$1+((Inputs!$G$5:$G$130&lt;&gt;"moeda")*(Inputs!$G$5:$G$130&lt;&gt;"acoes")))*INDEX(Inputs!$K$5:$AJ$130,0,MATCH(AK$2,Inputs!$K$4:$AJ$4,0)))+SUMPRODUCT((Inputs!$C$5:$C$130=$B4)*Inputs!$D$5:$D$130*(((Inputs!$G$5:$G$130="moeda")+(Inputs!$G$5:$G$130="acoes"))*Inputs!$B$1+((Inputs!$G$5:$G$130&lt;&gt;"moeda")*(Inputs!$G$5:$G$130&lt;&gt;"acoes")))*INDEX(Inputs!$K$5:$AJ$130,0,MATCH(AK$2,Inputs!$K$4:$AJ$4,0)))+SUMPRODUCT((Inputs!$E$5:$E$130=$B4)*Inputs!$F$5:$F$130*(((Inputs!$G$5:$G$130="moeda")+(Inputs!$G$5:$G$130="acoes"))*Inputs!$B$1+((Inputs!$G$5:$G$130&lt;&gt;"moeda")*(Inputs!$G$5:$G$130&lt;&gt;"acoes")))*INDEX(Inputs!$K$5:$AJ$130,0,MATCH(AK$2,Inputs!$K$4:$AJ$4,0)))))</f>
        <v>9112</v>
      </c>
      <c r="AL4" s="3">
        <f>SUM(AH4:AK4)</f>
        <v>37021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$130=$B5)*ISNUMBER(INDEX(Inputs!$K$5:$AJ$130,0,MATCH(D$2,Inputs!$K$4:$AJ$4,0))))+SUMPRODUCT((Inputs!$C$5:$C$130=$B5)*ISNUMBER(INDEX(Inputs!$K$5:$AJ$130,0,MATCH(D$2,Inputs!$K$4:$AJ$4,0))))+SUMPRODUCT((Inputs!$E$5:$E$130=$B5)*ISNUMBER(INDEX(Inputs!$K$5:$AJ$130,0,MATCH(D$2,Inputs!$K$4:$AJ$4,0))))=0,NA(),SUMPRODUCT((Inputs!$A$5:$A$130=$B5)*Inputs!$B$5:$B$130*(((Inputs!$G$5:$G$130="moeda")+(Inputs!$G$5:$G$130="acoes"))*Inputs!$B$1+((Inputs!$G$5:$G$130&lt;&gt;"moeda")*(Inputs!$G$5:$G$130&lt;&gt;"acoes")))*INDEX(Inputs!$K$5:$AJ$130,0,MATCH(D$2,Inputs!$K$4:$AJ$4,0)))+SUMPRODUCT((Inputs!$C$5:$C$130=$B5)*Inputs!$D$5:$D$130*(((Inputs!$G$5:$G$130="moeda")+(Inputs!$G$5:$G$130="acoes"))*Inputs!$B$1+((Inputs!$G$5:$G$130&lt;&gt;"moeda")*(Inputs!$G$5:$G$130&lt;&gt;"acoes")))*INDEX(Inputs!$K$5:$AJ$130,0,MATCH(D$2,Inputs!$K$4:$AJ$4,0)))+SUMPRODUCT((Inputs!$E$5:$E$130=$B5)*Inputs!$F$5:$F$130*(((Inputs!$G$5:$G$130="moeda")+(Inputs!$G$5:$G$130="acoes"))*Inputs!$B$1+((Inputs!$G$5:$G$130&lt;&gt;"moeda")*(Inputs!$G$5:$G$130&lt;&gt;"acoes")))*INDEX(Inputs!$K$5:$AJ$130,0,MATCH(D$2,Inputs!$K$4:$AJ$4,0)))))</f>
        <v>0</v>
      </c>
      <c r="E5" s="6">
        <f>IF(ISNA(MATCH(E$2,Inputs!$K$4:$AJ$4,0)),NA(),IF(SUMPRODUCT((Inputs!$A$5:$A$130=$B5)*ISNUMBER(INDEX(Inputs!$K$5:$AJ$130,0,MATCH(E$2,Inputs!$K$4:$AJ$4,0))))+SUMPRODUCT((Inputs!$C$5:$C$130=$B5)*ISNUMBER(INDEX(Inputs!$K$5:$AJ$130,0,MATCH(E$2,Inputs!$K$4:$AJ$4,0))))+SUMPRODUCT((Inputs!$E$5:$E$130=$B5)*ISNUMBER(INDEX(Inputs!$K$5:$AJ$130,0,MATCH(E$2,Inputs!$K$4:$AJ$4,0))))=0,NA(),SUMPRODUCT((Inputs!$A$5:$A$130=$B5)*Inputs!$B$5:$B$130*(((Inputs!$G$5:$G$130="moeda")+(Inputs!$G$5:$G$130="acoes"))*Inputs!$B$1+((Inputs!$G$5:$G$130&lt;&gt;"moeda")*(Inputs!$G$5:$G$130&lt;&gt;"acoes")))*INDEX(Inputs!$K$5:$AJ$130,0,MATCH(E$2,Inputs!$K$4:$AJ$4,0)))+SUMPRODUCT((Inputs!$C$5:$C$130=$B5)*Inputs!$D$5:$D$130*(((Inputs!$G$5:$G$130="moeda")+(Inputs!$G$5:$G$130="acoes"))*Inputs!$B$1+((Inputs!$G$5:$G$130&lt;&gt;"moeda")*(Inputs!$G$5:$G$130&lt;&gt;"acoes")))*INDEX(Inputs!$K$5:$AJ$130,0,MATCH(E$2,Inputs!$K$4:$AJ$4,0)))+SUMPRODUCT((Inputs!$E$5:$E$130=$B5)*Inputs!$F$5:$F$130*(((Inputs!$G$5:$G$130="moeda")+(Inputs!$G$5:$G$130="acoes"))*Inputs!$B$1+((Inputs!$G$5:$G$130&lt;&gt;"moeda")*(Inputs!$G$5:$G$130&lt;&gt;"acoes")))*INDEX(Inputs!$K$5:$AJ$130,0,MATCH(E$2,Inputs!$K$4:$AJ$4,0)))))</f>
        <v>0</v>
      </c>
      <c r="F5" s="6">
        <f>IF(ISNA(MATCH(F$2,Inputs!$K$4:$AJ$4,0)),NA(),IF(SUMPRODUCT((Inputs!$A$5:$A$130=$B5)*ISNUMBER(INDEX(Inputs!$K$5:$AJ$130,0,MATCH(F$2,Inputs!$K$4:$AJ$4,0))))+SUMPRODUCT((Inputs!$C$5:$C$130=$B5)*ISNUMBER(INDEX(Inputs!$K$5:$AJ$130,0,MATCH(F$2,Inputs!$K$4:$AJ$4,0))))+SUMPRODUCT((Inputs!$E$5:$E$130=$B5)*ISNUMBER(INDEX(Inputs!$K$5:$AJ$130,0,MATCH(F$2,Inputs!$K$4:$AJ$4,0))))=0,NA(),SUMPRODUCT((Inputs!$A$5:$A$130=$B5)*Inputs!$B$5:$B$130*(((Inputs!$G$5:$G$130="moeda")+(Inputs!$G$5:$G$130="acoes"))*Inputs!$B$1+((Inputs!$G$5:$G$130&lt;&gt;"moeda")*(Inputs!$G$5:$G$130&lt;&gt;"acoes")))*INDEX(Inputs!$K$5:$AJ$130,0,MATCH(F$2,Inputs!$K$4:$AJ$4,0)))+SUMPRODUCT((Inputs!$C$5:$C$130=$B5)*Inputs!$D$5:$D$130*(((Inputs!$G$5:$G$130="moeda")+(Inputs!$G$5:$G$130="acoes"))*Inputs!$B$1+((Inputs!$G$5:$G$130&lt;&gt;"moeda")*(Inputs!$G$5:$G$130&lt;&gt;"acoes")))*INDEX(Inputs!$K$5:$AJ$130,0,MATCH(F$2,Inputs!$K$4:$AJ$4,0)))+SUMPRODUCT((Inputs!$E$5:$E$130=$B5)*Inputs!$F$5:$F$130*(((Inputs!$G$5:$G$130="moeda")+(Inputs!$G$5:$G$130="acoes"))*Inputs!$B$1+((Inputs!$G$5:$G$130&lt;&gt;"moeda")*(Inputs!$G$5:$G$130&lt;&gt;"acoes")))*INDEX(Inputs!$K$5:$AJ$130,0,MATCH(F$2,Inputs!$K$4:$AJ$4,0)))))</f>
        <v>0</v>
      </c>
      <c r="G5" s="6">
        <f>IF(ISNA(MATCH(G$2,Inputs!$K$4:$AJ$4,0)),NA(),IF(SUMPRODUCT((Inputs!$A$5:$A$130=$B5)*ISNUMBER(INDEX(Inputs!$K$5:$AJ$130,0,MATCH(G$2,Inputs!$K$4:$AJ$4,0))))+SUMPRODUCT((Inputs!$C$5:$C$130=$B5)*ISNUMBER(INDEX(Inputs!$K$5:$AJ$130,0,MATCH(G$2,Inputs!$K$4:$AJ$4,0))))+SUMPRODUCT((Inputs!$E$5:$E$130=$B5)*ISNUMBER(INDEX(Inputs!$K$5:$AJ$130,0,MATCH(G$2,Inputs!$K$4:$AJ$4,0))))=0,NA(),SUMPRODUCT((Inputs!$A$5:$A$130=$B5)*Inputs!$B$5:$B$130*(((Inputs!$G$5:$G$130="moeda")+(Inputs!$G$5:$G$130="acoes"))*Inputs!$B$1+((Inputs!$G$5:$G$130&lt;&gt;"moeda")*(Inputs!$G$5:$G$130&lt;&gt;"acoes")))*INDEX(Inputs!$K$5:$AJ$130,0,MATCH(G$2,Inputs!$K$4:$AJ$4,0)))+SUMPRODUCT((Inputs!$C$5:$C$130=$B5)*Inputs!$D$5:$D$130*(((Inputs!$G$5:$G$130="moeda")+(Inputs!$G$5:$G$130="acoes"))*Inputs!$B$1+((Inputs!$G$5:$G$130&lt;&gt;"moeda")*(Inputs!$G$5:$G$130&lt;&gt;"acoes")))*INDEX(Inputs!$K$5:$AJ$130,0,MATCH(G$2,Inputs!$K$4:$AJ$4,0)))+SUMPRODUCT((Inputs!$E$5:$E$130=$B5)*Inputs!$F$5:$F$130*(((Inputs!$G$5:$G$130="moeda")+(Inputs!$G$5:$G$130="acoes"))*Inputs!$B$1+((Inputs!$G$5:$G$130&lt;&gt;"moeda")*(Inputs!$G$5:$G$130&lt;&gt;"acoes")))*INDEX(Inputs!$K$5:$AJ$130,0,MATCH(G$2,Inputs!$K$4:$AJ$4,0)))))</f>
        <v>0</v>
      </c>
      <c r="H5" s="3">
        <f>SUM(D5:G5)</f>
        <v>0</v>
      </c>
      <c r="I5" s="6">
        <f>IF(ISNA(MATCH(I$2,Inputs!$K$4:$AJ$4,0)),NA(),IF(SUMPRODUCT((Inputs!$A$5:$A$130=$B5)*ISNUMBER(INDEX(Inputs!$K$5:$AJ$130,0,MATCH(I$2,Inputs!$K$4:$AJ$4,0))))+SUMPRODUCT((Inputs!$C$5:$C$130=$B5)*ISNUMBER(INDEX(Inputs!$K$5:$AJ$130,0,MATCH(I$2,Inputs!$K$4:$AJ$4,0))))+SUMPRODUCT((Inputs!$E$5:$E$130=$B5)*ISNUMBER(INDEX(Inputs!$K$5:$AJ$130,0,MATCH(I$2,Inputs!$K$4:$AJ$4,0))))=0,NA(),SUMPRODUCT((Inputs!$A$5:$A$130=$B5)*Inputs!$B$5:$B$130*(((Inputs!$G$5:$G$130="moeda")+(Inputs!$G$5:$G$130="acoes"))*Inputs!$B$1+((Inputs!$G$5:$G$130&lt;&gt;"moeda")*(Inputs!$G$5:$G$130&lt;&gt;"acoes")))*INDEX(Inputs!$K$5:$AJ$130,0,MATCH(I$2,Inputs!$K$4:$AJ$4,0)))+SUMPRODUCT((Inputs!$C$5:$C$130=$B5)*Inputs!$D$5:$D$130*(((Inputs!$G$5:$G$130="moeda")+(Inputs!$G$5:$G$130="acoes"))*Inputs!$B$1+((Inputs!$G$5:$G$130&lt;&gt;"moeda")*(Inputs!$G$5:$G$130&lt;&gt;"acoes")))*INDEX(Inputs!$K$5:$AJ$130,0,MATCH(I$2,Inputs!$K$4:$AJ$4,0)))+SUMPRODUCT((Inputs!$E$5:$E$130=$B5)*Inputs!$F$5:$F$130*(((Inputs!$G$5:$G$130="moeda")+(Inputs!$G$5:$G$130="acoes"))*Inputs!$B$1+((Inputs!$G$5:$G$130&lt;&gt;"moeda")*(Inputs!$G$5:$G$130&lt;&gt;"acoes")))*INDEX(Inputs!$K$5:$AJ$130,0,MATCH(I$2,Inputs!$K$4:$AJ$4,0)))))</f>
        <v>0</v>
      </c>
      <c r="J5" s="6">
        <f>IF(ISNA(MATCH(J$2,Inputs!$K$4:$AJ$4,0)),NA(),IF(SUMPRODUCT((Inputs!$A$5:$A$130=$B5)*ISNUMBER(INDEX(Inputs!$K$5:$AJ$130,0,MATCH(J$2,Inputs!$K$4:$AJ$4,0))))+SUMPRODUCT((Inputs!$C$5:$C$130=$B5)*ISNUMBER(INDEX(Inputs!$K$5:$AJ$130,0,MATCH(J$2,Inputs!$K$4:$AJ$4,0))))+SUMPRODUCT((Inputs!$E$5:$E$130=$B5)*ISNUMBER(INDEX(Inputs!$K$5:$AJ$130,0,MATCH(J$2,Inputs!$K$4:$AJ$4,0))))=0,NA(),SUMPRODUCT((Inputs!$A$5:$A$130=$B5)*Inputs!$B$5:$B$130*(((Inputs!$G$5:$G$130="moeda")+(Inputs!$G$5:$G$130="acoes"))*Inputs!$B$1+((Inputs!$G$5:$G$130&lt;&gt;"moeda")*(Inputs!$G$5:$G$130&lt;&gt;"acoes")))*INDEX(Inputs!$K$5:$AJ$130,0,MATCH(J$2,Inputs!$K$4:$AJ$4,0)))+SUMPRODUCT((Inputs!$C$5:$C$130=$B5)*Inputs!$D$5:$D$130*(((Inputs!$G$5:$G$130="moeda")+(Inputs!$G$5:$G$130="acoes"))*Inputs!$B$1+((Inputs!$G$5:$G$130&lt;&gt;"moeda")*(Inputs!$G$5:$G$130&lt;&gt;"acoes")))*INDEX(Inputs!$K$5:$AJ$130,0,MATCH(J$2,Inputs!$K$4:$AJ$4,0)))+SUMPRODUCT((Inputs!$E$5:$E$130=$B5)*Inputs!$F$5:$F$130*(((Inputs!$G$5:$G$130="moeda")+(Inputs!$G$5:$G$130="acoes"))*Inputs!$B$1+((Inputs!$G$5:$G$130&lt;&gt;"moeda")*(Inputs!$G$5:$G$130&lt;&gt;"acoes")))*INDEX(Inputs!$K$5:$AJ$130,0,MATCH(J$2,Inputs!$K$4:$AJ$4,0)))))</f>
        <v>0</v>
      </c>
      <c r="K5" s="6">
        <f>IF(ISNA(MATCH(K$2,Inputs!$K$4:$AJ$4,0)),NA(),IF(SUMPRODUCT((Inputs!$A$5:$A$130=$B5)*ISNUMBER(INDEX(Inputs!$K$5:$AJ$130,0,MATCH(K$2,Inputs!$K$4:$AJ$4,0))))+SUMPRODUCT((Inputs!$C$5:$C$130=$B5)*ISNUMBER(INDEX(Inputs!$K$5:$AJ$130,0,MATCH(K$2,Inputs!$K$4:$AJ$4,0))))+SUMPRODUCT((Inputs!$E$5:$E$130=$B5)*ISNUMBER(INDEX(Inputs!$K$5:$AJ$130,0,MATCH(K$2,Inputs!$K$4:$AJ$4,0))))=0,NA(),SUMPRODUCT((Inputs!$A$5:$A$130=$B5)*Inputs!$B$5:$B$130*(((Inputs!$G$5:$G$130="moeda")+(Inputs!$G$5:$G$130="acoes"))*Inputs!$B$1+((Inputs!$G$5:$G$130&lt;&gt;"moeda")*(Inputs!$G$5:$G$130&lt;&gt;"acoes")))*INDEX(Inputs!$K$5:$AJ$130,0,MATCH(K$2,Inputs!$K$4:$AJ$4,0)))+SUMPRODUCT((Inputs!$C$5:$C$130=$B5)*Inputs!$D$5:$D$130*(((Inputs!$G$5:$G$130="moeda")+(Inputs!$G$5:$G$130="acoes"))*Inputs!$B$1+((Inputs!$G$5:$G$130&lt;&gt;"moeda")*(Inputs!$G$5:$G$130&lt;&gt;"acoes")))*INDEX(Inputs!$K$5:$AJ$130,0,MATCH(K$2,Inputs!$K$4:$AJ$4,0)))+SUMPRODUCT((Inputs!$E$5:$E$130=$B5)*Inputs!$F$5:$F$130*(((Inputs!$G$5:$G$130="moeda")+(Inputs!$G$5:$G$130="acoes"))*Inputs!$B$1+((Inputs!$G$5:$G$130&lt;&gt;"moeda")*(Inputs!$G$5:$G$130&lt;&gt;"acoes")))*INDEX(Inputs!$K$5:$AJ$130,0,MATCH(K$2,Inputs!$K$4:$AJ$4,0)))))</f>
        <v>0</v>
      </c>
      <c r="L5" s="6">
        <f>IF(ISNA(MATCH(L$2,Inputs!$K$4:$AJ$4,0)),NA(),IF(SUMPRODUCT((Inputs!$A$5:$A$130=$B5)*ISNUMBER(INDEX(Inputs!$K$5:$AJ$130,0,MATCH(L$2,Inputs!$K$4:$AJ$4,0))))+SUMPRODUCT((Inputs!$C$5:$C$130=$B5)*ISNUMBER(INDEX(Inputs!$K$5:$AJ$130,0,MATCH(L$2,Inputs!$K$4:$AJ$4,0))))+SUMPRODUCT((Inputs!$E$5:$E$130=$B5)*ISNUMBER(INDEX(Inputs!$K$5:$AJ$130,0,MATCH(L$2,Inputs!$K$4:$AJ$4,0))))=0,NA(),SUMPRODUCT((Inputs!$A$5:$A$130=$B5)*Inputs!$B$5:$B$130*(((Inputs!$G$5:$G$130="moeda")+(Inputs!$G$5:$G$130="acoes"))*Inputs!$B$1+((Inputs!$G$5:$G$130&lt;&gt;"moeda")*(Inputs!$G$5:$G$130&lt;&gt;"acoes")))*INDEX(Inputs!$K$5:$AJ$130,0,MATCH(L$2,Inputs!$K$4:$AJ$4,0)))+SUMPRODUCT((Inputs!$C$5:$C$130=$B5)*Inputs!$D$5:$D$130*(((Inputs!$G$5:$G$130="moeda")+(Inputs!$G$5:$G$130="acoes"))*Inputs!$B$1+((Inputs!$G$5:$G$130&lt;&gt;"moeda")*(Inputs!$G$5:$G$130&lt;&gt;"acoes")))*INDEX(Inputs!$K$5:$AJ$130,0,MATCH(L$2,Inputs!$K$4:$AJ$4,0)))+SUMPRODUCT((Inputs!$E$5:$E$130=$B5)*Inputs!$F$5:$F$130*(((Inputs!$G$5:$G$130="moeda")+(Inputs!$G$5:$G$130="acoes"))*Inputs!$B$1+((Inputs!$G$5:$G$130&lt;&gt;"moeda")*(Inputs!$G$5:$G$130&lt;&gt;"acoes")))*INDEX(Inputs!$K$5:$AJ$130,0,MATCH(L$2,Inputs!$K$4:$AJ$4,0)))))</f>
        <v>0</v>
      </c>
      <c r="M5" s="3">
        <f>SUM(I5:L5)</f>
        <v>0</v>
      </c>
      <c r="N5" s="6">
        <f>IF(ISNA(MATCH(N$2,Inputs!$K$4:$AJ$4,0)),NA(),IF(SUMPRODUCT((Inputs!$A$5:$A$130=$B5)*ISNUMBER(INDEX(Inputs!$K$5:$AJ$130,0,MATCH(N$2,Inputs!$K$4:$AJ$4,0))))+SUMPRODUCT((Inputs!$C$5:$C$130=$B5)*ISNUMBER(INDEX(Inputs!$K$5:$AJ$130,0,MATCH(N$2,Inputs!$K$4:$AJ$4,0))))+SUMPRODUCT((Inputs!$E$5:$E$130=$B5)*ISNUMBER(INDEX(Inputs!$K$5:$AJ$130,0,MATCH(N$2,Inputs!$K$4:$AJ$4,0))))=0,NA(),SUMPRODUCT((Inputs!$A$5:$A$130=$B5)*Inputs!$B$5:$B$130*(((Inputs!$G$5:$G$130="moeda")+(Inputs!$G$5:$G$130="acoes"))*Inputs!$B$1+((Inputs!$G$5:$G$130&lt;&gt;"moeda")*(Inputs!$G$5:$G$130&lt;&gt;"acoes")))*INDEX(Inputs!$K$5:$AJ$130,0,MATCH(N$2,Inputs!$K$4:$AJ$4,0)))+SUMPRODUCT((Inputs!$C$5:$C$130=$B5)*Inputs!$D$5:$D$130*(((Inputs!$G$5:$G$130="moeda")+(Inputs!$G$5:$G$130="acoes"))*Inputs!$B$1+((Inputs!$G$5:$G$130&lt;&gt;"moeda")*(Inputs!$G$5:$G$130&lt;&gt;"acoes")))*INDEX(Inputs!$K$5:$AJ$130,0,MATCH(N$2,Inputs!$K$4:$AJ$4,0)))+SUMPRODUCT((Inputs!$E$5:$E$130=$B5)*Inputs!$F$5:$F$130*(((Inputs!$G$5:$G$130="moeda")+(Inputs!$G$5:$G$130="acoes"))*Inputs!$B$1+((Inputs!$G$5:$G$130&lt;&gt;"moeda")*(Inputs!$G$5:$G$130&lt;&gt;"acoes")))*INDEX(Inputs!$K$5:$AJ$130,0,MATCH(N$2,Inputs!$K$4:$AJ$4,0)))))</f>
        <v>0</v>
      </c>
      <c r="O5" s="6">
        <f>IF(ISNA(MATCH(O$2,Inputs!$K$4:$AJ$4,0)),NA(),IF(SUMPRODUCT((Inputs!$A$5:$A$130=$B5)*ISNUMBER(INDEX(Inputs!$K$5:$AJ$130,0,MATCH(O$2,Inputs!$K$4:$AJ$4,0))))+SUMPRODUCT((Inputs!$C$5:$C$130=$B5)*ISNUMBER(INDEX(Inputs!$K$5:$AJ$130,0,MATCH(O$2,Inputs!$K$4:$AJ$4,0))))+SUMPRODUCT((Inputs!$E$5:$E$130=$B5)*ISNUMBER(INDEX(Inputs!$K$5:$AJ$130,0,MATCH(O$2,Inputs!$K$4:$AJ$4,0))))=0,NA(),SUMPRODUCT((Inputs!$A$5:$A$130=$B5)*Inputs!$B$5:$B$130*(((Inputs!$G$5:$G$130="moeda")+(Inputs!$G$5:$G$130="acoes"))*Inputs!$B$1+((Inputs!$G$5:$G$130&lt;&gt;"moeda")*(Inputs!$G$5:$G$130&lt;&gt;"acoes")))*INDEX(Inputs!$K$5:$AJ$130,0,MATCH(O$2,Inputs!$K$4:$AJ$4,0)))+SUMPRODUCT((Inputs!$C$5:$C$130=$B5)*Inputs!$D$5:$D$130*(((Inputs!$G$5:$G$130="moeda")+(Inputs!$G$5:$G$130="acoes"))*Inputs!$B$1+((Inputs!$G$5:$G$130&lt;&gt;"moeda")*(Inputs!$G$5:$G$130&lt;&gt;"acoes")))*INDEX(Inputs!$K$5:$AJ$130,0,MATCH(O$2,Inputs!$K$4:$AJ$4,0)))+SUMPRODUCT((Inputs!$E$5:$E$130=$B5)*Inputs!$F$5:$F$130*(((Inputs!$G$5:$G$130="moeda")+(Inputs!$G$5:$G$130="acoes"))*Inputs!$B$1+((Inputs!$G$5:$G$130&lt;&gt;"moeda")*(Inputs!$G$5:$G$130&lt;&gt;"acoes")))*INDEX(Inputs!$K$5:$AJ$130,0,MATCH(O$2,Inputs!$K$4:$AJ$4,0)))))</f>
        <v>0</v>
      </c>
      <c r="P5" s="6">
        <f>IF(ISNA(MATCH(P$2,Inputs!$K$4:$AJ$4,0)),NA(),IF(SUMPRODUCT((Inputs!$A$5:$A$130=$B5)*ISNUMBER(INDEX(Inputs!$K$5:$AJ$130,0,MATCH(P$2,Inputs!$K$4:$AJ$4,0))))+SUMPRODUCT((Inputs!$C$5:$C$130=$B5)*ISNUMBER(INDEX(Inputs!$K$5:$AJ$130,0,MATCH(P$2,Inputs!$K$4:$AJ$4,0))))+SUMPRODUCT((Inputs!$E$5:$E$130=$B5)*ISNUMBER(INDEX(Inputs!$K$5:$AJ$130,0,MATCH(P$2,Inputs!$K$4:$AJ$4,0))))=0,NA(),SUMPRODUCT((Inputs!$A$5:$A$130=$B5)*Inputs!$B$5:$B$130*(((Inputs!$G$5:$G$130="moeda")+(Inputs!$G$5:$G$130="acoes"))*Inputs!$B$1+((Inputs!$G$5:$G$130&lt;&gt;"moeda")*(Inputs!$G$5:$G$130&lt;&gt;"acoes")))*INDEX(Inputs!$K$5:$AJ$130,0,MATCH(P$2,Inputs!$K$4:$AJ$4,0)))+SUMPRODUCT((Inputs!$C$5:$C$130=$B5)*Inputs!$D$5:$D$130*(((Inputs!$G$5:$G$130="moeda")+(Inputs!$G$5:$G$130="acoes"))*Inputs!$B$1+((Inputs!$G$5:$G$130&lt;&gt;"moeda")*(Inputs!$G$5:$G$130&lt;&gt;"acoes")))*INDEX(Inputs!$K$5:$AJ$130,0,MATCH(P$2,Inputs!$K$4:$AJ$4,0)))+SUMPRODUCT((Inputs!$E$5:$E$130=$B5)*Inputs!$F$5:$F$130*(((Inputs!$G$5:$G$130="moeda")+(Inputs!$G$5:$G$130="acoes"))*Inputs!$B$1+((Inputs!$G$5:$G$130&lt;&gt;"moeda")*(Inputs!$G$5:$G$130&lt;&gt;"acoes")))*INDEX(Inputs!$K$5:$AJ$130,0,MATCH(P$2,Inputs!$K$4:$AJ$4,0)))))</f>
        <v>0</v>
      </c>
      <c r="Q5" s="6">
        <f>IF(ISNA(MATCH(Q$2,Inputs!$K$4:$AJ$4,0)),NA(),IF(SUMPRODUCT((Inputs!$A$5:$A$130=$B5)*ISNUMBER(INDEX(Inputs!$K$5:$AJ$130,0,MATCH(Q$2,Inputs!$K$4:$AJ$4,0))))+SUMPRODUCT((Inputs!$C$5:$C$130=$B5)*ISNUMBER(INDEX(Inputs!$K$5:$AJ$130,0,MATCH(Q$2,Inputs!$K$4:$AJ$4,0))))+SUMPRODUCT((Inputs!$E$5:$E$130=$B5)*ISNUMBER(INDEX(Inputs!$K$5:$AJ$130,0,MATCH(Q$2,Inputs!$K$4:$AJ$4,0))))=0,NA(),SUMPRODUCT((Inputs!$A$5:$A$130=$B5)*Inputs!$B$5:$B$130*(((Inputs!$G$5:$G$130="moeda")+(Inputs!$G$5:$G$130="acoes"))*Inputs!$B$1+((Inputs!$G$5:$G$130&lt;&gt;"moeda")*(Inputs!$G$5:$G$130&lt;&gt;"acoes")))*INDEX(Inputs!$K$5:$AJ$130,0,MATCH(Q$2,Inputs!$K$4:$AJ$4,0)))+SUMPRODUCT((Inputs!$C$5:$C$130=$B5)*Inputs!$D$5:$D$130*(((Inputs!$G$5:$G$130="moeda")+(Inputs!$G$5:$G$130="acoes"))*Inputs!$B$1+((Inputs!$G$5:$G$130&lt;&gt;"moeda")*(Inputs!$G$5:$G$130&lt;&gt;"acoes")))*INDEX(Inputs!$K$5:$AJ$130,0,MATCH(Q$2,Inputs!$K$4:$AJ$4,0)))+SUMPRODUCT((Inputs!$E$5:$E$130=$B5)*Inputs!$F$5:$F$130*(((Inputs!$G$5:$G$130="moeda")+(Inputs!$G$5:$G$130="acoes"))*Inputs!$B$1+((Inputs!$G$5:$G$130&lt;&gt;"moeda")*(Inputs!$G$5:$G$130&lt;&gt;"acoes")))*INDEX(Inputs!$K$5:$AJ$130,0,MATCH(Q$2,Inputs!$K$4:$AJ$4,0)))))</f>
        <v>0</v>
      </c>
      <c r="R5" s="3">
        <f>SUM(N5:Q5)</f>
        <v>0</v>
      </c>
      <c r="S5" s="6">
        <f>IF(ISNA(MATCH(S$2,Inputs!$K$4:$AJ$4,0)),NA(),IF(SUMPRODUCT((Inputs!$A$5:$A$130=$B5)*ISNUMBER(INDEX(Inputs!$K$5:$AJ$130,0,MATCH(S$2,Inputs!$K$4:$AJ$4,0))))+SUMPRODUCT((Inputs!$C$5:$C$130=$B5)*ISNUMBER(INDEX(Inputs!$K$5:$AJ$130,0,MATCH(S$2,Inputs!$K$4:$AJ$4,0))))+SUMPRODUCT((Inputs!$E$5:$E$130=$B5)*ISNUMBER(INDEX(Inputs!$K$5:$AJ$130,0,MATCH(S$2,Inputs!$K$4:$AJ$4,0))))=0,NA(),SUMPRODUCT((Inputs!$A$5:$A$130=$B5)*Inputs!$B$5:$B$130*(((Inputs!$G$5:$G$130="moeda")+(Inputs!$G$5:$G$130="acoes"))*Inputs!$B$1+((Inputs!$G$5:$G$130&lt;&gt;"moeda")*(Inputs!$G$5:$G$130&lt;&gt;"acoes")))*INDEX(Inputs!$K$5:$AJ$130,0,MATCH(S$2,Inputs!$K$4:$AJ$4,0)))+SUMPRODUCT((Inputs!$C$5:$C$130=$B5)*Inputs!$D$5:$D$130*(((Inputs!$G$5:$G$130="moeda")+(Inputs!$G$5:$G$130="acoes"))*Inputs!$B$1+((Inputs!$G$5:$G$130&lt;&gt;"moeda")*(Inputs!$G$5:$G$130&lt;&gt;"acoes")))*INDEX(Inputs!$K$5:$AJ$130,0,MATCH(S$2,Inputs!$K$4:$AJ$4,0)))+SUMPRODUCT((Inputs!$E$5:$E$130=$B5)*Inputs!$F$5:$F$130*(((Inputs!$G$5:$G$130="moeda")+(Inputs!$G$5:$G$130="acoes"))*Inputs!$B$1+((Inputs!$G$5:$G$130&lt;&gt;"moeda")*(Inputs!$G$5:$G$130&lt;&gt;"acoes")))*INDEX(Inputs!$K$5:$AJ$130,0,MATCH(S$2,Inputs!$K$4:$AJ$4,0)))))</f>
        <v>0</v>
      </c>
      <c r="T5" s="6">
        <f>IF(ISNA(MATCH(T$2,Inputs!$K$4:$AJ$4,0)),NA(),IF(SUMPRODUCT((Inputs!$A$5:$A$130=$B5)*ISNUMBER(INDEX(Inputs!$K$5:$AJ$130,0,MATCH(T$2,Inputs!$K$4:$AJ$4,0))))+SUMPRODUCT((Inputs!$C$5:$C$130=$B5)*ISNUMBER(INDEX(Inputs!$K$5:$AJ$130,0,MATCH(T$2,Inputs!$K$4:$AJ$4,0))))+SUMPRODUCT((Inputs!$E$5:$E$130=$B5)*ISNUMBER(INDEX(Inputs!$K$5:$AJ$130,0,MATCH(T$2,Inputs!$K$4:$AJ$4,0))))=0,NA(),SUMPRODUCT((Inputs!$A$5:$A$130=$B5)*Inputs!$B$5:$B$130*(((Inputs!$G$5:$G$130="moeda")+(Inputs!$G$5:$G$130="acoes"))*Inputs!$B$1+((Inputs!$G$5:$G$130&lt;&gt;"moeda")*(Inputs!$G$5:$G$130&lt;&gt;"acoes")))*INDEX(Inputs!$K$5:$AJ$130,0,MATCH(T$2,Inputs!$K$4:$AJ$4,0)))+SUMPRODUCT((Inputs!$C$5:$C$130=$B5)*Inputs!$D$5:$D$130*(((Inputs!$G$5:$G$130="moeda")+(Inputs!$G$5:$G$130="acoes"))*Inputs!$B$1+((Inputs!$G$5:$G$130&lt;&gt;"moeda")*(Inputs!$G$5:$G$130&lt;&gt;"acoes")))*INDEX(Inputs!$K$5:$AJ$130,0,MATCH(T$2,Inputs!$K$4:$AJ$4,0)))+SUMPRODUCT((Inputs!$E$5:$E$130=$B5)*Inputs!$F$5:$F$130*(((Inputs!$G$5:$G$130="moeda")+(Inputs!$G$5:$G$130="acoes"))*Inputs!$B$1+((Inputs!$G$5:$G$130&lt;&gt;"moeda")*(Inputs!$G$5:$G$130&lt;&gt;"acoes")))*INDEX(Inputs!$K$5:$AJ$130,0,MATCH(T$2,Inputs!$K$4:$AJ$4,0)))))</f>
        <v>0</v>
      </c>
      <c r="U5" s="6">
        <f>IF(ISNA(MATCH(U$2,Inputs!$K$4:$AJ$4,0)),NA(),IF(SUMPRODUCT((Inputs!$A$5:$A$130=$B5)*ISNUMBER(INDEX(Inputs!$K$5:$AJ$130,0,MATCH(U$2,Inputs!$K$4:$AJ$4,0))))+SUMPRODUCT((Inputs!$C$5:$C$130=$B5)*ISNUMBER(INDEX(Inputs!$K$5:$AJ$130,0,MATCH(U$2,Inputs!$K$4:$AJ$4,0))))+SUMPRODUCT((Inputs!$E$5:$E$130=$B5)*ISNUMBER(INDEX(Inputs!$K$5:$AJ$130,0,MATCH(U$2,Inputs!$K$4:$AJ$4,0))))=0,NA(),SUMPRODUCT((Inputs!$A$5:$A$130=$B5)*Inputs!$B$5:$B$130*(((Inputs!$G$5:$G$130="moeda")+(Inputs!$G$5:$G$130="acoes"))*Inputs!$B$1+((Inputs!$G$5:$G$130&lt;&gt;"moeda")*(Inputs!$G$5:$G$130&lt;&gt;"acoes")))*INDEX(Inputs!$K$5:$AJ$130,0,MATCH(U$2,Inputs!$K$4:$AJ$4,0)))+SUMPRODUCT((Inputs!$C$5:$C$130=$B5)*Inputs!$D$5:$D$130*(((Inputs!$G$5:$G$130="moeda")+(Inputs!$G$5:$G$130="acoes"))*Inputs!$B$1+((Inputs!$G$5:$G$130&lt;&gt;"moeda")*(Inputs!$G$5:$G$130&lt;&gt;"acoes")))*INDEX(Inputs!$K$5:$AJ$130,0,MATCH(U$2,Inputs!$K$4:$AJ$4,0)))+SUMPRODUCT((Inputs!$E$5:$E$130=$B5)*Inputs!$F$5:$F$130*(((Inputs!$G$5:$G$130="moeda")+(Inputs!$G$5:$G$130="acoes"))*Inputs!$B$1+((Inputs!$G$5:$G$130&lt;&gt;"moeda")*(Inputs!$G$5:$G$130&lt;&gt;"acoes")))*INDEX(Inputs!$K$5:$AJ$130,0,MATCH(U$2,Inputs!$K$4:$AJ$4,0)))))</f>
        <v>0</v>
      </c>
      <c r="V5" s="6">
        <f>IF(ISNA(MATCH(V$2,Inputs!$K$4:$AJ$4,0)),NA(),IF(SUMPRODUCT((Inputs!$A$5:$A$130=$B5)*ISNUMBER(INDEX(Inputs!$K$5:$AJ$130,0,MATCH(V$2,Inputs!$K$4:$AJ$4,0))))+SUMPRODUCT((Inputs!$C$5:$C$130=$B5)*ISNUMBER(INDEX(Inputs!$K$5:$AJ$130,0,MATCH(V$2,Inputs!$K$4:$AJ$4,0))))+SUMPRODUCT((Inputs!$E$5:$E$130=$B5)*ISNUMBER(INDEX(Inputs!$K$5:$AJ$130,0,MATCH(V$2,Inputs!$K$4:$AJ$4,0))))=0,NA(),SUMPRODUCT((Inputs!$A$5:$A$130=$B5)*Inputs!$B$5:$B$130*(((Inputs!$G$5:$G$130="moeda")+(Inputs!$G$5:$G$130="acoes"))*Inputs!$B$1+((Inputs!$G$5:$G$130&lt;&gt;"moeda")*(Inputs!$G$5:$G$130&lt;&gt;"acoes")))*INDEX(Inputs!$K$5:$AJ$130,0,MATCH(V$2,Inputs!$K$4:$AJ$4,0)))+SUMPRODUCT((Inputs!$C$5:$C$130=$B5)*Inputs!$D$5:$D$130*(((Inputs!$G$5:$G$130="moeda")+(Inputs!$G$5:$G$130="acoes"))*Inputs!$B$1+((Inputs!$G$5:$G$130&lt;&gt;"moeda")*(Inputs!$G$5:$G$130&lt;&gt;"acoes")))*INDEX(Inputs!$K$5:$AJ$130,0,MATCH(V$2,Inputs!$K$4:$AJ$4,0)))+SUMPRODUCT((Inputs!$E$5:$E$130=$B5)*Inputs!$F$5:$F$130*(((Inputs!$G$5:$G$130="moeda")+(Inputs!$G$5:$G$130="acoes"))*Inputs!$B$1+((Inputs!$G$5:$G$130&lt;&gt;"moeda")*(Inputs!$G$5:$G$130&lt;&gt;"acoes")))*INDEX(Inputs!$K$5:$AJ$130,0,MATCH(V$2,Inputs!$K$4:$AJ$4,0)))))</f>
        <v>0</v>
      </c>
      <c r="W5" s="3">
        <f>SUM(S5:V5)</f>
        <v>0</v>
      </c>
      <c r="X5" s="6">
        <f>IF(ISNA(MATCH(X$2,Inputs!$K$4:$AJ$4,0)),NA(),IF(SUMPRODUCT((Inputs!$A$5:$A$130=$B5)*ISNUMBER(INDEX(Inputs!$K$5:$AJ$130,0,MATCH(X$2,Inputs!$K$4:$AJ$4,0))))+SUMPRODUCT((Inputs!$C$5:$C$130=$B5)*ISNUMBER(INDEX(Inputs!$K$5:$AJ$130,0,MATCH(X$2,Inputs!$K$4:$AJ$4,0))))+SUMPRODUCT((Inputs!$E$5:$E$130=$B5)*ISNUMBER(INDEX(Inputs!$K$5:$AJ$130,0,MATCH(X$2,Inputs!$K$4:$AJ$4,0))))=0,NA(),SUMPRODUCT((Inputs!$A$5:$A$130=$B5)*Inputs!$B$5:$B$130*(((Inputs!$G$5:$G$130="moeda")+(Inputs!$G$5:$G$130="acoes"))*Inputs!$B$1+((Inputs!$G$5:$G$130&lt;&gt;"moeda")*(Inputs!$G$5:$G$130&lt;&gt;"acoes")))*INDEX(Inputs!$K$5:$AJ$130,0,MATCH(X$2,Inputs!$K$4:$AJ$4,0)))+SUMPRODUCT((Inputs!$C$5:$C$130=$B5)*Inputs!$D$5:$D$130*(((Inputs!$G$5:$G$130="moeda")+(Inputs!$G$5:$G$130="acoes"))*Inputs!$B$1+((Inputs!$G$5:$G$130&lt;&gt;"moeda")*(Inputs!$G$5:$G$130&lt;&gt;"acoes")))*INDEX(Inputs!$K$5:$AJ$130,0,MATCH(X$2,Inputs!$K$4:$AJ$4,0)))+SUMPRODUCT((Inputs!$E$5:$E$130=$B5)*Inputs!$F$5:$F$130*(((Inputs!$G$5:$G$130="moeda")+(Inputs!$G$5:$G$130="acoes"))*Inputs!$B$1+((Inputs!$G$5:$G$130&lt;&gt;"moeda")*(Inputs!$G$5:$G$130&lt;&gt;"acoes")))*INDEX(Inputs!$K$5:$AJ$130,0,MATCH(X$2,Inputs!$K$4:$AJ$4,0)))))</f>
        <v>0</v>
      </c>
      <c r="Y5" s="6">
        <f>IF(ISNA(MATCH(Y$2,Inputs!$K$4:$AJ$4,0)),NA(),IF(SUMPRODUCT((Inputs!$A$5:$A$130=$B5)*ISNUMBER(INDEX(Inputs!$K$5:$AJ$130,0,MATCH(Y$2,Inputs!$K$4:$AJ$4,0))))+SUMPRODUCT((Inputs!$C$5:$C$130=$B5)*ISNUMBER(INDEX(Inputs!$K$5:$AJ$130,0,MATCH(Y$2,Inputs!$K$4:$AJ$4,0))))+SUMPRODUCT((Inputs!$E$5:$E$130=$B5)*ISNUMBER(INDEX(Inputs!$K$5:$AJ$130,0,MATCH(Y$2,Inputs!$K$4:$AJ$4,0))))=0,NA(),SUMPRODUCT((Inputs!$A$5:$A$130=$B5)*Inputs!$B$5:$B$130*(((Inputs!$G$5:$G$130="moeda")+(Inputs!$G$5:$G$130="acoes"))*Inputs!$B$1+((Inputs!$G$5:$G$130&lt;&gt;"moeda")*(Inputs!$G$5:$G$130&lt;&gt;"acoes")))*INDEX(Inputs!$K$5:$AJ$130,0,MATCH(Y$2,Inputs!$K$4:$AJ$4,0)))+SUMPRODUCT((Inputs!$C$5:$C$130=$B5)*Inputs!$D$5:$D$130*(((Inputs!$G$5:$G$130="moeda")+(Inputs!$G$5:$G$130="acoes"))*Inputs!$B$1+((Inputs!$G$5:$G$130&lt;&gt;"moeda")*(Inputs!$G$5:$G$130&lt;&gt;"acoes")))*INDEX(Inputs!$K$5:$AJ$130,0,MATCH(Y$2,Inputs!$K$4:$AJ$4,0)))+SUMPRODUCT((Inputs!$E$5:$E$130=$B5)*Inputs!$F$5:$F$130*(((Inputs!$G$5:$G$130="moeda")+(Inputs!$G$5:$G$130="acoes"))*Inputs!$B$1+((Inputs!$G$5:$G$130&lt;&gt;"moeda")*(Inputs!$G$5:$G$130&lt;&gt;"acoes")))*INDEX(Inputs!$K$5:$AJ$130,0,MATCH(Y$2,Inputs!$K$4:$AJ$4,0)))))</f>
        <v>0</v>
      </c>
      <c r="Z5" s="6">
        <f>IF(ISNA(MATCH(Z$2,Inputs!$K$4:$AJ$4,0)),NA(),IF(SUMPRODUCT((Inputs!$A$5:$A$130=$B5)*ISNUMBER(INDEX(Inputs!$K$5:$AJ$130,0,MATCH(Z$2,Inputs!$K$4:$AJ$4,0))))+SUMPRODUCT((Inputs!$C$5:$C$130=$B5)*ISNUMBER(INDEX(Inputs!$K$5:$AJ$130,0,MATCH(Z$2,Inputs!$K$4:$AJ$4,0))))+SUMPRODUCT((Inputs!$E$5:$E$130=$B5)*ISNUMBER(INDEX(Inputs!$K$5:$AJ$130,0,MATCH(Z$2,Inputs!$K$4:$AJ$4,0))))=0,NA(),SUMPRODUCT((Inputs!$A$5:$A$130=$B5)*Inputs!$B$5:$B$130*(((Inputs!$G$5:$G$130="moeda")+(Inputs!$G$5:$G$130="acoes"))*Inputs!$B$1+((Inputs!$G$5:$G$130&lt;&gt;"moeda")*(Inputs!$G$5:$G$130&lt;&gt;"acoes")))*INDEX(Inputs!$K$5:$AJ$130,0,MATCH(Z$2,Inputs!$K$4:$AJ$4,0)))+SUMPRODUCT((Inputs!$C$5:$C$130=$B5)*Inputs!$D$5:$D$130*(((Inputs!$G$5:$G$130="moeda")+(Inputs!$G$5:$G$130="acoes"))*Inputs!$B$1+((Inputs!$G$5:$G$130&lt;&gt;"moeda")*(Inputs!$G$5:$G$130&lt;&gt;"acoes")))*INDEX(Inputs!$K$5:$AJ$130,0,MATCH(Z$2,Inputs!$K$4:$AJ$4,0)))+SUMPRODUCT((Inputs!$E$5:$E$130=$B5)*Inputs!$F$5:$F$130*(((Inputs!$G$5:$G$130="moeda")+(Inputs!$G$5:$G$130="acoes"))*Inputs!$B$1+((Inputs!$G$5:$G$130&lt;&gt;"moeda")*(Inputs!$G$5:$G$130&lt;&gt;"acoes")))*INDEX(Inputs!$K$5:$AJ$130,0,MATCH(Z$2,Inputs!$K$4:$AJ$4,0)))))</f>
        <v>0</v>
      </c>
      <c r="AA5" s="6">
        <f>IF(ISNA(MATCH(AA$2,Inputs!$K$4:$AJ$4,0)),NA(),IF(SUMPRODUCT((Inputs!$A$5:$A$130=$B5)*ISNUMBER(INDEX(Inputs!$K$5:$AJ$130,0,MATCH(AA$2,Inputs!$K$4:$AJ$4,0))))+SUMPRODUCT((Inputs!$C$5:$C$130=$B5)*ISNUMBER(INDEX(Inputs!$K$5:$AJ$130,0,MATCH(AA$2,Inputs!$K$4:$AJ$4,0))))+SUMPRODUCT((Inputs!$E$5:$E$130=$B5)*ISNUMBER(INDEX(Inputs!$K$5:$AJ$130,0,MATCH(AA$2,Inputs!$K$4:$AJ$4,0))))=0,NA(),SUMPRODUCT((Inputs!$A$5:$A$130=$B5)*Inputs!$B$5:$B$130*(((Inputs!$G$5:$G$130="moeda")+(Inputs!$G$5:$G$130="acoes"))*Inputs!$B$1+((Inputs!$G$5:$G$130&lt;&gt;"moeda")*(Inputs!$G$5:$G$130&lt;&gt;"acoes")))*INDEX(Inputs!$K$5:$AJ$130,0,MATCH(AA$2,Inputs!$K$4:$AJ$4,0)))+SUMPRODUCT((Inputs!$C$5:$C$130=$B5)*Inputs!$D$5:$D$130*(((Inputs!$G$5:$G$130="moeda")+(Inputs!$G$5:$G$130="acoes"))*Inputs!$B$1+((Inputs!$G$5:$G$130&lt;&gt;"moeda")*(Inputs!$G$5:$G$130&lt;&gt;"acoes")))*INDEX(Inputs!$K$5:$AJ$130,0,MATCH(AA$2,Inputs!$K$4:$AJ$4,0)))+SUMPRODUCT((Inputs!$E$5:$E$130=$B5)*Inputs!$F$5:$F$130*(((Inputs!$G$5:$G$130="moeda")+(Inputs!$G$5:$G$130="acoes"))*Inputs!$B$1+((Inputs!$G$5:$G$130&lt;&gt;"moeda")*(Inputs!$G$5:$G$130&lt;&gt;"acoes")))*INDEX(Inputs!$K$5:$AJ$130,0,MATCH(AA$2,Inputs!$K$4:$AJ$4,0)))))</f>
        <v>0</v>
      </c>
      <c r="AB5" s="3">
        <f>SUM(X5:AA5)</f>
        <v>0</v>
      </c>
      <c r="AC5" s="6">
        <f>IF(ISNA(MATCH(AC$2,Inputs!$K$4:$AJ$4,0)),NA(),IF(SUMPRODUCT((Inputs!$A$5:$A$130=$B5)*ISNUMBER(INDEX(Inputs!$K$5:$AJ$130,0,MATCH(AC$2,Inputs!$K$4:$AJ$4,0))))+SUMPRODUCT((Inputs!$C$5:$C$130=$B5)*ISNUMBER(INDEX(Inputs!$K$5:$AJ$130,0,MATCH(AC$2,Inputs!$K$4:$AJ$4,0))))+SUMPRODUCT((Inputs!$E$5:$E$130=$B5)*ISNUMBER(INDEX(Inputs!$K$5:$AJ$130,0,MATCH(AC$2,Inputs!$K$4:$AJ$4,0))))=0,NA(),SUMPRODUCT((Inputs!$A$5:$A$130=$B5)*Inputs!$B$5:$B$130*(((Inputs!$G$5:$G$130="moeda")+(Inputs!$G$5:$G$130="acoes"))*Inputs!$B$1+((Inputs!$G$5:$G$130&lt;&gt;"moeda")*(Inputs!$G$5:$G$130&lt;&gt;"acoes")))*INDEX(Inputs!$K$5:$AJ$130,0,MATCH(AC$2,Inputs!$K$4:$AJ$4,0)))+SUMPRODUCT((Inputs!$C$5:$C$130=$B5)*Inputs!$D$5:$D$130*(((Inputs!$G$5:$G$130="moeda")+(Inputs!$G$5:$G$130="acoes"))*Inputs!$B$1+((Inputs!$G$5:$G$130&lt;&gt;"moeda")*(Inputs!$G$5:$G$130&lt;&gt;"acoes")))*INDEX(Inputs!$K$5:$AJ$130,0,MATCH(AC$2,Inputs!$K$4:$AJ$4,0)))+SUMPRODUCT((Inputs!$E$5:$E$130=$B5)*Inputs!$F$5:$F$130*(((Inputs!$G$5:$G$130="moeda")+(Inputs!$G$5:$G$130="acoes"))*Inputs!$B$1+((Inputs!$G$5:$G$130&lt;&gt;"moeda")*(Inputs!$G$5:$G$130&lt;&gt;"acoes")))*INDEX(Inputs!$K$5:$AJ$130,0,MATCH(AC$2,Inputs!$K$4:$AJ$4,0)))))</f>
        <v>0</v>
      </c>
      <c r="AD5" s="6">
        <f>IF(ISNA(MATCH(AD$2,Inputs!$K$4:$AJ$4,0)),NA(),IF(SUMPRODUCT((Inputs!$A$5:$A$130=$B5)*ISNUMBER(INDEX(Inputs!$K$5:$AJ$130,0,MATCH(AD$2,Inputs!$K$4:$AJ$4,0))))+SUMPRODUCT((Inputs!$C$5:$C$130=$B5)*ISNUMBER(INDEX(Inputs!$K$5:$AJ$130,0,MATCH(AD$2,Inputs!$K$4:$AJ$4,0))))+SUMPRODUCT((Inputs!$E$5:$E$130=$B5)*ISNUMBER(INDEX(Inputs!$K$5:$AJ$130,0,MATCH(AD$2,Inputs!$K$4:$AJ$4,0))))=0,NA(),SUMPRODUCT((Inputs!$A$5:$A$130=$B5)*Inputs!$B$5:$B$130*(((Inputs!$G$5:$G$130="moeda")+(Inputs!$G$5:$G$130="acoes"))*Inputs!$B$1+((Inputs!$G$5:$G$130&lt;&gt;"moeda")*(Inputs!$G$5:$G$130&lt;&gt;"acoes")))*INDEX(Inputs!$K$5:$AJ$130,0,MATCH(AD$2,Inputs!$K$4:$AJ$4,0)))+SUMPRODUCT((Inputs!$C$5:$C$130=$B5)*Inputs!$D$5:$D$130*(((Inputs!$G$5:$G$130="moeda")+(Inputs!$G$5:$G$130="acoes"))*Inputs!$B$1+((Inputs!$G$5:$G$130&lt;&gt;"moeda")*(Inputs!$G$5:$G$130&lt;&gt;"acoes")))*INDEX(Inputs!$K$5:$AJ$130,0,MATCH(AD$2,Inputs!$K$4:$AJ$4,0)))+SUMPRODUCT((Inputs!$E$5:$E$130=$B5)*Inputs!$F$5:$F$130*(((Inputs!$G$5:$G$130="moeda")+(Inputs!$G$5:$G$130="acoes"))*Inputs!$B$1+((Inputs!$G$5:$G$130&lt;&gt;"moeda")*(Inputs!$G$5:$G$130&lt;&gt;"acoes")))*INDEX(Inputs!$K$5:$AJ$130,0,MATCH(AD$2,Inputs!$K$4:$AJ$4,0)))))</f>
        <v>0</v>
      </c>
      <c r="AE5" s="6" t="e">
        <f>IF(ISNA(MATCH(AE$2,Inputs!$K$4:$AJ$4,0)),NA(),IF(SUMPRODUCT((Inputs!$A$5:$A$130=$B5)*ISNUMBER(INDEX(Inputs!$K$5:$AJ$130,0,MATCH(AE$2,Inputs!$K$4:$AJ$4,0))))+SUMPRODUCT((Inputs!$C$5:$C$130=$B5)*ISNUMBER(INDEX(Inputs!$K$5:$AJ$130,0,MATCH(AE$2,Inputs!$K$4:$AJ$4,0))))+SUMPRODUCT((Inputs!$E$5:$E$130=$B5)*ISNUMBER(INDEX(Inputs!$K$5:$AJ$130,0,MATCH(AE$2,Inputs!$K$4:$AJ$4,0))))=0,NA(),SUMPRODUCT((Inputs!$A$5:$A$130=$B5)*Inputs!$B$5:$B$130*(((Inputs!$G$5:$G$130="moeda")+(Inputs!$G$5:$G$130="acoes"))*Inputs!$B$1+((Inputs!$G$5:$G$130&lt;&gt;"moeda")*(Inputs!$G$5:$G$130&lt;&gt;"acoes")))*INDEX(Inputs!$K$5:$AJ$130,0,MATCH(AE$2,Inputs!$K$4:$AJ$4,0)))+SUMPRODUCT((Inputs!$C$5:$C$130=$B5)*Inputs!$D$5:$D$130*(((Inputs!$G$5:$G$130="moeda")+(Inputs!$G$5:$G$130="acoes"))*Inputs!$B$1+((Inputs!$G$5:$G$130&lt;&gt;"moeda")*(Inputs!$G$5:$G$130&lt;&gt;"acoes")))*INDEX(Inputs!$K$5:$AJ$130,0,MATCH(AE$2,Inputs!$K$4:$AJ$4,0)))+SUMPRODUCT((Inputs!$E$5:$E$130=$B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" s="6" t="e">
        <f>IF(ISNA(MATCH(AF$2,Inputs!$K$4:$AJ$4,0)),NA(),IF(SUMPRODUCT((Inputs!$A$5:$A$130=$B5)*ISNUMBER(INDEX(Inputs!$K$5:$AJ$130,0,MATCH(AF$2,Inputs!$K$4:$AJ$4,0))))+SUMPRODUCT((Inputs!$C$5:$C$130=$B5)*ISNUMBER(INDEX(Inputs!$K$5:$AJ$130,0,MATCH(AF$2,Inputs!$K$4:$AJ$4,0))))+SUMPRODUCT((Inputs!$E$5:$E$130=$B5)*ISNUMBER(INDEX(Inputs!$K$5:$AJ$130,0,MATCH(AF$2,Inputs!$K$4:$AJ$4,0))))=0,NA(),SUMPRODUCT((Inputs!$A$5:$A$130=$B5)*Inputs!$B$5:$B$130*(((Inputs!$G$5:$G$130="moeda")+(Inputs!$G$5:$G$130="acoes"))*Inputs!$B$1+((Inputs!$G$5:$G$130&lt;&gt;"moeda")*(Inputs!$G$5:$G$130&lt;&gt;"acoes")))*INDEX(Inputs!$K$5:$AJ$130,0,MATCH(AF$2,Inputs!$K$4:$AJ$4,0)))+SUMPRODUCT((Inputs!$C$5:$C$130=$B5)*Inputs!$D$5:$D$130*(((Inputs!$G$5:$G$130="moeda")+(Inputs!$G$5:$G$130="acoes"))*Inputs!$B$1+((Inputs!$G$5:$G$130&lt;&gt;"moeda")*(Inputs!$G$5:$G$130&lt;&gt;"acoes")))*INDEX(Inputs!$K$5:$AJ$130,0,MATCH(AF$2,Inputs!$K$4:$AJ$4,0)))+SUMPRODUCT((Inputs!$E$5:$E$130=$B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" s="3" t="e">
        <f>SUM(AC5:AF5)</f>
        <v>#N/A</v>
      </c>
      <c r="AH5" s="6">
        <f>IF(ISNA(MATCH(AH$2,Inputs!$K$4:$AJ$4,0)),NA(),IF(SUMPRODUCT((Inputs!$A$5:$A$130=$B5)*ISNUMBER(INDEX(Inputs!$K$5:$AJ$130,0,MATCH(AH$2,Inputs!$K$4:$AJ$4,0))))+SUMPRODUCT((Inputs!$C$5:$C$130=$B5)*ISNUMBER(INDEX(Inputs!$K$5:$AJ$130,0,MATCH(AH$2,Inputs!$K$4:$AJ$4,0))))+SUMPRODUCT((Inputs!$E$5:$E$130=$B5)*ISNUMBER(INDEX(Inputs!$K$5:$AJ$130,0,MATCH(AH$2,Inputs!$K$4:$AJ$4,0))))=0,NA(),SUMPRODUCT((Inputs!$A$5:$A$130=$B5)*Inputs!$B$5:$B$130*(((Inputs!$G$5:$G$130="moeda")+(Inputs!$G$5:$G$130="acoes"))*Inputs!$B$1+((Inputs!$G$5:$G$130&lt;&gt;"moeda")*(Inputs!$G$5:$G$130&lt;&gt;"acoes")))*INDEX(Inputs!$K$5:$AJ$130,0,MATCH(AH$2,Inputs!$K$4:$AJ$4,0)))+SUMPRODUCT((Inputs!$C$5:$C$130=$B5)*Inputs!$D$5:$D$130*(((Inputs!$G$5:$G$130="moeda")+(Inputs!$G$5:$G$130="acoes"))*Inputs!$B$1+((Inputs!$G$5:$G$130&lt;&gt;"moeda")*(Inputs!$G$5:$G$130&lt;&gt;"acoes")))*INDEX(Inputs!$K$5:$AJ$130,0,MATCH(AH$2,Inputs!$K$4:$AJ$4,0)))+SUMPRODUCT((Inputs!$E$5:$E$130=$B5)*Inputs!$F$5:$F$130*(((Inputs!$G$5:$G$130="moeda")+(Inputs!$G$5:$G$130="acoes"))*Inputs!$B$1+((Inputs!$G$5:$G$130&lt;&gt;"moeda")*(Inputs!$G$5:$G$130&lt;&gt;"acoes")))*INDEX(Inputs!$K$5:$AJ$130,0,MATCH(AH$2,Inputs!$K$4:$AJ$4,0)))))</f>
        <v>0</v>
      </c>
      <c r="AI5" s="6">
        <f>IF(ISNA(MATCH(AI$2,Inputs!$K$4:$AJ$4,0)),NA(),IF(SUMPRODUCT((Inputs!$A$5:$A$130=$B5)*ISNUMBER(INDEX(Inputs!$K$5:$AJ$130,0,MATCH(AI$2,Inputs!$K$4:$AJ$4,0))))+SUMPRODUCT((Inputs!$C$5:$C$130=$B5)*ISNUMBER(INDEX(Inputs!$K$5:$AJ$130,0,MATCH(AI$2,Inputs!$K$4:$AJ$4,0))))+SUMPRODUCT((Inputs!$E$5:$E$130=$B5)*ISNUMBER(INDEX(Inputs!$K$5:$AJ$130,0,MATCH(AI$2,Inputs!$K$4:$AJ$4,0))))=0,NA(),SUMPRODUCT((Inputs!$A$5:$A$130=$B5)*Inputs!$B$5:$B$130*(((Inputs!$G$5:$G$130="moeda")+(Inputs!$G$5:$G$130="acoes"))*Inputs!$B$1+((Inputs!$G$5:$G$130&lt;&gt;"moeda")*(Inputs!$G$5:$G$130&lt;&gt;"acoes")))*INDEX(Inputs!$K$5:$AJ$130,0,MATCH(AI$2,Inputs!$K$4:$AJ$4,0)))+SUMPRODUCT((Inputs!$C$5:$C$130=$B5)*Inputs!$D$5:$D$130*(((Inputs!$G$5:$G$130="moeda")+(Inputs!$G$5:$G$130="acoes"))*Inputs!$B$1+((Inputs!$G$5:$G$130&lt;&gt;"moeda")*(Inputs!$G$5:$G$130&lt;&gt;"acoes")))*INDEX(Inputs!$K$5:$AJ$130,0,MATCH(AI$2,Inputs!$K$4:$AJ$4,0)))+SUMPRODUCT((Inputs!$E$5:$E$130=$B5)*Inputs!$F$5:$F$130*(((Inputs!$G$5:$G$130="moeda")+(Inputs!$G$5:$G$130="acoes"))*Inputs!$B$1+((Inputs!$G$5:$G$130&lt;&gt;"moeda")*(Inputs!$G$5:$G$130&lt;&gt;"acoes")))*INDEX(Inputs!$K$5:$AJ$130,0,MATCH(AI$2,Inputs!$K$4:$AJ$4,0)))))</f>
        <v>0</v>
      </c>
      <c r="AJ5" s="6">
        <f>IF(ISNA(MATCH(AJ$2,Inputs!$K$4:$AJ$4,0)),NA(),IF(SUMPRODUCT((Inputs!$A$5:$A$130=$B5)*ISNUMBER(INDEX(Inputs!$K$5:$AJ$130,0,MATCH(AJ$2,Inputs!$K$4:$AJ$4,0))))+SUMPRODUCT((Inputs!$C$5:$C$130=$B5)*ISNUMBER(INDEX(Inputs!$K$5:$AJ$130,0,MATCH(AJ$2,Inputs!$K$4:$AJ$4,0))))+SUMPRODUCT((Inputs!$E$5:$E$130=$B5)*ISNUMBER(INDEX(Inputs!$K$5:$AJ$130,0,MATCH(AJ$2,Inputs!$K$4:$AJ$4,0))))=0,NA(),SUMPRODUCT((Inputs!$A$5:$A$130=$B5)*Inputs!$B$5:$B$130*(((Inputs!$G$5:$G$130="moeda")+(Inputs!$G$5:$G$130="acoes"))*Inputs!$B$1+((Inputs!$G$5:$G$130&lt;&gt;"moeda")*(Inputs!$G$5:$G$130&lt;&gt;"acoes")))*INDEX(Inputs!$K$5:$AJ$130,0,MATCH(AJ$2,Inputs!$K$4:$AJ$4,0)))+SUMPRODUCT((Inputs!$C$5:$C$130=$B5)*Inputs!$D$5:$D$130*(((Inputs!$G$5:$G$130="moeda")+(Inputs!$G$5:$G$130="acoes"))*Inputs!$B$1+((Inputs!$G$5:$G$130&lt;&gt;"moeda")*(Inputs!$G$5:$G$130&lt;&gt;"acoes")))*INDEX(Inputs!$K$5:$AJ$130,0,MATCH(AJ$2,Inputs!$K$4:$AJ$4,0)))+SUMPRODUCT((Inputs!$E$5:$E$130=$B5)*Inputs!$F$5:$F$130*(((Inputs!$G$5:$G$130="moeda")+(Inputs!$G$5:$G$130="acoes"))*Inputs!$B$1+((Inputs!$G$5:$G$130&lt;&gt;"moeda")*(Inputs!$G$5:$G$130&lt;&gt;"acoes")))*INDEX(Inputs!$K$5:$AJ$130,0,MATCH(AJ$2,Inputs!$K$4:$AJ$4,0)))))</f>
        <v>0</v>
      </c>
      <c r="AK5" s="6">
        <f>IF(ISNA(MATCH(AK$2,Inputs!$K$4:$AJ$4,0)),NA(),IF(SUMPRODUCT((Inputs!$A$5:$A$130=$B5)*ISNUMBER(INDEX(Inputs!$K$5:$AJ$130,0,MATCH(AK$2,Inputs!$K$4:$AJ$4,0))))+SUMPRODUCT((Inputs!$C$5:$C$130=$B5)*ISNUMBER(INDEX(Inputs!$K$5:$AJ$130,0,MATCH(AK$2,Inputs!$K$4:$AJ$4,0))))+SUMPRODUCT((Inputs!$E$5:$E$130=$B5)*ISNUMBER(INDEX(Inputs!$K$5:$AJ$130,0,MATCH(AK$2,Inputs!$K$4:$AJ$4,0))))=0,NA(),SUMPRODUCT((Inputs!$A$5:$A$130=$B5)*Inputs!$B$5:$B$130*(((Inputs!$G$5:$G$130="moeda")+(Inputs!$G$5:$G$130="acoes"))*Inputs!$B$1+((Inputs!$G$5:$G$130&lt;&gt;"moeda")*(Inputs!$G$5:$G$130&lt;&gt;"acoes")))*INDEX(Inputs!$K$5:$AJ$130,0,MATCH(AK$2,Inputs!$K$4:$AJ$4,0)))+SUMPRODUCT((Inputs!$C$5:$C$130=$B5)*Inputs!$D$5:$D$130*(((Inputs!$G$5:$G$130="moeda")+(Inputs!$G$5:$G$130="acoes"))*Inputs!$B$1+((Inputs!$G$5:$G$130&lt;&gt;"moeda")*(Inputs!$G$5:$G$130&lt;&gt;"acoes")))*INDEX(Inputs!$K$5:$AJ$130,0,MATCH(AK$2,Inputs!$K$4:$AJ$4,0)))+SUMPRODUCT((Inputs!$E$5:$E$130=$B5)*Inputs!$F$5:$F$130*(((Inputs!$G$5:$G$130="moeda")+(Inputs!$G$5:$G$130="acoes"))*Inputs!$B$1+((Inputs!$G$5:$G$130&lt;&gt;"moeda")*(Inputs!$G$5:$G$130&lt;&gt;"acoes")))*INDEX(Inputs!$K$5:$AJ$130,0,MATCH(AK$2,Inputs!$K$4:$AJ$4,0)))))</f>
        <v>0</v>
      </c>
      <c r="AL5" s="3">
        <f>SUM(AH5:AK5)</f>
        <v>0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$130=$B6)*ISNUMBER(INDEX(Inputs!$K$5:$AJ$130,0,MATCH(D$2,Inputs!$K$4:$AJ$4,0))))+SUMPRODUCT((Inputs!$C$5:$C$130=$B6)*ISNUMBER(INDEX(Inputs!$K$5:$AJ$130,0,MATCH(D$2,Inputs!$K$4:$AJ$4,0))))+SUMPRODUCT((Inputs!$E$5:$E$130=$B6)*ISNUMBER(INDEX(Inputs!$K$5:$AJ$130,0,MATCH(D$2,Inputs!$K$4:$AJ$4,0))))=0,NA(),SUMPRODUCT((Inputs!$A$5:$A$130=$B6)*Inputs!$B$5:$B$130*(((Inputs!$G$5:$G$130="moeda")+(Inputs!$G$5:$G$130="acoes"))*Inputs!$B$1+((Inputs!$G$5:$G$130&lt;&gt;"moeda")*(Inputs!$G$5:$G$130&lt;&gt;"acoes")))*INDEX(Inputs!$K$5:$AJ$130,0,MATCH(D$2,Inputs!$K$4:$AJ$4,0)))+SUMPRODUCT((Inputs!$C$5:$C$130=$B6)*Inputs!$D$5:$D$130*(((Inputs!$G$5:$G$130="moeda")+(Inputs!$G$5:$G$130="acoes"))*Inputs!$B$1+((Inputs!$G$5:$G$130&lt;&gt;"moeda")*(Inputs!$G$5:$G$130&lt;&gt;"acoes")))*INDEX(Inputs!$K$5:$AJ$130,0,MATCH(D$2,Inputs!$K$4:$AJ$4,0)))+SUMPRODUCT((Inputs!$E$5:$E$130=$B6)*Inputs!$F$5:$F$130*(((Inputs!$G$5:$G$130="moeda")+(Inputs!$G$5:$G$130="acoes"))*Inputs!$B$1+((Inputs!$G$5:$G$130&lt;&gt;"moeda")*(Inputs!$G$5:$G$130&lt;&gt;"acoes")))*INDEX(Inputs!$K$5:$AJ$130,0,MATCH(D$2,Inputs!$K$4:$AJ$4,0)))))</f>
        <v>-9103</v>
      </c>
      <c r="E6" s="6">
        <f>IF(ISNA(MATCH(E$2,Inputs!$K$4:$AJ$4,0)),NA(),IF(SUMPRODUCT((Inputs!$A$5:$A$130=$B6)*ISNUMBER(INDEX(Inputs!$K$5:$AJ$130,0,MATCH(E$2,Inputs!$K$4:$AJ$4,0))))+SUMPRODUCT((Inputs!$C$5:$C$130=$B6)*ISNUMBER(INDEX(Inputs!$K$5:$AJ$130,0,MATCH(E$2,Inputs!$K$4:$AJ$4,0))))+SUMPRODUCT((Inputs!$E$5:$E$130=$B6)*ISNUMBER(INDEX(Inputs!$K$5:$AJ$130,0,MATCH(E$2,Inputs!$K$4:$AJ$4,0))))=0,NA(),SUMPRODUCT((Inputs!$A$5:$A$130=$B6)*Inputs!$B$5:$B$130*(((Inputs!$G$5:$G$130="moeda")+(Inputs!$G$5:$G$130="acoes"))*Inputs!$B$1+((Inputs!$G$5:$G$130&lt;&gt;"moeda")*(Inputs!$G$5:$G$130&lt;&gt;"acoes")))*INDEX(Inputs!$K$5:$AJ$130,0,MATCH(E$2,Inputs!$K$4:$AJ$4,0)))+SUMPRODUCT((Inputs!$C$5:$C$130=$B6)*Inputs!$D$5:$D$130*(((Inputs!$G$5:$G$130="moeda")+(Inputs!$G$5:$G$130="acoes"))*Inputs!$B$1+((Inputs!$G$5:$G$130&lt;&gt;"moeda")*(Inputs!$G$5:$G$130&lt;&gt;"acoes")))*INDEX(Inputs!$K$5:$AJ$130,0,MATCH(E$2,Inputs!$K$4:$AJ$4,0)))+SUMPRODUCT((Inputs!$E$5:$E$130=$B6)*Inputs!$F$5:$F$130*(((Inputs!$G$5:$G$130="moeda")+(Inputs!$G$5:$G$130="acoes"))*Inputs!$B$1+((Inputs!$G$5:$G$130&lt;&gt;"moeda")*(Inputs!$G$5:$G$130&lt;&gt;"acoes")))*INDEX(Inputs!$K$5:$AJ$130,0,MATCH(E$2,Inputs!$K$4:$AJ$4,0)))))</f>
        <v>-8769</v>
      </c>
      <c r="F6" s="6">
        <f>IF(ISNA(MATCH(F$2,Inputs!$K$4:$AJ$4,0)),NA(),IF(SUMPRODUCT((Inputs!$A$5:$A$130=$B6)*ISNUMBER(INDEX(Inputs!$K$5:$AJ$130,0,MATCH(F$2,Inputs!$K$4:$AJ$4,0))))+SUMPRODUCT((Inputs!$C$5:$C$130=$B6)*ISNUMBER(INDEX(Inputs!$K$5:$AJ$130,0,MATCH(F$2,Inputs!$K$4:$AJ$4,0))))+SUMPRODUCT((Inputs!$E$5:$E$130=$B6)*ISNUMBER(INDEX(Inputs!$K$5:$AJ$130,0,MATCH(F$2,Inputs!$K$4:$AJ$4,0))))=0,NA(),SUMPRODUCT((Inputs!$A$5:$A$130=$B6)*Inputs!$B$5:$B$130*(((Inputs!$G$5:$G$130="moeda")+(Inputs!$G$5:$G$130="acoes"))*Inputs!$B$1+((Inputs!$G$5:$G$130&lt;&gt;"moeda")*(Inputs!$G$5:$G$130&lt;&gt;"acoes")))*INDEX(Inputs!$K$5:$AJ$130,0,MATCH(F$2,Inputs!$K$4:$AJ$4,0)))+SUMPRODUCT((Inputs!$C$5:$C$130=$B6)*Inputs!$D$5:$D$130*(((Inputs!$G$5:$G$130="moeda")+(Inputs!$G$5:$G$130="acoes"))*Inputs!$B$1+((Inputs!$G$5:$G$130&lt;&gt;"moeda")*(Inputs!$G$5:$G$130&lt;&gt;"acoes")))*INDEX(Inputs!$K$5:$AJ$130,0,MATCH(F$2,Inputs!$K$4:$AJ$4,0)))+SUMPRODUCT((Inputs!$E$5:$E$130=$B6)*Inputs!$F$5:$F$130*(((Inputs!$G$5:$G$130="moeda")+(Inputs!$G$5:$G$130="acoes"))*Inputs!$B$1+((Inputs!$G$5:$G$130&lt;&gt;"moeda")*(Inputs!$G$5:$G$130&lt;&gt;"acoes")))*INDEX(Inputs!$K$5:$AJ$130,0,MATCH(F$2,Inputs!$K$4:$AJ$4,0)))))</f>
        <v>-9154</v>
      </c>
      <c r="G6" s="6">
        <f>IF(ISNA(MATCH(G$2,Inputs!$K$4:$AJ$4,0)),NA(),IF(SUMPRODUCT((Inputs!$A$5:$A$130=$B6)*ISNUMBER(INDEX(Inputs!$K$5:$AJ$130,0,MATCH(G$2,Inputs!$K$4:$AJ$4,0))))+SUMPRODUCT((Inputs!$C$5:$C$130=$B6)*ISNUMBER(INDEX(Inputs!$K$5:$AJ$130,0,MATCH(G$2,Inputs!$K$4:$AJ$4,0))))+SUMPRODUCT((Inputs!$E$5:$E$130=$B6)*ISNUMBER(INDEX(Inputs!$K$5:$AJ$130,0,MATCH(G$2,Inputs!$K$4:$AJ$4,0))))=0,NA(),SUMPRODUCT((Inputs!$A$5:$A$130=$B6)*Inputs!$B$5:$B$130*(((Inputs!$G$5:$G$130="moeda")+(Inputs!$G$5:$G$130="acoes"))*Inputs!$B$1+((Inputs!$G$5:$G$130&lt;&gt;"moeda")*(Inputs!$G$5:$G$130&lt;&gt;"acoes")))*INDEX(Inputs!$K$5:$AJ$130,0,MATCH(G$2,Inputs!$K$4:$AJ$4,0)))+SUMPRODUCT((Inputs!$C$5:$C$130=$B6)*Inputs!$D$5:$D$130*(((Inputs!$G$5:$G$130="moeda")+(Inputs!$G$5:$G$130="acoes"))*Inputs!$B$1+((Inputs!$G$5:$G$130&lt;&gt;"moeda")*(Inputs!$G$5:$G$130&lt;&gt;"acoes")))*INDEX(Inputs!$K$5:$AJ$130,0,MATCH(G$2,Inputs!$K$4:$AJ$4,0)))+SUMPRODUCT((Inputs!$E$5:$E$130=$B6)*Inputs!$F$5:$F$130*(((Inputs!$G$5:$G$130="moeda")+(Inputs!$G$5:$G$130="acoes"))*Inputs!$B$1+((Inputs!$G$5:$G$130&lt;&gt;"moeda")*(Inputs!$G$5:$G$130&lt;&gt;"acoes")))*INDEX(Inputs!$K$5:$AJ$130,0,MATCH(G$2,Inputs!$K$4:$AJ$4,0)))))</f>
        <v>-7848</v>
      </c>
      <c r="H6" s="3">
        <f>SUM(D6:G6)</f>
        <v>-34874</v>
      </c>
      <c r="I6" s="6">
        <f>IF(ISNA(MATCH(I$2,Inputs!$K$4:$AJ$4,0)),NA(),IF(SUMPRODUCT((Inputs!$A$5:$A$130=$B6)*ISNUMBER(INDEX(Inputs!$K$5:$AJ$130,0,MATCH(I$2,Inputs!$K$4:$AJ$4,0))))+SUMPRODUCT((Inputs!$C$5:$C$130=$B6)*ISNUMBER(INDEX(Inputs!$K$5:$AJ$130,0,MATCH(I$2,Inputs!$K$4:$AJ$4,0))))+SUMPRODUCT((Inputs!$E$5:$E$130=$B6)*ISNUMBER(INDEX(Inputs!$K$5:$AJ$130,0,MATCH(I$2,Inputs!$K$4:$AJ$4,0))))=0,NA(),SUMPRODUCT((Inputs!$A$5:$A$130=$B6)*Inputs!$B$5:$B$130*(((Inputs!$G$5:$G$130="moeda")+(Inputs!$G$5:$G$130="acoes"))*Inputs!$B$1+((Inputs!$G$5:$G$130&lt;&gt;"moeda")*(Inputs!$G$5:$G$130&lt;&gt;"acoes")))*INDEX(Inputs!$K$5:$AJ$130,0,MATCH(I$2,Inputs!$K$4:$AJ$4,0)))+SUMPRODUCT((Inputs!$C$5:$C$130=$B6)*Inputs!$D$5:$D$130*(((Inputs!$G$5:$G$130="moeda")+(Inputs!$G$5:$G$130="acoes"))*Inputs!$B$1+((Inputs!$G$5:$G$130&lt;&gt;"moeda")*(Inputs!$G$5:$G$130&lt;&gt;"acoes")))*INDEX(Inputs!$K$5:$AJ$130,0,MATCH(I$2,Inputs!$K$4:$AJ$4,0)))+SUMPRODUCT((Inputs!$E$5:$E$130=$B6)*Inputs!$F$5:$F$130*(((Inputs!$G$5:$G$130="moeda")+(Inputs!$G$5:$G$130="acoes"))*Inputs!$B$1+((Inputs!$G$5:$G$130&lt;&gt;"moeda")*(Inputs!$G$5:$G$130&lt;&gt;"acoes")))*INDEX(Inputs!$K$5:$AJ$130,0,MATCH(I$2,Inputs!$K$4:$AJ$4,0)))))</f>
        <v>-10253</v>
      </c>
      <c r="J6" s="6">
        <f>IF(ISNA(MATCH(J$2,Inputs!$K$4:$AJ$4,0)),NA(),IF(SUMPRODUCT((Inputs!$A$5:$A$130=$B6)*ISNUMBER(INDEX(Inputs!$K$5:$AJ$130,0,MATCH(J$2,Inputs!$K$4:$AJ$4,0))))+SUMPRODUCT((Inputs!$C$5:$C$130=$B6)*ISNUMBER(INDEX(Inputs!$K$5:$AJ$130,0,MATCH(J$2,Inputs!$K$4:$AJ$4,0))))+SUMPRODUCT((Inputs!$E$5:$E$130=$B6)*ISNUMBER(INDEX(Inputs!$K$5:$AJ$130,0,MATCH(J$2,Inputs!$K$4:$AJ$4,0))))=0,NA(),SUMPRODUCT((Inputs!$A$5:$A$130=$B6)*Inputs!$B$5:$B$130*(((Inputs!$G$5:$G$130="moeda")+(Inputs!$G$5:$G$130="acoes"))*Inputs!$B$1+((Inputs!$G$5:$G$130&lt;&gt;"moeda")*(Inputs!$G$5:$G$130&lt;&gt;"acoes")))*INDEX(Inputs!$K$5:$AJ$130,0,MATCH(J$2,Inputs!$K$4:$AJ$4,0)))+SUMPRODUCT((Inputs!$C$5:$C$130=$B6)*Inputs!$D$5:$D$130*(((Inputs!$G$5:$G$130="moeda")+(Inputs!$G$5:$G$130="acoes"))*Inputs!$B$1+((Inputs!$G$5:$G$130&lt;&gt;"moeda")*(Inputs!$G$5:$G$130&lt;&gt;"acoes")))*INDEX(Inputs!$K$5:$AJ$130,0,MATCH(J$2,Inputs!$K$4:$AJ$4,0)))+SUMPRODUCT((Inputs!$E$5:$E$130=$B6)*Inputs!$F$5:$F$130*(((Inputs!$G$5:$G$130="moeda")+(Inputs!$G$5:$G$130="acoes"))*Inputs!$B$1+((Inputs!$G$5:$G$130&lt;&gt;"moeda")*(Inputs!$G$5:$G$130&lt;&gt;"acoes")))*INDEX(Inputs!$K$5:$AJ$130,0,MATCH(J$2,Inputs!$K$4:$AJ$4,0)))))</f>
        <v>-10946</v>
      </c>
      <c r="K6" s="6">
        <f>IF(ISNA(MATCH(K$2,Inputs!$K$4:$AJ$4,0)),NA(),IF(SUMPRODUCT((Inputs!$A$5:$A$130=$B6)*ISNUMBER(INDEX(Inputs!$K$5:$AJ$130,0,MATCH(K$2,Inputs!$K$4:$AJ$4,0))))+SUMPRODUCT((Inputs!$C$5:$C$130=$B6)*ISNUMBER(INDEX(Inputs!$K$5:$AJ$130,0,MATCH(K$2,Inputs!$K$4:$AJ$4,0))))+SUMPRODUCT((Inputs!$E$5:$E$130=$B6)*ISNUMBER(INDEX(Inputs!$K$5:$AJ$130,0,MATCH(K$2,Inputs!$K$4:$AJ$4,0))))=0,NA(),SUMPRODUCT((Inputs!$A$5:$A$130=$B6)*Inputs!$B$5:$B$130*(((Inputs!$G$5:$G$130="moeda")+(Inputs!$G$5:$G$130="acoes"))*Inputs!$B$1+((Inputs!$G$5:$G$130&lt;&gt;"moeda")*(Inputs!$G$5:$G$130&lt;&gt;"acoes")))*INDEX(Inputs!$K$5:$AJ$130,0,MATCH(K$2,Inputs!$K$4:$AJ$4,0)))+SUMPRODUCT((Inputs!$C$5:$C$130=$B6)*Inputs!$D$5:$D$130*(((Inputs!$G$5:$G$130="moeda")+(Inputs!$G$5:$G$130="acoes"))*Inputs!$B$1+((Inputs!$G$5:$G$130&lt;&gt;"moeda")*(Inputs!$G$5:$G$130&lt;&gt;"acoes")))*INDEX(Inputs!$K$5:$AJ$130,0,MATCH(K$2,Inputs!$K$4:$AJ$4,0)))+SUMPRODUCT((Inputs!$E$5:$E$130=$B6)*Inputs!$F$5:$F$130*(((Inputs!$G$5:$G$130="moeda")+(Inputs!$G$5:$G$130="acoes"))*Inputs!$B$1+((Inputs!$G$5:$G$130&lt;&gt;"moeda")*(Inputs!$G$5:$G$130&lt;&gt;"acoes")))*INDEX(Inputs!$K$5:$AJ$130,0,MATCH(K$2,Inputs!$K$4:$AJ$4,0)))))</f>
        <v>-12128</v>
      </c>
      <c r="L6" s="6">
        <f>IF(ISNA(MATCH(L$2,Inputs!$K$4:$AJ$4,0)),NA(),IF(SUMPRODUCT((Inputs!$A$5:$A$130=$B6)*ISNUMBER(INDEX(Inputs!$K$5:$AJ$130,0,MATCH(L$2,Inputs!$K$4:$AJ$4,0))))+SUMPRODUCT((Inputs!$C$5:$C$130=$B6)*ISNUMBER(INDEX(Inputs!$K$5:$AJ$130,0,MATCH(L$2,Inputs!$K$4:$AJ$4,0))))+SUMPRODUCT((Inputs!$E$5:$E$130=$B6)*ISNUMBER(INDEX(Inputs!$K$5:$AJ$130,0,MATCH(L$2,Inputs!$K$4:$AJ$4,0))))=0,NA(),SUMPRODUCT((Inputs!$A$5:$A$130=$B6)*Inputs!$B$5:$B$130*(((Inputs!$G$5:$G$130="moeda")+(Inputs!$G$5:$G$130="acoes"))*Inputs!$B$1+((Inputs!$G$5:$G$130&lt;&gt;"moeda")*(Inputs!$G$5:$G$130&lt;&gt;"acoes")))*INDEX(Inputs!$K$5:$AJ$130,0,MATCH(L$2,Inputs!$K$4:$AJ$4,0)))+SUMPRODUCT((Inputs!$C$5:$C$130=$B6)*Inputs!$D$5:$D$130*(((Inputs!$G$5:$G$130="moeda")+(Inputs!$G$5:$G$130="acoes"))*Inputs!$B$1+((Inputs!$G$5:$G$130&lt;&gt;"moeda")*(Inputs!$G$5:$G$130&lt;&gt;"acoes")))*INDEX(Inputs!$K$5:$AJ$130,0,MATCH(L$2,Inputs!$K$4:$AJ$4,0)))+SUMPRODUCT((Inputs!$E$5:$E$130=$B6)*Inputs!$F$5:$F$130*(((Inputs!$G$5:$G$130="moeda")+(Inputs!$G$5:$G$130="acoes"))*Inputs!$B$1+((Inputs!$G$5:$G$130&lt;&gt;"moeda")*(Inputs!$G$5:$G$130&lt;&gt;"acoes")))*INDEX(Inputs!$K$5:$AJ$130,0,MATCH(L$2,Inputs!$K$4:$AJ$4,0)))))</f>
        <v>-9640</v>
      </c>
      <c r="M6" s="3">
        <f>SUM(I6:L6)</f>
        <v>-42967</v>
      </c>
      <c r="N6" s="6">
        <f>IF(ISNA(MATCH(N$2,Inputs!$K$4:$AJ$4,0)),NA(),IF(SUMPRODUCT((Inputs!$A$5:$A$130=$B6)*ISNUMBER(INDEX(Inputs!$K$5:$AJ$130,0,MATCH(N$2,Inputs!$K$4:$AJ$4,0))))+SUMPRODUCT((Inputs!$C$5:$C$130=$B6)*ISNUMBER(INDEX(Inputs!$K$5:$AJ$130,0,MATCH(N$2,Inputs!$K$4:$AJ$4,0))))+SUMPRODUCT((Inputs!$E$5:$E$130=$B6)*ISNUMBER(INDEX(Inputs!$K$5:$AJ$130,0,MATCH(N$2,Inputs!$K$4:$AJ$4,0))))=0,NA(),SUMPRODUCT((Inputs!$A$5:$A$130=$B6)*Inputs!$B$5:$B$130*(((Inputs!$G$5:$G$130="moeda")+(Inputs!$G$5:$G$130="acoes"))*Inputs!$B$1+((Inputs!$G$5:$G$130&lt;&gt;"moeda")*(Inputs!$G$5:$G$130&lt;&gt;"acoes")))*INDEX(Inputs!$K$5:$AJ$130,0,MATCH(N$2,Inputs!$K$4:$AJ$4,0)))+SUMPRODUCT((Inputs!$C$5:$C$130=$B6)*Inputs!$D$5:$D$130*(((Inputs!$G$5:$G$130="moeda")+(Inputs!$G$5:$G$130="acoes"))*Inputs!$B$1+((Inputs!$G$5:$G$130&lt;&gt;"moeda")*(Inputs!$G$5:$G$130&lt;&gt;"acoes")))*INDEX(Inputs!$K$5:$AJ$130,0,MATCH(N$2,Inputs!$K$4:$AJ$4,0)))+SUMPRODUCT((Inputs!$E$5:$E$130=$B6)*Inputs!$F$5:$F$130*(((Inputs!$G$5:$G$130="moeda")+(Inputs!$G$5:$G$130="acoes"))*Inputs!$B$1+((Inputs!$G$5:$G$130&lt;&gt;"moeda")*(Inputs!$G$5:$G$130&lt;&gt;"acoes")))*INDEX(Inputs!$K$5:$AJ$130,0,MATCH(N$2,Inputs!$K$4:$AJ$4,0)))))</f>
        <v>-12988</v>
      </c>
      <c r="O6" s="6">
        <f>IF(ISNA(MATCH(O$2,Inputs!$K$4:$AJ$4,0)),NA(),IF(SUMPRODUCT((Inputs!$A$5:$A$130=$B6)*ISNUMBER(INDEX(Inputs!$K$5:$AJ$130,0,MATCH(O$2,Inputs!$K$4:$AJ$4,0))))+SUMPRODUCT((Inputs!$C$5:$C$130=$B6)*ISNUMBER(INDEX(Inputs!$K$5:$AJ$130,0,MATCH(O$2,Inputs!$K$4:$AJ$4,0))))+SUMPRODUCT((Inputs!$E$5:$E$130=$B6)*ISNUMBER(INDEX(Inputs!$K$5:$AJ$130,0,MATCH(O$2,Inputs!$K$4:$AJ$4,0))))=0,NA(),SUMPRODUCT((Inputs!$A$5:$A$130=$B6)*Inputs!$B$5:$B$130*(((Inputs!$G$5:$G$130="moeda")+(Inputs!$G$5:$G$130="acoes"))*Inputs!$B$1+((Inputs!$G$5:$G$130&lt;&gt;"moeda")*(Inputs!$G$5:$G$130&lt;&gt;"acoes")))*INDEX(Inputs!$K$5:$AJ$130,0,MATCH(O$2,Inputs!$K$4:$AJ$4,0)))+SUMPRODUCT((Inputs!$C$5:$C$130=$B6)*Inputs!$D$5:$D$130*(((Inputs!$G$5:$G$130="moeda")+(Inputs!$G$5:$G$130="acoes"))*Inputs!$B$1+((Inputs!$G$5:$G$130&lt;&gt;"moeda")*(Inputs!$G$5:$G$130&lt;&gt;"acoes")))*INDEX(Inputs!$K$5:$AJ$130,0,MATCH(O$2,Inputs!$K$4:$AJ$4,0)))+SUMPRODUCT((Inputs!$E$5:$E$130=$B6)*Inputs!$F$5:$F$130*(((Inputs!$G$5:$G$130="moeda")+(Inputs!$G$5:$G$130="acoes"))*Inputs!$B$1+((Inputs!$G$5:$G$130&lt;&gt;"moeda")*(Inputs!$G$5:$G$130&lt;&gt;"acoes")))*INDEX(Inputs!$K$5:$AJ$130,0,MATCH(O$2,Inputs!$K$4:$AJ$4,0)))))</f>
        <v>-11753</v>
      </c>
      <c r="P6" s="6">
        <f>IF(ISNA(MATCH(P$2,Inputs!$K$4:$AJ$4,0)),NA(),IF(SUMPRODUCT((Inputs!$A$5:$A$130=$B6)*ISNUMBER(INDEX(Inputs!$K$5:$AJ$130,0,MATCH(P$2,Inputs!$K$4:$AJ$4,0))))+SUMPRODUCT((Inputs!$C$5:$C$130=$B6)*ISNUMBER(INDEX(Inputs!$K$5:$AJ$130,0,MATCH(P$2,Inputs!$K$4:$AJ$4,0))))+SUMPRODUCT((Inputs!$E$5:$E$130=$B6)*ISNUMBER(INDEX(Inputs!$K$5:$AJ$130,0,MATCH(P$2,Inputs!$K$4:$AJ$4,0))))=0,NA(),SUMPRODUCT((Inputs!$A$5:$A$130=$B6)*Inputs!$B$5:$B$130*(((Inputs!$G$5:$G$130="moeda")+(Inputs!$G$5:$G$130="acoes"))*Inputs!$B$1+((Inputs!$G$5:$G$130&lt;&gt;"moeda")*(Inputs!$G$5:$G$130&lt;&gt;"acoes")))*INDEX(Inputs!$K$5:$AJ$130,0,MATCH(P$2,Inputs!$K$4:$AJ$4,0)))+SUMPRODUCT((Inputs!$C$5:$C$130=$B6)*Inputs!$D$5:$D$130*(((Inputs!$G$5:$G$130="moeda")+(Inputs!$G$5:$G$130="acoes"))*Inputs!$B$1+((Inputs!$G$5:$G$130&lt;&gt;"moeda")*(Inputs!$G$5:$G$130&lt;&gt;"acoes")))*INDEX(Inputs!$K$5:$AJ$130,0,MATCH(P$2,Inputs!$K$4:$AJ$4,0)))+SUMPRODUCT((Inputs!$E$5:$E$130=$B6)*Inputs!$F$5:$F$130*(((Inputs!$G$5:$G$130="moeda")+(Inputs!$G$5:$G$130="acoes"))*Inputs!$B$1+((Inputs!$G$5:$G$130&lt;&gt;"moeda")*(Inputs!$G$5:$G$130&lt;&gt;"acoes")))*INDEX(Inputs!$K$5:$AJ$130,0,MATCH(P$2,Inputs!$K$4:$AJ$4,0)))))</f>
        <v>-11909</v>
      </c>
      <c r="Q6" s="6">
        <f>IF(ISNA(MATCH(Q$2,Inputs!$K$4:$AJ$4,0)),NA(),IF(SUMPRODUCT((Inputs!$A$5:$A$130=$B6)*ISNUMBER(INDEX(Inputs!$K$5:$AJ$130,0,MATCH(Q$2,Inputs!$K$4:$AJ$4,0))))+SUMPRODUCT((Inputs!$C$5:$C$130=$B6)*ISNUMBER(INDEX(Inputs!$K$5:$AJ$130,0,MATCH(Q$2,Inputs!$K$4:$AJ$4,0))))+SUMPRODUCT((Inputs!$E$5:$E$130=$B6)*ISNUMBER(INDEX(Inputs!$K$5:$AJ$130,0,MATCH(Q$2,Inputs!$K$4:$AJ$4,0))))=0,NA(),SUMPRODUCT((Inputs!$A$5:$A$130=$B6)*Inputs!$B$5:$B$130*(((Inputs!$G$5:$G$130="moeda")+(Inputs!$G$5:$G$130="acoes"))*Inputs!$B$1+((Inputs!$G$5:$G$130&lt;&gt;"moeda")*(Inputs!$G$5:$G$130&lt;&gt;"acoes")))*INDEX(Inputs!$K$5:$AJ$130,0,MATCH(Q$2,Inputs!$K$4:$AJ$4,0)))+SUMPRODUCT((Inputs!$C$5:$C$130=$B6)*Inputs!$D$5:$D$130*(((Inputs!$G$5:$G$130="moeda")+(Inputs!$G$5:$G$130="acoes"))*Inputs!$B$1+((Inputs!$G$5:$G$130&lt;&gt;"moeda")*(Inputs!$G$5:$G$130&lt;&gt;"acoes")))*INDEX(Inputs!$K$5:$AJ$130,0,MATCH(Q$2,Inputs!$K$4:$AJ$4,0)))+SUMPRODUCT((Inputs!$E$5:$E$130=$B6)*Inputs!$F$5:$F$130*(((Inputs!$G$5:$G$130="moeda")+(Inputs!$G$5:$G$130="acoes"))*Inputs!$B$1+((Inputs!$G$5:$G$130&lt;&gt;"moeda")*(Inputs!$G$5:$G$130&lt;&gt;"acoes")))*INDEX(Inputs!$K$5:$AJ$130,0,MATCH(Q$2,Inputs!$K$4:$AJ$4,0)))))</f>
        <v>-11665</v>
      </c>
      <c r="R6" s="3">
        <f>SUM(N6:Q6)</f>
        <v>-48315</v>
      </c>
      <c r="S6" s="6">
        <f>IF(ISNA(MATCH(S$2,Inputs!$K$4:$AJ$4,0)),NA(),IF(SUMPRODUCT((Inputs!$A$5:$A$130=$B6)*ISNUMBER(INDEX(Inputs!$K$5:$AJ$130,0,MATCH(S$2,Inputs!$K$4:$AJ$4,0))))+SUMPRODUCT((Inputs!$C$5:$C$130=$B6)*ISNUMBER(INDEX(Inputs!$K$5:$AJ$130,0,MATCH(S$2,Inputs!$K$4:$AJ$4,0))))+SUMPRODUCT((Inputs!$E$5:$E$130=$B6)*ISNUMBER(INDEX(Inputs!$K$5:$AJ$130,0,MATCH(S$2,Inputs!$K$4:$AJ$4,0))))=0,NA(),SUMPRODUCT((Inputs!$A$5:$A$130=$B6)*Inputs!$B$5:$B$130*(((Inputs!$G$5:$G$130="moeda")+(Inputs!$G$5:$G$130="acoes"))*Inputs!$B$1+((Inputs!$G$5:$G$130&lt;&gt;"moeda")*(Inputs!$G$5:$G$130&lt;&gt;"acoes")))*INDEX(Inputs!$K$5:$AJ$130,0,MATCH(S$2,Inputs!$K$4:$AJ$4,0)))+SUMPRODUCT((Inputs!$C$5:$C$130=$B6)*Inputs!$D$5:$D$130*(((Inputs!$G$5:$G$130="moeda")+(Inputs!$G$5:$G$130="acoes"))*Inputs!$B$1+((Inputs!$G$5:$G$130&lt;&gt;"moeda")*(Inputs!$G$5:$G$130&lt;&gt;"acoes")))*INDEX(Inputs!$K$5:$AJ$130,0,MATCH(S$2,Inputs!$K$4:$AJ$4,0)))+SUMPRODUCT((Inputs!$E$5:$E$130=$B6)*Inputs!$F$5:$F$130*(((Inputs!$G$5:$G$130="moeda")+(Inputs!$G$5:$G$130="acoes"))*Inputs!$B$1+((Inputs!$G$5:$G$130&lt;&gt;"moeda")*(Inputs!$G$5:$G$130&lt;&gt;"acoes")))*INDEX(Inputs!$K$5:$AJ$130,0,MATCH(S$2,Inputs!$K$4:$AJ$4,0)))))</f>
        <v>-14710</v>
      </c>
      <c r="T6" s="6">
        <f>IF(ISNA(MATCH(T$2,Inputs!$K$4:$AJ$4,0)),NA(),IF(SUMPRODUCT((Inputs!$A$5:$A$130=$B6)*ISNUMBER(INDEX(Inputs!$K$5:$AJ$130,0,MATCH(T$2,Inputs!$K$4:$AJ$4,0))))+SUMPRODUCT((Inputs!$C$5:$C$130=$B6)*ISNUMBER(INDEX(Inputs!$K$5:$AJ$130,0,MATCH(T$2,Inputs!$K$4:$AJ$4,0))))+SUMPRODUCT((Inputs!$E$5:$E$130=$B6)*ISNUMBER(INDEX(Inputs!$K$5:$AJ$130,0,MATCH(T$2,Inputs!$K$4:$AJ$4,0))))=0,NA(),SUMPRODUCT((Inputs!$A$5:$A$130=$B6)*Inputs!$B$5:$B$130*(((Inputs!$G$5:$G$130="moeda")+(Inputs!$G$5:$G$130="acoes"))*Inputs!$B$1+((Inputs!$G$5:$G$130&lt;&gt;"moeda")*(Inputs!$G$5:$G$130&lt;&gt;"acoes")))*INDEX(Inputs!$K$5:$AJ$130,0,MATCH(T$2,Inputs!$K$4:$AJ$4,0)))+SUMPRODUCT((Inputs!$C$5:$C$130=$B6)*Inputs!$D$5:$D$130*(((Inputs!$G$5:$G$130="moeda")+(Inputs!$G$5:$G$130="acoes"))*Inputs!$B$1+((Inputs!$G$5:$G$130&lt;&gt;"moeda")*(Inputs!$G$5:$G$130&lt;&gt;"acoes")))*INDEX(Inputs!$K$5:$AJ$130,0,MATCH(T$2,Inputs!$K$4:$AJ$4,0)))+SUMPRODUCT((Inputs!$E$5:$E$130=$B6)*Inputs!$F$5:$F$130*(((Inputs!$G$5:$G$130="moeda")+(Inputs!$G$5:$G$130="acoes"))*Inputs!$B$1+((Inputs!$G$5:$G$130&lt;&gt;"moeda")*(Inputs!$G$5:$G$130&lt;&gt;"acoes")))*INDEX(Inputs!$K$5:$AJ$130,0,MATCH(T$2,Inputs!$K$4:$AJ$4,0)))))</f>
        <v>-12599</v>
      </c>
      <c r="U6" s="6">
        <f>IF(ISNA(MATCH(U$2,Inputs!$K$4:$AJ$4,0)),NA(),IF(SUMPRODUCT((Inputs!$A$5:$A$130=$B6)*ISNUMBER(INDEX(Inputs!$K$5:$AJ$130,0,MATCH(U$2,Inputs!$K$4:$AJ$4,0))))+SUMPRODUCT((Inputs!$C$5:$C$130=$B6)*ISNUMBER(INDEX(Inputs!$K$5:$AJ$130,0,MATCH(U$2,Inputs!$K$4:$AJ$4,0))))+SUMPRODUCT((Inputs!$E$5:$E$130=$B6)*ISNUMBER(INDEX(Inputs!$K$5:$AJ$130,0,MATCH(U$2,Inputs!$K$4:$AJ$4,0))))=0,NA(),SUMPRODUCT((Inputs!$A$5:$A$130=$B6)*Inputs!$B$5:$B$130*(((Inputs!$G$5:$G$130="moeda")+(Inputs!$G$5:$G$130="acoes"))*Inputs!$B$1+((Inputs!$G$5:$G$130&lt;&gt;"moeda")*(Inputs!$G$5:$G$130&lt;&gt;"acoes")))*INDEX(Inputs!$K$5:$AJ$130,0,MATCH(U$2,Inputs!$K$4:$AJ$4,0)))+SUMPRODUCT((Inputs!$C$5:$C$130=$B6)*Inputs!$D$5:$D$130*(((Inputs!$G$5:$G$130="moeda")+(Inputs!$G$5:$G$130="acoes"))*Inputs!$B$1+((Inputs!$G$5:$G$130&lt;&gt;"moeda")*(Inputs!$G$5:$G$130&lt;&gt;"acoes")))*INDEX(Inputs!$K$5:$AJ$130,0,MATCH(U$2,Inputs!$K$4:$AJ$4,0)))+SUMPRODUCT((Inputs!$E$5:$E$130=$B6)*Inputs!$F$5:$F$130*(((Inputs!$G$5:$G$130="moeda")+(Inputs!$G$5:$G$130="acoes"))*Inputs!$B$1+((Inputs!$G$5:$G$130&lt;&gt;"moeda")*(Inputs!$G$5:$G$130&lt;&gt;"acoes")))*INDEX(Inputs!$K$5:$AJ$130,0,MATCH(U$2,Inputs!$K$4:$AJ$4,0)))))</f>
        <v>-10624</v>
      </c>
      <c r="V6" s="6">
        <f>IF(ISNA(MATCH(V$2,Inputs!$K$4:$AJ$4,0)),NA(),IF(SUMPRODUCT((Inputs!$A$5:$A$130=$B6)*ISNUMBER(INDEX(Inputs!$K$5:$AJ$130,0,MATCH(V$2,Inputs!$K$4:$AJ$4,0))))+SUMPRODUCT((Inputs!$C$5:$C$130=$B6)*ISNUMBER(INDEX(Inputs!$K$5:$AJ$130,0,MATCH(V$2,Inputs!$K$4:$AJ$4,0))))+SUMPRODUCT((Inputs!$E$5:$E$130=$B6)*ISNUMBER(INDEX(Inputs!$K$5:$AJ$130,0,MATCH(V$2,Inputs!$K$4:$AJ$4,0))))=0,NA(),SUMPRODUCT((Inputs!$A$5:$A$130=$B6)*Inputs!$B$5:$B$130*(((Inputs!$G$5:$G$130="moeda")+(Inputs!$G$5:$G$130="acoes"))*Inputs!$B$1+((Inputs!$G$5:$G$130&lt;&gt;"moeda")*(Inputs!$G$5:$G$130&lt;&gt;"acoes")))*INDEX(Inputs!$K$5:$AJ$130,0,MATCH(V$2,Inputs!$K$4:$AJ$4,0)))+SUMPRODUCT((Inputs!$C$5:$C$130=$B6)*Inputs!$D$5:$D$130*(((Inputs!$G$5:$G$130="moeda")+(Inputs!$G$5:$G$130="acoes"))*Inputs!$B$1+((Inputs!$G$5:$G$130&lt;&gt;"moeda")*(Inputs!$G$5:$G$130&lt;&gt;"acoes")))*INDEX(Inputs!$K$5:$AJ$130,0,MATCH(V$2,Inputs!$K$4:$AJ$4,0)))+SUMPRODUCT((Inputs!$E$5:$E$130=$B6)*Inputs!$F$5:$F$130*(((Inputs!$G$5:$G$130="moeda")+(Inputs!$G$5:$G$130="acoes"))*Inputs!$B$1+((Inputs!$G$5:$G$130&lt;&gt;"moeda")*(Inputs!$G$5:$G$130&lt;&gt;"acoes")))*INDEX(Inputs!$K$5:$AJ$130,0,MATCH(V$2,Inputs!$K$4:$AJ$4,0)))))</f>
        <v>-7959</v>
      </c>
      <c r="W6" s="3">
        <f>SUM(S6:V6)</f>
        <v>-45892</v>
      </c>
      <c r="X6" s="6">
        <f>IF(ISNA(MATCH(X$2,Inputs!$K$4:$AJ$4,0)),NA(),IF(SUMPRODUCT((Inputs!$A$5:$A$130=$B6)*ISNUMBER(INDEX(Inputs!$K$5:$AJ$130,0,MATCH(X$2,Inputs!$K$4:$AJ$4,0))))+SUMPRODUCT((Inputs!$C$5:$C$130=$B6)*ISNUMBER(INDEX(Inputs!$K$5:$AJ$130,0,MATCH(X$2,Inputs!$K$4:$AJ$4,0))))+SUMPRODUCT((Inputs!$E$5:$E$130=$B6)*ISNUMBER(INDEX(Inputs!$K$5:$AJ$130,0,MATCH(X$2,Inputs!$K$4:$AJ$4,0))))=0,NA(),SUMPRODUCT((Inputs!$A$5:$A$130=$B6)*Inputs!$B$5:$B$130*(((Inputs!$G$5:$G$130="moeda")+(Inputs!$G$5:$G$130="acoes"))*Inputs!$B$1+((Inputs!$G$5:$G$130&lt;&gt;"moeda")*(Inputs!$G$5:$G$130&lt;&gt;"acoes")))*INDEX(Inputs!$K$5:$AJ$130,0,MATCH(X$2,Inputs!$K$4:$AJ$4,0)))+SUMPRODUCT((Inputs!$C$5:$C$130=$B6)*Inputs!$D$5:$D$130*(((Inputs!$G$5:$G$130="moeda")+(Inputs!$G$5:$G$130="acoes"))*Inputs!$B$1+((Inputs!$G$5:$G$130&lt;&gt;"moeda")*(Inputs!$G$5:$G$130&lt;&gt;"acoes")))*INDEX(Inputs!$K$5:$AJ$130,0,MATCH(X$2,Inputs!$K$4:$AJ$4,0)))+SUMPRODUCT((Inputs!$E$5:$E$130=$B6)*Inputs!$F$5:$F$130*(((Inputs!$G$5:$G$130="moeda")+(Inputs!$G$5:$G$130="acoes"))*Inputs!$B$1+((Inputs!$G$5:$G$130&lt;&gt;"moeda")*(Inputs!$G$5:$G$130&lt;&gt;"acoes")))*INDEX(Inputs!$K$5:$AJ$130,0,MATCH(X$2,Inputs!$K$4:$AJ$4,0)))))</f>
        <v>-12208</v>
      </c>
      <c r="Y6" s="6">
        <f>IF(ISNA(MATCH(Y$2,Inputs!$K$4:$AJ$4,0)),NA(),IF(SUMPRODUCT((Inputs!$A$5:$A$130=$B6)*ISNUMBER(INDEX(Inputs!$K$5:$AJ$130,0,MATCH(Y$2,Inputs!$K$4:$AJ$4,0))))+SUMPRODUCT((Inputs!$C$5:$C$130=$B6)*ISNUMBER(INDEX(Inputs!$K$5:$AJ$130,0,MATCH(Y$2,Inputs!$K$4:$AJ$4,0))))+SUMPRODUCT((Inputs!$E$5:$E$130=$B6)*ISNUMBER(INDEX(Inputs!$K$5:$AJ$130,0,MATCH(Y$2,Inputs!$K$4:$AJ$4,0))))=0,NA(),SUMPRODUCT((Inputs!$A$5:$A$130=$B6)*Inputs!$B$5:$B$130*(((Inputs!$G$5:$G$130="moeda")+(Inputs!$G$5:$G$130="acoes"))*Inputs!$B$1+((Inputs!$G$5:$G$130&lt;&gt;"moeda")*(Inputs!$G$5:$G$130&lt;&gt;"acoes")))*INDEX(Inputs!$K$5:$AJ$130,0,MATCH(Y$2,Inputs!$K$4:$AJ$4,0)))+SUMPRODUCT((Inputs!$C$5:$C$130=$B6)*Inputs!$D$5:$D$130*(((Inputs!$G$5:$G$130="moeda")+(Inputs!$G$5:$G$130="acoes"))*Inputs!$B$1+((Inputs!$G$5:$G$130&lt;&gt;"moeda")*(Inputs!$G$5:$G$130&lt;&gt;"acoes")))*INDEX(Inputs!$K$5:$AJ$130,0,MATCH(Y$2,Inputs!$K$4:$AJ$4,0)))+SUMPRODUCT((Inputs!$E$5:$E$130=$B6)*Inputs!$F$5:$F$130*(((Inputs!$G$5:$G$130="moeda")+(Inputs!$G$5:$G$130="acoes"))*Inputs!$B$1+((Inputs!$G$5:$G$130&lt;&gt;"moeda")*(Inputs!$G$5:$G$130&lt;&gt;"acoes")))*INDEX(Inputs!$K$5:$AJ$130,0,MATCH(Y$2,Inputs!$K$4:$AJ$4,0)))))</f>
        <v>-11454</v>
      </c>
      <c r="Z6" s="6">
        <f>IF(ISNA(MATCH(Z$2,Inputs!$K$4:$AJ$4,0)),NA(),IF(SUMPRODUCT((Inputs!$A$5:$A$130=$B6)*ISNUMBER(INDEX(Inputs!$K$5:$AJ$130,0,MATCH(Z$2,Inputs!$K$4:$AJ$4,0))))+SUMPRODUCT((Inputs!$C$5:$C$130=$B6)*ISNUMBER(INDEX(Inputs!$K$5:$AJ$130,0,MATCH(Z$2,Inputs!$K$4:$AJ$4,0))))+SUMPRODUCT((Inputs!$E$5:$E$130=$B6)*ISNUMBER(INDEX(Inputs!$K$5:$AJ$130,0,MATCH(Z$2,Inputs!$K$4:$AJ$4,0))))=0,NA(),SUMPRODUCT((Inputs!$A$5:$A$130=$B6)*Inputs!$B$5:$B$130*(((Inputs!$G$5:$G$130="moeda")+(Inputs!$G$5:$G$130="acoes"))*Inputs!$B$1+((Inputs!$G$5:$G$130&lt;&gt;"moeda")*(Inputs!$G$5:$G$130&lt;&gt;"acoes")))*INDEX(Inputs!$K$5:$AJ$130,0,MATCH(Z$2,Inputs!$K$4:$AJ$4,0)))+SUMPRODUCT((Inputs!$C$5:$C$130=$B6)*Inputs!$D$5:$D$130*(((Inputs!$G$5:$G$130="moeda")+(Inputs!$G$5:$G$130="acoes"))*Inputs!$B$1+((Inputs!$G$5:$G$130&lt;&gt;"moeda")*(Inputs!$G$5:$G$130&lt;&gt;"acoes")))*INDEX(Inputs!$K$5:$AJ$130,0,MATCH(Z$2,Inputs!$K$4:$AJ$4,0)))+SUMPRODUCT((Inputs!$E$5:$E$130=$B6)*Inputs!$F$5:$F$130*(((Inputs!$G$5:$G$130="moeda")+(Inputs!$G$5:$G$130="acoes"))*Inputs!$B$1+((Inputs!$G$5:$G$130&lt;&gt;"moeda")*(Inputs!$G$5:$G$130&lt;&gt;"acoes")))*INDEX(Inputs!$K$5:$AJ$130,0,MATCH(Z$2,Inputs!$K$4:$AJ$4,0)))))</f>
        <v>-11833</v>
      </c>
      <c r="AA6" s="6">
        <f>IF(ISNA(MATCH(AA$2,Inputs!$K$4:$AJ$4,0)),NA(),IF(SUMPRODUCT((Inputs!$A$5:$A$130=$B6)*ISNUMBER(INDEX(Inputs!$K$5:$AJ$130,0,MATCH(AA$2,Inputs!$K$4:$AJ$4,0))))+SUMPRODUCT((Inputs!$C$5:$C$130=$B6)*ISNUMBER(INDEX(Inputs!$K$5:$AJ$130,0,MATCH(AA$2,Inputs!$K$4:$AJ$4,0))))+SUMPRODUCT((Inputs!$E$5:$E$130=$B6)*ISNUMBER(INDEX(Inputs!$K$5:$AJ$130,0,MATCH(AA$2,Inputs!$K$4:$AJ$4,0))))=0,NA(),SUMPRODUCT((Inputs!$A$5:$A$130=$B6)*Inputs!$B$5:$B$130*(((Inputs!$G$5:$G$130="moeda")+(Inputs!$G$5:$G$130="acoes"))*Inputs!$B$1+((Inputs!$G$5:$G$130&lt;&gt;"moeda")*(Inputs!$G$5:$G$130&lt;&gt;"acoes")))*INDEX(Inputs!$K$5:$AJ$130,0,MATCH(AA$2,Inputs!$K$4:$AJ$4,0)))+SUMPRODUCT((Inputs!$C$5:$C$130=$B6)*Inputs!$D$5:$D$130*(((Inputs!$G$5:$G$130="moeda")+(Inputs!$G$5:$G$130="acoes"))*Inputs!$B$1+((Inputs!$G$5:$G$130&lt;&gt;"moeda")*(Inputs!$G$5:$G$130&lt;&gt;"acoes")))*INDEX(Inputs!$K$5:$AJ$130,0,MATCH(AA$2,Inputs!$K$4:$AJ$4,0)))+SUMPRODUCT((Inputs!$E$5:$E$130=$B6)*Inputs!$F$5:$F$130*(((Inputs!$G$5:$G$130="moeda")+(Inputs!$G$5:$G$130="acoes"))*Inputs!$B$1+((Inputs!$G$5:$G$130&lt;&gt;"moeda")*(Inputs!$G$5:$G$130&lt;&gt;"acoes")))*INDEX(Inputs!$K$5:$AJ$130,0,MATCH(AA$2,Inputs!$K$4:$AJ$4,0)))))</f>
        <v>-9021</v>
      </c>
      <c r="AB6" s="3">
        <f>SUM(X6:AA6)</f>
        <v>-44516</v>
      </c>
      <c r="AC6" s="6">
        <f>IF(ISNA(MATCH(AC$2,Inputs!$K$4:$AJ$4,0)),NA(),IF(SUMPRODUCT((Inputs!$A$5:$A$130=$B6)*ISNUMBER(INDEX(Inputs!$K$5:$AJ$130,0,MATCH(AC$2,Inputs!$K$4:$AJ$4,0))))+SUMPRODUCT((Inputs!$C$5:$C$130=$B6)*ISNUMBER(INDEX(Inputs!$K$5:$AJ$130,0,MATCH(AC$2,Inputs!$K$4:$AJ$4,0))))+SUMPRODUCT((Inputs!$E$5:$E$130=$B6)*ISNUMBER(INDEX(Inputs!$K$5:$AJ$130,0,MATCH(AC$2,Inputs!$K$4:$AJ$4,0))))=0,NA(),SUMPRODUCT((Inputs!$A$5:$A$130=$B6)*Inputs!$B$5:$B$130*(((Inputs!$G$5:$G$130="moeda")+(Inputs!$G$5:$G$130="acoes"))*Inputs!$B$1+((Inputs!$G$5:$G$130&lt;&gt;"moeda")*(Inputs!$G$5:$G$130&lt;&gt;"acoes")))*INDEX(Inputs!$K$5:$AJ$130,0,MATCH(AC$2,Inputs!$K$4:$AJ$4,0)))+SUMPRODUCT((Inputs!$C$5:$C$130=$B6)*Inputs!$D$5:$D$130*(((Inputs!$G$5:$G$130="moeda")+(Inputs!$G$5:$G$130="acoes"))*Inputs!$B$1+((Inputs!$G$5:$G$130&lt;&gt;"moeda")*(Inputs!$G$5:$G$130&lt;&gt;"acoes")))*INDEX(Inputs!$K$5:$AJ$130,0,MATCH(AC$2,Inputs!$K$4:$AJ$4,0)))+SUMPRODUCT((Inputs!$E$5:$E$130=$B6)*Inputs!$F$5:$F$130*(((Inputs!$G$5:$G$130="moeda")+(Inputs!$G$5:$G$130="acoes"))*Inputs!$B$1+((Inputs!$G$5:$G$130&lt;&gt;"moeda")*(Inputs!$G$5:$G$130&lt;&gt;"acoes")))*INDEX(Inputs!$K$5:$AJ$130,0,MATCH(AC$2,Inputs!$K$4:$AJ$4,0)))))</f>
        <v>-12775</v>
      </c>
      <c r="AD6" s="6">
        <f>IF(ISNA(MATCH(AD$2,Inputs!$K$4:$AJ$4,0)),NA(),IF(SUMPRODUCT((Inputs!$A$5:$A$130=$B6)*ISNUMBER(INDEX(Inputs!$K$5:$AJ$130,0,MATCH(AD$2,Inputs!$K$4:$AJ$4,0))))+SUMPRODUCT((Inputs!$C$5:$C$130=$B6)*ISNUMBER(INDEX(Inputs!$K$5:$AJ$130,0,MATCH(AD$2,Inputs!$K$4:$AJ$4,0))))+SUMPRODUCT((Inputs!$E$5:$E$130=$B6)*ISNUMBER(INDEX(Inputs!$K$5:$AJ$130,0,MATCH(AD$2,Inputs!$K$4:$AJ$4,0))))=0,NA(),SUMPRODUCT((Inputs!$A$5:$A$130=$B6)*Inputs!$B$5:$B$130*(((Inputs!$G$5:$G$130="moeda")+(Inputs!$G$5:$G$130="acoes"))*Inputs!$B$1+((Inputs!$G$5:$G$130&lt;&gt;"moeda")*(Inputs!$G$5:$G$130&lt;&gt;"acoes")))*INDEX(Inputs!$K$5:$AJ$130,0,MATCH(AD$2,Inputs!$K$4:$AJ$4,0)))+SUMPRODUCT((Inputs!$C$5:$C$130=$B6)*Inputs!$D$5:$D$130*(((Inputs!$G$5:$G$130="moeda")+(Inputs!$G$5:$G$130="acoes"))*Inputs!$B$1+((Inputs!$G$5:$G$130&lt;&gt;"moeda")*(Inputs!$G$5:$G$130&lt;&gt;"acoes")))*INDEX(Inputs!$K$5:$AJ$130,0,MATCH(AD$2,Inputs!$K$4:$AJ$4,0)))+SUMPRODUCT((Inputs!$E$5:$E$130=$B6)*Inputs!$F$5:$F$130*(((Inputs!$G$5:$G$130="moeda")+(Inputs!$G$5:$G$130="acoes"))*Inputs!$B$1+((Inputs!$G$5:$G$130&lt;&gt;"moeda")*(Inputs!$G$5:$G$130&lt;&gt;"acoes")))*INDEX(Inputs!$K$5:$AJ$130,0,MATCH(AD$2,Inputs!$K$4:$AJ$4,0)))))</f>
        <v>-12005</v>
      </c>
      <c r="AE6" s="6" t="e">
        <f>IF(ISNA(MATCH(AE$2,Inputs!$K$4:$AJ$4,0)),NA(),IF(SUMPRODUCT((Inputs!$A$5:$A$130=$B6)*ISNUMBER(INDEX(Inputs!$K$5:$AJ$130,0,MATCH(AE$2,Inputs!$K$4:$AJ$4,0))))+SUMPRODUCT((Inputs!$C$5:$C$130=$B6)*ISNUMBER(INDEX(Inputs!$K$5:$AJ$130,0,MATCH(AE$2,Inputs!$K$4:$AJ$4,0))))+SUMPRODUCT((Inputs!$E$5:$E$130=$B6)*ISNUMBER(INDEX(Inputs!$K$5:$AJ$130,0,MATCH(AE$2,Inputs!$K$4:$AJ$4,0))))=0,NA(),SUMPRODUCT((Inputs!$A$5:$A$130=$B6)*Inputs!$B$5:$B$130*(((Inputs!$G$5:$G$130="moeda")+(Inputs!$G$5:$G$130="acoes"))*Inputs!$B$1+((Inputs!$G$5:$G$130&lt;&gt;"moeda")*(Inputs!$G$5:$G$130&lt;&gt;"acoes")))*INDEX(Inputs!$K$5:$AJ$130,0,MATCH(AE$2,Inputs!$K$4:$AJ$4,0)))+SUMPRODUCT((Inputs!$C$5:$C$130=$B6)*Inputs!$D$5:$D$130*(((Inputs!$G$5:$G$130="moeda")+(Inputs!$G$5:$G$130="acoes"))*Inputs!$B$1+((Inputs!$G$5:$G$130&lt;&gt;"moeda")*(Inputs!$G$5:$G$130&lt;&gt;"acoes")))*INDEX(Inputs!$K$5:$AJ$130,0,MATCH(AE$2,Inputs!$K$4:$AJ$4,0)))+SUMPRODUCT((Inputs!$E$5:$E$130=$B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" s="6" t="e">
        <f>IF(ISNA(MATCH(AF$2,Inputs!$K$4:$AJ$4,0)),NA(),IF(SUMPRODUCT((Inputs!$A$5:$A$130=$B6)*ISNUMBER(INDEX(Inputs!$K$5:$AJ$130,0,MATCH(AF$2,Inputs!$K$4:$AJ$4,0))))+SUMPRODUCT((Inputs!$C$5:$C$130=$B6)*ISNUMBER(INDEX(Inputs!$K$5:$AJ$130,0,MATCH(AF$2,Inputs!$K$4:$AJ$4,0))))+SUMPRODUCT((Inputs!$E$5:$E$130=$B6)*ISNUMBER(INDEX(Inputs!$K$5:$AJ$130,0,MATCH(AF$2,Inputs!$K$4:$AJ$4,0))))=0,NA(),SUMPRODUCT((Inputs!$A$5:$A$130=$B6)*Inputs!$B$5:$B$130*(((Inputs!$G$5:$G$130="moeda")+(Inputs!$G$5:$G$130="acoes"))*Inputs!$B$1+((Inputs!$G$5:$G$130&lt;&gt;"moeda")*(Inputs!$G$5:$G$130&lt;&gt;"acoes")))*INDEX(Inputs!$K$5:$AJ$130,0,MATCH(AF$2,Inputs!$K$4:$AJ$4,0)))+SUMPRODUCT((Inputs!$C$5:$C$130=$B6)*Inputs!$D$5:$D$130*(((Inputs!$G$5:$G$130="moeda")+(Inputs!$G$5:$G$130="acoes"))*Inputs!$B$1+((Inputs!$G$5:$G$130&lt;&gt;"moeda")*(Inputs!$G$5:$G$130&lt;&gt;"acoes")))*INDEX(Inputs!$K$5:$AJ$130,0,MATCH(AF$2,Inputs!$K$4:$AJ$4,0)))+SUMPRODUCT((Inputs!$E$5:$E$130=$B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" s="3" t="e">
        <f>SUM(AC6:AF6)</f>
        <v>#N/A</v>
      </c>
      <c r="AH6" s="6">
        <f>IF(ISNA(MATCH(AH$2,Inputs!$K$4:$AJ$4,0)),NA(),IF(SUMPRODUCT((Inputs!$A$5:$A$130=$B6)*ISNUMBER(INDEX(Inputs!$K$5:$AJ$130,0,MATCH(AH$2,Inputs!$K$4:$AJ$4,0))))+SUMPRODUCT((Inputs!$C$5:$C$130=$B6)*ISNUMBER(INDEX(Inputs!$K$5:$AJ$130,0,MATCH(AH$2,Inputs!$K$4:$AJ$4,0))))+SUMPRODUCT((Inputs!$E$5:$E$130=$B6)*ISNUMBER(INDEX(Inputs!$K$5:$AJ$130,0,MATCH(AH$2,Inputs!$K$4:$AJ$4,0))))=0,NA(),SUMPRODUCT((Inputs!$A$5:$A$130=$B6)*Inputs!$B$5:$B$130*(((Inputs!$G$5:$G$130="moeda")+(Inputs!$G$5:$G$130="acoes"))*Inputs!$B$1+((Inputs!$G$5:$G$130&lt;&gt;"moeda")*(Inputs!$G$5:$G$130&lt;&gt;"acoes")))*INDEX(Inputs!$K$5:$AJ$130,0,MATCH(AH$2,Inputs!$K$4:$AJ$4,0)))+SUMPRODUCT((Inputs!$C$5:$C$130=$B6)*Inputs!$D$5:$D$130*(((Inputs!$G$5:$G$130="moeda")+(Inputs!$G$5:$G$130="acoes"))*Inputs!$B$1+((Inputs!$G$5:$G$130&lt;&gt;"moeda")*(Inputs!$G$5:$G$130&lt;&gt;"acoes")))*INDEX(Inputs!$K$5:$AJ$130,0,MATCH(AH$2,Inputs!$K$4:$AJ$4,0)))+SUMPRODUCT((Inputs!$E$5:$E$130=$B6)*Inputs!$F$5:$F$130*(((Inputs!$G$5:$G$130="moeda")+(Inputs!$G$5:$G$130="acoes"))*Inputs!$B$1+((Inputs!$G$5:$G$130&lt;&gt;"moeda")*(Inputs!$G$5:$G$130&lt;&gt;"acoes")))*INDEX(Inputs!$K$5:$AJ$130,0,MATCH(AH$2,Inputs!$K$4:$AJ$4,0)))))</f>
        <v>-7759</v>
      </c>
      <c r="AI6" s="6">
        <f>IF(ISNA(MATCH(AI$2,Inputs!$K$4:$AJ$4,0)),NA(),IF(SUMPRODUCT((Inputs!$A$5:$A$130=$B6)*ISNUMBER(INDEX(Inputs!$K$5:$AJ$130,0,MATCH(AI$2,Inputs!$K$4:$AJ$4,0))))+SUMPRODUCT((Inputs!$C$5:$C$130=$B6)*ISNUMBER(INDEX(Inputs!$K$5:$AJ$130,0,MATCH(AI$2,Inputs!$K$4:$AJ$4,0))))+SUMPRODUCT((Inputs!$E$5:$E$130=$B6)*ISNUMBER(INDEX(Inputs!$K$5:$AJ$130,0,MATCH(AI$2,Inputs!$K$4:$AJ$4,0))))=0,NA(),SUMPRODUCT((Inputs!$A$5:$A$130=$B6)*Inputs!$B$5:$B$130*(((Inputs!$G$5:$G$130="moeda")+(Inputs!$G$5:$G$130="acoes"))*Inputs!$B$1+((Inputs!$G$5:$G$130&lt;&gt;"moeda")*(Inputs!$G$5:$G$130&lt;&gt;"acoes")))*INDEX(Inputs!$K$5:$AJ$130,0,MATCH(AI$2,Inputs!$K$4:$AJ$4,0)))+SUMPRODUCT((Inputs!$C$5:$C$130=$B6)*Inputs!$D$5:$D$130*(((Inputs!$G$5:$G$130="moeda")+(Inputs!$G$5:$G$130="acoes"))*Inputs!$B$1+((Inputs!$G$5:$G$130&lt;&gt;"moeda")*(Inputs!$G$5:$G$130&lt;&gt;"acoes")))*INDEX(Inputs!$K$5:$AJ$130,0,MATCH(AI$2,Inputs!$K$4:$AJ$4,0)))+SUMPRODUCT((Inputs!$E$5:$E$130=$B6)*Inputs!$F$5:$F$130*(((Inputs!$G$5:$G$130="moeda")+(Inputs!$G$5:$G$130="acoes"))*Inputs!$B$1+((Inputs!$G$5:$G$130&lt;&gt;"moeda")*(Inputs!$G$5:$G$130&lt;&gt;"acoes")))*INDEX(Inputs!$K$5:$AJ$130,0,MATCH(AI$2,Inputs!$K$4:$AJ$4,0)))))</f>
        <v>-6988</v>
      </c>
      <c r="AJ6" s="6">
        <f>IF(ISNA(MATCH(AJ$2,Inputs!$K$4:$AJ$4,0)),NA(),IF(SUMPRODUCT((Inputs!$A$5:$A$130=$B6)*ISNUMBER(INDEX(Inputs!$K$5:$AJ$130,0,MATCH(AJ$2,Inputs!$K$4:$AJ$4,0))))+SUMPRODUCT((Inputs!$C$5:$C$130=$B6)*ISNUMBER(INDEX(Inputs!$K$5:$AJ$130,0,MATCH(AJ$2,Inputs!$K$4:$AJ$4,0))))+SUMPRODUCT((Inputs!$E$5:$E$130=$B6)*ISNUMBER(INDEX(Inputs!$K$5:$AJ$130,0,MATCH(AJ$2,Inputs!$K$4:$AJ$4,0))))=0,NA(),SUMPRODUCT((Inputs!$A$5:$A$130=$B6)*Inputs!$B$5:$B$130*(((Inputs!$G$5:$G$130="moeda")+(Inputs!$G$5:$G$130="acoes"))*Inputs!$B$1+((Inputs!$G$5:$G$130&lt;&gt;"moeda")*(Inputs!$G$5:$G$130&lt;&gt;"acoes")))*INDEX(Inputs!$K$5:$AJ$130,0,MATCH(AJ$2,Inputs!$K$4:$AJ$4,0)))+SUMPRODUCT((Inputs!$C$5:$C$130=$B6)*Inputs!$D$5:$D$130*(((Inputs!$G$5:$G$130="moeda")+(Inputs!$G$5:$G$130="acoes"))*Inputs!$B$1+((Inputs!$G$5:$G$130&lt;&gt;"moeda")*(Inputs!$G$5:$G$130&lt;&gt;"acoes")))*INDEX(Inputs!$K$5:$AJ$130,0,MATCH(AJ$2,Inputs!$K$4:$AJ$4,0)))+SUMPRODUCT((Inputs!$E$5:$E$130=$B6)*Inputs!$F$5:$F$130*(((Inputs!$G$5:$G$130="moeda")+(Inputs!$G$5:$G$130="acoes"))*Inputs!$B$1+((Inputs!$G$5:$G$130&lt;&gt;"moeda")*(Inputs!$G$5:$G$130&lt;&gt;"acoes")))*INDEX(Inputs!$K$5:$AJ$130,0,MATCH(AJ$2,Inputs!$K$4:$AJ$4,0)))))</f>
        <v>-7923</v>
      </c>
      <c r="AK6" s="6">
        <f>IF(ISNA(MATCH(AK$2,Inputs!$K$4:$AJ$4,0)),NA(),IF(SUMPRODUCT((Inputs!$A$5:$A$130=$B6)*ISNUMBER(INDEX(Inputs!$K$5:$AJ$130,0,MATCH(AK$2,Inputs!$K$4:$AJ$4,0))))+SUMPRODUCT((Inputs!$C$5:$C$130=$B6)*ISNUMBER(INDEX(Inputs!$K$5:$AJ$130,0,MATCH(AK$2,Inputs!$K$4:$AJ$4,0))))+SUMPRODUCT((Inputs!$E$5:$E$130=$B6)*ISNUMBER(INDEX(Inputs!$K$5:$AJ$130,0,MATCH(AK$2,Inputs!$K$4:$AJ$4,0))))=0,NA(),SUMPRODUCT((Inputs!$A$5:$A$130=$B6)*Inputs!$B$5:$B$130*(((Inputs!$G$5:$G$130="moeda")+(Inputs!$G$5:$G$130="acoes"))*Inputs!$B$1+((Inputs!$G$5:$G$130&lt;&gt;"moeda")*(Inputs!$G$5:$G$130&lt;&gt;"acoes")))*INDEX(Inputs!$K$5:$AJ$130,0,MATCH(AK$2,Inputs!$K$4:$AJ$4,0)))+SUMPRODUCT((Inputs!$C$5:$C$130=$B6)*Inputs!$D$5:$D$130*(((Inputs!$G$5:$G$130="moeda")+(Inputs!$G$5:$G$130="acoes"))*Inputs!$B$1+((Inputs!$G$5:$G$130&lt;&gt;"moeda")*(Inputs!$G$5:$G$130&lt;&gt;"acoes")))*INDEX(Inputs!$K$5:$AJ$130,0,MATCH(AK$2,Inputs!$K$4:$AJ$4,0)))+SUMPRODUCT((Inputs!$E$5:$E$130=$B6)*Inputs!$F$5:$F$130*(((Inputs!$G$5:$G$130="moeda")+(Inputs!$G$5:$G$130="acoes"))*Inputs!$B$1+((Inputs!$G$5:$G$130&lt;&gt;"moeda")*(Inputs!$G$5:$G$130&lt;&gt;"acoes")))*INDEX(Inputs!$K$5:$AJ$130,0,MATCH(AK$2,Inputs!$K$4:$AJ$4,0)))))</f>
        <v>-6936</v>
      </c>
      <c r="AL6" s="3">
        <f>SUM(AH6:AK6)</f>
        <v>-29606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$130=$B7)*ISNUMBER(INDEX(Inputs!$K$5:$AJ$130,0,MATCH(D$2,Inputs!$K$4:$AJ$4,0))))+SUMPRODUCT((Inputs!$C$5:$C$130=$B7)*ISNUMBER(INDEX(Inputs!$K$5:$AJ$130,0,MATCH(D$2,Inputs!$K$4:$AJ$4,0))))+SUMPRODUCT((Inputs!$E$5:$E$130=$B7)*ISNUMBER(INDEX(Inputs!$K$5:$AJ$130,0,MATCH(D$2,Inputs!$K$4:$AJ$4,0))))=0,NA(),SUMPRODUCT((Inputs!$A$5:$A$130=$B7)*Inputs!$B$5:$B$130*(((Inputs!$G$5:$G$130="moeda")+(Inputs!$G$5:$G$130="acoes"))*Inputs!$B$1+((Inputs!$G$5:$G$130&lt;&gt;"moeda")*(Inputs!$G$5:$G$130&lt;&gt;"acoes")))*INDEX(Inputs!$K$5:$AJ$130,0,MATCH(D$2,Inputs!$K$4:$AJ$4,0)))+SUMPRODUCT((Inputs!$C$5:$C$130=$B7)*Inputs!$D$5:$D$130*(((Inputs!$G$5:$G$130="moeda")+(Inputs!$G$5:$G$130="acoes"))*Inputs!$B$1+((Inputs!$G$5:$G$130&lt;&gt;"moeda")*(Inputs!$G$5:$G$130&lt;&gt;"acoes")))*INDEX(Inputs!$K$5:$AJ$130,0,MATCH(D$2,Inputs!$K$4:$AJ$4,0)))+SUMPRODUCT((Inputs!$E$5:$E$130=$B7)*Inputs!$F$5:$F$130*(((Inputs!$G$5:$G$130="moeda")+(Inputs!$G$5:$G$130="acoes"))*Inputs!$B$1+((Inputs!$G$5:$G$130&lt;&gt;"moeda")*(Inputs!$G$5:$G$130&lt;&gt;"acoes")))*INDEX(Inputs!$K$5:$AJ$130,0,MATCH(D$2,Inputs!$K$4:$AJ$4,0)))))</f>
        <v>-516</v>
      </c>
      <c r="E7" s="6">
        <f>IF(ISNA(MATCH(E$2,Inputs!$K$4:$AJ$4,0)),NA(),IF(SUMPRODUCT((Inputs!$A$5:$A$130=$B7)*ISNUMBER(INDEX(Inputs!$K$5:$AJ$130,0,MATCH(E$2,Inputs!$K$4:$AJ$4,0))))+SUMPRODUCT((Inputs!$C$5:$C$130=$B7)*ISNUMBER(INDEX(Inputs!$K$5:$AJ$130,0,MATCH(E$2,Inputs!$K$4:$AJ$4,0))))+SUMPRODUCT((Inputs!$E$5:$E$130=$B7)*ISNUMBER(INDEX(Inputs!$K$5:$AJ$130,0,MATCH(E$2,Inputs!$K$4:$AJ$4,0))))=0,NA(),SUMPRODUCT((Inputs!$A$5:$A$130=$B7)*Inputs!$B$5:$B$130*(((Inputs!$G$5:$G$130="moeda")+(Inputs!$G$5:$G$130="acoes"))*Inputs!$B$1+((Inputs!$G$5:$G$130&lt;&gt;"moeda")*(Inputs!$G$5:$G$130&lt;&gt;"acoes")))*INDEX(Inputs!$K$5:$AJ$130,0,MATCH(E$2,Inputs!$K$4:$AJ$4,0)))+SUMPRODUCT((Inputs!$C$5:$C$130=$B7)*Inputs!$D$5:$D$130*(((Inputs!$G$5:$G$130="moeda")+(Inputs!$G$5:$G$130="acoes"))*Inputs!$B$1+((Inputs!$G$5:$G$130&lt;&gt;"moeda")*(Inputs!$G$5:$G$130&lt;&gt;"acoes")))*INDEX(Inputs!$K$5:$AJ$130,0,MATCH(E$2,Inputs!$K$4:$AJ$4,0)))+SUMPRODUCT((Inputs!$E$5:$E$130=$B7)*Inputs!$F$5:$F$130*(((Inputs!$G$5:$G$130="moeda")+(Inputs!$G$5:$G$130="acoes"))*Inputs!$B$1+((Inputs!$G$5:$G$130&lt;&gt;"moeda")*(Inputs!$G$5:$G$130&lt;&gt;"acoes")))*INDEX(Inputs!$K$5:$AJ$130,0,MATCH(E$2,Inputs!$K$4:$AJ$4,0)))))</f>
        <v>-515</v>
      </c>
      <c r="F7" s="6">
        <f>IF(ISNA(MATCH(F$2,Inputs!$K$4:$AJ$4,0)),NA(),IF(SUMPRODUCT((Inputs!$A$5:$A$130=$B7)*ISNUMBER(INDEX(Inputs!$K$5:$AJ$130,0,MATCH(F$2,Inputs!$K$4:$AJ$4,0))))+SUMPRODUCT((Inputs!$C$5:$C$130=$B7)*ISNUMBER(INDEX(Inputs!$K$5:$AJ$130,0,MATCH(F$2,Inputs!$K$4:$AJ$4,0))))+SUMPRODUCT((Inputs!$E$5:$E$130=$B7)*ISNUMBER(INDEX(Inputs!$K$5:$AJ$130,0,MATCH(F$2,Inputs!$K$4:$AJ$4,0))))=0,NA(),SUMPRODUCT((Inputs!$A$5:$A$130=$B7)*Inputs!$B$5:$B$130*(((Inputs!$G$5:$G$130="moeda")+(Inputs!$G$5:$G$130="acoes"))*Inputs!$B$1+((Inputs!$G$5:$G$130&lt;&gt;"moeda")*(Inputs!$G$5:$G$130&lt;&gt;"acoes")))*INDEX(Inputs!$K$5:$AJ$130,0,MATCH(F$2,Inputs!$K$4:$AJ$4,0)))+SUMPRODUCT((Inputs!$C$5:$C$130=$B7)*Inputs!$D$5:$D$130*(((Inputs!$G$5:$G$130="moeda")+(Inputs!$G$5:$G$130="acoes"))*Inputs!$B$1+((Inputs!$G$5:$G$130&lt;&gt;"moeda")*(Inputs!$G$5:$G$130&lt;&gt;"acoes")))*INDEX(Inputs!$K$5:$AJ$130,0,MATCH(F$2,Inputs!$K$4:$AJ$4,0)))+SUMPRODUCT((Inputs!$E$5:$E$130=$B7)*Inputs!$F$5:$F$130*(((Inputs!$G$5:$G$130="moeda")+(Inputs!$G$5:$G$130="acoes"))*Inputs!$B$1+((Inputs!$G$5:$G$130&lt;&gt;"moeda")*(Inputs!$G$5:$G$130&lt;&gt;"acoes")))*INDEX(Inputs!$K$5:$AJ$130,0,MATCH(F$2,Inputs!$K$4:$AJ$4,0)))))</f>
        <v>-481</v>
      </c>
      <c r="G7" s="6">
        <f>IF(ISNA(MATCH(G$2,Inputs!$K$4:$AJ$4,0)),NA(),IF(SUMPRODUCT((Inputs!$A$5:$A$130=$B7)*ISNUMBER(INDEX(Inputs!$K$5:$AJ$130,0,MATCH(G$2,Inputs!$K$4:$AJ$4,0))))+SUMPRODUCT((Inputs!$C$5:$C$130=$B7)*ISNUMBER(INDEX(Inputs!$K$5:$AJ$130,0,MATCH(G$2,Inputs!$K$4:$AJ$4,0))))+SUMPRODUCT((Inputs!$E$5:$E$130=$B7)*ISNUMBER(INDEX(Inputs!$K$5:$AJ$130,0,MATCH(G$2,Inputs!$K$4:$AJ$4,0))))=0,NA(),SUMPRODUCT((Inputs!$A$5:$A$130=$B7)*Inputs!$B$5:$B$130*(((Inputs!$G$5:$G$130="moeda")+(Inputs!$G$5:$G$130="acoes"))*Inputs!$B$1+((Inputs!$G$5:$G$130&lt;&gt;"moeda")*(Inputs!$G$5:$G$130&lt;&gt;"acoes")))*INDEX(Inputs!$K$5:$AJ$130,0,MATCH(G$2,Inputs!$K$4:$AJ$4,0)))+SUMPRODUCT((Inputs!$C$5:$C$130=$B7)*Inputs!$D$5:$D$130*(((Inputs!$G$5:$G$130="moeda")+(Inputs!$G$5:$G$130="acoes"))*Inputs!$B$1+((Inputs!$G$5:$G$130&lt;&gt;"moeda")*(Inputs!$G$5:$G$130&lt;&gt;"acoes")))*INDEX(Inputs!$K$5:$AJ$130,0,MATCH(G$2,Inputs!$K$4:$AJ$4,0)))+SUMPRODUCT((Inputs!$E$5:$E$130=$B7)*Inputs!$F$5:$F$130*(((Inputs!$G$5:$G$130="moeda")+(Inputs!$G$5:$G$130="acoes"))*Inputs!$B$1+((Inputs!$G$5:$G$130&lt;&gt;"moeda")*(Inputs!$G$5:$G$130&lt;&gt;"acoes")))*INDEX(Inputs!$K$5:$AJ$130,0,MATCH(G$2,Inputs!$K$4:$AJ$4,0)))))</f>
        <v>-486</v>
      </c>
      <c r="H7" s="3">
        <f>SUM(D7:G7)</f>
        <v>-1998</v>
      </c>
      <c r="I7" s="6">
        <f>IF(ISNA(MATCH(I$2,Inputs!$K$4:$AJ$4,0)),NA(),IF(SUMPRODUCT((Inputs!$A$5:$A$130=$B7)*ISNUMBER(INDEX(Inputs!$K$5:$AJ$130,0,MATCH(I$2,Inputs!$K$4:$AJ$4,0))))+SUMPRODUCT((Inputs!$C$5:$C$130=$B7)*ISNUMBER(INDEX(Inputs!$K$5:$AJ$130,0,MATCH(I$2,Inputs!$K$4:$AJ$4,0))))+SUMPRODUCT((Inputs!$E$5:$E$130=$B7)*ISNUMBER(INDEX(Inputs!$K$5:$AJ$130,0,MATCH(I$2,Inputs!$K$4:$AJ$4,0))))=0,NA(),SUMPRODUCT((Inputs!$A$5:$A$130=$B7)*Inputs!$B$5:$B$130*(((Inputs!$G$5:$G$130="moeda")+(Inputs!$G$5:$G$130="acoes"))*Inputs!$B$1+((Inputs!$G$5:$G$130&lt;&gt;"moeda")*(Inputs!$G$5:$G$130&lt;&gt;"acoes")))*INDEX(Inputs!$K$5:$AJ$130,0,MATCH(I$2,Inputs!$K$4:$AJ$4,0)))+SUMPRODUCT((Inputs!$C$5:$C$130=$B7)*Inputs!$D$5:$D$130*(((Inputs!$G$5:$G$130="moeda")+(Inputs!$G$5:$G$130="acoes"))*Inputs!$B$1+((Inputs!$G$5:$G$130&lt;&gt;"moeda")*(Inputs!$G$5:$G$130&lt;&gt;"acoes")))*INDEX(Inputs!$K$5:$AJ$130,0,MATCH(I$2,Inputs!$K$4:$AJ$4,0)))+SUMPRODUCT((Inputs!$E$5:$E$130=$B7)*Inputs!$F$5:$F$130*(((Inputs!$G$5:$G$130="moeda")+(Inputs!$G$5:$G$130="acoes"))*Inputs!$B$1+((Inputs!$G$5:$G$130&lt;&gt;"moeda")*(Inputs!$G$5:$G$130&lt;&gt;"acoes")))*INDEX(Inputs!$K$5:$AJ$130,0,MATCH(I$2,Inputs!$K$4:$AJ$4,0)))))</f>
        <v>-447</v>
      </c>
      <c r="J7" s="6">
        <f>IF(ISNA(MATCH(J$2,Inputs!$K$4:$AJ$4,0)),NA(),IF(SUMPRODUCT((Inputs!$A$5:$A$130=$B7)*ISNUMBER(INDEX(Inputs!$K$5:$AJ$130,0,MATCH(J$2,Inputs!$K$4:$AJ$4,0))))+SUMPRODUCT((Inputs!$C$5:$C$130=$B7)*ISNUMBER(INDEX(Inputs!$K$5:$AJ$130,0,MATCH(J$2,Inputs!$K$4:$AJ$4,0))))+SUMPRODUCT((Inputs!$E$5:$E$130=$B7)*ISNUMBER(INDEX(Inputs!$K$5:$AJ$130,0,MATCH(J$2,Inputs!$K$4:$AJ$4,0))))=0,NA(),SUMPRODUCT((Inputs!$A$5:$A$130=$B7)*Inputs!$B$5:$B$130*(((Inputs!$G$5:$G$130="moeda")+(Inputs!$G$5:$G$130="acoes"))*Inputs!$B$1+((Inputs!$G$5:$G$130&lt;&gt;"moeda")*(Inputs!$G$5:$G$130&lt;&gt;"acoes")))*INDEX(Inputs!$K$5:$AJ$130,0,MATCH(J$2,Inputs!$K$4:$AJ$4,0)))+SUMPRODUCT((Inputs!$C$5:$C$130=$B7)*Inputs!$D$5:$D$130*(((Inputs!$G$5:$G$130="moeda")+(Inputs!$G$5:$G$130="acoes"))*Inputs!$B$1+((Inputs!$G$5:$G$130&lt;&gt;"moeda")*(Inputs!$G$5:$G$130&lt;&gt;"acoes")))*INDEX(Inputs!$K$5:$AJ$130,0,MATCH(J$2,Inputs!$K$4:$AJ$4,0)))+SUMPRODUCT((Inputs!$E$5:$E$130=$B7)*Inputs!$F$5:$F$130*(((Inputs!$G$5:$G$130="moeda")+(Inputs!$G$5:$G$130="acoes"))*Inputs!$B$1+((Inputs!$G$5:$G$130&lt;&gt;"moeda")*(Inputs!$G$5:$G$130&lt;&gt;"acoes")))*INDEX(Inputs!$K$5:$AJ$130,0,MATCH(J$2,Inputs!$K$4:$AJ$4,0)))))</f>
        <v>-510</v>
      </c>
      <c r="K7" s="6">
        <f>IF(ISNA(MATCH(K$2,Inputs!$K$4:$AJ$4,0)),NA(),IF(SUMPRODUCT((Inputs!$A$5:$A$130=$B7)*ISNUMBER(INDEX(Inputs!$K$5:$AJ$130,0,MATCH(K$2,Inputs!$K$4:$AJ$4,0))))+SUMPRODUCT((Inputs!$C$5:$C$130=$B7)*ISNUMBER(INDEX(Inputs!$K$5:$AJ$130,0,MATCH(K$2,Inputs!$K$4:$AJ$4,0))))+SUMPRODUCT((Inputs!$E$5:$E$130=$B7)*ISNUMBER(INDEX(Inputs!$K$5:$AJ$130,0,MATCH(K$2,Inputs!$K$4:$AJ$4,0))))=0,NA(),SUMPRODUCT((Inputs!$A$5:$A$130=$B7)*Inputs!$B$5:$B$130*(((Inputs!$G$5:$G$130="moeda")+(Inputs!$G$5:$G$130="acoes"))*Inputs!$B$1+((Inputs!$G$5:$G$130&lt;&gt;"moeda")*(Inputs!$G$5:$G$130&lt;&gt;"acoes")))*INDEX(Inputs!$K$5:$AJ$130,0,MATCH(K$2,Inputs!$K$4:$AJ$4,0)))+SUMPRODUCT((Inputs!$C$5:$C$130=$B7)*Inputs!$D$5:$D$130*(((Inputs!$G$5:$G$130="moeda")+(Inputs!$G$5:$G$130="acoes"))*Inputs!$B$1+((Inputs!$G$5:$G$130&lt;&gt;"moeda")*(Inputs!$G$5:$G$130&lt;&gt;"acoes")))*INDEX(Inputs!$K$5:$AJ$130,0,MATCH(K$2,Inputs!$K$4:$AJ$4,0)))+SUMPRODUCT((Inputs!$E$5:$E$130=$B7)*Inputs!$F$5:$F$130*(((Inputs!$G$5:$G$130="moeda")+(Inputs!$G$5:$G$130="acoes"))*Inputs!$B$1+((Inputs!$G$5:$G$130&lt;&gt;"moeda")*(Inputs!$G$5:$G$130&lt;&gt;"acoes")))*INDEX(Inputs!$K$5:$AJ$130,0,MATCH(K$2,Inputs!$K$4:$AJ$4,0)))))</f>
        <v>-452</v>
      </c>
      <c r="L7" s="6">
        <f>IF(ISNA(MATCH(L$2,Inputs!$K$4:$AJ$4,0)),NA(),IF(SUMPRODUCT((Inputs!$A$5:$A$130=$B7)*ISNUMBER(INDEX(Inputs!$K$5:$AJ$130,0,MATCH(L$2,Inputs!$K$4:$AJ$4,0))))+SUMPRODUCT((Inputs!$C$5:$C$130=$B7)*ISNUMBER(INDEX(Inputs!$K$5:$AJ$130,0,MATCH(L$2,Inputs!$K$4:$AJ$4,0))))+SUMPRODUCT((Inputs!$E$5:$E$130=$B7)*ISNUMBER(INDEX(Inputs!$K$5:$AJ$130,0,MATCH(L$2,Inputs!$K$4:$AJ$4,0))))=0,NA(),SUMPRODUCT((Inputs!$A$5:$A$130=$B7)*Inputs!$B$5:$B$130*(((Inputs!$G$5:$G$130="moeda")+(Inputs!$G$5:$G$130="acoes"))*Inputs!$B$1+((Inputs!$G$5:$G$130&lt;&gt;"moeda")*(Inputs!$G$5:$G$130&lt;&gt;"acoes")))*INDEX(Inputs!$K$5:$AJ$130,0,MATCH(L$2,Inputs!$K$4:$AJ$4,0)))+SUMPRODUCT((Inputs!$C$5:$C$130=$B7)*Inputs!$D$5:$D$130*(((Inputs!$G$5:$G$130="moeda")+(Inputs!$G$5:$G$130="acoes"))*Inputs!$B$1+((Inputs!$G$5:$G$130&lt;&gt;"moeda")*(Inputs!$G$5:$G$130&lt;&gt;"acoes")))*INDEX(Inputs!$K$5:$AJ$130,0,MATCH(L$2,Inputs!$K$4:$AJ$4,0)))+SUMPRODUCT((Inputs!$E$5:$E$130=$B7)*Inputs!$F$5:$F$130*(((Inputs!$G$5:$G$130="moeda")+(Inputs!$G$5:$G$130="acoes"))*Inputs!$B$1+((Inputs!$G$5:$G$130&lt;&gt;"moeda")*(Inputs!$G$5:$G$130&lt;&gt;"acoes")))*INDEX(Inputs!$K$5:$AJ$130,0,MATCH(L$2,Inputs!$K$4:$AJ$4,0)))))</f>
        <v>-494</v>
      </c>
      <c r="M7" s="3">
        <f>SUM(I7:L7)</f>
        <v>-1903</v>
      </c>
      <c r="N7" s="6">
        <f>IF(ISNA(MATCH(N$2,Inputs!$K$4:$AJ$4,0)),NA(),IF(SUMPRODUCT((Inputs!$A$5:$A$130=$B7)*ISNUMBER(INDEX(Inputs!$K$5:$AJ$130,0,MATCH(N$2,Inputs!$K$4:$AJ$4,0))))+SUMPRODUCT((Inputs!$C$5:$C$130=$B7)*ISNUMBER(INDEX(Inputs!$K$5:$AJ$130,0,MATCH(N$2,Inputs!$K$4:$AJ$4,0))))+SUMPRODUCT((Inputs!$E$5:$E$130=$B7)*ISNUMBER(INDEX(Inputs!$K$5:$AJ$130,0,MATCH(N$2,Inputs!$K$4:$AJ$4,0))))=0,NA(),SUMPRODUCT((Inputs!$A$5:$A$130=$B7)*Inputs!$B$5:$B$130*(((Inputs!$G$5:$G$130="moeda")+(Inputs!$G$5:$G$130="acoes"))*Inputs!$B$1+((Inputs!$G$5:$G$130&lt;&gt;"moeda")*(Inputs!$G$5:$G$130&lt;&gt;"acoes")))*INDEX(Inputs!$K$5:$AJ$130,0,MATCH(N$2,Inputs!$K$4:$AJ$4,0)))+SUMPRODUCT((Inputs!$C$5:$C$130=$B7)*Inputs!$D$5:$D$130*(((Inputs!$G$5:$G$130="moeda")+(Inputs!$G$5:$G$130="acoes"))*Inputs!$B$1+((Inputs!$G$5:$G$130&lt;&gt;"moeda")*(Inputs!$G$5:$G$130&lt;&gt;"acoes")))*INDEX(Inputs!$K$5:$AJ$130,0,MATCH(N$2,Inputs!$K$4:$AJ$4,0)))+SUMPRODUCT((Inputs!$E$5:$E$130=$B7)*Inputs!$F$5:$F$130*(((Inputs!$G$5:$G$130="moeda")+(Inputs!$G$5:$G$130="acoes"))*Inputs!$B$1+((Inputs!$G$5:$G$130&lt;&gt;"moeda")*(Inputs!$G$5:$G$130&lt;&gt;"acoes")))*INDEX(Inputs!$K$5:$AJ$130,0,MATCH(N$2,Inputs!$K$4:$AJ$4,0)))))</f>
        <v>-501</v>
      </c>
      <c r="O7" s="6">
        <f>IF(ISNA(MATCH(O$2,Inputs!$K$4:$AJ$4,0)),NA(),IF(SUMPRODUCT((Inputs!$A$5:$A$130=$B7)*ISNUMBER(INDEX(Inputs!$K$5:$AJ$130,0,MATCH(O$2,Inputs!$K$4:$AJ$4,0))))+SUMPRODUCT((Inputs!$C$5:$C$130=$B7)*ISNUMBER(INDEX(Inputs!$K$5:$AJ$130,0,MATCH(O$2,Inputs!$K$4:$AJ$4,0))))+SUMPRODUCT((Inputs!$E$5:$E$130=$B7)*ISNUMBER(INDEX(Inputs!$K$5:$AJ$130,0,MATCH(O$2,Inputs!$K$4:$AJ$4,0))))=0,NA(),SUMPRODUCT((Inputs!$A$5:$A$130=$B7)*Inputs!$B$5:$B$130*(((Inputs!$G$5:$G$130="moeda")+(Inputs!$G$5:$G$130="acoes"))*Inputs!$B$1+((Inputs!$G$5:$G$130&lt;&gt;"moeda")*(Inputs!$G$5:$G$130&lt;&gt;"acoes")))*INDEX(Inputs!$K$5:$AJ$130,0,MATCH(O$2,Inputs!$K$4:$AJ$4,0)))+SUMPRODUCT((Inputs!$C$5:$C$130=$B7)*Inputs!$D$5:$D$130*(((Inputs!$G$5:$G$130="moeda")+(Inputs!$G$5:$G$130="acoes"))*Inputs!$B$1+((Inputs!$G$5:$G$130&lt;&gt;"moeda")*(Inputs!$G$5:$G$130&lt;&gt;"acoes")))*INDEX(Inputs!$K$5:$AJ$130,0,MATCH(O$2,Inputs!$K$4:$AJ$4,0)))+SUMPRODUCT((Inputs!$E$5:$E$130=$B7)*Inputs!$F$5:$F$130*(((Inputs!$G$5:$G$130="moeda")+(Inputs!$G$5:$G$130="acoes"))*Inputs!$B$1+((Inputs!$G$5:$G$130&lt;&gt;"moeda")*(Inputs!$G$5:$G$130&lt;&gt;"acoes")))*INDEX(Inputs!$K$5:$AJ$130,0,MATCH(O$2,Inputs!$K$4:$AJ$4,0)))))</f>
        <v>-532</v>
      </c>
      <c r="P7" s="6">
        <f>IF(ISNA(MATCH(P$2,Inputs!$K$4:$AJ$4,0)),NA(),IF(SUMPRODUCT((Inputs!$A$5:$A$130=$B7)*ISNUMBER(INDEX(Inputs!$K$5:$AJ$130,0,MATCH(P$2,Inputs!$K$4:$AJ$4,0))))+SUMPRODUCT((Inputs!$C$5:$C$130=$B7)*ISNUMBER(INDEX(Inputs!$K$5:$AJ$130,0,MATCH(P$2,Inputs!$K$4:$AJ$4,0))))+SUMPRODUCT((Inputs!$E$5:$E$130=$B7)*ISNUMBER(INDEX(Inputs!$K$5:$AJ$130,0,MATCH(P$2,Inputs!$K$4:$AJ$4,0))))=0,NA(),SUMPRODUCT((Inputs!$A$5:$A$130=$B7)*Inputs!$B$5:$B$130*(((Inputs!$G$5:$G$130="moeda")+(Inputs!$G$5:$G$130="acoes"))*Inputs!$B$1+((Inputs!$G$5:$G$130&lt;&gt;"moeda")*(Inputs!$G$5:$G$130&lt;&gt;"acoes")))*INDEX(Inputs!$K$5:$AJ$130,0,MATCH(P$2,Inputs!$K$4:$AJ$4,0)))+SUMPRODUCT((Inputs!$C$5:$C$130=$B7)*Inputs!$D$5:$D$130*(((Inputs!$G$5:$G$130="moeda")+(Inputs!$G$5:$G$130="acoes"))*Inputs!$B$1+((Inputs!$G$5:$G$130&lt;&gt;"moeda")*(Inputs!$G$5:$G$130&lt;&gt;"acoes")))*INDEX(Inputs!$K$5:$AJ$130,0,MATCH(P$2,Inputs!$K$4:$AJ$4,0)))+SUMPRODUCT((Inputs!$E$5:$E$130=$B7)*Inputs!$F$5:$F$130*(((Inputs!$G$5:$G$130="moeda")+(Inputs!$G$5:$G$130="acoes"))*Inputs!$B$1+((Inputs!$G$5:$G$130&lt;&gt;"moeda")*(Inputs!$G$5:$G$130&lt;&gt;"acoes")))*INDEX(Inputs!$K$5:$AJ$130,0,MATCH(P$2,Inputs!$K$4:$AJ$4,0)))))</f>
        <v>-477</v>
      </c>
      <c r="Q7" s="6">
        <f>IF(ISNA(MATCH(Q$2,Inputs!$K$4:$AJ$4,0)),NA(),IF(SUMPRODUCT((Inputs!$A$5:$A$130=$B7)*ISNUMBER(INDEX(Inputs!$K$5:$AJ$130,0,MATCH(Q$2,Inputs!$K$4:$AJ$4,0))))+SUMPRODUCT((Inputs!$C$5:$C$130=$B7)*ISNUMBER(INDEX(Inputs!$K$5:$AJ$130,0,MATCH(Q$2,Inputs!$K$4:$AJ$4,0))))+SUMPRODUCT((Inputs!$E$5:$E$130=$B7)*ISNUMBER(INDEX(Inputs!$K$5:$AJ$130,0,MATCH(Q$2,Inputs!$K$4:$AJ$4,0))))=0,NA(),SUMPRODUCT((Inputs!$A$5:$A$130=$B7)*Inputs!$B$5:$B$130*(((Inputs!$G$5:$G$130="moeda")+(Inputs!$G$5:$G$130="acoes"))*Inputs!$B$1+((Inputs!$G$5:$G$130&lt;&gt;"moeda")*(Inputs!$G$5:$G$130&lt;&gt;"acoes")))*INDEX(Inputs!$K$5:$AJ$130,0,MATCH(Q$2,Inputs!$K$4:$AJ$4,0)))+SUMPRODUCT((Inputs!$C$5:$C$130=$B7)*Inputs!$D$5:$D$130*(((Inputs!$G$5:$G$130="moeda")+(Inputs!$G$5:$G$130="acoes"))*Inputs!$B$1+((Inputs!$G$5:$G$130&lt;&gt;"moeda")*(Inputs!$G$5:$G$130&lt;&gt;"acoes")))*INDEX(Inputs!$K$5:$AJ$130,0,MATCH(Q$2,Inputs!$K$4:$AJ$4,0)))+SUMPRODUCT((Inputs!$E$5:$E$130=$B7)*Inputs!$F$5:$F$130*(((Inputs!$G$5:$G$130="moeda")+(Inputs!$G$5:$G$130="acoes"))*Inputs!$B$1+((Inputs!$G$5:$G$130&lt;&gt;"moeda")*(Inputs!$G$5:$G$130&lt;&gt;"acoes")))*INDEX(Inputs!$K$5:$AJ$130,0,MATCH(Q$2,Inputs!$K$4:$AJ$4,0)))))</f>
        <v>-520</v>
      </c>
      <c r="R7" s="3">
        <f>SUM(N7:Q7)</f>
        <v>-2030</v>
      </c>
      <c r="S7" s="6">
        <f>IF(ISNA(MATCH(S$2,Inputs!$K$4:$AJ$4,0)),NA(),IF(SUMPRODUCT((Inputs!$A$5:$A$130=$B7)*ISNUMBER(INDEX(Inputs!$K$5:$AJ$130,0,MATCH(S$2,Inputs!$K$4:$AJ$4,0))))+SUMPRODUCT((Inputs!$C$5:$C$130=$B7)*ISNUMBER(INDEX(Inputs!$K$5:$AJ$130,0,MATCH(S$2,Inputs!$K$4:$AJ$4,0))))+SUMPRODUCT((Inputs!$E$5:$E$130=$B7)*ISNUMBER(INDEX(Inputs!$K$5:$AJ$130,0,MATCH(S$2,Inputs!$K$4:$AJ$4,0))))=0,NA(),SUMPRODUCT((Inputs!$A$5:$A$130=$B7)*Inputs!$B$5:$B$130*(((Inputs!$G$5:$G$130="moeda")+(Inputs!$G$5:$G$130="acoes"))*Inputs!$B$1+((Inputs!$G$5:$G$130&lt;&gt;"moeda")*(Inputs!$G$5:$G$130&lt;&gt;"acoes")))*INDEX(Inputs!$K$5:$AJ$130,0,MATCH(S$2,Inputs!$K$4:$AJ$4,0)))+SUMPRODUCT((Inputs!$C$5:$C$130=$B7)*Inputs!$D$5:$D$130*(((Inputs!$G$5:$G$130="moeda")+(Inputs!$G$5:$G$130="acoes"))*Inputs!$B$1+((Inputs!$G$5:$G$130&lt;&gt;"moeda")*(Inputs!$G$5:$G$130&lt;&gt;"acoes")))*INDEX(Inputs!$K$5:$AJ$130,0,MATCH(S$2,Inputs!$K$4:$AJ$4,0)))+SUMPRODUCT((Inputs!$E$5:$E$130=$B7)*Inputs!$F$5:$F$130*(((Inputs!$G$5:$G$130="moeda")+(Inputs!$G$5:$G$130="acoes"))*Inputs!$B$1+((Inputs!$G$5:$G$130&lt;&gt;"moeda")*(Inputs!$G$5:$G$130&lt;&gt;"acoes")))*INDEX(Inputs!$K$5:$AJ$130,0,MATCH(S$2,Inputs!$K$4:$AJ$4,0)))))</f>
        <v>-525</v>
      </c>
      <c r="T7" s="6">
        <f>IF(ISNA(MATCH(T$2,Inputs!$K$4:$AJ$4,0)),NA(),IF(SUMPRODUCT((Inputs!$A$5:$A$130=$B7)*ISNUMBER(INDEX(Inputs!$K$5:$AJ$130,0,MATCH(T$2,Inputs!$K$4:$AJ$4,0))))+SUMPRODUCT((Inputs!$C$5:$C$130=$B7)*ISNUMBER(INDEX(Inputs!$K$5:$AJ$130,0,MATCH(T$2,Inputs!$K$4:$AJ$4,0))))+SUMPRODUCT((Inputs!$E$5:$E$130=$B7)*ISNUMBER(INDEX(Inputs!$K$5:$AJ$130,0,MATCH(T$2,Inputs!$K$4:$AJ$4,0))))=0,NA(),SUMPRODUCT((Inputs!$A$5:$A$130=$B7)*Inputs!$B$5:$B$130*(((Inputs!$G$5:$G$130="moeda")+(Inputs!$G$5:$G$130="acoes"))*Inputs!$B$1+((Inputs!$G$5:$G$130&lt;&gt;"moeda")*(Inputs!$G$5:$G$130&lt;&gt;"acoes")))*INDEX(Inputs!$K$5:$AJ$130,0,MATCH(T$2,Inputs!$K$4:$AJ$4,0)))+SUMPRODUCT((Inputs!$C$5:$C$130=$B7)*Inputs!$D$5:$D$130*(((Inputs!$G$5:$G$130="moeda")+(Inputs!$G$5:$G$130="acoes"))*Inputs!$B$1+((Inputs!$G$5:$G$130&lt;&gt;"moeda")*(Inputs!$G$5:$G$130&lt;&gt;"acoes")))*INDEX(Inputs!$K$5:$AJ$130,0,MATCH(T$2,Inputs!$K$4:$AJ$4,0)))+SUMPRODUCT((Inputs!$E$5:$E$130=$B7)*Inputs!$F$5:$F$130*(((Inputs!$G$5:$G$130="moeda")+(Inputs!$G$5:$G$130="acoes"))*Inputs!$B$1+((Inputs!$G$5:$G$130&lt;&gt;"moeda")*(Inputs!$G$5:$G$130&lt;&gt;"acoes")))*INDEX(Inputs!$K$5:$AJ$130,0,MATCH(T$2,Inputs!$K$4:$AJ$4,0)))))</f>
        <v>-553</v>
      </c>
      <c r="U7" s="6">
        <f>IF(ISNA(MATCH(U$2,Inputs!$K$4:$AJ$4,0)),NA(),IF(SUMPRODUCT((Inputs!$A$5:$A$130=$B7)*ISNUMBER(INDEX(Inputs!$K$5:$AJ$130,0,MATCH(U$2,Inputs!$K$4:$AJ$4,0))))+SUMPRODUCT((Inputs!$C$5:$C$130=$B7)*ISNUMBER(INDEX(Inputs!$K$5:$AJ$130,0,MATCH(U$2,Inputs!$K$4:$AJ$4,0))))+SUMPRODUCT((Inputs!$E$5:$E$130=$B7)*ISNUMBER(INDEX(Inputs!$K$5:$AJ$130,0,MATCH(U$2,Inputs!$K$4:$AJ$4,0))))=0,NA(),SUMPRODUCT((Inputs!$A$5:$A$130=$B7)*Inputs!$B$5:$B$130*(((Inputs!$G$5:$G$130="moeda")+(Inputs!$G$5:$G$130="acoes"))*Inputs!$B$1+((Inputs!$G$5:$G$130&lt;&gt;"moeda")*(Inputs!$G$5:$G$130&lt;&gt;"acoes")))*INDEX(Inputs!$K$5:$AJ$130,0,MATCH(U$2,Inputs!$K$4:$AJ$4,0)))+SUMPRODUCT((Inputs!$C$5:$C$130=$B7)*Inputs!$D$5:$D$130*(((Inputs!$G$5:$G$130="moeda")+(Inputs!$G$5:$G$130="acoes"))*Inputs!$B$1+((Inputs!$G$5:$G$130&lt;&gt;"moeda")*(Inputs!$G$5:$G$130&lt;&gt;"acoes")))*INDEX(Inputs!$K$5:$AJ$130,0,MATCH(U$2,Inputs!$K$4:$AJ$4,0)))+SUMPRODUCT((Inputs!$E$5:$E$130=$B7)*Inputs!$F$5:$F$130*(((Inputs!$G$5:$G$130="moeda")+(Inputs!$G$5:$G$130="acoes"))*Inputs!$B$1+((Inputs!$G$5:$G$130&lt;&gt;"moeda")*(Inputs!$G$5:$G$130&lt;&gt;"acoes")))*INDEX(Inputs!$K$5:$AJ$130,0,MATCH(U$2,Inputs!$K$4:$AJ$4,0)))))</f>
        <v>-520</v>
      </c>
      <c r="V7" s="6">
        <f>IF(ISNA(MATCH(V$2,Inputs!$K$4:$AJ$4,0)),NA(),IF(SUMPRODUCT((Inputs!$A$5:$A$130=$B7)*ISNUMBER(INDEX(Inputs!$K$5:$AJ$130,0,MATCH(V$2,Inputs!$K$4:$AJ$4,0))))+SUMPRODUCT((Inputs!$C$5:$C$130=$B7)*ISNUMBER(INDEX(Inputs!$K$5:$AJ$130,0,MATCH(V$2,Inputs!$K$4:$AJ$4,0))))+SUMPRODUCT((Inputs!$E$5:$E$130=$B7)*ISNUMBER(INDEX(Inputs!$K$5:$AJ$130,0,MATCH(V$2,Inputs!$K$4:$AJ$4,0))))=0,NA(),SUMPRODUCT((Inputs!$A$5:$A$130=$B7)*Inputs!$B$5:$B$130*(((Inputs!$G$5:$G$130="moeda")+(Inputs!$G$5:$G$130="acoes"))*Inputs!$B$1+((Inputs!$G$5:$G$130&lt;&gt;"moeda")*(Inputs!$G$5:$G$130&lt;&gt;"acoes")))*INDEX(Inputs!$K$5:$AJ$130,0,MATCH(V$2,Inputs!$K$4:$AJ$4,0)))+SUMPRODUCT((Inputs!$C$5:$C$130=$B7)*Inputs!$D$5:$D$130*(((Inputs!$G$5:$G$130="moeda")+(Inputs!$G$5:$G$130="acoes"))*Inputs!$B$1+((Inputs!$G$5:$G$130&lt;&gt;"moeda")*(Inputs!$G$5:$G$130&lt;&gt;"acoes")))*INDEX(Inputs!$K$5:$AJ$130,0,MATCH(V$2,Inputs!$K$4:$AJ$4,0)))+SUMPRODUCT((Inputs!$E$5:$E$130=$B7)*Inputs!$F$5:$F$130*(((Inputs!$G$5:$G$130="moeda")+(Inputs!$G$5:$G$130="acoes"))*Inputs!$B$1+((Inputs!$G$5:$G$130&lt;&gt;"moeda")*(Inputs!$G$5:$G$130&lt;&gt;"acoes")))*INDEX(Inputs!$K$5:$AJ$130,0,MATCH(V$2,Inputs!$K$4:$AJ$4,0)))))</f>
        <v>-549</v>
      </c>
      <c r="W7" s="3">
        <f>SUM(S7:V7)</f>
        <v>-2147</v>
      </c>
      <c r="X7" s="6">
        <f>IF(ISNA(MATCH(X$2,Inputs!$K$4:$AJ$4,0)),NA(),IF(SUMPRODUCT((Inputs!$A$5:$A$130=$B7)*ISNUMBER(INDEX(Inputs!$K$5:$AJ$130,0,MATCH(X$2,Inputs!$K$4:$AJ$4,0))))+SUMPRODUCT((Inputs!$C$5:$C$130=$B7)*ISNUMBER(INDEX(Inputs!$K$5:$AJ$130,0,MATCH(X$2,Inputs!$K$4:$AJ$4,0))))+SUMPRODUCT((Inputs!$E$5:$E$130=$B7)*ISNUMBER(INDEX(Inputs!$K$5:$AJ$130,0,MATCH(X$2,Inputs!$K$4:$AJ$4,0))))=0,NA(),SUMPRODUCT((Inputs!$A$5:$A$130=$B7)*Inputs!$B$5:$B$130*(((Inputs!$G$5:$G$130="moeda")+(Inputs!$G$5:$G$130="acoes"))*Inputs!$B$1+((Inputs!$G$5:$G$130&lt;&gt;"moeda")*(Inputs!$G$5:$G$130&lt;&gt;"acoes")))*INDEX(Inputs!$K$5:$AJ$130,0,MATCH(X$2,Inputs!$K$4:$AJ$4,0)))+SUMPRODUCT((Inputs!$C$5:$C$130=$B7)*Inputs!$D$5:$D$130*(((Inputs!$G$5:$G$130="moeda")+(Inputs!$G$5:$G$130="acoes"))*Inputs!$B$1+((Inputs!$G$5:$G$130&lt;&gt;"moeda")*(Inputs!$G$5:$G$130&lt;&gt;"acoes")))*INDEX(Inputs!$K$5:$AJ$130,0,MATCH(X$2,Inputs!$K$4:$AJ$4,0)))+SUMPRODUCT((Inputs!$E$5:$E$130=$B7)*Inputs!$F$5:$F$130*(((Inputs!$G$5:$G$130="moeda")+(Inputs!$G$5:$G$130="acoes"))*Inputs!$B$1+((Inputs!$G$5:$G$130&lt;&gt;"moeda")*(Inputs!$G$5:$G$130&lt;&gt;"acoes")))*INDEX(Inputs!$K$5:$AJ$130,0,MATCH(X$2,Inputs!$K$4:$AJ$4,0)))))</f>
        <v>-555</v>
      </c>
      <c r="Y7" s="6">
        <f>IF(ISNA(MATCH(Y$2,Inputs!$K$4:$AJ$4,0)),NA(),IF(SUMPRODUCT((Inputs!$A$5:$A$130=$B7)*ISNUMBER(INDEX(Inputs!$K$5:$AJ$130,0,MATCH(Y$2,Inputs!$K$4:$AJ$4,0))))+SUMPRODUCT((Inputs!$C$5:$C$130=$B7)*ISNUMBER(INDEX(Inputs!$K$5:$AJ$130,0,MATCH(Y$2,Inputs!$K$4:$AJ$4,0))))+SUMPRODUCT((Inputs!$E$5:$E$130=$B7)*ISNUMBER(INDEX(Inputs!$K$5:$AJ$130,0,MATCH(Y$2,Inputs!$K$4:$AJ$4,0))))=0,NA(),SUMPRODUCT((Inputs!$A$5:$A$130=$B7)*Inputs!$B$5:$B$130*(((Inputs!$G$5:$G$130="moeda")+(Inputs!$G$5:$G$130="acoes"))*Inputs!$B$1+((Inputs!$G$5:$G$130&lt;&gt;"moeda")*(Inputs!$G$5:$G$130&lt;&gt;"acoes")))*INDEX(Inputs!$K$5:$AJ$130,0,MATCH(Y$2,Inputs!$K$4:$AJ$4,0)))+SUMPRODUCT((Inputs!$C$5:$C$130=$B7)*Inputs!$D$5:$D$130*(((Inputs!$G$5:$G$130="moeda")+(Inputs!$G$5:$G$130="acoes"))*Inputs!$B$1+((Inputs!$G$5:$G$130&lt;&gt;"moeda")*(Inputs!$G$5:$G$130&lt;&gt;"acoes")))*INDEX(Inputs!$K$5:$AJ$130,0,MATCH(Y$2,Inputs!$K$4:$AJ$4,0)))+SUMPRODUCT((Inputs!$E$5:$E$130=$B7)*Inputs!$F$5:$F$130*(((Inputs!$G$5:$G$130="moeda")+(Inputs!$G$5:$G$130="acoes"))*Inputs!$B$1+((Inputs!$G$5:$G$130&lt;&gt;"moeda")*(Inputs!$G$5:$G$130&lt;&gt;"acoes")))*INDEX(Inputs!$K$5:$AJ$130,0,MATCH(Y$2,Inputs!$K$4:$AJ$4,0)))))</f>
        <v>-564</v>
      </c>
      <c r="Z7" s="6">
        <f>IF(ISNA(MATCH(Z$2,Inputs!$K$4:$AJ$4,0)),NA(),IF(SUMPRODUCT((Inputs!$A$5:$A$130=$B7)*ISNUMBER(INDEX(Inputs!$K$5:$AJ$130,0,MATCH(Z$2,Inputs!$K$4:$AJ$4,0))))+SUMPRODUCT((Inputs!$C$5:$C$130=$B7)*ISNUMBER(INDEX(Inputs!$K$5:$AJ$130,0,MATCH(Z$2,Inputs!$K$4:$AJ$4,0))))+SUMPRODUCT((Inputs!$E$5:$E$130=$B7)*ISNUMBER(INDEX(Inputs!$K$5:$AJ$130,0,MATCH(Z$2,Inputs!$K$4:$AJ$4,0))))=0,NA(),SUMPRODUCT((Inputs!$A$5:$A$130=$B7)*Inputs!$B$5:$B$130*(((Inputs!$G$5:$G$130="moeda")+(Inputs!$G$5:$G$130="acoes"))*Inputs!$B$1+((Inputs!$G$5:$G$130&lt;&gt;"moeda")*(Inputs!$G$5:$G$130&lt;&gt;"acoes")))*INDEX(Inputs!$K$5:$AJ$130,0,MATCH(Z$2,Inputs!$K$4:$AJ$4,0)))+SUMPRODUCT((Inputs!$C$5:$C$130=$B7)*Inputs!$D$5:$D$130*(((Inputs!$G$5:$G$130="moeda")+(Inputs!$G$5:$G$130="acoes"))*Inputs!$B$1+((Inputs!$G$5:$G$130&lt;&gt;"moeda")*(Inputs!$G$5:$G$130&lt;&gt;"acoes")))*INDEX(Inputs!$K$5:$AJ$130,0,MATCH(Z$2,Inputs!$K$4:$AJ$4,0)))+SUMPRODUCT((Inputs!$E$5:$E$130=$B7)*Inputs!$F$5:$F$130*(((Inputs!$G$5:$G$130="moeda")+(Inputs!$G$5:$G$130="acoes"))*Inputs!$B$1+((Inputs!$G$5:$G$130&lt;&gt;"moeda")*(Inputs!$G$5:$G$130&lt;&gt;"acoes")))*INDEX(Inputs!$K$5:$AJ$130,0,MATCH(Z$2,Inputs!$K$4:$AJ$4,0)))))</f>
        <v>-561</v>
      </c>
      <c r="AA7" s="6">
        <f>IF(ISNA(MATCH(AA$2,Inputs!$K$4:$AJ$4,0)),NA(),IF(SUMPRODUCT((Inputs!$A$5:$A$130=$B7)*ISNUMBER(INDEX(Inputs!$K$5:$AJ$130,0,MATCH(AA$2,Inputs!$K$4:$AJ$4,0))))+SUMPRODUCT((Inputs!$C$5:$C$130=$B7)*ISNUMBER(INDEX(Inputs!$K$5:$AJ$130,0,MATCH(AA$2,Inputs!$K$4:$AJ$4,0))))+SUMPRODUCT((Inputs!$E$5:$E$130=$B7)*ISNUMBER(INDEX(Inputs!$K$5:$AJ$130,0,MATCH(AA$2,Inputs!$K$4:$AJ$4,0))))=0,NA(),SUMPRODUCT((Inputs!$A$5:$A$130=$B7)*Inputs!$B$5:$B$130*(((Inputs!$G$5:$G$130="moeda")+(Inputs!$G$5:$G$130="acoes"))*Inputs!$B$1+((Inputs!$G$5:$G$130&lt;&gt;"moeda")*(Inputs!$G$5:$G$130&lt;&gt;"acoes")))*INDEX(Inputs!$K$5:$AJ$130,0,MATCH(AA$2,Inputs!$K$4:$AJ$4,0)))+SUMPRODUCT((Inputs!$C$5:$C$130=$B7)*Inputs!$D$5:$D$130*(((Inputs!$G$5:$G$130="moeda")+(Inputs!$G$5:$G$130="acoes"))*Inputs!$B$1+((Inputs!$G$5:$G$130&lt;&gt;"moeda")*(Inputs!$G$5:$G$130&lt;&gt;"acoes")))*INDEX(Inputs!$K$5:$AJ$130,0,MATCH(AA$2,Inputs!$K$4:$AJ$4,0)))+SUMPRODUCT((Inputs!$E$5:$E$130=$B7)*Inputs!$F$5:$F$130*(((Inputs!$G$5:$G$130="moeda")+(Inputs!$G$5:$G$130="acoes"))*Inputs!$B$1+((Inputs!$G$5:$G$130&lt;&gt;"moeda")*(Inputs!$G$5:$G$130&lt;&gt;"acoes")))*INDEX(Inputs!$K$5:$AJ$130,0,MATCH(AA$2,Inputs!$K$4:$AJ$4,0)))))</f>
        <v>-590</v>
      </c>
      <c r="AB7" s="3">
        <f>SUM(X7:AA7)</f>
        <v>-2270</v>
      </c>
      <c r="AC7" s="6">
        <f>IF(ISNA(MATCH(AC$2,Inputs!$K$4:$AJ$4,0)),NA(),IF(SUMPRODUCT((Inputs!$A$5:$A$130=$B7)*ISNUMBER(INDEX(Inputs!$K$5:$AJ$130,0,MATCH(AC$2,Inputs!$K$4:$AJ$4,0))))+SUMPRODUCT((Inputs!$C$5:$C$130=$B7)*ISNUMBER(INDEX(Inputs!$K$5:$AJ$130,0,MATCH(AC$2,Inputs!$K$4:$AJ$4,0))))+SUMPRODUCT((Inputs!$E$5:$E$130=$B7)*ISNUMBER(INDEX(Inputs!$K$5:$AJ$130,0,MATCH(AC$2,Inputs!$K$4:$AJ$4,0))))=0,NA(),SUMPRODUCT((Inputs!$A$5:$A$130=$B7)*Inputs!$B$5:$B$130*(((Inputs!$G$5:$G$130="moeda")+(Inputs!$G$5:$G$130="acoes"))*Inputs!$B$1+((Inputs!$G$5:$G$130&lt;&gt;"moeda")*(Inputs!$G$5:$G$130&lt;&gt;"acoes")))*INDEX(Inputs!$K$5:$AJ$130,0,MATCH(AC$2,Inputs!$K$4:$AJ$4,0)))+SUMPRODUCT((Inputs!$C$5:$C$130=$B7)*Inputs!$D$5:$D$130*(((Inputs!$G$5:$G$130="moeda")+(Inputs!$G$5:$G$130="acoes"))*Inputs!$B$1+((Inputs!$G$5:$G$130&lt;&gt;"moeda")*(Inputs!$G$5:$G$130&lt;&gt;"acoes")))*INDEX(Inputs!$K$5:$AJ$130,0,MATCH(AC$2,Inputs!$K$4:$AJ$4,0)))+SUMPRODUCT((Inputs!$E$5:$E$130=$B7)*Inputs!$F$5:$F$130*(((Inputs!$G$5:$G$130="moeda")+(Inputs!$G$5:$G$130="acoes"))*Inputs!$B$1+((Inputs!$G$5:$G$130&lt;&gt;"moeda")*(Inputs!$G$5:$G$130&lt;&gt;"acoes")))*INDEX(Inputs!$K$5:$AJ$130,0,MATCH(AC$2,Inputs!$K$4:$AJ$4,0)))))</f>
        <v>-594</v>
      </c>
      <c r="AD7" s="6">
        <f>IF(ISNA(MATCH(AD$2,Inputs!$K$4:$AJ$4,0)),NA(),IF(SUMPRODUCT((Inputs!$A$5:$A$130=$B7)*ISNUMBER(INDEX(Inputs!$K$5:$AJ$130,0,MATCH(AD$2,Inputs!$K$4:$AJ$4,0))))+SUMPRODUCT((Inputs!$C$5:$C$130=$B7)*ISNUMBER(INDEX(Inputs!$K$5:$AJ$130,0,MATCH(AD$2,Inputs!$K$4:$AJ$4,0))))+SUMPRODUCT((Inputs!$E$5:$E$130=$B7)*ISNUMBER(INDEX(Inputs!$K$5:$AJ$130,0,MATCH(AD$2,Inputs!$K$4:$AJ$4,0))))=0,NA(),SUMPRODUCT((Inputs!$A$5:$A$130=$B7)*Inputs!$B$5:$B$130*(((Inputs!$G$5:$G$130="moeda")+(Inputs!$G$5:$G$130="acoes"))*Inputs!$B$1+((Inputs!$G$5:$G$130&lt;&gt;"moeda")*(Inputs!$G$5:$G$130&lt;&gt;"acoes")))*INDEX(Inputs!$K$5:$AJ$130,0,MATCH(AD$2,Inputs!$K$4:$AJ$4,0)))+SUMPRODUCT((Inputs!$C$5:$C$130=$B7)*Inputs!$D$5:$D$130*(((Inputs!$G$5:$G$130="moeda")+(Inputs!$G$5:$G$130="acoes"))*Inputs!$B$1+((Inputs!$G$5:$G$130&lt;&gt;"moeda")*(Inputs!$G$5:$G$130&lt;&gt;"acoes")))*INDEX(Inputs!$K$5:$AJ$130,0,MATCH(AD$2,Inputs!$K$4:$AJ$4,0)))+SUMPRODUCT((Inputs!$E$5:$E$130=$B7)*Inputs!$F$5:$F$130*(((Inputs!$G$5:$G$130="moeda")+(Inputs!$G$5:$G$130="acoes"))*Inputs!$B$1+((Inputs!$G$5:$G$130&lt;&gt;"moeda")*(Inputs!$G$5:$G$130&lt;&gt;"acoes")))*INDEX(Inputs!$K$5:$AJ$130,0,MATCH(AD$2,Inputs!$K$4:$AJ$4,0)))))</f>
        <v>-603</v>
      </c>
      <c r="AE7" s="6" t="e">
        <f>IF(ISNA(MATCH(AE$2,Inputs!$K$4:$AJ$4,0)),NA(),IF(SUMPRODUCT((Inputs!$A$5:$A$130=$B7)*ISNUMBER(INDEX(Inputs!$K$5:$AJ$130,0,MATCH(AE$2,Inputs!$K$4:$AJ$4,0))))+SUMPRODUCT((Inputs!$C$5:$C$130=$B7)*ISNUMBER(INDEX(Inputs!$K$5:$AJ$130,0,MATCH(AE$2,Inputs!$K$4:$AJ$4,0))))+SUMPRODUCT((Inputs!$E$5:$E$130=$B7)*ISNUMBER(INDEX(Inputs!$K$5:$AJ$130,0,MATCH(AE$2,Inputs!$K$4:$AJ$4,0))))=0,NA(),SUMPRODUCT((Inputs!$A$5:$A$130=$B7)*Inputs!$B$5:$B$130*(((Inputs!$G$5:$G$130="moeda")+(Inputs!$G$5:$G$130="acoes"))*Inputs!$B$1+((Inputs!$G$5:$G$130&lt;&gt;"moeda")*(Inputs!$G$5:$G$130&lt;&gt;"acoes")))*INDEX(Inputs!$K$5:$AJ$130,0,MATCH(AE$2,Inputs!$K$4:$AJ$4,0)))+SUMPRODUCT((Inputs!$C$5:$C$130=$B7)*Inputs!$D$5:$D$130*(((Inputs!$G$5:$G$130="moeda")+(Inputs!$G$5:$G$130="acoes"))*Inputs!$B$1+((Inputs!$G$5:$G$130&lt;&gt;"moeda")*(Inputs!$G$5:$G$130&lt;&gt;"acoes")))*INDEX(Inputs!$K$5:$AJ$130,0,MATCH(AE$2,Inputs!$K$4:$AJ$4,0)))+SUMPRODUCT((Inputs!$E$5:$E$130=$B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7" s="6" t="e">
        <f>IF(ISNA(MATCH(AF$2,Inputs!$K$4:$AJ$4,0)),NA(),IF(SUMPRODUCT((Inputs!$A$5:$A$130=$B7)*ISNUMBER(INDEX(Inputs!$K$5:$AJ$130,0,MATCH(AF$2,Inputs!$K$4:$AJ$4,0))))+SUMPRODUCT((Inputs!$C$5:$C$130=$B7)*ISNUMBER(INDEX(Inputs!$K$5:$AJ$130,0,MATCH(AF$2,Inputs!$K$4:$AJ$4,0))))+SUMPRODUCT((Inputs!$E$5:$E$130=$B7)*ISNUMBER(INDEX(Inputs!$K$5:$AJ$130,0,MATCH(AF$2,Inputs!$K$4:$AJ$4,0))))=0,NA(),SUMPRODUCT((Inputs!$A$5:$A$130=$B7)*Inputs!$B$5:$B$130*(((Inputs!$G$5:$G$130="moeda")+(Inputs!$G$5:$G$130="acoes"))*Inputs!$B$1+((Inputs!$G$5:$G$130&lt;&gt;"moeda")*(Inputs!$G$5:$G$130&lt;&gt;"acoes")))*INDEX(Inputs!$K$5:$AJ$130,0,MATCH(AF$2,Inputs!$K$4:$AJ$4,0)))+SUMPRODUCT((Inputs!$C$5:$C$130=$B7)*Inputs!$D$5:$D$130*(((Inputs!$G$5:$G$130="moeda")+(Inputs!$G$5:$G$130="acoes"))*Inputs!$B$1+((Inputs!$G$5:$G$130&lt;&gt;"moeda")*(Inputs!$G$5:$G$130&lt;&gt;"acoes")))*INDEX(Inputs!$K$5:$AJ$130,0,MATCH(AF$2,Inputs!$K$4:$AJ$4,0)))+SUMPRODUCT((Inputs!$E$5:$E$130=$B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7" s="3" t="e">
        <f>SUM(AC7:AF7)</f>
        <v>#N/A</v>
      </c>
      <c r="AH7" s="6">
        <f>IF(ISNA(MATCH(AH$2,Inputs!$K$4:$AJ$4,0)),NA(),IF(SUMPRODUCT((Inputs!$A$5:$A$130=$B7)*ISNUMBER(INDEX(Inputs!$K$5:$AJ$130,0,MATCH(AH$2,Inputs!$K$4:$AJ$4,0))))+SUMPRODUCT((Inputs!$C$5:$C$130=$B7)*ISNUMBER(INDEX(Inputs!$K$5:$AJ$130,0,MATCH(AH$2,Inputs!$K$4:$AJ$4,0))))+SUMPRODUCT((Inputs!$E$5:$E$130=$B7)*ISNUMBER(INDEX(Inputs!$K$5:$AJ$130,0,MATCH(AH$2,Inputs!$K$4:$AJ$4,0))))=0,NA(),SUMPRODUCT((Inputs!$A$5:$A$130=$B7)*Inputs!$B$5:$B$130*(((Inputs!$G$5:$G$130="moeda")+(Inputs!$G$5:$G$130="acoes"))*Inputs!$B$1+((Inputs!$G$5:$G$130&lt;&gt;"moeda")*(Inputs!$G$5:$G$130&lt;&gt;"acoes")))*INDEX(Inputs!$K$5:$AJ$130,0,MATCH(AH$2,Inputs!$K$4:$AJ$4,0)))+SUMPRODUCT((Inputs!$C$5:$C$130=$B7)*Inputs!$D$5:$D$130*(((Inputs!$G$5:$G$130="moeda")+(Inputs!$G$5:$G$130="acoes"))*Inputs!$B$1+((Inputs!$G$5:$G$130&lt;&gt;"moeda")*(Inputs!$G$5:$G$130&lt;&gt;"acoes")))*INDEX(Inputs!$K$5:$AJ$130,0,MATCH(AH$2,Inputs!$K$4:$AJ$4,0)))+SUMPRODUCT((Inputs!$E$5:$E$130=$B7)*Inputs!$F$5:$F$130*(((Inputs!$G$5:$G$130="moeda")+(Inputs!$G$5:$G$130="acoes"))*Inputs!$B$1+((Inputs!$G$5:$G$130&lt;&gt;"moeda")*(Inputs!$G$5:$G$130&lt;&gt;"acoes")))*INDEX(Inputs!$K$5:$AJ$130,0,MATCH(AH$2,Inputs!$K$4:$AJ$4,0)))))</f>
        <v>-529</v>
      </c>
      <c r="AI7" s="6">
        <f>IF(ISNA(MATCH(AI$2,Inputs!$K$4:$AJ$4,0)),NA(),IF(SUMPRODUCT((Inputs!$A$5:$A$130=$B7)*ISNUMBER(INDEX(Inputs!$K$5:$AJ$130,0,MATCH(AI$2,Inputs!$K$4:$AJ$4,0))))+SUMPRODUCT((Inputs!$C$5:$C$130=$B7)*ISNUMBER(INDEX(Inputs!$K$5:$AJ$130,0,MATCH(AI$2,Inputs!$K$4:$AJ$4,0))))+SUMPRODUCT((Inputs!$E$5:$E$130=$B7)*ISNUMBER(INDEX(Inputs!$K$5:$AJ$130,0,MATCH(AI$2,Inputs!$K$4:$AJ$4,0))))=0,NA(),SUMPRODUCT((Inputs!$A$5:$A$130=$B7)*Inputs!$B$5:$B$130*(((Inputs!$G$5:$G$130="moeda")+(Inputs!$G$5:$G$130="acoes"))*Inputs!$B$1+((Inputs!$G$5:$G$130&lt;&gt;"moeda")*(Inputs!$G$5:$G$130&lt;&gt;"acoes")))*INDEX(Inputs!$K$5:$AJ$130,0,MATCH(AI$2,Inputs!$K$4:$AJ$4,0)))+SUMPRODUCT((Inputs!$C$5:$C$130=$B7)*Inputs!$D$5:$D$130*(((Inputs!$G$5:$G$130="moeda")+(Inputs!$G$5:$G$130="acoes"))*Inputs!$B$1+((Inputs!$G$5:$G$130&lt;&gt;"moeda")*(Inputs!$G$5:$G$130&lt;&gt;"acoes")))*INDEX(Inputs!$K$5:$AJ$130,0,MATCH(AI$2,Inputs!$K$4:$AJ$4,0)))+SUMPRODUCT((Inputs!$E$5:$E$130=$B7)*Inputs!$F$5:$F$130*(((Inputs!$G$5:$G$130="moeda")+(Inputs!$G$5:$G$130="acoes"))*Inputs!$B$1+((Inputs!$G$5:$G$130&lt;&gt;"moeda")*(Inputs!$G$5:$G$130&lt;&gt;"acoes")))*INDEX(Inputs!$K$5:$AJ$130,0,MATCH(AI$2,Inputs!$K$4:$AJ$4,0)))))</f>
        <v>-547</v>
      </c>
      <c r="AJ7" s="6">
        <f>IF(ISNA(MATCH(AJ$2,Inputs!$K$4:$AJ$4,0)),NA(),IF(SUMPRODUCT((Inputs!$A$5:$A$130=$B7)*ISNUMBER(INDEX(Inputs!$K$5:$AJ$130,0,MATCH(AJ$2,Inputs!$K$4:$AJ$4,0))))+SUMPRODUCT((Inputs!$C$5:$C$130=$B7)*ISNUMBER(INDEX(Inputs!$K$5:$AJ$130,0,MATCH(AJ$2,Inputs!$K$4:$AJ$4,0))))+SUMPRODUCT((Inputs!$E$5:$E$130=$B7)*ISNUMBER(INDEX(Inputs!$K$5:$AJ$130,0,MATCH(AJ$2,Inputs!$K$4:$AJ$4,0))))=0,NA(),SUMPRODUCT((Inputs!$A$5:$A$130=$B7)*Inputs!$B$5:$B$130*(((Inputs!$G$5:$G$130="moeda")+(Inputs!$G$5:$G$130="acoes"))*Inputs!$B$1+((Inputs!$G$5:$G$130&lt;&gt;"moeda")*(Inputs!$G$5:$G$130&lt;&gt;"acoes")))*INDEX(Inputs!$K$5:$AJ$130,0,MATCH(AJ$2,Inputs!$K$4:$AJ$4,0)))+SUMPRODUCT((Inputs!$C$5:$C$130=$B7)*Inputs!$D$5:$D$130*(((Inputs!$G$5:$G$130="moeda")+(Inputs!$G$5:$G$130="acoes"))*Inputs!$B$1+((Inputs!$G$5:$G$130&lt;&gt;"moeda")*(Inputs!$G$5:$G$130&lt;&gt;"acoes")))*INDEX(Inputs!$K$5:$AJ$130,0,MATCH(AJ$2,Inputs!$K$4:$AJ$4,0)))+SUMPRODUCT((Inputs!$E$5:$E$130=$B7)*Inputs!$F$5:$F$130*(((Inputs!$G$5:$G$130="moeda")+(Inputs!$G$5:$G$130="acoes"))*Inputs!$B$1+((Inputs!$G$5:$G$130&lt;&gt;"moeda")*(Inputs!$G$5:$G$130&lt;&gt;"acoes")))*INDEX(Inputs!$K$5:$AJ$130,0,MATCH(AJ$2,Inputs!$K$4:$AJ$4,0)))))</f>
        <v>-504</v>
      </c>
      <c r="AK7" s="6">
        <f>IF(ISNA(MATCH(AK$2,Inputs!$K$4:$AJ$4,0)),NA(),IF(SUMPRODUCT((Inputs!$A$5:$A$130=$B7)*ISNUMBER(INDEX(Inputs!$K$5:$AJ$130,0,MATCH(AK$2,Inputs!$K$4:$AJ$4,0))))+SUMPRODUCT((Inputs!$C$5:$C$130=$B7)*ISNUMBER(INDEX(Inputs!$K$5:$AJ$130,0,MATCH(AK$2,Inputs!$K$4:$AJ$4,0))))+SUMPRODUCT((Inputs!$E$5:$E$130=$B7)*ISNUMBER(INDEX(Inputs!$K$5:$AJ$130,0,MATCH(AK$2,Inputs!$K$4:$AJ$4,0))))=0,NA(),SUMPRODUCT((Inputs!$A$5:$A$130=$B7)*Inputs!$B$5:$B$130*(((Inputs!$G$5:$G$130="moeda")+(Inputs!$G$5:$G$130="acoes"))*Inputs!$B$1+((Inputs!$G$5:$G$130&lt;&gt;"moeda")*(Inputs!$G$5:$G$130&lt;&gt;"acoes")))*INDEX(Inputs!$K$5:$AJ$130,0,MATCH(AK$2,Inputs!$K$4:$AJ$4,0)))+SUMPRODUCT((Inputs!$C$5:$C$130=$B7)*Inputs!$D$5:$D$130*(((Inputs!$G$5:$G$130="moeda")+(Inputs!$G$5:$G$130="acoes"))*Inputs!$B$1+((Inputs!$G$5:$G$130&lt;&gt;"moeda")*(Inputs!$G$5:$G$130&lt;&gt;"acoes")))*INDEX(Inputs!$K$5:$AJ$130,0,MATCH(AK$2,Inputs!$K$4:$AJ$4,0)))+SUMPRODUCT((Inputs!$E$5:$E$130=$B7)*Inputs!$F$5:$F$130*(((Inputs!$G$5:$G$130="moeda")+(Inputs!$G$5:$G$130="acoes"))*Inputs!$B$1+((Inputs!$G$5:$G$130&lt;&gt;"moeda")*(Inputs!$G$5:$G$130&lt;&gt;"acoes")))*INDEX(Inputs!$K$5:$AJ$130,0,MATCH(AK$2,Inputs!$K$4:$AJ$4,0)))))</f>
        <v>-538</v>
      </c>
      <c r="AL7" s="3">
        <f>SUM(AH7:AK7)</f>
        <v>-2118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$130=$B8)*ISNUMBER(INDEX(Inputs!$K$5:$AJ$130,0,MATCH(D$2,Inputs!$K$4:$AJ$4,0))))+SUMPRODUCT((Inputs!$C$5:$C$130=$B8)*ISNUMBER(INDEX(Inputs!$K$5:$AJ$130,0,MATCH(D$2,Inputs!$K$4:$AJ$4,0))))+SUMPRODUCT((Inputs!$E$5:$E$130=$B8)*ISNUMBER(INDEX(Inputs!$K$5:$AJ$130,0,MATCH(D$2,Inputs!$K$4:$AJ$4,0))))=0,NA(),SUMPRODUCT((Inputs!$A$5:$A$130=$B8)*Inputs!$B$5:$B$130*(((Inputs!$G$5:$G$130="moeda")+(Inputs!$G$5:$G$130="acoes"))*Inputs!$B$1+((Inputs!$G$5:$G$130&lt;&gt;"moeda")*(Inputs!$G$5:$G$130&lt;&gt;"acoes")))*INDEX(Inputs!$K$5:$AJ$130,0,MATCH(D$2,Inputs!$K$4:$AJ$4,0)))+SUMPRODUCT((Inputs!$C$5:$C$130=$B8)*Inputs!$D$5:$D$130*(((Inputs!$G$5:$G$130="moeda")+(Inputs!$G$5:$G$130="acoes"))*Inputs!$B$1+((Inputs!$G$5:$G$130&lt;&gt;"moeda")*(Inputs!$G$5:$G$130&lt;&gt;"acoes")))*INDEX(Inputs!$K$5:$AJ$130,0,MATCH(D$2,Inputs!$K$4:$AJ$4,0)))+SUMPRODUCT((Inputs!$E$5:$E$130=$B8)*Inputs!$F$5:$F$130*(((Inputs!$G$5:$G$130="moeda")+(Inputs!$G$5:$G$130="acoes"))*Inputs!$B$1+((Inputs!$G$5:$G$130&lt;&gt;"moeda")*(Inputs!$G$5:$G$130&lt;&gt;"acoes")))*INDEX(Inputs!$K$5:$AJ$130,0,MATCH(D$2,Inputs!$K$4:$AJ$4,0)))))</f>
        <v>-268</v>
      </c>
      <c r="E8" s="6">
        <f>IF(ISNA(MATCH(E$2,Inputs!$K$4:$AJ$4,0)),NA(),IF(SUMPRODUCT((Inputs!$A$5:$A$130=$B8)*ISNUMBER(INDEX(Inputs!$K$5:$AJ$130,0,MATCH(E$2,Inputs!$K$4:$AJ$4,0))))+SUMPRODUCT((Inputs!$C$5:$C$130=$B8)*ISNUMBER(INDEX(Inputs!$K$5:$AJ$130,0,MATCH(E$2,Inputs!$K$4:$AJ$4,0))))+SUMPRODUCT((Inputs!$E$5:$E$130=$B8)*ISNUMBER(INDEX(Inputs!$K$5:$AJ$130,0,MATCH(E$2,Inputs!$K$4:$AJ$4,0))))=0,NA(),SUMPRODUCT((Inputs!$A$5:$A$130=$B8)*Inputs!$B$5:$B$130*(((Inputs!$G$5:$G$130="moeda")+(Inputs!$G$5:$G$130="acoes"))*Inputs!$B$1+((Inputs!$G$5:$G$130&lt;&gt;"moeda")*(Inputs!$G$5:$G$130&lt;&gt;"acoes")))*INDEX(Inputs!$K$5:$AJ$130,0,MATCH(E$2,Inputs!$K$4:$AJ$4,0)))+SUMPRODUCT((Inputs!$C$5:$C$130=$B8)*Inputs!$D$5:$D$130*(((Inputs!$G$5:$G$130="moeda")+(Inputs!$G$5:$G$130="acoes"))*Inputs!$B$1+((Inputs!$G$5:$G$130&lt;&gt;"moeda")*(Inputs!$G$5:$G$130&lt;&gt;"acoes")))*INDEX(Inputs!$K$5:$AJ$130,0,MATCH(E$2,Inputs!$K$4:$AJ$4,0)))+SUMPRODUCT((Inputs!$E$5:$E$130=$B8)*Inputs!$F$5:$F$130*(((Inputs!$G$5:$G$130="moeda")+(Inputs!$G$5:$G$130="acoes"))*Inputs!$B$1+((Inputs!$G$5:$G$130&lt;&gt;"moeda")*(Inputs!$G$5:$G$130&lt;&gt;"acoes")))*INDEX(Inputs!$K$5:$AJ$130,0,MATCH(E$2,Inputs!$K$4:$AJ$4,0)))))</f>
        <v>-244</v>
      </c>
      <c r="F8" s="6">
        <f>IF(ISNA(MATCH(F$2,Inputs!$K$4:$AJ$4,0)),NA(),IF(SUMPRODUCT((Inputs!$A$5:$A$130=$B8)*ISNUMBER(INDEX(Inputs!$K$5:$AJ$130,0,MATCH(F$2,Inputs!$K$4:$AJ$4,0))))+SUMPRODUCT((Inputs!$C$5:$C$130=$B8)*ISNUMBER(INDEX(Inputs!$K$5:$AJ$130,0,MATCH(F$2,Inputs!$K$4:$AJ$4,0))))+SUMPRODUCT((Inputs!$E$5:$E$130=$B8)*ISNUMBER(INDEX(Inputs!$K$5:$AJ$130,0,MATCH(F$2,Inputs!$K$4:$AJ$4,0))))=0,NA(),SUMPRODUCT((Inputs!$A$5:$A$130=$B8)*Inputs!$B$5:$B$130*(((Inputs!$G$5:$G$130="moeda")+(Inputs!$G$5:$G$130="acoes"))*Inputs!$B$1+((Inputs!$G$5:$G$130&lt;&gt;"moeda")*(Inputs!$G$5:$G$130&lt;&gt;"acoes")))*INDEX(Inputs!$K$5:$AJ$130,0,MATCH(F$2,Inputs!$K$4:$AJ$4,0)))+SUMPRODUCT((Inputs!$C$5:$C$130=$B8)*Inputs!$D$5:$D$130*(((Inputs!$G$5:$G$130="moeda")+(Inputs!$G$5:$G$130="acoes"))*Inputs!$B$1+((Inputs!$G$5:$G$130&lt;&gt;"moeda")*(Inputs!$G$5:$G$130&lt;&gt;"acoes")))*INDEX(Inputs!$K$5:$AJ$130,0,MATCH(F$2,Inputs!$K$4:$AJ$4,0)))+SUMPRODUCT((Inputs!$E$5:$E$130=$B8)*Inputs!$F$5:$F$130*(((Inputs!$G$5:$G$130="moeda")+(Inputs!$G$5:$G$130="acoes"))*Inputs!$B$1+((Inputs!$G$5:$G$130&lt;&gt;"moeda")*(Inputs!$G$5:$G$130&lt;&gt;"acoes")))*INDEX(Inputs!$K$5:$AJ$130,0,MATCH(F$2,Inputs!$K$4:$AJ$4,0)))))</f>
        <v>-210</v>
      </c>
      <c r="G8" s="6">
        <f>IF(ISNA(MATCH(G$2,Inputs!$K$4:$AJ$4,0)),NA(),IF(SUMPRODUCT((Inputs!$A$5:$A$130=$B8)*ISNUMBER(INDEX(Inputs!$K$5:$AJ$130,0,MATCH(G$2,Inputs!$K$4:$AJ$4,0))))+SUMPRODUCT((Inputs!$C$5:$C$130=$B8)*ISNUMBER(INDEX(Inputs!$K$5:$AJ$130,0,MATCH(G$2,Inputs!$K$4:$AJ$4,0))))+SUMPRODUCT((Inputs!$E$5:$E$130=$B8)*ISNUMBER(INDEX(Inputs!$K$5:$AJ$130,0,MATCH(G$2,Inputs!$K$4:$AJ$4,0))))=0,NA(),SUMPRODUCT((Inputs!$A$5:$A$130=$B8)*Inputs!$B$5:$B$130*(((Inputs!$G$5:$G$130="moeda")+(Inputs!$G$5:$G$130="acoes"))*Inputs!$B$1+((Inputs!$G$5:$G$130&lt;&gt;"moeda")*(Inputs!$G$5:$G$130&lt;&gt;"acoes")))*INDEX(Inputs!$K$5:$AJ$130,0,MATCH(G$2,Inputs!$K$4:$AJ$4,0)))+SUMPRODUCT((Inputs!$C$5:$C$130=$B8)*Inputs!$D$5:$D$130*(((Inputs!$G$5:$G$130="moeda")+(Inputs!$G$5:$G$130="acoes"))*Inputs!$B$1+((Inputs!$G$5:$G$130&lt;&gt;"moeda")*(Inputs!$G$5:$G$130&lt;&gt;"acoes")))*INDEX(Inputs!$K$5:$AJ$130,0,MATCH(G$2,Inputs!$K$4:$AJ$4,0)))+SUMPRODUCT((Inputs!$E$5:$E$130=$B8)*Inputs!$F$5:$F$130*(((Inputs!$G$5:$G$130="moeda")+(Inputs!$G$5:$G$130="acoes"))*Inputs!$B$1+((Inputs!$G$5:$G$130&lt;&gt;"moeda")*(Inputs!$G$5:$G$130&lt;&gt;"acoes")))*INDEX(Inputs!$K$5:$AJ$130,0,MATCH(G$2,Inputs!$K$4:$AJ$4,0)))))</f>
        <v>-229</v>
      </c>
      <c r="H8" s="3">
        <f>SUM(D8:G8)</f>
        <v>-951</v>
      </c>
      <c r="I8" s="6">
        <f>IF(ISNA(MATCH(I$2,Inputs!$K$4:$AJ$4,0)),NA(),IF(SUMPRODUCT((Inputs!$A$5:$A$130=$B8)*ISNUMBER(INDEX(Inputs!$K$5:$AJ$130,0,MATCH(I$2,Inputs!$K$4:$AJ$4,0))))+SUMPRODUCT((Inputs!$C$5:$C$130=$B8)*ISNUMBER(INDEX(Inputs!$K$5:$AJ$130,0,MATCH(I$2,Inputs!$K$4:$AJ$4,0))))+SUMPRODUCT((Inputs!$E$5:$E$130=$B8)*ISNUMBER(INDEX(Inputs!$K$5:$AJ$130,0,MATCH(I$2,Inputs!$K$4:$AJ$4,0))))=0,NA(),SUMPRODUCT((Inputs!$A$5:$A$130=$B8)*Inputs!$B$5:$B$130*(((Inputs!$G$5:$G$130="moeda")+(Inputs!$G$5:$G$130="acoes"))*Inputs!$B$1+((Inputs!$G$5:$G$130&lt;&gt;"moeda")*(Inputs!$G$5:$G$130&lt;&gt;"acoes")))*INDEX(Inputs!$K$5:$AJ$130,0,MATCH(I$2,Inputs!$K$4:$AJ$4,0)))+SUMPRODUCT((Inputs!$C$5:$C$130=$B8)*Inputs!$D$5:$D$130*(((Inputs!$G$5:$G$130="moeda")+(Inputs!$G$5:$G$130="acoes"))*Inputs!$B$1+((Inputs!$G$5:$G$130&lt;&gt;"moeda")*(Inputs!$G$5:$G$130&lt;&gt;"acoes")))*INDEX(Inputs!$K$5:$AJ$130,0,MATCH(I$2,Inputs!$K$4:$AJ$4,0)))+SUMPRODUCT((Inputs!$E$5:$E$130=$B8)*Inputs!$F$5:$F$130*(((Inputs!$G$5:$G$130="moeda")+(Inputs!$G$5:$G$130="acoes"))*Inputs!$B$1+((Inputs!$G$5:$G$130&lt;&gt;"moeda")*(Inputs!$G$5:$G$130&lt;&gt;"acoes")))*INDEX(Inputs!$K$5:$AJ$130,0,MATCH(I$2,Inputs!$K$4:$AJ$4,0)))))</f>
        <v>-187</v>
      </c>
      <c r="J8" s="6">
        <f>IF(ISNA(MATCH(J$2,Inputs!$K$4:$AJ$4,0)),NA(),IF(SUMPRODUCT((Inputs!$A$5:$A$130=$B8)*ISNUMBER(INDEX(Inputs!$K$5:$AJ$130,0,MATCH(J$2,Inputs!$K$4:$AJ$4,0))))+SUMPRODUCT((Inputs!$C$5:$C$130=$B8)*ISNUMBER(INDEX(Inputs!$K$5:$AJ$130,0,MATCH(J$2,Inputs!$K$4:$AJ$4,0))))+SUMPRODUCT((Inputs!$E$5:$E$130=$B8)*ISNUMBER(INDEX(Inputs!$K$5:$AJ$130,0,MATCH(J$2,Inputs!$K$4:$AJ$4,0))))=0,NA(),SUMPRODUCT((Inputs!$A$5:$A$130=$B8)*Inputs!$B$5:$B$130*(((Inputs!$G$5:$G$130="moeda")+(Inputs!$G$5:$G$130="acoes"))*Inputs!$B$1+((Inputs!$G$5:$G$130&lt;&gt;"moeda")*(Inputs!$G$5:$G$130&lt;&gt;"acoes")))*INDEX(Inputs!$K$5:$AJ$130,0,MATCH(J$2,Inputs!$K$4:$AJ$4,0)))+SUMPRODUCT((Inputs!$C$5:$C$130=$B8)*Inputs!$D$5:$D$130*(((Inputs!$G$5:$G$130="moeda")+(Inputs!$G$5:$G$130="acoes"))*Inputs!$B$1+((Inputs!$G$5:$G$130&lt;&gt;"moeda")*(Inputs!$G$5:$G$130&lt;&gt;"acoes")))*INDEX(Inputs!$K$5:$AJ$130,0,MATCH(J$2,Inputs!$K$4:$AJ$4,0)))+SUMPRODUCT((Inputs!$E$5:$E$130=$B8)*Inputs!$F$5:$F$130*(((Inputs!$G$5:$G$130="moeda")+(Inputs!$G$5:$G$130="acoes"))*Inputs!$B$1+((Inputs!$G$5:$G$130&lt;&gt;"moeda")*(Inputs!$G$5:$G$130&lt;&gt;"acoes")))*INDEX(Inputs!$K$5:$AJ$130,0,MATCH(J$2,Inputs!$K$4:$AJ$4,0)))))</f>
        <v>-296</v>
      </c>
      <c r="K8" s="6">
        <f>IF(ISNA(MATCH(K$2,Inputs!$K$4:$AJ$4,0)),NA(),IF(SUMPRODUCT((Inputs!$A$5:$A$130=$B8)*ISNUMBER(INDEX(Inputs!$K$5:$AJ$130,0,MATCH(K$2,Inputs!$K$4:$AJ$4,0))))+SUMPRODUCT((Inputs!$C$5:$C$130=$B8)*ISNUMBER(INDEX(Inputs!$K$5:$AJ$130,0,MATCH(K$2,Inputs!$K$4:$AJ$4,0))))+SUMPRODUCT((Inputs!$E$5:$E$130=$B8)*ISNUMBER(INDEX(Inputs!$K$5:$AJ$130,0,MATCH(K$2,Inputs!$K$4:$AJ$4,0))))=0,NA(),SUMPRODUCT((Inputs!$A$5:$A$130=$B8)*Inputs!$B$5:$B$130*(((Inputs!$G$5:$G$130="moeda")+(Inputs!$G$5:$G$130="acoes"))*Inputs!$B$1+((Inputs!$G$5:$G$130&lt;&gt;"moeda")*(Inputs!$G$5:$G$130&lt;&gt;"acoes")))*INDEX(Inputs!$K$5:$AJ$130,0,MATCH(K$2,Inputs!$K$4:$AJ$4,0)))+SUMPRODUCT((Inputs!$C$5:$C$130=$B8)*Inputs!$D$5:$D$130*(((Inputs!$G$5:$G$130="moeda")+(Inputs!$G$5:$G$130="acoes"))*Inputs!$B$1+((Inputs!$G$5:$G$130&lt;&gt;"moeda")*(Inputs!$G$5:$G$130&lt;&gt;"acoes")))*INDEX(Inputs!$K$5:$AJ$130,0,MATCH(K$2,Inputs!$K$4:$AJ$4,0)))+SUMPRODUCT((Inputs!$E$5:$E$130=$B8)*Inputs!$F$5:$F$130*(((Inputs!$G$5:$G$130="moeda")+(Inputs!$G$5:$G$130="acoes"))*Inputs!$B$1+((Inputs!$G$5:$G$130&lt;&gt;"moeda")*(Inputs!$G$5:$G$130&lt;&gt;"acoes")))*INDEX(Inputs!$K$5:$AJ$130,0,MATCH(K$2,Inputs!$K$4:$AJ$4,0)))))</f>
        <v>-349</v>
      </c>
      <c r="L8" s="6">
        <f>IF(ISNA(MATCH(L$2,Inputs!$K$4:$AJ$4,0)),NA(),IF(SUMPRODUCT((Inputs!$A$5:$A$130=$B8)*ISNUMBER(INDEX(Inputs!$K$5:$AJ$130,0,MATCH(L$2,Inputs!$K$4:$AJ$4,0))))+SUMPRODUCT((Inputs!$C$5:$C$130=$B8)*ISNUMBER(INDEX(Inputs!$K$5:$AJ$130,0,MATCH(L$2,Inputs!$K$4:$AJ$4,0))))+SUMPRODUCT((Inputs!$E$5:$E$130=$B8)*ISNUMBER(INDEX(Inputs!$K$5:$AJ$130,0,MATCH(L$2,Inputs!$K$4:$AJ$4,0))))=0,NA(),SUMPRODUCT((Inputs!$A$5:$A$130=$B8)*Inputs!$B$5:$B$130*(((Inputs!$G$5:$G$130="moeda")+(Inputs!$G$5:$G$130="acoes"))*Inputs!$B$1+((Inputs!$G$5:$G$130&lt;&gt;"moeda")*(Inputs!$G$5:$G$130&lt;&gt;"acoes")))*INDEX(Inputs!$K$5:$AJ$130,0,MATCH(L$2,Inputs!$K$4:$AJ$4,0)))+SUMPRODUCT((Inputs!$C$5:$C$130=$B8)*Inputs!$D$5:$D$130*(((Inputs!$G$5:$G$130="moeda")+(Inputs!$G$5:$G$130="acoes"))*Inputs!$B$1+((Inputs!$G$5:$G$130&lt;&gt;"moeda")*(Inputs!$G$5:$G$130&lt;&gt;"acoes")))*INDEX(Inputs!$K$5:$AJ$130,0,MATCH(L$2,Inputs!$K$4:$AJ$4,0)))+SUMPRODUCT((Inputs!$E$5:$E$130=$B8)*Inputs!$F$5:$F$130*(((Inputs!$G$5:$G$130="moeda")+(Inputs!$G$5:$G$130="acoes"))*Inputs!$B$1+((Inputs!$G$5:$G$130&lt;&gt;"moeda")*(Inputs!$G$5:$G$130&lt;&gt;"acoes")))*INDEX(Inputs!$K$5:$AJ$130,0,MATCH(L$2,Inputs!$K$4:$AJ$4,0)))))</f>
        <v>-479</v>
      </c>
      <c r="M8" s="3">
        <f>SUM(I8:L8)</f>
        <v>-1311</v>
      </c>
      <c r="N8" s="6">
        <f>IF(ISNA(MATCH(N$2,Inputs!$K$4:$AJ$4,0)),NA(),IF(SUMPRODUCT((Inputs!$A$5:$A$130=$B8)*ISNUMBER(INDEX(Inputs!$K$5:$AJ$130,0,MATCH(N$2,Inputs!$K$4:$AJ$4,0))))+SUMPRODUCT((Inputs!$C$5:$C$130=$B8)*ISNUMBER(INDEX(Inputs!$K$5:$AJ$130,0,MATCH(N$2,Inputs!$K$4:$AJ$4,0))))+SUMPRODUCT((Inputs!$E$5:$E$130=$B8)*ISNUMBER(INDEX(Inputs!$K$5:$AJ$130,0,MATCH(N$2,Inputs!$K$4:$AJ$4,0))))=0,NA(),SUMPRODUCT((Inputs!$A$5:$A$130=$B8)*Inputs!$B$5:$B$130*(((Inputs!$G$5:$G$130="moeda")+(Inputs!$G$5:$G$130="acoes"))*Inputs!$B$1+((Inputs!$G$5:$G$130&lt;&gt;"moeda")*(Inputs!$G$5:$G$130&lt;&gt;"acoes")))*INDEX(Inputs!$K$5:$AJ$130,0,MATCH(N$2,Inputs!$K$4:$AJ$4,0)))+SUMPRODUCT((Inputs!$C$5:$C$130=$B8)*Inputs!$D$5:$D$130*(((Inputs!$G$5:$G$130="moeda")+(Inputs!$G$5:$G$130="acoes"))*Inputs!$B$1+((Inputs!$G$5:$G$130&lt;&gt;"moeda")*(Inputs!$G$5:$G$130&lt;&gt;"acoes")))*INDEX(Inputs!$K$5:$AJ$130,0,MATCH(N$2,Inputs!$K$4:$AJ$4,0)))+SUMPRODUCT((Inputs!$E$5:$E$130=$B8)*Inputs!$F$5:$F$130*(((Inputs!$G$5:$G$130="moeda")+(Inputs!$G$5:$G$130="acoes"))*Inputs!$B$1+((Inputs!$G$5:$G$130&lt;&gt;"moeda")*(Inputs!$G$5:$G$130&lt;&gt;"acoes")))*INDEX(Inputs!$K$5:$AJ$130,0,MATCH(N$2,Inputs!$K$4:$AJ$4,0)))))</f>
        <v>-569</v>
      </c>
      <c r="O8" s="6">
        <f>IF(ISNA(MATCH(O$2,Inputs!$K$4:$AJ$4,0)),NA(),IF(SUMPRODUCT((Inputs!$A$5:$A$130=$B8)*ISNUMBER(INDEX(Inputs!$K$5:$AJ$130,0,MATCH(O$2,Inputs!$K$4:$AJ$4,0))))+SUMPRODUCT((Inputs!$C$5:$C$130=$B8)*ISNUMBER(INDEX(Inputs!$K$5:$AJ$130,0,MATCH(O$2,Inputs!$K$4:$AJ$4,0))))+SUMPRODUCT((Inputs!$E$5:$E$130=$B8)*ISNUMBER(INDEX(Inputs!$K$5:$AJ$130,0,MATCH(O$2,Inputs!$K$4:$AJ$4,0))))=0,NA(),SUMPRODUCT((Inputs!$A$5:$A$130=$B8)*Inputs!$B$5:$B$130*(((Inputs!$G$5:$G$130="moeda")+(Inputs!$G$5:$G$130="acoes"))*Inputs!$B$1+((Inputs!$G$5:$G$130&lt;&gt;"moeda")*(Inputs!$G$5:$G$130&lt;&gt;"acoes")))*INDEX(Inputs!$K$5:$AJ$130,0,MATCH(O$2,Inputs!$K$4:$AJ$4,0)))+SUMPRODUCT((Inputs!$C$5:$C$130=$B8)*Inputs!$D$5:$D$130*(((Inputs!$G$5:$G$130="moeda")+(Inputs!$G$5:$G$130="acoes"))*Inputs!$B$1+((Inputs!$G$5:$G$130&lt;&gt;"moeda")*(Inputs!$G$5:$G$130&lt;&gt;"acoes")))*INDEX(Inputs!$K$5:$AJ$130,0,MATCH(O$2,Inputs!$K$4:$AJ$4,0)))+SUMPRODUCT((Inputs!$E$5:$E$130=$B8)*Inputs!$F$5:$F$130*(((Inputs!$G$5:$G$130="moeda")+(Inputs!$G$5:$G$130="acoes"))*Inputs!$B$1+((Inputs!$G$5:$G$130&lt;&gt;"moeda")*(Inputs!$G$5:$G$130&lt;&gt;"acoes")))*INDEX(Inputs!$K$5:$AJ$130,0,MATCH(O$2,Inputs!$K$4:$AJ$4,0)))))</f>
        <v>-623</v>
      </c>
      <c r="P8" s="6">
        <f>IF(ISNA(MATCH(P$2,Inputs!$K$4:$AJ$4,0)),NA(),IF(SUMPRODUCT((Inputs!$A$5:$A$130=$B8)*ISNUMBER(INDEX(Inputs!$K$5:$AJ$130,0,MATCH(P$2,Inputs!$K$4:$AJ$4,0))))+SUMPRODUCT((Inputs!$C$5:$C$130=$B8)*ISNUMBER(INDEX(Inputs!$K$5:$AJ$130,0,MATCH(P$2,Inputs!$K$4:$AJ$4,0))))+SUMPRODUCT((Inputs!$E$5:$E$130=$B8)*ISNUMBER(INDEX(Inputs!$K$5:$AJ$130,0,MATCH(P$2,Inputs!$K$4:$AJ$4,0))))=0,NA(),SUMPRODUCT((Inputs!$A$5:$A$130=$B8)*Inputs!$B$5:$B$130*(((Inputs!$G$5:$G$130="moeda")+(Inputs!$G$5:$G$130="acoes"))*Inputs!$B$1+((Inputs!$G$5:$G$130&lt;&gt;"moeda")*(Inputs!$G$5:$G$130&lt;&gt;"acoes")))*INDEX(Inputs!$K$5:$AJ$130,0,MATCH(P$2,Inputs!$K$4:$AJ$4,0)))+SUMPRODUCT((Inputs!$C$5:$C$130=$B8)*Inputs!$D$5:$D$130*(((Inputs!$G$5:$G$130="moeda")+(Inputs!$G$5:$G$130="acoes"))*Inputs!$B$1+((Inputs!$G$5:$G$130&lt;&gt;"moeda")*(Inputs!$G$5:$G$130&lt;&gt;"acoes")))*INDEX(Inputs!$K$5:$AJ$130,0,MATCH(P$2,Inputs!$K$4:$AJ$4,0)))+SUMPRODUCT((Inputs!$E$5:$E$130=$B8)*Inputs!$F$5:$F$130*(((Inputs!$G$5:$G$130="moeda")+(Inputs!$G$5:$G$130="acoes"))*Inputs!$B$1+((Inputs!$G$5:$G$130&lt;&gt;"moeda")*(Inputs!$G$5:$G$130&lt;&gt;"acoes")))*INDEX(Inputs!$K$5:$AJ$130,0,MATCH(P$2,Inputs!$K$4:$AJ$4,0)))))</f>
        <v>-782</v>
      </c>
      <c r="Q8" s="6">
        <f>IF(ISNA(MATCH(Q$2,Inputs!$K$4:$AJ$4,0)),NA(),IF(SUMPRODUCT((Inputs!$A$5:$A$130=$B8)*ISNUMBER(INDEX(Inputs!$K$5:$AJ$130,0,MATCH(Q$2,Inputs!$K$4:$AJ$4,0))))+SUMPRODUCT((Inputs!$C$5:$C$130=$B8)*ISNUMBER(INDEX(Inputs!$K$5:$AJ$130,0,MATCH(Q$2,Inputs!$K$4:$AJ$4,0))))+SUMPRODUCT((Inputs!$E$5:$E$130=$B8)*ISNUMBER(INDEX(Inputs!$K$5:$AJ$130,0,MATCH(Q$2,Inputs!$K$4:$AJ$4,0))))=0,NA(),SUMPRODUCT((Inputs!$A$5:$A$130=$B8)*Inputs!$B$5:$B$130*(((Inputs!$G$5:$G$130="moeda")+(Inputs!$G$5:$G$130="acoes"))*Inputs!$B$1+((Inputs!$G$5:$G$130&lt;&gt;"moeda")*(Inputs!$G$5:$G$130&lt;&gt;"acoes")))*INDEX(Inputs!$K$5:$AJ$130,0,MATCH(Q$2,Inputs!$K$4:$AJ$4,0)))+SUMPRODUCT((Inputs!$C$5:$C$130=$B8)*Inputs!$D$5:$D$130*(((Inputs!$G$5:$G$130="moeda")+(Inputs!$G$5:$G$130="acoes"))*Inputs!$B$1+((Inputs!$G$5:$G$130&lt;&gt;"moeda")*(Inputs!$G$5:$G$130&lt;&gt;"acoes")))*INDEX(Inputs!$K$5:$AJ$130,0,MATCH(Q$2,Inputs!$K$4:$AJ$4,0)))+SUMPRODUCT((Inputs!$E$5:$E$130=$B8)*Inputs!$F$5:$F$130*(((Inputs!$G$5:$G$130="moeda")+(Inputs!$G$5:$G$130="acoes"))*Inputs!$B$1+((Inputs!$G$5:$G$130&lt;&gt;"moeda")*(Inputs!$G$5:$G$130&lt;&gt;"acoes")))*INDEX(Inputs!$K$5:$AJ$130,0,MATCH(Q$2,Inputs!$K$4:$AJ$4,0)))))</f>
        <v>-802</v>
      </c>
      <c r="R8" s="3">
        <f>SUM(N8:Q8)</f>
        <v>-2776</v>
      </c>
      <c r="S8" s="6">
        <f>IF(ISNA(MATCH(S$2,Inputs!$K$4:$AJ$4,0)),NA(),IF(SUMPRODUCT((Inputs!$A$5:$A$130=$B8)*ISNUMBER(INDEX(Inputs!$K$5:$AJ$130,0,MATCH(S$2,Inputs!$K$4:$AJ$4,0))))+SUMPRODUCT((Inputs!$C$5:$C$130=$B8)*ISNUMBER(INDEX(Inputs!$K$5:$AJ$130,0,MATCH(S$2,Inputs!$K$4:$AJ$4,0))))+SUMPRODUCT((Inputs!$E$5:$E$130=$B8)*ISNUMBER(INDEX(Inputs!$K$5:$AJ$130,0,MATCH(S$2,Inputs!$K$4:$AJ$4,0))))=0,NA(),SUMPRODUCT((Inputs!$A$5:$A$130=$B8)*Inputs!$B$5:$B$130*(((Inputs!$G$5:$G$130="moeda")+(Inputs!$G$5:$G$130="acoes"))*Inputs!$B$1+((Inputs!$G$5:$G$130&lt;&gt;"moeda")*(Inputs!$G$5:$G$130&lt;&gt;"acoes")))*INDEX(Inputs!$K$5:$AJ$130,0,MATCH(S$2,Inputs!$K$4:$AJ$4,0)))+SUMPRODUCT((Inputs!$C$5:$C$130=$B8)*Inputs!$D$5:$D$130*(((Inputs!$G$5:$G$130="moeda")+(Inputs!$G$5:$G$130="acoes"))*Inputs!$B$1+((Inputs!$G$5:$G$130&lt;&gt;"moeda")*(Inputs!$G$5:$G$130&lt;&gt;"acoes")))*INDEX(Inputs!$K$5:$AJ$130,0,MATCH(S$2,Inputs!$K$4:$AJ$4,0)))+SUMPRODUCT((Inputs!$E$5:$E$130=$B8)*Inputs!$F$5:$F$130*(((Inputs!$G$5:$G$130="moeda")+(Inputs!$G$5:$G$130="acoes"))*Inputs!$B$1+((Inputs!$G$5:$G$130&lt;&gt;"moeda")*(Inputs!$G$5:$G$130&lt;&gt;"acoes")))*INDEX(Inputs!$K$5:$AJ$130,0,MATCH(S$2,Inputs!$K$4:$AJ$4,0)))))</f>
        <v>-836</v>
      </c>
      <c r="T8" s="6">
        <f>IF(ISNA(MATCH(T$2,Inputs!$K$4:$AJ$4,0)),NA(),IF(SUMPRODUCT((Inputs!$A$5:$A$130=$B8)*ISNUMBER(INDEX(Inputs!$K$5:$AJ$130,0,MATCH(T$2,Inputs!$K$4:$AJ$4,0))))+SUMPRODUCT((Inputs!$C$5:$C$130=$B8)*ISNUMBER(INDEX(Inputs!$K$5:$AJ$130,0,MATCH(T$2,Inputs!$K$4:$AJ$4,0))))+SUMPRODUCT((Inputs!$E$5:$E$130=$B8)*ISNUMBER(INDEX(Inputs!$K$5:$AJ$130,0,MATCH(T$2,Inputs!$K$4:$AJ$4,0))))=0,NA(),SUMPRODUCT((Inputs!$A$5:$A$130=$B8)*Inputs!$B$5:$B$130*(((Inputs!$G$5:$G$130="moeda")+(Inputs!$G$5:$G$130="acoes"))*Inputs!$B$1+((Inputs!$G$5:$G$130&lt;&gt;"moeda")*(Inputs!$G$5:$G$130&lt;&gt;"acoes")))*INDEX(Inputs!$K$5:$AJ$130,0,MATCH(T$2,Inputs!$K$4:$AJ$4,0)))+SUMPRODUCT((Inputs!$C$5:$C$130=$B8)*Inputs!$D$5:$D$130*(((Inputs!$G$5:$G$130="moeda")+(Inputs!$G$5:$G$130="acoes"))*Inputs!$B$1+((Inputs!$G$5:$G$130&lt;&gt;"moeda")*(Inputs!$G$5:$G$130&lt;&gt;"acoes")))*INDEX(Inputs!$K$5:$AJ$130,0,MATCH(T$2,Inputs!$K$4:$AJ$4,0)))+SUMPRODUCT((Inputs!$E$5:$E$130=$B8)*Inputs!$F$5:$F$130*(((Inputs!$G$5:$G$130="moeda")+(Inputs!$G$5:$G$130="acoes"))*Inputs!$B$1+((Inputs!$G$5:$G$130&lt;&gt;"moeda")*(Inputs!$G$5:$G$130&lt;&gt;"acoes")))*INDEX(Inputs!$K$5:$AJ$130,0,MATCH(T$2,Inputs!$K$4:$AJ$4,0)))))</f>
        <v>-840</v>
      </c>
      <c r="U8" s="6">
        <f>IF(ISNA(MATCH(U$2,Inputs!$K$4:$AJ$4,0)),NA(),IF(SUMPRODUCT((Inputs!$A$5:$A$130=$B8)*ISNUMBER(INDEX(Inputs!$K$5:$AJ$130,0,MATCH(U$2,Inputs!$K$4:$AJ$4,0))))+SUMPRODUCT((Inputs!$C$5:$C$130=$B8)*ISNUMBER(INDEX(Inputs!$K$5:$AJ$130,0,MATCH(U$2,Inputs!$K$4:$AJ$4,0))))+SUMPRODUCT((Inputs!$E$5:$E$130=$B8)*ISNUMBER(INDEX(Inputs!$K$5:$AJ$130,0,MATCH(U$2,Inputs!$K$4:$AJ$4,0))))=0,NA(),SUMPRODUCT((Inputs!$A$5:$A$130=$B8)*Inputs!$B$5:$B$130*(((Inputs!$G$5:$G$130="moeda")+(Inputs!$G$5:$G$130="acoes"))*Inputs!$B$1+((Inputs!$G$5:$G$130&lt;&gt;"moeda")*(Inputs!$G$5:$G$130&lt;&gt;"acoes")))*INDEX(Inputs!$K$5:$AJ$130,0,MATCH(U$2,Inputs!$K$4:$AJ$4,0)))+SUMPRODUCT((Inputs!$C$5:$C$130=$B8)*Inputs!$D$5:$D$130*(((Inputs!$G$5:$G$130="moeda")+(Inputs!$G$5:$G$130="acoes"))*Inputs!$B$1+((Inputs!$G$5:$G$130&lt;&gt;"moeda")*(Inputs!$G$5:$G$130&lt;&gt;"acoes")))*INDEX(Inputs!$K$5:$AJ$130,0,MATCH(U$2,Inputs!$K$4:$AJ$4,0)))+SUMPRODUCT((Inputs!$E$5:$E$130=$B8)*Inputs!$F$5:$F$130*(((Inputs!$G$5:$G$130="moeda")+(Inputs!$G$5:$G$130="acoes"))*Inputs!$B$1+((Inputs!$G$5:$G$130&lt;&gt;"moeda")*(Inputs!$G$5:$G$130&lt;&gt;"acoes")))*INDEX(Inputs!$K$5:$AJ$130,0,MATCH(U$2,Inputs!$K$4:$AJ$4,0)))))</f>
        <v>-870</v>
      </c>
      <c r="V8" s="6">
        <f>IF(ISNA(MATCH(V$2,Inputs!$K$4:$AJ$4,0)),NA(),IF(SUMPRODUCT((Inputs!$A$5:$A$130=$B8)*ISNUMBER(INDEX(Inputs!$K$5:$AJ$130,0,MATCH(V$2,Inputs!$K$4:$AJ$4,0))))+SUMPRODUCT((Inputs!$C$5:$C$130=$B8)*ISNUMBER(INDEX(Inputs!$K$5:$AJ$130,0,MATCH(V$2,Inputs!$K$4:$AJ$4,0))))+SUMPRODUCT((Inputs!$E$5:$E$130=$B8)*ISNUMBER(INDEX(Inputs!$K$5:$AJ$130,0,MATCH(V$2,Inputs!$K$4:$AJ$4,0))))=0,NA(),SUMPRODUCT((Inputs!$A$5:$A$130=$B8)*Inputs!$B$5:$B$130*(((Inputs!$G$5:$G$130="moeda")+(Inputs!$G$5:$G$130="acoes"))*Inputs!$B$1+((Inputs!$G$5:$G$130&lt;&gt;"moeda")*(Inputs!$G$5:$G$130&lt;&gt;"acoes")))*INDEX(Inputs!$K$5:$AJ$130,0,MATCH(V$2,Inputs!$K$4:$AJ$4,0)))+SUMPRODUCT((Inputs!$C$5:$C$130=$B8)*Inputs!$D$5:$D$130*(((Inputs!$G$5:$G$130="moeda")+(Inputs!$G$5:$G$130="acoes"))*Inputs!$B$1+((Inputs!$G$5:$G$130&lt;&gt;"moeda")*(Inputs!$G$5:$G$130&lt;&gt;"acoes")))*INDEX(Inputs!$K$5:$AJ$130,0,MATCH(V$2,Inputs!$K$4:$AJ$4,0)))+SUMPRODUCT((Inputs!$E$5:$E$130=$B8)*Inputs!$F$5:$F$130*(((Inputs!$G$5:$G$130="moeda")+(Inputs!$G$5:$G$130="acoes"))*Inputs!$B$1+((Inputs!$G$5:$G$130&lt;&gt;"moeda")*(Inputs!$G$5:$G$130&lt;&gt;"acoes")))*INDEX(Inputs!$K$5:$AJ$130,0,MATCH(V$2,Inputs!$K$4:$AJ$4,0)))))</f>
        <v>-829</v>
      </c>
      <c r="W8" s="3">
        <f>SUM(S8:V8)</f>
        <v>-3375</v>
      </c>
      <c r="X8" s="6">
        <f>IF(ISNA(MATCH(X$2,Inputs!$K$4:$AJ$4,0)),NA(),IF(SUMPRODUCT((Inputs!$A$5:$A$130=$B8)*ISNUMBER(INDEX(Inputs!$K$5:$AJ$130,0,MATCH(X$2,Inputs!$K$4:$AJ$4,0))))+SUMPRODUCT((Inputs!$C$5:$C$130=$B8)*ISNUMBER(INDEX(Inputs!$K$5:$AJ$130,0,MATCH(X$2,Inputs!$K$4:$AJ$4,0))))+SUMPRODUCT((Inputs!$E$5:$E$130=$B8)*ISNUMBER(INDEX(Inputs!$K$5:$AJ$130,0,MATCH(X$2,Inputs!$K$4:$AJ$4,0))))=0,NA(),SUMPRODUCT((Inputs!$A$5:$A$130=$B8)*Inputs!$B$5:$B$130*(((Inputs!$G$5:$G$130="moeda")+(Inputs!$G$5:$G$130="acoes"))*Inputs!$B$1+((Inputs!$G$5:$G$130&lt;&gt;"moeda")*(Inputs!$G$5:$G$130&lt;&gt;"acoes")))*INDEX(Inputs!$K$5:$AJ$130,0,MATCH(X$2,Inputs!$K$4:$AJ$4,0)))+SUMPRODUCT((Inputs!$C$5:$C$130=$B8)*Inputs!$D$5:$D$130*(((Inputs!$G$5:$G$130="moeda")+(Inputs!$G$5:$G$130="acoes"))*Inputs!$B$1+((Inputs!$G$5:$G$130&lt;&gt;"moeda")*(Inputs!$G$5:$G$130&lt;&gt;"acoes")))*INDEX(Inputs!$K$5:$AJ$130,0,MATCH(X$2,Inputs!$K$4:$AJ$4,0)))+SUMPRODUCT((Inputs!$E$5:$E$130=$B8)*Inputs!$F$5:$F$130*(((Inputs!$G$5:$G$130="moeda")+(Inputs!$G$5:$G$130="acoes"))*Inputs!$B$1+((Inputs!$G$5:$G$130&lt;&gt;"moeda")*(Inputs!$G$5:$G$130&lt;&gt;"acoes")))*INDEX(Inputs!$K$5:$AJ$130,0,MATCH(X$2,Inputs!$K$4:$AJ$4,0)))))</f>
        <v>-784</v>
      </c>
      <c r="Y8" s="6">
        <f>IF(ISNA(MATCH(Y$2,Inputs!$K$4:$AJ$4,0)),NA(),IF(SUMPRODUCT((Inputs!$A$5:$A$130=$B8)*ISNUMBER(INDEX(Inputs!$K$5:$AJ$130,0,MATCH(Y$2,Inputs!$K$4:$AJ$4,0))))+SUMPRODUCT((Inputs!$C$5:$C$130=$B8)*ISNUMBER(INDEX(Inputs!$K$5:$AJ$130,0,MATCH(Y$2,Inputs!$K$4:$AJ$4,0))))+SUMPRODUCT((Inputs!$E$5:$E$130=$B8)*ISNUMBER(INDEX(Inputs!$K$5:$AJ$130,0,MATCH(Y$2,Inputs!$K$4:$AJ$4,0))))=0,NA(),SUMPRODUCT((Inputs!$A$5:$A$130=$B8)*Inputs!$B$5:$B$130*(((Inputs!$G$5:$G$130="moeda")+(Inputs!$G$5:$G$130="acoes"))*Inputs!$B$1+((Inputs!$G$5:$G$130&lt;&gt;"moeda")*(Inputs!$G$5:$G$130&lt;&gt;"acoes")))*INDEX(Inputs!$K$5:$AJ$130,0,MATCH(Y$2,Inputs!$K$4:$AJ$4,0)))+SUMPRODUCT((Inputs!$C$5:$C$130=$B8)*Inputs!$D$5:$D$130*(((Inputs!$G$5:$G$130="moeda")+(Inputs!$G$5:$G$130="acoes"))*Inputs!$B$1+((Inputs!$G$5:$G$130&lt;&gt;"moeda")*(Inputs!$G$5:$G$130&lt;&gt;"acoes")))*INDEX(Inputs!$K$5:$AJ$130,0,MATCH(Y$2,Inputs!$K$4:$AJ$4,0)))+SUMPRODUCT((Inputs!$E$5:$E$130=$B8)*Inputs!$F$5:$F$130*(((Inputs!$G$5:$G$130="moeda")+(Inputs!$G$5:$G$130="acoes"))*Inputs!$B$1+((Inputs!$G$5:$G$130&lt;&gt;"moeda")*(Inputs!$G$5:$G$130&lt;&gt;"acoes")))*INDEX(Inputs!$K$5:$AJ$130,0,MATCH(Y$2,Inputs!$K$4:$AJ$4,0)))))</f>
        <v>-794</v>
      </c>
      <c r="Z8" s="6">
        <f>IF(ISNA(MATCH(Z$2,Inputs!$K$4:$AJ$4,0)),NA(),IF(SUMPRODUCT((Inputs!$A$5:$A$130=$B8)*ISNUMBER(INDEX(Inputs!$K$5:$AJ$130,0,MATCH(Z$2,Inputs!$K$4:$AJ$4,0))))+SUMPRODUCT((Inputs!$C$5:$C$130=$B8)*ISNUMBER(INDEX(Inputs!$K$5:$AJ$130,0,MATCH(Z$2,Inputs!$K$4:$AJ$4,0))))+SUMPRODUCT((Inputs!$E$5:$E$130=$B8)*ISNUMBER(INDEX(Inputs!$K$5:$AJ$130,0,MATCH(Z$2,Inputs!$K$4:$AJ$4,0))))=0,NA(),SUMPRODUCT((Inputs!$A$5:$A$130=$B8)*Inputs!$B$5:$B$130*(((Inputs!$G$5:$G$130="moeda")+(Inputs!$G$5:$G$130="acoes"))*Inputs!$B$1+((Inputs!$G$5:$G$130&lt;&gt;"moeda")*(Inputs!$G$5:$G$130&lt;&gt;"acoes")))*INDEX(Inputs!$K$5:$AJ$130,0,MATCH(Z$2,Inputs!$K$4:$AJ$4,0)))+SUMPRODUCT((Inputs!$C$5:$C$130=$B8)*Inputs!$D$5:$D$130*(((Inputs!$G$5:$G$130="moeda")+(Inputs!$G$5:$G$130="acoes"))*Inputs!$B$1+((Inputs!$G$5:$G$130&lt;&gt;"moeda")*(Inputs!$G$5:$G$130&lt;&gt;"acoes")))*INDEX(Inputs!$K$5:$AJ$130,0,MATCH(Z$2,Inputs!$K$4:$AJ$4,0)))+SUMPRODUCT((Inputs!$E$5:$E$130=$B8)*Inputs!$F$5:$F$130*(((Inputs!$G$5:$G$130="moeda")+(Inputs!$G$5:$G$130="acoes"))*Inputs!$B$1+((Inputs!$G$5:$G$130&lt;&gt;"moeda")*(Inputs!$G$5:$G$130&lt;&gt;"acoes")))*INDEX(Inputs!$K$5:$AJ$130,0,MATCH(Z$2,Inputs!$K$4:$AJ$4,0)))))</f>
        <v>-762</v>
      </c>
      <c r="AA8" s="6">
        <f>IF(ISNA(MATCH(AA$2,Inputs!$K$4:$AJ$4,0)),NA(),IF(SUMPRODUCT((Inputs!$A$5:$A$130=$B8)*ISNUMBER(INDEX(Inputs!$K$5:$AJ$130,0,MATCH(AA$2,Inputs!$K$4:$AJ$4,0))))+SUMPRODUCT((Inputs!$C$5:$C$130=$B8)*ISNUMBER(INDEX(Inputs!$K$5:$AJ$130,0,MATCH(AA$2,Inputs!$K$4:$AJ$4,0))))+SUMPRODUCT((Inputs!$E$5:$E$130=$B8)*ISNUMBER(INDEX(Inputs!$K$5:$AJ$130,0,MATCH(AA$2,Inputs!$K$4:$AJ$4,0))))=0,NA(),SUMPRODUCT((Inputs!$A$5:$A$130=$B8)*Inputs!$B$5:$B$130*(((Inputs!$G$5:$G$130="moeda")+(Inputs!$G$5:$G$130="acoes"))*Inputs!$B$1+((Inputs!$G$5:$G$130&lt;&gt;"moeda")*(Inputs!$G$5:$G$130&lt;&gt;"acoes")))*INDEX(Inputs!$K$5:$AJ$130,0,MATCH(AA$2,Inputs!$K$4:$AJ$4,0)))+SUMPRODUCT((Inputs!$C$5:$C$130=$B8)*Inputs!$D$5:$D$130*(((Inputs!$G$5:$G$130="moeda")+(Inputs!$G$5:$G$130="acoes"))*Inputs!$B$1+((Inputs!$G$5:$G$130&lt;&gt;"moeda")*(Inputs!$G$5:$G$130&lt;&gt;"acoes")))*INDEX(Inputs!$K$5:$AJ$130,0,MATCH(AA$2,Inputs!$K$4:$AJ$4,0)))+SUMPRODUCT((Inputs!$E$5:$E$130=$B8)*Inputs!$F$5:$F$130*(((Inputs!$G$5:$G$130="moeda")+(Inputs!$G$5:$G$130="acoes"))*Inputs!$B$1+((Inputs!$G$5:$G$130&lt;&gt;"moeda")*(Inputs!$G$5:$G$130&lt;&gt;"acoes")))*INDEX(Inputs!$K$5:$AJ$130,0,MATCH(AA$2,Inputs!$K$4:$AJ$4,0)))))</f>
        <v>-719</v>
      </c>
      <c r="AB8" s="3">
        <f>SUM(X8:AA8)</f>
        <v>-3059</v>
      </c>
      <c r="AC8" s="6">
        <f>IF(ISNA(MATCH(AC$2,Inputs!$K$4:$AJ$4,0)),NA(),IF(SUMPRODUCT((Inputs!$A$5:$A$130=$B8)*ISNUMBER(INDEX(Inputs!$K$5:$AJ$130,0,MATCH(AC$2,Inputs!$K$4:$AJ$4,0))))+SUMPRODUCT((Inputs!$C$5:$C$130=$B8)*ISNUMBER(INDEX(Inputs!$K$5:$AJ$130,0,MATCH(AC$2,Inputs!$K$4:$AJ$4,0))))+SUMPRODUCT((Inputs!$E$5:$E$130=$B8)*ISNUMBER(INDEX(Inputs!$K$5:$AJ$130,0,MATCH(AC$2,Inputs!$K$4:$AJ$4,0))))=0,NA(),SUMPRODUCT((Inputs!$A$5:$A$130=$B8)*Inputs!$B$5:$B$130*(((Inputs!$G$5:$G$130="moeda")+(Inputs!$G$5:$G$130="acoes"))*Inputs!$B$1+((Inputs!$G$5:$G$130&lt;&gt;"moeda")*(Inputs!$G$5:$G$130&lt;&gt;"acoes")))*INDEX(Inputs!$K$5:$AJ$130,0,MATCH(AC$2,Inputs!$K$4:$AJ$4,0)))+SUMPRODUCT((Inputs!$C$5:$C$130=$B8)*Inputs!$D$5:$D$130*(((Inputs!$G$5:$G$130="moeda")+(Inputs!$G$5:$G$130="acoes"))*Inputs!$B$1+((Inputs!$G$5:$G$130&lt;&gt;"moeda")*(Inputs!$G$5:$G$130&lt;&gt;"acoes")))*INDEX(Inputs!$K$5:$AJ$130,0,MATCH(AC$2,Inputs!$K$4:$AJ$4,0)))+SUMPRODUCT((Inputs!$E$5:$E$130=$B8)*Inputs!$F$5:$F$130*(((Inputs!$G$5:$G$130="moeda")+(Inputs!$G$5:$G$130="acoes"))*Inputs!$B$1+((Inputs!$G$5:$G$130&lt;&gt;"moeda")*(Inputs!$G$5:$G$130&lt;&gt;"acoes")))*INDEX(Inputs!$K$5:$AJ$130,0,MATCH(AC$2,Inputs!$K$4:$AJ$4,0)))))</f>
        <v>-712</v>
      </c>
      <c r="AD8" s="6">
        <f>IF(ISNA(MATCH(AD$2,Inputs!$K$4:$AJ$4,0)),NA(),IF(SUMPRODUCT((Inputs!$A$5:$A$130=$B8)*ISNUMBER(INDEX(Inputs!$K$5:$AJ$130,0,MATCH(AD$2,Inputs!$K$4:$AJ$4,0))))+SUMPRODUCT((Inputs!$C$5:$C$130=$B8)*ISNUMBER(INDEX(Inputs!$K$5:$AJ$130,0,MATCH(AD$2,Inputs!$K$4:$AJ$4,0))))+SUMPRODUCT((Inputs!$E$5:$E$130=$B8)*ISNUMBER(INDEX(Inputs!$K$5:$AJ$130,0,MATCH(AD$2,Inputs!$K$4:$AJ$4,0))))=0,NA(),SUMPRODUCT((Inputs!$A$5:$A$130=$B8)*Inputs!$B$5:$B$130*(((Inputs!$G$5:$G$130="moeda")+(Inputs!$G$5:$G$130="acoes"))*Inputs!$B$1+((Inputs!$G$5:$G$130&lt;&gt;"moeda")*(Inputs!$G$5:$G$130&lt;&gt;"acoes")))*INDEX(Inputs!$K$5:$AJ$130,0,MATCH(AD$2,Inputs!$K$4:$AJ$4,0)))+SUMPRODUCT((Inputs!$C$5:$C$130=$B8)*Inputs!$D$5:$D$130*(((Inputs!$G$5:$G$130="moeda")+(Inputs!$G$5:$G$130="acoes"))*Inputs!$B$1+((Inputs!$G$5:$G$130&lt;&gt;"moeda")*(Inputs!$G$5:$G$130&lt;&gt;"acoes")))*INDEX(Inputs!$K$5:$AJ$130,0,MATCH(AD$2,Inputs!$K$4:$AJ$4,0)))+SUMPRODUCT((Inputs!$E$5:$E$130=$B8)*Inputs!$F$5:$F$130*(((Inputs!$G$5:$G$130="moeda")+(Inputs!$G$5:$G$130="acoes"))*Inputs!$B$1+((Inputs!$G$5:$G$130&lt;&gt;"moeda")*(Inputs!$G$5:$G$130&lt;&gt;"acoes")))*INDEX(Inputs!$K$5:$AJ$130,0,MATCH(AD$2,Inputs!$K$4:$AJ$4,0)))))</f>
        <v>-710</v>
      </c>
      <c r="AE8" s="6" t="e">
        <f>IF(ISNA(MATCH(AE$2,Inputs!$K$4:$AJ$4,0)),NA(),IF(SUMPRODUCT((Inputs!$A$5:$A$130=$B8)*ISNUMBER(INDEX(Inputs!$K$5:$AJ$130,0,MATCH(AE$2,Inputs!$K$4:$AJ$4,0))))+SUMPRODUCT((Inputs!$C$5:$C$130=$B8)*ISNUMBER(INDEX(Inputs!$K$5:$AJ$130,0,MATCH(AE$2,Inputs!$K$4:$AJ$4,0))))+SUMPRODUCT((Inputs!$E$5:$E$130=$B8)*ISNUMBER(INDEX(Inputs!$K$5:$AJ$130,0,MATCH(AE$2,Inputs!$K$4:$AJ$4,0))))=0,NA(),SUMPRODUCT((Inputs!$A$5:$A$130=$B8)*Inputs!$B$5:$B$130*(((Inputs!$G$5:$G$130="moeda")+(Inputs!$G$5:$G$130="acoes"))*Inputs!$B$1+((Inputs!$G$5:$G$130&lt;&gt;"moeda")*(Inputs!$G$5:$G$130&lt;&gt;"acoes")))*INDEX(Inputs!$K$5:$AJ$130,0,MATCH(AE$2,Inputs!$K$4:$AJ$4,0)))+SUMPRODUCT((Inputs!$C$5:$C$130=$B8)*Inputs!$D$5:$D$130*(((Inputs!$G$5:$G$130="moeda")+(Inputs!$G$5:$G$130="acoes"))*Inputs!$B$1+((Inputs!$G$5:$G$130&lt;&gt;"moeda")*(Inputs!$G$5:$G$130&lt;&gt;"acoes")))*INDEX(Inputs!$K$5:$AJ$130,0,MATCH(AE$2,Inputs!$K$4:$AJ$4,0)))+SUMPRODUCT((Inputs!$E$5:$E$130=$B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8" s="6" t="e">
        <f>IF(ISNA(MATCH(AF$2,Inputs!$K$4:$AJ$4,0)),NA(),IF(SUMPRODUCT((Inputs!$A$5:$A$130=$B8)*ISNUMBER(INDEX(Inputs!$K$5:$AJ$130,0,MATCH(AF$2,Inputs!$K$4:$AJ$4,0))))+SUMPRODUCT((Inputs!$C$5:$C$130=$B8)*ISNUMBER(INDEX(Inputs!$K$5:$AJ$130,0,MATCH(AF$2,Inputs!$K$4:$AJ$4,0))))+SUMPRODUCT((Inputs!$E$5:$E$130=$B8)*ISNUMBER(INDEX(Inputs!$K$5:$AJ$130,0,MATCH(AF$2,Inputs!$K$4:$AJ$4,0))))=0,NA(),SUMPRODUCT((Inputs!$A$5:$A$130=$B8)*Inputs!$B$5:$B$130*(((Inputs!$G$5:$G$130="moeda")+(Inputs!$G$5:$G$130="acoes"))*Inputs!$B$1+((Inputs!$G$5:$G$130&lt;&gt;"moeda")*(Inputs!$G$5:$G$130&lt;&gt;"acoes")))*INDEX(Inputs!$K$5:$AJ$130,0,MATCH(AF$2,Inputs!$K$4:$AJ$4,0)))+SUMPRODUCT((Inputs!$C$5:$C$130=$B8)*Inputs!$D$5:$D$130*(((Inputs!$G$5:$G$130="moeda")+(Inputs!$G$5:$G$130="acoes"))*Inputs!$B$1+((Inputs!$G$5:$G$130&lt;&gt;"moeda")*(Inputs!$G$5:$G$130&lt;&gt;"acoes")))*INDEX(Inputs!$K$5:$AJ$130,0,MATCH(AF$2,Inputs!$K$4:$AJ$4,0)))+SUMPRODUCT((Inputs!$E$5:$E$130=$B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8" s="3" t="e">
        <f>SUM(AC8:AF8)</f>
        <v>#N/A</v>
      </c>
      <c r="AH8" s="6">
        <f>IF(ISNA(MATCH(AH$2,Inputs!$K$4:$AJ$4,0)),NA(),IF(SUMPRODUCT((Inputs!$A$5:$A$130=$B8)*ISNUMBER(INDEX(Inputs!$K$5:$AJ$130,0,MATCH(AH$2,Inputs!$K$4:$AJ$4,0))))+SUMPRODUCT((Inputs!$C$5:$C$130=$B8)*ISNUMBER(INDEX(Inputs!$K$5:$AJ$130,0,MATCH(AH$2,Inputs!$K$4:$AJ$4,0))))+SUMPRODUCT((Inputs!$E$5:$E$130=$B8)*ISNUMBER(INDEX(Inputs!$K$5:$AJ$130,0,MATCH(AH$2,Inputs!$K$4:$AJ$4,0))))=0,NA(),SUMPRODUCT((Inputs!$A$5:$A$130=$B8)*Inputs!$B$5:$B$130*(((Inputs!$G$5:$G$130="moeda")+(Inputs!$G$5:$G$130="acoes"))*Inputs!$B$1+((Inputs!$G$5:$G$130&lt;&gt;"moeda")*(Inputs!$G$5:$G$130&lt;&gt;"acoes")))*INDEX(Inputs!$K$5:$AJ$130,0,MATCH(AH$2,Inputs!$K$4:$AJ$4,0)))+SUMPRODUCT((Inputs!$C$5:$C$130=$B8)*Inputs!$D$5:$D$130*(((Inputs!$G$5:$G$130="moeda")+(Inputs!$G$5:$G$130="acoes"))*Inputs!$B$1+((Inputs!$G$5:$G$130&lt;&gt;"moeda")*(Inputs!$G$5:$G$130&lt;&gt;"acoes")))*INDEX(Inputs!$K$5:$AJ$130,0,MATCH(AH$2,Inputs!$K$4:$AJ$4,0)))+SUMPRODUCT((Inputs!$E$5:$E$130=$B8)*Inputs!$F$5:$F$130*(((Inputs!$G$5:$G$130="moeda")+(Inputs!$G$5:$G$130="acoes"))*Inputs!$B$1+((Inputs!$G$5:$G$130&lt;&gt;"moeda")*(Inputs!$G$5:$G$130&lt;&gt;"acoes")))*INDEX(Inputs!$K$5:$AJ$130,0,MATCH(AH$2,Inputs!$K$4:$AJ$4,0)))))</f>
        <v>-342</v>
      </c>
      <c r="AI8" s="6">
        <f>IF(ISNA(MATCH(AI$2,Inputs!$K$4:$AJ$4,0)),NA(),IF(SUMPRODUCT((Inputs!$A$5:$A$130=$B8)*ISNUMBER(INDEX(Inputs!$K$5:$AJ$130,0,MATCH(AI$2,Inputs!$K$4:$AJ$4,0))))+SUMPRODUCT((Inputs!$C$5:$C$130=$B8)*ISNUMBER(INDEX(Inputs!$K$5:$AJ$130,0,MATCH(AI$2,Inputs!$K$4:$AJ$4,0))))+SUMPRODUCT((Inputs!$E$5:$E$130=$B8)*ISNUMBER(INDEX(Inputs!$K$5:$AJ$130,0,MATCH(AI$2,Inputs!$K$4:$AJ$4,0))))=0,NA(),SUMPRODUCT((Inputs!$A$5:$A$130=$B8)*Inputs!$B$5:$B$130*(((Inputs!$G$5:$G$130="moeda")+(Inputs!$G$5:$G$130="acoes"))*Inputs!$B$1+((Inputs!$G$5:$G$130&lt;&gt;"moeda")*(Inputs!$G$5:$G$130&lt;&gt;"acoes")))*INDEX(Inputs!$K$5:$AJ$130,0,MATCH(AI$2,Inputs!$K$4:$AJ$4,0)))+SUMPRODUCT((Inputs!$C$5:$C$130=$B8)*Inputs!$D$5:$D$130*(((Inputs!$G$5:$G$130="moeda")+(Inputs!$G$5:$G$130="acoes"))*Inputs!$B$1+((Inputs!$G$5:$G$130&lt;&gt;"moeda")*(Inputs!$G$5:$G$130&lt;&gt;"acoes")))*INDEX(Inputs!$K$5:$AJ$130,0,MATCH(AI$2,Inputs!$K$4:$AJ$4,0)))+SUMPRODUCT((Inputs!$E$5:$E$130=$B8)*Inputs!$F$5:$F$130*(((Inputs!$G$5:$G$130="moeda")+(Inputs!$G$5:$G$130="acoes"))*Inputs!$B$1+((Inputs!$G$5:$G$130&lt;&gt;"moeda")*(Inputs!$G$5:$G$130&lt;&gt;"acoes")))*INDEX(Inputs!$K$5:$AJ$130,0,MATCH(AI$2,Inputs!$K$4:$AJ$4,0)))))</f>
        <v>-290</v>
      </c>
      <c r="AJ8" s="6">
        <f>IF(ISNA(MATCH(AJ$2,Inputs!$K$4:$AJ$4,0)),NA(),IF(SUMPRODUCT((Inputs!$A$5:$A$130=$B8)*ISNUMBER(INDEX(Inputs!$K$5:$AJ$130,0,MATCH(AJ$2,Inputs!$K$4:$AJ$4,0))))+SUMPRODUCT((Inputs!$C$5:$C$130=$B8)*ISNUMBER(INDEX(Inputs!$K$5:$AJ$130,0,MATCH(AJ$2,Inputs!$K$4:$AJ$4,0))))+SUMPRODUCT((Inputs!$E$5:$E$130=$B8)*ISNUMBER(INDEX(Inputs!$K$5:$AJ$130,0,MATCH(AJ$2,Inputs!$K$4:$AJ$4,0))))=0,NA(),SUMPRODUCT((Inputs!$A$5:$A$130=$B8)*Inputs!$B$5:$B$130*(((Inputs!$G$5:$G$130="moeda")+(Inputs!$G$5:$G$130="acoes"))*Inputs!$B$1+((Inputs!$G$5:$G$130&lt;&gt;"moeda")*(Inputs!$G$5:$G$130&lt;&gt;"acoes")))*INDEX(Inputs!$K$5:$AJ$130,0,MATCH(AJ$2,Inputs!$K$4:$AJ$4,0)))+SUMPRODUCT((Inputs!$C$5:$C$130=$B8)*Inputs!$D$5:$D$130*(((Inputs!$G$5:$G$130="moeda")+(Inputs!$G$5:$G$130="acoes"))*Inputs!$B$1+((Inputs!$G$5:$G$130&lt;&gt;"moeda")*(Inputs!$G$5:$G$130&lt;&gt;"acoes")))*INDEX(Inputs!$K$5:$AJ$130,0,MATCH(AJ$2,Inputs!$K$4:$AJ$4,0)))+SUMPRODUCT((Inputs!$E$5:$E$130=$B8)*Inputs!$F$5:$F$130*(((Inputs!$G$5:$G$130="moeda")+(Inputs!$G$5:$G$130="acoes"))*Inputs!$B$1+((Inputs!$G$5:$G$130&lt;&gt;"moeda")*(Inputs!$G$5:$G$130&lt;&gt;"acoes")))*INDEX(Inputs!$K$5:$AJ$130,0,MATCH(AJ$2,Inputs!$K$4:$AJ$4,0)))))</f>
        <v>-278</v>
      </c>
      <c r="AK8" s="6">
        <f>IF(ISNA(MATCH(AK$2,Inputs!$K$4:$AJ$4,0)),NA(),IF(SUMPRODUCT((Inputs!$A$5:$A$130=$B8)*ISNUMBER(INDEX(Inputs!$K$5:$AJ$130,0,MATCH(AK$2,Inputs!$K$4:$AJ$4,0))))+SUMPRODUCT((Inputs!$C$5:$C$130=$B8)*ISNUMBER(INDEX(Inputs!$K$5:$AJ$130,0,MATCH(AK$2,Inputs!$K$4:$AJ$4,0))))+SUMPRODUCT((Inputs!$E$5:$E$130=$B8)*ISNUMBER(INDEX(Inputs!$K$5:$AJ$130,0,MATCH(AK$2,Inputs!$K$4:$AJ$4,0))))=0,NA(),SUMPRODUCT((Inputs!$A$5:$A$130=$B8)*Inputs!$B$5:$B$130*(((Inputs!$G$5:$G$130="moeda")+(Inputs!$G$5:$G$130="acoes"))*Inputs!$B$1+((Inputs!$G$5:$G$130&lt;&gt;"moeda")*(Inputs!$G$5:$G$130&lt;&gt;"acoes")))*INDEX(Inputs!$K$5:$AJ$130,0,MATCH(AK$2,Inputs!$K$4:$AJ$4,0)))+SUMPRODUCT((Inputs!$C$5:$C$130=$B8)*Inputs!$D$5:$D$130*(((Inputs!$G$5:$G$130="moeda")+(Inputs!$G$5:$G$130="acoes"))*Inputs!$B$1+((Inputs!$G$5:$G$130&lt;&gt;"moeda")*(Inputs!$G$5:$G$130&lt;&gt;"acoes")))*INDEX(Inputs!$K$5:$AJ$130,0,MATCH(AK$2,Inputs!$K$4:$AJ$4,0)))+SUMPRODUCT((Inputs!$E$5:$E$130=$B8)*Inputs!$F$5:$F$130*(((Inputs!$G$5:$G$130="moeda")+(Inputs!$G$5:$G$130="acoes"))*Inputs!$B$1+((Inputs!$G$5:$G$130&lt;&gt;"moeda")*(Inputs!$G$5:$G$130&lt;&gt;"acoes")))*INDEX(Inputs!$K$5:$AJ$130,0,MATCH(AK$2,Inputs!$K$4:$AJ$4,0)))))</f>
        <v>-271</v>
      </c>
      <c r="AL8" s="3">
        <f>SUM(AH8:AK8)</f>
        <v>-1181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$130=$B9)*ISNUMBER(INDEX(Inputs!$K$5:$AJ$130,0,MATCH(D$2,Inputs!$K$4:$AJ$4,0))))+SUMPRODUCT((Inputs!$C$5:$C$130=$B9)*ISNUMBER(INDEX(Inputs!$K$5:$AJ$130,0,MATCH(D$2,Inputs!$K$4:$AJ$4,0))))+SUMPRODUCT((Inputs!$E$5:$E$130=$B9)*ISNUMBER(INDEX(Inputs!$K$5:$AJ$130,0,MATCH(D$2,Inputs!$K$4:$AJ$4,0))))=0,NA(),SUMPRODUCT((Inputs!$A$5:$A$130=$B9)*Inputs!$B$5:$B$130*(((Inputs!$G$5:$G$130="moeda")+(Inputs!$G$5:$G$130="acoes"))*Inputs!$B$1+((Inputs!$G$5:$G$130&lt;&gt;"moeda")*(Inputs!$G$5:$G$130&lt;&gt;"acoes")))*INDEX(Inputs!$K$5:$AJ$130,0,MATCH(D$2,Inputs!$K$4:$AJ$4,0)))+SUMPRODUCT((Inputs!$C$5:$C$130=$B9)*Inputs!$D$5:$D$130*(((Inputs!$G$5:$G$130="moeda")+(Inputs!$G$5:$G$130="acoes"))*Inputs!$B$1+((Inputs!$G$5:$G$130&lt;&gt;"moeda")*(Inputs!$G$5:$G$130&lt;&gt;"acoes")))*INDEX(Inputs!$K$5:$AJ$130,0,MATCH(D$2,Inputs!$K$4:$AJ$4,0)))+SUMPRODUCT((Inputs!$E$5:$E$130=$B9)*Inputs!$F$5:$F$130*(((Inputs!$G$5:$G$130="moeda")+(Inputs!$G$5:$G$130="acoes"))*Inputs!$B$1+((Inputs!$G$5:$G$130&lt;&gt;"moeda")*(Inputs!$G$5:$G$130&lt;&gt;"acoes")))*INDEX(Inputs!$K$5:$AJ$130,0,MATCH(D$2,Inputs!$K$4:$AJ$4,0)))))</f>
        <v>141</v>
      </c>
      <c r="E9" s="6">
        <f>IF(ISNA(MATCH(E$2,Inputs!$K$4:$AJ$4,0)),NA(),IF(SUMPRODUCT((Inputs!$A$5:$A$130=$B9)*ISNUMBER(INDEX(Inputs!$K$5:$AJ$130,0,MATCH(E$2,Inputs!$K$4:$AJ$4,0))))+SUMPRODUCT((Inputs!$C$5:$C$130=$B9)*ISNUMBER(INDEX(Inputs!$K$5:$AJ$130,0,MATCH(E$2,Inputs!$K$4:$AJ$4,0))))+SUMPRODUCT((Inputs!$E$5:$E$130=$B9)*ISNUMBER(INDEX(Inputs!$K$5:$AJ$130,0,MATCH(E$2,Inputs!$K$4:$AJ$4,0))))=0,NA(),SUMPRODUCT((Inputs!$A$5:$A$130=$B9)*Inputs!$B$5:$B$130*(((Inputs!$G$5:$G$130="moeda")+(Inputs!$G$5:$G$130="acoes"))*Inputs!$B$1+((Inputs!$G$5:$G$130&lt;&gt;"moeda")*(Inputs!$G$5:$G$130&lt;&gt;"acoes")))*INDEX(Inputs!$K$5:$AJ$130,0,MATCH(E$2,Inputs!$K$4:$AJ$4,0)))+SUMPRODUCT((Inputs!$C$5:$C$130=$B9)*Inputs!$D$5:$D$130*(((Inputs!$G$5:$G$130="moeda")+(Inputs!$G$5:$G$130="acoes"))*Inputs!$B$1+((Inputs!$G$5:$G$130&lt;&gt;"moeda")*(Inputs!$G$5:$G$130&lt;&gt;"acoes")))*INDEX(Inputs!$K$5:$AJ$130,0,MATCH(E$2,Inputs!$K$4:$AJ$4,0)))+SUMPRODUCT((Inputs!$E$5:$E$130=$B9)*Inputs!$F$5:$F$130*(((Inputs!$G$5:$G$130="moeda")+(Inputs!$G$5:$G$130="acoes"))*Inputs!$B$1+((Inputs!$G$5:$G$130&lt;&gt;"moeda")*(Inputs!$G$5:$G$130&lt;&gt;"acoes")))*INDEX(Inputs!$K$5:$AJ$130,0,MATCH(E$2,Inputs!$K$4:$AJ$4,0)))))</f>
        <v>151</v>
      </c>
      <c r="F9" s="6">
        <f>IF(ISNA(MATCH(F$2,Inputs!$K$4:$AJ$4,0)),NA(),IF(SUMPRODUCT((Inputs!$A$5:$A$130=$B9)*ISNUMBER(INDEX(Inputs!$K$5:$AJ$130,0,MATCH(F$2,Inputs!$K$4:$AJ$4,0))))+SUMPRODUCT((Inputs!$C$5:$C$130=$B9)*ISNUMBER(INDEX(Inputs!$K$5:$AJ$130,0,MATCH(F$2,Inputs!$K$4:$AJ$4,0))))+SUMPRODUCT((Inputs!$E$5:$E$130=$B9)*ISNUMBER(INDEX(Inputs!$K$5:$AJ$130,0,MATCH(F$2,Inputs!$K$4:$AJ$4,0))))=0,NA(),SUMPRODUCT((Inputs!$A$5:$A$130=$B9)*Inputs!$B$5:$B$130*(((Inputs!$G$5:$G$130="moeda")+(Inputs!$G$5:$G$130="acoes"))*Inputs!$B$1+((Inputs!$G$5:$G$130&lt;&gt;"moeda")*(Inputs!$G$5:$G$130&lt;&gt;"acoes")))*INDEX(Inputs!$K$5:$AJ$130,0,MATCH(F$2,Inputs!$K$4:$AJ$4,0)))+SUMPRODUCT((Inputs!$C$5:$C$130=$B9)*Inputs!$D$5:$D$130*(((Inputs!$G$5:$G$130="moeda")+(Inputs!$G$5:$G$130="acoes"))*Inputs!$B$1+((Inputs!$G$5:$G$130&lt;&gt;"moeda")*(Inputs!$G$5:$G$130&lt;&gt;"acoes")))*INDEX(Inputs!$K$5:$AJ$130,0,MATCH(F$2,Inputs!$K$4:$AJ$4,0)))+SUMPRODUCT((Inputs!$E$5:$E$130=$B9)*Inputs!$F$5:$F$130*(((Inputs!$G$5:$G$130="moeda")+(Inputs!$G$5:$G$130="acoes"))*Inputs!$B$1+((Inputs!$G$5:$G$130&lt;&gt;"moeda")*(Inputs!$G$5:$G$130&lt;&gt;"acoes")))*INDEX(Inputs!$K$5:$AJ$130,0,MATCH(F$2,Inputs!$K$4:$AJ$4,0)))))</f>
        <v>131</v>
      </c>
      <c r="G9" s="6">
        <f>IF(ISNA(MATCH(G$2,Inputs!$K$4:$AJ$4,0)),NA(),IF(SUMPRODUCT((Inputs!$A$5:$A$130=$B9)*ISNUMBER(INDEX(Inputs!$K$5:$AJ$130,0,MATCH(G$2,Inputs!$K$4:$AJ$4,0))))+SUMPRODUCT((Inputs!$C$5:$C$130=$B9)*ISNUMBER(INDEX(Inputs!$K$5:$AJ$130,0,MATCH(G$2,Inputs!$K$4:$AJ$4,0))))+SUMPRODUCT((Inputs!$E$5:$E$130=$B9)*ISNUMBER(INDEX(Inputs!$K$5:$AJ$130,0,MATCH(G$2,Inputs!$K$4:$AJ$4,0))))=0,NA(),SUMPRODUCT((Inputs!$A$5:$A$130=$B9)*Inputs!$B$5:$B$130*(((Inputs!$G$5:$G$130="moeda")+(Inputs!$G$5:$G$130="acoes"))*Inputs!$B$1+((Inputs!$G$5:$G$130&lt;&gt;"moeda")*(Inputs!$G$5:$G$130&lt;&gt;"acoes")))*INDEX(Inputs!$K$5:$AJ$130,0,MATCH(G$2,Inputs!$K$4:$AJ$4,0)))+SUMPRODUCT((Inputs!$C$5:$C$130=$B9)*Inputs!$D$5:$D$130*(((Inputs!$G$5:$G$130="moeda")+(Inputs!$G$5:$G$130="acoes"))*Inputs!$B$1+((Inputs!$G$5:$G$130&lt;&gt;"moeda")*(Inputs!$G$5:$G$130&lt;&gt;"acoes")))*INDEX(Inputs!$K$5:$AJ$130,0,MATCH(G$2,Inputs!$K$4:$AJ$4,0)))+SUMPRODUCT((Inputs!$E$5:$E$130=$B9)*Inputs!$F$5:$F$130*(((Inputs!$G$5:$G$130="moeda")+(Inputs!$G$5:$G$130="acoes"))*Inputs!$B$1+((Inputs!$G$5:$G$130&lt;&gt;"moeda")*(Inputs!$G$5:$G$130&lt;&gt;"acoes")))*INDEX(Inputs!$K$5:$AJ$130,0,MATCH(G$2,Inputs!$K$4:$AJ$4,0)))))</f>
        <v>145</v>
      </c>
      <c r="H9" s="3">
        <f>SUM(D9:G9)</f>
        <v>568</v>
      </c>
      <c r="I9" s="6">
        <f>IF(ISNA(MATCH(I$2,Inputs!$K$4:$AJ$4,0)),NA(),IF(SUMPRODUCT((Inputs!$A$5:$A$130=$B9)*ISNUMBER(INDEX(Inputs!$K$5:$AJ$130,0,MATCH(I$2,Inputs!$K$4:$AJ$4,0))))+SUMPRODUCT((Inputs!$C$5:$C$130=$B9)*ISNUMBER(INDEX(Inputs!$K$5:$AJ$130,0,MATCH(I$2,Inputs!$K$4:$AJ$4,0))))+SUMPRODUCT((Inputs!$E$5:$E$130=$B9)*ISNUMBER(INDEX(Inputs!$K$5:$AJ$130,0,MATCH(I$2,Inputs!$K$4:$AJ$4,0))))=0,NA(),SUMPRODUCT((Inputs!$A$5:$A$130=$B9)*Inputs!$B$5:$B$130*(((Inputs!$G$5:$G$130="moeda")+(Inputs!$G$5:$G$130="acoes"))*Inputs!$B$1+((Inputs!$G$5:$G$130&lt;&gt;"moeda")*(Inputs!$G$5:$G$130&lt;&gt;"acoes")))*INDEX(Inputs!$K$5:$AJ$130,0,MATCH(I$2,Inputs!$K$4:$AJ$4,0)))+SUMPRODUCT((Inputs!$C$5:$C$130=$B9)*Inputs!$D$5:$D$130*(((Inputs!$G$5:$G$130="moeda")+(Inputs!$G$5:$G$130="acoes"))*Inputs!$B$1+((Inputs!$G$5:$G$130&lt;&gt;"moeda")*(Inputs!$G$5:$G$130&lt;&gt;"acoes")))*INDEX(Inputs!$K$5:$AJ$130,0,MATCH(I$2,Inputs!$K$4:$AJ$4,0)))+SUMPRODUCT((Inputs!$E$5:$E$130=$B9)*Inputs!$F$5:$F$130*(((Inputs!$G$5:$G$130="moeda")+(Inputs!$G$5:$G$130="acoes"))*Inputs!$B$1+((Inputs!$G$5:$G$130&lt;&gt;"moeda")*(Inputs!$G$5:$G$130&lt;&gt;"acoes")))*INDEX(Inputs!$K$5:$AJ$130,0,MATCH(I$2,Inputs!$K$4:$AJ$4,0)))))</f>
        <v>69</v>
      </c>
      <c r="J9" s="6">
        <f>IF(ISNA(MATCH(J$2,Inputs!$K$4:$AJ$4,0)),NA(),IF(SUMPRODUCT((Inputs!$A$5:$A$130=$B9)*ISNUMBER(INDEX(Inputs!$K$5:$AJ$130,0,MATCH(J$2,Inputs!$K$4:$AJ$4,0))))+SUMPRODUCT((Inputs!$C$5:$C$130=$B9)*ISNUMBER(INDEX(Inputs!$K$5:$AJ$130,0,MATCH(J$2,Inputs!$K$4:$AJ$4,0))))+SUMPRODUCT((Inputs!$E$5:$E$130=$B9)*ISNUMBER(INDEX(Inputs!$K$5:$AJ$130,0,MATCH(J$2,Inputs!$K$4:$AJ$4,0))))=0,NA(),SUMPRODUCT((Inputs!$A$5:$A$130=$B9)*Inputs!$B$5:$B$130*(((Inputs!$G$5:$G$130="moeda")+(Inputs!$G$5:$G$130="acoes"))*Inputs!$B$1+((Inputs!$G$5:$G$130&lt;&gt;"moeda")*(Inputs!$G$5:$G$130&lt;&gt;"acoes")))*INDEX(Inputs!$K$5:$AJ$130,0,MATCH(J$2,Inputs!$K$4:$AJ$4,0)))+SUMPRODUCT((Inputs!$C$5:$C$130=$B9)*Inputs!$D$5:$D$130*(((Inputs!$G$5:$G$130="moeda")+(Inputs!$G$5:$G$130="acoes"))*Inputs!$B$1+((Inputs!$G$5:$G$130&lt;&gt;"moeda")*(Inputs!$G$5:$G$130&lt;&gt;"acoes")))*INDEX(Inputs!$K$5:$AJ$130,0,MATCH(J$2,Inputs!$K$4:$AJ$4,0)))+SUMPRODUCT((Inputs!$E$5:$E$130=$B9)*Inputs!$F$5:$F$130*(((Inputs!$G$5:$G$130="moeda")+(Inputs!$G$5:$G$130="acoes"))*Inputs!$B$1+((Inputs!$G$5:$G$130&lt;&gt;"moeda")*(Inputs!$G$5:$G$130&lt;&gt;"acoes")))*INDEX(Inputs!$K$5:$AJ$130,0,MATCH(J$2,Inputs!$K$4:$AJ$4,0)))))</f>
        <v>189</v>
      </c>
      <c r="K9" s="6">
        <f>IF(ISNA(MATCH(K$2,Inputs!$K$4:$AJ$4,0)),NA(),IF(SUMPRODUCT((Inputs!$A$5:$A$130=$B9)*ISNUMBER(INDEX(Inputs!$K$5:$AJ$130,0,MATCH(K$2,Inputs!$K$4:$AJ$4,0))))+SUMPRODUCT((Inputs!$C$5:$C$130=$B9)*ISNUMBER(INDEX(Inputs!$K$5:$AJ$130,0,MATCH(K$2,Inputs!$K$4:$AJ$4,0))))+SUMPRODUCT((Inputs!$E$5:$E$130=$B9)*ISNUMBER(INDEX(Inputs!$K$5:$AJ$130,0,MATCH(K$2,Inputs!$K$4:$AJ$4,0))))=0,NA(),SUMPRODUCT((Inputs!$A$5:$A$130=$B9)*Inputs!$B$5:$B$130*(((Inputs!$G$5:$G$130="moeda")+(Inputs!$G$5:$G$130="acoes"))*Inputs!$B$1+((Inputs!$G$5:$G$130&lt;&gt;"moeda")*(Inputs!$G$5:$G$130&lt;&gt;"acoes")))*INDEX(Inputs!$K$5:$AJ$130,0,MATCH(K$2,Inputs!$K$4:$AJ$4,0)))+SUMPRODUCT((Inputs!$C$5:$C$130=$B9)*Inputs!$D$5:$D$130*(((Inputs!$G$5:$G$130="moeda")+(Inputs!$G$5:$G$130="acoes"))*Inputs!$B$1+((Inputs!$G$5:$G$130&lt;&gt;"moeda")*(Inputs!$G$5:$G$130&lt;&gt;"acoes")))*INDEX(Inputs!$K$5:$AJ$130,0,MATCH(K$2,Inputs!$K$4:$AJ$4,0)))+SUMPRODUCT((Inputs!$E$5:$E$130=$B9)*Inputs!$F$5:$F$130*(((Inputs!$G$5:$G$130="moeda")+(Inputs!$G$5:$G$130="acoes"))*Inputs!$B$1+((Inputs!$G$5:$G$130&lt;&gt;"moeda")*(Inputs!$G$5:$G$130&lt;&gt;"acoes")))*INDEX(Inputs!$K$5:$AJ$130,0,MATCH(K$2,Inputs!$K$4:$AJ$4,0)))))</f>
        <v>278</v>
      </c>
      <c r="L9" s="6">
        <f>IF(ISNA(MATCH(L$2,Inputs!$K$4:$AJ$4,0)),NA(),IF(SUMPRODUCT((Inputs!$A$5:$A$130=$B9)*ISNUMBER(INDEX(Inputs!$K$5:$AJ$130,0,MATCH(L$2,Inputs!$K$4:$AJ$4,0))))+SUMPRODUCT((Inputs!$C$5:$C$130=$B9)*ISNUMBER(INDEX(Inputs!$K$5:$AJ$130,0,MATCH(L$2,Inputs!$K$4:$AJ$4,0))))+SUMPRODUCT((Inputs!$E$5:$E$130=$B9)*ISNUMBER(INDEX(Inputs!$K$5:$AJ$130,0,MATCH(L$2,Inputs!$K$4:$AJ$4,0))))=0,NA(),SUMPRODUCT((Inputs!$A$5:$A$130=$B9)*Inputs!$B$5:$B$130*(((Inputs!$G$5:$G$130="moeda")+(Inputs!$G$5:$G$130="acoes"))*Inputs!$B$1+((Inputs!$G$5:$G$130&lt;&gt;"moeda")*(Inputs!$G$5:$G$130&lt;&gt;"acoes")))*INDEX(Inputs!$K$5:$AJ$130,0,MATCH(L$2,Inputs!$K$4:$AJ$4,0)))+SUMPRODUCT((Inputs!$C$5:$C$130=$B9)*Inputs!$D$5:$D$130*(((Inputs!$G$5:$G$130="moeda")+(Inputs!$G$5:$G$130="acoes"))*Inputs!$B$1+((Inputs!$G$5:$G$130&lt;&gt;"moeda")*(Inputs!$G$5:$G$130&lt;&gt;"acoes")))*INDEX(Inputs!$K$5:$AJ$130,0,MATCH(L$2,Inputs!$K$4:$AJ$4,0)))+SUMPRODUCT((Inputs!$E$5:$E$130=$B9)*Inputs!$F$5:$F$130*(((Inputs!$G$5:$G$130="moeda")+(Inputs!$G$5:$G$130="acoes"))*Inputs!$B$1+((Inputs!$G$5:$G$130&lt;&gt;"moeda")*(Inputs!$G$5:$G$130&lt;&gt;"acoes")))*INDEX(Inputs!$K$5:$AJ$130,0,MATCH(L$2,Inputs!$K$4:$AJ$4,0)))))</f>
        <v>454</v>
      </c>
      <c r="M9" s="3">
        <f>SUM(I9:L9)</f>
        <v>990</v>
      </c>
      <c r="N9" s="6">
        <f>IF(ISNA(MATCH(N$2,Inputs!$K$4:$AJ$4,0)),NA(),IF(SUMPRODUCT((Inputs!$A$5:$A$130=$B9)*ISNUMBER(INDEX(Inputs!$K$5:$AJ$130,0,MATCH(N$2,Inputs!$K$4:$AJ$4,0))))+SUMPRODUCT((Inputs!$C$5:$C$130=$B9)*ISNUMBER(INDEX(Inputs!$K$5:$AJ$130,0,MATCH(N$2,Inputs!$K$4:$AJ$4,0))))+SUMPRODUCT((Inputs!$E$5:$E$130=$B9)*ISNUMBER(INDEX(Inputs!$K$5:$AJ$130,0,MATCH(N$2,Inputs!$K$4:$AJ$4,0))))=0,NA(),SUMPRODUCT((Inputs!$A$5:$A$130=$B9)*Inputs!$B$5:$B$130*(((Inputs!$G$5:$G$130="moeda")+(Inputs!$G$5:$G$130="acoes"))*Inputs!$B$1+((Inputs!$G$5:$G$130&lt;&gt;"moeda")*(Inputs!$G$5:$G$130&lt;&gt;"acoes")))*INDEX(Inputs!$K$5:$AJ$130,0,MATCH(N$2,Inputs!$K$4:$AJ$4,0)))+SUMPRODUCT((Inputs!$C$5:$C$130=$B9)*Inputs!$D$5:$D$130*(((Inputs!$G$5:$G$130="moeda")+(Inputs!$G$5:$G$130="acoes"))*Inputs!$B$1+((Inputs!$G$5:$G$130&lt;&gt;"moeda")*(Inputs!$G$5:$G$130&lt;&gt;"acoes")))*INDEX(Inputs!$K$5:$AJ$130,0,MATCH(N$2,Inputs!$K$4:$AJ$4,0)))+SUMPRODUCT((Inputs!$E$5:$E$130=$B9)*Inputs!$F$5:$F$130*(((Inputs!$G$5:$G$130="moeda")+(Inputs!$G$5:$G$130="acoes"))*Inputs!$B$1+((Inputs!$G$5:$G$130&lt;&gt;"moeda")*(Inputs!$G$5:$G$130&lt;&gt;"acoes")))*INDEX(Inputs!$K$5:$AJ$130,0,MATCH(N$2,Inputs!$K$4:$AJ$4,0)))))</f>
        <v>519</v>
      </c>
      <c r="O9" s="6">
        <f>IF(ISNA(MATCH(O$2,Inputs!$K$4:$AJ$4,0)),NA(),IF(SUMPRODUCT((Inputs!$A$5:$A$130=$B9)*ISNUMBER(INDEX(Inputs!$K$5:$AJ$130,0,MATCH(O$2,Inputs!$K$4:$AJ$4,0))))+SUMPRODUCT((Inputs!$C$5:$C$130=$B9)*ISNUMBER(INDEX(Inputs!$K$5:$AJ$130,0,MATCH(O$2,Inputs!$K$4:$AJ$4,0))))+SUMPRODUCT((Inputs!$E$5:$E$130=$B9)*ISNUMBER(INDEX(Inputs!$K$5:$AJ$130,0,MATCH(O$2,Inputs!$K$4:$AJ$4,0))))=0,NA(),SUMPRODUCT((Inputs!$A$5:$A$130=$B9)*Inputs!$B$5:$B$130*(((Inputs!$G$5:$G$130="moeda")+(Inputs!$G$5:$G$130="acoes"))*Inputs!$B$1+((Inputs!$G$5:$G$130&lt;&gt;"moeda")*(Inputs!$G$5:$G$130&lt;&gt;"acoes")))*INDEX(Inputs!$K$5:$AJ$130,0,MATCH(O$2,Inputs!$K$4:$AJ$4,0)))+SUMPRODUCT((Inputs!$C$5:$C$130=$B9)*Inputs!$D$5:$D$130*(((Inputs!$G$5:$G$130="moeda")+(Inputs!$G$5:$G$130="acoes"))*Inputs!$B$1+((Inputs!$G$5:$G$130&lt;&gt;"moeda")*(Inputs!$G$5:$G$130&lt;&gt;"acoes")))*INDEX(Inputs!$K$5:$AJ$130,0,MATCH(O$2,Inputs!$K$4:$AJ$4,0)))+SUMPRODUCT((Inputs!$E$5:$E$130=$B9)*Inputs!$F$5:$F$130*(((Inputs!$G$5:$G$130="moeda")+(Inputs!$G$5:$G$130="acoes"))*Inputs!$B$1+((Inputs!$G$5:$G$130&lt;&gt;"moeda")*(Inputs!$G$5:$G$130&lt;&gt;"acoes")))*INDEX(Inputs!$K$5:$AJ$130,0,MATCH(O$2,Inputs!$K$4:$AJ$4,0)))))</f>
        <v>713</v>
      </c>
      <c r="P9" s="6">
        <f>IF(ISNA(MATCH(P$2,Inputs!$K$4:$AJ$4,0)),NA(),IF(SUMPRODUCT((Inputs!$A$5:$A$130=$B9)*ISNUMBER(INDEX(Inputs!$K$5:$AJ$130,0,MATCH(P$2,Inputs!$K$4:$AJ$4,0))))+SUMPRODUCT((Inputs!$C$5:$C$130=$B9)*ISNUMBER(INDEX(Inputs!$K$5:$AJ$130,0,MATCH(P$2,Inputs!$K$4:$AJ$4,0))))+SUMPRODUCT((Inputs!$E$5:$E$130=$B9)*ISNUMBER(INDEX(Inputs!$K$5:$AJ$130,0,MATCH(P$2,Inputs!$K$4:$AJ$4,0))))=0,NA(),SUMPRODUCT((Inputs!$A$5:$A$130=$B9)*Inputs!$B$5:$B$130*(((Inputs!$G$5:$G$130="moeda")+(Inputs!$G$5:$G$130="acoes"))*Inputs!$B$1+((Inputs!$G$5:$G$130&lt;&gt;"moeda")*(Inputs!$G$5:$G$130&lt;&gt;"acoes")))*INDEX(Inputs!$K$5:$AJ$130,0,MATCH(P$2,Inputs!$K$4:$AJ$4,0)))+SUMPRODUCT((Inputs!$C$5:$C$130=$B9)*Inputs!$D$5:$D$130*(((Inputs!$G$5:$G$130="moeda")+(Inputs!$G$5:$G$130="acoes"))*Inputs!$B$1+((Inputs!$G$5:$G$130&lt;&gt;"moeda")*(Inputs!$G$5:$G$130&lt;&gt;"acoes")))*INDEX(Inputs!$K$5:$AJ$130,0,MATCH(P$2,Inputs!$K$4:$AJ$4,0)))+SUMPRODUCT((Inputs!$E$5:$E$130=$B9)*Inputs!$F$5:$F$130*(((Inputs!$G$5:$G$130="moeda")+(Inputs!$G$5:$G$130="acoes"))*Inputs!$B$1+((Inputs!$G$5:$G$130&lt;&gt;"moeda")*(Inputs!$G$5:$G$130&lt;&gt;"acoes")))*INDEX(Inputs!$K$5:$AJ$130,0,MATCH(P$2,Inputs!$K$4:$AJ$4,0)))))</f>
        <v>829</v>
      </c>
      <c r="Q9" s="6">
        <f>IF(ISNA(MATCH(Q$2,Inputs!$K$4:$AJ$4,0)),NA(),IF(SUMPRODUCT((Inputs!$A$5:$A$130=$B9)*ISNUMBER(INDEX(Inputs!$K$5:$AJ$130,0,MATCH(Q$2,Inputs!$K$4:$AJ$4,0))))+SUMPRODUCT((Inputs!$C$5:$C$130=$B9)*ISNUMBER(INDEX(Inputs!$K$5:$AJ$130,0,MATCH(Q$2,Inputs!$K$4:$AJ$4,0))))+SUMPRODUCT((Inputs!$E$5:$E$130=$B9)*ISNUMBER(INDEX(Inputs!$K$5:$AJ$130,0,MATCH(Q$2,Inputs!$K$4:$AJ$4,0))))=0,NA(),SUMPRODUCT((Inputs!$A$5:$A$130=$B9)*Inputs!$B$5:$B$130*(((Inputs!$G$5:$G$130="moeda")+(Inputs!$G$5:$G$130="acoes"))*Inputs!$B$1+((Inputs!$G$5:$G$130&lt;&gt;"moeda")*(Inputs!$G$5:$G$130&lt;&gt;"acoes")))*INDEX(Inputs!$K$5:$AJ$130,0,MATCH(Q$2,Inputs!$K$4:$AJ$4,0)))+SUMPRODUCT((Inputs!$C$5:$C$130=$B9)*Inputs!$D$5:$D$130*(((Inputs!$G$5:$G$130="moeda")+(Inputs!$G$5:$G$130="acoes"))*Inputs!$B$1+((Inputs!$G$5:$G$130&lt;&gt;"moeda")*(Inputs!$G$5:$G$130&lt;&gt;"acoes")))*INDEX(Inputs!$K$5:$AJ$130,0,MATCH(Q$2,Inputs!$K$4:$AJ$4,0)))+SUMPRODUCT((Inputs!$E$5:$E$130=$B9)*Inputs!$F$5:$F$130*(((Inputs!$G$5:$G$130="moeda")+(Inputs!$G$5:$G$130="acoes"))*Inputs!$B$1+((Inputs!$G$5:$G$130&lt;&gt;"moeda")*(Inputs!$G$5:$G$130&lt;&gt;"acoes")))*INDEX(Inputs!$K$5:$AJ$130,0,MATCH(Q$2,Inputs!$K$4:$AJ$4,0)))))</f>
        <v>3017</v>
      </c>
      <c r="R9" s="3">
        <f>SUM(N9:Q9)</f>
        <v>5078</v>
      </c>
      <c r="S9" s="6">
        <f>IF(ISNA(MATCH(S$2,Inputs!$K$4:$AJ$4,0)),NA(),IF(SUMPRODUCT((Inputs!$A$5:$A$130=$B9)*ISNUMBER(INDEX(Inputs!$K$5:$AJ$130,0,MATCH(S$2,Inputs!$K$4:$AJ$4,0))))+SUMPRODUCT((Inputs!$C$5:$C$130=$B9)*ISNUMBER(INDEX(Inputs!$K$5:$AJ$130,0,MATCH(S$2,Inputs!$K$4:$AJ$4,0))))+SUMPRODUCT((Inputs!$E$5:$E$130=$B9)*ISNUMBER(INDEX(Inputs!$K$5:$AJ$130,0,MATCH(S$2,Inputs!$K$4:$AJ$4,0))))=0,NA(),SUMPRODUCT((Inputs!$A$5:$A$130=$B9)*Inputs!$B$5:$B$130*(((Inputs!$G$5:$G$130="moeda")+(Inputs!$G$5:$G$130="acoes"))*Inputs!$B$1+((Inputs!$G$5:$G$130&lt;&gt;"moeda")*(Inputs!$G$5:$G$130&lt;&gt;"acoes")))*INDEX(Inputs!$K$5:$AJ$130,0,MATCH(S$2,Inputs!$K$4:$AJ$4,0)))+SUMPRODUCT((Inputs!$C$5:$C$130=$B9)*Inputs!$D$5:$D$130*(((Inputs!$G$5:$G$130="moeda")+(Inputs!$G$5:$G$130="acoes"))*Inputs!$B$1+((Inputs!$G$5:$G$130&lt;&gt;"moeda")*(Inputs!$G$5:$G$130&lt;&gt;"acoes")))*INDEX(Inputs!$K$5:$AJ$130,0,MATCH(S$2,Inputs!$K$4:$AJ$4,0)))+SUMPRODUCT((Inputs!$E$5:$E$130=$B9)*Inputs!$F$5:$F$130*(((Inputs!$G$5:$G$130="moeda")+(Inputs!$G$5:$G$130="acoes"))*Inputs!$B$1+((Inputs!$G$5:$G$130&lt;&gt;"moeda")*(Inputs!$G$5:$G$130&lt;&gt;"acoes")))*INDEX(Inputs!$K$5:$AJ$130,0,MATCH(S$2,Inputs!$K$4:$AJ$4,0)))))</f>
        <v>3953</v>
      </c>
      <c r="T9" s="6">
        <f>IF(ISNA(MATCH(T$2,Inputs!$K$4:$AJ$4,0)),NA(),IF(SUMPRODUCT((Inputs!$A$5:$A$130=$B9)*ISNUMBER(INDEX(Inputs!$K$5:$AJ$130,0,MATCH(T$2,Inputs!$K$4:$AJ$4,0))))+SUMPRODUCT((Inputs!$C$5:$C$130=$B9)*ISNUMBER(INDEX(Inputs!$K$5:$AJ$130,0,MATCH(T$2,Inputs!$K$4:$AJ$4,0))))+SUMPRODUCT((Inputs!$E$5:$E$130=$B9)*ISNUMBER(INDEX(Inputs!$K$5:$AJ$130,0,MATCH(T$2,Inputs!$K$4:$AJ$4,0))))=0,NA(),SUMPRODUCT((Inputs!$A$5:$A$130=$B9)*Inputs!$B$5:$B$130*(((Inputs!$G$5:$G$130="moeda")+(Inputs!$G$5:$G$130="acoes"))*Inputs!$B$1+((Inputs!$G$5:$G$130&lt;&gt;"moeda")*(Inputs!$G$5:$G$130&lt;&gt;"acoes")))*INDEX(Inputs!$K$5:$AJ$130,0,MATCH(T$2,Inputs!$K$4:$AJ$4,0)))+SUMPRODUCT((Inputs!$C$5:$C$130=$B9)*Inputs!$D$5:$D$130*(((Inputs!$G$5:$G$130="moeda")+(Inputs!$G$5:$G$130="acoes"))*Inputs!$B$1+((Inputs!$G$5:$G$130&lt;&gt;"moeda")*(Inputs!$G$5:$G$130&lt;&gt;"acoes")))*INDEX(Inputs!$K$5:$AJ$130,0,MATCH(T$2,Inputs!$K$4:$AJ$4,0)))+SUMPRODUCT((Inputs!$E$5:$E$130=$B9)*Inputs!$F$5:$F$130*(((Inputs!$G$5:$G$130="moeda")+(Inputs!$G$5:$G$130="acoes"))*Inputs!$B$1+((Inputs!$G$5:$G$130&lt;&gt;"moeda")*(Inputs!$G$5:$G$130&lt;&gt;"acoes")))*INDEX(Inputs!$K$5:$AJ$130,0,MATCH(T$2,Inputs!$K$4:$AJ$4,0)))))</f>
        <v>3195</v>
      </c>
      <c r="U9" s="6">
        <f>IF(ISNA(MATCH(U$2,Inputs!$K$4:$AJ$4,0)),NA(),IF(SUMPRODUCT((Inputs!$A$5:$A$130=$B9)*ISNUMBER(INDEX(Inputs!$K$5:$AJ$130,0,MATCH(U$2,Inputs!$K$4:$AJ$4,0))))+SUMPRODUCT((Inputs!$C$5:$C$130=$B9)*ISNUMBER(INDEX(Inputs!$K$5:$AJ$130,0,MATCH(U$2,Inputs!$K$4:$AJ$4,0))))+SUMPRODUCT((Inputs!$E$5:$E$130=$B9)*ISNUMBER(INDEX(Inputs!$K$5:$AJ$130,0,MATCH(U$2,Inputs!$K$4:$AJ$4,0))))=0,NA(),SUMPRODUCT((Inputs!$A$5:$A$130=$B9)*Inputs!$B$5:$B$130*(((Inputs!$G$5:$G$130="moeda")+(Inputs!$G$5:$G$130="acoes"))*Inputs!$B$1+((Inputs!$G$5:$G$130&lt;&gt;"moeda")*(Inputs!$G$5:$G$130&lt;&gt;"acoes")))*INDEX(Inputs!$K$5:$AJ$130,0,MATCH(U$2,Inputs!$K$4:$AJ$4,0)))+SUMPRODUCT((Inputs!$C$5:$C$130=$B9)*Inputs!$D$5:$D$130*(((Inputs!$G$5:$G$130="moeda")+(Inputs!$G$5:$G$130="acoes"))*Inputs!$B$1+((Inputs!$G$5:$G$130&lt;&gt;"moeda")*(Inputs!$G$5:$G$130&lt;&gt;"acoes")))*INDEX(Inputs!$K$5:$AJ$130,0,MATCH(U$2,Inputs!$K$4:$AJ$4,0)))+SUMPRODUCT((Inputs!$E$5:$E$130=$B9)*Inputs!$F$5:$F$130*(((Inputs!$G$5:$G$130="moeda")+(Inputs!$G$5:$G$130="acoes"))*Inputs!$B$1+((Inputs!$G$5:$G$130&lt;&gt;"moeda")*(Inputs!$G$5:$G$130&lt;&gt;"acoes")))*INDEX(Inputs!$K$5:$AJ$130,0,MATCH(U$2,Inputs!$K$4:$AJ$4,0)))))</f>
        <v>2389</v>
      </c>
      <c r="V9" s="6">
        <f>IF(ISNA(MATCH(V$2,Inputs!$K$4:$AJ$4,0)),NA(),IF(SUMPRODUCT((Inputs!$A$5:$A$130=$B9)*ISNUMBER(INDEX(Inputs!$K$5:$AJ$130,0,MATCH(V$2,Inputs!$K$4:$AJ$4,0))))+SUMPRODUCT((Inputs!$C$5:$C$130=$B9)*ISNUMBER(INDEX(Inputs!$K$5:$AJ$130,0,MATCH(V$2,Inputs!$K$4:$AJ$4,0))))+SUMPRODUCT((Inputs!$E$5:$E$130=$B9)*ISNUMBER(INDEX(Inputs!$K$5:$AJ$130,0,MATCH(V$2,Inputs!$K$4:$AJ$4,0))))=0,NA(),SUMPRODUCT((Inputs!$A$5:$A$130=$B9)*Inputs!$B$5:$B$130*(((Inputs!$G$5:$G$130="moeda")+(Inputs!$G$5:$G$130="acoes"))*Inputs!$B$1+((Inputs!$G$5:$G$130&lt;&gt;"moeda")*(Inputs!$G$5:$G$130&lt;&gt;"acoes")))*INDEX(Inputs!$K$5:$AJ$130,0,MATCH(V$2,Inputs!$K$4:$AJ$4,0)))+SUMPRODUCT((Inputs!$C$5:$C$130=$B9)*Inputs!$D$5:$D$130*(((Inputs!$G$5:$G$130="moeda")+(Inputs!$G$5:$G$130="acoes"))*Inputs!$B$1+((Inputs!$G$5:$G$130&lt;&gt;"moeda")*(Inputs!$G$5:$G$130&lt;&gt;"acoes")))*INDEX(Inputs!$K$5:$AJ$130,0,MATCH(V$2,Inputs!$K$4:$AJ$4,0)))+SUMPRODUCT((Inputs!$E$5:$E$130=$B9)*Inputs!$F$5:$F$130*(((Inputs!$G$5:$G$130="moeda")+(Inputs!$G$5:$G$130="acoes"))*Inputs!$B$1+((Inputs!$G$5:$G$130&lt;&gt;"moeda")*(Inputs!$G$5:$G$130&lt;&gt;"acoes")))*INDEX(Inputs!$K$5:$AJ$130,0,MATCH(V$2,Inputs!$K$4:$AJ$4,0)))))</f>
        <v>1724</v>
      </c>
      <c r="W9" s="3">
        <f>SUM(S9:V9)</f>
        <v>11261</v>
      </c>
      <c r="X9" s="6">
        <f>IF(ISNA(MATCH(X$2,Inputs!$K$4:$AJ$4,0)),NA(),IF(SUMPRODUCT((Inputs!$A$5:$A$130=$B9)*ISNUMBER(INDEX(Inputs!$K$5:$AJ$130,0,MATCH(X$2,Inputs!$K$4:$AJ$4,0))))+SUMPRODUCT((Inputs!$C$5:$C$130=$B9)*ISNUMBER(INDEX(Inputs!$K$5:$AJ$130,0,MATCH(X$2,Inputs!$K$4:$AJ$4,0))))+SUMPRODUCT((Inputs!$E$5:$E$130=$B9)*ISNUMBER(INDEX(Inputs!$K$5:$AJ$130,0,MATCH(X$2,Inputs!$K$4:$AJ$4,0))))=0,NA(),SUMPRODUCT((Inputs!$A$5:$A$130=$B9)*Inputs!$B$5:$B$130*(((Inputs!$G$5:$G$130="moeda")+(Inputs!$G$5:$G$130="acoes"))*Inputs!$B$1+((Inputs!$G$5:$G$130&lt;&gt;"moeda")*(Inputs!$G$5:$G$130&lt;&gt;"acoes")))*INDEX(Inputs!$K$5:$AJ$130,0,MATCH(X$2,Inputs!$K$4:$AJ$4,0)))+SUMPRODUCT((Inputs!$C$5:$C$130=$B9)*Inputs!$D$5:$D$130*(((Inputs!$G$5:$G$130="moeda")+(Inputs!$G$5:$G$130="acoes"))*Inputs!$B$1+((Inputs!$G$5:$G$130&lt;&gt;"moeda")*(Inputs!$G$5:$G$130&lt;&gt;"acoes")))*INDEX(Inputs!$K$5:$AJ$130,0,MATCH(X$2,Inputs!$K$4:$AJ$4,0)))+SUMPRODUCT((Inputs!$E$5:$E$130=$B9)*Inputs!$F$5:$F$130*(((Inputs!$G$5:$G$130="moeda")+(Inputs!$G$5:$G$130="acoes"))*Inputs!$B$1+((Inputs!$G$5:$G$130&lt;&gt;"moeda")*(Inputs!$G$5:$G$130&lt;&gt;"acoes")))*INDEX(Inputs!$K$5:$AJ$130,0,MATCH(X$2,Inputs!$K$4:$AJ$4,0)))))</f>
        <v>3121</v>
      </c>
      <c r="Y9" s="6">
        <f>IF(ISNA(MATCH(Y$2,Inputs!$K$4:$AJ$4,0)),NA(),IF(SUMPRODUCT((Inputs!$A$5:$A$130=$B9)*ISNUMBER(INDEX(Inputs!$K$5:$AJ$130,0,MATCH(Y$2,Inputs!$K$4:$AJ$4,0))))+SUMPRODUCT((Inputs!$C$5:$C$130=$B9)*ISNUMBER(INDEX(Inputs!$K$5:$AJ$130,0,MATCH(Y$2,Inputs!$K$4:$AJ$4,0))))+SUMPRODUCT((Inputs!$E$5:$E$130=$B9)*ISNUMBER(INDEX(Inputs!$K$5:$AJ$130,0,MATCH(Y$2,Inputs!$K$4:$AJ$4,0))))=0,NA(),SUMPRODUCT((Inputs!$A$5:$A$130=$B9)*Inputs!$B$5:$B$130*(((Inputs!$G$5:$G$130="moeda")+(Inputs!$G$5:$G$130="acoes"))*Inputs!$B$1+((Inputs!$G$5:$G$130&lt;&gt;"moeda")*(Inputs!$G$5:$G$130&lt;&gt;"acoes")))*INDEX(Inputs!$K$5:$AJ$130,0,MATCH(Y$2,Inputs!$K$4:$AJ$4,0)))+SUMPRODUCT((Inputs!$C$5:$C$130=$B9)*Inputs!$D$5:$D$130*(((Inputs!$G$5:$G$130="moeda")+(Inputs!$G$5:$G$130="acoes"))*Inputs!$B$1+((Inputs!$G$5:$G$130&lt;&gt;"moeda")*(Inputs!$G$5:$G$130&lt;&gt;"acoes")))*INDEX(Inputs!$K$5:$AJ$130,0,MATCH(Y$2,Inputs!$K$4:$AJ$4,0)))+SUMPRODUCT((Inputs!$E$5:$E$130=$B9)*Inputs!$F$5:$F$130*(((Inputs!$G$5:$G$130="moeda")+(Inputs!$G$5:$G$130="acoes"))*Inputs!$B$1+((Inputs!$G$5:$G$130&lt;&gt;"moeda")*(Inputs!$G$5:$G$130&lt;&gt;"acoes")))*INDEX(Inputs!$K$5:$AJ$130,0,MATCH(Y$2,Inputs!$K$4:$AJ$4,0)))))</f>
        <v>2394</v>
      </c>
      <c r="Z9" s="6">
        <f>IF(ISNA(MATCH(Z$2,Inputs!$K$4:$AJ$4,0)),NA(),IF(SUMPRODUCT((Inputs!$A$5:$A$130=$B9)*ISNUMBER(INDEX(Inputs!$K$5:$AJ$130,0,MATCH(Z$2,Inputs!$K$4:$AJ$4,0))))+SUMPRODUCT((Inputs!$C$5:$C$130=$B9)*ISNUMBER(INDEX(Inputs!$K$5:$AJ$130,0,MATCH(Z$2,Inputs!$K$4:$AJ$4,0))))+SUMPRODUCT((Inputs!$E$5:$E$130=$B9)*ISNUMBER(INDEX(Inputs!$K$5:$AJ$130,0,MATCH(Z$2,Inputs!$K$4:$AJ$4,0))))=0,NA(),SUMPRODUCT((Inputs!$A$5:$A$130=$B9)*Inputs!$B$5:$B$130*(((Inputs!$G$5:$G$130="moeda")+(Inputs!$G$5:$G$130="acoes"))*Inputs!$B$1+((Inputs!$G$5:$G$130&lt;&gt;"moeda")*(Inputs!$G$5:$G$130&lt;&gt;"acoes")))*INDEX(Inputs!$K$5:$AJ$130,0,MATCH(Z$2,Inputs!$K$4:$AJ$4,0)))+SUMPRODUCT((Inputs!$C$5:$C$130=$B9)*Inputs!$D$5:$D$130*(((Inputs!$G$5:$G$130="moeda")+(Inputs!$G$5:$G$130="acoes"))*Inputs!$B$1+((Inputs!$G$5:$G$130&lt;&gt;"moeda")*(Inputs!$G$5:$G$130&lt;&gt;"acoes")))*INDEX(Inputs!$K$5:$AJ$130,0,MATCH(Z$2,Inputs!$K$4:$AJ$4,0)))+SUMPRODUCT((Inputs!$E$5:$E$130=$B9)*Inputs!$F$5:$F$130*(((Inputs!$G$5:$G$130="moeda")+(Inputs!$G$5:$G$130="acoes"))*Inputs!$B$1+((Inputs!$G$5:$G$130&lt;&gt;"moeda")*(Inputs!$G$5:$G$130&lt;&gt;"acoes")))*INDEX(Inputs!$K$5:$AJ$130,0,MATCH(Z$2,Inputs!$K$4:$AJ$4,0)))))</f>
        <v>2187</v>
      </c>
      <c r="AA9" s="6">
        <f>IF(ISNA(MATCH(AA$2,Inputs!$K$4:$AJ$4,0)),NA(),IF(SUMPRODUCT((Inputs!$A$5:$A$130=$B9)*ISNUMBER(INDEX(Inputs!$K$5:$AJ$130,0,MATCH(AA$2,Inputs!$K$4:$AJ$4,0))))+SUMPRODUCT((Inputs!$C$5:$C$130=$B9)*ISNUMBER(INDEX(Inputs!$K$5:$AJ$130,0,MATCH(AA$2,Inputs!$K$4:$AJ$4,0))))+SUMPRODUCT((Inputs!$E$5:$E$130=$B9)*ISNUMBER(INDEX(Inputs!$K$5:$AJ$130,0,MATCH(AA$2,Inputs!$K$4:$AJ$4,0))))=0,NA(),SUMPRODUCT((Inputs!$A$5:$A$130=$B9)*Inputs!$B$5:$B$130*(((Inputs!$G$5:$G$130="moeda")+(Inputs!$G$5:$G$130="acoes"))*Inputs!$B$1+((Inputs!$G$5:$G$130&lt;&gt;"moeda")*(Inputs!$G$5:$G$130&lt;&gt;"acoes")))*INDEX(Inputs!$K$5:$AJ$130,0,MATCH(AA$2,Inputs!$K$4:$AJ$4,0)))+SUMPRODUCT((Inputs!$C$5:$C$130=$B9)*Inputs!$D$5:$D$130*(((Inputs!$G$5:$G$130="moeda")+(Inputs!$G$5:$G$130="acoes"))*Inputs!$B$1+((Inputs!$G$5:$G$130&lt;&gt;"moeda")*(Inputs!$G$5:$G$130&lt;&gt;"acoes")))*INDEX(Inputs!$K$5:$AJ$130,0,MATCH(AA$2,Inputs!$K$4:$AJ$4,0)))+SUMPRODUCT((Inputs!$E$5:$E$130=$B9)*Inputs!$F$5:$F$130*(((Inputs!$G$5:$G$130="moeda")+(Inputs!$G$5:$G$130="acoes"))*Inputs!$B$1+((Inputs!$G$5:$G$130&lt;&gt;"moeda")*(Inputs!$G$5:$G$130&lt;&gt;"acoes")))*INDEX(Inputs!$K$5:$AJ$130,0,MATCH(AA$2,Inputs!$K$4:$AJ$4,0)))))</f>
        <v>1555</v>
      </c>
      <c r="AB9" s="3">
        <f>SUM(X9:AA9)</f>
        <v>9257</v>
      </c>
      <c r="AC9" s="6">
        <f>IF(ISNA(MATCH(AC$2,Inputs!$K$4:$AJ$4,0)),NA(),IF(SUMPRODUCT((Inputs!$A$5:$A$130=$B9)*ISNUMBER(INDEX(Inputs!$K$5:$AJ$130,0,MATCH(AC$2,Inputs!$K$4:$AJ$4,0))))+SUMPRODUCT((Inputs!$C$5:$C$130=$B9)*ISNUMBER(INDEX(Inputs!$K$5:$AJ$130,0,MATCH(AC$2,Inputs!$K$4:$AJ$4,0))))+SUMPRODUCT((Inputs!$E$5:$E$130=$B9)*ISNUMBER(INDEX(Inputs!$K$5:$AJ$130,0,MATCH(AC$2,Inputs!$K$4:$AJ$4,0))))=0,NA(),SUMPRODUCT((Inputs!$A$5:$A$130=$B9)*Inputs!$B$5:$B$130*(((Inputs!$G$5:$G$130="moeda")+(Inputs!$G$5:$G$130="acoes"))*Inputs!$B$1+((Inputs!$G$5:$G$130&lt;&gt;"moeda")*(Inputs!$G$5:$G$130&lt;&gt;"acoes")))*INDEX(Inputs!$K$5:$AJ$130,0,MATCH(AC$2,Inputs!$K$4:$AJ$4,0)))+SUMPRODUCT((Inputs!$C$5:$C$130=$B9)*Inputs!$D$5:$D$130*(((Inputs!$G$5:$G$130="moeda")+(Inputs!$G$5:$G$130="acoes"))*Inputs!$B$1+((Inputs!$G$5:$G$130&lt;&gt;"moeda")*(Inputs!$G$5:$G$130&lt;&gt;"acoes")))*INDEX(Inputs!$K$5:$AJ$130,0,MATCH(AC$2,Inputs!$K$4:$AJ$4,0)))+SUMPRODUCT((Inputs!$E$5:$E$130=$B9)*Inputs!$F$5:$F$130*(((Inputs!$G$5:$G$130="moeda")+(Inputs!$G$5:$G$130="acoes"))*Inputs!$B$1+((Inputs!$G$5:$G$130&lt;&gt;"moeda")*(Inputs!$G$5:$G$130&lt;&gt;"acoes")))*INDEX(Inputs!$K$5:$AJ$130,0,MATCH(AC$2,Inputs!$K$4:$AJ$4,0)))))</f>
        <v>3005</v>
      </c>
      <c r="AD9" s="6">
        <f>IF(ISNA(MATCH(AD$2,Inputs!$K$4:$AJ$4,0)),NA(),IF(SUMPRODUCT((Inputs!$A$5:$A$130=$B9)*ISNUMBER(INDEX(Inputs!$K$5:$AJ$130,0,MATCH(AD$2,Inputs!$K$4:$AJ$4,0))))+SUMPRODUCT((Inputs!$C$5:$C$130=$B9)*ISNUMBER(INDEX(Inputs!$K$5:$AJ$130,0,MATCH(AD$2,Inputs!$K$4:$AJ$4,0))))+SUMPRODUCT((Inputs!$E$5:$E$130=$B9)*ISNUMBER(INDEX(Inputs!$K$5:$AJ$130,0,MATCH(AD$2,Inputs!$K$4:$AJ$4,0))))=0,NA(),SUMPRODUCT((Inputs!$A$5:$A$130=$B9)*Inputs!$B$5:$B$130*(((Inputs!$G$5:$G$130="moeda")+(Inputs!$G$5:$G$130="acoes"))*Inputs!$B$1+((Inputs!$G$5:$G$130&lt;&gt;"moeda")*(Inputs!$G$5:$G$130&lt;&gt;"acoes")))*INDEX(Inputs!$K$5:$AJ$130,0,MATCH(AD$2,Inputs!$K$4:$AJ$4,0)))+SUMPRODUCT((Inputs!$C$5:$C$130=$B9)*Inputs!$D$5:$D$130*(((Inputs!$G$5:$G$130="moeda")+(Inputs!$G$5:$G$130="acoes"))*Inputs!$B$1+((Inputs!$G$5:$G$130&lt;&gt;"moeda")*(Inputs!$G$5:$G$130&lt;&gt;"acoes")))*INDEX(Inputs!$K$5:$AJ$130,0,MATCH(AD$2,Inputs!$K$4:$AJ$4,0)))+SUMPRODUCT((Inputs!$E$5:$E$130=$B9)*Inputs!$F$5:$F$130*(((Inputs!$G$5:$G$130="moeda")+(Inputs!$G$5:$G$130="acoes"))*Inputs!$B$1+((Inputs!$G$5:$G$130&lt;&gt;"moeda")*(Inputs!$G$5:$G$130&lt;&gt;"acoes")))*INDEX(Inputs!$K$5:$AJ$130,0,MATCH(AD$2,Inputs!$K$4:$AJ$4,0)))))</f>
        <v>2592</v>
      </c>
      <c r="AE9" s="6" t="e">
        <f>IF(ISNA(MATCH(AE$2,Inputs!$K$4:$AJ$4,0)),NA(),IF(SUMPRODUCT((Inputs!$A$5:$A$130=$B9)*ISNUMBER(INDEX(Inputs!$K$5:$AJ$130,0,MATCH(AE$2,Inputs!$K$4:$AJ$4,0))))+SUMPRODUCT((Inputs!$C$5:$C$130=$B9)*ISNUMBER(INDEX(Inputs!$K$5:$AJ$130,0,MATCH(AE$2,Inputs!$K$4:$AJ$4,0))))+SUMPRODUCT((Inputs!$E$5:$E$130=$B9)*ISNUMBER(INDEX(Inputs!$K$5:$AJ$130,0,MATCH(AE$2,Inputs!$K$4:$AJ$4,0))))=0,NA(),SUMPRODUCT((Inputs!$A$5:$A$130=$B9)*Inputs!$B$5:$B$130*(((Inputs!$G$5:$G$130="moeda")+(Inputs!$G$5:$G$130="acoes"))*Inputs!$B$1+((Inputs!$G$5:$G$130&lt;&gt;"moeda")*(Inputs!$G$5:$G$130&lt;&gt;"acoes")))*INDEX(Inputs!$K$5:$AJ$130,0,MATCH(AE$2,Inputs!$K$4:$AJ$4,0)))+SUMPRODUCT((Inputs!$C$5:$C$130=$B9)*Inputs!$D$5:$D$130*(((Inputs!$G$5:$G$130="moeda")+(Inputs!$G$5:$G$130="acoes"))*Inputs!$B$1+((Inputs!$G$5:$G$130&lt;&gt;"moeda")*(Inputs!$G$5:$G$130&lt;&gt;"acoes")))*INDEX(Inputs!$K$5:$AJ$130,0,MATCH(AE$2,Inputs!$K$4:$AJ$4,0)))+SUMPRODUCT((Inputs!$E$5:$E$130=$B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9" s="6" t="e">
        <f>IF(ISNA(MATCH(AF$2,Inputs!$K$4:$AJ$4,0)),NA(),IF(SUMPRODUCT((Inputs!$A$5:$A$130=$B9)*ISNUMBER(INDEX(Inputs!$K$5:$AJ$130,0,MATCH(AF$2,Inputs!$K$4:$AJ$4,0))))+SUMPRODUCT((Inputs!$C$5:$C$130=$B9)*ISNUMBER(INDEX(Inputs!$K$5:$AJ$130,0,MATCH(AF$2,Inputs!$K$4:$AJ$4,0))))+SUMPRODUCT((Inputs!$E$5:$E$130=$B9)*ISNUMBER(INDEX(Inputs!$K$5:$AJ$130,0,MATCH(AF$2,Inputs!$K$4:$AJ$4,0))))=0,NA(),SUMPRODUCT((Inputs!$A$5:$A$130=$B9)*Inputs!$B$5:$B$130*(((Inputs!$G$5:$G$130="moeda")+(Inputs!$G$5:$G$130="acoes"))*Inputs!$B$1+((Inputs!$G$5:$G$130&lt;&gt;"moeda")*(Inputs!$G$5:$G$130&lt;&gt;"acoes")))*INDEX(Inputs!$K$5:$AJ$130,0,MATCH(AF$2,Inputs!$K$4:$AJ$4,0)))+SUMPRODUCT((Inputs!$C$5:$C$130=$B9)*Inputs!$D$5:$D$130*(((Inputs!$G$5:$G$130="moeda")+(Inputs!$G$5:$G$130="acoes"))*Inputs!$B$1+((Inputs!$G$5:$G$130&lt;&gt;"moeda")*(Inputs!$G$5:$G$130&lt;&gt;"acoes")))*INDEX(Inputs!$K$5:$AJ$130,0,MATCH(AF$2,Inputs!$K$4:$AJ$4,0)))+SUMPRODUCT((Inputs!$E$5:$E$130=$B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9" s="3" t="e">
        <f>SUM(AC9:AF9)</f>
        <v>#N/A</v>
      </c>
      <c r="AH9" s="6">
        <f>IF(ISNA(MATCH(AH$2,Inputs!$K$4:$AJ$4,0)),NA(),IF(SUMPRODUCT((Inputs!$A$5:$A$130=$B9)*ISNUMBER(INDEX(Inputs!$K$5:$AJ$130,0,MATCH(AH$2,Inputs!$K$4:$AJ$4,0))))+SUMPRODUCT((Inputs!$C$5:$C$130=$B9)*ISNUMBER(INDEX(Inputs!$K$5:$AJ$130,0,MATCH(AH$2,Inputs!$K$4:$AJ$4,0))))+SUMPRODUCT((Inputs!$E$5:$E$130=$B9)*ISNUMBER(INDEX(Inputs!$K$5:$AJ$130,0,MATCH(AH$2,Inputs!$K$4:$AJ$4,0))))=0,NA(),SUMPRODUCT((Inputs!$A$5:$A$130=$B9)*Inputs!$B$5:$B$130*(((Inputs!$G$5:$G$130="moeda")+(Inputs!$G$5:$G$130="acoes"))*Inputs!$B$1+((Inputs!$G$5:$G$130&lt;&gt;"moeda")*(Inputs!$G$5:$G$130&lt;&gt;"acoes")))*INDEX(Inputs!$K$5:$AJ$130,0,MATCH(AH$2,Inputs!$K$4:$AJ$4,0)))+SUMPRODUCT((Inputs!$C$5:$C$130=$B9)*Inputs!$D$5:$D$130*(((Inputs!$G$5:$G$130="moeda")+(Inputs!$G$5:$G$130="acoes"))*Inputs!$B$1+((Inputs!$G$5:$G$130&lt;&gt;"moeda")*(Inputs!$G$5:$G$130&lt;&gt;"acoes")))*INDEX(Inputs!$K$5:$AJ$130,0,MATCH(AH$2,Inputs!$K$4:$AJ$4,0)))+SUMPRODUCT((Inputs!$E$5:$E$130=$B9)*Inputs!$F$5:$F$130*(((Inputs!$G$5:$G$130="moeda")+(Inputs!$G$5:$G$130="acoes"))*Inputs!$B$1+((Inputs!$G$5:$G$130&lt;&gt;"moeda")*(Inputs!$G$5:$G$130&lt;&gt;"acoes")))*INDEX(Inputs!$K$5:$AJ$130,0,MATCH(AH$2,Inputs!$K$4:$AJ$4,0)))))</f>
        <v>305</v>
      </c>
      <c r="AI9" s="6">
        <f>IF(ISNA(MATCH(AI$2,Inputs!$K$4:$AJ$4,0)),NA(),IF(SUMPRODUCT((Inputs!$A$5:$A$130=$B9)*ISNUMBER(INDEX(Inputs!$K$5:$AJ$130,0,MATCH(AI$2,Inputs!$K$4:$AJ$4,0))))+SUMPRODUCT((Inputs!$C$5:$C$130=$B9)*ISNUMBER(INDEX(Inputs!$K$5:$AJ$130,0,MATCH(AI$2,Inputs!$K$4:$AJ$4,0))))+SUMPRODUCT((Inputs!$E$5:$E$130=$B9)*ISNUMBER(INDEX(Inputs!$K$5:$AJ$130,0,MATCH(AI$2,Inputs!$K$4:$AJ$4,0))))=0,NA(),SUMPRODUCT((Inputs!$A$5:$A$130=$B9)*Inputs!$B$5:$B$130*(((Inputs!$G$5:$G$130="moeda")+(Inputs!$G$5:$G$130="acoes"))*Inputs!$B$1+((Inputs!$G$5:$G$130&lt;&gt;"moeda")*(Inputs!$G$5:$G$130&lt;&gt;"acoes")))*INDEX(Inputs!$K$5:$AJ$130,0,MATCH(AI$2,Inputs!$K$4:$AJ$4,0)))+SUMPRODUCT((Inputs!$C$5:$C$130=$B9)*Inputs!$D$5:$D$130*(((Inputs!$G$5:$G$130="moeda")+(Inputs!$G$5:$G$130="acoes"))*Inputs!$B$1+((Inputs!$G$5:$G$130&lt;&gt;"moeda")*(Inputs!$G$5:$G$130&lt;&gt;"acoes")))*INDEX(Inputs!$K$5:$AJ$130,0,MATCH(AI$2,Inputs!$K$4:$AJ$4,0)))+SUMPRODUCT((Inputs!$E$5:$E$130=$B9)*Inputs!$F$5:$F$130*(((Inputs!$G$5:$G$130="moeda")+(Inputs!$G$5:$G$130="acoes"))*Inputs!$B$1+((Inputs!$G$5:$G$130&lt;&gt;"moeda")*(Inputs!$G$5:$G$130&lt;&gt;"acoes")))*INDEX(Inputs!$K$5:$AJ$130,0,MATCH(AI$2,Inputs!$K$4:$AJ$4,0)))))</f>
        <v>170</v>
      </c>
      <c r="AJ9" s="6">
        <f>IF(ISNA(MATCH(AJ$2,Inputs!$K$4:$AJ$4,0)),NA(),IF(SUMPRODUCT((Inputs!$A$5:$A$130=$B9)*ISNUMBER(INDEX(Inputs!$K$5:$AJ$130,0,MATCH(AJ$2,Inputs!$K$4:$AJ$4,0))))+SUMPRODUCT((Inputs!$C$5:$C$130=$B9)*ISNUMBER(INDEX(Inputs!$K$5:$AJ$130,0,MATCH(AJ$2,Inputs!$K$4:$AJ$4,0))))+SUMPRODUCT((Inputs!$E$5:$E$130=$B9)*ISNUMBER(INDEX(Inputs!$K$5:$AJ$130,0,MATCH(AJ$2,Inputs!$K$4:$AJ$4,0))))=0,NA(),SUMPRODUCT((Inputs!$A$5:$A$130=$B9)*Inputs!$B$5:$B$130*(((Inputs!$G$5:$G$130="moeda")+(Inputs!$G$5:$G$130="acoes"))*Inputs!$B$1+((Inputs!$G$5:$G$130&lt;&gt;"moeda")*(Inputs!$G$5:$G$130&lt;&gt;"acoes")))*INDEX(Inputs!$K$5:$AJ$130,0,MATCH(AJ$2,Inputs!$K$4:$AJ$4,0)))+SUMPRODUCT((Inputs!$C$5:$C$130=$B9)*Inputs!$D$5:$D$130*(((Inputs!$G$5:$G$130="moeda")+(Inputs!$G$5:$G$130="acoes"))*Inputs!$B$1+((Inputs!$G$5:$G$130&lt;&gt;"moeda")*(Inputs!$G$5:$G$130&lt;&gt;"acoes")))*INDEX(Inputs!$K$5:$AJ$130,0,MATCH(AJ$2,Inputs!$K$4:$AJ$4,0)))+SUMPRODUCT((Inputs!$E$5:$E$130=$B9)*Inputs!$F$5:$F$130*(((Inputs!$G$5:$G$130="moeda")+(Inputs!$G$5:$G$130="acoes"))*Inputs!$B$1+((Inputs!$G$5:$G$130&lt;&gt;"moeda")*(Inputs!$G$5:$G$130&lt;&gt;"acoes")))*INDEX(Inputs!$K$5:$AJ$130,0,MATCH(AJ$2,Inputs!$K$4:$AJ$4,0)))))</f>
        <v>89</v>
      </c>
      <c r="AK9" s="6">
        <f>IF(ISNA(MATCH(AK$2,Inputs!$K$4:$AJ$4,0)),NA(),IF(SUMPRODUCT((Inputs!$A$5:$A$130=$B9)*ISNUMBER(INDEX(Inputs!$K$5:$AJ$130,0,MATCH(AK$2,Inputs!$K$4:$AJ$4,0))))+SUMPRODUCT((Inputs!$C$5:$C$130=$B9)*ISNUMBER(INDEX(Inputs!$K$5:$AJ$130,0,MATCH(AK$2,Inputs!$K$4:$AJ$4,0))))+SUMPRODUCT((Inputs!$E$5:$E$130=$B9)*ISNUMBER(INDEX(Inputs!$K$5:$AJ$130,0,MATCH(AK$2,Inputs!$K$4:$AJ$4,0))))=0,NA(),SUMPRODUCT((Inputs!$A$5:$A$130=$B9)*Inputs!$B$5:$B$130*(((Inputs!$G$5:$G$130="moeda")+(Inputs!$G$5:$G$130="acoes"))*Inputs!$B$1+((Inputs!$G$5:$G$130&lt;&gt;"moeda")*(Inputs!$G$5:$G$130&lt;&gt;"acoes")))*INDEX(Inputs!$K$5:$AJ$130,0,MATCH(AK$2,Inputs!$K$4:$AJ$4,0)))+SUMPRODUCT((Inputs!$C$5:$C$130=$B9)*Inputs!$D$5:$D$130*(((Inputs!$G$5:$G$130="moeda")+(Inputs!$G$5:$G$130="acoes"))*Inputs!$B$1+((Inputs!$G$5:$G$130&lt;&gt;"moeda")*(Inputs!$G$5:$G$130&lt;&gt;"acoes")))*INDEX(Inputs!$K$5:$AJ$130,0,MATCH(AK$2,Inputs!$K$4:$AJ$4,0)))+SUMPRODUCT((Inputs!$E$5:$E$130=$B9)*Inputs!$F$5:$F$130*(((Inputs!$G$5:$G$130="moeda")+(Inputs!$G$5:$G$130="acoes"))*Inputs!$B$1+((Inputs!$G$5:$G$130&lt;&gt;"moeda")*(Inputs!$G$5:$G$130&lt;&gt;"acoes")))*INDEX(Inputs!$K$5:$AJ$130,0,MATCH(AK$2,Inputs!$K$4:$AJ$4,0)))))</f>
        <v>161</v>
      </c>
      <c r="AL9" s="3">
        <f>SUM(AH9:AK9)</f>
        <v>725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$130=$B10)*ISNUMBER(INDEX(Inputs!$K$5:$AJ$130,0,MATCH(D$2,Inputs!$K$4:$AJ$4,0))))+SUMPRODUCT((Inputs!$C$5:$C$130=$B10)*ISNUMBER(INDEX(Inputs!$K$5:$AJ$130,0,MATCH(D$2,Inputs!$K$4:$AJ$4,0))))+SUMPRODUCT((Inputs!$E$5:$E$130=$B10)*ISNUMBER(INDEX(Inputs!$K$5:$AJ$130,0,MATCH(D$2,Inputs!$K$4:$AJ$4,0))))=0,NA(),SUMPRODUCT((Inputs!$A$5:$A$130=$B10)*Inputs!$B$5:$B$130*(((Inputs!$G$5:$G$130="moeda")+(Inputs!$G$5:$G$130="acoes"))*Inputs!$B$1+((Inputs!$G$5:$G$130&lt;&gt;"moeda")*(Inputs!$G$5:$G$130&lt;&gt;"acoes")))*INDEX(Inputs!$K$5:$AJ$130,0,MATCH(D$2,Inputs!$K$4:$AJ$4,0)))+SUMPRODUCT((Inputs!$C$5:$C$130=$B10)*Inputs!$D$5:$D$130*(((Inputs!$G$5:$G$130="moeda")+(Inputs!$G$5:$G$130="acoes"))*Inputs!$B$1+((Inputs!$G$5:$G$130&lt;&gt;"moeda")*(Inputs!$G$5:$G$130&lt;&gt;"acoes")))*INDEX(Inputs!$K$5:$AJ$130,0,MATCH(D$2,Inputs!$K$4:$AJ$4,0)))+SUMPRODUCT((Inputs!$E$5:$E$130=$B10)*Inputs!$F$5:$F$130*(((Inputs!$G$5:$G$130="moeda")+(Inputs!$G$5:$G$130="acoes"))*Inputs!$B$1+((Inputs!$G$5:$G$130&lt;&gt;"moeda")*(Inputs!$G$5:$G$130&lt;&gt;"acoes")))*INDEX(Inputs!$K$5:$AJ$130,0,MATCH(D$2,Inputs!$K$4:$AJ$4,0)))))</f>
        <v>-530</v>
      </c>
      <c r="E10" s="6">
        <f>IF(ISNA(MATCH(E$2,Inputs!$K$4:$AJ$4,0)),NA(),IF(SUMPRODUCT((Inputs!$A$5:$A$130=$B10)*ISNUMBER(INDEX(Inputs!$K$5:$AJ$130,0,MATCH(E$2,Inputs!$K$4:$AJ$4,0))))+SUMPRODUCT((Inputs!$C$5:$C$130=$B10)*ISNUMBER(INDEX(Inputs!$K$5:$AJ$130,0,MATCH(E$2,Inputs!$K$4:$AJ$4,0))))+SUMPRODUCT((Inputs!$E$5:$E$130=$B10)*ISNUMBER(INDEX(Inputs!$K$5:$AJ$130,0,MATCH(E$2,Inputs!$K$4:$AJ$4,0))))=0,NA(),SUMPRODUCT((Inputs!$A$5:$A$130=$B10)*Inputs!$B$5:$B$130*(((Inputs!$G$5:$G$130="moeda")+(Inputs!$G$5:$G$130="acoes"))*Inputs!$B$1+((Inputs!$G$5:$G$130&lt;&gt;"moeda")*(Inputs!$G$5:$G$130&lt;&gt;"acoes")))*INDEX(Inputs!$K$5:$AJ$130,0,MATCH(E$2,Inputs!$K$4:$AJ$4,0)))+SUMPRODUCT((Inputs!$C$5:$C$130=$B10)*Inputs!$D$5:$D$130*(((Inputs!$G$5:$G$130="moeda")+(Inputs!$G$5:$G$130="acoes"))*Inputs!$B$1+((Inputs!$G$5:$G$130&lt;&gt;"moeda")*(Inputs!$G$5:$G$130&lt;&gt;"acoes")))*INDEX(Inputs!$K$5:$AJ$130,0,MATCH(E$2,Inputs!$K$4:$AJ$4,0)))+SUMPRODUCT((Inputs!$E$5:$E$130=$B10)*Inputs!$F$5:$F$130*(((Inputs!$G$5:$G$130="moeda")+(Inputs!$G$5:$G$130="acoes"))*Inputs!$B$1+((Inputs!$G$5:$G$130&lt;&gt;"moeda")*(Inputs!$G$5:$G$130&lt;&gt;"acoes")))*INDEX(Inputs!$K$5:$AJ$130,0,MATCH(E$2,Inputs!$K$4:$AJ$4,0)))))</f>
        <v>-491</v>
      </c>
      <c r="F10" s="6">
        <f>IF(ISNA(MATCH(F$2,Inputs!$K$4:$AJ$4,0)),NA(),IF(SUMPRODUCT((Inputs!$A$5:$A$130=$B10)*ISNUMBER(INDEX(Inputs!$K$5:$AJ$130,0,MATCH(F$2,Inputs!$K$4:$AJ$4,0))))+SUMPRODUCT((Inputs!$C$5:$C$130=$B10)*ISNUMBER(INDEX(Inputs!$K$5:$AJ$130,0,MATCH(F$2,Inputs!$K$4:$AJ$4,0))))+SUMPRODUCT((Inputs!$E$5:$E$130=$B10)*ISNUMBER(INDEX(Inputs!$K$5:$AJ$130,0,MATCH(F$2,Inputs!$K$4:$AJ$4,0))))=0,NA(),SUMPRODUCT((Inputs!$A$5:$A$130=$B10)*Inputs!$B$5:$B$130*(((Inputs!$G$5:$G$130="moeda")+(Inputs!$G$5:$G$130="acoes"))*Inputs!$B$1+((Inputs!$G$5:$G$130&lt;&gt;"moeda")*(Inputs!$G$5:$G$130&lt;&gt;"acoes")))*INDEX(Inputs!$K$5:$AJ$130,0,MATCH(F$2,Inputs!$K$4:$AJ$4,0)))+SUMPRODUCT((Inputs!$C$5:$C$130=$B10)*Inputs!$D$5:$D$130*(((Inputs!$G$5:$G$130="moeda")+(Inputs!$G$5:$G$130="acoes"))*Inputs!$B$1+((Inputs!$G$5:$G$130&lt;&gt;"moeda")*(Inputs!$G$5:$G$130&lt;&gt;"acoes")))*INDEX(Inputs!$K$5:$AJ$130,0,MATCH(F$2,Inputs!$K$4:$AJ$4,0)))+SUMPRODUCT((Inputs!$E$5:$E$130=$B10)*Inputs!$F$5:$F$130*(((Inputs!$G$5:$G$130="moeda")+(Inputs!$G$5:$G$130="acoes"))*Inputs!$B$1+((Inputs!$G$5:$G$130&lt;&gt;"moeda")*(Inputs!$G$5:$G$130&lt;&gt;"acoes")))*INDEX(Inputs!$K$5:$AJ$130,0,MATCH(F$2,Inputs!$K$4:$AJ$4,0)))))</f>
        <v>-330</v>
      </c>
      <c r="G10" s="6">
        <f>IF(ISNA(MATCH(G$2,Inputs!$K$4:$AJ$4,0)),NA(),IF(SUMPRODUCT((Inputs!$A$5:$A$130=$B10)*ISNUMBER(INDEX(Inputs!$K$5:$AJ$130,0,MATCH(G$2,Inputs!$K$4:$AJ$4,0))))+SUMPRODUCT((Inputs!$C$5:$C$130=$B10)*ISNUMBER(INDEX(Inputs!$K$5:$AJ$130,0,MATCH(G$2,Inputs!$K$4:$AJ$4,0))))+SUMPRODUCT((Inputs!$E$5:$E$130=$B10)*ISNUMBER(INDEX(Inputs!$K$5:$AJ$130,0,MATCH(G$2,Inputs!$K$4:$AJ$4,0))))=0,NA(),SUMPRODUCT((Inputs!$A$5:$A$130=$B10)*Inputs!$B$5:$B$130*(((Inputs!$G$5:$G$130="moeda")+(Inputs!$G$5:$G$130="acoes"))*Inputs!$B$1+((Inputs!$G$5:$G$130&lt;&gt;"moeda")*(Inputs!$G$5:$G$130&lt;&gt;"acoes")))*INDEX(Inputs!$K$5:$AJ$130,0,MATCH(G$2,Inputs!$K$4:$AJ$4,0)))+SUMPRODUCT((Inputs!$C$5:$C$130=$B10)*Inputs!$D$5:$D$130*(((Inputs!$G$5:$G$130="moeda")+(Inputs!$G$5:$G$130="acoes"))*Inputs!$B$1+((Inputs!$G$5:$G$130&lt;&gt;"moeda")*(Inputs!$G$5:$G$130&lt;&gt;"acoes")))*INDEX(Inputs!$K$5:$AJ$130,0,MATCH(G$2,Inputs!$K$4:$AJ$4,0)))+SUMPRODUCT((Inputs!$E$5:$E$130=$B10)*Inputs!$F$5:$F$130*(((Inputs!$G$5:$G$130="moeda")+(Inputs!$G$5:$G$130="acoes"))*Inputs!$B$1+((Inputs!$G$5:$G$130&lt;&gt;"moeda")*(Inputs!$G$5:$G$130&lt;&gt;"acoes")))*INDEX(Inputs!$K$5:$AJ$130,0,MATCH(G$2,Inputs!$K$4:$AJ$4,0)))))</f>
        <v>-250</v>
      </c>
      <c r="H10" s="3">
        <f>SUM(D10:G10)</f>
        <v>-1601</v>
      </c>
      <c r="I10" s="6">
        <f>IF(ISNA(MATCH(I$2,Inputs!$K$4:$AJ$4,0)),NA(),IF(SUMPRODUCT((Inputs!$A$5:$A$130=$B10)*ISNUMBER(INDEX(Inputs!$K$5:$AJ$130,0,MATCH(I$2,Inputs!$K$4:$AJ$4,0))))+SUMPRODUCT((Inputs!$C$5:$C$130=$B10)*ISNUMBER(INDEX(Inputs!$K$5:$AJ$130,0,MATCH(I$2,Inputs!$K$4:$AJ$4,0))))+SUMPRODUCT((Inputs!$E$5:$E$130=$B10)*ISNUMBER(INDEX(Inputs!$K$5:$AJ$130,0,MATCH(I$2,Inputs!$K$4:$AJ$4,0))))=0,NA(),SUMPRODUCT((Inputs!$A$5:$A$130=$B10)*Inputs!$B$5:$B$130*(((Inputs!$G$5:$G$130="moeda")+(Inputs!$G$5:$G$130="acoes"))*Inputs!$B$1+((Inputs!$G$5:$G$130&lt;&gt;"moeda")*(Inputs!$G$5:$G$130&lt;&gt;"acoes")))*INDEX(Inputs!$K$5:$AJ$130,0,MATCH(I$2,Inputs!$K$4:$AJ$4,0)))+SUMPRODUCT((Inputs!$C$5:$C$130=$B10)*Inputs!$D$5:$D$130*(((Inputs!$G$5:$G$130="moeda")+(Inputs!$G$5:$G$130="acoes"))*Inputs!$B$1+((Inputs!$G$5:$G$130&lt;&gt;"moeda")*(Inputs!$G$5:$G$130&lt;&gt;"acoes")))*INDEX(Inputs!$K$5:$AJ$130,0,MATCH(I$2,Inputs!$K$4:$AJ$4,0)))+SUMPRODUCT((Inputs!$E$5:$E$130=$B10)*Inputs!$F$5:$F$130*(((Inputs!$G$5:$G$130="moeda")+(Inputs!$G$5:$G$130="acoes"))*Inputs!$B$1+((Inputs!$G$5:$G$130&lt;&gt;"moeda")*(Inputs!$G$5:$G$130&lt;&gt;"acoes")))*INDEX(Inputs!$K$5:$AJ$130,0,MATCH(I$2,Inputs!$K$4:$AJ$4,0)))))</f>
        <v>-461</v>
      </c>
      <c r="J10" s="6">
        <f>IF(ISNA(MATCH(J$2,Inputs!$K$4:$AJ$4,0)),NA(),IF(SUMPRODUCT((Inputs!$A$5:$A$130=$B10)*ISNUMBER(INDEX(Inputs!$K$5:$AJ$130,0,MATCH(J$2,Inputs!$K$4:$AJ$4,0))))+SUMPRODUCT((Inputs!$C$5:$C$130=$B10)*ISNUMBER(INDEX(Inputs!$K$5:$AJ$130,0,MATCH(J$2,Inputs!$K$4:$AJ$4,0))))+SUMPRODUCT((Inputs!$E$5:$E$130=$B10)*ISNUMBER(INDEX(Inputs!$K$5:$AJ$130,0,MATCH(J$2,Inputs!$K$4:$AJ$4,0))))=0,NA(),SUMPRODUCT((Inputs!$A$5:$A$130=$B10)*Inputs!$B$5:$B$130*(((Inputs!$G$5:$G$130="moeda")+(Inputs!$G$5:$G$130="acoes"))*Inputs!$B$1+((Inputs!$G$5:$G$130&lt;&gt;"moeda")*(Inputs!$G$5:$G$130&lt;&gt;"acoes")))*INDEX(Inputs!$K$5:$AJ$130,0,MATCH(J$2,Inputs!$K$4:$AJ$4,0)))+SUMPRODUCT((Inputs!$C$5:$C$130=$B10)*Inputs!$D$5:$D$130*(((Inputs!$G$5:$G$130="moeda")+(Inputs!$G$5:$G$130="acoes"))*Inputs!$B$1+((Inputs!$G$5:$G$130&lt;&gt;"moeda")*(Inputs!$G$5:$G$130&lt;&gt;"acoes")))*INDEX(Inputs!$K$5:$AJ$130,0,MATCH(J$2,Inputs!$K$4:$AJ$4,0)))+SUMPRODUCT((Inputs!$E$5:$E$130=$B10)*Inputs!$F$5:$F$130*(((Inputs!$G$5:$G$130="moeda")+(Inputs!$G$5:$G$130="acoes"))*Inputs!$B$1+((Inputs!$G$5:$G$130&lt;&gt;"moeda")*(Inputs!$G$5:$G$130&lt;&gt;"acoes")))*INDEX(Inputs!$K$5:$AJ$130,0,MATCH(J$2,Inputs!$K$4:$AJ$4,0)))))</f>
        <v>-654</v>
      </c>
      <c r="K10" s="6">
        <f>IF(ISNA(MATCH(K$2,Inputs!$K$4:$AJ$4,0)),NA(),IF(SUMPRODUCT((Inputs!$A$5:$A$130=$B10)*ISNUMBER(INDEX(Inputs!$K$5:$AJ$130,0,MATCH(K$2,Inputs!$K$4:$AJ$4,0))))+SUMPRODUCT((Inputs!$C$5:$C$130=$B10)*ISNUMBER(INDEX(Inputs!$K$5:$AJ$130,0,MATCH(K$2,Inputs!$K$4:$AJ$4,0))))+SUMPRODUCT((Inputs!$E$5:$E$130=$B10)*ISNUMBER(INDEX(Inputs!$K$5:$AJ$130,0,MATCH(K$2,Inputs!$K$4:$AJ$4,0))))=0,NA(),SUMPRODUCT((Inputs!$A$5:$A$130=$B10)*Inputs!$B$5:$B$130*(((Inputs!$G$5:$G$130="moeda")+(Inputs!$G$5:$G$130="acoes"))*Inputs!$B$1+((Inputs!$G$5:$G$130&lt;&gt;"moeda")*(Inputs!$G$5:$G$130&lt;&gt;"acoes")))*INDEX(Inputs!$K$5:$AJ$130,0,MATCH(K$2,Inputs!$K$4:$AJ$4,0)))+SUMPRODUCT((Inputs!$C$5:$C$130=$B10)*Inputs!$D$5:$D$130*(((Inputs!$G$5:$G$130="moeda")+(Inputs!$G$5:$G$130="acoes"))*Inputs!$B$1+((Inputs!$G$5:$G$130&lt;&gt;"moeda")*(Inputs!$G$5:$G$130&lt;&gt;"acoes")))*INDEX(Inputs!$K$5:$AJ$130,0,MATCH(K$2,Inputs!$K$4:$AJ$4,0)))+SUMPRODUCT((Inputs!$E$5:$E$130=$B10)*Inputs!$F$5:$F$130*(((Inputs!$G$5:$G$130="moeda")+(Inputs!$G$5:$G$130="acoes"))*Inputs!$B$1+((Inputs!$G$5:$G$130&lt;&gt;"moeda")*(Inputs!$G$5:$G$130&lt;&gt;"acoes")))*INDEX(Inputs!$K$5:$AJ$130,0,MATCH(K$2,Inputs!$K$4:$AJ$4,0)))))</f>
        <v>-643</v>
      </c>
      <c r="L10" s="6">
        <f>IF(ISNA(MATCH(L$2,Inputs!$K$4:$AJ$4,0)),NA(),IF(SUMPRODUCT((Inputs!$A$5:$A$130=$B10)*ISNUMBER(INDEX(Inputs!$K$5:$AJ$130,0,MATCH(L$2,Inputs!$K$4:$AJ$4,0))))+SUMPRODUCT((Inputs!$C$5:$C$130=$B10)*ISNUMBER(INDEX(Inputs!$K$5:$AJ$130,0,MATCH(L$2,Inputs!$K$4:$AJ$4,0))))+SUMPRODUCT((Inputs!$E$5:$E$130=$B10)*ISNUMBER(INDEX(Inputs!$K$5:$AJ$130,0,MATCH(L$2,Inputs!$K$4:$AJ$4,0))))=0,NA(),SUMPRODUCT((Inputs!$A$5:$A$130=$B10)*Inputs!$B$5:$B$130*(((Inputs!$G$5:$G$130="moeda")+(Inputs!$G$5:$G$130="acoes"))*Inputs!$B$1+((Inputs!$G$5:$G$130&lt;&gt;"moeda")*(Inputs!$G$5:$G$130&lt;&gt;"acoes")))*INDEX(Inputs!$K$5:$AJ$130,0,MATCH(L$2,Inputs!$K$4:$AJ$4,0)))+SUMPRODUCT((Inputs!$C$5:$C$130=$B10)*Inputs!$D$5:$D$130*(((Inputs!$G$5:$G$130="moeda")+(Inputs!$G$5:$G$130="acoes"))*Inputs!$B$1+((Inputs!$G$5:$G$130&lt;&gt;"moeda")*(Inputs!$G$5:$G$130&lt;&gt;"acoes")))*INDEX(Inputs!$K$5:$AJ$130,0,MATCH(L$2,Inputs!$K$4:$AJ$4,0)))+SUMPRODUCT((Inputs!$E$5:$E$130=$B10)*Inputs!$F$5:$F$130*(((Inputs!$G$5:$G$130="moeda")+(Inputs!$G$5:$G$130="acoes"))*Inputs!$B$1+((Inputs!$G$5:$G$130&lt;&gt;"moeda")*(Inputs!$G$5:$G$130&lt;&gt;"acoes")))*INDEX(Inputs!$K$5:$AJ$130,0,MATCH(L$2,Inputs!$K$4:$AJ$4,0)))))</f>
        <v>-537</v>
      </c>
      <c r="M10" s="3">
        <f>SUM(I10:L10)</f>
        <v>-2295</v>
      </c>
      <c r="N10" s="6">
        <f>IF(ISNA(MATCH(N$2,Inputs!$K$4:$AJ$4,0)),NA(),IF(SUMPRODUCT((Inputs!$A$5:$A$130=$B10)*ISNUMBER(INDEX(Inputs!$K$5:$AJ$130,0,MATCH(N$2,Inputs!$K$4:$AJ$4,0))))+SUMPRODUCT((Inputs!$C$5:$C$130=$B10)*ISNUMBER(INDEX(Inputs!$K$5:$AJ$130,0,MATCH(N$2,Inputs!$K$4:$AJ$4,0))))+SUMPRODUCT((Inputs!$E$5:$E$130=$B10)*ISNUMBER(INDEX(Inputs!$K$5:$AJ$130,0,MATCH(N$2,Inputs!$K$4:$AJ$4,0))))=0,NA(),SUMPRODUCT((Inputs!$A$5:$A$130=$B10)*Inputs!$B$5:$B$130*(((Inputs!$G$5:$G$130="moeda")+(Inputs!$G$5:$G$130="acoes"))*Inputs!$B$1+((Inputs!$G$5:$G$130&lt;&gt;"moeda")*(Inputs!$G$5:$G$130&lt;&gt;"acoes")))*INDEX(Inputs!$K$5:$AJ$130,0,MATCH(N$2,Inputs!$K$4:$AJ$4,0)))+SUMPRODUCT((Inputs!$C$5:$C$130=$B10)*Inputs!$D$5:$D$130*(((Inputs!$G$5:$G$130="moeda")+(Inputs!$G$5:$G$130="acoes"))*Inputs!$B$1+((Inputs!$G$5:$G$130&lt;&gt;"moeda")*(Inputs!$G$5:$G$130&lt;&gt;"acoes")))*INDEX(Inputs!$K$5:$AJ$130,0,MATCH(N$2,Inputs!$K$4:$AJ$4,0)))+SUMPRODUCT((Inputs!$E$5:$E$130=$B10)*Inputs!$F$5:$F$130*(((Inputs!$G$5:$G$130="moeda")+(Inputs!$G$5:$G$130="acoes"))*Inputs!$B$1+((Inputs!$G$5:$G$130&lt;&gt;"moeda")*(Inputs!$G$5:$G$130&lt;&gt;"acoes")))*INDEX(Inputs!$K$5:$AJ$130,0,MATCH(N$2,Inputs!$K$4:$AJ$4,0)))))</f>
        <v>-991</v>
      </c>
      <c r="O10" s="6">
        <f>IF(ISNA(MATCH(O$2,Inputs!$K$4:$AJ$4,0)),NA(),IF(SUMPRODUCT((Inputs!$A$5:$A$130=$B10)*ISNUMBER(INDEX(Inputs!$K$5:$AJ$130,0,MATCH(O$2,Inputs!$K$4:$AJ$4,0))))+SUMPRODUCT((Inputs!$C$5:$C$130=$B10)*ISNUMBER(INDEX(Inputs!$K$5:$AJ$130,0,MATCH(O$2,Inputs!$K$4:$AJ$4,0))))+SUMPRODUCT((Inputs!$E$5:$E$130=$B10)*ISNUMBER(INDEX(Inputs!$K$5:$AJ$130,0,MATCH(O$2,Inputs!$K$4:$AJ$4,0))))=0,NA(),SUMPRODUCT((Inputs!$A$5:$A$130=$B10)*Inputs!$B$5:$B$130*(((Inputs!$G$5:$G$130="moeda")+(Inputs!$G$5:$G$130="acoes"))*Inputs!$B$1+((Inputs!$G$5:$G$130&lt;&gt;"moeda")*(Inputs!$G$5:$G$130&lt;&gt;"acoes")))*INDEX(Inputs!$K$5:$AJ$130,0,MATCH(O$2,Inputs!$K$4:$AJ$4,0)))+SUMPRODUCT((Inputs!$C$5:$C$130=$B10)*Inputs!$D$5:$D$130*(((Inputs!$G$5:$G$130="moeda")+(Inputs!$G$5:$G$130="acoes"))*Inputs!$B$1+((Inputs!$G$5:$G$130&lt;&gt;"moeda")*(Inputs!$G$5:$G$130&lt;&gt;"acoes")))*INDEX(Inputs!$K$5:$AJ$130,0,MATCH(O$2,Inputs!$K$4:$AJ$4,0)))+SUMPRODUCT((Inputs!$E$5:$E$130=$B10)*Inputs!$F$5:$F$130*(((Inputs!$G$5:$G$130="moeda")+(Inputs!$G$5:$G$130="acoes"))*Inputs!$B$1+((Inputs!$G$5:$G$130&lt;&gt;"moeda")*(Inputs!$G$5:$G$130&lt;&gt;"acoes")))*INDEX(Inputs!$K$5:$AJ$130,0,MATCH(O$2,Inputs!$K$4:$AJ$4,0)))))</f>
        <v>-636</v>
      </c>
      <c r="P10" s="6">
        <f>IF(ISNA(MATCH(P$2,Inputs!$K$4:$AJ$4,0)),NA(),IF(SUMPRODUCT((Inputs!$A$5:$A$130=$B10)*ISNUMBER(INDEX(Inputs!$K$5:$AJ$130,0,MATCH(P$2,Inputs!$K$4:$AJ$4,0))))+SUMPRODUCT((Inputs!$C$5:$C$130=$B10)*ISNUMBER(INDEX(Inputs!$K$5:$AJ$130,0,MATCH(P$2,Inputs!$K$4:$AJ$4,0))))+SUMPRODUCT((Inputs!$E$5:$E$130=$B10)*ISNUMBER(INDEX(Inputs!$K$5:$AJ$130,0,MATCH(P$2,Inputs!$K$4:$AJ$4,0))))=0,NA(),SUMPRODUCT((Inputs!$A$5:$A$130=$B10)*Inputs!$B$5:$B$130*(((Inputs!$G$5:$G$130="moeda")+(Inputs!$G$5:$G$130="acoes"))*Inputs!$B$1+((Inputs!$G$5:$G$130&lt;&gt;"moeda")*(Inputs!$G$5:$G$130&lt;&gt;"acoes")))*INDEX(Inputs!$K$5:$AJ$130,0,MATCH(P$2,Inputs!$K$4:$AJ$4,0)))+SUMPRODUCT((Inputs!$C$5:$C$130=$B10)*Inputs!$D$5:$D$130*(((Inputs!$G$5:$G$130="moeda")+(Inputs!$G$5:$G$130="acoes"))*Inputs!$B$1+((Inputs!$G$5:$G$130&lt;&gt;"moeda")*(Inputs!$G$5:$G$130&lt;&gt;"acoes")))*INDEX(Inputs!$K$5:$AJ$130,0,MATCH(P$2,Inputs!$K$4:$AJ$4,0)))+SUMPRODUCT((Inputs!$E$5:$E$130=$B10)*Inputs!$F$5:$F$130*(((Inputs!$G$5:$G$130="moeda")+(Inputs!$G$5:$G$130="acoes"))*Inputs!$B$1+((Inputs!$G$5:$G$130&lt;&gt;"moeda")*(Inputs!$G$5:$G$130&lt;&gt;"acoes")))*INDEX(Inputs!$K$5:$AJ$130,0,MATCH(P$2,Inputs!$K$4:$AJ$4,0)))))</f>
        <v>-707</v>
      </c>
      <c r="Q10" s="6">
        <f>IF(ISNA(MATCH(Q$2,Inputs!$K$4:$AJ$4,0)),NA(),IF(SUMPRODUCT((Inputs!$A$5:$A$130=$B10)*ISNUMBER(INDEX(Inputs!$K$5:$AJ$130,0,MATCH(Q$2,Inputs!$K$4:$AJ$4,0))))+SUMPRODUCT((Inputs!$C$5:$C$130=$B10)*ISNUMBER(INDEX(Inputs!$K$5:$AJ$130,0,MATCH(Q$2,Inputs!$K$4:$AJ$4,0))))+SUMPRODUCT((Inputs!$E$5:$E$130=$B10)*ISNUMBER(INDEX(Inputs!$K$5:$AJ$130,0,MATCH(Q$2,Inputs!$K$4:$AJ$4,0))))=0,NA(),SUMPRODUCT((Inputs!$A$5:$A$130=$B10)*Inputs!$B$5:$B$130*(((Inputs!$G$5:$G$130="moeda")+(Inputs!$G$5:$G$130="acoes"))*Inputs!$B$1+((Inputs!$G$5:$G$130&lt;&gt;"moeda")*(Inputs!$G$5:$G$130&lt;&gt;"acoes")))*INDEX(Inputs!$K$5:$AJ$130,0,MATCH(Q$2,Inputs!$K$4:$AJ$4,0)))+SUMPRODUCT((Inputs!$C$5:$C$130=$B10)*Inputs!$D$5:$D$130*(((Inputs!$G$5:$G$130="moeda")+(Inputs!$G$5:$G$130="acoes"))*Inputs!$B$1+((Inputs!$G$5:$G$130&lt;&gt;"moeda")*(Inputs!$G$5:$G$130&lt;&gt;"acoes")))*INDEX(Inputs!$K$5:$AJ$130,0,MATCH(Q$2,Inputs!$K$4:$AJ$4,0)))+SUMPRODUCT((Inputs!$E$5:$E$130=$B10)*Inputs!$F$5:$F$130*(((Inputs!$G$5:$G$130="moeda")+(Inputs!$G$5:$G$130="acoes"))*Inputs!$B$1+((Inputs!$G$5:$G$130&lt;&gt;"moeda")*(Inputs!$G$5:$G$130&lt;&gt;"acoes")))*INDEX(Inputs!$K$5:$AJ$130,0,MATCH(Q$2,Inputs!$K$4:$AJ$4,0)))))</f>
        <v>-469</v>
      </c>
      <c r="R10" s="3">
        <f>SUM(N10:Q10)</f>
        <v>-2803</v>
      </c>
      <c r="S10" s="6">
        <f>IF(ISNA(MATCH(S$2,Inputs!$K$4:$AJ$4,0)),NA(),IF(SUMPRODUCT((Inputs!$A$5:$A$130=$B10)*ISNUMBER(INDEX(Inputs!$K$5:$AJ$130,0,MATCH(S$2,Inputs!$K$4:$AJ$4,0))))+SUMPRODUCT((Inputs!$C$5:$C$130=$B10)*ISNUMBER(INDEX(Inputs!$K$5:$AJ$130,0,MATCH(S$2,Inputs!$K$4:$AJ$4,0))))+SUMPRODUCT((Inputs!$E$5:$E$130=$B10)*ISNUMBER(INDEX(Inputs!$K$5:$AJ$130,0,MATCH(S$2,Inputs!$K$4:$AJ$4,0))))=0,NA(),SUMPRODUCT((Inputs!$A$5:$A$130=$B10)*Inputs!$B$5:$B$130*(((Inputs!$G$5:$G$130="moeda")+(Inputs!$G$5:$G$130="acoes"))*Inputs!$B$1+((Inputs!$G$5:$G$130&lt;&gt;"moeda")*(Inputs!$G$5:$G$130&lt;&gt;"acoes")))*INDEX(Inputs!$K$5:$AJ$130,0,MATCH(S$2,Inputs!$K$4:$AJ$4,0)))+SUMPRODUCT((Inputs!$C$5:$C$130=$B10)*Inputs!$D$5:$D$130*(((Inputs!$G$5:$G$130="moeda")+(Inputs!$G$5:$G$130="acoes"))*Inputs!$B$1+((Inputs!$G$5:$G$130&lt;&gt;"moeda")*(Inputs!$G$5:$G$130&lt;&gt;"acoes")))*INDEX(Inputs!$K$5:$AJ$130,0,MATCH(S$2,Inputs!$K$4:$AJ$4,0)))+SUMPRODUCT((Inputs!$E$5:$E$130=$B10)*Inputs!$F$5:$F$130*(((Inputs!$G$5:$G$130="moeda")+(Inputs!$G$5:$G$130="acoes"))*Inputs!$B$1+((Inputs!$G$5:$G$130&lt;&gt;"moeda")*(Inputs!$G$5:$G$130&lt;&gt;"acoes")))*INDEX(Inputs!$K$5:$AJ$130,0,MATCH(S$2,Inputs!$K$4:$AJ$4,0)))))</f>
        <v>-751</v>
      </c>
      <c r="T10" s="6">
        <f>IF(ISNA(MATCH(T$2,Inputs!$K$4:$AJ$4,0)),NA(),IF(SUMPRODUCT((Inputs!$A$5:$A$130=$B10)*ISNUMBER(INDEX(Inputs!$K$5:$AJ$130,0,MATCH(T$2,Inputs!$K$4:$AJ$4,0))))+SUMPRODUCT((Inputs!$C$5:$C$130=$B10)*ISNUMBER(INDEX(Inputs!$K$5:$AJ$130,0,MATCH(T$2,Inputs!$K$4:$AJ$4,0))))+SUMPRODUCT((Inputs!$E$5:$E$130=$B10)*ISNUMBER(INDEX(Inputs!$K$5:$AJ$130,0,MATCH(T$2,Inputs!$K$4:$AJ$4,0))))=0,NA(),SUMPRODUCT((Inputs!$A$5:$A$130=$B10)*Inputs!$B$5:$B$130*(((Inputs!$G$5:$G$130="moeda")+(Inputs!$G$5:$G$130="acoes"))*Inputs!$B$1+((Inputs!$G$5:$G$130&lt;&gt;"moeda")*(Inputs!$G$5:$G$130&lt;&gt;"acoes")))*INDEX(Inputs!$K$5:$AJ$130,0,MATCH(T$2,Inputs!$K$4:$AJ$4,0)))+SUMPRODUCT((Inputs!$C$5:$C$130=$B10)*Inputs!$D$5:$D$130*(((Inputs!$G$5:$G$130="moeda")+(Inputs!$G$5:$G$130="acoes"))*Inputs!$B$1+((Inputs!$G$5:$G$130&lt;&gt;"moeda")*(Inputs!$G$5:$G$130&lt;&gt;"acoes")))*INDEX(Inputs!$K$5:$AJ$130,0,MATCH(T$2,Inputs!$K$4:$AJ$4,0)))+SUMPRODUCT((Inputs!$E$5:$E$130=$B10)*Inputs!$F$5:$F$130*(((Inputs!$G$5:$G$130="moeda")+(Inputs!$G$5:$G$130="acoes"))*Inputs!$B$1+((Inputs!$G$5:$G$130&lt;&gt;"moeda")*(Inputs!$G$5:$G$130&lt;&gt;"acoes")))*INDEX(Inputs!$K$5:$AJ$130,0,MATCH(T$2,Inputs!$K$4:$AJ$4,0)))))</f>
        <v>-625</v>
      </c>
      <c r="U10" s="6">
        <f>IF(ISNA(MATCH(U$2,Inputs!$K$4:$AJ$4,0)),NA(),IF(SUMPRODUCT((Inputs!$A$5:$A$130=$B10)*ISNUMBER(INDEX(Inputs!$K$5:$AJ$130,0,MATCH(U$2,Inputs!$K$4:$AJ$4,0))))+SUMPRODUCT((Inputs!$C$5:$C$130=$B10)*ISNUMBER(INDEX(Inputs!$K$5:$AJ$130,0,MATCH(U$2,Inputs!$K$4:$AJ$4,0))))+SUMPRODUCT((Inputs!$E$5:$E$130=$B10)*ISNUMBER(INDEX(Inputs!$K$5:$AJ$130,0,MATCH(U$2,Inputs!$K$4:$AJ$4,0))))=0,NA(),SUMPRODUCT((Inputs!$A$5:$A$130=$B10)*Inputs!$B$5:$B$130*(((Inputs!$G$5:$G$130="moeda")+(Inputs!$G$5:$G$130="acoes"))*Inputs!$B$1+((Inputs!$G$5:$G$130&lt;&gt;"moeda")*(Inputs!$G$5:$G$130&lt;&gt;"acoes")))*INDEX(Inputs!$K$5:$AJ$130,0,MATCH(U$2,Inputs!$K$4:$AJ$4,0)))+SUMPRODUCT((Inputs!$C$5:$C$130=$B10)*Inputs!$D$5:$D$130*(((Inputs!$G$5:$G$130="moeda")+(Inputs!$G$5:$G$130="acoes"))*Inputs!$B$1+((Inputs!$G$5:$G$130&lt;&gt;"moeda")*(Inputs!$G$5:$G$130&lt;&gt;"acoes")))*INDEX(Inputs!$K$5:$AJ$130,0,MATCH(U$2,Inputs!$K$4:$AJ$4,0)))+SUMPRODUCT((Inputs!$E$5:$E$130=$B10)*Inputs!$F$5:$F$130*(((Inputs!$G$5:$G$130="moeda")+(Inputs!$G$5:$G$130="acoes"))*Inputs!$B$1+((Inputs!$G$5:$G$130&lt;&gt;"moeda")*(Inputs!$G$5:$G$130&lt;&gt;"acoes")))*INDEX(Inputs!$K$5:$AJ$130,0,MATCH(U$2,Inputs!$K$4:$AJ$4,0)))))</f>
        <v>-249</v>
      </c>
      <c r="V10" s="6">
        <f>IF(ISNA(MATCH(V$2,Inputs!$K$4:$AJ$4,0)),NA(),IF(SUMPRODUCT((Inputs!$A$5:$A$130=$B10)*ISNUMBER(INDEX(Inputs!$K$5:$AJ$130,0,MATCH(V$2,Inputs!$K$4:$AJ$4,0))))+SUMPRODUCT((Inputs!$C$5:$C$130=$B10)*ISNUMBER(INDEX(Inputs!$K$5:$AJ$130,0,MATCH(V$2,Inputs!$K$4:$AJ$4,0))))+SUMPRODUCT((Inputs!$E$5:$E$130=$B10)*ISNUMBER(INDEX(Inputs!$K$5:$AJ$130,0,MATCH(V$2,Inputs!$K$4:$AJ$4,0))))=0,NA(),SUMPRODUCT((Inputs!$A$5:$A$130=$B10)*Inputs!$B$5:$B$130*(((Inputs!$G$5:$G$130="moeda")+(Inputs!$G$5:$G$130="acoes"))*Inputs!$B$1+((Inputs!$G$5:$G$130&lt;&gt;"moeda")*(Inputs!$G$5:$G$130&lt;&gt;"acoes")))*INDEX(Inputs!$K$5:$AJ$130,0,MATCH(V$2,Inputs!$K$4:$AJ$4,0)))+SUMPRODUCT((Inputs!$C$5:$C$130=$B10)*Inputs!$D$5:$D$130*(((Inputs!$G$5:$G$130="moeda")+(Inputs!$G$5:$G$130="acoes"))*Inputs!$B$1+((Inputs!$G$5:$G$130&lt;&gt;"moeda")*(Inputs!$G$5:$G$130&lt;&gt;"acoes")))*INDEX(Inputs!$K$5:$AJ$130,0,MATCH(V$2,Inputs!$K$4:$AJ$4,0)))+SUMPRODUCT((Inputs!$E$5:$E$130=$B10)*Inputs!$F$5:$F$130*(((Inputs!$G$5:$G$130="moeda")+(Inputs!$G$5:$G$130="acoes"))*Inputs!$B$1+((Inputs!$G$5:$G$130&lt;&gt;"moeda")*(Inputs!$G$5:$G$130&lt;&gt;"acoes")))*INDEX(Inputs!$K$5:$AJ$130,0,MATCH(V$2,Inputs!$K$4:$AJ$4,0)))))</f>
        <v>-27</v>
      </c>
      <c r="W10" s="3">
        <f>SUM(S10:V10)</f>
        <v>-1652</v>
      </c>
      <c r="X10" s="6">
        <f>IF(ISNA(MATCH(X$2,Inputs!$K$4:$AJ$4,0)),NA(),IF(SUMPRODUCT((Inputs!$A$5:$A$130=$B10)*ISNUMBER(INDEX(Inputs!$K$5:$AJ$130,0,MATCH(X$2,Inputs!$K$4:$AJ$4,0))))+SUMPRODUCT((Inputs!$C$5:$C$130=$B10)*ISNUMBER(INDEX(Inputs!$K$5:$AJ$130,0,MATCH(X$2,Inputs!$K$4:$AJ$4,0))))+SUMPRODUCT((Inputs!$E$5:$E$130=$B10)*ISNUMBER(INDEX(Inputs!$K$5:$AJ$130,0,MATCH(X$2,Inputs!$K$4:$AJ$4,0))))=0,NA(),SUMPRODUCT((Inputs!$A$5:$A$130=$B10)*Inputs!$B$5:$B$130*(((Inputs!$G$5:$G$130="moeda")+(Inputs!$G$5:$G$130="acoes"))*Inputs!$B$1+((Inputs!$G$5:$G$130&lt;&gt;"moeda")*(Inputs!$G$5:$G$130&lt;&gt;"acoes")))*INDEX(Inputs!$K$5:$AJ$130,0,MATCH(X$2,Inputs!$K$4:$AJ$4,0)))+SUMPRODUCT((Inputs!$C$5:$C$130=$B10)*Inputs!$D$5:$D$130*(((Inputs!$G$5:$G$130="moeda")+(Inputs!$G$5:$G$130="acoes"))*Inputs!$B$1+((Inputs!$G$5:$G$130&lt;&gt;"moeda")*(Inputs!$G$5:$G$130&lt;&gt;"acoes")))*INDEX(Inputs!$K$5:$AJ$130,0,MATCH(X$2,Inputs!$K$4:$AJ$4,0)))+SUMPRODUCT((Inputs!$E$5:$E$130=$B10)*Inputs!$F$5:$F$130*(((Inputs!$G$5:$G$130="moeda")+(Inputs!$G$5:$G$130="acoes"))*Inputs!$B$1+((Inputs!$G$5:$G$130&lt;&gt;"moeda")*(Inputs!$G$5:$G$130&lt;&gt;"acoes")))*INDEX(Inputs!$K$5:$AJ$130,0,MATCH(X$2,Inputs!$K$4:$AJ$4,0)))))</f>
        <v>-539</v>
      </c>
      <c r="Y10" s="6">
        <f>IF(ISNA(MATCH(Y$2,Inputs!$K$4:$AJ$4,0)),NA(),IF(SUMPRODUCT((Inputs!$A$5:$A$130=$B10)*ISNUMBER(INDEX(Inputs!$K$5:$AJ$130,0,MATCH(Y$2,Inputs!$K$4:$AJ$4,0))))+SUMPRODUCT((Inputs!$C$5:$C$130=$B10)*ISNUMBER(INDEX(Inputs!$K$5:$AJ$130,0,MATCH(Y$2,Inputs!$K$4:$AJ$4,0))))+SUMPRODUCT((Inputs!$E$5:$E$130=$B10)*ISNUMBER(INDEX(Inputs!$K$5:$AJ$130,0,MATCH(Y$2,Inputs!$K$4:$AJ$4,0))))=0,NA(),SUMPRODUCT((Inputs!$A$5:$A$130=$B10)*Inputs!$B$5:$B$130*(((Inputs!$G$5:$G$130="moeda")+(Inputs!$G$5:$G$130="acoes"))*Inputs!$B$1+((Inputs!$G$5:$G$130&lt;&gt;"moeda")*(Inputs!$G$5:$G$130&lt;&gt;"acoes")))*INDEX(Inputs!$K$5:$AJ$130,0,MATCH(Y$2,Inputs!$K$4:$AJ$4,0)))+SUMPRODUCT((Inputs!$C$5:$C$130=$B10)*Inputs!$D$5:$D$130*(((Inputs!$G$5:$G$130="moeda")+(Inputs!$G$5:$G$130="acoes"))*Inputs!$B$1+((Inputs!$G$5:$G$130&lt;&gt;"moeda")*(Inputs!$G$5:$G$130&lt;&gt;"acoes")))*INDEX(Inputs!$K$5:$AJ$130,0,MATCH(Y$2,Inputs!$K$4:$AJ$4,0)))+SUMPRODUCT((Inputs!$E$5:$E$130=$B10)*Inputs!$F$5:$F$130*(((Inputs!$G$5:$G$130="moeda")+(Inputs!$G$5:$G$130="acoes"))*Inputs!$B$1+((Inputs!$G$5:$G$130&lt;&gt;"moeda")*(Inputs!$G$5:$G$130&lt;&gt;"acoes")))*INDEX(Inputs!$K$5:$AJ$130,0,MATCH(Y$2,Inputs!$K$4:$AJ$4,0)))))</f>
        <v>-339</v>
      </c>
      <c r="Z10" s="6">
        <f>IF(ISNA(MATCH(Z$2,Inputs!$K$4:$AJ$4,0)),NA(),IF(SUMPRODUCT((Inputs!$A$5:$A$130=$B10)*ISNUMBER(INDEX(Inputs!$K$5:$AJ$130,0,MATCH(Z$2,Inputs!$K$4:$AJ$4,0))))+SUMPRODUCT((Inputs!$C$5:$C$130=$B10)*ISNUMBER(INDEX(Inputs!$K$5:$AJ$130,0,MATCH(Z$2,Inputs!$K$4:$AJ$4,0))))+SUMPRODUCT((Inputs!$E$5:$E$130=$B10)*ISNUMBER(INDEX(Inputs!$K$5:$AJ$130,0,MATCH(Z$2,Inputs!$K$4:$AJ$4,0))))=0,NA(),SUMPRODUCT((Inputs!$A$5:$A$130=$B10)*Inputs!$B$5:$B$130*(((Inputs!$G$5:$G$130="moeda")+(Inputs!$G$5:$G$130="acoes"))*Inputs!$B$1+((Inputs!$G$5:$G$130&lt;&gt;"moeda")*(Inputs!$G$5:$G$130&lt;&gt;"acoes")))*INDEX(Inputs!$K$5:$AJ$130,0,MATCH(Z$2,Inputs!$K$4:$AJ$4,0)))+SUMPRODUCT((Inputs!$C$5:$C$130=$B10)*Inputs!$D$5:$D$130*(((Inputs!$G$5:$G$130="moeda")+(Inputs!$G$5:$G$130="acoes"))*Inputs!$B$1+((Inputs!$G$5:$G$130&lt;&gt;"moeda")*(Inputs!$G$5:$G$130&lt;&gt;"acoes")))*INDEX(Inputs!$K$5:$AJ$130,0,MATCH(Z$2,Inputs!$K$4:$AJ$4,0)))+SUMPRODUCT((Inputs!$E$5:$E$130=$B10)*Inputs!$F$5:$F$130*(((Inputs!$G$5:$G$130="moeda")+(Inputs!$G$5:$G$130="acoes"))*Inputs!$B$1+((Inputs!$G$5:$G$130&lt;&gt;"moeda")*(Inputs!$G$5:$G$130&lt;&gt;"acoes")))*INDEX(Inputs!$K$5:$AJ$130,0,MATCH(Z$2,Inputs!$K$4:$AJ$4,0)))))</f>
        <v>-354</v>
      </c>
      <c r="AA10" s="6">
        <f>IF(ISNA(MATCH(AA$2,Inputs!$K$4:$AJ$4,0)),NA(),IF(SUMPRODUCT((Inputs!$A$5:$A$130=$B10)*ISNUMBER(INDEX(Inputs!$K$5:$AJ$130,0,MATCH(AA$2,Inputs!$K$4:$AJ$4,0))))+SUMPRODUCT((Inputs!$C$5:$C$130=$B10)*ISNUMBER(INDEX(Inputs!$K$5:$AJ$130,0,MATCH(AA$2,Inputs!$K$4:$AJ$4,0))))+SUMPRODUCT((Inputs!$E$5:$E$130=$B10)*ISNUMBER(INDEX(Inputs!$K$5:$AJ$130,0,MATCH(AA$2,Inputs!$K$4:$AJ$4,0))))=0,NA(),SUMPRODUCT((Inputs!$A$5:$A$130=$B10)*Inputs!$B$5:$B$130*(((Inputs!$G$5:$G$130="moeda")+(Inputs!$G$5:$G$130="acoes"))*Inputs!$B$1+((Inputs!$G$5:$G$130&lt;&gt;"moeda")*(Inputs!$G$5:$G$130&lt;&gt;"acoes")))*INDEX(Inputs!$K$5:$AJ$130,0,MATCH(AA$2,Inputs!$K$4:$AJ$4,0)))+SUMPRODUCT((Inputs!$C$5:$C$130=$B10)*Inputs!$D$5:$D$130*(((Inputs!$G$5:$G$130="moeda")+(Inputs!$G$5:$G$130="acoes"))*Inputs!$B$1+((Inputs!$G$5:$G$130&lt;&gt;"moeda")*(Inputs!$G$5:$G$130&lt;&gt;"acoes")))*INDEX(Inputs!$K$5:$AJ$130,0,MATCH(AA$2,Inputs!$K$4:$AJ$4,0)))+SUMPRODUCT((Inputs!$E$5:$E$130=$B10)*Inputs!$F$5:$F$130*(((Inputs!$G$5:$G$130="moeda")+(Inputs!$G$5:$G$130="acoes"))*Inputs!$B$1+((Inputs!$G$5:$G$130&lt;&gt;"moeda")*(Inputs!$G$5:$G$130&lt;&gt;"acoes")))*INDEX(Inputs!$K$5:$AJ$130,0,MATCH(AA$2,Inputs!$K$4:$AJ$4,0)))))</f>
        <v>-196</v>
      </c>
      <c r="AB10" s="3">
        <f>SUM(X10:AA10)</f>
        <v>-1428</v>
      </c>
      <c r="AC10" s="6">
        <f>IF(ISNA(MATCH(AC$2,Inputs!$K$4:$AJ$4,0)),NA(),IF(SUMPRODUCT((Inputs!$A$5:$A$130=$B10)*ISNUMBER(INDEX(Inputs!$K$5:$AJ$130,0,MATCH(AC$2,Inputs!$K$4:$AJ$4,0))))+SUMPRODUCT((Inputs!$C$5:$C$130=$B10)*ISNUMBER(INDEX(Inputs!$K$5:$AJ$130,0,MATCH(AC$2,Inputs!$K$4:$AJ$4,0))))+SUMPRODUCT((Inputs!$E$5:$E$130=$B10)*ISNUMBER(INDEX(Inputs!$K$5:$AJ$130,0,MATCH(AC$2,Inputs!$K$4:$AJ$4,0))))=0,NA(),SUMPRODUCT((Inputs!$A$5:$A$130=$B10)*Inputs!$B$5:$B$130*(((Inputs!$G$5:$G$130="moeda")+(Inputs!$G$5:$G$130="acoes"))*Inputs!$B$1+((Inputs!$G$5:$G$130&lt;&gt;"moeda")*(Inputs!$G$5:$G$130&lt;&gt;"acoes")))*INDEX(Inputs!$K$5:$AJ$130,0,MATCH(AC$2,Inputs!$K$4:$AJ$4,0)))+SUMPRODUCT((Inputs!$C$5:$C$130=$B10)*Inputs!$D$5:$D$130*(((Inputs!$G$5:$G$130="moeda")+(Inputs!$G$5:$G$130="acoes"))*Inputs!$B$1+((Inputs!$G$5:$G$130&lt;&gt;"moeda")*(Inputs!$G$5:$G$130&lt;&gt;"acoes")))*INDEX(Inputs!$K$5:$AJ$130,0,MATCH(AC$2,Inputs!$K$4:$AJ$4,0)))+SUMPRODUCT((Inputs!$E$5:$E$130=$B10)*Inputs!$F$5:$F$130*(((Inputs!$G$5:$G$130="moeda")+(Inputs!$G$5:$G$130="acoes"))*Inputs!$B$1+((Inputs!$G$5:$G$130&lt;&gt;"moeda")*(Inputs!$G$5:$G$130&lt;&gt;"acoes")))*INDEX(Inputs!$K$5:$AJ$130,0,MATCH(AC$2,Inputs!$K$4:$AJ$4,0)))))</f>
        <v>-518</v>
      </c>
      <c r="AD10" s="6">
        <f>IF(ISNA(MATCH(AD$2,Inputs!$K$4:$AJ$4,0)),NA(),IF(SUMPRODUCT((Inputs!$A$5:$A$130=$B10)*ISNUMBER(INDEX(Inputs!$K$5:$AJ$130,0,MATCH(AD$2,Inputs!$K$4:$AJ$4,0))))+SUMPRODUCT((Inputs!$C$5:$C$130=$B10)*ISNUMBER(INDEX(Inputs!$K$5:$AJ$130,0,MATCH(AD$2,Inputs!$K$4:$AJ$4,0))))+SUMPRODUCT((Inputs!$E$5:$E$130=$B10)*ISNUMBER(INDEX(Inputs!$K$5:$AJ$130,0,MATCH(AD$2,Inputs!$K$4:$AJ$4,0))))=0,NA(),SUMPRODUCT((Inputs!$A$5:$A$130=$B10)*Inputs!$B$5:$B$130*(((Inputs!$G$5:$G$130="moeda")+(Inputs!$G$5:$G$130="acoes"))*Inputs!$B$1+((Inputs!$G$5:$G$130&lt;&gt;"moeda")*(Inputs!$G$5:$G$130&lt;&gt;"acoes")))*INDEX(Inputs!$K$5:$AJ$130,0,MATCH(AD$2,Inputs!$K$4:$AJ$4,0)))+SUMPRODUCT((Inputs!$C$5:$C$130=$B10)*Inputs!$D$5:$D$130*(((Inputs!$G$5:$G$130="moeda")+(Inputs!$G$5:$G$130="acoes"))*Inputs!$B$1+((Inputs!$G$5:$G$130&lt;&gt;"moeda")*(Inputs!$G$5:$G$130&lt;&gt;"acoes")))*INDEX(Inputs!$K$5:$AJ$130,0,MATCH(AD$2,Inputs!$K$4:$AJ$4,0)))+SUMPRODUCT((Inputs!$E$5:$E$130=$B10)*Inputs!$F$5:$F$130*(((Inputs!$G$5:$G$130="moeda")+(Inputs!$G$5:$G$130="acoes"))*Inputs!$B$1+((Inputs!$G$5:$G$130&lt;&gt;"moeda")*(Inputs!$G$5:$G$130&lt;&gt;"acoes")))*INDEX(Inputs!$K$5:$AJ$130,0,MATCH(AD$2,Inputs!$K$4:$AJ$4,0)))))</f>
        <v>-529</v>
      </c>
      <c r="AE10" s="6" t="e">
        <f>IF(ISNA(MATCH(AE$2,Inputs!$K$4:$AJ$4,0)),NA(),IF(SUMPRODUCT((Inputs!$A$5:$A$130=$B10)*ISNUMBER(INDEX(Inputs!$K$5:$AJ$130,0,MATCH(AE$2,Inputs!$K$4:$AJ$4,0))))+SUMPRODUCT((Inputs!$C$5:$C$130=$B10)*ISNUMBER(INDEX(Inputs!$K$5:$AJ$130,0,MATCH(AE$2,Inputs!$K$4:$AJ$4,0))))+SUMPRODUCT((Inputs!$E$5:$E$130=$B10)*ISNUMBER(INDEX(Inputs!$K$5:$AJ$130,0,MATCH(AE$2,Inputs!$K$4:$AJ$4,0))))=0,NA(),SUMPRODUCT((Inputs!$A$5:$A$130=$B10)*Inputs!$B$5:$B$130*(((Inputs!$G$5:$G$130="moeda")+(Inputs!$G$5:$G$130="acoes"))*Inputs!$B$1+((Inputs!$G$5:$G$130&lt;&gt;"moeda")*(Inputs!$G$5:$G$130&lt;&gt;"acoes")))*INDEX(Inputs!$K$5:$AJ$130,0,MATCH(AE$2,Inputs!$K$4:$AJ$4,0)))+SUMPRODUCT((Inputs!$C$5:$C$130=$B10)*Inputs!$D$5:$D$130*(((Inputs!$G$5:$G$130="moeda")+(Inputs!$G$5:$G$130="acoes"))*Inputs!$B$1+((Inputs!$G$5:$G$130&lt;&gt;"moeda")*(Inputs!$G$5:$G$130&lt;&gt;"acoes")))*INDEX(Inputs!$K$5:$AJ$130,0,MATCH(AE$2,Inputs!$K$4:$AJ$4,0)))+SUMPRODUCT((Inputs!$E$5:$E$130=$B10)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0" s="6" t="e">
        <f>IF(ISNA(MATCH(AF$2,Inputs!$K$4:$AJ$4,0)),NA(),IF(SUMPRODUCT((Inputs!$A$5:$A$130=$B10)*ISNUMBER(INDEX(Inputs!$K$5:$AJ$130,0,MATCH(AF$2,Inputs!$K$4:$AJ$4,0))))+SUMPRODUCT((Inputs!$C$5:$C$130=$B10)*ISNUMBER(INDEX(Inputs!$K$5:$AJ$130,0,MATCH(AF$2,Inputs!$K$4:$AJ$4,0))))+SUMPRODUCT((Inputs!$E$5:$E$130=$B10)*ISNUMBER(INDEX(Inputs!$K$5:$AJ$130,0,MATCH(AF$2,Inputs!$K$4:$AJ$4,0))))=0,NA(),SUMPRODUCT((Inputs!$A$5:$A$130=$B10)*Inputs!$B$5:$B$130*(((Inputs!$G$5:$G$130="moeda")+(Inputs!$G$5:$G$130="acoes"))*Inputs!$B$1+((Inputs!$G$5:$G$130&lt;&gt;"moeda")*(Inputs!$G$5:$G$130&lt;&gt;"acoes")))*INDEX(Inputs!$K$5:$AJ$130,0,MATCH(AF$2,Inputs!$K$4:$AJ$4,0)))+SUMPRODUCT((Inputs!$C$5:$C$130=$B10)*Inputs!$D$5:$D$130*(((Inputs!$G$5:$G$130="moeda")+(Inputs!$G$5:$G$130="acoes"))*Inputs!$B$1+((Inputs!$G$5:$G$130&lt;&gt;"moeda")*(Inputs!$G$5:$G$130&lt;&gt;"acoes")))*INDEX(Inputs!$K$5:$AJ$130,0,MATCH(AF$2,Inputs!$K$4:$AJ$4,0)))+SUMPRODUCT((Inputs!$E$5:$E$130=$B10)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$130=$B10)*ISNUMBER(INDEX(Inputs!$K$5:$AJ$130,0,MATCH(AH$2,Inputs!$K$4:$AJ$4,0))))+SUMPRODUCT((Inputs!$C$5:$C$130=$B10)*ISNUMBER(INDEX(Inputs!$K$5:$AJ$130,0,MATCH(AH$2,Inputs!$K$4:$AJ$4,0))))+SUMPRODUCT((Inputs!$E$5:$E$130=$B10)*ISNUMBER(INDEX(Inputs!$K$5:$AJ$130,0,MATCH(AH$2,Inputs!$K$4:$AJ$4,0))))=0,NA(),SUMPRODUCT((Inputs!$A$5:$A$130=$B10)*Inputs!$B$5:$B$130*(((Inputs!$G$5:$G$130="moeda")+(Inputs!$G$5:$G$130="acoes"))*Inputs!$B$1+((Inputs!$G$5:$G$130&lt;&gt;"moeda")*(Inputs!$G$5:$G$130&lt;&gt;"acoes")))*INDEX(Inputs!$K$5:$AJ$130,0,MATCH(AH$2,Inputs!$K$4:$AJ$4,0)))+SUMPRODUCT((Inputs!$C$5:$C$130=$B10)*Inputs!$D$5:$D$130*(((Inputs!$G$5:$G$130="moeda")+(Inputs!$G$5:$G$130="acoes"))*Inputs!$B$1+((Inputs!$G$5:$G$130&lt;&gt;"moeda")*(Inputs!$G$5:$G$130&lt;&gt;"acoes")))*INDEX(Inputs!$K$5:$AJ$130,0,MATCH(AH$2,Inputs!$K$4:$AJ$4,0)))+SUMPRODUCT((Inputs!$E$5:$E$130=$B10)*Inputs!$F$5:$F$130*(((Inputs!$G$5:$G$130="moeda")+(Inputs!$G$5:$G$130="acoes"))*Inputs!$B$1+((Inputs!$G$5:$G$130&lt;&gt;"moeda")*(Inputs!$G$5:$G$130&lt;&gt;"acoes")))*INDEX(Inputs!$K$5:$AJ$130,0,MATCH(AH$2,Inputs!$K$4:$AJ$4,0)))))</f>
        <v>-245</v>
      </c>
      <c r="AI10" s="6">
        <f>IF(ISNA(MATCH(AI$2,Inputs!$K$4:$AJ$4,0)),NA(),IF(SUMPRODUCT((Inputs!$A$5:$A$130=$B10)*ISNUMBER(INDEX(Inputs!$K$5:$AJ$130,0,MATCH(AI$2,Inputs!$K$4:$AJ$4,0))))+SUMPRODUCT((Inputs!$C$5:$C$130=$B10)*ISNUMBER(INDEX(Inputs!$K$5:$AJ$130,0,MATCH(AI$2,Inputs!$K$4:$AJ$4,0))))+SUMPRODUCT((Inputs!$E$5:$E$130=$B10)*ISNUMBER(INDEX(Inputs!$K$5:$AJ$130,0,MATCH(AI$2,Inputs!$K$4:$AJ$4,0))))=0,NA(),SUMPRODUCT((Inputs!$A$5:$A$130=$B10)*Inputs!$B$5:$B$130*(((Inputs!$G$5:$G$130="moeda")+(Inputs!$G$5:$G$130="acoes"))*Inputs!$B$1+((Inputs!$G$5:$G$130&lt;&gt;"moeda")*(Inputs!$G$5:$G$130&lt;&gt;"acoes")))*INDEX(Inputs!$K$5:$AJ$130,0,MATCH(AI$2,Inputs!$K$4:$AJ$4,0)))+SUMPRODUCT((Inputs!$C$5:$C$130=$B10)*Inputs!$D$5:$D$130*(((Inputs!$G$5:$G$130="moeda")+(Inputs!$G$5:$G$130="acoes"))*Inputs!$B$1+((Inputs!$G$5:$G$130&lt;&gt;"moeda")*(Inputs!$G$5:$G$130&lt;&gt;"acoes")))*INDEX(Inputs!$K$5:$AJ$130,0,MATCH(AI$2,Inputs!$K$4:$AJ$4,0)))+SUMPRODUCT((Inputs!$E$5:$E$130=$B10)*Inputs!$F$5:$F$130*(((Inputs!$G$5:$G$130="moeda")+(Inputs!$G$5:$G$130="acoes"))*Inputs!$B$1+((Inputs!$G$5:$G$130&lt;&gt;"moeda")*(Inputs!$G$5:$G$130&lt;&gt;"acoes")))*INDEX(Inputs!$K$5:$AJ$130,0,MATCH(AI$2,Inputs!$K$4:$AJ$4,0)))))</f>
        <v>-457</v>
      </c>
      <c r="AJ10" s="6">
        <f>IF(ISNA(MATCH(AJ$2,Inputs!$K$4:$AJ$4,0)),NA(),IF(SUMPRODUCT((Inputs!$A$5:$A$130=$B10)*ISNUMBER(INDEX(Inputs!$K$5:$AJ$130,0,MATCH(AJ$2,Inputs!$K$4:$AJ$4,0))))+SUMPRODUCT((Inputs!$C$5:$C$130=$B10)*ISNUMBER(INDEX(Inputs!$K$5:$AJ$130,0,MATCH(AJ$2,Inputs!$K$4:$AJ$4,0))))+SUMPRODUCT((Inputs!$E$5:$E$130=$B10)*ISNUMBER(INDEX(Inputs!$K$5:$AJ$130,0,MATCH(AJ$2,Inputs!$K$4:$AJ$4,0))))=0,NA(),SUMPRODUCT((Inputs!$A$5:$A$130=$B10)*Inputs!$B$5:$B$130*(((Inputs!$G$5:$G$130="moeda")+(Inputs!$G$5:$G$130="acoes"))*Inputs!$B$1+((Inputs!$G$5:$G$130&lt;&gt;"moeda")*(Inputs!$G$5:$G$130&lt;&gt;"acoes")))*INDEX(Inputs!$K$5:$AJ$130,0,MATCH(AJ$2,Inputs!$K$4:$AJ$4,0)))+SUMPRODUCT((Inputs!$C$5:$C$130=$B10)*Inputs!$D$5:$D$130*(((Inputs!$G$5:$G$130="moeda")+(Inputs!$G$5:$G$130="acoes"))*Inputs!$B$1+((Inputs!$G$5:$G$130&lt;&gt;"moeda")*(Inputs!$G$5:$G$130&lt;&gt;"acoes")))*INDEX(Inputs!$K$5:$AJ$130,0,MATCH(AJ$2,Inputs!$K$4:$AJ$4,0)))+SUMPRODUCT((Inputs!$E$5:$E$130=$B10)*Inputs!$F$5:$F$130*(((Inputs!$G$5:$G$130="moeda")+(Inputs!$G$5:$G$130="acoes"))*Inputs!$B$1+((Inputs!$G$5:$G$130&lt;&gt;"moeda")*(Inputs!$G$5:$G$130&lt;&gt;"acoes")))*INDEX(Inputs!$K$5:$AJ$130,0,MATCH(AJ$2,Inputs!$K$4:$AJ$4,0)))))</f>
        <v>-330</v>
      </c>
      <c r="AK10" s="6">
        <f>IF(ISNA(MATCH(AK$2,Inputs!$K$4:$AJ$4,0)),NA(),IF(SUMPRODUCT((Inputs!$A$5:$A$130=$B10)*ISNUMBER(INDEX(Inputs!$K$5:$AJ$130,0,MATCH(AK$2,Inputs!$K$4:$AJ$4,0))))+SUMPRODUCT((Inputs!$C$5:$C$130=$B10)*ISNUMBER(INDEX(Inputs!$K$5:$AJ$130,0,MATCH(AK$2,Inputs!$K$4:$AJ$4,0))))+SUMPRODUCT((Inputs!$E$5:$E$130=$B10)*ISNUMBER(INDEX(Inputs!$K$5:$AJ$130,0,MATCH(AK$2,Inputs!$K$4:$AJ$4,0))))=0,NA(),SUMPRODUCT((Inputs!$A$5:$A$130=$B10)*Inputs!$B$5:$B$130*(((Inputs!$G$5:$G$130="moeda")+(Inputs!$G$5:$G$130="acoes"))*Inputs!$B$1+((Inputs!$G$5:$G$130&lt;&gt;"moeda")*(Inputs!$G$5:$G$130&lt;&gt;"acoes")))*INDEX(Inputs!$K$5:$AJ$130,0,MATCH(AK$2,Inputs!$K$4:$AJ$4,0)))+SUMPRODUCT((Inputs!$C$5:$C$130=$B10)*Inputs!$D$5:$D$130*(((Inputs!$G$5:$G$130="moeda")+(Inputs!$G$5:$G$130="acoes"))*Inputs!$B$1+((Inputs!$G$5:$G$130&lt;&gt;"moeda")*(Inputs!$G$5:$G$130&lt;&gt;"acoes")))*INDEX(Inputs!$K$5:$AJ$130,0,MATCH(AK$2,Inputs!$K$4:$AJ$4,0)))+SUMPRODUCT((Inputs!$E$5:$E$130=$B10)*Inputs!$F$5:$F$130*(((Inputs!$G$5:$G$130="moeda")+(Inputs!$G$5:$G$130="acoes"))*Inputs!$B$1+((Inputs!$G$5:$G$130&lt;&gt;"moeda")*(Inputs!$G$5:$G$130&lt;&gt;"acoes")))*INDEX(Inputs!$K$5:$AJ$130,0,MATCH(AK$2,Inputs!$K$4:$AJ$4,0)))))</f>
        <v>-308</v>
      </c>
      <c r="AL10" s="3">
        <f>SUM(AH10:AK10)</f>
        <v>-1340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$130=$B11)*ISNUMBER(INDEX(Inputs!$K$5:$AJ$130,0,MATCH(D$2,Inputs!$K$4:$AJ$4,0))))+SUMPRODUCT((Inputs!$C$5:$C$130=$B11)*ISNUMBER(INDEX(Inputs!$K$5:$AJ$130,0,MATCH(D$2,Inputs!$K$4:$AJ$4,0))))+SUMPRODUCT((Inputs!$E$5:$E$130=$B11)*ISNUMBER(INDEX(Inputs!$K$5:$AJ$130,0,MATCH(D$2,Inputs!$K$4:$AJ$4,0))))=0,NA(),SUMPRODUCT((Inputs!$A$5:$A$130=$B11)*Inputs!$B$5:$B$130*(((Inputs!$G$5:$G$130="moeda")+(Inputs!$G$5:$G$130="acoes"))*Inputs!$B$1+((Inputs!$G$5:$G$130&lt;&gt;"moeda")*(Inputs!$G$5:$G$130&lt;&gt;"acoes")))*INDEX(Inputs!$K$5:$AJ$130,0,MATCH(D$2,Inputs!$K$4:$AJ$4,0)))+SUMPRODUCT((Inputs!$C$5:$C$130=$B11)*Inputs!$D$5:$D$130*(((Inputs!$G$5:$G$130="moeda")+(Inputs!$G$5:$G$130="acoes"))*Inputs!$B$1+((Inputs!$G$5:$G$130&lt;&gt;"moeda")*(Inputs!$G$5:$G$130&lt;&gt;"acoes")))*INDEX(Inputs!$K$5:$AJ$130,0,MATCH(D$2,Inputs!$K$4:$AJ$4,0)))+SUMPRODUCT((Inputs!$E$5:$E$130=$B11)*Inputs!$F$5:$F$130*(((Inputs!$G$5:$G$130="moeda")+(Inputs!$G$5:$G$130="acoes"))*Inputs!$B$1+((Inputs!$G$5:$G$130&lt;&gt;"moeda")*(Inputs!$G$5:$G$130&lt;&gt;"acoes")))*INDEX(Inputs!$K$5:$AJ$130,0,MATCH(D$2,Inputs!$K$4:$AJ$4,0)))))</f>
        <v>9</v>
      </c>
      <c r="E11" s="6">
        <f>IF(ISNA(MATCH(E$2,Inputs!$K$4:$AJ$4,0)),NA(),IF(SUMPRODUCT((Inputs!$A$5:$A$130=$B11)*ISNUMBER(INDEX(Inputs!$K$5:$AJ$130,0,MATCH(E$2,Inputs!$K$4:$AJ$4,0))))+SUMPRODUCT((Inputs!$C$5:$C$130=$B11)*ISNUMBER(INDEX(Inputs!$K$5:$AJ$130,0,MATCH(E$2,Inputs!$K$4:$AJ$4,0))))+SUMPRODUCT((Inputs!$E$5:$E$130=$B11)*ISNUMBER(INDEX(Inputs!$K$5:$AJ$130,0,MATCH(E$2,Inputs!$K$4:$AJ$4,0))))=0,NA(),SUMPRODUCT((Inputs!$A$5:$A$130=$B11)*Inputs!$B$5:$B$130*(((Inputs!$G$5:$G$130="moeda")+(Inputs!$G$5:$G$130="acoes"))*Inputs!$B$1+((Inputs!$G$5:$G$130&lt;&gt;"moeda")*(Inputs!$G$5:$G$130&lt;&gt;"acoes")))*INDEX(Inputs!$K$5:$AJ$130,0,MATCH(E$2,Inputs!$K$4:$AJ$4,0)))+SUMPRODUCT((Inputs!$C$5:$C$130=$B11)*Inputs!$D$5:$D$130*(((Inputs!$G$5:$G$130="moeda")+(Inputs!$G$5:$G$130="acoes"))*Inputs!$B$1+((Inputs!$G$5:$G$130&lt;&gt;"moeda")*(Inputs!$G$5:$G$130&lt;&gt;"acoes")))*INDEX(Inputs!$K$5:$AJ$130,0,MATCH(E$2,Inputs!$K$4:$AJ$4,0)))+SUMPRODUCT((Inputs!$E$5:$E$130=$B11)*Inputs!$F$5:$F$130*(((Inputs!$G$5:$G$130="moeda")+(Inputs!$G$5:$G$130="acoes"))*Inputs!$B$1+((Inputs!$G$5:$G$130&lt;&gt;"moeda")*(Inputs!$G$5:$G$130&lt;&gt;"acoes")))*INDEX(Inputs!$K$5:$AJ$130,0,MATCH(E$2,Inputs!$K$4:$AJ$4,0)))))</f>
        <v>9</v>
      </c>
      <c r="F11" s="6">
        <f>IF(ISNA(MATCH(F$2,Inputs!$K$4:$AJ$4,0)),NA(),IF(SUMPRODUCT((Inputs!$A$5:$A$130=$B11)*ISNUMBER(INDEX(Inputs!$K$5:$AJ$130,0,MATCH(F$2,Inputs!$K$4:$AJ$4,0))))+SUMPRODUCT((Inputs!$C$5:$C$130=$B11)*ISNUMBER(INDEX(Inputs!$K$5:$AJ$130,0,MATCH(F$2,Inputs!$K$4:$AJ$4,0))))+SUMPRODUCT((Inputs!$E$5:$E$130=$B11)*ISNUMBER(INDEX(Inputs!$K$5:$AJ$130,0,MATCH(F$2,Inputs!$K$4:$AJ$4,0))))=0,NA(),SUMPRODUCT((Inputs!$A$5:$A$130=$B11)*Inputs!$B$5:$B$130*(((Inputs!$G$5:$G$130="moeda")+(Inputs!$G$5:$G$130="acoes"))*Inputs!$B$1+((Inputs!$G$5:$G$130&lt;&gt;"moeda")*(Inputs!$G$5:$G$130&lt;&gt;"acoes")))*INDEX(Inputs!$K$5:$AJ$130,0,MATCH(F$2,Inputs!$K$4:$AJ$4,0)))+SUMPRODUCT((Inputs!$C$5:$C$130=$B11)*Inputs!$D$5:$D$130*(((Inputs!$G$5:$G$130="moeda")+(Inputs!$G$5:$G$130="acoes"))*Inputs!$B$1+((Inputs!$G$5:$G$130&lt;&gt;"moeda")*(Inputs!$G$5:$G$130&lt;&gt;"acoes")))*INDEX(Inputs!$K$5:$AJ$130,0,MATCH(F$2,Inputs!$K$4:$AJ$4,0)))+SUMPRODUCT((Inputs!$E$5:$E$130=$B11)*Inputs!$F$5:$F$130*(((Inputs!$G$5:$G$130="moeda")+(Inputs!$G$5:$G$130="acoes"))*Inputs!$B$1+((Inputs!$G$5:$G$130&lt;&gt;"moeda")*(Inputs!$G$5:$G$130&lt;&gt;"acoes")))*INDEX(Inputs!$K$5:$AJ$130,0,MATCH(F$2,Inputs!$K$4:$AJ$4,0)))))</f>
        <v>0</v>
      </c>
      <c r="G11" s="6">
        <f>IF(ISNA(MATCH(G$2,Inputs!$K$4:$AJ$4,0)),NA(),IF(SUMPRODUCT((Inputs!$A$5:$A$130=$B11)*ISNUMBER(INDEX(Inputs!$K$5:$AJ$130,0,MATCH(G$2,Inputs!$K$4:$AJ$4,0))))+SUMPRODUCT((Inputs!$C$5:$C$130=$B11)*ISNUMBER(INDEX(Inputs!$K$5:$AJ$130,0,MATCH(G$2,Inputs!$K$4:$AJ$4,0))))+SUMPRODUCT((Inputs!$E$5:$E$130=$B11)*ISNUMBER(INDEX(Inputs!$K$5:$AJ$130,0,MATCH(G$2,Inputs!$K$4:$AJ$4,0))))=0,NA(),SUMPRODUCT((Inputs!$A$5:$A$130=$B11)*Inputs!$B$5:$B$130*(((Inputs!$G$5:$G$130="moeda")+(Inputs!$G$5:$G$130="acoes"))*Inputs!$B$1+((Inputs!$G$5:$G$130&lt;&gt;"moeda")*(Inputs!$G$5:$G$130&lt;&gt;"acoes")))*INDEX(Inputs!$K$5:$AJ$130,0,MATCH(G$2,Inputs!$K$4:$AJ$4,0)))+SUMPRODUCT((Inputs!$C$5:$C$130=$B11)*Inputs!$D$5:$D$130*(((Inputs!$G$5:$G$130="moeda")+(Inputs!$G$5:$G$130="acoes"))*Inputs!$B$1+((Inputs!$G$5:$G$130&lt;&gt;"moeda")*(Inputs!$G$5:$G$130&lt;&gt;"acoes")))*INDEX(Inputs!$K$5:$AJ$130,0,MATCH(G$2,Inputs!$K$4:$AJ$4,0)))+SUMPRODUCT((Inputs!$E$5:$E$130=$B11)*Inputs!$F$5:$F$130*(((Inputs!$G$5:$G$130="moeda")+(Inputs!$G$5:$G$130="acoes"))*Inputs!$B$1+((Inputs!$G$5:$G$130&lt;&gt;"moeda")*(Inputs!$G$5:$G$130&lt;&gt;"acoes")))*INDEX(Inputs!$K$5:$AJ$130,0,MATCH(G$2,Inputs!$K$4:$AJ$4,0)))))</f>
        <v>3</v>
      </c>
      <c r="H11" s="3">
        <f>SUM(D11:G11)</f>
        <v>21</v>
      </c>
      <c r="I11" s="6">
        <f>IF(ISNA(MATCH(I$2,Inputs!$K$4:$AJ$4,0)),NA(),IF(SUMPRODUCT((Inputs!$A$5:$A$130=$B11)*ISNUMBER(INDEX(Inputs!$K$5:$AJ$130,0,MATCH(I$2,Inputs!$K$4:$AJ$4,0))))+SUMPRODUCT((Inputs!$C$5:$C$130=$B11)*ISNUMBER(INDEX(Inputs!$K$5:$AJ$130,0,MATCH(I$2,Inputs!$K$4:$AJ$4,0))))+SUMPRODUCT((Inputs!$E$5:$E$130=$B11)*ISNUMBER(INDEX(Inputs!$K$5:$AJ$130,0,MATCH(I$2,Inputs!$K$4:$AJ$4,0))))=0,NA(),SUMPRODUCT((Inputs!$A$5:$A$130=$B11)*Inputs!$B$5:$B$130*(((Inputs!$G$5:$G$130="moeda")+(Inputs!$G$5:$G$130="acoes"))*Inputs!$B$1+((Inputs!$G$5:$G$130&lt;&gt;"moeda")*(Inputs!$G$5:$G$130&lt;&gt;"acoes")))*INDEX(Inputs!$K$5:$AJ$130,0,MATCH(I$2,Inputs!$K$4:$AJ$4,0)))+SUMPRODUCT((Inputs!$C$5:$C$130=$B11)*Inputs!$D$5:$D$130*(((Inputs!$G$5:$G$130="moeda")+(Inputs!$G$5:$G$130="acoes"))*Inputs!$B$1+((Inputs!$G$5:$G$130&lt;&gt;"moeda")*(Inputs!$G$5:$G$130&lt;&gt;"acoes")))*INDEX(Inputs!$K$5:$AJ$130,0,MATCH(I$2,Inputs!$K$4:$AJ$4,0)))+SUMPRODUCT((Inputs!$E$5:$E$130=$B11)*Inputs!$F$5:$F$130*(((Inputs!$G$5:$G$130="moeda")+(Inputs!$G$5:$G$130="acoes"))*Inputs!$B$1+((Inputs!$G$5:$G$130&lt;&gt;"moeda")*(Inputs!$G$5:$G$130&lt;&gt;"acoes")))*INDEX(Inputs!$K$5:$AJ$130,0,MATCH(I$2,Inputs!$K$4:$AJ$4,0)))))</f>
        <v>6</v>
      </c>
      <c r="J11" s="6">
        <f>IF(ISNA(MATCH(J$2,Inputs!$K$4:$AJ$4,0)),NA(),IF(SUMPRODUCT((Inputs!$A$5:$A$130=$B11)*ISNUMBER(INDEX(Inputs!$K$5:$AJ$130,0,MATCH(J$2,Inputs!$K$4:$AJ$4,0))))+SUMPRODUCT((Inputs!$C$5:$C$130=$B11)*ISNUMBER(INDEX(Inputs!$K$5:$AJ$130,0,MATCH(J$2,Inputs!$K$4:$AJ$4,0))))+SUMPRODUCT((Inputs!$E$5:$E$130=$B11)*ISNUMBER(INDEX(Inputs!$K$5:$AJ$130,0,MATCH(J$2,Inputs!$K$4:$AJ$4,0))))=0,NA(),SUMPRODUCT((Inputs!$A$5:$A$130=$B11)*Inputs!$B$5:$B$130*(((Inputs!$G$5:$G$130="moeda")+(Inputs!$G$5:$G$130="acoes"))*Inputs!$B$1+((Inputs!$G$5:$G$130&lt;&gt;"moeda")*(Inputs!$G$5:$G$130&lt;&gt;"acoes")))*INDEX(Inputs!$K$5:$AJ$130,0,MATCH(J$2,Inputs!$K$4:$AJ$4,0)))+SUMPRODUCT((Inputs!$C$5:$C$130=$B11)*Inputs!$D$5:$D$130*(((Inputs!$G$5:$G$130="moeda")+(Inputs!$G$5:$G$130="acoes"))*Inputs!$B$1+((Inputs!$G$5:$G$130&lt;&gt;"moeda")*(Inputs!$G$5:$G$130&lt;&gt;"acoes")))*INDEX(Inputs!$K$5:$AJ$130,0,MATCH(J$2,Inputs!$K$4:$AJ$4,0)))+SUMPRODUCT((Inputs!$E$5:$E$130=$B11)*Inputs!$F$5:$F$130*(((Inputs!$G$5:$G$130="moeda")+(Inputs!$G$5:$G$130="acoes"))*Inputs!$B$1+((Inputs!$G$5:$G$130&lt;&gt;"moeda")*(Inputs!$G$5:$G$130&lt;&gt;"acoes")))*INDEX(Inputs!$K$5:$AJ$130,0,MATCH(J$2,Inputs!$K$4:$AJ$4,0)))))</f>
        <v>0</v>
      </c>
      <c r="K11" s="6">
        <f>IF(ISNA(MATCH(K$2,Inputs!$K$4:$AJ$4,0)),NA(),IF(SUMPRODUCT((Inputs!$A$5:$A$130=$B11)*ISNUMBER(INDEX(Inputs!$K$5:$AJ$130,0,MATCH(K$2,Inputs!$K$4:$AJ$4,0))))+SUMPRODUCT((Inputs!$C$5:$C$130=$B11)*ISNUMBER(INDEX(Inputs!$K$5:$AJ$130,0,MATCH(K$2,Inputs!$K$4:$AJ$4,0))))+SUMPRODUCT((Inputs!$E$5:$E$130=$B11)*ISNUMBER(INDEX(Inputs!$K$5:$AJ$130,0,MATCH(K$2,Inputs!$K$4:$AJ$4,0))))=0,NA(),SUMPRODUCT((Inputs!$A$5:$A$130=$B11)*Inputs!$B$5:$B$130*(((Inputs!$G$5:$G$130="moeda")+(Inputs!$G$5:$G$130="acoes"))*Inputs!$B$1+((Inputs!$G$5:$G$130&lt;&gt;"moeda")*(Inputs!$G$5:$G$130&lt;&gt;"acoes")))*INDEX(Inputs!$K$5:$AJ$130,0,MATCH(K$2,Inputs!$K$4:$AJ$4,0)))+SUMPRODUCT((Inputs!$C$5:$C$130=$B11)*Inputs!$D$5:$D$130*(((Inputs!$G$5:$G$130="moeda")+(Inputs!$G$5:$G$130="acoes"))*Inputs!$B$1+((Inputs!$G$5:$G$130&lt;&gt;"moeda")*(Inputs!$G$5:$G$130&lt;&gt;"acoes")))*INDEX(Inputs!$K$5:$AJ$130,0,MATCH(K$2,Inputs!$K$4:$AJ$4,0)))+SUMPRODUCT((Inputs!$E$5:$E$130=$B11)*Inputs!$F$5:$F$130*(((Inputs!$G$5:$G$130="moeda")+(Inputs!$G$5:$G$130="acoes"))*Inputs!$B$1+((Inputs!$G$5:$G$130&lt;&gt;"moeda")*(Inputs!$G$5:$G$130&lt;&gt;"acoes")))*INDEX(Inputs!$K$5:$AJ$130,0,MATCH(K$2,Inputs!$K$4:$AJ$4,0)))))</f>
        <v>2</v>
      </c>
      <c r="L11" s="6">
        <f>IF(ISNA(MATCH(L$2,Inputs!$K$4:$AJ$4,0)),NA(),IF(SUMPRODUCT((Inputs!$A$5:$A$130=$B11)*ISNUMBER(INDEX(Inputs!$K$5:$AJ$130,0,MATCH(L$2,Inputs!$K$4:$AJ$4,0))))+SUMPRODUCT((Inputs!$C$5:$C$130=$B11)*ISNUMBER(INDEX(Inputs!$K$5:$AJ$130,0,MATCH(L$2,Inputs!$K$4:$AJ$4,0))))+SUMPRODUCT((Inputs!$E$5:$E$130=$B11)*ISNUMBER(INDEX(Inputs!$K$5:$AJ$130,0,MATCH(L$2,Inputs!$K$4:$AJ$4,0))))=0,NA(),SUMPRODUCT((Inputs!$A$5:$A$130=$B11)*Inputs!$B$5:$B$130*(((Inputs!$G$5:$G$130="moeda")+(Inputs!$G$5:$G$130="acoes"))*Inputs!$B$1+((Inputs!$G$5:$G$130&lt;&gt;"moeda")*(Inputs!$G$5:$G$130&lt;&gt;"acoes")))*INDEX(Inputs!$K$5:$AJ$130,0,MATCH(L$2,Inputs!$K$4:$AJ$4,0)))+SUMPRODUCT((Inputs!$C$5:$C$130=$B11)*Inputs!$D$5:$D$130*(((Inputs!$G$5:$G$130="moeda")+(Inputs!$G$5:$G$130="acoes"))*Inputs!$B$1+((Inputs!$G$5:$G$130&lt;&gt;"moeda")*(Inputs!$G$5:$G$130&lt;&gt;"acoes")))*INDEX(Inputs!$K$5:$AJ$130,0,MATCH(L$2,Inputs!$K$4:$AJ$4,0)))+SUMPRODUCT((Inputs!$E$5:$E$130=$B11)*Inputs!$F$5:$F$130*(((Inputs!$G$5:$G$130="moeda")+(Inputs!$G$5:$G$130="acoes"))*Inputs!$B$1+((Inputs!$G$5:$G$130&lt;&gt;"moeda")*(Inputs!$G$5:$G$130&lt;&gt;"acoes")))*INDEX(Inputs!$K$5:$AJ$130,0,MATCH(L$2,Inputs!$K$4:$AJ$4,0)))))</f>
        <v>1</v>
      </c>
      <c r="M11" s="3">
        <f>SUM(I11:L11)</f>
        <v>9</v>
      </c>
      <c r="N11" s="6">
        <f>IF(ISNA(MATCH(N$2,Inputs!$K$4:$AJ$4,0)),NA(),IF(SUMPRODUCT((Inputs!$A$5:$A$130=$B11)*ISNUMBER(INDEX(Inputs!$K$5:$AJ$130,0,MATCH(N$2,Inputs!$K$4:$AJ$4,0))))+SUMPRODUCT((Inputs!$C$5:$C$130=$B11)*ISNUMBER(INDEX(Inputs!$K$5:$AJ$130,0,MATCH(N$2,Inputs!$K$4:$AJ$4,0))))+SUMPRODUCT((Inputs!$E$5:$E$130=$B11)*ISNUMBER(INDEX(Inputs!$K$5:$AJ$130,0,MATCH(N$2,Inputs!$K$4:$AJ$4,0))))=0,NA(),SUMPRODUCT((Inputs!$A$5:$A$130=$B11)*Inputs!$B$5:$B$130*(((Inputs!$G$5:$G$130="moeda")+(Inputs!$G$5:$G$130="acoes"))*Inputs!$B$1+((Inputs!$G$5:$G$130&lt;&gt;"moeda")*(Inputs!$G$5:$G$130&lt;&gt;"acoes")))*INDEX(Inputs!$K$5:$AJ$130,0,MATCH(N$2,Inputs!$K$4:$AJ$4,0)))+SUMPRODUCT((Inputs!$C$5:$C$130=$B11)*Inputs!$D$5:$D$130*(((Inputs!$G$5:$G$130="moeda")+(Inputs!$G$5:$G$130="acoes"))*Inputs!$B$1+((Inputs!$G$5:$G$130&lt;&gt;"moeda")*(Inputs!$G$5:$G$130&lt;&gt;"acoes")))*INDEX(Inputs!$K$5:$AJ$130,0,MATCH(N$2,Inputs!$K$4:$AJ$4,0)))+SUMPRODUCT((Inputs!$E$5:$E$130=$B11)*Inputs!$F$5:$F$130*(((Inputs!$G$5:$G$130="moeda")+(Inputs!$G$5:$G$130="acoes"))*Inputs!$B$1+((Inputs!$G$5:$G$130&lt;&gt;"moeda")*(Inputs!$G$5:$G$130&lt;&gt;"acoes")))*INDEX(Inputs!$K$5:$AJ$130,0,MATCH(N$2,Inputs!$K$4:$AJ$4,0)))))</f>
        <v>2</v>
      </c>
      <c r="O11" s="6">
        <f>IF(ISNA(MATCH(O$2,Inputs!$K$4:$AJ$4,0)),NA(),IF(SUMPRODUCT((Inputs!$A$5:$A$130=$B11)*ISNUMBER(INDEX(Inputs!$K$5:$AJ$130,0,MATCH(O$2,Inputs!$K$4:$AJ$4,0))))+SUMPRODUCT((Inputs!$C$5:$C$130=$B11)*ISNUMBER(INDEX(Inputs!$K$5:$AJ$130,0,MATCH(O$2,Inputs!$K$4:$AJ$4,0))))+SUMPRODUCT((Inputs!$E$5:$E$130=$B11)*ISNUMBER(INDEX(Inputs!$K$5:$AJ$130,0,MATCH(O$2,Inputs!$K$4:$AJ$4,0))))=0,NA(),SUMPRODUCT((Inputs!$A$5:$A$130=$B11)*Inputs!$B$5:$B$130*(((Inputs!$G$5:$G$130="moeda")+(Inputs!$G$5:$G$130="acoes"))*Inputs!$B$1+((Inputs!$G$5:$G$130&lt;&gt;"moeda")*(Inputs!$G$5:$G$130&lt;&gt;"acoes")))*INDEX(Inputs!$K$5:$AJ$130,0,MATCH(O$2,Inputs!$K$4:$AJ$4,0)))+SUMPRODUCT((Inputs!$C$5:$C$130=$B11)*Inputs!$D$5:$D$130*(((Inputs!$G$5:$G$130="moeda")+(Inputs!$G$5:$G$130="acoes"))*Inputs!$B$1+((Inputs!$G$5:$G$130&lt;&gt;"moeda")*(Inputs!$G$5:$G$130&lt;&gt;"acoes")))*INDEX(Inputs!$K$5:$AJ$130,0,MATCH(O$2,Inputs!$K$4:$AJ$4,0)))+SUMPRODUCT((Inputs!$E$5:$E$130=$B11)*Inputs!$F$5:$F$130*(((Inputs!$G$5:$G$130="moeda")+(Inputs!$G$5:$G$130="acoes"))*Inputs!$B$1+((Inputs!$G$5:$G$130&lt;&gt;"moeda")*(Inputs!$G$5:$G$130&lt;&gt;"acoes")))*INDEX(Inputs!$K$5:$AJ$130,0,MATCH(O$2,Inputs!$K$4:$AJ$4,0)))))</f>
        <v>2</v>
      </c>
      <c r="P11" s="6">
        <f>IF(ISNA(MATCH(P$2,Inputs!$K$4:$AJ$4,0)),NA(),IF(SUMPRODUCT((Inputs!$A$5:$A$130=$B11)*ISNUMBER(INDEX(Inputs!$K$5:$AJ$130,0,MATCH(P$2,Inputs!$K$4:$AJ$4,0))))+SUMPRODUCT((Inputs!$C$5:$C$130=$B11)*ISNUMBER(INDEX(Inputs!$K$5:$AJ$130,0,MATCH(P$2,Inputs!$K$4:$AJ$4,0))))+SUMPRODUCT((Inputs!$E$5:$E$130=$B11)*ISNUMBER(INDEX(Inputs!$K$5:$AJ$130,0,MATCH(P$2,Inputs!$K$4:$AJ$4,0))))=0,NA(),SUMPRODUCT((Inputs!$A$5:$A$130=$B11)*Inputs!$B$5:$B$130*(((Inputs!$G$5:$G$130="moeda")+(Inputs!$G$5:$G$130="acoes"))*Inputs!$B$1+((Inputs!$G$5:$G$130&lt;&gt;"moeda")*(Inputs!$G$5:$G$130&lt;&gt;"acoes")))*INDEX(Inputs!$K$5:$AJ$130,0,MATCH(P$2,Inputs!$K$4:$AJ$4,0)))+SUMPRODUCT((Inputs!$C$5:$C$130=$B11)*Inputs!$D$5:$D$130*(((Inputs!$G$5:$G$130="moeda")+(Inputs!$G$5:$G$130="acoes"))*Inputs!$B$1+((Inputs!$G$5:$G$130&lt;&gt;"moeda")*(Inputs!$G$5:$G$130&lt;&gt;"acoes")))*INDEX(Inputs!$K$5:$AJ$130,0,MATCH(P$2,Inputs!$K$4:$AJ$4,0)))+SUMPRODUCT((Inputs!$E$5:$E$130=$B11)*Inputs!$F$5:$F$130*(((Inputs!$G$5:$G$130="moeda")+(Inputs!$G$5:$G$130="acoes"))*Inputs!$B$1+((Inputs!$G$5:$G$130&lt;&gt;"moeda")*(Inputs!$G$5:$G$130&lt;&gt;"acoes")))*INDEX(Inputs!$K$5:$AJ$130,0,MATCH(P$2,Inputs!$K$4:$AJ$4,0)))))</f>
        <v>2</v>
      </c>
      <c r="Q11" s="6">
        <f>IF(ISNA(MATCH(Q$2,Inputs!$K$4:$AJ$4,0)),NA(),IF(SUMPRODUCT((Inputs!$A$5:$A$130=$B11)*ISNUMBER(INDEX(Inputs!$K$5:$AJ$130,0,MATCH(Q$2,Inputs!$K$4:$AJ$4,0))))+SUMPRODUCT((Inputs!$C$5:$C$130=$B11)*ISNUMBER(INDEX(Inputs!$K$5:$AJ$130,0,MATCH(Q$2,Inputs!$K$4:$AJ$4,0))))+SUMPRODUCT((Inputs!$E$5:$E$130=$B11)*ISNUMBER(INDEX(Inputs!$K$5:$AJ$130,0,MATCH(Q$2,Inputs!$K$4:$AJ$4,0))))=0,NA(),SUMPRODUCT((Inputs!$A$5:$A$130=$B11)*Inputs!$B$5:$B$130*(((Inputs!$G$5:$G$130="moeda")+(Inputs!$G$5:$G$130="acoes"))*Inputs!$B$1+((Inputs!$G$5:$G$130&lt;&gt;"moeda")*(Inputs!$G$5:$G$130&lt;&gt;"acoes")))*INDEX(Inputs!$K$5:$AJ$130,0,MATCH(Q$2,Inputs!$K$4:$AJ$4,0)))+SUMPRODUCT((Inputs!$C$5:$C$130=$B11)*Inputs!$D$5:$D$130*(((Inputs!$G$5:$G$130="moeda")+(Inputs!$G$5:$G$130="acoes"))*Inputs!$B$1+((Inputs!$G$5:$G$130&lt;&gt;"moeda")*(Inputs!$G$5:$G$130&lt;&gt;"acoes")))*INDEX(Inputs!$K$5:$AJ$130,0,MATCH(Q$2,Inputs!$K$4:$AJ$4,0)))+SUMPRODUCT((Inputs!$E$5:$E$130=$B11)*Inputs!$F$5:$F$130*(((Inputs!$G$5:$G$130="moeda")+(Inputs!$G$5:$G$130="acoes"))*Inputs!$B$1+((Inputs!$G$5:$G$130&lt;&gt;"moeda")*(Inputs!$G$5:$G$130&lt;&gt;"acoes")))*INDEX(Inputs!$K$5:$AJ$130,0,MATCH(Q$2,Inputs!$K$4:$AJ$4,0)))))</f>
        <v>2</v>
      </c>
      <c r="R11" s="3">
        <f>SUM(N11:Q11)</f>
        <v>8</v>
      </c>
      <c r="S11" s="6">
        <f>IF(ISNA(MATCH(S$2,Inputs!$K$4:$AJ$4,0)),NA(),IF(SUMPRODUCT((Inputs!$A$5:$A$130=$B11)*ISNUMBER(INDEX(Inputs!$K$5:$AJ$130,0,MATCH(S$2,Inputs!$K$4:$AJ$4,0))))+SUMPRODUCT((Inputs!$C$5:$C$130=$B11)*ISNUMBER(INDEX(Inputs!$K$5:$AJ$130,0,MATCH(S$2,Inputs!$K$4:$AJ$4,0))))+SUMPRODUCT((Inputs!$E$5:$E$130=$B11)*ISNUMBER(INDEX(Inputs!$K$5:$AJ$130,0,MATCH(S$2,Inputs!$K$4:$AJ$4,0))))=0,NA(),SUMPRODUCT((Inputs!$A$5:$A$130=$B11)*Inputs!$B$5:$B$130*(((Inputs!$G$5:$G$130="moeda")+(Inputs!$G$5:$G$130="acoes"))*Inputs!$B$1+((Inputs!$G$5:$G$130&lt;&gt;"moeda")*(Inputs!$G$5:$G$130&lt;&gt;"acoes")))*INDEX(Inputs!$K$5:$AJ$130,0,MATCH(S$2,Inputs!$K$4:$AJ$4,0)))+SUMPRODUCT((Inputs!$C$5:$C$130=$B11)*Inputs!$D$5:$D$130*(((Inputs!$G$5:$G$130="moeda")+(Inputs!$G$5:$G$130="acoes"))*Inputs!$B$1+((Inputs!$G$5:$G$130&lt;&gt;"moeda")*(Inputs!$G$5:$G$130&lt;&gt;"acoes")))*INDEX(Inputs!$K$5:$AJ$130,0,MATCH(S$2,Inputs!$K$4:$AJ$4,0)))+SUMPRODUCT((Inputs!$E$5:$E$130=$B11)*Inputs!$F$5:$F$130*(((Inputs!$G$5:$G$130="moeda")+(Inputs!$G$5:$G$130="acoes"))*Inputs!$B$1+((Inputs!$G$5:$G$130&lt;&gt;"moeda")*(Inputs!$G$5:$G$130&lt;&gt;"acoes")))*INDEX(Inputs!$K$5:$AJ$130,0,MATCH(S$2,Inputs!$K$4:$AJ$4,0)))))</f>
        <v>2</v>
      </c>
      <c r="T11" s="6">
        <f>IF(ISNA(MATCH(T$2,Inputs!$K$4:$AJ$4,0)),NA(),IF(SUMPRODUCT((Inputs!$A$5:$A$130=$B11)*ISNUMBER(INDEX(Inputs!$K$5:$AJ$130,0,MATCH(T$2,Inputs!$K$4:$AJ$4,0))))+SUMPRODUCT((Inputs!$C$5:$C$130=$B11)*ISNUMBER(INDEX(Inputs!$K$5:$AJ$130,0,MATCH(T$2,Inputs!$K$4:$AJ$4,0))))+SUMPRODUCT((Inputs!$E$5:$E$130=$B11)*ISNUMBER(INDEX(Inputs!$K$5:$AJ$130,0,MATCH(T$2,Inputs!$K$4:$AJ$4,0))))=0,NA(),SUMPRODUCT((Inputs!$A$5:$A$130=$B11)*Inputs!$B$5:$B$130*(((Inputs!$G$5:$G$130="moeda")+(Inputs!$G$5:$G$130="acoes"))*Inputs!$B$1+((Inputs!$G$5:$G$130&lt;&gt;"moeda")*(Inputs!$G$5:$G$130&lt;&gt;"acoes")))*INDEX(Inputs!$K$5:$AJ$130,0,MATCH(T$2,Inputs!$K$4:$AJ$4,0)))+SUMPRODUCT((Inputs!$C$5:$C$130=$B11)*Inputs!$D$5:$D$130*(((Inputs!$G$5:$G$130="moeda")+(Inputs!$G$5:$G$130="acoes"))*Inputs!$B$1+((Inputs!$G$5:$G$130&lt;&gt;"moeda")*(Inputs!$G$5:$G$130&lt;&gt;"acoes")))*INDEX(Inputs!$K$5:$AJ$130,0,MATCH(T$2,Inputs!$K$4:$AJ$4,0)))+SUMPRODUCT((Inputs!$E$5:$E$130=$B11)*Inputs!$F$5:$F$130*(((Inputs!$G$5:$G$130="moeda")+(Inputs!$G$5:$G$130="acoes"))*Inputs!$B$1+((Inputs!$G$5:$G$130&lt;&gt;"moeda")*(Inputs!$G$5:$G$130&lt;&gt;"acoes")))*INDEX(Inputs!$K$5:$AJ$130,0,MATCH(T$2,Inputs!$K$4:$AJ$4,0)))))</f>
        <v>1</v>
      </c>
      <c r="U11" s="6">
        <f>IF(ISNA(MATCH(U$2,Inputs!$K$4:$AJ$4,0)),NA(),IF(SUMPRODUCT((Inputs!$A$5:$A$130=$B11)*ISNUMBER(INDEX(Inputs!$K$5:$AJ$130,0,MATCH(U$2,Inputs!$K$4:$AJ$4,0))))+SUMPRODUCT((Inputs!$C$5:$C$130=$B11)*ISNUMBER(INDEX(Inputs!$K$5:$AJ$130,0,MATCH(U$2,Inputs!$K$4:$AJ$4,0))))+SUMPRODUCT((Inputs!$E$5:$E$130=$B11)*ISNUMBER(INDEX(Inputs!$K$5:$AJ$130,0,MATCH(U$2,Inputs!$K$4:$AJ$4,0))))=0,NA(),SUMPRODUCT((Inputs!$A$5:$A$130=$B11)*Inputs!$B$5:$B$130*(((Inputs!$G$5:$G$130="moeda")+(Inputs!$G$5:$G$130="acoes"))*Inputs!$B$1+((Inputs!$G$5:$G$130&lt;&gt;"moeda")*(Inputs!$G$5:$G$130&lt;&gt;"acoes")))*INDEX(Inputs!$K$5:$AJ$130,0,MATCH(U$2,Inputs!$K$4:$AJ$4,0)))+SUMPRODUCT((Inputs!$C$5:$C$130=$B11)*Inputs!$D$5:$D$130*(((Inputs!$G$5:$G$130="moeda")+(Inputs!$G$5:$G$130="acoes"))*Inputs!$B$1+((Inputs!$G$5:$G$130&lt;&gt;"moeda")*(Inputs!$G$5:$G$130&lt;&gt;"acoes")))*INDEX(Inputs!$K$5:$AJ$130,0,MATCH(U$2,Inputs!$K$4:$AJ$4,0)))+SUMPRODUCT((Inputs!$E$5:$E$130=$B11)*Inputs!$F$5:$F$130*(((Inputs!$G$5:$G$130="moeda")+(Inputs!$G$5:$G$130="acoes"))*Inputs!$B$1+((Inputs!$G$5:$G$130&lt;&gt;"moeda")*(Inputs!$G$5:$G$130&lt;&gt;"acoes")))*INDEX(Inputs!$K$5:$AJ$130,0,MATCH(U$2,Inputs!$K$4:$AJ$4,0)))))</f>
        <v>-28</v>
      </c>
      <c r="V11" s="6">
        <f>IF(ISNA(MATCH(V$2,Inputs!$K$4:$AJ$4,0)),NA(),IF(SUMPRODUCT((Inputs!$A$5:$A$130=$B11)*ISNUMBER(INDEX(Inputs!$K$5:$AJ$130,0,MATCH(V$2,Inputs!$K$4:$AJ$4,0))))+SUMPRODUCT((Inputs!$C$5:$C$130=$B11)*ISNUMBER(INDEX(Inputs!$K$5:$AJ$130,0,MATCH(V$2,Inputs!$K$4:$AJ$4,0))))+SUMPRODUCT((Inputs!$E$5:$E$130=$B11)*ISNUMBER(INDEX(Inputs!$K$5:$AJ$130,0,MATCH(V$2,Inputs!$K$4:$AJ$4,0))))=0,NA(),SUMPRODUCT((Inputs!$A$5:$A$130=$B11)*Inputs!$B$5:$B$130*(((Inputs!$G$5:$G$130="moeda")+(Inputs!$G$5:$G$130="acoes"))*Inputs!$B$1+((Inputs!$G$5:$G$130&lt;&gt;"moeda")*(Inputs!$G$5:$G$130&lt;&gt;"acoes")))*INDEX(Inputs!$K$5:$AJ$130,0,MATCH(V$2,Inputs!$K$4:$AJ$4,0)))+SUMPRODUCT((Inputs!$C$5:$C$130=$B11)*Inputs!$D$5:$D$130*(((Inputs!$G$5:$G$130="moeda")+(Inputs!$G$5:$G$130="acoes"))*Inputs!$B$1+((Inputs!$G$5:$G$130&lt;&gt;"moeda")*(Inputs!$G$5:$G$130&lt;&gt;"acoes")))*INDEX(Inputs!$K$5:$AJ$130,0,MATCH(V$2,Inputs!$K$4:$AJ$4,0)))+SUMPRODUCT((Inputs!$E$5:$E$130=$B11)*Inputs!$F$5:$F$130*(((Inputs!$G$5:$G$130="moeda")+(Inputs!$G$5:$G$130="acoes"))*Inputs!$B$1+((Inputs!$G$5:$G$130&lt;&gt;"moeda")*(Inputs!$G$5:$G$130&lt;&gt;"acoes")))*INDEX(Inputs!$K$5:$AJ$130,0,MATCH(V$2,Inputs!$K$4:$AJ$4,0)))))</f>
        <v>-1</v>
      </c>
      <c r="W11" s="3">
        <f>SUM(S11:V11)</f>
        <v>-26</v>
      </c>
      <c r="X11" s="6">
        <f>IF(ISNA(MATCH(X$2,Inputs!$K$4:$AJ$4,0)),NA(),IF(SUMPRODUCT((Inputs!$A$5:$A$130=$B11)*ISNUMBER(INDEX(Inputs!$K$5:$AJ$130,0,MATCH(X$2,Inputs!$K$4:$AJ$4,0))))+SUMPRODUCT((Inputs!$C$5:$C$130=$B11)*ISNUMBER(INDEX(Inputs!$K$5:$AJ$130,0,MATCH(X$2,Inputs!$K$4:$AJ$4,0))))+SUMPRODUCT((Inputs!$E$5:$E$130=$B11)*ISNUMBER(INDEX(Inputs!$K$5:$AJ$130,0,MATCH(X$2,Inputs!$K$4:$AJ$4,0))))=0,NA(),SUMPRODUCT((Inputs!$A$5:$A$130=$B11)*Inputs!$B$5:$B$130*(((Inputs!$G$5:$G$130="moeda")+(Inputs!$G$5:$G$130="acoes"))*Inputs!$B$1+((Inputs!$G$5:$G$130&lt;&gt;"moeda")*(Inputs!$G$5:$G$130&lt;&gt;"acoes")))*INDEX(Inputs!$K$5:$AJ$130,0,MATCH(X$2,Inputs!$K$4:$AJ$4,0)))+SUMPRODUCT((Inputs!$C$5:$C$130=$B11)*Inputs!$D$5:$D$130*(((Inputs!$G$5:$G$130="moeda")+(Inputs!$G$5:$G$130="acoes"))*Inputs!$B$1+((Inputs!$G$5:$G$130&lt;&gt;"moeda")*(Inputs!$G$5:$G$130&lt;&gt;"acoes")))*INDEX(Inputs!$K$5:$AJ$130,0,MATCH(X$2,Inputs!$K$4:$AJ$4,0)))+SUMPRODUCT((Inputs!$E$5:$E$130=$B11)*Inputs!$F$5:$F$130*(((Inputs!$G$5:$G$130="moeda")+(Inputs!$G$5:$G$130="acoes"))*Inputs!$B$1+((Inputs!$G$5:$G$130&lt;&gt;"moeda")*(Inputs!$G$5:$G$130&lt;&gt;"acoes")))*INDEX(Inputs!$K$5:$AJ$130,0,MATCH(X$2,Inputs!$K$4:$AJ$4,0)))))</f>
        <v>3</v>
      </c>
      <c r="Y11" s="6">
        <f>IF(ISNA(MATCH(Y$2,Inputs!$K$4:$AJ$4,0)),NA(),IF(SUMPRODUCT((Inputs!$A$5:$A$130=$B11)*ISNUMBER(INDEX(Inputs!$K$5:$AJ$130,0,MATCH(Y$2,Inputs!$K$4:$AJ$4,0))))+SUMPRODUCT((Inputs!$C$5:$C$130=$B11)*ISNUMBER(INDEX(Inputs!$K$5:$AJ$130,0,MATCH(Y$2,Inputs!$K$4:$AJ$4,0))))+SUMPRODUCT((Inputs!$E$5:$E$130=$B11)*ISNUMBER(INDEX(Inputs!$K$5:$AJ$130,0,MATCH(Y$2,Inputs!$K$4:$AJ$4,0))))=0,NA(),SUMPRODUCT((Inputs!$A$5:$A$130=$B11)*Inputs!$B$5:$B$130*(((Inputs!$G$5:$G$130="moeda")+(Inputs!$G$5:$G$130="acoes"))*Inputs!$B$1+((Inputs!$G$5:$G$130&lt;&gt;"moeda")*(Inputs!$G$5:$G$130&lt;&gt;"acoes")))*INDEX(Inputs!$K$5:$AJ$130,0,MATCH(Y$2,Inputs!$K$4:$AJ$4,0)))+SUMPRODUCT((Inputs!$C$5:$C$130=$B11)*Inputs!$D$5:$D$130*(((Inputs!$G$5:$G$130="moeda")+(Inputs!$G$5:$G$130="acoes"))*Inputs!$B$1+((Inputs!$G$5:$G$130&lt;&gt;"moeda")*(Inputs!$G$5:$G$130&lt;&gt;"acoes")))*INDEX(Inputs!$K$5:$AJ$130,0,MATCH(Y$2,Inputs!$K$4:$AJ$4,0)))+SUMPRODUCT((Inputs!$E$5:$E$130=$B11)*Inputs!$F$5:$F$130*(((Inputs!$G$5:$G$130="moeda")+(Inputs!$G$5:$G$130="acoes"))*Inputs!$B$1+((Inputs!$G$5:$G$130&lt;&gt;"moeda")*(Inputs!$G$5:$G$130&lt;&gt;"acoes")))*INDEX(Inputs!$K$5:$AJ$130,0,MATCH(Y$2,Inputs!$K$4:$AJ$4,0)))))</f>
        <v>10</v>
      </c>
      <c r="Z11" s="6">
        <f>IF(ISNA(MATCH(Z$2,Inputs!$K$4:$AJ$4,0)),NA(),IF(SUMPRODUCT((Inputs!$A$5:$A$130=$B11)*ISNUMBER(INDEX(Inputs!$K$5:$AJ$130,0,MATCH(Z$2,Inputs!$K$4:$AJ$4,0))))+SUMPRODUCT((Inputs!$C$5:$C$130=$B11)*ISNUMBER(INDEX(Inputs!$K$5:$AJ$130,0,MATCH(Z$2,Inputs!$K$4:$AJ$4,0))))+SUMPRODUCT((Inputs!$E$5:$E$130=$B11)*ISNUMBER(INDEX(Inputs!$K$5:$AJ$130,0,MATCH(Z$2,Inputs!$K$4:$AJ$4,0))))=0,NA(),SUMPRODUCT((Inputs!$A$5:$A$130=$B11)*Inputs!$B$5:$B$130*(((Inputs!$G$5:$G$130="moeda")+(Inputs!$G$5:$G$130="acoes"))*Inputs!$B$1+((Inputs!$G$5:$G$130&lt;&gt;"moeda")*(Inputs!$G$5:$G$130&lt;&gt;"acoes")))*INDEX(Inputs!$K$5:$AJ$130,0,MATCH(Z$2,Inputs!$K$4:$AJ$4,0)))+SUMPRODUCT((Inputs!$C$5:$C$130=$B11)*Inputs!$D$5:$D$130*(((Inputs!$G$5:$G$130="moeda")+(Inputs!$G$5:$G$130="acoes"))*Inputs!$B$1+((Inputs!$G$5:$G$130&lt;&gt;"moeda")*(Inputs!$G$5:$G$130&lt;&gt;"acoes")))*INDEX(Inputs!$K$5:$AJ$130,0,MATCH(Z$2,Inputs!$K$4:$AJ$4,0)))+SUMPRODUCT((Inputs!$E$5:$E$130=$B11)*Inputs!$F$5:$F$130*(((Inputs!$G$5:$G$130="moeda")+(Inputs!$G$5:$G$130="acoes"))*Inputs!$B$1+((Inputs!$G$5:$G$130&lt;&gt;"moeda")*(Inputs!$G$5:$G$130&lt;&gt;"acoes")))*INDEX(Inputs!$K$5:$AJ$130,0,MATCH(Z$2,Inputs!$K$4:$AJ$4,0)))))</f>
        <v>-11</v>
      </c>
      <c r="AA11" s="6">
        <f>IF(ISNA(MATCH(AA$2,Inputs!$K$4:$AJ$4,0)),NA(),IF(SUMPRODUCT((Inputs!$A$5:$A$130=$B11)*ISNUMBER(INDEX(Inputs!$K$5:$AJ$130,0,MATCH(AA$2,Inputs!$K$4:$AJ$4,0))))+SUMPRODUCT((Inputs!$C$5:$C$130=$B11)*ISNUMBER(INDEX(Inputs!$K$5:$AJ$130,0,MATCH(AA$2,Inputs!$K$4:$AJ$4,0))))+SUMPRODUCT((Inputs!$E$5:$E$130=$B11)*ISNUMBER(INDEX(Inputs!$K$5:$AJ$130,0,MATCH(AA$2,Inputs!$K$4:$AJ$4,0))))=0,NA(),SUMPRODUCT((Inputs!$A$5:$A$130=$B11)*Inputs!$B$5:$B$130*(((Inputs!$G$5:$G$130="moeda")+(Inputs!$G$5:$G$130="acoes"))*Inputs!$B$1+((Inputs!$G$5:$G$130&lt;&gt;"moeda")*(Inputs!$G$5:$G$130&lt;&gt;"acoes")))*INDEX(Inputs!$K$5:$AJ$130,0,MATCH(AA$2,Inputs!$K$4:$AJ$4,0)))+SUMPRODUCT((Inputs!$C$5:$C$130=$B11)*Inputs!$D$5:$D$130*(((Inputs!$G$5:$G$130="moeda")+(Inputs!$G$5:$G$130="acoes"))*Inputs!$B$1+((Inputs!$G$5:$G$130&lt;&gt;"moeda")*(Inputs!$G$5:$G$130&lt;&gt;"acoes")))*INDEX(Inputs!$K$5:$AJ$130,0,MATCH(AA$2,Inputs!$K$4:$AJ$4,0)))+SUMPRODUCT((Inputs!$E$5:$E$130=$B11)*Inputs!$F$5:$F$130*(((Inputs!$G$5:$G$130="moeda")+(Inputs!$G$5:$G$130="acoes"))*Inputs!$B$1+((Inputs!$G$5:$G$130&lt;&gt;"moeda")*(Inputs!$G$5:$G$130&lt;&gt;"acoes")))*INDEX(Inputs!$K$5:$AJ$130,0,MATCH(AA$2,Inputs!$K$4:$AJ$4,0)))))</f>
        <v>15</v>
      </c>
      <c r="AB11" s="3">
        <f>SUM(X11:AA11)</f>
        <v>17</v>
      </c>
      <c r="AC11" s="6">
        <f>IF(ISNA(MATCH(AC$2,Inputs!$K$4:$AJ$4,0)),NA(),IF(SUMPRODUCT((Inputs!$A$5:$A$130=$B11)*ISNUMBER(INDEX(Inputs!$K$5:$AJ$130,0,MATCH(AC$2,Inputs!$K$4:$AJ$4,0))))+SUMPRODUCT((Inputs!$C$5:$C$130=$B11)*ISNUMBER(INDEX(Inputs!$K$5:$AJ$130,0,MATCH(AC$2,Inputs!$K$4:$AJ$4,0))))+SUMPRODUCT((Inputs!$E$5:$E$130=$B11)*ISNUMBER(INDEX(Inputs!$K$5:$AJ$130,0,MATCH(AC$2,Inputs!$K$4:$AJ$4,0))))=0,NA(),SUMPRODUCT((Inputs!$A$5:$A$130=$B11)*Inputs!$B$5:$B$130*(((Inputs!$G$5:$G$130="moeda")+(Inputs!$G$5:$G$130="acoes"))*Inputs!$B$1+((Inputs!$G$5:$G$130&lt;&gt;"moeda")*(Inputs!$G$5:$G$130&lt;&gt;"acoes")))*INDEX(Inputs!$K$5:$AJ$130,0,MATCH(AC$2,Inputs!$K$4:$AJ$4,0)))+SUMPRODUCT((Inputs!$C$5:$C$130=$B11)*Inputs!$D$5:$D$130*(((Inputs!$G$5:$G$130="moeda")+(Inputs!$G$5:$G$130="acoes"))*Inputs!$B$1+((Inputs!$G$5:$G$130&lt;&gt;"moeda")*(Inputs!$G$5:$G$130&lt;&gt;"acoes")))*INDEX(Inputs!$K$5:$AJ$130,0,MATCH(AC$2,Inputs!$K$4:$AJ$4,0)))+SUMPRODUCT((Inputs!$E$5:$E$130=$B11)*Inputs!$F$5:$F$130*(((Inputs!$G$5:$G$130="moeda")+(Inputs!$G$5:$G$130="acoes"))*Inputs!$B$1+((Inputs!$G$5:$G$130&lt;&gt;"moeda")*(Inputs!$G$5:$G$130&lt;&gt;"acoes")))*INDEX(Inputs!$K$5:$AJ$130,0,MATCH(AC$2,Inputs!$K$4:$AJ$4,0)))))</f>
        <v>-5</v>
      </c>
      <c r="AD11" s="6">
        <f>IF(ISNA(MATCH(AD$2,Inputs!$K$4:$AJ$4,0)),NA(),IF(SUMPRODUCT((Inputs!$A$5:$A$130=$B11)*ISNUMBER(INDEX(Inputs!$K$5:$AJ$130,0,MATCH(AD$2,Inputs!$K$4:$AJ$4,0))))+SUMPRODUCT((Inputs!$C$5:$C$130=$B11)*ISNUMBER(INDEX(Inputs!$K$5:$AJ$130,0,MATCH(AD$2,Inputs!$K$4:$AJ$4,0))))+SUMPRODUCT((Inputs!$E$5:$E$130=$B11)*ISNUMBER(INDEX(Inputs!$K$5:$AJ$130,0,MATCH(AD$2,Inputs!$K$4:$AJ$4,0))))=0,NA(),SUMPRODUCT((Inputs!$A$5:$A$130=$B11)*Inputs!$B$5:$B$130*(((Inputs!$G$5:$G$130="moeda")+(Inputs!$G$5:$G$130="acoes"))*Inputs!$B$1+((Inputs!$G$5:$G$130&lt;&gt;"moeda")*(Inputs!$G$5:$G$130&lt;&gt;"acoes")))*INDEX(Inputs!$K$5:$AJ$130,0,MATCH(AD$2,Inputs!$K$4:$AJ$4,0)))+SUMPRODUCT((Inputs!$C$5:$C$130=$B11)*Inputs!$D$5:$D$130*(((Inputs!$G$5:$G$130="moeda")+(Inputs!$G$5:$G$130="acoes"))*Inputs!$B$1+((Inputs!$G$5:$G$130&lt;&gt;"moeda")*(Inputs!$G$5:$G$130&lt;&gt;"acoes")))*INDEX(Inputs!$K$5:$AJ$130,0,MATCH(AD$2,Inputs!$K$4:$AJ$4,0)))+SUMPRODUCT((Inputs!$E$5:$E$130=$B11)*Inputs!$F$5:$F$130*(((Inputs!$G$5:$G$130="moeda")+(Inputs!$G$5:$G$130="acoes"))*Inputs!$B$1+((Inputs!$G$5:$G$130&lt;&gt;"moeda")*(Inputs!$G$5:$G$130&lt;&gt;"acoes")))*INDEX(Inputs!$K$5:$AJ$130,0,MATCH(AD$2,Inputs!$K$4:$AJ$4,0)))))</f>
        <v>24</v>
      </c>
      <c r="AE11" s="6" t="e">
        <f>IF(ISNA(MATCH(AE$2,Inputs!$K$4:$AJ$4,0)),NA(),IF(SUMPRODUCT((Inputs!$A$5:$A$130=$B11)*ISNUMBER(INDEX(Inputs!$K$5:$AJ$130,0,MATCH(AE$2,Inputs!$K$4:$AJ$4,0))))+SUMPRODUCT((Inputs!$C$5:$C$130=$B11)*ISNUMBER(INDEX(Inputs!$K$5:$AJ$130,0,MATCH(AE$2,Inputs!$K$4:$AJ$4,0))))+SUMPRODUCT((Inputs!$E$5:$E$130=$B11)*ISNUMBER(INDEX(Inputs!$K$5:$AJ$130,0,MATCH(AE$2,Inputs!$K$4:$AJ$4,0))))=0,NA(),SUMPRODUCT((Inputs!$A$5:$A$130=$B11)*Inputs!$B$5:$B$130*(((Inputs!$G$5:$G$130="moeda")+(Inputs!$G$5:$G$130="acoes"))*Inputs!$B$1+((Inputs!$G$5:$G$130&lt;&gt;"moeda")*(Inputs!$G$5:$G$130&lt;&gt;"acoes")))*INDEX(Inputs!$K$5:$AJ$130,0,MATCH(AE$2,Inputs!$K$4:$AJ$4,0)))+SUMPRODUCT((Inputs!$C$5:$C$130=$B11)*Inputs!$D$5:$D$130*(((Inputs!$G$5:$G$130="moeda")+(Inputs!$G$5:$G$130="acoes"))*Inputs!$B$1+((Inputs!$G$5:$G$130&lt;&gt;"moeda")*(Inputs!$G$5:$G$130&lt;&gt;"acoes")))*INDEX(Inputs!$K$5:$AJ$130,0,MATCH(AE$2,Inputs!$K$4:$AJ$4,0)))+SUMPRODUCT((Inputs!$E$5:$E$130=$B11)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1" s="6" t="e">
        <f>IF(ISNA(MATCH(AF$2,Inputs!$K$4:$AJ$4,0)),NA(),IF(SUMPRODUCT((Inputs!$A$5:$A$130=$B11)*ISNUMBER(INDEX(Inputs!$K$5:$AJ$130,0,MATCH(AF$2,Inputs!$K$4:$AJ$4,0))))+SUMPRODUCT((Inputs!$C$5:$C$130=$B11)*ISNUMBER(INDEX(Inputs!$K$5:$AJ$130,0,MATCH(AF$2,Inputs!$K$4:$AJ$4,0))))+SUMPRODUCT((Inputs!$E$5:$E$130=$B11)*ISNUMBER(INDEX(Inputs!$K$5:$AJ$130,0,MATCH(AF$2,Inputs!$K$4:$AJ$4,0))))=0,NA(),SUMPRODUCT((Inputs!$A$5:$A$130=$B11)*Inputs!$B$5:$B$130*(((Inputs!$G$5:$G$130="moeda")+(Inputs!$G$5:$G$130="acoes"))*Inputs!$B$1+((Inputs!$G$5:$G$130&lt;&gt;"moeda")*(Inputs!$G$5:$G$130&lt;&gt;"acoes")))*INDEX(Inputs!$K$5:$AJ$130,0,MATCH(AF$2,Inputs!$K$4:$AJ$4,0)))+SUMPRODUCT((Inputs!$C$5:$C$130=$B11)*Inputs!$D$5:$D$130*(((Inputs!$G$5:$G$130="moeda")+(Inputs!$G$5:$G$130="acoes"))*Inputs!$B$1+((Inputs!$G$5:$G$130&lt;&gt;"moeda")*(Inputs!$G$5:$G$130&lt;&gt;"acoes")))*INDEX(Inputs!$K$5:$AJ$130,0,MATCH(AF$2,Inputs!$K$4:$AJ$4,0)))+SUMPRODUCT((Inputs!$E$5:$E$130=$B11)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$130=$B11)*ISNUMBER(INDEX(Inputs!$K$5:$AJ$130,0,MATCH(AH$2,Inputs!$K$4:$AJ$4,0))))+SUMPRODUCT((Inputs!$C$5:$C$130=$B11)*ISNUMBER(INDEX(Inputs!$K$5:$AJ$130,0,MATCH(AH$2,Inputs!$K$4:$AJ$4,0))))+SUMPRODUCT((Inputs!$E$5:$E$130=$B11)*ISNUMBER(INDEX(Inputs!$K$5:$AJ$130,0,MATCH(AH$2,Inputs!$K$4:$AJ$4,0))))=0,NA(),SUMPRODUCT((Inputs!$A$5:$A$130=$B11)*Inputs!$B$5:$B$130*(((Inputs!$G$5:$G$130="moeda")+(Inputs!$G$5:$G$130="acoes"))*Inputs!$B$1+((Inputs!$G$5:$G$130&lt;&gt;"moeda")*(Inputs!$G$5:$G$130&lt;&gt;"acoes")))*INDEX(Inputs!$K$5:$AJ$130,0,MATCH(AH$2,Inputs!$K$4:$AJ$4,0)))+SUMPRODUCT((Inputs!$C$5:$C$130=$B11)*Inputs!$D$5:$D$130*(((Inputs!$G$5:$G$130="moeda")+(Inputs!$G$5:$G$130="acoes"))*Inputs!$B$1+((Inputs!$G$5:$G$130&lt;&gt;"moeda")*(Inputs!$G$5:$G$130&lt;&gt;"acoes")))*INDEX(Inputs!$K$5:$AJ$130,0,MATCH(AH$2,Inputs!$K$4:$AJ$4,0)))+SUMPRODUCT((Inputs!$E$5:$E$130=$B11)*Inputs!$F$5:$F$130*(((Inputs!$G$5:$G$130="moeda")+(Inputs!$G$5:$G$130="acoes"))*Inputs!$B$1+((Inputs!$G$5:$G$130&lt;&gt;"moeda")*(Inputs!$G$5:$G$130&lt;&gt;"acoes")))*INDEX(Inputs!$K$5:$AJ$130,0,MATCH(AH$2,Inputs!$K$4:$AJ$4,0)))))</f>
        <v>-17</v>
      </c>
      <c r="AI11" s="6">
        <f>IF(ISNA(MATCH(AI$2,Inputs!$K$4:$AJ$4,0)),NA(),IF(SUMPRODUCT((Inputs!$A$5:$A$130=$B11)*ISNUMBER(INDEX(Inputs!$K$5:$AJ$130,0,MATCH(AI$2,Inputs!$K$4:$AJ$4,0))))+SUMPRODUCT((Inputs!$C$5:$C$130=$B11)*ISNUMBER(INDEX(Inputs!$K$5:$AJ$130,0,MATCH(AI$2,Inputs!$K$4:$AJ$4,0))))+SUMPRODUCT((Inputs!$E$5:$E$130=$B11)*ISNUMBER(INDEX(Inputs!$K$5:$AJ$130,0,MATCH(AI$2,Inputs!$K$4:$AJ$4,0))))=0,NA(),SUMPRODUCT((Inputs!$A$5:$A$130=$B11)*Inputs!$B$5:$B$130*(((Inputs!$G$5:$G$130="moeda")+(Inputs!$G$5:$G$130="acoes"))*Inputs!$B$1+((Inputs!$G$5:$G$130&lt;&gt;"moeda")*(Inputs!$G$5:$G$130&lt;&gt;"acoes")))*INDEX(Inputs!$K$5:$AJ$130,0,MATCH(AI$2,Inputs!$K$4:$AJ$4,0)))+SUMPRODUCT((Inputs!$C$5:$C$130=$B11)*Inputs!$D$5:$D$130*(((Inputs!$G$5:$G$130="moeda")+(Inputs!$G$5:$G$130="acoes"))*Inputs!$B$1+((Inputs!$G$5:$G$130&lt;&gt;"moeda")*(Inputs!$G$5:$G$130&lt;&gt;"acoes")))*INDEX(Inputs!$K$5:$AJ$130,0,MATCH(AI$2,Inputs!$K$4:$AJ$4,0)))+SUMPRODUCT((Inputs!$E$5:$E$130=$B11)*Inputs!$F$5:$F$130*(((Inputs!$G$5:$G$130="moeda")+(Inputs!$G$5:$G$130="acoes"))*Inputs!$B$1+((Inputs!$G$5:$G$130&lt;&gt;"moeda")*(Inputs!$G$5:$G$130&lt;&gt;"acoes")))*INDEX(Inputs!$K$5:$AJ$130,0,MATCH(AI$2,Inputs!$K$4:$AJ$4,0)))))</f>
        <v>-2</v>
      </c>
      <c r="AJ11" s="6">
        <f>IF(ISNA(MATCH(AJ$2,Inputs!$K$4:$AJ$4,0)),NA(),IF(SUMPRODUCT((Inputs!$A$5:$A$130=$B11)*ISNUMBER(INDEX(Inputs!$K$5:$AJ$130,0,MATCH(AJ$2,Inputs!$K$4:$AJ$4,0))))+SUMPRODUCT((Inputs!$C$5:$C$130=$B11)*ISNUMBER(INDEX(Inputs!$K$5:$AJ$130,0,MATCH(AJ$2,Inputs!$K$4:$AJ$4,0))))+SUMPRODUCT((Inputs!$E$5:$E$130=$B11)*ISNUMBER(INDEX(Inputs!$K$5:$AJ$130,0,MATCH(AJ$2,Inputs!$K$4:$AJ$4,0))))=0,NA(),SUMPRODUCT((Inputs!$A$5:$A$130=$B11)*Inputs!$B$5:$B$130*(((Inputs!$G$5:$G$130="moeda")+(Inputs!$G$5:$G$130="acoes"))*Inputs!$B$1+((Inputs!$G$5:$G$130&lt;&gt;"moeda")*(Inputs!$G$5:$G$130&lt;&gt;"acoes")))*INDEX(Inputs!$K$5:$AJ$130,0,MATCH(AJ$2,Inputs!$K$4:$AJ$4,0)))+SUMPRODUCT((Inputs!$C$5:$C$130=$B11)*Inputs!$D$5:$D$130*(((Inputs!$G$5:$G$130="moeda")+(Inputs!$G$5:$G$130="acoes"))*Inputs!$B$1+((Inputs!$G$5:$G$130&lt;&gt;"moeda")*(Inputs!$G$5:$G$130&lt;&gt;"acoes")))*INDEX(Inputs!$K$5:$AJ$130,0,MATCH(AJ$2,Inputs!$K$4:$AJ$4,0)))+SUMPRODUCT((Inputs!$E$5:$E$130=$B11)*Inputs!$F$5:$F$130*(((Inputs!$G$5:$G$130="moeda")+(Inputs!$G$5:$G$130="acoes"))*Inputs!$B$1+((Inputs!$G$5:$G$130&lt;&gt;"moeda")*(Inputs!$G$5:$G$130&lt;&gt;"acoes")))*INDEX(Inputs!$K$5:$AJ$130,0,MATCH(AJ$2,Inputs!$K$4:$AJ$4,0)))))</f>
        <v>-28</v>
      </c>
      <c r="AK11" s="6">
        <f>IF(ISNA(MATCH(AK$2,Inputs!$K$4:$AJ$4,0)),NA(),IF(SUMPRODUCT((Inputs!$A$5:$A$130=$B11)*ISNUMBER(INDEX(Inputs!$K$5:$AJ$130,0,MATCH(AK$2,Inputs!$K$4:$AJ$4,0))))+SUMPRODUCT((Inputs!$C$5:$C$130=$B11)*ISNUMBER(INDEX(Inputs!$K$5:$AJ$130,0,MATCH(AK$2,Inputs!$K$4:$AJ$4,0))))+SUMPRODUCT((Inputs!$E$5:$E$130=$B11)*ISNUMBER(INDEX(Inputs!$K$5:$AJ$130,0,MATCH(AK$2,Inputs!$K$4:$AJ$4,0))))=0,NA(),SUMPRODUCT((Inputs!$A$5:$A$130=$B11)*Inputs!$B$5:$B$130*(((Inputs!$G$5:$G$130="moeda")+(Inputs!$G$5:$G$130="acoes"))*Inputs!$B$1+((Inputs!$G$5:$G$130&lt;&gt;"moeda")*(Inputs!$G$5:$G$130&lt;&gt;"acoes")))*INDEX(Inputs!$K$5:$AJ$130,0,MATCH(AK$2,Inputs!$K$4:$AJ$4,0)))+SUMPRODUCT((Inputs!$C$5:$C$130=$B11)*Inputs!$D$5:$D$130*(((Inputs!$G$5:$G$130="moeda")+(Inputs!$G$5:$G$130="acoes"))*Inputs!$B$1+((Inputs!$G$5:$G$130&lt;&gt;"moeda")*(Inputs!$G$5:$G$130&lt;&gt;"acoes")))*INDEX(Inputs!$K$5:$AJ$130,0,MATCH(AK$2,Inputs!$K$4:$AJ$4,0)))+SUMPRODUCT((Inputs!$E$5:$E$130=$B11)*Inputs!$F$5:$F$130*(((Inputs!$G$5:$G$130="moeda")+(Inputs!$G$5:$G$130="acoes"))*Inputs!$B$1+((Inputs!$G$5:$G$130&lt;&gt;"moeda")*(Inputs!$G$5:$G$130&lt;&gt;"acoes")))*INDEX(Inputs!$K$5:$AJ$130,0,MATCH(AK$2,Inputs!$K$4:$AJ$4,0)))))</f>
        <v>4</v>
      </c>
      <c r="AL11" s="3">
        <f>SUM(AH11:AK11)</f>
        <v>-43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$130=$B12)*ISNUMBER(INDEX(Inputs!$K$5:$AJ$130,0,MATCH(D$2,Inputs!$K$4:$AJ$4,0))))+SUMPRODUCT((Inputs!$C$5:$C$130=$B12)*ISNUMBER(INDEX(Inputs!$K$5:$AJ$130,0,MATCH(D$2,Inputs!$K$4:$AJ$4,0))))+SUMPRODUCT((Inputs!$E$5:$E$130=$B12)*ISNUMBER(INDEX(Inputs!$K$5:$AJ$130,0,MATCH(D$2,Inputs!$K$4:$AJ$4,0))))=0,NA(),SUMPRODUCT((Inputs!$A$5:$A$130=$B12)*Inputs!$B$5:$B$130*(((Inputs!$G$5:$G$130="moeda")+(Inputs!$G$5:$G$130="acoes"))*Inputs!$B$1+((Inputs!$G$5:$G$130&lt;&gt;"moeda")*(Inputs!$G$5:$G$130&lt;&gt;"acoes")))*INDEX(Inputs!$K$5:$AJ$130,0,MATCH(D$2,Inputs!$K$4:$AJ$4,0)))+SUMPRODUCT((Inputs!$C$5:$C$130=$B12)*Inputs!$D$5:$D$130*(((Inputs!$G$5:$G$130="moeda")+(Inputs!$G$5:$G$130="acoes"))*Inputs!$B$1+((Inputs!$G$5:$G$130&lt;&gt;"moeda")*(Inputs!$G$5:$G$130&lt;&gt;"acoes")))*INDEX(Inputs!$K$5:$AJ$130,0,MATCH(D$2,Inputs!$K$4:$AJ$4,0)))+SUMPRODUCT((Inputs!$E$5:$E$130=$B12)*Inputs!$F$5:$F$130*(((Inputs!$G$5:$G$130="moeda")+(Inputs!$G$5:$G$130="acoes"))*Inputs!$B$1+((Inputs!$G$5:$G$130&lt;&gt;"moeda")*(Inputs!$G$5:$G$130&lt;&gt;"acoes")))*INDEX(Inputs!$K$5:$AJ$130,0,MATCH(D$2,Inputs!$K$4:$AJ$4,0)))))</f>
        <v>-1</v>
      </c>
      <c r="E12" s="6">
        <f>IF(ISNA(MATCH(E$2,Inputs!$K$4:$AJ$4,0)),NA(),IF(SUMPRODUCT((Inputs!$A$5:$A$130=$B12)*ISNUMBER(INDEX(Inputs!$K$5:$AJ$130,0,MATCH(E$2,Inputs!$K$4:$AJ$4,0))))+SUMPRODUCT((Inputs!$C$5:$C$130=$B12)*ISNUMBER(INDEX(Inputs!$K$5:$AJ$130,0,MATCH(E$2,Inputs!$K$4:$AJ$4,0))))+SUMPRODUCT((Inputs!$E$5:$E$130=$B12)*ISNUMBER(INDEX(Inputs!$K$5:$AJ$130,0,MATCH(E$2,Inputs!$K$4:$AJ$4,0))))=0,NA(),SUMPRODUCT((Inputs!$A$5:$A$130=$B12)*Inputs!$B$5:$B$130*(((Inputs!$G$5:$G$130="moeda")+(Inputs!$G$5:$G$130="acoes"))*Inputs!$B$1+((Inputs!$G$5:$G$130&lt;&gt;"moeda")*(Inputs!$G$5:$G$130&lt;&gt;"acoes")))*INDEX(Inputs!$K$5:$AJ$130,0,MATCH(E$2,Inputs!$K$4:$AJ$4,0)))+SUMPRODUCT((Inputs!$C$5:$C$130=$B12)*Inputs!$D$5:$D$130*(((Inputs!$G$5:$G$130="moeda")+(Inputs!$G$5:$G$130="acoes"))*Inputs!$B$1+((Inputs!$G$5:$G$130&lt;&gt;"moeda")*(Inputs!$G$5:$G$130&lt;&gt;"acoes")))*INDEX(Inputs!$K$5:$AJ$130,0,MATCH(E$2,Inputs!$K$4:$AJ$4,0)))+SUMPRODUCT((Inputs!$E$5:$E$130=$B12)*Inputs!$F$5:$F$130*(((Inputs!$G$5:$G$130="moeda")+(Inputs!$G$5:$G$130="acoes"))*Inputs!$B$1+((Inputs!$G$5:$G$130&lt;&gt;"moeda")*(Inputs!$G$5:$G$130&lt;&gt;"acoes")))*INDEX(Inputs!$K$5:$AJ$130,0,MATCH(E$2,Inputs!$K$4:$AJ$4,0)))))</f>
        <v>-1</v>
      </c>
      <c r="F12" s="6">
        <f>IF(ISNA(MATCH(F$2,Inputs!$K$4:$AJ$4,0)),NA(),IF(SUMPRODUCT((Inputs!$A$5:$A$130=$B12)*ISNUMBER(INDEX(Inputs!$K$5:$AJ$130,0,MATCH(F$2,Inputs!$K$4:$AJ$4,0))))+SUMPRODUCT((Inputs!$C$5:$C$130=$B12)*ISNUMBER(INDEX(Inputs!$K$5:$AJ$130,0,MATCH(F$2,Inputs!$K$4:$AJ$4,0))))+SUMPRODUCT((Inputs!$E$5:$E$130=$B12)*ISNUMBER(INDEX(Inputs!$K$5:$AJ$130,0,MATCH(F$2,Inputs!$K$4:$AJ$4,0))))=0,NA(),SUMPRODUCT((Inputs!$A$5:$A$130=$B12)*Inputs!$B$5:$B$130*(((Inputs!$G$5:$G$130="moeda")+(Inputs!$G$5:$G$130="acoes"))*Inputs!$B$1+((Inputs!$G$5:$G$130&lt;&gt;"moeda")*(Inputs!$G$5:$G$130&lt;&gt;"acoes")))*INDEX(Inputs!$K$5:$AJ$130,0,MATCH(F$2,Inputs!$K$4:$AJ$4,0)))+SUMPRODUCT((Inputs!$C$5:$C$130=$B12)*Inputs!$D$5:$D$130*(((Inputs!$G$5:$G$130="moeda")+(Inputs!$G$5:$G$130="acoes"))*Inputs!$B$1+((Inputs!$G$5:$G$130&lt;&gt;"moeda")*(Inputs!$G$5:$G$130&lt;&gt;"acoes")))*INDEX(Inputs!$K$5:$AJ$130,0,MATCH(F$2,Inputs!$K$4:$AJ$4,0)))+SUMPRODUCT((Inputs!$E$5:$E$130=$B12)*Inputs!$F$5:$F$130*(((Inputs!$G$5:$G$130="moeda")+(Inputs!$G$5:$G$130="acoes"))*Inputs!$B$1+((Inputs!$G$5:$G$130&lt;&gt;"moeda")*(Inputs!$G$5:$G$130&lt;&gt;"acoes")))*INDEX(Inputs!$K$5:$AJ$130,0,MATCH(F$2,Inputs!$K$4:$AJ$4,0)))))</f>
        <v>0</v>
      </c>
      <c r="G12" s="6">
        <f>IF(ISNA(MATCH(G$2,Inputs!$K$4:$AJ$4,0)),NA(),IF(SUMPRODUCT((Inputs!$A$5:$A$130=$B12)*ISNUMBER(INDEX(Inputs!$K$5:$AJ$130,0,MATCH(G$2,Inputs!$K$4:$AJ$4,0))))+SUMPRODUCT((Inputs!$C$5:$C$130=$B12)*ISNUMBER(INDEX(Inputs!$K$5:$AJ$130,0,MATCH(G$2,Inputs!$K$4:$AJ$4,0))))+SUMPRODUCT((Inputs!$E$5:$E$130=$B12)*ISNUMBER(INDEX(Inputs!$K$5:$AJ$130,0,MATCH(G$2,Inputs!$K$4:$AJ$4,0))))=0,NA(),SUMPRODUCT((Inputs!$A$5:$A$130=$B12)*Inputs!$B$5:$B$130*(((Inputs!$G$5:$G$130="moeda")+(Inputs!$G$5:$G$130="acoes"))*Inputs!$B$1+((Inputs!$G$5:$G$130&lt;&gt;"moeda")*(Inputs!$G$5:$G$130&lt;&gt;"acoes")))*INDEX(Inputs!$K$5:$AJ$130,0,MATCH(G$2,Inputs!$K$4:$AJ$4,0)))+SUMPRODUCT((Inputs!$C$5:$C$130=$B12)*Inputs!$D$5:$D$130*(((Inputs!$G$5:$G$130="moeda")+(Inputs!$G$5:$G$130="acoes"))*Inputs!$B$1+((Inputs!$G$5:$G$130&lt;&gt;"moeda")*(Inputs!$G$5:$G$130&lt;&gt;"acoes")))*INDEX(Inputs!$K$5:$AJ$130,0,MATCH(G$2,Inputs!$K$4:$AJ$4,0)))+SUMPRODUCT((Inputs!$E$5:$E$130=$B12)*Inputs!$F$5:$F$130*(((Inputs!$G$5:$G$130="moeda")+(Inputs!$G$5:$G$130="acoes"))*Inputs!$B$1+((Inputs!$G$5:$G$130&lt;&gt;"moeda")*(Inputs!$G$5:$G$130&lt;&gt;"acoes")))*INDEX(Inputs!$K$5:$AJ$130,0,MATCH(G$2,Inputs!$K$4:$AJ$4,0)))))</f>
        <v>-1</v>
      </c>
      <c r="H12" s="3">
        <f>SUM(D12:G12)</f>
        <v>-3</v>
      </c>
      <c r="I12" s="6">
        <f>IF(ISNA(MATCH(I$2,Inputs!$K$4:$AJ$4,0)),NA(),IF(SUMPRODUCT((Inputs!$A$5:$A$130=$B12)*ISNUMBER(INDEX(Inputs!$K$5:$AJ$130,0,MATCH(I$2,Inputs!$K$4:$AJ$4,0))))+SUMPRODUCT((Inputs!$C$5:$C$130=$B12)*ISNUMBER(INDEX(Inputs!$K$5:$AJ$130,0,MATCH(I$2,Inputs!$K$4:$AJ$4,0))))+SUMPRODUCT((Inputs!$E$5:$E$130=$B12)*ISNUMBER(INDEX(Inputs!$K$5:$AJ$130,0,MATCH(I$2,Inputs!$K$4:$AJ$4,0))))=0,NA(),SUMPRODUCT((Inputs!$A$5:$A$130=$B12)*Inputs!$B$5:$B$130*(((Inputs!$G$5:$G$130="moeda")+(Inputs!$G$5:$G$130="acoes"))*Inputs!$B$1+((Inputs!$G$5:$G$130&lt;&gt;"moeda")*(Inputs!$G$5:$G$130&lt;&gt;"acoes")))*INDEX(Inputs!$K$5:$AJ$130,0,MATCH(I$2,Inputs!$K$4:$AJ$4,0)))+SUMPRODUCT((Inputs!$C$5:$C$130=$B12)*Inputs!$D$5:$D$130*(((Inputs!$G$5:$G$130="moeda")+(Inputs!$G$5:$G$130="acoes"))*Inputs!$B$1+((Inputs!$G$5:$G$130&lt;&gt;"moeda")*(Inputs!$G$5:$G$130&lt;&gt;"acoes")))*INDEX(Inputs!$K$5:$AJ$130,0,MATCH(I$2,Inputs!$K$4:$AJ$4,0)))+SUMPRODUCT((Inputs!$E$5:$E$130=$B12)*Inputs!$F$5:$F$130*(((Inputs!$G$5:$G$130="moeda")+(Inputs!$G$5:$G$130="acoes"))*Inputs!$B$1+((Inputs!$G$5:$G$130&lt;&gt;"moeda")*(Inputs!$G$5:$G$130&lt;&gt;"acoes")))*INDEX(Inputs!$K$5:$AJ$130,0,MATCH(I$2,Inputs!$K$4:$AJ$4,0)))))</f>
        <v>1</v>
      </c>
      <c r="J12" s="6">
        <f>IF(ISNA(MATCH(J$2,Inputs!$K$4:$AJ$4,0)),NA(),IF(SUMPRODUCT((Inputs!$A$5:$A$130=$B12)*ISNUMBER(INDEX(Inputs!$K$5:$AJ$130,0,MATCH(J$2,Inputs!$K$4:$AJ$4,0))))+SUMPRODUCT((Inputs!$C$5:$C$130=$B12)*ISNUMBER(INDEX(Inputs!$K$5:$AJ$130,0,MATCH(J$2,Inputs!$K$4:$AJ$4,0))))+SUMPRODUCT((Inputs!$E$5:$E$130=$B12)*ISNUMBER(INDEX(Inputs!$K$5:$AJ$130,0,MATCH(J$2,Inputs!$K$4:$AJ$4,0))))=0,NA(),SUMPRODUCT((Inputs!$A$5:$A$130=$B12)*Inputs!$B$5:$B$130*(((Inputs!$G$5:$G$130="moeda")+(Inputs!$G$5:$G$130="acoes"))*Inputs!$B$1+((Inputs!$G$5:$G$130&lt;&gt;"moeda")*(Inputs!$G$5:$G$130&lt;&gt;"acoes")))*INDEX(Inputs!$K$5:$AJ$130,0,MATCH(J$2,Inputs!$K$4:$AJ$4,0)))+SUMPRODUCT((Inputs!$C$5:$C$130=$B12)*Inputs!$D$5:$D$130*(((Inputs!$G$5:$G$130="moeda")+(Inputs!$G$5:$G$130="acoes"))*Inputs!$B$1+((Inputs!$G$5:$G$130&lt;&gt;"moeda")*(Inputs!$G$5:$G$130&lt;&gt;"acoes")))*INDEX(Inputs!$K$5:$AJ$130,0,MATCH(J$2,Inputs!$K$4:$AJ$4,0)))+SUMPRODUCT((Inputs!$E$5:$E$130=$B12)*Inputs!$F$5:$F$130*(((Inputs!$G$5:$G$130="moeda")+(Inputs!$G$5:$G$130="acoes"))*Inputs!$B$1+((Inputs!$G$5:$G$130&lt;&gt;"moeda")*(Inputs!$G$5:$G$130&lt;&gt;"acoes")))*INDEX(Inputs!$K$5:$AJ$130,0,MATCH(J$2,Inputs!$K$4:$AJ$4,0)))))</f>
        <v>-1</v>
      </c>
      <c r="K12" s="6">
        <f>IF(ISNA(MATCH(K$2,Inputs!$K$4:$AJ$4,0)),NA(),IF(SUMPRODUCT((Inputs!$A$5:$A$130=$B12)*ISNUMBER(INDEX(Inputs!$K$5:$AJ$130,0,MATCH(K$2,Inputs!$K$4:$AJ$4,0))))+SUMPRODUCT((Inputs!$C$5:$C$130=$B12)*ISNUMBER(INDEX(Inputs!$K$5:$AJ$130,0,MATCH(K$2,Inputs!$K$4:$AJ$4,0))))+SUMPRODUCT((Inputs!$E$5:$E$130=$B12)*ISNUMBER(INDEX(Inputs!$K$5:$AJ$130,0,MATCH(K$2,Inputs!$K$4:$AJ$4,0))))=0,NA(),SUMPRODUCT((Inputs!$A$5:$A$130=$B12)*Inputs!$B$5:$B$130*(((Inputs!$G$5:$G$130="moeda")+(Inputs!$G$5:$G$130="acoes"))*Inputs!$B$1+((Inputs!$G$5:$G$130&lt;&gt;"moeda")*(Inputs!$G$5:$G$130&lt;&gt;"acoes")))*INDEX(Inputs!$K$5:$AJ$130,0,MATCH(K$2,Inputs!$K$4:$AJ$4,0)))+SUMPRODUCT((Inputs!$C$5:$C$130=$B12)*Inputs!$D$5:$D$130*(((Inputs!$G$5:$G$130="moeda")+(Inputs!$G$5:$G$130="acoes"))*Inputs!$B$1+((Inputs!$G$5:$G$130&lt;&gt;"moeda")*(Inputs!$G$5:$G$130&lt;&gt;"acoes")))*INDEX(Inputs!$K$5:$AJ$130,0,MATCH(K$2,Inputs!$K$4:$AJ$4,0)))+SUMPRODUCT((Inputs!$E$5:$E$130=$B12)*Inputs!$F$5:$F$130*(((Inputs!$G$5:$G$130="moeda")+(Inputs!$G$5:$G$130="acoes"))*Inputs!$B$1+((Inputs!$G$5:$G$130&lt;&gt;"moeda")*(Inputs!$G$5:$G$130&lt;&gt;"acoes")))*INDEX(Inputs!$K$5:$AJ$130,0,MATCH(K$2,Inputs!$K$4:$AJ$4,0)))))</f>
        <v>2</v>
      </c>
      <c r="L12" s="6">
        <f>IF(ISNA(MATCH(L$2,Inputs!$K$4:$AJ$4,0)),NA(),IF(SUMPRODUCT((Inputs!$A$5:$A$130=$B12)*ISNUMBER(INDEX(Inputs!$K$5:$AJ$130,0,MATCH(L$2,Inputs!$K$4:$AJ$4,0))))+SUMPRODUCT((Inputs!$C$5:$C$130=$B12)*ISNUMBER(INDEX(Inputs!$K$5:$AJ$130,0,MATCH(L$2,Inputs!$K$4:$AJ$4,0))))+SUMPRODUCT((Inputs!$E$5:$E$130=$B12)*ISNUMBER(INDEX(Inputs!$K$5:$AJ$130,0,MATCH(L$2,Inputs!$K$4:$AJ$4,0))))=0,NA(),SUMPRODUCT((Inputs!$A$5:$A$130=$B12)*Inputs!$B$5:$B$130*(((Inputs!$G$5:$G$130="moeda")+(Inputs!$G$5:$G$130="acoes"))*Inputs!$B$1+((Inputs!$G$5:$G$130&lt;&gt;"moeda")*(Inputs!$G$5:$G$130&lt;&gt;"acoes")))*INDEX(Inputs!$K$5:$AJ$130,0,MATCH(L$2,Inputs!$K$4:$AJ$4,0)))+SUMPRODUCT((Inputs!$C$5:$C$130=$B12)*Inputs!$D$5:$D$130*(((Inputs!$G$5:$G$130="moeda")+(Inputs!$G$5:$G$130="acoes"))*Inputs!$B$1+((Inputs!$G$5:$G$130&lt;&gt;"moeda")*(Inputs!$G$5:$G$130&lt;&gt;"acoes")))*INDEX(Inputs!$K$5:$AJ$130,0,MATCH(L$2,Inputs!$K$4:$AJ$4,0)))+SUMPRODUCT((Inputs!$E$5:$E$130=$B12)*Inputs!$F$5:$F$130*(((Inputs!$G$5:$G$130="moeda")+(Inputs!$G$5:$G$130="acoes"))*Inputs!$B$1+((Inputs!$G$5:$G$130&lt;&gt;"moeda")*(Inputs!$G$5:$G$130&lt;&gt;"acoes")))*INDEX(Inputs!$K$5:$AJ$130,0,MATCH(L$2,Inputs!$K$4:$AJ$4,0)))))</f>
        <v>2</v>
      </c>
      <c r="M12" s="3">
        <f>SUM(I12:L12)</f>
        <v>4</v>
      </c>
      <c r="N12" s="6">
        <f>IF(ISNA(MATCH(N$2,Inputs!$K$4:$AJ$4,0)),NA(),IF(SUMPRODUCT((Inputs!$A$5:$A$130=$B12)*ISNUMBER(INDEX(Inputs!$K$5:$AJ$130,0,MATCH(N$2,Inputs!$K$4:$AJ$4,0))))+SUMPRODUCT((Inputs!$C$5:$C$130=$B12)*ISNUMBER(INDEX(Inputs!$K$5:$AJ$130,0,MATCH(N$2,Inputs!$K$4:$AJ$4,0))))+SUMPRODUCT((Inputs!$E$5:$E$130=$B12)*ISNUMBER(INDEX(Inputs!$K$5:$AJ$130,0,MATCH(N$2,Inputs!$K$4:$AJ$4,0))))=0,NA(),SUMPRODUCT((Inputs!$A$5:$A$130=$B12)*Inputs!$B$5:$B$130*(((Inputs!$G$5:$G$130="moeda")+(Inputs!$G$5:$G$130="acoes"))*Inputs!$B$1+((Inputs!$G$5:$G$130&lt;&gt;"moeda")*(Inputs!$G$5:$G$130&lt;&gt;"acoes")))*INDEX(Inputs!$K$5:$AJ$130,0,MATCH(N$2,Inputs!$K$4:$AJ$4,0)))+SUMPRODUCT((Inputs!$C$5:$C$130=$B12)*Inputs!$D$5:$D$130*(((Inputs!$G$5:$G$130="moeda")+(Inputs!$G$5:$G$130="acoes"))*Inputs!$B$1+((Inputs!$G$5:$G$130&lt;&gt;"moeda")*(Inputs!$G$5:$G$130&lt;&gt;"acoes")))*INDEX(Inputs!$K$5:$AJ$130,0,MATCH(N$2,Inputs!$K$4:$AJ$4,0)))+SUMPRODUCT((Inputs!$E$5:$E$130=$B12)*Inputs!$F$5:$F$130*(((Inputs!$G$5:$G$130="moeda")+(Inputs!$G$5:$G$130="acoes"))*Inputs!$B$1+((Inputs!$G$5:$G$130&lt;&gt;"moeda")*(Inputs!$G$5:$G$130&lt;&gt;"acoes")))*INDEX(Inputs!$K$5:$AJ$130,0,MATCH(N$2,Inputs!$K$4:$AJ$4,0)))))</f>
        <v>1</v>
      </c>
      <c r="O12" s="6">
        <f>IF(ISNA(MATCH(O$2,Inputs!$K$4:$AJ$4,0)),NA(),IF(SUMPRODUCT((Inputs!$A$5:$A$130=$B12)*ISNUMBER(INDEX(Inputs!$K$5:$AJ$130,0,MATCH(O$2,Inputs!$K$4:$AJ$4,0))))+SUMPRODUCT((Inputs!$C$5:$C$130=$B12)*ISNUMBER(INDEX(Inputs!$K$5:$AJ$130,0,MATCH(O$2,Inputs!$K$4:$AJ$4,0))))+SUMPRODUCT((Inputs!$E$5:$E$130=$B12)*ISNUMBER(INDEX(Inputs!$K$5:$AJ$130,0,MATCH(O$2,Inputs!$K$4:$AJ$4,0))))=0,NA(),SUMPRODUCT((Inputs!$A$5:$A$130=$B12)*Inputs!$B$5:$B$130*(((Inputs!$G$5:$G$130="moeda")+(Inputs!$G$5:$G$130="acoes"))*Inputs!$B$1+((Inputs!$G$5:$G$130&lt;&gt;"moeda")*(Inputs!$G$5:$G$130&lt;&gt;"acoes")))*INDEX(Inputs!$K$5:$AJ$130,0,MATCH(O$2,Inputs!$K$4:$AJ$4,0)))+SUMPRODUCT((Inputs!$C$5:$C$130=$B12)*Inputs!$D$5:$D$130*(((Inputs!$G$5:$G$130="moeda")+(Inputs!$G$5:$G$130="acoes"))*Inputs!$B$1+((Inputs!$G$5:$G$130&lt;&gt;"moeda")*(Inputs!$G$5:$G$130&lt;&gt;"acoes")))*INDEX(Inputs!$K$5:$AJ$130,0,MATCH(O$2,Inputs!$K$4:$AJ$4,0)))+SUMPRODUCT((Inputs!$E$5:$E$130=$B12)*Inputs!$F$5:$F$130*(((Inputs!$G$5:$G$130="moeda")+(Inputs!$G$5:$G$130="acoes"))*Inputs!$B$1+((Inputs!$G$5:$G$130&lt;&gt;"moeda")*(Inputs!$G$5:$G$130&lt;&gt;"acoes")))*INDEX(Inputs!$K$5:$AJ$130,0,MATCH(O$2,Inputs!$K$4:$AJ$4,0)))))</f>
        <v>6</v>
      </c>
      <c r="P12" s="6">
        <f>IF(ISNA(MATCH(P$2,Inputs!$K$4:$AJ$4,0)),NA(),IF(SUMPRODUCT((Inputs!$A$5:$A$130=$B12)*ISNUMBER(INDEX(Inputs!$K$5:$AJ$130,0,MATCH(P$2,Inputs!$K$4:$AJ$4,0))))+SUMPRODUCT((Inputs!$C$5:$C$130=$B12)*ISNUMBER(INDEX(Inputs!$K$5:$AJ$130,0,MATCH(P$2,Inputs!$K$4:$AJ$4,0))))+SUMPRODUCT((Inputs!$E$5:$E$130=$B12)*ISNUMBER(INDEX(Inputs!$K$5:$AJ$130,0,MATCH(P$2,Inputs!$K$4:$AJ$4,0))))=0,NA(),SUMPRODUCT((Inputs!$A$5:$A$130=$B12)*Inputs!$B$5:$B$130*(((Inputs!$G$5:$G$130="moeda")+(Inputs!$G$5:$G$130="acoes"))*Inputs!$B$1+((Inputs!$G$5:$G$130&lt;&gt;"moeda")*(Inputs!$G$5:$G$130&lt;&gt;"acoes")))*INDEX(Inputs!$K$5:$AJ$130,0,MATCH(P$2,Inputs!$K$4:$AJ$4,0)))+SUMPRODUCT((Inputs!$C$5:$C$130=$B12)*Inputs!$D$5:$D$130*(((Inputs!$G$5:$G$130="moeda")+(Inputs!$G$5:$G$130="acoes"))*Inputs!$B$1+((Inputs!$G$5:$G$130&lt;&gt;"moeda")*(Inputs!$G$5:$G$130&lt;&gt;"acoes")))*INDEX(Inputs!$K$5:$AJ$130,0,MATCH(P$2,Inputs!$K$4:$AJ$4,0)))+SUMPRODUCT((Inputs!$E$5:$E$130=$B12)*Inputs!$F$5:$F$130*(((Inputs!$G$5:$G$130="moeda")+(Inputs!$G$5:$G$130="acoes"))*Inputs!$B$1+((Inputs!$G$5:$G$130&lt;&gt;"moeda")*(Inputs!$G$5:$G$130&lt;&gt;"acoes")))*INDEX(Inputs!$K$5:$AJ$130,0,MATCH(P$2,Inputs!$K$4:$AJ$4,0)))))</f>
        <v>1</v>
      </c>
      <c r="Q12" s="6">
        <f>IF(ISNA(MATCH(Q$2,Inputs!$K$4:$AJ$4,0)),NA(),IF(SUMPRODUCT((Inputs!$A$5:$A$130=$B12)*ISNUMBER(INDEX(Inputs!$K$5:$AJ$130,0,MATCH(Q$2,Inputs!$K$4:$AJ$4,0))))+SUMPRODUCT((Inputs!$C$5:$C$130=$B12)*ISNUMBER(INDEX(Inputs!$K$5:$AJ$130,0,MATCH(Q$2,Inputs!$K$4:$AJ$4,0))))+SUMPRODUCT((Inputs!$E$5:$E$130=$B12)*ISNUMBER(INDEX(Inputs!$K$5:$AJ$130,0,MATCH(Q$2,Inputs!$K$4:$AJ$4,0))))=0,NA(),SUMPRODUCT((Inputs!$A$5:$A$130=$B12)*Inputs!$B$5:$B$130*(((Inputs!$G$5:$G$130="moeda")+(Inputs!$G$5:$G$130="acoes"))*Inputs!$B$1+((Inputs!$G$5:$G$130&lt;&gt;"moeda")*(Inputs!$G$5:$G$130&lt;&gt;"acoes")))*INDEX(Inputs!$K$5:$AJ$130,0,MATCH(Q$2,Inputs!$K$4:$AJ$4,0)))+SUMPRODUCT((Inputs!$C$5:$C$130=$B12)*Inputs!$D$5:$D$130*(((Inputs!$G$5:$G$130="moeda")+(Inputs!$G$5:$G$130="acoes"))*Inputs!$B$1+((Inputs!$G$5:$G$130&lt;&gt;"moeda")*(Inputs!$G$5:$G$130&lt;&gt;"acoes")))*INDEX(Inputs!$K$5:$AJ$130,0,MATCH(Q$2,Inputs!$K$4:$AJ$4,0)))+SUMPRODUCT((Inputs!$E$5:$E$130=$B12)*Inputs!$F$5:$F$130*(((Inputs!$G$5:$G$130="moeda")+(Inputs!$G$5:$G$130="acoes"))*Inputs!$B$1+((Inputs!$G$5:$G$130&lt;&gt;"moeda")*(Inputs!$G$5:$G$130&lt;&gt;"acoes")))*INDEX(Inputs!$K$5:$AJ$130,0,MATCH(Q$2,Inputs!$K$4:$AJ$4,0)))))</f>
        <v>3</v>
      </c>
      <c r="R12" s="3">
        <f>SUM(N12:Q12)</f>
        <v>11</v>
      </c>
      <c r="S12" s="6">
        <f>IF(ISNA(MATCH(S$2,Inputs!$K$4:$AJ$4,0)),NA(),IF(SUMPRODUCT((Inputs!$A$5:$A$130=$B12)*ISNUMBER(INDEX(Inputs!$K$5:$AJ$130,0,MATCH(S$2,Inputs!$K$4:$AJ$4,0))))+SUMPRODUCT((Inputs!$C$5:$C$130=$B12)*ISNUMBER(INDEX(Inputs!$K$5:$AJ$130,0,MATCH(S$2,Inputs!$K$4:$AJ$4,0))))+SUMPRODUCT((Inputs!$E$5:$E$130=$B12)*ISNUMBER(INDEX(Inputs!$K$5:$AJ$130,0,MATCH(S$2,Inputs!$K$4:$AJ$4,0))))=0,NA(),SUMPRODUCT((Inputs!$A$5:$A$130=$B12)*Inputs!$B$5:$B$130*(((Inputs!$G$5:$G$130="moeda")+(Inputs!$G$5:$G$130="acoes"))*Inputs!$B$1+((Inputs!$G$5:$G$130&lt;&gt;"moeda")*(Inputs!$G$5:$G$130&lt;&gt;"acoes")))*INDEX(Inputs!$K$5:$AJ$130,0,MATCH(S$2,Inputs!$K$4:$AJ$4,0)))+SUMPRODUCT((Inputs!$C$5:$C$130=$B12)*Inputs!$D$5:$D$130*(((Inputs!$G$5:$G$130="moeda")+(Inputs!$G$5:$G$130="acoes"))*Inputs!$B$1+((Inputs!$G$5:$G$130&lt;&gt;"moeda")*(Inputs!$G$5:$G$130&lt;&gt;"acoes")))*INDEX(Inputs!$K$5:$AJ$130,0,MATCH(S$2,Inputs!$K$4:$AJ$4,0)))+SUMPRODUCT((Inputs!$E$5:$E$130=$B12)*Inputs!$F$5:$F$130*(((Inputs!$G$5:$G$130="moeda")+(Inputs!$G$5:$G$130="acoes"))*Inputs!$B$1+((Inputs!$G$5:$G$130&lt;&gt;"moeda")*(Inputs!$G$5:$G$130&lt;&gt;"acoes")))*INDEX(Inputs!$K$5:$AJ$130,0,MATCH(S$2,Inputs!$K$4:$AJ$4,0)))))</f>
        <v>2</v>
      </c>
      <c r="T12" s="6">
        <f>IF(ISNA(MATCH(T$2,Inputs!$K$4:$AJ$4,0)),NA(),IF(SUMPRODUCT((Inputs!$A$5:$A$130=$B12)*ISNUMBER(INDEX(Inputs!$K$5:$AJ$130,0,MATCH(T$2,Inputs!$K$4:$AJ$4,0))))+SUMPRODUCT((Inputs!$C$5:$C$130=$B12)*ISNUMBER(INDEX(Inputs!$K$5:$AJ$130,0,MATCH(T$2,Inputs!$K$4:$AJ$4,0))))+SUMPRODUCT((Inputs!$E$5:$E$130=$B12)*ISNUMBER(INDEX(Inputs!$K$5:$AJ$130,0,MATCH(T$2,Inputs!$K$4:$AJ$4,0))))=0,NA(),SUMPRODUCT((Inputs!$A$5:$A$130=$B12)*Inputs!$B$5:$B$130*(((Inputs!$G$5:$G$130="moeda")+(Inputs!$G$5:$G$130="acoes"))*Inputs!$B$1+((Inputs!$G$5:$G$130&lt;&gt;"moeda")*(Inputs!$G$5:$G$130&lt;&gt;"acoes")))*INDEX(Inputs!$K$5:$AJ$130,0,MATCH(T$2,Inputs!$K$4:$AJ$4,0)))+SUMPRODUCT((Inputs!$C$5:$C$130=$B12)*Inputs!$D$5:$D$130*(((Inputs!$G$5:$G$130="moeda")+(Inputs!$G$5:$G$130="acoes"))*Inputs!$B$1+((Inputs!$G$5:$G$130&lt;&gt;"moeda")*(Inputs!$G$5:$G$130&lt;&gt;"acoes")))*INDEX(Inputs!$K$5:$AJ$130,0,MATCH(T$2,Inputs!$K$4:$AJ$4,0)))+SUMPRODUCT((Inputs!$E$5:$E$130=$B12)*Inputs!$F$5:$F$130*(((Inputs!$G$5:$G$130="moeda")+(Inputs!$G$5:$G$130="acoes"))*Inputs!$B$1+((Inputs!$G$5:$G$130&lt;&gt;"moeda")*(Inputs!$G$5:$G$130&lt;&gt;"acoes")))*INDEX(Inputs!$K$5:$AJ$130,0,MATCH(T$2,Inputs!$K$4:$AJ$4,0)))))</f>
        <v>3</v>
      </c>
      <c r="U12" s="6">
        <f>IF(ISNA(MATCH(U$2,Inputs!$K$4:$AJ$4,0)),NA(),IF(SUMPRODUCT((Inputs!$A$5:$A$130=$B12)*ISNUMBER(INDEX(Inputs!$K$5:$AJ$130,0,MATCH(U$2,Inputs!$K$4:$AJ$4,0))))+SUMPRODUCT((Inputs!$C$5:$C$130=$B12)*ISNUMBER(INDEX(Inputs!$K$5:$AJ$130,0,MATCH(U$2,Inputs!$K$4:$AJ$4,0))))+SUMPRODUCT((Inputs!$E$5:$E$130=$B12)*ISNUMBER(INDEX(Inputs!$K$5:$AJ$130,0,MATCH(U$2,Inputs!$K$4:$AJ$4,0))))=0,NA(),SUMPRODUCT((Inputs!$A$5:$A$130=$B12)*Inputs!$B$5:$B$130*(((Inputs!$G$5:$G$130="moeda")+(Inputs!$G$5:$G$130="acoes"))*Inputs!$B$1+((Inputs!$G$5:$G$130&lt;&gt;"moeda")*(Inputs!$G$5:$G$130&lt;&gt;"acoes")))*INDEX(Inputs!$K$5:$AJ$130,0,MATCH(U$2,Inputs!$K$4:$AJ$4,0)))+SUMPRODUCT((Inputs!$C$5:$C$130=$B12)*Inputs!$D$5:$D$130*(((Inputs!$G$5:$G$130="moeda")+(Inputs!$G$5:$G$130="acoes"))*Inputs!$B$1+((Inputs!$G$5:$G$130&lt;&gt;"moeda")*(Inputs!$G$5:$G$130&lt;&gt;"acoes")))*INDEX(Inputs!$K$5:$AJ$130,0,MATCH(U$2,Inputs!$K$4:$AJ$4,0)))+SUMPRODUCT((Inputs!$E$5:$E$130=$B12)*Inputs!$F$5:$F$130*(((Inputs!$G$5:$G$130="moeda")+(Inputs!$G$5:$G$130="acoes"))*Inputs!$B$1+((Inputs!$G$5:$G$130&lt;&gt;"moeda")*(Inputs!$G$5:$G$130&lt;&gt;"acoes")))*INDEX(Inputs!$K$5:$AJ$130,0,MATCH(U$2,Inputs!$K$4:$AJ$4,0)))))</f>
        <v>3</v>
      </c>
      <c r="V12" s="6">
        <f>IF(ISNA(MATCH(V$2,Inputs!$K$4:$AJ$4,0)),NA(),IF(SUMPRODUCT((Inputs!$A$5:$A$130=$B12)*ISNUMBER(INDEX(Inputs!$K$5:$AJ$130,0,MATCH(V$2,Inputs!$K$4:$AJ$4,0))))+SUMPRODUCT((Inputs!$C$5:$C$130=$B12)*ISNUMBER(INDEX(Inputs!$K$5:$AJ$130,0,MATCH(V$2,Inputs!$K$4:$AJ$4,0))))+SUMPRODUCT((Inputs!$E$5:$E$130=$B12)*ISNUMBER(INDEX(Inputs!$K$5:$AJ$130,0,MATCH(V$2,Inputs!$K$4:$AJ$4,0))))=0,NA(),SUMPRODUCT((Inputs!$A$5:$A$130=$B12)*Inputs!$B$5:$B$130*(((Inputs!$G$5:$G$130="moeda")+(Inputs!$G$5:$G$130="acoes"))*Inputs!$B$1+((Inputs!$G$5:$G$130&lt;&gt;"moeda")*(Inputs!$G$5:$G$130&lt;&gt;"acoes")))*INDEX(Inputs!$K$5:$AJ$130,0,MATCH(V$2,Inputs!$K$4:$AJ$4,0)))+SUMPRODUCT((Inputs!$C$5:$C$130=$B12)*Inputs!$D$5:$D$130*(((Inputs!$G$5:$G$130="moeda")+(Inputs!$G$5:$G$130="acoes"))*Inputs!$B$1+((Inputs!$G$5:$G$130&lt;&gt;"moeda")*(Inputs!$G$5:$G$130&lt;&gt;"acoes")))*INDEX(Inputs!$K$5:$AJ$130,0,MATCH(V$2,Inputs!$K$4:$AJ$4,0)))+SUMPRODUCT((Inputs!$E$5:$E$130=$B12)*Inputs!$F$5:$F$130*(((Inputs!$G$5:$G$130="moeda")+(Inputs!$G$5:$G$130="acoes"))*Inputs!$B$1+((Inputs!$G$5:$G$130&lt;&gt;"moeda")*(Inputs!$G$5:$G$130&lt;&gt;"acoes")))*INDEX(Inputs!$K$5:$AJ$130,0,MATCH(V$2,Inputs!$K$4:$AJ$4,0)))))</f>
        <v>2</v>
      </c>
      <c r="W12" s="3">
        <f>SUM(S12:V12)</f>
        <v>10</v>
      </c>
      <c r="X12" s="6">
        <f>IF(ISNA(MATCH(X$2,Inputs!$K$4:$AJ$4,0)),NA(),IF(SUMPRODUCT((Inputs!$A$5:$A$130=$B12)*ISNUMBER(INDEX(Inputs!$K$5:$AJ$130,0,MATCH(X$2,Inputs!$K$4:$AJ$4,0))))+SUMPRODUCT((Inputs!$C$5:$C$130=$B12)*ISNUMBER(INDEX(Inputs!$K$5:$AJ$130,0,MATCH(X$2,Inputs!$K$4:$AJ$4,0))))+SUMPRODUCT((Inputs!$E$5:$E$130=$B12)*ISNUMBER(INDEX(Inputs!$K$5:$AJ$130,0,MATCH(X$2,Inputs!$K$4:$AJ$4,0))))=0,NA(),SUMPRODUCT((Inputs!$A$5:$A$130=$B12)*Inputs!$B$5:$B$130*(((Inputs!$G$5:$G$130="moeda")+(Inputs!$G$5:$G$130="acoes"))*Inputs!$B$1+((Inputs!$G$5:$G$130&lt;&gt;"moeda")*(Inputs!$G$5:$G$130&lt;&gt;"acoes")))*INDEX(Inputs!$K$5:$AJ$130,0,MATCH(X$2,Inputs!$K$4:$AJ$4,0)))+SUMPRODUCT((Inputs!$C$5:$C$130=$B12)*Inputs!$D$5:$D$130*(((Inputs!$G$5:$G$130="moeda")+(Inputs!$G$5:$G$130="acoes"))*Inputs!$B$1+((Inputs!$G$5:$G$130&lt;&gt;"moeda")*(Inputs!$G$5:$G$130&lt;&gt;"acoes")))*INDEX(Inputs!$K$5:$AJ$130,0,MATCH(X$2,Inputs!$K$4:$AJ$4,0)))+SUMPRODUCT((Inputs!$E$5:$E$130=$B12)*Inputs!$F$5:$F$130*(((Inputs!$G$5:$G$130="moeda")+(Inputs!$G$5:$G$130="acoes"))*Inputs!$B$1+((Inputs!$G$5:$G$130&lt;&gt;"moeda")*(Inputs!$G$5:$G$130&lt;&gt;"acoes")))*INDEX(Inputs!$K$5:$AJ$130,0,MATCH(X$2,Inputs!$K$4:$AJ$4,0)))))</f>
        <v>3</v>
      </c>
      <c r="Y12" s="6">
        <f>IF(ISNA(MATCH(Y$2,Inputs!$K$4:$AJ$4,0)),NA(),IF(SUMPRODUCT((Inputs!$A$5:$A$130=$B12)*ISNUMBER(INDEX(Inputs!$K$5:$AJ$130,0,MATCH(Y$2,Inputs!$K$4:$AJ$4,0))))+SUMPRODUCT((Inputs!$C$5:$C$130=$B12)*ISNUMBER(INDEX(Inputs!$K$5:$AJ$130,0,MATCH(Y$2,Inputs!$K$4:$AJ$4,0))))+SUMPRODUCT((Inputs!$E$5:$E$130=$B12)*ISNUMBER(INDEX(Inputs!$K$5:$AJ$130,0,MATCH(Y$2,Inputs!$K$4:$AJ$4,0))))=0,NA(),SUMPRODUCT((Inputs!$A$5:$A$130=$B12)*Inputs!$B$5:$B$130*(((Inputs!$G$5:$G$130="moeda")+(Inputs!$G$5:$G$130="acoes"))*Inputs!$B$1+((Inputs!$G$5:$G$130&lt;&gt;"moeda")*(Inputs!$G$5:$G$130&lt;&gt;"acoes")))*INDEX(Inputs!$K$5:$AJ$130,0,MATCH(Y$2,Inputs!$K$4:$AJ$4,0)))+SUMPRODUCT((Inputs!$C$5:$C$130=$B12)*Inputs!$D$5:$D$130*(((Inputs!$G$5:$G$130="moeda")+(Inputs!$G$5:$G$130="acoes"))*Inputs!$B$1+((Inputs!$G$5:$G$130&lt;&gt;"moeda")*(Inputs!$G$5:$G$130&lt;&gt;"acoes")))*INDEX(Inputs!$K$5:$AJ$130,0,MATCH(Y$2,Inputs!$K$4:$AJ$4,0)))+SUMPRODUCT((Inputs!$E$5:$E$130=$B12)*Inputs!$F$5:$F$130*(((Inputs!$G$5:$G$130="moeda")+(Inputs!$G$5:$G$130="acoes"))*Inputs!$B$1+((Inputs!$G$5:$G$130&lt;&gt;"moeda")*(Inputs!$G$5:$G$130&lt;&gt;"acoes")))*INDEX(Inputs!$K$5:$AJ$130,0,MATCH(Y$2,Inputs!$K$4:$AJ$4,0)))))</f>
        <v>18</v>
      </c>
      <c r="Z12" s="6">
        <f>IF(ISNA(MATCH(Z$2,Inputs!$K$4:$AJ$4,0)),NA(),IF(SUMPRODUCT((Inputs!$A$5:$A$130=$B12)*ISNUMBER(INDEX(Inputs!$K$5:$AJ$130,0,MATCH(Z$2,Inputs!$K$4:$AJ$4,0))))+SUMPRODUCT((Inputs!$C$5:$C$130=$B12)*ISNUMBER(INDEX(Inputs!$K$5:$AJ$130,0,MATCH(Z$2,Inputs!$K$4:$AJ$4,0))))+SUMPRODUCT((Inputs!$E$5:$E$130=$B12)*ISNUMBER(INDEX(Inputs!$K$5:$AJ$130,0,MATCH(Z$2,Inputs!$K$4:$AJ$4,0))))=0,NA(),SUMPRODUCT((Inputs!$A$5:$A$130=$B12)*Inputs!$B$5:$B$130*(((Inputs!$G$5:$G$130="moeda")+(Inputs!$G$5:$G$130="acoes"))*Inputs!$B$1+((Inputs!$G$5:$G$130&lt;&gt;"moeda")*(Inputs!$G$5:$G$130&lt;&gt;"acoes")))*INDEX(Inputs!$K$5:$AJ$130,0,MATCH(Z$2,Inputs!$K$4:$AJ$4,0)))+SUMPRODUCT((Inputs!$C$5:$C$130=$B12)*Inputs!$D$5:$D$130*(((Inputs!$G$5:$G$130="moeda")+(Inputs!$G$5:$G$130="acoes"))*Inputs!$B$1+((Inputs!$G$5:$G$130&lt;&gt;"moeda")*(Inputs!$G$5:$G$130&lt;&gt;"acoes")))*INDEX(Inputs!$K$5:$AJ$130,0,MATCH(Z$2,Inputs!$K$4:$AJ$4,0)))+SUMPRODUCT((Inputs!$E$5:$E$130=$B12)*Inputs!$F$5:$F$130*(((Inputs!$G$5:$G$130="moeda")+(Inputs!$G$5:$G$130="acoes"))*Inputs!$B$1+((Inputs!$G$5:$G$130&lt;&gt;"moeda")*(Inputs!$G$5:$G$130&lt;&gt;"acoes")))*INDEX(Inputs!$K$5:$AJ$130,0,MATCH(Z$2,Inputs!$K$4:$AJ$4,0)))))</f>
        <v>5</v>
      </c>
      <c r="AA12" s="6">
        <f>IF(ISNA(MATCH(AA$2,Inputs!$K$4:$AJ$4,0)),NA(),IF(SUMPRODUCT((Inputs!$A$5:$A$130=$B12)*ISNUMBER(INDEX(Inputs!$K$5:$AJ$130,0,MATCH(AA$2,Inputs!$K$4:$AJ$4,0))))+SUMPRODUCT((Inputs!$C$5:$C$130=$B12)*ISNUMBER(INDEX(Inputs!$K$5:$AJ$130,0,MATCH(AA$2,Inputs!$K$4:$AJ$4,0))))+SUMPRODUCT((Inputs!$E$5:$E$130=$B12)*ISNUMBER(INDEX(Inputs!$K$5:$AJ$130,0,MATCH(AA$2,Inputs!$K$4:$AJ$4,0))))=0,NA(),SUMPRODUCT((Inputs!$A$5:$A$130=$B12)*Inputs!$B$5:$B$130*(((Inputs!$G$5:$G$130="moeda")+(Inputs!$G$5:$G$130="acoes"))*Inputs!$B$1+((Inputs!$G$5:$G$130&lt;&gt;"moeda")*(Inputs!$G$5:$G$130&lt;&gt;"acoes")))*INDEX(Inputs!$K$5:$AJ$130,0,MATCH(AA$2,Inputs!$K$4:$AJ$4,0)))+SUMPRODUCT((Inputs!$C$5:$C$130=$B12)*Inputs!$D$5:$D$130*(((Inputs!$G$5:$G$130="moeda")+(Inputs!$G$5:$G$130="acoes"))*Inputs!$B$1+((Inputs!$G$5:$G$130&lt;&gt;"moeda")*(Inputs!$G$5:$G$130&lt;&gt;"acoes")))*INDEX(Inputs!$K$5:$AJ$130,0,MATCH(AA$2,Inputs!$K$4:$AJ$4,0)))+SUMPRODUCT((Inputs!$E$5:$E$130=$B12)*Inputs!$F$5:$F$130*(((Inputs!$G$5:$G$130="moeda")+(Inputs!$G$5:$G$130="acoes"))*Inputs!$B$1+((Inputs!$G$5:$G$130&lt;&gt;"moeda")*(Inputs!$G$5:$G$130&lt;&gt;"acoes")))*INDEX(Inputs!$K$5:$AJ$130,0,MATCH(AA$2,Inputs!$K$4:$AJ$4,0)))))</f>
        <v>1</v>
      </c>
      <c r="AB12" s="3">
        <f>SUM(X12:AA12)</f>
        <v>27</v>
      </c>
      <c r="AC12" s="6">
        <f>IF(ISNA(MATCH(AC$2,Inputs!$K$4:$AJ$4,0)),NA(),IF(SUMPRODUCT((Inputs!$A$5:$A$130=$B12)*ISNUMBER(INDEX(Inputs!$K$5:$AJ$130,0,MATCH(AC$2,Inputs!$K$4:$AJ$4,0))))+SUMPRODUCT((Inputs!$C$5:$C$130=$B12)*ISNUMBER(INDEX(Inputs!$K$5:$AJ$130,0,MATCH(AC$2,Inputs!$K$4:$AJ$4,0))))+SUMPRODUCT((Inputs!$E$5:$E$130=$B12)*ISNUMBER(INDEX(Inputs!$K$5:$AJ$130,0,MATCH(AC$2,Inputs!$K$4:$AJ$4,0))))=0,NA(),SUMPRODUCT((Inputs!$A$5:$A$130=$B12)*Inputs!$B$5:$B$130*(((Inputs!$G$5:$G$130="moeda")+(Inputs!$G$5:$G$130="acoes"))*Inputs!$B$1+((Inputs!$G$5:$G$130&lt;&gt;"moeda")*(Inputs!$G$5:$G$130&lt;&gt;"acoes")))*INDEX(Inputs!$K$5:$AJ$130,0,MATCH(AC$2,Inputs!$K$4:$AJ$4,0)))+SUMPRODUCT((Inputs!$C$5:$C$130=$B12)*Inputs!$D$5:$D$130*(((Inputs!$G$5:$G$130="moeda")+(Inputs!$G$5:$G$130="acoes"))*Inputs!$B$1+((Inputs!$G$5:$G$130&lt;&gt;"moeda")*(Inputs!$G$5:$G$130&lt;&gt;"acoes")))*INDEX(Inputs!$K$5:$AJ$130,0,MATCH(AC$2,Inputs!$K$4:$AJ$4,0)))+SUMPRODUCT((Inputs!$E$5:$E$130=$B12)*Inputs!$F$5:$F$130*(((Inputs!$G$5:$G$130="moeda")+(Inputs!$G$5:$G$130="acoes"))*Inputs!$B$1+((Inputs!$G$5:$G$130&lt;&gt;"moeda")*(Inputs!$G$5:$G$130&lt;&gt;"acoes")))*INDEX(Inputs!$K$5:$AJ$130,0,MATCH(AC$2,Inputs!$K$4:$AJ$4,0)))))</f>
        <v>3</v>
      </c>
      <c r="AD12" s="6">
        <f>IF(ISNA(MATCH(AD$2,Inputs!$K$4:$AJ$4,0)),NA(),IF(SUMPRODUCT((Inputs!$A$5:$A$130=$B12)*ISNUMBER(INDEX(Inputs!$K$5:$AJ$130,0,MATCH(AD$2,Inputs!$K$4:$AJ$4,0))))+SUMPRODUCT((Inputs!$C$5:$C$130=$B12)*ISNUMBER(INDEX(Inputs!$K$5:$AJ$130,0,MATCH(AD$2,Inputs!$K$4:$AJ$4,0))))+SUMPRODUCT((Inputs!$E$5:$E$130=$B12)*ISNUMBER(INDEX(Inputs!$K$5:$AJ$130,0,MATCH(AD$2,Inputs!$K$4:$AJ$4,0))))=0,NA(),SUMPRODUCT((Inputs!$A$5:$A$130=$B12)*Inputs!$B$5:$B$130*(((Inputs!$G$5:$G$130="moeda")+(Inputs!$G$5:$G$130="acoes"))*Inputs!$B$1+((Inputs!$G$5:$G$130&lt;&gt;"moeda")*(Inputs!$G$5:$G$130&lt;&gt;"acoes")))*INDEX(Inputs!$K$5:$AJ$130,0,MATCH(AD$2,Inputs!$K$4:$AJ$4,0)))+SUMPRODUCT((Inputs!$C$5:$C$130=$B12)*Inputs!$D$5:$D$130*(((Inputs!$G$5:$G$130="moeda")+(Inputs!$G$5:$G$130="acoes"))*Inputs!$B$1+((Inputs!$G$5:$G$130&lt;&gt;"moeda")*(Inputs!$G$5:$G$130&lt;&gt;"acoes")))*INDEX(Inputs!$K$5:$AJ$130,0,MATCH(AD$2,Inputs!$K$4:$AJ$4,0)))+SUMPRODUCT((Inputs!$E$5:$E$130=$B12)*Inputs!$F$5:$F$130*(((Inputs!$G$5:$G$130="moeda")+(Inputs!$G$5:$G$130="acoes"))*Inputs!$B$1+((Inputs!$G$5:$G$130&lt;&gt;"moeda")*(Inputs!$G$5:$G$130&lt;&gt;"acoes")))*INDEX(Inputs!$K$5:$AJ$130,0,MATCH(AD$2,Inputs!$K$4:$AJ$4,0)))))</f>
        <v>2</v>
      </c>
      <c r="AE12" s="6" t="e">
        <f>IF(ISNA(MATCH(AE$2,Inputs!$K$4:$AJ$4,0)),NA(),IF(SUMPRODUCT((Inputs!$A$5:$A$130=$B12)*ISNUMBER(INDEX(Inputs!$K$5:$AJ$130,0,MATCH(AE$2,Inputs!$K$4:$AJ$4,0))))+SUMPRODUCT((Inputs!$C$5:$C$130=$B12)*ISNUMBER(INDEX(Inputs!$K$5:$AJ$130,0,MATCH(AE$2,Inputs!$K$4:$AJ$4,0))))+SUMPRODUCT((Inputs!$E$5:$E$130=$B12)*ISNUMBER(INDEX(Inputs!$K$5:$AJ$130,0,MATCH(AE$2,Inputs!$K$4:$AJ$4,0))))=0,NA(),SUMPRODUCT((Inputs!$A$5:$A$130=$B12)*Inputs!$B$5:$B$130*(((Inputs!$G$5:$G$130="moeda")+(Inputs!$G$5:$G$130="acoes"))*Inputs!$B$1+((Inputs!$G$5:$G$130&lt;&gt;"moeda")*(Inputs!$G$5:$G$130&lt;&gt;"acoes")))*INDEX(Inputs!$K$5:$AJ$130,0,MATCH(AE$2,Inputs!$K$4:$AJ$4,0)))+SUMPRODUCT((Inputs!$C$5:$C$130=$B12)*Inputs!$D$5:$D$130*(((Inputs!$G$5:$G$130="moeda")+(Inputs!$G$5:$G$130="acoes"))*Inputs!$B$1+((Inputs!$G$5:$G$130&lt;&gt;"moeda")*(Inputs!$G$5:$G$130&lt;&gt;"acoes")))*INDEX(Inputs!$K$5:$AJ$130,0,MATCH(AE$2,Inputs!$K$4:$AJ$4,0)))+SUMPRODUCT((Inputs!$E$5:$E$130=$B12)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2" s="6" t="e">
        <f>IF(ISNA(MATCH(AF$2,Inputs!$K$4:$AJ$4,0)),NA(),IF(SUMPRODUCT((Inputs!$A$5:$A$130=$B12)*ISNUMBER(INDEX(Inputs!$K$5:$AJ$130,0,MATCH(AF$2,Inputs!$K$4:$AJ$4,0))))+SUMPRODUCT((Inputs!$C$5:$C$130=$B12)*ISNUMBER(INDEX(Inputs!$K$5:$AJ$130,0,MATCH(AF$2,Inputs!$K$4:$AJ$4,0))))+SUMPRODUCT((Inputs!$E$5:$E$130=$B12)*ISNUMBER(INDEX(Inputs!$K$5:$AJ$130,0,MATCH(AF$2,Inputs!$K$4:$AJ$4,0))))=0,NA(),SUMPRODUCT((Inputs!$A$5:$A$130=$B12)*Inputs!$B$5:$B$130*(((Inputs!$G$5:$G$130="moeda")+(Inputs!$G$5:$G$130="acoes"))*Inputs!$B$1+((Inputs!$G$5:$G$130&lt;&gt;"moeda")*(Inputs!$G$5:$G$130&lt;&gt;"acoes")))*INDEX(Inputs!$K$5:$AJ$130,0,MATCH(AF$2,Inputs!$K$4:$AJ$4,0)))+SUMPRODUCT((Inputs!$C$5:$C$130=$B12)*Inputs!$D$5:$D$130*(((Inputs!$G$5:$G$130="moeda")+(Inputs!$G$5:$G$130="acoes"))*Inputs!$B$1+((Inputs!$G$5:$G$130&lt;&gt;"moeda")*(Inputs!$G$5:$G$130&lt;&gt;"acoes")))*INDEX(Inputs!$K$5:$AJ$130,0,MATCH(AF$2,Inputs!$K$4:$AJ$4,0)))+SUMPRODUCT((Inputs!$E$5:$E$130=$B12)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$130=$B12)*ISNUMBER(INDEX(Inputs!$K$5:$AJ$130,0,MATCH(AH$2,Inputs!$K$4:$AJ$4,0))))+SUMPRODUCT((Inputs!$C$5:$C$130=$B12)*ISNUMBER(INDEX(Inputs!$K$5:$AJ$130,0,MATCH(AH$2,Inputs!$K$4:$AJ$4,0))))+SUMPRODUCT((Inputs!$E$5:$E$130=$B12)*ISNUMBER(INDEX(Inputs!$K$5:$AJ$130,0,MATCH(AH$2,Inputs!$K$4:$AJ$4,0))))=0,NA(),SUMPRODUCT((Inputs!$A$5:$A$130=$B12)*Inputs!$B$5:$B$130*(((Inputs!$G$5:$G$130="moeda")+(Inputs!$G$5:$G$130="acoes"))*Inputs!$B$1+((Inputs!$G$5:$G$130&lt;&gt;"moeda")*(Inputs!$G$5:$G$130&lt;&gt;"acoes")))*INDEX(Inputs!$K$5:$AJ$130,0,MATCH(AH$2,Inputs!$K$4:$AJ$4,0)))+SUMPRODUCT((Inputs!$C$5:$C$130=$B12)*Inputs!$D$5:$D$130*(((Inputs!$G$5:$G$130="moeda")+(Inputs!$G$5:$G$130="acoes"))*Inputs!$B$1+((Inputs!$G$5:$G$130&lt;&gt;"moeda")*(Inputs!$G$5:$G$130&lt;&gt;"acoes")))*INDEX(Inputs!$K$5:$AJ$130,0,MATCH(AH$2,Inputs!$K$4:$AJ$4,0)))+SUMPRODUCT((Inputs!$E$5:$E$130=$B12)*Inputs!$F$5:$F$130*(((Inputs!$G$5:$G$130="moeda")+(Inputs!$G$5:$G$130="acoes"))*Inputs!$B$1+((Inputs!$G$5:$G$130&lt;&gt;"moeda")*(Inputs!$G$5:$G$130&lt;&gt;"acoes")))*INDEX(Inputs!$K$5:$AJ$130,0,MATCH(AH$2,Inputs!$K$4:$AJ$4,0)))))</f>
        <v>0</v>
      </c>
      <c r="AI12" s="6">
        <f>IF(ISNA(MATCH(AI$2,Inputs!$K$4:$AJ$4,0)),NA(),IF(SUMPRODUCT((Inputs!$A$5:$A$130=$B12)*ISNUMBER(INDEX(Inputs!$K$5:$AJ$130,0,MATCH(AI$2,Inputs!$K$4:$AJ$4,0))))+SUMPRODUCT((Inputs!$C$5:$C$130=$B12)*ISNUMBER(INDEX(Inputs!$K$5:$AJ$130,0,MATCH(AI$2,Inputs!$K$4:$AJ$4,0))))+SUMPRODUCT((Inputs!$E$5:$E$130=$B12)*ISNUMBER(INDEX(Inputs!$K$5:$AJ$130,0,MATCH(AI$2,Inputs!$K$4:$AJ$4,0))))=0,NA(),SUMPRODUCT((Inputs!$A$5:$A$130=$B12)*Inputs!$B$5:$B$130*(((Inputs!$G$5:$G$130="moeda")+(Inputs!$G$5:$G$130="acoes"))*Inputs!$B$1+((Inputs!$G$5:$G$130&lt;&gt;"moeda")*(Inputs!$G$5:$G$130&lt;&gt;"acoes")))*INDEX(Inputs!$K$5:$AJ$130,0,MATCH(AI$2,Inputs!$K$4:$AJ$4,0)))+SUMPRODUCT((Inputs!$C$5:$C$130=$B12)*Inputs!$D$5:$D$130*(((Inputs!$G$5:$G$130="moeda")+(Inputs!$G$5:$G$130="acoes"))*Inputs!$B$1+((Inputs!$G$5:$G$130&lt;&gt;"moeda")*(Inputs!$G$5:$G$130&lt;&gt;"acoes")))*INDEX(Inputs!$K$5:$AJ$130,0,MATCH(AI$2,Inputs!$K$4:$AJ$4,0)))+SUMPRODUCT((Inputs!$E$5:$E$130=$B12)*Inputs!$F$5:$F$130*(((Inputs!$G$5:$G$130="moeda")+(Inputs!$G$5:$G$130="acoes"))*Inputs!$B$1+((Inputs!$G$5:$G$130&lt;&gt;"moeda")*(Inputs!$G$5:$G$130&lt;&gt;"acoes")))*INDEX(Inputs!$K$5:$AJ$130,0,MATCH(AI$2,Inputs!$K$4:$AJ$4,0)))))</f>
        <v>0</v>
      </c>
      <c r="AJ12" s="6">
        <f>IF(ISNA(MATCH(AJ$2,Inputs!$K$4:$AJ$4,0)),NA(),IF(SUMPRODUCT((Inputs!$A$5:$A$130=$B12)*ISNUMBER(INDEX(Inputs!$K$5:$AJ$130,0,MATCH(AJ$2,Inputs!$K$4:$AJ$4,0))))+SUMPRODUCT((Inputs!$C$5:$C$130=$B12)*ISNUMBER(INDEX(Inputs!$K$5:$AJ$130,0,MATCH(AJ$2,Inputs!$K$4:$AJ$4,0))))+SUMPRODUCT((Inputs!$E$5:$E$130=$B12)*ISNUMBER(INDEX(Inputs!$K$5:$AJ$130,0,MATCH(AJ$2,Inputs!$K$4:$AJ$4,0))))=0,NA(),SUMPRODUCT((Inputs!$A$5:$A$130=$B12)*Inputs!$B$5:$B$130*(((Inputs!$G$5:$G$130="moeda")+(Inputs!$G$5:$G$130="acoes"))*Inputs!$B$1+((Inputs!$G$5:$G$130&lt;&gt;"moeda")*(Inputs!$G$5:$G$130&lt;&gt;"acoes")))*INDEX(Inputs!$K$5:$AJ$130,0,MATCH(AJ$2,Inputs!$K$4:$AJ$4,0)))+SUMPRODUCT((Inputs!$C$5:$C$130=$B12)*Inputs!$D$5:$D$130*(((Inputs!$G$5:$G$130="moeda")+(Inputs!$G$5:$G$130="acoes"))*Inputs!$B$1+((Inputs!$G$5:$G$130&lt;&gt;"moeda")*(Inputs!$G$5:$G$130&lt;&gt;"acoes")))*INDEX(Inputs!$K$5:$AJ$130,0,MATCH(AJ$2,Inputs!$K$4:$AJ$4,0)))+SUMPRODUCT((Inputs!$E$5:$E$130=$B12)*Inputs!$F$5:$F$130*(((Inputs!$G$5:$G$130="moeda")+(Inputs!$G$5:$G$130="acoes"))*Inputs!$B$1+((Inputs!$G$5:$G$130&lt;&gt;"moeda")*(Inputs!$G$5:$G$130&lt;&gt;"acoes")))*INDEX(Inputs!$K$5:$AJ$130,0,MATCH(AJ$2,Inputs!$K$4:$AJ$4,0)))))</f>
        <v>0</v>
      </c>
      <c r="AK12" s="6">
        <f>IF(ISNA(MATCH(AK$2,Inputs!$K$4:$AJ$4,0)),NA(),IF(SUMPRODUCT((Inputs!$A$5:$A$130=$B12)*ISNUMBER(INDEX(Inputs!$K$5:$AJ$130,0,MATCH(AK$2,Inputs!$K$4:$AJ$4,0))))+SUMPRODUCT((Inputs!$C$5:$C$130=$B12)*ISNUMBER(INDEX(Inputs!$K$5:$AJ$130,0,MATCH(AK$2,Inputs!$K$4:$AJ$4,0))))+SUMPRODUCT((Inputs!$E$5:$E$130=$B12)*ISNUMBER(INDEX(Inputs!$K$5:$AJ$130,0,MATCH(AK$2,Inputs!$K$4:$AJ$4,0))))=0,NA(),SUMPRODUCT((Inputs!$A$5:$A$130=$B12)*Inputs!$B$5:$B$130*(((Inputs!$G$5:$G$130="moeda")+(Inputs!$G$5:$G$130="acoes"))*Inputs!$B$1+((Inputs!$G$5:$G$130&lt;&gt;"moeda")*(Inputs!$G$5:$G$130&lt;&gt;"acoes")))*INDEX(Inputs!$K$5:$AJ$130,0,MATCH(AK$2,Inputs!$K$4:$AJ$4,0)))+SUMPRODUCT((Inputs!$C$5:$C$130=$B12)*Inputs!$D$5:$D$130*(((Inputs!$G$5:$G$130="moeda")+(Inputs!$G$5:$G$130="acoes"))*Inputs!$B$1+((Inputs!$G$5:$G$130&lt;&gt;"moeda")*(Inputs!$G$5:$G$130&lt;&gt;"acoes")))*INDEX(Inputs!$K$5:$AJ$130,0,MATCH(AK$2,Inputs!$K$4:$AJ$4,0)))+SUMPRODUCT((Inputs!$E$5:$E$130=$B12)*Inputs!$F$5:$F$130*(((Inputs!$G$5:$G$130="moeda")+(Inputs!$G$5:$G$130="acoes"))*Inputs!$B$1+((Inputs!$G$5:$G$130&lt;&gt;"moeda")*(Inputs!$G$5:$G$130&lt;&gt;"acoes")))*INDEX(Inputs!$K$5:$AJ$130,0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$130=$B13)*ISNUMBER(INDEX(Inputs!$K$5:$AJ$130,0,MATCH(D$2,Inputs!$K$4:$AJ$4,0))))+SUMPRODUCT((Inputs!$C$5:$C$130=$B13)*ISNUMBER(INDEX(Inputs!$K$5:$AJ$130,0,MATCH(D$2,Inputs!$K$4:$AJ$4,0))))+SUMPRODUCT((Inputs!$E$5:$E$130=$B13)*ISNUMBER(INDEX(Inputs!$K$5:$AJ$130,0,MATCH(D$2,Inputs!$K$4:$AJ$4,0))))=0,NA(),SUMPRODUCT((Inputs!$A$5:$A$130=$B13)*Inputs!$B$5:$B$130*(((Inputs!$G$5:$G$130="moeda")+(Inputs!$G$5:$G$130="acoes"))*Inputs!$B$1+((Inputs!$G$5:$G$130&lt;&gt;"moeda")*(Inputs!$G$5:$G$130&lt;&gt;"acoes")))*INDEX(Inputs!$K$5:$AJ$130,0,MATCH(D$2,Inputs!$K$4:$AJ$4,0)))+SUMPRODUCT((Inputs!$C$5:$C$130=$B13)*Inputs!$D$5:$D$130*(((Inputs!$G$5:$G$130="moeda")+(Inputs!$G$5:$G$130="acoes"))*Inputs!$B$1+((Inputs!$G$5:$G$130&lt;&gt;"moeda")*(Inputs!$G$5:$G$130&lt;&gt;"acoes")))*INDEX(Inputs!$K$5:$AJ$130,0,MATCH(D$2,Inputs!$K$4:$AJ$4,0)))+SUMPRODUCT((Inputs!$E$5:$E$130=$B13)*Inputs!$F$5:$F$130*(((Inputs!$G$5:$G$130="moeda")+(Inputs!$G$5:$G$130="acoes"))*Inputs!$B$1+((Inputs!$G$5:$G$130&lt;&gt;"moeda")*(Inputs!$G$5:$G$130&lt;&gt;"acoes")))*INDEX(Inputs!$K$5:$AJ$130,0,MATCH(D$2,Inputs!$K$4:$AJ$4,0)))))</f>
        <v>-238</v>
      </c>
      <c r="E13" s="6">
        <f>IF(ISNA(MATCH(E$2,Inputs!$K$4:$AJ$4,0)),NA(),IF(SUMPRODUCT((Inputs!$A$5:$A$130=$B13)*ISNUMBER(INDEX(Inputs!$K$5:$AJ$130,0,MATCH(E$2,Inputs!$K$4:$AJ$4,0))))+SUMPRODUCT((Inputs!$C$5:$C$130=$B13)*ISNUMBER(INDEX(Inputs!$K$5:$AJ$130,0,MATCH(E$2,Inputs!$K$4:$AJ$4,0))))+SUMPRODUCT((Inputs!$E$5:$E$130=$B13)*ISNUMBER(INDEX(Inputs!$K$5:$AJ$130,0,MATCH(E$2,Inputs!$K$4:$AJ$4,0))))=0,NA(),SUMPRODUCT((Inputs!$A$5:$A$130=$B13)*Inputs!$B$5:$B$130*(((Inputs!$G$5:$G$130="moeda")+(Inputs!$G$5:$G$130="acoes"))*Inputs!$B$1+((Inputs!$G$5:$G$130&lt;&gt;"moeda")*(Inputs!$G$5:$G$130&lt;&gt;"acoes")))*INDEX(Inputs!$K$5:$AJ$130,0,MATCH(E$2,Inputs!$K$4:$AJ$4,0)))+SUMPRODUCT((Inputs!$C$5:$C$130=$B13)*Inputs!$D$5:$D$130*(((Inputs!$G$5:$G$130="moeda")+(Inputs!$G$5:$G$130="acoes"))*Inputs!$B$1+((Inputs!$G$5:$G$130&lt;&gt;"moeda")*(Inputs!$G$5:$G$130&lt;&gt;"acoes")))*INDEX(Inputs!$K$5:$AJ$130,0,MATCH(E$2,Inputs!$K$4:$AJ$4,0)))+SUMPRODUCT((Inputs!$E$5:$E$130=$B13)*Inputs!$F$5:$F$130*(((Inputs!$G$5:$G$130="moeda")+(Inputs!$G$5:$G$130="acoes"))*Inputs!$B$1+((Inputs!$G$5:$G$130&lt;&gt;"moeda")*(Inputs!$G$5:$G$130&lt;&gt;"acoes")))*INDEX(Inputs!$K$5:$AJ$130,0,MATCH(E$2,Inputs!$K$4:$AJ$4,0)))))</f>
        <v>-281</v>
      </c>
      <c r="F13" s="6">
        <f>IF(ISNA(MATCH(F$2,Inputs!$K$4:$AJ$4,0)),NA(),IF(SUMPRODUCT((Inputs!$A$5:$A$130=$B13)*ISNUMBER(INDEX(Inputs!$K$5:$AJ$130,0,MATCH(F$2,Inputs!$K$4:$AJ$4,0))))+SUMPRODUCT((Inputs!$C$5:$C$130=$B13)*ISNUMBER(INDEX(Inputs!$K$5:$AJ$130,0,MATCH(F$2,Inputs!$K$4:$AJ$4,0))))+SUMPRODUCT((Inputs!$E$5:$E$130=$B13)*ISNUMBER(INDEX(Inputs!$K$5:$AJ$130,0,MATCH(F$2,Inputs!$K$4:$AJ$4,0))))=0,NA(),SUMPRODUCT((Inputs!$A$5:$A$130=$B13)*Inputs!$B$5:$B$130*(((Inputs!$G$5:$G$130="moeda")+(Inputs!$G$5:$G$130="acoes"))*Inputs!$B$1+((Inputs!$G$5:$G$130&lt;&gt;"moeda")*(Inputs!$G$5:$G$130&lt;&gt;"acoes")))*INDEX(Inputs!$K$5:$AJ$130,0,MATCH(F$2,Inputs!$K$4:$AJ$4,0)))+SUMPRODUCT((Inputs!$C$5:$C$130=$B13)*Inputs!$D$5:$D$130*(((Inputs!$G$5:$G$130="moeda")+(Inputs!$G$5:$G$130="acoes"))*Inputs!$B$1+((Inputs!$G$5:$G$130&lt;&gt;"moeda")*(Inputs!$G$5:$G$130&lt;&gt;"acoes")))*INDEX(Inputs!$K$5:$AJ$130,0,MATCH(F$2,Inputs!$K$4:$AJ$4,0)))+SUMPRODUCT((Inputs!$E$5:$E$130=$B13)*Inputs!$F$5:$F$130*(((Inputs!$G$5:$G$130="moeda")+(Inputs!$G$5:$G$130="acoes"))*Inputs!$B$1+((Inputs!$G$5:$G$130&lt;&gt;"moeda")*(Inputs!$G$5:$G$130&lt;&gt;"acoes")))*INDEX(Inputs!$K$5:$AJ$130,0,MATCH(F$2,Inputs!$K$4:$AJ$4,0)))))</f>
        <v>-279</v>
      </c>
      <c r="G13" s="6">
        <f>IF(ISNA(MATCH(G$2,Inputs!$K$4:$AJ$4,0)),NA(),IF(SUMPRODUCT((Inputs!$A$5:$A$130=$B13)*ISNUMBER(INDEX(Inputs!$K$5:$AJ$130,0,MATCH(G$2,Inputs!$K$4:$AJ$4,0))))+SUMPRODUCT((Inputs!$C$5:$C$130=$B13)*ISNUMBER(INDEX(Inputs!$K$5:$AJ$130,0,MATCH(G$2,Inputs!$K$4:$AJ$4,0))))+SUMPRODUCT((Inputs!$E$5:$E$130=$B13)*ISNUMBER(INDEX(Inputs!$K$5:$AJ$130,0,MATCH(G$2,Inputs!$K$4:$AJ$4,0))))=0,NA(),SUMPRODUCT((Inputs!$A$5:$A$130=$B13)*Inputs!$B$5:$B$130*(((Inputs!$G$5:$G$130="moeda")+(Inputs!$G$5:$G$130="acoes"))*Inputs!$B$1+((Inputs!$G$5:$G$130&lt;&gt;"moeda")*(Inputs!$G$5:$G$130&lt;&gt;"acoes")))*INDEX(Inputs!$K$5:$AJ$130,0,MATCH(G$2,Inputs!$K$4:$AJ$4,0)))+SUMPRODUCT((Inputs!$C$5:$C$130=$B13)*Inputs!$D$5:$D$130*(((Inputs!$G$5:$G$130="moeda")+(Inputs!$G$5:$G$130="acoes"))*Inputs!$B$1+((Inputs!$G$5:$G$130&lt;&gt;"moeda")*(Inputs!$G$5:$G$130&lt;&gt;"acoes")))*INDEX(Inputs!$K$5:$AJ$130,0,MATCH(G$2,Inputs!$K$4:$AJ$4,0)))+SUMPRODUCT((Inputs!$E$5:$E$130=$B13)*Inputs!$F$5:$F$130*(((Inputs!$G$5:$G$130="moeda")+(Inputs!$G$5:$G$130="acoes"))*Inputs!$B$1+((Inputs!$G$5:$G$130&lt;&gt;"moeda")*(Inputs!$G$5:$G$130&lt;&gt;"acoes")))*INDEX(Inputs!$K$5:$AJ$130,0,MATCH(G$2,Inputs!$K$4:$AJ$4,0)))))</f>
        <v>-327</v>
      </c>
      <c r="H13" s="3">
        <f>SUM(D13:G13)</f>
        <v>-1125</v>
      </c>
      <c r="I13" s="6">
        <f>IF(ISNA(MATCH(I$2,Inputs!$K$4:$AJ$4,0)),NA(),IF(SUMPRODUCT((Inputs!$A$5:$A$130=$B13)*ISNUMBER(INDEX(Inputs!$K$5:$AJ$130,0,MATCH(I$2,Inputs!$K$4:$AJ$4,0))))+SUMPRODUCT((Inputs!$C$5:$C$130=$B13)*ISNUMBER(INDEX(Inputs!$K$5:$AJ$130,0,MATCH(I$2,Inputs!$K$4:$AJ$4,0))))+SUMPRODUCT((Inputs!$E$5:$E$130=$B13)*ISNUMBER(INDEX(Inputs!$K$5:$AJ$130,0,MATCH(I$2,Inputs!$K$4:$AJ$4,0))))=0,NA(),SUMPRODUCT((Inputs!$A$5:$A$130=$B13)*Inputs!$B$5:$B$130*(((Inputs!$G$5:$G$130="moeda")+(Inputs!$G$5:$G$130="acoes"))*Inputs!$B$1+((Inputs!$G$5:$G$130&lt;&gt;"moeda")*(Inputs!$G$5:$G$130&lt;&gt;"acoes")))*INDEX(Inputs!$K$5:$AJ$130,0,MATCH(I$2,Inputs!$K$4:$AJ$4,0)))+SUMPRODUCT((Inputs!$C$5:$C$130=$B13)*Inputs!$D$5:$D$130*(((Inputs!$G$5:$G$130="moeda")+(Inputs!$G$5:$G$130="acoes"))*Inputs!$B$1+((Inputs!$G$5:$G$130&lt;&gt;"moeda")*(Inputs!$G$5:$G$130&lt;&gt;"acoes")))*INDEX(Inputs!$K$5:$AJ$130,0,MATCH(I$2,Inputs!$K$4:$AJ$4,0)))+SUMPRODUCT((Inputs!$E$5:$E$130=$B13)*Inputs!$F$5:$F$130*(((Inputs!$G$5:$G$130="moeda")+(Inputs!$G$5:$G$130="acoes"))*Inputs!$B$1+((Inputs!$G$5:$G$130&lt;&gt;"moeda")*(Inputs!$G$5:$G$130&lt;&gt;"acoes")))*INDEX(Inputs!$K$5:$AJ$130,0,MATCH(I$2,Inputs!$K$4:$AJ$4,0)))))</f>
        <v>-322</v>
      </c>
      <c r="J13" s="6">
        <f>IF(ISNA(MATCH(J$2,Inputs!$K$4:$AJ$4,0)),NA(),IF(SUMPRODUCT((Inputs!$A$5:$A$130=$B13)*ISNUMBER(INDEX(Inputs!$K$5:$AJ$130,0,MATCH(J$2,Inputs!$K$4:$AJ$4,0))))+SUMPRODUCT((Inputs!$C$5:$C$130=$B13)*ISNUMBER(INDEX(Inputs!$K$5:$AJ$130,0,MATCH(J$2,Inputs!$K$4:$AJ$4,0))))+SUMPRODUCT((Inputs!$E$5:$E$130=$B13)*ISNUMBER(INDEX(Inputs!$K$5:$AJ$130,0,MATCH(J$2,Inputs!$K$4:$AJ$4,0))))=0,NA(),SUMPRODUCT((Inputs!$A$5:$A$130=$B13)*Inputs!$B$5:$B$130*(((Inputs!$G$5:$G$130="moeda")+(Inputs!$G$5:$G$130="acoes"))*Inputs!$B$1+((Inputs!$G$5:$G$130&lt;&gt;"moeda")*(Inputs!$G$5:$G$130&lt;&gt;"acoes")))*INDEX(Inputs!$K$5:$AJ$130,0,MATCH(J$2,Inputs!$K$4:$AJ$4,0)))+SUMPRODUCT((Inputs!$C$5:$C$130=$B13)*Inputs!$D$5:$D$130*(((Inputs!$G$5:$G$130="moeda")+(Inputs!$G$5:$G$130="acoes"))*Inputs!$B$1+((Inputs!$G$5:$G$130&lt;&gt;"moeda")*(Inputs!$G$5:$G$130&lt;&gt;"acoes")))*INDEX(Inputs!$K$5:$AJ$130,0,MATCH(J$2,Inputs!$K$4:$AJ$4,0)))+SUMPRODUCT((Inputs!$E$5:$E$130=$B13)*Inputs!$F$5:$F$130*(((Inputs!$G$5:$G$130="moeda")+(Inputs!$G$5:$G$130="acoes"))*Inputs!$B$1+((Inputs!$G$5:$G$130&lt;&gt;"moeda")*(Inputs!$G$5:$G$130&lt;&gt;"acoes")))*INDEX(Inputs!$K$5:$AJ$130,0,MATCH(J$2,Inputs!$K$4:$AJ$4,0)))))</f>
        <v>-322</v>
      </c>
      <c r="K13" s="6">
        <f>IF(ISNA(MATCH(K$2,Inputs!$K$4:$AJ$4,0)),NA(),IF(SUMPRODUCT((Inputs!$A$5:$A$130=$B13)*ISNUMBER(INDEX(Inputs!$K$5:$AJ$130,0,MATCH(K$2,Inputs!$K$4:$AJ$4,0))))+SUMPRODUCT((Inputs!$C$5:$C$130=$B13)*ISNUMBER(INDEX(Inputs!$K$5:$AJ$130,0,MATCH(K$2,Inputs!$K$4:$AJ$4,0))))+SUMPRODUCT((Inputs!$E$5:$E$130=$B13)*ISNUMBER(INDEX(Inputs!$K$5:$AJ$130,0,MATCH(K$2,Inputs!$K$4:$AJ$4,0))))=0,NA(),SUMPRODUCT((Inputs!$A$5:$A$130=$B13)*Inputs!$B$5:$B$130*(((Inputs!$G$5:$G$130="moeda")+(Inputs!$G$5:$G$130="acoes"))*Inputs!$B$1+((Inputs!$G$5:$G$130&lt;&gt;"moeda")*(Inputs!$G$5:$G$130&lt;&gt;"acoes")))*INDEX(Inputs!$K$5:$AJ$130,0,MATCH(K$2,Inputs!$K$4:$AJ$4,0)))+SUMPRODUCT((Inputs!$C$5:$C$130=$B13)*Inputs!$D$5:$D$130*(((Inputs!$G$5:$G$130="moeda")+(Inputs!$G$5:$G$130="acoes"))*Inputs!$B$1+((Inputs!$G$5:$G$130&lt;&gt;"moeda")*(Inputs!$G$5:$G$130&lt;&gt;"acoes")))*INDEX(Inputs!$K$5:$AJ$130,0,MATCH(K$2,Inputs!$K$4:$AJ$4,0)))+SUMPRODUCT((Inputs!$E$5:$E$130=$B13)*Inputs!$F$5:$F$130*(((Inputs!$G$5:$G$130="moeda")+(Inputs!$G$5:$G$130="acoes"))*Inputs!$B$1+((Inputs!$G$5:$G$130&lt;&gt;"moeda")*(Inputs!$G$5:$G$130&lt;&gt;"acoes")))*INDEX(Inputs!$K$5:$AJ$130,0,MATCH(K$2,Inputs!$K$4:$AJ$4,0)))))</f>
        <v>-342</v>
      </c>
      <c r="L13" s="6">
        <f>IF(ISNA(MATCH(L$2,Inputs!$K$4:$AJ$4,0)),NA(),IF(SUMPRODUCT((Inputs!$A$5:$A$130=$B13)*ISNUMBER(INDEX(Inputs!$K$5:$AJ$130,0,MATCH(L$2,Inputs!$K$4:$AJ$4,0))))+SUMPRODUCT((Inputs!$C$5:$C$130=$B13)*ISNUMBER(INDEX(Inputs!$K$5:$AJ$130,0,MATCH(L$2,Inputs!$K$4:$AJ$4,0))))+SUMPRODUCT((Inputs!$E$5:$E$130=$B13)*ISNUMBER(INDEX(Inputs!$K$5:$AJ$130,0,MATCH(L$2,Inputs!$K$4:$AJ$4,0))))=0,NA(),SUMPRODUCT((Inputs!$A$5:$A$130=$B13)*Inputs!$B$5:$B$130*(((Inputs!$G$5:$G$130="moeda")+(Inputs!$G$5:$G$130="acoes"))*Inputs!$B$1+((Inputs!$G$5:$G$130&lt;&gt;"moeda")*(Inputs!$G$5:$G$130&lt;&gt;"acoes")))*INDEX(Inputs!$K$5:$AJ$130,0,MATCH(L$2,Inputs!$K$4:$AJ$4,0)))+SUMPRODUCT((Inputs!$C$5:$C$130=$B13)*Inputs!$D$5:$D$130*(((Inputs!$G$5:$G$130="moeda")+(Inputs!$G$5:$G$130="acoes"))*Inputs!$B$1+((Inputs!$G$5:$G$130&lt;&gt;"moeda")*(Inputs!$G$5:$G$130&lt;&gt;"acoes")))*INDEX(Inputs!$K$5:$AJ$130,0,MATCH(L$2,Inputs!$K$4:$AJ$4,0)))+SUMPRODUCT((Inputs!$E$5:$E$130=$B13)*Inputs!$F$5:$F$130*(((Inputs!$G$5:$G$130="moeda")+(Inputs!$G$5:$G$130="acoes"))*Inputs!$B$1+((Inputs!$G$5:$G$130&lt;&gt;"moeda")*(Inputs!$G$5:$G$130&lt;&gt;"acoes")))*INDEX(Inputs!$K$5:$AJ$130,0,MATCH(L$2,Inputs!$K$4:$AJ$4,0)))))</f>
        <v>-341</v>
      </c>
      <c r="M13" s="3">
        <f>SUM(I13:L13)</f>
        <v>-1327</v>
      </c>
      <c r="N13" s="6">
        <f>IF(ISNA(MATCH(N$2,Inputs!$K$4:$AJ$4,0)),NA(),IF(SUMPRODUCT((Inputs!$A$5:$A$130=$B13)*ISNUMBER(INDEX(Inputs!$K$5:$AJ$130,0,MATCH(N$2,Inputs!$K$4:$AJ$4,0))))+SUMPRODUCT((Inputs!$C$5:$C$130=$B13)*ISNUMBER(INDEX(Inputs!$K$5:$AJ$130,0,MATCH(N$2,Inputs!$K$4:$AJ$4,0))))+SUMPRODUCT((Inputs!$E$5:$E$130=$B13)*ISNUMBER(INDEX(Inputs!$K$5:$AJ$130,0,MATCH(N$2,Inputs!$K$4:$AJ$4,0))))=0,NA(),SUMPRODUCT((Inputs!$A$5:$A$130=$B13)*Inputs!$B$5:$B$130*(((Inputs!$G$5:$G$130="moeda")+(Inputs!$G$5:$G$130="acoes"))*Inputs!$B$1+((Inputs!$G$5:$G$130&lt;&gt;"moeda")*(Inputs!$G$5:$G$130&lt;&gt;"acoes")))*INDEX(Inputs!$K$5:$AJ$130,0,MATCH(N$2,Inputs!$K$4:$AJ$4,0)))+SUMPRODUCT((Inputs!$C$5:$C$130=$B13)*Inputs!$D$5:$D$130*(((Inputs!$G$5:$G$130="moeda")+(Inputs!$G$5:$G$130="acoes"))*Inputs!$B$1+((Inputs!$G$5:$G$130&lt;&gt;"moeda")*(Inputs!$G$5:$G$130&lt;&gt;"acoes")))*INDEX(Inputs!$K$5:$AJ$130,0,MATCH(N$2,Inputs!$K$4:$AJ$4,0)))+SUMPRODUCT((Inputs!$E$5:$E$130=$B13)*Inputs!$F$5:$F$130*(((Inputs!$G$5:$G$130="moeda")+(Inputs!$G$5:$G$130="acoes"))*Inputs!$B$1+((Inputs!$G$5:$G$130&lt;&gt;"moeda")*(Inputs!$G$5:$G$130&lt;&gt;"acoes")))*INDEX(Inputs!$K$5:$AJ$130,0,MATCH(N$2,Inputs!$K$4:$AJ$4,0)))))</f>
        <v>-356</v>
      </c>
      <c r="O13" s="6">
        <f>IF(ISNA(MATCH(O$2,Inputs!$K$4:$AJ$4,0)),NA(),IF(SUMPRODUCT((Inputs!$A$5:$A$130=$B13)*ISNUMBER(INDEX(Inputs!$K$5:$AJ$130,0,MATCH(O$2,Inputs!$K$4:$AJ$4,0))))+SUMPRODUCT((Inputs!$C$5:$C$130=$B13)*ISNUMBER(INDEX(Inputs!$K$5:$AJ$130,0,MATCH(O$2,Inputs!$K$4:$AJ$4,0))))+SUMPRODUCT((Inputs!$E$5:$E$130=$B13)*ISNUMBER(INDEX(Inputs!$K$5:$AJ$130,0,MATCH(O$2,Inputs!$K$4:$AJ$4,0))))=0,NA(),SUMPRODUCT((Inputs!$A$5:$A$130=$B13)*Inputs!$B$5:$B$130*(((Inputs!$G$5:$G$130="moeda")+(Inputs!$G$5:$G$130="acoes"))*Inputs!$B$1+((Inputs!$G$5:$G$130&lt;&gt;"moeda")*(Inputs!$G$5:$G$130&lt;&gt;"acoes")))*INDEX(Inputs!$K$5:$AJ$130,0,MATCH(O$2,Inputs!$K$4:$AJ$4,0)))+SUMPRODUCT((Inputs!$C$5:$C$130=$B13)*Inputs!$D$5:$D$130*(((Inputs!$G$5:$G$130="moeda")+(Inputs!$G$5:$G$130="acoes"))*Inputs!$B$1+((Inputs!$G$5:$G$130&lt;&gt;"moeda")*(Inputs!$G$5:$G$130&lt;&gt;"acoes")))*INDEX(Inputs!$K$5:$AJ$130,0,MATCH(O$2,Inputs!$K$4:$AJ$4,0)))+SUMPRODUCT((Inputs!$E$5:$E$130=$B13)*Inputs!$F$5:$F$130*(((Inputs!$G$5:$G$130="moeda")+(Inputs!$G$5:$G$130="acoes"))*Inputs!$B$1+((Inputs!$G$5:$G$130&lt;&gt;"moeda")*(Inputs!$G$5:$G$130&lt;&gt;"acoes")))*INDEX(Inputs!$K$5:$AJ$130,0,MATCH(O$2,Inputs!$K$4:$AJ$4,0)))))</f>
        <v>-368</v>
      </c>
      <c r="P13" s="6">
        <f>IF(ISNA(MATCH(P$2,Inputs!$K$4:$AJ$4,0)),NA(),IF(SUMPRODUCT((Inputs!$A$5:$A$130=$B13)*ISNUMBER(INDEX(Inputs!$K$5:$AJ$130,0,MATCH(P$2,Inputs!$K$4:$AJ$4,0))))+SUMPRODUCT((Inputs!$C$5:$C$130=$B13)*ISNUMBER(INDEX(Inputs!$K$5:$AJ$130,0,MATCH(P$2,Inputs!$K$4:$AJ$4,0))))+SUMPRODUCT((Inputs!$E$5:$E$130=$B13)*ISNUMBER(INDEX(Inputs!$K$5:$AJ$130,0,MATCH(P$2,Inputs!$K$4:$AJ$4,0))))=0,NA(),SUMPRODUCT((Inputs!$A$5:$A$130=$B13)*Inputs!$B$5:$B$130*(((Inputs!$G$5:$G$130="moeda")+(Inputs!$G$5:$G$130="acoes"))*Inputs!$B$1+((Inputs!$G$5:$G$130&lt;&gt;"moeda")*(Inputs!$G$5:$G$130&lt;&gt;"acoes")))*INDEX(Inputs!$K$5:$AJ$130,0,MATCH(P$2,Inputs!$K$4:$AJ$4,0)))+SUMPRODUCT((Inputs!$C$5:$C$130=$B13)*Inputs!$D$5:$D$130*(((Inputs!$G$5:$G$130="moeda")+(Inputs!$G$5:$G$130="acoes"))*Inputs!$B$1+((Inputs!$G$5:$G$130&lt;&gt;"moeda")*(Inputs!$G$5:$G$130&lt;&gt;"acoes")))*INDEX(Inputs!$K$5:$AJ$130,0,MATCH(P$2,Inputs!$K$4:$AJ$4,0)))+SUMPRODUCT((Inputs!$E$5:$E$130=$B13)*Inputs!$F$5:$F$130*(((Inputs!$G$5:$G$130="moeda")+(Inputs!$G$5:$G$130="acoes"))*Inputs!$B$1+((Inputs!$G$5:$G$130&lt;&gt;"moeda")*(Inputs!$G$5:$G$130&lt;&gt;"acoes")))*INDEX(Inputs!$K$5:$AJ$130,0,MATCH(P$2,Inputs!$K$4:$AJ$4,0)))))</f>
        <v>-362</v>
      </c>
      <c r="Q13" s="6">
        <f>IF(ISNA(MATCH(Q$2,Inputs!$K$4:$AJ$4,0)),NA(),IF(SUMPRODUCT((Inputs!$A$5:$A$130=$B13)*ISNUMBER(INDEX(Inputs!$K$5:$AJ$130,0,MATCH(Q$2,Inputs!$K$4:$AJ$4,0))))+SUMPRODUCT((Inputs!$C$5:$C$130=$B13)*ISNUMBER(INDEX(Inputs!$K$5:$AJ$130,0,MATCH(Q$2,Inputs!$K$4:$AJ$4,0))))+SUMPRODUCT((Inputs!$E$5:$E$130=$B13)*ISNUMBER(INDEX(Inputs!$K$5:$AJ$130,0,MATCH(Q$2,Inputs!$K$4:$AJ$4,0))))=0,NA(),SUMPRODUCT((Inputs!$A$5:$A$130=$B13)*Inputs!$B$5:$B$130*(((Inputs!$G$5:$G$130="moeda")+(Inputs!$G$5:$G$130="acoes"))*Inputs!$B$1+((Inputs!$G$5:$G$130&lt;&gt;"moeda")*(Inputs!$G$5:$G$130&lt;&gt;"acoes")))*INDEX(Inputs!$K$5:$AJ$130,0,MATCH(Q$2,Inputs!$K$4:$AJ$4,0)))+SUMPRODUCT((Inputs!$C$5:$C$130=$B13)*Inputs!$D$5:$D$130*(((Inputs!$G$5:$G$130="moeda")+(Inputs!$G$5:$G$130="acoes"))*Inputs!$B$1+((Inputs!$G$5:$G$130&lt;&gt;"moeda")*(Inputs!$G$5:$G$130&lt;&gt;"acoes")))*INDEX(Inputs!$K$5:$AJ$130,0,MATCH(Q$2,Inputs!$K$4:$AJ$4,0)))+SUMPRODUCT((Inputs!$E$5:$E$130=$B13)*Inputs!$F$5:$F$130*(((Inputs!$G$5:$G$130="moeda")+(Inputs!$G$5:$G$130="acoes"))*Inputs!$B$1+((Inputs!$G$5:$G$130&lt;&gt;"moeda")*(Inputs!$G$5:$G$130&lt;&gt;"acoes")))*INDEX(Inputs!$K$5:$AJ$130,0,MATCH(Q$2,Inputs!$K$4:$AJ$4,0)))))</f>
        <v>-386</v>
      </c>
      <c r="R13" s="3">
        <f>SUM(N13:Q13)</f>
        <v>-1472</v>
      </c>
      <c r="S13" s="6">
        <f>IF(ISNA(MATCH(S$2,Inputs!$K$4:$AJ$4,0)),NA(),IF(SUMPRODUCT((Inputs!$A$5:$A$130=$B13)*ISNUMBER(INDEX(Inputs!$K$5:$AJ$130,0,MATCH(S$2,Inputs!$K$4:$AJ$4,0))))+SUMPRODUCT((Inputs!$C$5:$C$130=$B13)*ISNUMBER(INDEX(Inputs!$K$5:$AJ$130,0,MATCH(S$2,Inputs!$K$4:$AJ$4,0))))+SUMPRODUCT((Inputs!$E$5:$E$130=$B13)*ISNUMBER(INDEX(Inputs!$K$5:$AJ$130,0,MATCH(S$2,Inputs!$K$4:$AJ$4,0))))=0,NA(),SUMPRODUCT((Inputs!$A$5:$A$130=$B13)*Inputs!$B$5:$B$130*(((Inputs!$G$5:$G$130="moeda")+(Inputs!$G$5:$G$130="acoes"))*Inputs!$B$1+((Inputs!$G$5:$G$130&lt;&gt;"moeda")*(Inputs!$G$5:$G$130&lt;&gt;"acoes")))*INDEX(Inputs!$K$5:$AJ$130,0,MATCH(S$2,Inputs!$K$4:$AJ$4,0)))+SUMPRODUCT((Inputs!$C$5:$C$130=$B13)*Inputs!$D$5:$D$130*(((Inputs!$G$5:$G$130="moeda")+(Inputs!$G$5:$G$130="acoes"))*Inputs!$B$1+((Inputs!$G$5:$G$130&lt;&gt;"moeda")*(Inputs!$G$5:$G$130&lt;&gt;"acoes")))*INDEX(Inputs!$K$5:$AJ$130,0,MATCH(S$2,Inputs!$K$4:$AJ$4,0)))+SUMPRODUCT((Inputs!$E$5:$E$130=$B13)*Inputs!$F$5:$F$130*(((Inputs!$G$5:$G$130="moeda")+(Inputs!$G$5:$G$130="acoes"))*Inputs!$B$1+((Inputs!$G$5:$G$130&lt;&gt;"moeda")*(Inputs!$G$5:$G$130&lt;&gt;"acoes")))*INDEX(Inputs!$K$5:$AJ$130,0,MATCH(S$2,Inputs!$K$4:$AJ$4,0)))))</f>
        <v>-410</v>
      </c>
      <c r="T13" s="6">
        <f>IF(ISNA(MATCH(T$2,Inputs!$K$4:$AJ$4,0)),NA(),IF(SUMPRODUCT((Inputs!$A$5:$A$130=$B13)*ISNUMBER(INDEX(Inputs!$K$5:$AJ$130,0,MATCH(T$2,Inputs!$K$4:$AJ$4,0))))+SUMPRODUCT((Inputs!$C$5:$C$130=$B13)*ISNUMBER(INDEX(Inputs!$K$5:$AJ$130,0,MATCH(T$2,Inputs!$K$4:$AJ$4,0))))+SUMPRODUCT((Inputs!$E$5:$E$130=$B13)*ISNUMBER(INDEX(Inputs!$K$5:$AJ$130,0,MATCH(T$2,Inputs!$K$4:$AJ$4,0))))=0,NA(),SUMPRODUCT((Inputs!$A$5:$A$130=$B13)*Inputs!$B$5:$B$130*(((Inputs!$G$5:$G$130="moeda")+(Inputs!$G$5:$G$130="acoes"))*Inputs!$B$1+((Inputs!$G$5:$G$130&lt;&gt;"moeda")*(Inputs!$G$5:$G$130&lt;&gt;"acoes")))*INDEX(Inputs!$K$5:$AJ$130,0,MATCH(T$2,Inputs!$K$4:$AJ$4,0)))+SUMPRODUCT((Inputs!$C$5:$C$130=$B13)*Inputs!$D$5:$D$130*(((Inputs!$G$5:$G$130="moeda")+(Inputs!$G$5:$G$130="acoes"))*Inputs!$B$1+((Inputs!$G$5:$G$130&lt;&gt;"moeda")*(Inputs!$G$5:$G$130&lt;&gt;"acoes")))*INDEX(Inputs!$K$5:$AJ$130,0,MATCH(T$2,Inputs!$K$4:$AJ$4,0)))+SUMPRODUCT((Inputs!$E$5:$E$130=$B13)*Inputs!$F$5:$F$130*(((Inputs!$G$5:$G$130="moeda")+(Inputs!$G$5:$G$130="acoes"))*Inputs!$B$1+((Inputs!$G$5:$G$130&lt;&gt;"moeda")*(Inputs!$G$5:$G$130&lt;&gt;"acoes")))*INDEX(Inputs!$K$5:$AJ$130,0,MATCH(T$2,Inputs!$K$4:$AJ$4,0)))))</f>
        <v>-406</v>
      </c>
      <c r="U13" s="6">
        <f>IF(ISNA(MATCH(U$2,Inputs!$K$4:$AJ$4,0)),NA(),IF(SUMPRODUCT((Inputs!$A$5:$A$130=$B13)*ISNUMBER(INDEX(Inputs!$K$5:$AJ$130,0,MATCH(U$2,Inputs!$K$4:$AJ$4,0))))+SUMPRODUCT((Inputs!$C$5:$C$130=$B13)*ISNUMBER(INDEX(Inputs!$K$5:$AJ$130,0,MATCH(U$2,Inputs!$K$4:$AJ$4,0))))+SUMPRODUCT((Inputs!$E$5:$E$130=$B13)*ISNUMBER(INDEX(Inputs!$K$5:$AJ$130,0,MATCH(U$2,Inputs!$K$4:$AJ$4,0))))=0,NA(),SUMPRODUCT((Inputs!$A$5:$A$130=$B13)*Inputs!$B$5:$B$130*(((Inputs!$G$5:$G$130="moeda")+(Inputs!$G$5:$G$130="acoes"))*Inputs!$B$1+((Inputs!$G$5:$G$130&lt;&gt;"moeda")*(Inputs!$G$5:$G$130&lt;&gt;"acoes")))*INDEX(Inputs!$K$5:$AJ$130,0,MATCH(U$2,Inputs!$K$4:$AJ$4,0)))+SUMPRODUCT((Inputs!$C$5:$C$130=$B13)*Inputs!$D$5:$D$130*(((Inputs!$G$5:$G$130="moeda")+(Inputs!$G$5:$G$130="acoes"))*Inputs!$B$1+((Inputs!$G$5:$G$130&lt;&gt;"moeda")*(Inputs!$G$5:$G$130&lt;&gt;"acoes")))*INDEX(Inputs!$K$5:$AJ$130,0,MATCH(U$2,Inputs!$K$4:$AJ$4,0)))+SUMPRODUCT((Inputs!$E$5:$E$130=$B13)*Inputs!$F$5:$F$130*(((Inputs!$G$5:$G$130="moeda")+(Inputs!$G$5:$G$130="acoes"))*Inputs!$B$1+((Inputs!$G$5:$G$130&lt;&gt;"moeda")*(Inputs!$G$5:$G$130&lt;&gt;"acoes")))*INDEX(Inputs!$K$5:$AJ$130,0,MATCH(U$2,Inputs!$K$4:$AJ$4,0)))))</f>
        <v>-403</v>
      </c>
      <c r="V13" s="6">
        <f>IF(ISNA(MATCH(V$2,Inputs!$K$4:$AJ$4,0)),NA(),IF(SUMPRODUCT((Inputs!$A$5:$A$130=$B13)*ISNUMBER(INDEX(Inputs!$K$5:$AJ$130,0,MATCH(V$2,Inputs!$K$4:$AJ$4,0))))+SUMPRODUCT((Inputs!$C$5:$C$130=$B13)*ISNUMBER(INDEX(Inputs!$K$5:$AJ$130,0,MATCH(V$2,Inputs!$K$4:$AJ$4,0))))+SUMPRODUCT((Inputs!$E$5:$E$130=$B13)*ISNUMBER(INDEX(Inputs!$K$5:$AJ$130,0,MATCH(V$2,Inputs!$K$4:$AJ$4,0))))=0,NA(),SUMPRODUCT((Inputs!$A$5:$A$130=$B13)*Inputs!$B$5:$B$130*(((Inputs!$G$5:$G$130="moeda")+(Inputs!$G$5:$G$130="acoes"))*Inputs!$B$1+((Inputs!$G$5:$G$130&lt;&gt;"moeda")*(Inputs!$G$5:$G$130&lt;&gt;"acoes")))*INDEX(Inputs!$K$5:$AJ$130,0,MATCH(V$2,Inputs!$K$4:$AJ$4,0)))+SUMPRODUCT((Inputs!$C$5:$C$130=$B13)*Inputs!$D$5:$D$130*(((Inputs!$G$5:$G$130="moeda")+(Inputs!$G$5:$G$130="acoes"))*Inputs!$B$1+((Inputs!$G$5:$G$130&lt;&gt;"moeda")*(Inputs!$G$5:$G$130&lt;&gt;"acoes")))*INDEX(Inputs!$K$5:$AJ$130,0,MATCH(V$2,Inputs!$K$4:$AJ$4,0)))+SUMPRODUCT((Inputs!$E$5:$E$130=$B13)*Inputs!$F$5:$F$130*(((Inputs!$G$5:$G$130="moeda")+(Inputs!$G$5:$G$130="acoes"))*Inputs!$B$1+((Inputs!$G$5:$G$130&lt;&gt;"moeda")*(Inputs!$G$5:$G$130&lt;&gt;"acoes")))*INDEX(Inputs!$K$5:$AJ$130,0,MATCH(V$2,Inputs!$K$4:$AJ$4,0)))))</f>
        <v>-403</v>
      </c>
      <c r="W13" s="3">
        <f>SUM(S13:V13)</f>
        <v>-1622</v>
      </c>
      <c r="X13" s="6">
        <f>IF(ISNA(MATCH(X$2,Inputs!$K$4:$AJ$4,0)),NA(),IF(SUMPRODUCT((Inputs!$A$5:$A$130=$B13)*ISNUMBER(INDEX(Inputs!$K$5:$AJ$130,0,MATCH(X$2,Inputs!$K$4:$AJ$4,0))))+SUMPRODUCT((Inputs!$C$5:$C$130=$B13)*ISNUMBER(INDEX(Inputs!$K$5:$AJ$130,0,MATCH(X$2,Inputs!$K$4:$AJ$4,0))))+SUMPRODUCT((Inputs!$E$5:$E$130=$B13)*ISNUMBER(INDEX(Inputs!$K$5:$AJ$130,0,MATCH(X$2,Inputs!$K$4:$AJ$4,0))))=0,NA(),SUMPRODUCT((Inputs!$A$5:$A$130=$B13)*Inputs!$B$5:$B$130*(((Inputs!$G$5:$G$130="moeda")+(Inputs!$G$5:$G$130="acoes"))*Inputs!$B$1+((Inputs!$G$5:$G$130&lt;&gt;"moeda")*(Inputs!$G$5:$G$130&lt;&gt;"acoes")))*INDEX(Inputs!$K$5:$AJ$130,0,MATCH(X$2,Inputs!$K$4:$AJ$4,0)))+SUMPRODUCT((Inputs!$C$5:$C$130=$B13)*Inputs!$D$5:$D$130*(((Inputs!$G$5:$G$130="moeda")+(Inputs!$G$5:$G$130="acoes"))*Inputs!$B$1+((Inputs!$G$5:$G$130&lt;&gt;"moeda")*(Inputs!$G$5:$G$130&lt;&gt;"acoes")))*INDEX(Inputs!$K$5:$AJ$130,0,MATCH(X$2,Inputs!$K$4:$AJ$4,0)))+SUMPRODUCT((Inputs!$E$5:$E$130=$B13)*Inputs!$F$5:$F$130*(((Inputs!$G$5:$G$130="moeda")+(Inputs!$G$5:$G$130="acoes"))*Inputs!$B$1+((Inputs!$G$5:$G$130&lt;&gt;"moeda")*(Inputs!$G$5:$G$130&lt;&gt;"acoes")))*INDEX(Inputs!$K$5:$AJ$130,0,MATCH(X$2,Inputs!$K$4:$AJ$4,0)))))</f>
        <v>-440</v>
      </c>
      <c r="Y13" s="6">
        <f>IF(ISNA(MATCH(Y$2,Inputs!$K$4:$AJ$4,0)),NA(),IF(SUMPRODUCT((Inputs!$A$5:$A$130=$B13)*ISNUMBER(INDEX(Inputs!$K$5:$AJ$130,0,MATCH(Y$2,Inputs!$K$4:$AJ$4,0))))+SUMPRODUCT((Inputs!$C$5:$C$130=$B13)*ISNUMBER(INDEX(Inputs!$K$5:$AJ$130,0,MATCH(Y$2,Inputs!$K$4:$AJ$4,0))))+SUMPRODUCT((Inputs!$E$5:$E$130=$B13)*ISNUMBER(INDEX(Inputs!$K$5:$AJ$130,0,MATCH(Y$2,Inputs!$K$4:$AJ$4,0))))=0,NA(),SUMPRODUCT((Inputs!$A$5:$A$130=$B13)*Inputs!$B$5:$B$130*(((Inputs!$G$5:$G$130="moeda")+(Inputs!$G$5:$G$130="acoes"))*Inputs!$B$1+((Inputs!$G$5:$G$130&lt;&gt;"moeda")*(Inputs!$G$5:$G$130&lt;&gt;"acoes")))*INDEX(Inputs!$K$5:$AJ$130,0,MATCH(Y$2,Inputs!$K$4:$AJ$4,0)))+SUMPRODUCT((Inputs!$C$5:$C$130=$B13)*Inputs!$D$5:$D$130*(((Inputs!$G$5:$G$130="moeda")+(Inputs!$G$5:$G$130="acoes"))*Inputs!$B$1+((Inputs!$G$5:$G$130&lt;&gt;"moeda")*(Inputs!$G$5:$G$130&lt;&gt;"acoes")))*INDEX(Inputs!$K$5:$AJ$130,0,MATCH(Y$2,Inputs!$K$4:$AJ$4,0)))+SUMPRODUCT((Inputs!$E$5:$E$130=$B13)*Inputs!$F$5:$F$130*(((Inputs!$G$5:$G$130="moeda")+(Inputs!$G$5:$G$130="acoes"))*Inputs!$B$1+((Inputs!$G$5:$G$130&lt;&gt;"moeda")*(Inputs!$G$5:$G$130&lt;&gt;"acoes")))*INDEX(Inputs!$K$5:$AJ$130,0,MATCH(Y$2,Inputs!$K$4:$AJ$4,0)))))</f>
        <v>-439</v>
      </c>
      <c r="Z13" s="6">
        <f>IF(ISNA(MATCH(Z$2,Inputs!$K$4:$AJ$4,0)),NA(),IF(SUMPRODUCT((Inputs!$A$5:$A$130=$B13)*ISNUMBER(INDEX(Inputs!$K$5:$AJ$130,0,MATCH(Z$2,Inputs!$K$4:$AJ$4,0))))+SUMPRODUCT((Inputs!$C$5:$C$130=$B13)*ISNUMBER(INDEX(Inputs!$K$5:$AJ$130,0,MATCH(Z$2,Inputs!$K$4:$AJ$4,0))))+SUMPRODUCT((Inputs!$E$5:$E$130=$B13)*ISNUMBER(INDEX(Inputs!$K$5:$AJ$130,0,MATCH(Z$2,Inputs!$K$4:$AJ$4,0))))=0,NA(),SUMPRODUCT((Inputs!$A$5:$A$130=$B13)*Inputs!$B$5:$B$130*(((Inputs!$G$5:$G$130="moeda")+(Inputs!$G$5:$G$130="acoes"))*Inputs!$B$1+((Inputs!$G$5:$G$130&lt;&gt;"moeda")*(Inputs!$G$5:$G$130&lt;&gt;"acoes")))*INDEX(Inputs!$K$5:$AJ$130,0,MATCH(Z$2,Inputs!$K$4:$AJ$4,0)))+SUMPRODUCT((Inputs!$C$5:$C$130=$B13)*Inputs!$D$5:$D$130*(((Inputs!$G$5:$G$130="moeda")+(Inputs!$G$5:$G$130="acoes"))*Inputs!$B$1+((Inputs!$G$5:$G$130&lt;&gt;"moeda")*(Inputs!$G$5:$G$130&lt;&gt;"acoes")))*INDEX(Inputs!$K$5:$AJ$130,0,MATCH(Z$2,Inputs!$K$4:$AJ$4,0)))+SUMPRODUCT((Inputs!$E$5:$E$130=$B13)*Inputs!$F$5:$F$130*(((Inputs!$G$5:$G$130="moeda")+(Inputs!$G$5:$G$130="acoes"))*Inputs!$B$1+((Inputs!$G$5:$G$130&lt;&gt;"moeda")*(Inputs!$G$5:$G$130&lt;&gt;"acoes")))*INDEX(Inputs!$K$5:$AJ$130,0,MATCH(Z$2,Inputs!$K$4:$AJ$4,0)))))</f>
        <v>-438</v>
      </c>
      <c r="AA13" s="6">
        <f>IF(ISNA(MATCH(AA$2,Inputs!$K$4:$AJ$4,0)),NA(),IF(SUMPRODUCT((Inputs!$A$5:$A$130=$B13)*ISNUMBER(INDEX(Inputs!$K$5:$AJ$130,0,MATCH(AA$2,Inputs!$K$4:$AJ$4,0))))+SUMPRODUCT((Inputs!$C$5:$C$130=$B13)*ISNUMBER(INDEX(Inputs!$K$5:$AJ$130,0,MATCH(AA$2,Inputs!$K$4:$AJ$4,0))))+SUMPRODUCT((Inputs!$E$5:$E$130=$B13)*ISNUMBER(INDEX(Inputs!$K$5:$AJ$130,0,MATCH(AA$2,Inputs!$K$4:$AJ$4,0))))=0,NA(),SUMPRODUCT((Inputs!$A$5:$A$130=$B13)*Inputs!$B$5:$B$130*(((Inputs!$G$5:$G$130="moeda")+(Inputs!$G$5:$G$130="acoes"))*Inputs!$B$1+((Inputs!$G$5:$G$130&lt;&gt;"moeda")*(Inputs!$G$5:$G$130&lt;&gt;"acoes")))*INDEX(Inputs!$K$5:$AJ$130,0,MATCH(AA$2,Inputs!$K$4:$AJ$4,0)))+SUMPRODUCT((Inputs!$C$5:$C$130=$B13)*Inputs!$D$5:$D$130*(((Inputs!$G$5:$G$130="moeda")+(Inputs!$G$5:$G$130="acoes"))*Inputs!$B$1+((Inputs!$G$5:$G$130&lt;&gt;"moeda")*(Inputs!$G$5:$G$130&lt;&gt;"acoes")))*INDEX(Inputs!$K$5:$AJ$130,0,MATCH(AA$2,Inputs!$K$4:$AJ$4,0)))+SUMPRODUCT((Inputs!$E$5:$E$130=$B13)*Inputs!$F$5:$F$130*(((Inputs!$G$5:$G$130="moeda")+(Inputs!$G$5:$G$130="acoes"))*Inputs!$B$1+((Inputs!$G$5:$G$130&lt;&gt;"moeda")*(Inputs!$G$5:$G$130&lt;&gt;"acoes")))*INDEX(Inputs!$K$5:$AJ$130,0,MATCH(AA$2,Inputs!$K$4:$AJ$4,0)))))</f>
        <v>-441</v>
      </c>
      <c r="AB13" s="3">
        <f>SUM(X13:AA13)</f>
        <v>-1758</v>
      </c>
      <c r="AC13" s="6">
        <f>IF(ISNA(MATCH(AC$2,Inputs!$K$4:$AJ$4,0)),NA(),IF(SUMPRODUCT((Inputs!$A$5:$A$130=$B13)*ISNUMBER(INDEX(Inputs!$K$5:$AJ$130,0,MATCH(AC$2,Inputs!$K$4:$AJ$4,0))))+SUMPRODUCT((Inputs!$C$5:$C$130=$B13)*ISNUMBER(INDEX(Inputs!$K$5:$AJ$130,0,MATCH(AC$2,Inputs!$K$4:$AJ$4,0))))+SUMPRODUCT((Inputs!$E$5:$E$130=$B13)*ISNUMBER(INDEX(Inputs!$K$5:$AJ$130,0,MATCH(AC$2,Inputs!$K$4:$AJ$4,0))))=0,NA(),SUMPRODUCT((Inputs!$A$5:$A$130=$B13)*Inputs!$B$5:$B$130*(((Inputs!$G$5:$G$130="moeda")+(Inputs!$G$5:$G$130="acoes"))*Inputs!$B$1+((Inputs!$G$5:$G$130&lt;&gt;"moeda")*(Inputs!$G$5:$G$130&lt;&gt;"acoes")))*INDEX(Inputs!$K$5:$AJ$130,0,MATCH(AC$2,Inputs!$K$4:$AJ$4,0)))+SUMPRODUCT((Inputs!$C$5:$C$130=$B13)*Inputs!$D$5:$D$130*(((Inputs!$G$5:$G$130="moeda")+(Inputs!$G$5:$G$130="acoes"))*Inputs!$B$1+((Inputs!$G$5:$G$130&lt;&gt;"moeda")*(Inputs!$G$5:$G$130&lt;&gt;"acoes")))*INDEX(Inputs!$K$5:$AJ$130,0,MATCH(AC$2,Inputs!$K$4:$AJ$4,0)))+SUMPRODUCT((Inputs!$E$5:$E$130=$B13)*Inputs!$F$5:$F$130*(((Inputs!$G$5:$G$130="moeda")+(Inputs!$G$5:$G$130="acoes"))*Inputs!$B$1+((Inputs!$G$5:$G$130&lt;&gt;"moeda")*(Inputs!$G$5:$G$130&lt;&gt;"acoes")))*INDEX(Inputs!$K$5:$AJ$130,0,MATCH(AC$2,Inputs!$K$4:$AJ$4,0)))))</f>
        <v>-437</v>
      </c>
      <c r="AD13" s="6">
        <f>IF(ISNA(MATCH(AD$2,Inputs!$K$4:$AJ$4,0)),NA(),IF(SUMPRODUCT((Inputs!$A$5:$A$130=$B13)*ISNUMBER(INDEX(Inputs!$K$5:$AJ$130,0,MATCH(AD$2,Inputs!$K$4:$AJ$4,0))))+SUMPRODUCT((Inputs!$C$5:$C$130=$B13)*ISNUMBER(INDEX(Inputs!$K$5:$AJ$130,0,MATCH(AD$2,Inputs!$K$4:$AJ$4,0))))+SUMPRODUCT((Inputs!$E$5:$E$130=$B13)*ISNUMBER(INDEX(Inputs!$K$5:$AJ$130,0,MATCH(AD$2,Inputs!$K$4:$AJ$4,0))))=0,NA(),SUMPRODUCT((Inputs!$A$5:$A$130=$B13)*Inputs!$B$5:$B$130*(((Inputs!$G$5:$G$130="moeda")+(Inputs!$G$5:$G$130="acoes"))*Inputs!$B$1+((Inputs!$G$5:$G$130&lt;&gt;"moeda")*(Inputs!$G$5:$G$130&lt;&gt;"acoes")))*INDEX(Inputs!$K$5:$AJ$130,0,MATCH(AD$2,Inputs!$K$4:$AJ$4,0)))+SUMPRODUCT((Inputs!$C$5:$C$130=$B13)*Inputs!$D$5:$D$130*(((Inputs!$G$5:$G$130="moeda")+(Inputs!$G$5:$G$130="acoes"))*Inputs!$B$1+((Inputs!$G$5:$G$130&lt;&gt;"moeda")*(Inputs!$G$5:$G$130&lt;&gt;"acoes")))*INDEX(Inputs!$K$5:$AJ$130,0,MATCH(AD$2,Inputs!$K$4:$AJ$4,0)))+SUMPRODUCT((Inputs!$E$5:$E$130=$B13)*Inputs!$F$5:$F$130*(((Inputs!$G$5:$G$130="moeda")+(Inputs!$G$5:$G$130="acoes"))*Inputs!$B$1+((Inputs!$G$5:$G$130&lt;&gt;"moeda")*(Inputs!$G$5:$G$130&lt;&gt;"acoes")))*INDEX(Inputs!$K$5:$AJ$130,0,MATCH(AD$2,Inputs!$K$4:$AJ$4,0)))))</f>
        <v>-438</v>
      </c>
      <c r="AE13" s="6" t="e">
        <f>IF(ISNA(MATCH(AE$2,Inputs!$K$4:$AJ$4,0)),NA(),IF(SUMPRODUCT((Inputs!$A$5:$A$130=$B13)*ISNUMBER(INDEX(Inputs!$K$5:$AJ$130,0,MATCH(AE$2,Inputs!$K$4:$AJ$4,0))))+SUMPRODUCT((Inputs!$C$5:$C$130=$B13)*ISNUMBER(INDEX(Inputs!$K$5:$AJ$130,0,MATCH(AE$2,Inputs!$K$4:$AJ$4,0))))+SUMPRODUCT((Inputs!$E$5:$E$130=$B13)*ISNUMBER(INDEX(Inputs!$K$5:$AJ$130,0,MATCH(AE$2,Inputs!$K$4:$AJ$4,0))))=0,NA(),SUMPRODUCT((Inputs!$A$5:$A$130=$B13)*Inputs!$B$5:$B$130*(((Inputs!$G$5:$G$130="moeda")+(Inputs!$G$5:$G$130="acoes"))*Inputs!$B$1+((Inputs!$G$5:$G$130&lt;&gt;"moeda")*(Inputs!$G$5:$G$130&lt;&gt;"acoes")))*INDEX(Inputs!$K$5:$AJ$130,0,MATCH(AE$2,Inputs!$K$4:$AJ$4,0)))+SUMPRODUCT((Inputs!$C$5:$C$130=$B13)*Inputs!$D$5:$D$130*(((Inputs!$G$5:$G$130="moeda")+(Inputs!$G$5:$G$130="acoes"))*Inputs!$B$1+((Inputs!$G$5:$G$130&lt;&gt;"moeda")*(Inputs!$G$5:$G$130&lt;&gt;"acoes")))*INDEX(Inputs!$K$5:$AJ$130,0,MATCH(AE$2,Inputs!$K$4:$AJ$4,0)))+SUMPRODUCT((Inputs!$E$5:$E$130=$B13)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3" s="6" t="e">
        <f>IF(ISNA(MATCH(AF$2,Inputs!$K$4:$AJ$4,0)),NA(),IF(SUMPRODUCT((Inputs!$A$5:$A$130=$B13)*ISNUMBER(INDEX(Inputs!$K$5:$AJ$130,0,MATCH(AF$2,Inputs!$K$4:$AJ$4,0))))+SUMPRODUCT((Inputs!$C$5:$C$130=$B13)*ISNUMBER(INDEX(Inputs!$K$5:$AJ$130,0,MATCH(AF$2,Inputs!$K$4:$AJ$4,0))))+SUMPRODUCT((Inputs!$E$5:$E$130=$B13)*ISNUMBER(INDEX(Inputs!$K$5:$AJ$130,0,MATCH(AF$2,Inputs!$K$4:$AJ$4,0))))=0,NA(),SUMPRODUCT((Inputs!$A$5:$A$130=$B13)*Inputs!$B$5:$B$130*(((Inputs!$G$5:$G$130="moeda")+(Inputs!$G$5:$G$130="acoes"))*Inputs!$B$1+((Inputs!$G$5:$G$130&lt;&gt;"moeda")*(Inputs!$G$5:$G$130&lt;&gt;"acoes")))*INDEX(Inputs!$K$5:$AJ$130,0,MATCH(AF$2,Inputs!$K$4:$AJ$4,0)))+SUMPRODUCT((Inputs!$C$5:$C$130=$B13)*Inputs!$D$5:$D$130*(((Inputs!$G$5:$G$130="moeda")+(Inputs!$G$5:$G$130="acoes"))*Inputs!$B$1+((Inputs!$G$5:$G$130&lt;&gt;"moeda")*(Inputs!$G$5:$G$130&lt;&gt;"acoes")))*INDEX(Inputs!$K$5:$AJ$130,0,MATCH(AF$2,Inputs!$K$4:$AJ$4,0)))+SUMPRODUCT((Inputs!$E$5:$E$130=$B13)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$130=$B13)*ISNUMBER(INDEX(Inputs!$K$5:$AJ$130,0,MATCH(AH$2,Inputs!$K$4:$AJ$4,0))))+SUMPRODUCT((Inputs!$C$5:$C$130=$B13)*ISNUMBER(INDEX(Inputs!$K$5:$AJ$130,0,MATCH(AH$2,Inputs!$K$4:$AJ$4,0))))+SUMPRODUCT((Inputs!$E$5:$E$130=$B13)*ISNUMBER(INDEX(Inputs!$K$5:$AJ$130,0,MATCH(AH$2,Inputs!$K$4:$AJ$4,0))))=0,NA(),SUMPRODUCT((Inputs!$A$5:$A$130=$B13)*Inputs!$B$5:$B$130*(((Inputs!$G$5:$G$130="moeda")+(Inputs!$G$5:$G$130="acoes"))*Inputs!$B$1+((Inputs!$G$5:$G$130&lt;&gt;"moeda")*(Inputs!$G$5:$G$130&lt;&gt;"acoes")))*INDEX(Inputs!$K$5:$AJ$130,0,MATCH(AH$2,Inputs!$K$4:$AJ$4,0)))+SUMPRODUCT((Inputs!$C$5:$C$130=$B13)*Inputs!$D$5:$D$130*(((Inputs!$G$5:$G$130="moeda")+(Inputs!$G$5:$G$130="acoes"))*Inputs!$B$1+((Inputs!$G$5:$G$130&lt;&gt;"moeda")*(Inputs!$G$5:$G$130&lt;&gt;"acoes")))*INDEX(Inputs!$K$5:$AJ$130,0,MATCH(AH$2,Inputs!$K$4:$AJ$4,0)))+SUMPRODUCT((Inputs!$E$5:$E$130=$B13)*Inputs!$F$5:$F$130*(((Inputs!$G$5:$G$130="moeda")+(Inputs!$G$5:$G$130="acoes"))*Inputs!$B$1+((Inputs!$G$5:$G$130&lt;&gt;"moeda")*(Inputs!$G$5:$G$130&lt;&gt;"acoes")))*INDEX(Inputs!$K$5:$AJ$130,0,MATCH(AH$2,Inputs!$K$4:$AJ$4,0)))))</f>
        <v>-239</v>
      </c>
      <c r="AI13" s="6">
        <f>IF(ISNA(MATCH(AI$2,Inputs!$K$4:$AJ$4,0)),NA(),IF(SUMPRODUCT((Inputs!$A$5:$A$130=$B13)*ISNUMBER(INDEX(Inputs!$K$5:$AJ$130,0,MATCH(AI$2,Inputs!$K$4:$AJ$4,0))))+SUMPRODUCT((Inputs!$C$5:$C$130=$B13)*ISNUMBER(INDEX(Inputs!$K$5:$AJ$130,0,MATCH(AI$2,Inputs!$K$4:$AJ$4,0))))+SUMPRODUCT((Inputs!$E$5:$E$130=$B13)*ISNUMBER(INDEX(Inputs!$K$5:$AJ$130,0,MATCH(AI$2,Inputs!$K$4:$AJ$4,0))))=0,NA(),SUMPRODUCT((Inputs!$A$5:$A$130=$B13)*Inputs!$B$5:$B$130*(((Inputs!$G$5:$G$130="moeda")+(Inputs!$G$5:$G$130="acoes"))*Inputs!$B$1+((Inputs!$G$5:$G$130&lt;&gt;"moeda")*(Inputs!$G$5:$G$130&lt;&gt;"acoes")))*INDEX(Inputs!$K$5:$AJ$130,0,MATCH(AI$2,Inputs!$K$4:$AJ$4,0)))+SUMPRODUCT((Inputs!$C$5:$C$130=$B13)*Inputs!$D$5:$D$130*(((Inputs!$G$5:$G$130="moeda")+(Inputs!$G$5:$G$130="acoes"))*Inputs!$B$1+((Inputs!$G$5:$G$130&lt;&gt;"moeda")*(Inputs!$G$5:$G$130&lt;&gt;"acoes")))*INDEX(Inputs!$K$5:$AJ$130,0,MATCH(AI$2,Inputs!$K$4:$AJ$4,0)))+SUMPRODUCT((Inputs!$E$5:$E$130=$B13)*Inputs!$F$5:$F$130*(((Inputs!$G$5:$G$130="moeda")+(Inputs!$G$5:$G$130="acoes"))*Inputs!$B$1+((Inputs!$G$5:$G$130&lt;&gt;"moeda")*(Inputs!$G$5:$G$130&lt;&gt;"acoes")))*INDEX(Inputs!$K$5:$AJ$130,0,MATCH(AI$2,Inputs!$K$4:$AJ$4,0)))))</f>
        <v>-237</v>
      </c>
      <c r="AJ13" s="6">
        <f>IF(ISNA(MATCH(AJ$2,Inputs!$K$4:$AJ$4,0)),NA(),IF(SUMPRODUCT((Inputs!$A$5:$A$130=$B13)*ISNUMBER(INDEX(Inputs!$K$5:$AJ$130,0,MATCH(AJ$2,Inputs!$K$4:$AJ$4,0))))+SUMPRODUCT((Inputs!$C$5:$C$130=$B13)*ISNUMBER(INDEX(Inputs!$K$5:$AJ$130,0,MATCH(AJ$2,Inputs!$K$4:$AJ$4,0))))+SUMPRODUCT((Inputs!$E$5:$E$130=$B13)*ISNUMBER(INDEX(Inputs!$K$5:$AJ$130,0,MATCH(AJ$2,Inputs!$K$4:$AJ$4,0))))=0,NA(),SUMPRODUCT((Inputs!$A$5:$A$130=$B13)*Inputs!$B$5:$B$130*(((Inputs!$G$5:$G$130="moeda")+(Inputs!$G$5:$G$130="acoes"))*Inputs!$B$1+((Inputs!$G$5:$G$130&lt;&gt;"moeda")*(Inputs!$G$5:$G$130&lt;&gt;"acoes")))*INDEX(Inputs!$K$5:$AJ$130,0,MATCH(AJ$2,Inputs!$K$4:$AJ$4,0)))+SUMPRODUCT((Inputs!$C$5:$C$130=$B13)*Inputs!$D$5:$D$130*(((Inputs!$G$5:$G$130="moeda")+(Inputs!$G$5:$G$130="acoes"))*Inputs!$B$1+((Inputs!$G$5:$G$130&lt;&gt;"moeda")*(Inputs!$G$5:$G$130&lt;&gt;"acoes")))*INDEX(Inputs!$K$5:$AJ$130,0,MATCH(AJ$2,Inputs!$K$4:$AJ$4,0)))+SUMPRODUCT((Inputs!$E$5:$E$130=$B13)*Inputs!$F$5:$F$130*(((Inputs!$G$5:$G$130="moeda")+(Inputs!$G$5:$G$130="acoes"))*Inputs!$B$1+((Inputs!$G$5:$G$130&lt;&gt;"moeda")*(Inputs!$G$5:$G$130&lt;&gt;"acoes")))*INDEX(Inputs!$K$5:$AJ$130,0,MATCH(AJ$2,Inputs!$K$4:$AJ$4,0)))))</f>
        <v>-238</v>
      </c>
      <c r="AK13" s="6">
        <f>IF(ISNA(MATCH(AK$2,Inputs!$K$4:$AJ$4,0)),NA(),IF(SUMPRODUCT((Inputs!$A$5:$A$130=$B13)*ISNUMBER(INDEX(Inputs!$K$5:$AJ$130,0,MATCH(AK$2,Inputs!$K$4:$AJ$4,0))))+SUMPRODUCT((Inputs!$C$5:$C$130=$B13)*ISNUMBER(INDEX(Inputs!$K$5:$AJ$130,0,MATCH(AK$2,Inputs!$K$4:$AJ$4,0))))+SUMPRODUCT((Inputs!$E$5:$E$130=$B13)*ISNUMBER(INDEX(Inputs!$K$5:$AJ$130,0,MATCH(AK$2,Inputs!$K$4:$AJ$4,0))))=0,NA(),SUMPRODUCT((Inputs!$A$5:$A$130=$B13)*Inputs!$B$5:$B$130*(((Inputs!$G$5:$G$130="moeda")+(Inputs!$G$5:$G$130="acoes"))*Inputs!$B$1+((Inputs!$G$5:$G$130&lt;&gt;"moeda")*(Inputs!$G$5:$G$130&lt;&gt;"acoes")))*INDEX(Inputs!$K$5:$AJ$130,0,MATCH(AK$2,Inputs!$K$4:$AJ$4,0)))+SUMPRODUCT((Inputs!$C$5:$C$130=$B13)*Inputs!$D$5:$D$130*(((Inputs!$G$5:$G$130="moeda")+(Inputs!$G$5:$G$130="acoes"))*Inputs!$B$1+((Inputs!$G$5:$G$130&lt;&gt;"moeda")*(Inputs!$G$5:$G$130&lt;&gt;"acoes")))*INDEX(Inputs!$K$5:$AJ$130,0,MATCH(AK$2,Inputs!$K$4:$AJ$4,0)))+SUMPRODUCT((Inputs!$E$5:$E$130=$B13)*Inputs!$F$5:$F$130*(((Inputs!$G$5:$G$130="moeda")+(Inputs!$G$5:$G$130="acoes"))*Inputs!$B$1+((Inputs!$G$5:$G$130&lt;&gt;"moeda")*(Inputs!$G$5:$G$130&lt;&gt;"acoes")))*INDEX(Inputs!$K$5:$AJ$130,0,MATCH(AK$2,Inputs!$K$4:$AJ$4,0)))))</f>
        <v>-242</v>
      </c>
      <c r="AL13" s="3">
        <f>SUM(AH13:AK13)</f>
        <v>-956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$130=$B15)*ISNUMBER(INDEX(Inputs!$K$5:$AJ$130,0,MATCH(D$2,Inputs!$K$4:$AJ$4,0))))+SUMPRODUCT((Inputs!$C$5:$C$130=$B15)*ISNUMBER(INDEX(Inputs!$K$5:$AJ$130,0,MATCH(D$2,Inputs!$K$4:$AJ$4,0))))+SUMPRODUCT((Inputs!$E$5:$E$130=$B15)*ISNUMBER(INDEX(Inputs!$K$5:$AJ$130,0,MATCH(D$2,Inputs!$K$4:$AJ$4,0))))=0,NA(),SUMPRODUCT((Inputs!$A$5:$A$130=$B15)*Inputs!$B$5:$B$130*(((Inputs!$G$5:$G$130="moeda")+(Inputs!$G$5:$G$130="acoes"))*Inputs!$B$1+((Inputs!$G$5:$G$130&lt;&gt;"moeda")*(Inputs!$G$5:$G$130&lt;&gt;"acoes")))*INDEX(Inputs!$K$5:$AJ$130,0,MATCH(D$2,Inputs!$K$4:$AJ$4,0)))+SUMPRODUCT((Inputs!$C$5:$C$130=$B15)*Inputs!$D$5:$D$130*(((Inputs!$G$5:$G$130="moeda")+(Inputs!$G$5:$G$130="acoes"))*Inputs!$B$1+((Inputs!$G$5:$G$130&lt;&gt;"moeda")*(Inputs!$G$5:$G$130&lt;&gt;"acoes")))*INDEX(Inputs!$K$5:$AJ$130,0,MATCH(D$2,Inputs!$K$4:$AJ$4,0)))+SUMPRODUCT((Inputs!$E$5:$E$130=$B15)*Inputs!$F$5:$F$130*(((Inputs!$G$5:$G$130="moeda")+(Inputs!$G$5:$G$130="acoes"))*Inputs!$B$1+((Inputs!$G$5:$G$130&lt;&gt;"moeda")*(Inputs!$G$5:$G$130&lt;&gt;"acoes")))*INDEX(Inputs!$K$5:$AJ$130,0,MATCH(D$2,Inputs!$K$4:$AJ$4,0)))))</f>
        <v>7182</v>
      </c>
      <c r="E15" s="6">
        <f>IF(ISNA(MATCH(E$2,Inputs!$K$4:$AJ$4,0)),NA(),IF(SUMPRODUCT((Inputs!$A$5:$A$130=$B15)*ISNUMBER(INDEX(Inputs!$K$5:$AJ$130,0,MATCH(E$2,Inputs!$K$4:$AJ$4,0))))+SUMPRODUCT((Inputs!$C$5:$C$130=$B15)*ISNUMBER(INDEX(Inputs!$K$5:$AJ$130,0,MATCH(E$2,Inputs!$K$4:$AJ$4,0))))+SUMPRODUCT((Inputs!$E$5:$E$130=$B15)*ISNUMBER(INDEX(Inputs!$K$5:$AJ$130,0,MATCH(E$2,Inputs!$K$4:$AJ$4,0))))=0,NA(),SUMPRODUCT((Inputs!$A$5:$A$130=$B15)*Inputs!$B$5:$B$130*(((Inputs!$G$5:$G$130="moeda")+(Inputs!$G$5:$G$130="acoes"))*Inputs!$B$1+((Inputs!$G$5:$G$130&lt;&gt;"moeda")*(Inputs!$G$5:$G$130&lt;&gt;"acoes")))*INDEX(Inputs!$K$5:$AJ$130,0,MATCH(E$2,Inputs!$K$4:$AJ$4,0)))+SUMPRODUCT((Inputs!$C$5:$C$130=$B15)*Inputs!$D$5:$D$130*(((Inputs!$G$5:$G$130="moeda")+(Inputs!$G$5:$G$130="acoes"))*Inputs!$B$1+((Inputs!$G$5:$G$130&lt;&gt;"moeda")*(Inputs!$G$5:$G$130&lt;&gt;"acoes")))*INDEX(Inputs!$K$5:$AJ$130,0,MATCH(E$2,Inputs!$K$4:$AJ$4,0)))+SUMPRODUCT((Inputs!$E$5:$E$130=$B15)*Inputs!$F$5:$F$130*(((Inputs!$G$5:$G$130="moeda")+(Inputs!$G$5:$G$130="acoes"))*Inputs!$B$1+((Inputs!$G$5:$G$130&lt;&gt;"moeda")*(Inputs!$G$5:$G$130&lt;&gt;"acoes")))*INDEX(Inputs!$K$5:$AJ$130,0,MATCH(E$2,Inputs!$K$4:$AJ$4,0)))))</f>
        <v>7519</v>
      </c>
      <c r="F15" s="6">
        <f>IF(ISNA(MATCH(F$2,Inputs!$K$4:$AJ$4,0)),NA(),IF(SUMPRODUCT((Inputs!$A$5:$A$130=$B15)*ISNUMBER(INDEX(Inputs!$K$5:$AJ$130,0,MATCH(F$2,Inputs!$K$4:$AJ$4,0))))+SUMPRODUCT((Inputs!$C$5:$C$130=$B15)*ISNUMBER(INDEX(Inputs!$K$5:$AJ$130,0,MATCH(F$2,Inputs!$K$4:$AJ$4,0))))+SUMPRODUCT((Inputs!$E$5:$E$130=$B15)*ISNUMBER(INDEX(Inputs!$K$5:$AJ$130,0,MATCH(F$2,Inputs!$K$4:$AJ$4,0))))=0,NA(),SUMPRODUCT((Inputs!$A$5:$A$130=$B15)*Inputs!$B$5:$B$130*(((Inputs!$G$5:$G$130="moeda")+(Inputs!$G$5:$G$130="acoes"))*Inputs!$B$1+((Inputs!$G$5:$G$130&lt;&gt;"moeda")*(Inputs!$G$5:$G$130&lt;&gt;"acoes")))*INDEX(Inputs!$K$5:$AJ$130,0,MATCH(F$2,Inputs!$K$4:$AJ$4,0)))+SUMPRODUCT((Inputs!$C$5:$C$130=$B15)*Inputs!$D$5:$D$130*(((Inputs!$G$5:$G$130="moeda")+(Inputs!$G$5:$G$130="acoes"))*Inputs!$B$1+((Inputs!$G$5:$G$130&lt;&gt;"moeda")*(Inputs!$G$5:$G$130&lt;&gt;"acoes")))*INDEX(Inputs!$K$5:$AJ$130,0,MATCH(F$2,Inputs!$K$4:$AJ$4,0)))+SUMPRODUCT((Inputs!$E$5:$E$130=$B15)*Inputs!$F$5:$F$130*(((Inputs!$G$5:$G$130="moeda")+(Inputs!$G$5:$G$130="acoes"))*Inputs!$B$1+((Inputs!$G$5:$G$130&lt;&gt;"moeda")*(Inputs!$G$5:$G$130&lt;&gt;"acoes")))*INDEX(Inputs!$K$5:$AJ$130,0,MATCH(F$2,Inputs!$K$4:$AJ$4,0)))))</f>
        <v>8017</v>
      </c>
      <c r="G15" s="6">
        <f>IF(ISNA(MATCH(G$2,Inputs!$K$4:$AJ$4,0)),NA(),IF(SUMPRODUCT((Inputs!$A$5:$A$130=$B15)*ISNUMBER(INDEX(Inputs!$K$5:$AJ$130,0,MATCH(G$2,Inputs!$K$4:$AJ$4,0))))+SUMPRODUCT((Inputs!$C$5:$C$130=$B15)*ISNUMBER(INDEX(Inputs!$K$5:$AJ$130,0,MATCH(G$2,Inputs!$K$4:$AJ$4,0))))+SUMPRODUCT((Inputs!$E$5:$E$130=$B15)*ISNUMBER(INDEX(Inputs!$K$5:$AJ$130,0,MATCH(G$2,Inputs!$K$4:$AJ$4,0))))=0,NA(),SUMPRODUCT((Inputs!$A$5:$A$130=$B15)*Inputs!$B$5:$B$130*(((Inputs!$G$5:$G$130="moeda")+(Inputs!$G$5:$G$130="acoes"))*Inputs!$B$1+((Inputs!$G$5:$G$130&lt;&gt;"moeda")*(Inputs!$G$5:$G$130&lt;&gt;"acoes")))*INDEX(Inputs!$K$5:$AJ$130,0,MATCH(G$2,Inputs!$K$4:$AJ$4,0)))+SUMPRODUCT((Inputs!$C$5:$C$130=$B15)*Inputs!$D$5:$D$130*(((Inputs!$G$5:$G$130="moeda")+(Inputs!$G$5:$G$130="acoes"))*Inputs!$B$1+((Inputs!$G$5:$G$130&lt;&gt;"moeda")*(Inputs!$G$5:$G$130&lt;&gt;"acoes")))*INDEX(Inputs!$K$5:$AJ$130,0,MATCH(G$2,Inputs!$K$4:$AJ$4,0)))+SUMPRODUCT((Inputs!$E$5:$E$130=$B15)*Inputs!$F$5:$F$130*(((Inputs!$G$5:$G$130="moeda")+(Inputs!$G$5:$G$130="acoes"))*Inputs!$B$1+((Inputs!$G$5:$G$130&lt;&gt;"moeda")*(Inputs!$G$5:$G$130&lt;&gt;"acoes")))*INDEX(Inputs!$K$5:$AJ$130,0,MATCH(G$2,Inputs!$K$4:$AJ$4,0)))))</f>
        <v>4472</v>
      </c>
      <c r="H15" s="3">
        <f>G15</f>
        <v>4472</v>
      </c>
      <c r="I15" s="6">
        <f>IF(ISNA(MATCH(I$2,Inputs!$K$4:$AJ$4,0)),NA(),IF(SUMPRODUCT((Inputs!$A$5:$A$130=$B15)*ISNUMBER(INDEX(Inputs!$K$5:$AJ$130,0,MATCH(I$2,Inputs!$K$4:$AJ$4,0))))+SUMPRODUCT((Inputs!$C$5:$C$130=$B15)*ISNUMBER(INDEX(Inputs!$K$5:$AJ$130,0,MATCH(I$2,Inputs!$K$4:$AJ$4,0))))+SUMPRODUCT((Inputs!$E$5:$E$130=$B15)*ISNUMBER(INDEX(Inputs!$K$5:$AJ$130,0,MATCH(I$2,Inputs!$K$4:$AJ$4,0))))=0,NA(),SUMPRODUCT((Inputs!$A$5:$A$130=$B15)*Inputs!$B$5:$B$130*(((Inputs!$G$5:$G$130="moeda")+(Inputs!$G$5:$G$130="acoes"))*Inputs!$B$1+((Inputs!$G$5:$G$130&lt;&gt;"moeda")*(Inputs!$G$5:$G$130&lt;&gt;"acoes")))*INDEX(Inputs!$K$5:$AJ$130,0,MATCH(I$2,Inputs!$K$4:$AJ$4,0)))+SUMPRODUCT((Inputs!$C$5:$C$130=$B15)*Inputs!$D$5:$D$130*(((Inputs!$G$5:$G$130="moeda")+(Inputs!$G$5:$G$130="acoes"))*Inputs!$B$1+((Inputs!$G$5:$G$130&lt;&gt;"moeda")*(Inputs!$G$5:$G$130&lt;&gt;"acoes")))*INDEX(Inputs!$K$5:$AJ$130,0,MATCH(I$2,Inputs!$K$4:$AJ$4,0)))+SUMPRODUCT((Inputs!$E$5:$E$130=$B15)*Inputs!$F$5:$F$130*(((Inputs!$G$5:$G$130="moeda")+(Inputs!$G$5:$G$130="acoes"))*Inputs!$B$1+((Inputs!$G$5:$G$130&lt;&gt;"moeda")*(Inputs!$G$5:$G$130&lt;&gt;"acoes")))*INDEX(Inputs!$K$5:$AJ$130,0,MATCH(I$2,Inputs!$K$4:$AJ$4,0)))))</f>
        <v>3878</v>
      </c>
      <c r="J15" s="6">
        <f>IF(ISNA(MATCH(J$2,Inputs!$K$4:$AJ$4,0)),NA(),IF(SUMPRODUCT((Inputs!$A$5:$A$130=$B15)*ISNUMBER(INDEX(Inputs!$K$5:$AJ$130,0,MATCH(J$2,Inputs!$K$4:$AJ$4,0))))+SUMPRODUCT((Inputs!$C$5:$C$130=$B15)*ISNUMBER(INDEX(Inputs!$K$5:$AJ$130,0,MATCH(J$2,Inputs!$K$4:$AJ$4,0))))+SUMPRODUCT((Inputs!$E$5:$E$130=$B15)*ISNUMBER(INDEX(Inputs!$K$5:$AJ$130,0,MATCH(J$2,Inputs!$K$4:$AJ$4,0))))=0,NA(),SUMPRODUCT((Inputs!$A$5:$A$130=$B15)*Inputs!$B$5:$B$130*(((Inputs!$G$5:$G$130="moeda")+(Inputs!$G$5:$G$130="acoes"))*Inputs!$B$1+((Inputs!$G$5:$G$130&lt;&gt;"moeda")*(Inputs!$G$5:$G$130&lt;&gt;"acoes")))*INDEX(Inputs!$K$5:$AJ$130,0,MATCH(J$2,Inputs!$K$4:$AJ$4,0)))+SUMPRODUCT((Inputs!$C$5:$C$130=$B15)*Inputs!$D$5:$D$130*(((Inputs!$G$5:$G$130="moeda")+(Inputs!$G$5:$G$130="acoes"))*Inputs!$B$1+((Inputs!$G$5:$G$130&lt;&gt;"moeda")*(Inputs!$G$5:$G$130&lt;&gt;"acoes")))*INDEX(Inputs!$K$5:$AJ$130,0,MATCH(J$2,Inputs!$K$4:$AJ$4,0)))+SUMPRODUCT((Inputs!$E$5:$E$130=$B15)*Inputs!$F$5:$F$130*(((Inputs!$G$5:$G$130="moeda")+(Inputs!$G$5:$G$130="acoes"))*Inputs!$B$1+((Inputs!$G$5:$G$130&lt;&gt;"moeda")*(Inputs!$G$5:$G$130&lt;&gt;"acoes")))*INDEX(Inputs!$K$5:$AJ$130,0,MATCH(J$2,Inputs!$K$4:$AJ$4,0)))))</f>
        <v>4359</v>
      </c>
      <c r="K15" s="6">
        <f>IF(ISNA(MATCH(K$2,Inputs!$K$4:$AJ$4,0)),NA(),IF(SUMPRODUCT((Inputs!$A$5:$A$130=$B15)*ISNUMBER(INDEX(Inputs!$K$5:$AJ$130,0,MATCH(K$2,Inputs!$K$4:$AJ$4,0))))+SUMPRODUCT((Inputs!$C$5:$C$130=$B15)*ISNUMBER(INDEX(Inputs!$K$5:$AJ$130,0,MATCH(K$2,Inputs!$K$4:$AJ$4,0))))+SUMPRODUCT((Inputs!$E$5:$E$130=$B15)*ISNUMBER(INDEX(Inputs!$K$5:$AJ$130,0,MATCH(K$2,Inputs!$K$4:$AJ$4,0))))=0,NA(),SUMPRODUCT((Inputs!$A$5:$A$130=$B15)*Inputs!$B$5:$B$130*(((Inputs!$G$5:$G$130="moeda")+(Inputs!$G$5:$G$130="acoes"))*Inputs!$B$1+((Inputs!$G$5:$G$130&lt;&gt;"moeda")*(Inputs!$G$5:$G$130&lt;&gt;"acoes")))*INDEX(Inputs!$K$5:$AJ$130,0,MATCH(K$2,Inputs!$K$4:$AJ$4,0)))+SUMPRODUCT((Inputs!$C$5:$C$130=$B15)*Inputs!$D$5:$D$130*(((Inputs!$G$5:$G$130="moeda")+(Inputs!$G$5:$G$130="acoes"))*Inputs!$B$1+((Inputs!$G$5:$G$130&lt;&gt;"moeda")*(Inputs!$G$5:$G$130&lt;&gt;"acoes")))*INDEX(Inputs!$K$5:$AJ$130,0,MATCH(K$2,Inputs!$K$4:$AJ$4,0)))+SUMPRODUCT((Inputs!$E$5:$E$130=$B15)*Inputs!$F$5:$F$130*(((Inputs!$G$5:$G$130="moeda")+(Inputs!$G$5:$G$130="acoes"))*Inputs!$B$1+((Inputs!$G$5:$G$130&lt;&gt;"moeda")*(Inputs!$G$5:$G$130&lt;&gt;"acoes")))*INDEX(Inputs!$K$5:$AJ$130,0,MATCH(K$2,Inputs!$K$4:$AJ$4,0)))))</f>
        <v>4774</v>
      </c>
      <c r="L15" s="6">
        <f>IF(ISNA(MATCH(L$2,Inputs!$K$4:$AJ$4,0)),NA(),IF(SUMPRODUCT((Inputs!$A$5:$A$130=$B15)*ISNUMBER(INDEX(Inputs!$K$5:$AJ$130,0,MATCH(L$2,Inputs!$K$4:$AJ$4,0))))+SUMPRODUCT((Inputs!$C$5:$C$130=$B15)*ISNUMBER(INDEX(Inputs!$K$5:$AJ$130,0,MATCH(L$2,Inputs!$K$4:$AJ$4,0))))+SUMPRODUCT((Inputs!$E$5:$E$130=$B15)*ISNUMBER(INDEX(Inputs!$K$5:$AJ$130,0,MATCH(L$2,Inputs!$K$4:$AJ$4,0))))=0,NA(),SUMPRODUCT((Inputs!$A$5:$A$130=$B15)*Inputs!$B$5:$B$130*(((Inputs!$G$5:$G$130="moeda")+(Inputs!$G$5:$G$130="acoes"))*Inputs!$B$1+((Inputs!$G$5:$G$130&lt;&gt;"moeda")*(Inputs!$G$5:$G$130&lt;&gt;"acoes")))*INDEX(Inputs!$K$5:$AJ$130,0,MATCH(L$2,Inputs!$K$4:$AJ$4,0)))+SUMPRODUCT((Inputs!$C$5:$C$130=$B15)*Inputs!$D$5:$D$130*(((Inputs!$G$5:$G$130="moeda")+(Inputs!$G$5:$G$130="acoes"))*Inputs!$B$1+((Inputs!$G$5:$G$130&lt;&gt;"moeda")*(Inputs!$G$5:$G$130&lt;&gt;"acoes")))*INDEX(Inputs!$K$5:$AJ$130,0,MATCH(L$2,Inputs!$K$4:$AJ$4,0)))+SUMPRODUCT((Inputs!$E$5:$E$130=$B15)*Inputs!$F$5:$F$130*(((Inputs!$G$5:$G$130="moeda")+(Inputs!$G$5:$G$130="acoes"))*Inputs!$B$1+((Inputs!$G$5:$G$130&lt;&gt;"moeda")*(Inputs!$G$5:$G$130&lt;&gt;"acoes")))*INDEX(Inputs!$K$5:$AJ$130,0,MATCH(L$2,Inputs!$K$4:$AJ$4,0)))))</f>
        <v>3976</v>
      </c>
      <c r="M15" s="3">
        <f>L15</f>
        <v>3976</v>
      </c>
      <c r="N15" s="6">
        <f>IF(ISNA(MATCH(N$2,Inputs!$K$4:$AJ$4,0)),NA(),IF(SUMPRODUCT((Inputs!$A$5:$A$130=$B15)*ISNUMBER(INDEX(Inputs!$K$5:$AJ$130,0,MATCH(N$2,Inputs!$K$4:$AJ$4,0))))+SUMPRODUCT((Inputs!$C$5:$C$130=$B15)*ISNUMBER(INDEX(Inputs!$K$5:$AJ$130,0,MATCH(N$2,Inputs!$K$4:$AJ$4,0))))+SUMPRODUCT((Inputs!$E$5:$E$130=$B15)*ISNUMBER(INDEX(Inputs!$K$5:$AJ$130,0,MATCH(N$2,Inputs!$K$4:$AJ$4,0))))=0,NA(),SUMPRODUCT((Inputs!$A$5:$A$130=$B15)*Inputs!$B$5:$B$130*(((Inputs!$G$5:$G$130="moeda")+(Inputs!$G$5:$G$130="acoes"))*Inputs!$B$1+((Inputs!$G$5:$G$130&lt;&gt;"moeda")*(Inputs!$G$5:$G$130&lt;&gt;"acoes")))*INDEX(Inputs!$K$5:$AJ$130,0,MATCH(N$2,Inputs!$K$4:$AJ$4,0)))+SUMPRODUCT((Inputs!$C$5:$C$130=$B15)*Inputs!$D$5:$D$130*(((Inputs!$G$5:$G$130="moeda")+(Inputs!$G$5:$G$130="acoes"))*Inputs!$B$1+((Inputs!$G$5:$G$130&lt;&gt;"moeda")*(Inputs!$G$5:$G$130&lt;&gt;"acoes")))*INDEX(Inputs!$K$5:$AJ$130,0,MATCH(N$2,Inputs!$K$4:$AJ$4,0)))+SUMPRODUCT((Inputs!$E$5:$E$130=$B15)*Inputs!$F$5:$F$130*(((Inputs!$G$5:$G$130="moeda")+(Inputs!$G$5:$G$130="acoes"))*Inputs!$B$1+((Inputs!$G$5:$G$130&lt;&gt;"moeda")*(Inputs!$G$5:$G$130&lt;&gt;"acoes")))*INDEX(Inputs!$K$5:$AJ$130,0,MATCH(N$2,Inputs!$K$4:$AJ$4,0)))))</f>
        <v>5267</v>
      </c>
      <c r="O15" s="6">
        <f>IF(ISNA(MATCH(O$2,Inputs!$K$4:$AJ$4,0)),NA(),IF(SUMPRODUCT((Inputs!$A$5:$A$130=$B15)*ISNUMBER(INDEX(Inputs!$K$5:$AJ$130,0,MATCH(O$2,Inputs!$K$4:$AJ$4,0))))+SUMPRODUCT((Inputs!$C$5:$C$130=$B15)*ISNUMBER(INDEX(Inputs!$K$5:$AJ$130,0,MATCH(O$2,Inputs!$K$4:$AJ$4,0))))+SUMPRODUCT((Inputs!$E$5:$E$130=$B15)*ISNUMBER(INDEX(Inputs!$K$5:$AJ$130,0,MATCH(O$2,Inputs!$K$4:$AJ$4,0))))=0,NA(),SUMPRODUCT((Inputs!$A$5:$A$130=$B15)*Inputs!$B$5:$B$130*(((Inputs!$G$5:$G$130="moeda")+(Inputs!$G$5:$G$130="acoes"))*Inputs!$B$1+((Inputs!$G$5:$G$130&lt;&gt;"moeda")*(Inputs!$G$5:$G$130&lt;&gt;"acoes")))*INDEX(Inputs!$K$5:$AJ$130,0,MATCH(O$2,Inputs!$K$4:$AJ$4,0)))+SUMPRODUCT((Inputs!$C$5:$C$130=$B15)*Inputs!$D$5:$D$130*(((Inputs!$G$5:$G$130="moeda")+(Inputs!$G$5:$G$130="acoes"))*Inputs!$B$1+((Inputs!$G$5:$G$130&lt;&gt;"moeda")*(Inputs!$G$5:$G$130&lt;&gt;"acoes")))*INDEX(Inputs!$K$5:$AJ$130,0,MATCH(O$2,Inputs!$K$4:$AJ$4,0)))+SUMPRODUCT((Inputs!$E$5:$E$130=$B15)*Inputs!$F$5:$F$130*(((Inputs!$G$5:$G$130="moeda")+(Inputs!$G$5:$G$130="acoes"))*Inputs!$B$1+((Inputs!$G$5:$G$130&lt;&gt;"moeda")*(Inputs!$G$5:$G$130&lt;&gt;"acoes")))*INDEX(Inputs!$K$5:$AJ$130,0,MATCH(O$2,Inputs!$K$4:$AJ$4,0)))))</f>
        <v>6576</v>
      </c>
      <c r="P15" s="6">
        <f>IF(ISNA(MATCH(P$2,Inputs!$K$4:$AJ$4,0)),NA(),IF(SUMPRODUCT((Inputs!$A$5:$A$130=$B15)*ISNUMBER(INDEX(Inputs!$K$5:$AJ$130,0,MATCH(P$2,Inputs!$K$4:$AJ$4,0))))+SUMPRODUCT((Inputs!$C$5:$C$130=$B15)*ISNUMBER(INDEX(Inputs!$K$5:$AJ$130,0,MATCH(P$2,Inputs!$K$4:$AJ$4,0))))+SUMPRODUCT((Inputs!$E$5:$E$130=$B15)*ISNUMBER(INDEX(Inputs!$K$5:$AJ$130,0,MATCH(P$2,Inputs!$K$4:$AJ$4,0))))=0,NA(),SUMPRODUCT((Inputs!$A$5:$A$130=$B15)*Inputs!$B$5:$B$130*(((Inputs!$G$5:$G$130="moeda")+(Inputs!$G$5:$G$130="acoes"))*Inputs!$B$1+((Inputs!$G$5:$G$130&lt;&gt;"moeda")*(Inputs!$G$5:$G$130&lt;&gt;"acoes")))*INDEX(Inputs!$K$5:$AJ$130,0,MATCH(P$2,Inputs!$K$4:$AJ$4,0)))+SUMPRODUCT((Inputs!$C$5:$C$130=$B15)*Inputs!$D$5:$D$130*(((Inputs!$G$5:$G$130="moeda")+(Inputs!$G$5:$G$130="acoes"))*Inputs!$B$1+((Inputs!$G$5:$G$130&lt;&gt;"moeda")*(Inputs!$G$5:$G$130&lt;&gt;"acoes")))*INDEX(Inputs!$K$5:$AJ$130,0,MATCH(P$2,Inputs!$K$4:$AJ$4,0)))+SUMPRODUCT((Inputs!$E$5:$E$130=$B15)*Inputs!$F$5:$F$130*(((Inputs!$G$5:$G$130="moeda")+(Inputs!$G$5:$G$130="acoes"))*Inputs!$B$1+((Inputs!$G$5:$G$130&lt;&gt;"moeda")*(Inputs!$G$5:$G$130&lt;&gt;"acoes")))*INDEX(Inputs!$K$5:$AJ$130,0,MATCH(P$2,Inputs!$K$4:$AJ$4,0)))))</f>
        <v>7458</v>
      </c>
      <c r="Q15" s="6">
        <f>IF(ISNA(MATCH(Q$2,Inputs!$K$4:$AJ$4,0)),NA(),IF(SUMPRODUCT((Inputs!$A$5:$A$130=$B15)*ISNUMBER(INDEX(Inputs!$K$5:$AJ$130,0,MATCH(Q$2,Inputs!$K$4:$AJ$4,0))))+SUMPRODUCT((Inputs!$C$5:$C$130=$B15)*ISNUMBER(INDEX(Inputs!$K$5:$AJ$130,0,MATCH(Q$2,Inputs!$K$4:$AJ$4,0))))+SUMPRODUCT((Inputs!$E$5:$E$130=$B15)*ISNUMBER(INDEX(Inputs!$K$5:$AJ$130,0,MATCH(Q$2,Inputs!$K$4:$AJ$4,0))))=0,NA(),SUMPRODUCT((Inputs!$A$5:$A$130=$B15)*Inputs!$B$5:$B$130*(((Inputs!$G$5:$G$130="moeda")+(Inputs!$G$5:$G$130="acoes"))*Inputs!$B$1+((Inputs!$G$5:$G$130&lt;&gt;"moeda")*(Inputs!$G$5:$G$130&lt;&gt;"acoes")))*INDEX(Inputs!$K$5:$AJ$130,0,MATCH(Q$2,Inputs!$K$4:$AJ$4,0)))+SUMPRODUCT((Inputs!$C$5:$C$130=$B15)*Inputs!$D$5:$D$130*(((Inputs!$G$5:$G$130="moeda")+(Inputs!$G$5:$G$130="acoes"))*Inputs!$B$1+((Inputs!$G$5:$G$130&lt;&gt;"moeda")*(Inputs!$G$5:$G$130&lt;&gt;"acoes")))*INDEX(Inputs!$K$5:$AJ$130,0,MATCH(Q$2,Inputs!$K$4:$AJ$4,0)))+SUMPRODUCT((Inputs!$E$5:$E$130=$B15)*Inputs!$F$5:$F$130*(((Inputs!$G$5:$G$130="moeda")+(Inputs!$G$5:$G$130="acoes"))*Inputs!$B$1+((Inputs!$G$5:$G$130&lt;&gt;"moeda")*(Inputs!$G$5:$G$130&lt;&gt;"acoes")))*INDEX(Inputs!$K$5:$AJ$130,0,MATCH(Q$2,Inputs!$K$4:$AJ$4,0)))))</f>
        <v>5137</v>
      </c>
      <c r="R15" s="3">
        <f>Q15</f>
        <v>5137</v>
      </c>
      <c r="S15" s="6">
        <f>IF(ISNA(MATCH(S$2,Inputs!$K$4:$AJ$4,0)),NA(),IF(SUMPRODUCT((Inputs!$A$5:$A$130=$B15)*ISNUMBER(INDEX(Inputs!$K$5:$AJ$130,0,MATCH(S$2,Inputs!$K$4:$AJ$4,0))))+SUMPRODUCT((Inputs!$C$5:$C$130=$B15)*ISNUMBER(INDEX(Inputs!$K$5:$AJ$130,0,MATCH(S$2,Inputs!$K$4:$AJ$4,0))))+SUMPRODUCT((Inputs!$E$5:$E$130=$B15)*ISNUMBER(INDEX(Inputs!$K$5:$AJ$130,0,MATCH(S$2,Inputs!$K$4:$AJ$4,0))))=0,NA(),SUMPRODUCT((Inputs!$A$5:$A$130=$B15)*Inputs!$B$5:$B$130*(((Inputs!$G$5:$G$130="moeda")+(Inputs!$G$5:$G$130="acoes"))*Inputs!$B$1+((Inputs!$G$5:$G$130&lt;&gt;"moeda")*(Inputs!$G$5:$G$130&lt;&gt;"acoes")))*INDEX(Inputs!$K$5:$AJ$130,0,MATCH(S$2,Inputs!$K$4:$AJ$4,0)))+SUMPRODUCT((Inputs!$C$5:$C$130=$B15)*Inputs!$D$5:$D$130*(((Inputs!$G$5:$G$130="moeda")+(Inputs!$G$5:$G$130="acoes"))*Inputs!$B$1+((Inputs!$G$5:$G$130&lt;&gt;"moeda")*(Inputs!$G$5:$G$130&lt;&gt;"acoes")))*INDEX(Inputs!$K$5:$AJ$130,0,MATCH(S$2,Inputs!$K$4:$AJ$4,0)))+SUMPRODUCT((Inputs!$E$5:$E$130=$B15)*Inputs!$F$5:$F$130*(((Inputs!$G$5:$G$130="moeda")+(Inputs!$G$5:$G$130="acoes"))*Inputs!$B$1+((Inputs!$G$5:$G$130&lt;&gt;"moeda")*(Inputs!$G$5:$G$130&lt;&gt;"acoes")))*INDEX(Inputs!$K$5:$AJ$130,0,MATCH(S$2,Inputs!$K$4:$AJ$4,0)))))</f>
        <v>5553</v>
      </c>
      <c r="T15" s="6">
        <f>IF(ISNA(MATCH(T$2,Inputs!$K$4:$AJ$4,0)),NA(),IF(SUMPRODUCT((Inputs!$A$5:$A$130=$B15)*ISNUMBER(INDEX(Inputs!$K$5:$AJ$130,0,MATCH(T$2,Inputs!$K$4:$AJ$4,0))))+SUMPRODUCT((Inputs!$C$5:$C$130=$B15)*ISNUMBER(INDEX(Inputs!$K$5:$AJ$130,0,MATCH(T$2,Inputs!$K$4:$AJ$4,0))))+SUMPRODUCT((Inputs!$E$5:$E$130=$B15)*ISNUMBER(INDEX(Inputs!$K$5:$AJ$130,0,MATCH(T$2,Inputs!$K$4:$AJ$4,0))))=0,NA(),SUMPRODUCT((Inputs!$A$5:$A$130=$B15)*Inputs!$B$5:$B$130*(((Inputs!$G$5:$G$130="moeda")+(Inputs!$G$5:$G$130="acoes"))*Inputs!$B$1+((Inputs!$G$5:$G$130&lt;&gt;"moeda")*(Inputs!$G$5:$G$130&lt;&gt;"acoes")))*INDEX(Inputs!$K$5:$AJ$130,0,MATCH(T$2,Inputs!$K$4:$AJ$4,0)))+SUMPRODUCT((Inputs!$C$5:$C$130=$B15)*Inputs!$D$5:$D$130*(((Inputs!$G$5:$G$130="moeda")+(Inputs!$G$5:$G$130="acoes"))*Inputs!$B$1+((Inputs!$G$5:$G$130&lt;&gt;"moeda")*(Inputs!$G$5:$G$130&lt;&gt;"acoes")))*INDEX(Inputs!$K$5:$AJ$130,0,MATCH(T$2,Inputs!$K$4:$AJ$4,0)))+SUMPRODUCT((Inputs!$E$5:$E$130=$B15)*Inputs!$F$5:$F$130*(((Inputs!$G$5:$G$130="moeda")+(Inputs!$G$5:$G$130="acoes"))*Inputs!$B$1+((Inputs!$G$5:$G$130&lt;&gt;"moeda")*(Inputs!$G$5:$G$130&lt;&gt;"acoes")))*INDEX(Inputs!$K$5:$AJ$130,0,MATCH(T$2,Inputs!$K$4:$AJ$4,0)))))</f>
        <v>7004</v>
      </c>
      <c r="U15" s="6">
        <f>IF(ISNA(MATCH(U$2,Inputs!$K$4:$AJ$4,0)),NA(),IF(SUMPRODUCT((Inputs!$A$5:$A$130=$B15)*ISNUMBER(INDEX(Inputs!$K$5:$AJ$130,0,MATCH(U$2,Inputs!$K$4:$AJ$4,0))))+SUMPRODUCT((Inputs!$C$5:$C$130=$B15)*ISNUMBER(INDEX(Inputs!$K$5:$AJ$130,0,MATCH(U$2,Inputs!$K$4:$AJ$4,0))))+SUMPRODUCT((Inputs!$E$5:$E$130=$B15)*ISNUMBER(INDEX(Inputs!$K$5:$AJ$130,0,MATCH(U$2,Inputs!$K$4:$AJ$4,0))))=0,NA(),SUMPRODUCT((Inputs!$A$5:$A$130=$B15)*Inputs!$B$5:$B$130*(((Inputs!$G$5:$G$130="moeda")+(Inputs!$G$5:$G$130="acoes"))*Inputs!$B$1+((Inputs!$G$5:$G$130&lt;&gt;"moeda")*(Inputs!$G$5:$G$130&lt;&gt;"acoes")))*INDEX(Inputs!$K$5:$AJ$130,0,MATCH(U$2,Inputs!$K$4:$AJ$4,0)))+SUMPRODUCT((Inputs!$C$5:$C$130=$B15)*Inputs!$D$5:$D$130*(((Inputs!$G$5:$G$130="moeda")+(Inputs!$G$5:$G$130="acoes"))*Inputs!$B$1+((Inputs!$G$5:$G$130&lt;&gt;"moeda")*(Inputs!$G$5:$G$130&lt;&gt;"acoes")))*INDEX(Inputs!$K$5:$AJ$130,0,MATCH(U$2,Inputs!$K$4:$AJ$4,0)))+SUMPRODUCT((Inputs!$E$5:$E$130=$B15)*Inputs!$F$5:$F$130*(((Inputs!$G$5:$G$130="moeda")+(Inputs!$G$5:$G$130="acoes"))*Inputs!$B$1+((Inputs!$G$5:$G$130&lt;&gt;"moeda")*(Inputs!$G$5:$G$130&lt;&gt;"acoes")))*INDEX(Inputs!$K$5:$AJ$130,0,MATCH(U$2,Inputs!$K$4:$AJ$4,0)))))</f>
        <v>7324</v>
      </c>
      <c r="V15" s="6">
        <f>IF(ISNA(MATCH(V$2,Inputs!$K$4:$AJ$4,0)),NA(),IF(SUMPRODUCT((Inputs!$A$5:$A$130=$B15)*ISNUMBER(INDEX(Inputs!$K$5:$AJ$130,0,MATCH(V$2,Inputs!$K$4:$AJ$4,0))))+SUMPRODUCT((Inputs!$C$5:$C$130=$B15)*ISNUMBER(INDEX(Inputs!$K$5:$AJ$130,0,MATCH(V$2,Inputs!$K$4:$AJ$4,0))))+SUMPRODUCT((Inputs!$E$5:$E$130=$B15)*ISNUMBER(INDEX(Inputs!$K$5:$AJ$130,0,MATCH(V$2,Inputs!$K$4:$AJ$4,0))))=0,NA(),SUMPRODUCT((Inputs!$A$5:$A$130=$B15)*Inputs!$B$5:$B$130*(((Inputs!$G$5:$G$130="moeda")+(Inputs!$G$5:$G$130="acoes"))*Inputs!$B$1+((Inputs!$G$5:$G$130&lt;&gt;"moeda")*(Inputs!$G$5:$G$130&lt;&gt;"acoes")))*INDEX(Inputs!$K$5:$AJ$130,0,MATCH(V$2,Inputs!$K$4:$AJ$4,0)))+SUMPRODUCT((Inputs!$C$5:$C$130=$B15)*Inputs!$D$5:$D$130*(((Inputs!$G$5:$G$130="moeda")+(Inputs!$G$5:$G$130="acoes"))*Inputs!$B$1+((Inputs!$G$5:$G$130&lt;&gt;"moeda")*(Inputs!$G$5:$G$130&lt;&gt;"acoes")))*INDEX(Inputs!$K$5:$AJ$130,0,MATCH(V$2,Inputs!$K$4:$AJ$4,0)))+SUMPRODUCT((Inputs!$E$5:$E$130=$B15)*Inputs!$F$5:$F$130*(((Inputs!$G$5:$G$130="moeda")+(Inputs!$G$5:$G$130="acoes"))*Inputs!$B$1+((Inputs!$G$5:$G$130&lt;&gt;"moeda")*(Inputs!$G$5:$G$130&lt;&gt;"acoes")))*INDEX(Inputs!$K$5:$AJ$130,0,MATCH(V$2,Inputs!$K$4:$AJ$4,0)))))</f>
        <v>6601</v>
      </c>
      <c r="W15" s="3">
        <f>V15</f>
        <v>6601</v>
      </c>
      <c r="X15" s="6">
        <f>IF(ISNA(MATCH(X$2,Inputs!$K$4:$AJ$4,0)),NA(),IF(SUMPRODUCT((Inputs!$A$5:$A$130=$B15)*ISNUMBER(INDEX(Inputs!$K$5:$AJ$130,0,MATCH(X$2,Inputs!$K$4:$AJ$4,0))))+SUMPRODUCT((Inputs!$C$5:$C$130=$B15)*ISNUMBER(INDEX(Inputs!$K$5:$AJ$130,0,MATCH(X$2,Inputs!$K$4:$AJ$4,0))))+SUMPRODUCT((Inputs!$E$5:$E$130=$B15)*ISNUMBER(INDEX(Inputs!$K$5:$AJ$130,0,MATCH(X$2,Inputs!$K$4:$AJ$4,0))))=0,NA(),SUMPRODUCT((Inputs!$A$5:$A$130=$B15)*Inputs!$B$5:$B$130*(((Inputs!$G$5:$G$130="moeda")+(Inputs!$G$5:$G$130="acoes"))*Inputs!$B$1+((Inputs!$G$5:$G$130&lt;&gt;"moeda")*(Inputs!$G$5:$G$130&lt;&gt;"acoes")))*INDEX(Inputs!$K$5:$AJ$130,0,MATCH(X$2,Inputs!$K$4:$AJ$4,0)))+SUMPRODUCT((Inputs!$C$5:$C$130=$B15)*Inputs!$D$5:$D$130*(((Inputs!$G$5:$G$130="moeda")+(Inputs!$G$5:$G$130="acoes"))*Inputs!$B$1+((Inputs!$G$5:$G$130&lt;&gt;"moeda")*(Inputs!$G$5:$G$130&lt;&gt;"acoes")))*INDEX(Inputs!$K$5:$AJ$130,0,MATCH(X$2,Inputs!$K$4:$AJ$4,0)))+SUMPRODUCT((Inputs!$E$5:$E$130=$B15)*Inputs!$F$5:$F$130*(((Inputs!$G$5:$G$130="moeda")+(Inputs!$G$5:$G$130="acoes"))*Inputs!$B$1+((Inputs!$G$5:$G$130&lt;&gt;"moeda")*(Inputs!$G$5:$G$130&lt;&gt;"acoes")))*INDEX(Inputs!$K$5:$AJ$130,0,MATCH(X$2,Inputs!$K$4:$AJ$4,0)))))</f>
        <v>7991</v>
      </c>
      <c r="Y15" s="6">
        <f>IF(ISNA(MATCH(Y$2,Inputs!$K$4:$AJ$4,0)),NA(),IF(SUMPRODUCT((Inputs!$A$5:$A$130=$B15)*ISNUMBER(INDEX(Inputs!$K$5:$AJ$130,0,MATCH(Y$2,Inputs!$K$4:$AJ$4,0))))+SUMPRODUCT((Inputs!$C$5:$C$130=$B15)*ISNUMBER(INDEX(Inputs!$K$5:$AJ$130,0,MATCH(Y$2,Inputs!$K$4:$AJ$4,0))))+SUMPRODUCT((Inputs!$E$5:$E$130=$B15)*ISNUMBER(INDEX(Inputs!$K$5:$AJ$130,0,MATCH(Y$2,Inputs!$K$4:$AJ$4,0))))=0,NA(),SUMPRODUCT((Inputs!$A$5:$A$130=$B15)*Inputs!$B$5:$B$130*(((Inputs!$G$5:$G$130="moeda")+(Inputs!$G$5:$G$130="acoes"))*Inputs!$B$1+((Inputs!$G$5:$G$130&lt;&gt;"moeda")*(Inputs!$G$5:$G$130&lt;&gt;"acoes")))*INDEX(Inputs!$K$5:$AJ$130,0,MATCH(Y$2,Inputs!$K$4:$AJ$4,0)))+SUMPRODUCT((Inputs!$C$5:$C$130=$B15)*Inputs!$D$5:$D$130*(((Inputs!$G$5:$G$130="moeda")+(Inputs!$G$5:$G$130="acoes"))*Inputs!$B$1+((Inputs!$G$5:$G$130&lt;&gt;"moeda")*(Inputs!$G$5:$G$130&lt;&gt;"acoes")))*INDEX(Inputs!$K$5:$AJ$130,0,MATCH(Y$2,Inputs!$K$4:$AJ$4,0)))+SUMPRODUCT((Inputs!$E$5:$E$130=$B15)*Inputs!$F$5:$F$130*(((Inputs!$G$5:$G$130="moeda")+(Inputs!$G$5:$G$130="acoes"))*Inputs!$B$1+((Inputs!$G$5:$G$130&lt;&gt;"moeda")*(Inputs!$G$5:$G$130&lt;&gt;"acoes")))*INDEX(Inputs!$K$5:$AJ$130,0,MATCH(Y$2,Inputs!$K$4:$AJ$4,0)))))</f>
        <v>8580</v>
      </c>
      <c r="Z15" s="6">
        <f>IF(ISNA(MATCH(Z$2,Inputs!$K$4:$AJ$4,0)),NA(),IF(SUMPRODUCT((Inputs!$A$5:$A$130=$B15)*ISNUMBER(INDEX(Inputs!$K$5:$AJ$130,0,MATCH(Z$2,Inputs!$K$4:$AJ$4,0))))+SUMPRODUCT((Inputs!$C$5:$C$130=$B15)*ISNUMBER(INDEX(Inputs!$K$5:$AJ$130,0,MATCH(Z$2,Inputs!$K$4:$AJ$4,0))))+SUMPRODUCT((Inputs!$E$5:$E$130=$B15)*ISNUMBER(INDEX(Inputs!$K$5:$AJ$130,0,MATCH(Z$2,Inputs!$K$4:$AJ$4,0))))=0,NA(),SUMPRODUCT((Inputs!$A$5:$A$130=$B15)*Inputs!$B$5:$B$130*(((Inputs!$G$5:$G$130="moeda")+(Inputs!$G$5:$G$130="acoes"))*Inputs!$B$1+((Inputs!$G$5:$G$130&lt;&gt;"moeda")*(Inputs!$G$5:$G$130&lt;&gt;"acoes")))*INDEX(Inputs!$K$5:$AJ$130,0,MATCH(Z$2,Inputs!$K$4:$AJ$4,0)))+SUMPRODUCT((Inputs!$C$5:$C$130=$B15)*Inputs!$D$5:$D$130*(((Inputs!$G$5:$G$130="moeda")+(Inputs!$G$5:$G$130="acoes"))*Inputs!$B$1+((Inputs!$G$5:$G$130&lt;&gt;"moeda")*(Inputs!$G$5:$G$130&lt;&gt;"acoes")))*INDEX(Inputs!$K$5:$AJ$130,0,MATCH(Z$2,Inputs!$K$4:$AJ$4,0)))+SUMPRODUCT((Inputs!$E$5:$E$130=$B15)*Inputs!$F$5:$F$130*(((Inputs!$G$5:$G$130="moeda")+(Inputs!$G$5:$G$130="acoes"))*Inputs!$B$1+((Inputs!$G$5:$G$130&lt;&gt;"moeda")*(Inputs!$G$5:$G$130&lt;&gt;"acoes")))*INDEX(Inputs!$K$5:$AJ$130,0,MATCH(Z$2,Inputs!$K$4:$AJ$4,0)))))</f>
        <v>8276</v>
      </c>
      <c r="AA15" s="6">
        <f>IF(ISNA(MATCH(AA$2,Inputs!$K$4:$AJ$4,0)),NA(),IF(SUMPRODUCT((Inputs!$A$5:$A$130=$B15)*ISNUMBER(INDEX(Inputs!$K$5:$AJ$130,0,MATCH(AA$2,Inputs!$K$4:$AJ$4,0))))+SUMPRODUCT((Inputs!$C$5:$C$130=$B15)*ISNUMBER(INDEX(Inputs!$K$5:$AJ$130,0,MATCH(AA$2,Inputs!$K$4:$AJ$4,0))))+SUMPRODUCT((Inputs!$E$5:$E$130=$B15)*ISNUMBER(INDEX(Inputs!$K$5:$AJ$130,0,MATCH(AA$2,Inputs!$K$4:$AJ$4,0))))=0,NA(),SUMPRODUCT((Inputs!$A$5:$A$130=$B15)*Inputs!$B$5:$B$130*(((Inputs!$G$5:$G$130="moeda")+(Inputs!$G$5:$G$130="acoes"))*Inputs!$B$1+((Inputs!$G$5:$G$130&lt;&gt;"moeda")*(Inputs!$G$5:$G$130&lt;&gt;"acoes")))*INDEX(Inputs!$K$5:$AJ$130,0,MATCH(AA$2,Inputs!$K$4:$AJ$4,0)))+SUMPRODUCT((Inputs!$C$5:$C$130=$B15)*Inputs!$D$5:$D$130*(((Inputs!$G$5:$G$130="moeda")+(Inputs!$G$5:$G$130="acoes"))*Inputs!$B$1+((Inputs!$G$5:$G$130&lt;&gt;"moeda")*(Inputs!$G$5:$G$130&lt;&gt;"acoes")))*INDEX(Inputs!$K$5:$AJ$130,0,MATCH(AA$2,Inputs!$K$4:$AJ$4,0)))+SUMPRODUCT((Inputs!$E$5:$E$130=$B15)*Inputs!$F$5:$F$130*(((Inputs!$G$5:$G$130="moeda")+(Inputs!$G$5:$G$130="acoes"))*Inputs!$B$1+((Inputs!$G$5:$G$130&lt;&gt;"moeda")*(Inputs!$G$5:$G$130&lt;&gt;"acoes")))*INDEX(Inputs!$K$5:$AJ$130,0,MATCH(AA$2,Inputs!$K$4:$AJ$4,0)))))</f>
        <v>6798</v>
      </c>
      <c r="AB15" s="3">
        <f>AA15</f>
        <v>6798</v>
      </c>
      <c r="AC15" s="6">
        <f>IF(ISNA(MATCH(AC$2,Inputs!$K$4:$AJ$4,0)),NA(),IF(SUMPRODUCT((Inputs!$A$5:$A$130=$B15)*ISNUMBER(INDEX(Inputs!$K$5:$AJ$130,0,MATCH(AC$2,Inputs!$K$4:$AJ$4,0))))+SUMPRODUCT((Inputs!$C$5:$C$130=$B15)*ISNUMBER(INDEX(Inputs!$K$5:$AJ$130,0,MATCH(AC$2,Inputs!$K$4:$AJ$4,0))))+SUMPRODUCT((Inputs!$E$5:$E$130=$B15)*ISNUMBER(INDEX(Inputs!$K$5:$AJ$130,0,MATCH(AC$2,Inputs!$K$4:$AJ$4,0))))=0,NA(),SUMPRODUCT((Inputs!$A$5:$A$130=$B15)*Inputs!$B$5:$B$130*(((Inputs!$G$5:$G$130="moeda")+(Inputs!$G$5:$G$130="acoes"))*Inputs!$B$1+((Inputs!$G$5:$G$130&lt;&gt;"moeda")*(Inputs!$G$5:$G$130&lt;&gt;"acoes")))*INDEX(Inputs!$K$5:$AJ$130,0,MATCH(AC$2,Inputs!$K$4:$AJ$4,0)))+SUMPRODUCT((Inputs!$C$5:$C$130=$B15)*Inputs!$D$5:$D$130*(((Inputs!$G$5:$G$130="moeda")+(Inputs!$G$5:$G$130="acoes"))*Inputs!$B$1+((Inputs!$G$5:$G$130&lt;&gt;"moeda")*(Inputs!$G$5:$G$130&lt;&gt;"acoes")))*INDEX(Inputs!$K$5:$AJ$130,0,MATCH(AC$2,Inputs!$K$4:$AJ$4,0)))+SUMPRODUCT((Inputs!$E$5:$E$130=$B15)*Inputs!$F$5:$F$130*(((Inputs!$G$5:$G$130="moeda")+(Inputs!$G$5:$G$130="acoes"))*Inputs!$B$1+((Inputs!$G$5:$G$130&lt;&gt;"moeda")*(Inputs!$G$5:$G$130&lt;&gt;"acoes")))*INDEX(Inputs!$K$5:$AJ$130,0,MATCH(AC$2,Inputs!$K$4:$AJ$4,0)))))</f>
        <v>7905</v>
      </c>
      <c r="AD15" s="6">
        <f>IF(ISNA(MATCH(AD$2,Inputs!$K$4:$AJ$4,0)),NA(),IF(SUMPRODUCT((Inputs!$A$5:$A$130=$B15)*ISNUMBER(INDEX(Inputs!$K$5:$AJ$130,0,MATCH(AD$2,Inputs!$K$4:$AJ$4,0))))+SUMPRODUCT((Inputs!$C$5:$C$130=$B15)*ISNUMBER(INDEX(Inputs!$K$5:$AJ$130,0,MATCH(AD$2,Inputs!$K$4:$AJ$4,0))))+SUMPRODUCT((Inputs!$E$5:$E$130=$B15)*ISNUMBER(INDEX(Inputs!$K$5:$AJ$130,0,MATCH(AD$2,Inputs!$K$4:$AJ$4,0))))=0,NA(),SUMPRODUCT((Inputs!$A$5:$A$130=$B15)*Inputs!$B$5:$B$130*(((Inputs!$G$5:$G$130="moeda")+(Inputs!$G$5:$G$130="acoes"))*Inputs!$B$1+((Inputs!$G$5:$G$130&lt;&gt;"moeda")*(Inputs!$G$5:$G$130&lt;&gt;"acoes")))*INDEX(Inputs!$K$5:$AJ$130,0,MATCH(AD$2,Inputs!$K$4:$AJ$4,0)))+SUMPRODUCT((Inputs!$C$5:$C$130=$B15)*Inputs!$D$5:$D$130*(((Inputs!$G$5:$G$130="moeda")+(Inputs!$G$5:$G$130="acoes"))*Inputs!$B$1+((Inputs!$G$5:$G$130&lt;&gt;"moeda")*(Inputs!$G$5:$G$130&lt;&gt;"acoes")))*INDEX(Inputs!$K$5:$AJ$130,0,MATCH(AD$2,Inputs!$K$4:$AJ$4,0)))+SUMPRODUCT((Inputs!$E$5:$E$130=$B15)*Inputs!$F$5:$F$130*(((Inputs!$G$5:$G$130="moeda")+(Inputs!$G$5:$G$130="acoes"))*Inputs!$B$1+((Inputs!$G$5:$G$130&lt;&gt;"moeda")*(Inputs!$G$5:$G$130&lt;&gt;"acoes")))*INDEX(Inputs!$K$5:$AJ$130,0,MATCH(AD$2,Inputs!$K$4:$AJ$4,0)))))</f>
        <v>8928</v>
      </c>
      <c r="AE15" s="6" t="e">
        <f>IF(ISNA(MATCH(AE$2,Inputs!$K$4:$AJ$4,0)),NA(),IF(SUMPRODUCT((Inputs!$A$5:$A$130=$B15)*ISNUMBER(INDEX(Inputs!$K$5:$AJ$130,0,MATCH(AE$2,Inputs!$K$4:$AJ$4,0))))+SUMPRODUCT((Inputs!$C$5:$C$130=$B15)*ISNUMBER(INDEX(Inputs!$K$5:$AJ$130,0,MATCH(AE$2,Inputs!$K$4:$AJ$4,0))))+SUMPRODUCT((Inputs!$E$5:$E$130=$B15)*ISNUMBER(INDEX(Inputs!$K$5:$AJ$130,0,MATCH(AE$2,Inputs!$K$4:$AJ$4,0))))=0,NA(),SUMPRODUCT((Inputs!$A$5:$A$130=$B15)*Inputs!$B$5:$B$130*(((Inputs!$G$5:$G$130="moeda")+(Inputs!$G$5:$G$130="acoes"))*Inputs!$B$1+((Inputs!$G$5:$G$130&lt;&gt;"moeda")*(Inputs!$G$5:$G$130&lt;&gt;"acoes")))*INDEX(Inputs!$K$5:$AJ$130,0,MATCH(AE$2,Inputs!$K$4:$AJ$4,0)))+SUMPRODUCT((Inputs!$C$5:$C$130=$B15)*Inputs!$D$5:$D$130*(((Inputs!$G$5:$G$130="moeda")+(Inputs!$G$5:$G$130="acoes"))*Inputs!$B$1+((Inputs!$G$5:$G$130&lt;&gt;"moeda")*(Inputs!$G$5:$G$130&lt;&gt;"acoes")))*INDEX(Inputs!$K$5:$AJ$130,0,MATCH(AE$2,Inputs!$K$4:$AJ$4,0)))+SUMPRODUCT((Inputs!$E$5:$E$130=$B15)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5" s="6" t="e">
        <f>IF(ISNA(MATCH(AF$2,Inputs!$K$4:$AJ$4,0)),NA(),IF(SUMPRODUCT((Inputs!$A$5:$A$130=$B15)*ISNUMBER(INDEX(Inputs!$K$5:$AJ$130,0,MATCH(AF$2,Inputs!$K$4:$AJ$4,0))))+SUMPRODUCT((Inputs!$C$5:$C$130=$B15)*ISNUMBER(INDEX(Inputs!$K$5:$AJ$130,0,MATCH(AF$2,Inputs!$K$4:$AJ$4,0))))+SUMPRODUCT((Inputs!$E$5:$E$130=$B15)*ISNUMBER(INDEX(Inputs!$K$5:$AJ$130,0,MATCH(AF$2,Inputs!$K$4:$AJ$4,0))))=0,NA(),SUMPRODUCT((Inputs!$A$5:$A$130=$B15)*Inputs!$B$5:$B$130*(((Inputs!$G$5:$G$130="moeda")+(Inputs!$G$5:$G$130="acoes"))*Inputs!$B$1+((Inputs!$G$5:$G$130&lt;&gt;"moeda")*(Inputs!$G$5:$G$130&lt;&gt;"acoes")))*INDEX(Inputs!$K$5:$AJ$130,0,MATCH(AF$2,Inputs!$K$4:$AJ$4,0)))+SUMPRODUCT((Inputs!$C$5:$C$130=$B15)*Inputs!$D$5:$D$130*(((Inputs!$G$5:$G$130="moeda")+(Inputs!$G$5:$G$130="acoes"))*Inputs!$B$1+((Inputs!$G$5:$G$130&lt;&gt;"moeda")*(Inputs!$G$5:$G$130&lt;&gt;"acoes")))*INDEX(Inputs!$K$5:$AJ$130,0,MATCH(AF$2,Inputs!$K$4:$AJ$4,0)))+SUMPRODUCT((Inputs!$E$5:$E$130=$B15)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5" s="3" t="e">
        <f>AF15</f>
        <v>#N/A</v>
      </c>
      <c r="AH15" s="6">
        <f>IF(ISNA(MATCH(AH$2,Inputs!$K$4:$AJ$4,0)),NA(),IF(SUMPRODUCT((Inputs!$A$5:$A$130=$B15)*ISNUMBER(INDEX(Inputs!$K$5:$AJ$130,0,MATCH(AH$2,Inputs!$K$4:$AJ$4,0))))+SUMPRODUCT((Inputs!$C$5:$C$130=$B15)*ISNUMBER(INDEX(Inputs!$K$5:$AJ$130,0,MATCH(AH$2,Inputs!$K$4:$AJ$4,0))))+SUMPRODUCT((Inputs!$E$5:$E$130=$B15)*ISNUMBER(INDEX(Inputs!$K$5:$AJ$130,0,MATCH(AH$2,Inputs!$K$4:$AJ$4,0))))=0,NA(),SUMPRODUCT((Inputs!$A$5:$A$130=$B15)*Inputs!$B$5:$B$130*(((Inputs!$G$5:$G$130="moeda")+(Inputs!$G$5:$G$130="acoes"))*Inputs!$B$1+((Inputs!$G$5:$G$130&lt;&gt;"moeda")*(Inputs!$G$5:$G$130&lt;&gt;"acoes")))*INDEX(Inputs!$K$5:$AJ$130,0,MATCH(AH$2,Inputs!$K$4:$AJ$4,0)))+SUMPRODUCT((Inputs!$C$5:$C$130=$B15)*Inputs!$D$5:$D$130*(((Inputs!$G$5:$G$130="moeda")+(Inputs!$G$5:$G$130="acoes"))*Inputs!$B$1+((Inputs!$G$5:$G$130&lt;&gt;"moeda")*(Inputs!$G$5:$G$130&lt;&gt;"acoes")))*INDEX(Inputs!$K$5:$AJ$130,0,MATCH(AH$2,Inputs!$K$4:$AJ$4,0)))+SUMPRODUCT((Inputs!$E$5:$E$130=$B15)*Inputs!$F$5:$F$130*(((Inputs!$G$5:$G$130="moeda")+(Inputs!$G$5:$G$130="acoes"))*Inputs!$B$1+((Inputs!$G$5:$G$130&lt;&gt;"moeda")*(Inputs!$G$5:$G$130&lt;&gt;"acoes")))*INDEX(Inputs!$K$5:$AJ$130,0,MATCH(AH$2,Inputs!$K$4:$AJ$4,0)))))</f>
        <v>8900</v>
      </c>
      <c r="AI15" s="6">
        <f>IF(ISNA(MATCH(AI$2,Inputs!$K$4:$AJ$4,0)),NA(),IF(SUMPRODUCT((Inputs!$A$5:$A$130=$B15)*ISNUMBER(INDEX(Inputs!$K$5:$AJ$130,0,MATCH(AI$2,Inputs!$K$4:$AJ$4,0))))+SUMPRODUCT((Inputs!$C$5:$C$130=$B15)*ISNUMBER(INDEX(Inputs!$K$5:$AJ$130,0,MATCH(AI$2,Inputs!$K$4:$AJ$4,0))))+SUMPRODUCT((Inputs!$E$5:$E$130=$B15)*ISNUMBER(INDEX(Inputs!$K$5:$AJ$130,0,MATCH(AI$2,Inputs!$K$4:$AJ$4,0))))=0,NA(),SUMPRODUCT((Inputs!$A$5:$A$130=$B15)*Inputs!$B$5:$B$130*(((Inputs!$G$5:$G$130="moeda")+(Inputs!$G$5:$G$130="acoes"))*Inputs!$B$1+((Inputs!$G$5:$G$130&lt;&gt;"moeda")*(Inputs!$G$5:$G$130&lt;&gt;"acoes")))*INDEX(Inputs!$K$5:$AJ$130,0,MATCH(AI$2,Inputs!$K$4:$AJ$4,0)))+SUMPRODUCT((Inputs!$C$5:$C$130=$B15)*Inputs!$D$5:$D$130*(((Inputs!$G$5:$G$130="moeda")+(Inputs!$G$5:$G$130="acoes"))*Inputs!$B$1+((Inputs!$G$5:$G$130&lt;&gt;"moeda")*(Inputs!$G$5:$G$130&lt;&gt;"acoes")))*INDEX(Inputs!$K$5:$AJ$130,0,MATCH(AI$2,Inputs!$K$4:$AJ$4,0)))+SUMPRODUCT((Inputs!$E$5:$E$130=$B15)*Inputs!$F$5:$F$130*(((Inputs!$G$5:$G$130="moeda")+(Inputs!$G$5:$G$130="acoes"))*Inputs!$B$1+((Inputs!$G$5:$G$130&lt;&gt;"moeda")*(Inputs!$G$5:$G$130&lt;&gt;"acoes")))*INDEX(Inputs!$K$5:$AJ$130,0,MATCH(AI$2,Inputs!$K$4:$AJ$4,0)))))</f>
        <v>8190</v>
      </c>
      <c r="AJ15" s="6">
        <f>IF(ISNA(MATCH(AJ$2,Inputs!$K$4:$AJ$4,0)),NA(),IF(SUMPRODUCT((Inputs!$A$5:$A$130=$B15)*ISNUMBER(INDEX(Inputs!$K$5:$AJ$130,0,MATCH(AJ$2,Inputs!$K$4:$AJ$4,0))))+SUMPRODUCT((Inputs!$C$5:$C$130=$B15)*ISNUMBER(INDEX(Inputs!$K$5:$AJ$130,0,MATCH(AJ$2,Inputs!$K$4:$AJ$4,0))))+SUMPRODUCT((Inputs!$E$5:$E$130=$B15)*ISNUMBER(INDEX(Inputs!$K$5:$AJ$130,0,MATCH(AJ$2,Inputs!$K$4:$AJ$4,0))))=0,NA(),SUMPRODUCT((Inputs!$A$5:$A$130=$B15)*Inputs!$B$5:$B$130*(((Inputs!$G$5:$G$130="moeda")+(Inputs!$G$5:$G$130="acoes"))*Inputs!$B$1+((Inputs!$G$5:$G$130&lt;&gt;"moeda")*(Inputs!$G$5:$G$130&lt;&gt;"acoes")))*INDEX(Inputs!$K$5:$AJ$130,0,MATCH(AJ$2,Inputs!$K$4:$AJ$4,0)))+SUMPRODUCT((Inputs!$C$5:$C$130=$B15)*Inputs!$D$5:$D$130*(((Inputs!$G$5:$G$130="moeda")+(Inputs!$G$5:$G$130="acoes"))*Inputs!$B$1+((Inputs!$G$5:$G$130&lt;&gt;"moeda")*(Inputs!$G$5:$G$130&lt;&gt;"acoes")))*INDEX(Inputs!$K$5:$AJ$130,0,MATCH(AJ$2,Inputs!$K$4:$AJ$4,0)))+SUMPRODUCT((Inputs!$E$5:$E$130=$B15)*Inputs!$F$5:$F$130*(((Inputs!$G$5:$G$130="moeda")+(Inputs!$G$5:$G$130="acoes"))*Inputs!$B$1+((Inputs!$G$5:$G$130&lt;&gt;"moeda")*(Inputs!$G$5:$G$130&lt;&gt;"acoes")))*INDEX(Inputs!$K$5:$AJ$130,0,MATCH(AJ$2,Inputs!$K$4:$AJ$4,0)))))</f>
        <v>7066</v>
      </c>
      <c r="AK15" s="6">
        <f>IF(ISNA(MATCH(AK$2,Inputs!$K$4:$AJ$4,0)),NA(),IF(SUMPRODUCT((Inputs!$A$5:$A$130=$B15)*ISNUMBER(INDEX(Inputs!$K$5:$AJ$130,0,MATCH(AK$2,Inputs!$K$4:$AJ$4,0))))+SUMPRODUCT((Inputs!$C$5:$C$130=$B15)*ISNUMBER(INDEX(Inputs!$K$5:$AJ$130,0,MATCH(AK$2,Inputs!$K$4:$AJ$4,0))))+SUMPRODUCT((Inputs!$E$5:$E$130=$B15)*ISNUMBER(INDEX(Inputs!$K$5:$AJ$130,0,MATCH(AK$2,Inputs!$K$4:$AJ$4,0))))=0,NA(),SUMPRODUCT((Inputs!$A$5:$A$130=$B15)*Inputs!$B$5:$B$130*(((Inputs!$G$5:$G$130="moeda")+(Inputs!$G$5:$G$130="acoes"))*Inputs!$B$1+((Inputs!$G$5:$G$130&lt;&gt;"moeda")*(Inputs!$G$5:$G$130&lt;&gt;"acoes")))*INDEX(Inputs!$K$5:$AJ$130,0,MATCH(AK$2,Inputs!$K$4:$AJ$4,0)))+SUMPRODUCT((Inputs!$C$5:$C$130=$B15)*Inputs!$D$5:$D$130*(((Inputs!$G$5:$G$130="moeda")+(Inputs!$G$5:$G$130="acoes"))*Inputs!$B$1+((Inputs!$G$5:$G$130&lt;&gt;"moeda")*(Inputs!$G$5:$G$130&lt;&gt;"acoes")))*INDEX(Inputs!$K$5:$AJ$130,0,MATCH(AK$2,Inputs!$K$4:$AJ$4,0)))+SUMPRODUCT((Inputs!$E$5:$E$130=$B15)*Inputs!$F$5:$F$130*(((Inputs!$G$5:$G$130="moeda")+(Inputs!$G$5:$G$130="acoes"))*Inputs!$B$1+((Inputs!$G$5:$G$130&lt;&gt;"moeda")*(Inputs!$G$5:$G$130&lt;&gt;"acoes")))*INDEX(Inputs!$K$5:$AJ$130,0,MATCH(AK$2,Inputs!$K$4:$AJ$4,0)))))</f>
        <v>6962</v>
      </c>
      <c r="AL15" s="3">
        <f>AK15</f>
        <v>6962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$130=$B16)*ISNUMBER(INDEX(Inputs!$K$5:$AJ$130,0,MATCH(D$2,Inputs!$K$4:$AJ$4,0))))+SUMPRODUCT((Inputs!$C$5:$C$130=$B16)*ISNUMBER(INDEX(Inputs!$K$5:$AJ$130,0,MATCH(D$2,Inputs!$K$4:$AJ$4,0))))+SUMPRODUCT((Inputs!$E$5:$E$130=$B16)*ISNUMBER(INDEX(Inputs!$K$5:$AJ$130,0,MATCH(D$2,Inputs!$K$4:$AJ$4,0))))=0,NA(),SUMPRODUCT((Inputs!$A$5:$A$130=$B16)*Inputs!$B$5:$B$130*(((Inputs!$G$5:$G$130="moeda")+(Inputs!$G$5:$G$130="acoes"))*Inputs!$B$1+((Inputs!$G$5:$G$130&lt;&gt;"moeda")*(Inputs!$G$5:$G$130&lt;&gt;"acoes")))*INDEX(Inputs!$K$5:$AJ$130,0,MATCH(D$2,Inputs!$K$4:$AJ$4,0)))+SUMPRODUCT((Inputs!$C$5:$C$130=$B16)*Inputs!$D$5:$D$130*(((Inputs!$G$5:$G$130="moeda")+(Inputs!$G$5:$G$130="acoes"))*Inputs!$B$1+((Inputs!$G$5:$G$130&lt;&gt;"moeda")*(Inputs!$G$5:$G$130&lt;&gt;"acoes")))*INDEX(Inputs!$K$5:$AJ$130,0,MATCH(D$2,Inputs!$K$4:$AJ$4,0)))+SUMPRODUCT((Inputs!$E$5:$E$130=$B16)*Inputs!$F$5:$F$130*(((Inputs!$G$5:$G$130="moeda")+(Inputs!$G$5:$G$130="acoes"))*Inputs!$B$1+((Inputs!$G$5:$G$130&lt;&gt;"moeda")*(Inputs!$G$5:$G$130&lt;&gt;"acoes")))*INDEX(Inputs!$K$5:$AJ$130,0,MATCH(D$2,Inputs!$K$4:$AJ$4,0)))))</f>
        <v>0</v>
      </c>
      <c r="E16" s="6">
        <f>IF(ISNA(MATCH(E$2,Inputs!$K$4:$AJ$4,0)),NA(),IF(SUMPRODUCT((Inputs!$A$5:$A$130=$B16)*ISNUMBER(INDEX(Inputs!$K$5:$AJ$130,0,MATCH(E$2,Inputs!$K$4:$AJ$4,0))))+SUMPRODUCT((Inputs!$C$5:$C$130=$B16)*ISNUMBER(INDEX(Inputs!$K$5:$AJ$130,0,MATCH(E$2,Inputs!$K$4:$AJ$4,0))))+SUMPRODUCT((Inputs!$E$5:$E$130=$B16)*ISNUMBER(INDEX(Inputs!$K$5:$AJ$130,0,MATCH(E$2,Inputs!$K$4:$AJ$4,0))))=0,NA(),SUMPRODUCT((Inputs!$A$5:$A$130=$B16)*Inputs!$B$5:$B$130*(((Inputs!$G$5:$G$130="moeda")+(Inputs!$G$5:$G$130="acoes"))*Inputs!$B$1+((Inputs!$G$5:$G$130&lt;&gt;"moeda")*(Inputs!$G$5:$G$130&lt;&gt;"acoes")))*INDEX(Inputs!$K$5:$AJ$130,0,MATCH(E$2,Inputs!$K$4:$AJ$4,0)))+SUMPRODUCT((Inputs!$C$5:$C$130=$B16)*Inputs!$D$5:$D$130*(((Inputs!$G$5:$G$130="moeda")+(Inputs!$G$5:$G$130="acoes"))*Inputs!$B$1+((Inputs!$G$5:$G$130&lt;&gt;"moeda")*(Inputs!$G$5:$G$130&lt;&gt;"acoes")))*INDEX(Inputs!$K$5:$AJ$130,0,MATCH(E$2,Inputs!$K$4:$AJ$4,0)))+SUMPRODUCT((Inputs!$E$5:$E$130=$B16)*Inputs!$F$5:$F$130*(((Inputs!$G$5:$G$130="moeda")+(Inputs!$G$5:$G$130="acoes"))*Inputs!$B$1+((Inputs!$G$5:$G$130&lt;&gt;"moeda")*(Inputs!$G$5:$G$130&lt;&gt;"acoes")))*INDEX(Inputs!$K$5:$AJ$130,0,MATCH(E$2,Inputs!$K$4:$AJ$4,0)))))</f>
        <v>0</v>
      </c>
      <c r="F16" s="6">
        <f>IF(ISNA(MATCH(F$2,Inputs!$K$4:$AJ$4,0)),NA(),IF(SUMPRODUCT((Inputs!$A$5:$A$130=$B16)*ISNUMBER(INDEX(Inputs!$K$5:$AJ$130,0,MATCH(F$2,Inputs!$K$4:$AJ$4,0))))+SUMPRODUCT((Inputs!$C$5:$C$130=$B16)*ISNUMBER(INDEX(Inputs!$K$5:$AJ$130,0,MATCH(F$2,Inputs!$K$4:$AJ$4,0))))+SUMPRODUCT((Inputs!$E$5:$E$130=$B16)*ISNUMBER(INDEX(Inputs!$K$5:$AJ$130,0,MATCH(F$2,Inputs!$K$4:$AJ$4,0))))=0,NA(),SUMPRODUCT((Inputs!$A$5:$A$130=$B16)*Inputs!$B$5:$B$130*(((Inputs!$G$5:$G$130="moeda")+(Inputs!$G$5:$G$130="acoes"))*Inputs!$B$1+((Inputs!$G$5:$G$130&lt;&gt;"moeda")*(Inputs!$G$5:$G$130&lt;&gt;"acoes")))*INDEX(Inputs!$K$5:$AJ$130,0,MATCH(F$2,Inputs!$K$4:$AJ$4,0)))+SUMPRODUCT((Inputs!$C$5:$C$130=$B16)*Inputs!$D$5:$D$130*(((Inputs!$G$5:$G$130="moeda")+(Inputs!$G$5:$G$130="acoes"))*Inputs!$B$1+((Inputs!$G$5:$G$130&lt;&gt;"moeda")*(Inputs!$G$5:$G$130&lt;&gt;"acoes")))*INDEX(Inputs!$K$5:$AJ$130,0,MATCH(F$2,Inputs!$K$4:$AJ$4,0)))+SUMPRODUCT((Inputs!$E$5:$E$130=$B16)*Inputs!$F$5:$F$130*(((Inputs!$G$5:$G$130="moeda")+(Inputs!$G$5:$G$130="acoes"))*Inputs!$B$1+((Inputs!$G$5:$G$130&lt;&gt;"moeda")*(Inputs!$G$5:$G$130&lt;&gt;"acoes")))*INDEX(Inputs!$K$5:$AJ$130,0,MATCH(F$2,Inputs!$K$4:$AJ$4,0)))))</f>
        <v>0</v>
      </c>
      <c r="G16" s="6">
        <f>IF(ISNA(MATCH(G$2,Inputs!$K$4:$AJ$4,0)),NA(),IF(SUMPRODUCT((Inputs!$A$5:$A$130=$B16)*ISNUMBER(INDEX(Inputs!$K$5:$AJ$130,0,MATCH(G$2,Inputs!$K$4:$AJ$4,0))))+SUMPRODUCT((Inputs!$C$5:$C$130=$B16)*ISNUMBER(INDEX(Inputs!$K$5:$AJ$130,0,MATCH(G$2,Inputs!$K$4:$AJ$4,0))))+SUMPRODUCT((Inputs!$E$5:$E$130=$B16)*ISNUMBER(INDEX(Inputs!$K$5:$AJ$130,0,MATCH(G$2,Inputs!$K$4:$AJ$4,0))))=0,NA(),SUMPRODUCT((Inputs!$A$5:$A$130=$B16)*Inputs!$B$5:$B$130*(((Inputs!$G$5:$G$130="moeda")+(Inputs!$G$5:$G$130="acoes"))*Inputs!$B$1+((Inputs!$G$5:$G$130&lt;&gt;"moeda")*(Inputs!$G$5:$G$130&lt;&gt;"acoes")))*INDEX(Inputs!$K$5:$AJ$130,0,MATCH(G$2,Inputs!$K$4:$AJ$4,0)))+SUMPRODUCT((Inputs!$C$5:$C$130=$B16)*Inputs!$D$5:$D$130*(((Inputs!$G$5:$G$130="moeda")+(Inputs!$G$5:$G$130="acoes"))*Inputs!$B$1+((Inputs!$G$5:$G$130&lt;&gt;"moeda")*(Inputs!$G$5:$G$130&lt;&gt;"acoes")))*INDEX(Inputs!$K$5:$AJ$130,0,MATCH(G$2,Inputs!$K$4:$AJ$4,0)))+SUMPRODUCT((Inputs!$E$5:$E$130=$B16)*Inputs!$F$5:$F$130*(((Inputs!$G$5:$G$130="moeda")+(Inputs!$G$5:$G$130="acoes"))*Inputs!$B$1+((Inputs!$G$5:$G$130&lt;&gt;"moeda")*(Inputs!$G$5:$G$130&lt;&gt;"acoes")))*INDEX(Inputs!$K$5:$AJ$130,0,MATCH(G$2,Inputs!$K$4:$AJ$4,0)))))</f>
        <v>0</v>
      </c>
      <c r="H16" s="3">
        <f>G16</f>
        <v>0</v>
      </c>
      <c r="I16" s="6">
        <f>IF(ISNA(MATCH(I$2,Inputs!$K$4:$AJ$4,0)),NA(),IF(SUMPRODUCT((Inputs!$A$5:$A$130=$B16)*ISNUMBER(INDEX(Inputs!$K$5:$AJ$130,0,MATCH(I$2,Inputs!$K$4:$AJ$4,0))))+SUMPRODUCT((Inputs!$C$5:$C$130=$B16)*ISNUMBER(INDEX(Inputs!$K$5:$AJ$130,0,MATCH(I$2,Inputs!$K$4:$AJ$4,0))))+SUMPRODUCT((Inputs!$E$5:$E$130=$B16)*ISNUMBER(INDEX(Inputs!$K$5:$AJ$130,0,MATCH(I$2,Inputs!$K$4:$AJ$4,0))))=0,NA(),SUMPRODUCT((Inputs!$A$5:$A$130=$B16)*Inputs!$B$5:$B$130*(((Inputs!$G$5:$G$130="moeda")+(Inputs!$G$5:$G$130="acoes"))*Inputs!$B$1+((Inputs!$G$5:$G$130&lt;&gt;"moeda")*(Inputs!$G$5:$G$130&lt;&gt;"acoes")))*INDEX(Inputs!$K$5:$AJ$130,0,MATCH(I$2,Inputs!$K$4:$AJ$4,0)))+SUMPRODUCT((Inputs!$C$5:$C$130=$B16)*Inputs!$D$5:$D$130*(((Inputs!$G$5:$G$130="moeda")+(Inputs!$G$5:$G$130="acoes"))*Inputs!$B$1+((Inputs!$G$5:$G$130&lt;&gt;"moeda")*(Inputs!$G$5:$G$130&lt;&gt;"acoes")))*INDEX(Inputs!$K$5:$AJ$130,0,MATCH(I$2,Inputs!$K$4:$AJ$4,0)))+SUMPRODUCT((Inputs!$E$5:$E$130=$B16)*Inputs!$F$5:$F$130*(((Inputs!$G$5:$G$130="moeda")+(Inputs!$G$5:$G$130="acoes"))*Inputs!$B$1+((Inputs!$G$5:$G$130&lt;&gt;"moeda")*(Inputs!$G$5:$G$130&lt;&gt;"acoes")))*INDEX(Inputs!$K$5:$AJ$130,0,MATCH(I$2,Inputs!$K$4:$AJ$4,0)))))</f>
        <v>0</v>
      </c>
      <c r="J16" s="6">
        <f>IF(ISNA(MATCH(J$2,Inputs!$K$4:$AJ$4,0)),NA(),IF(SUMPRODUCT((Inputs!$A$5:$A$130=$B16)*ISNUMBER(INDEX(Inputs!$K$5:$AJ$130,0,MATCH(J$2,Inputs!$K$4:$AJ$4,0))))+SUMPRODUCT((Inputs!$C$5:$C$130=$B16)*ISNUMBER(INDEX(Inputs!$K$5:$AJ$130,0,MATCH(J$2,Inputs!$K$4:$AJ$4,0))))+SUMPRODUCT((Inputs!$E$5:$E$130=$B16)*ISNUMBER(INDEX(Inputs!$K$5:$AJ$130,0,MATCH(J$2,Inputs!$K$4:$AJ$4,0))))=0,NA(),SUMPRODUCT((Inputs!$A$5:$A$130=$B16)*Inputs!$B$5:$B$130*(((Inputs!$G$5:$G$130="moeda")+(Inputs!$G$5:$G$130="acoes"))*Inputs!$B$1+((Inputs!$G$5:$G$130&lt;&gt;"moeda")*(Inputs!$G$5:$G$130&lt;&gt;"acoes")))*INDEX(Inputs!$K$5:$AJ$130,0,MATCH(J$2,Inputs!$K$4:$AJ$4,0)))+SUMPRODUCT((Inputs!$C$5:$C$130=$B16)*Inputs!$D$5:$D$130*(((Inputs!$G$5:$G$130="moeda")+(Inputs!$G$5:$G$130="acoes"))*Inputs!$B$1+((Inputs!$G$5:$G$130&lt;&gt;"moeda")*(Inputs!$G$5:$G$130&lt;&gt;"acoes")))*INDEX(Inputs!$K$5:$AJ$130,0,MATCH(J$2,Inputs!$K$4:$AJ$4,0)))+SUMPRODUCT((Inputs!$E$5:$E$130=$B16)*Inputs!$F$5:$F$130*(((Inputs!$G$5:$G$130="moeda")+(Inputs!$G$5:$G$130="acoes"))*Inputs!$B$1+((Inputs!$G$5:$G$130&lt;&gt;"moeda")*(Inputs!$G$5:$G$130&lt;&gt;"acoes")))*INDEX(Inputs!$K$5:$AJ$130,0,MATCH(J$2,Inputs!$K$4:$AJ$4,0)))))</f>
        <v>0</v>
      </c>
      <c r="K16" s="6">
        <f>IF(ISNA(MATCH(K$2,Inputs!$K$4:$AJ$4,0)),NA(),IF(SUMPRODUCT((Inputs!$A$5:$A$130=$B16)*ISNUMBER(INDEX(Inputs!$K$5:$AJ$130,0,MATCH(K$2,Inputs!$K$4:$AJ$4,0))))+SUMPRODUCT((Inputs!$C$5:$C$130=$B16)*ISNUMBER(INDEX(Inputs!$K$5:$AJ$130,0,MATCH(K$2,Inputs!$K$4:$AJ$4,0))))+SUMPRODUCT((Inputs!$E$5:$E$130=$B16)*ISNUMBER(INDEX(Inputs!$K$5:$AJ$130,0,MATCH(K$2,Inputs!$K$4:$AJ$4,0))))=0,NA(),SUMPRODUCT((Inputs!$A$5:$A$130=$B16)*Inputs!$B$5:$B$130*(((Inputs!$G$5:$G$130="moeda")+(Inputs!$G$5:$G$130="acoes"))*Inputs!$B$1+((Inputs!$G$5:$G$130&lt;&gt;"moeda")*(Inputs!$G$5:$G$130&lt;&gt;"acoes")))*INDEX(Inputs!$K$5:$AJ$130,0,MATCH(K$2,Inputs!$K$4:$AJ$4,0)))+SUMPRODUCT((Inputs!$C$5:$C$130=$B16)*Inputs!$D$5:$D$130*(((Inputs!$G$5:$G$130="moeda")+(Inputs!$G$5:$G$130="acoes"))*Inputs!$B$1+((Inputs!$G$5:$G$130&lt;&gt;"moeda")*(Inputs!$G$5:$G$130&lt;&gt;"acoes")))*INDEX(Inputs!$K$5:$AJ$130,0,MATCH(K$2,Inputs!$K$4:$AJ$4,0)))+SUMPRODUCT((Inputs!$E$5:$E$130=$B16)*Inputs!$F$5:$F$130*(((Inputs!$G$5:$G$130="moeda")+(Inputs!$G$5:$G$130="acoes"))*Inputs!$B$1+((Inputs!$G$5:$G$130&lt;&gt;"moeda")*(Inputs!$G$5:$G$130&lt;&gt;"acoes")))*INDEX(Inputs!$K$5:$AJ$130,0,MATCH(K$2,Inputs!$K$4:$AJ$4,0)))))</f>
        <v>0</v>
      </c>
      <c r="L16" s="6">
        <f>IF(ISNA(MATCH(L$2,Inputs!$K$4:$AJ$4,0)),NA(),IF(SUMPRODUCT((Inputs!$A$5:$A$130=$B16)*ISNUMBER(INDEX(Inputs!$K$5:$AJ$130,0,MATCH(L$2,Inputs!$K$4:$AJ$4,0))))+SUMPRODUCT((Inputs!$C$5:$C$130=$B16)*ISNUMBER(INDEX(Inputs!$K$5:$AJ$130,0,MATCH(L$2,Inputs!$K$4:$AJ$4,0))))+SUMPRODUCT((Inputs!$E$5:$E$130=$B16)*ISNUMBER(INDEX(Inputs!$K$5:$AJ$130,0,MATCH(L$2,Inputs!$K$4:$AJ$4,0))))=0,NA(),SUMPRODUCT((Inputs!$A$5:$A$130=$B16)*Inputs!$B$5:$B$130*(((Inputs!$G$5:$G$130="moeda")+(Inputs!$G$5:$G$130="acoes"))*Inputs!$B$1+((Inputs!$G$5:$G$130&lt;&gt;"moeda")*(Inputs!$G$5:$G$130&lt;&gt;"acoes")))*INDEX(Inputs!$K$5:$AJ$130,0,MATCH(L$2,Inputs!$K$4:$AJ$4,0)))+SUMPRODUCT((Inputs!$C$5:$C$130=$B16)*Inputs!$D$5:$D$130*(((Inputs!$G$5:$G$130="moeda")+(Inputs!$G$5:$G$130="acoes"))*Inputs!$B$1+((Inputs!$G$5:$G$130&lt;&gt;"moeda")*(Inputs!$G$5:$G$130&lt;&gt;"acoes")))*INDEX(Inputs!$K$5:$AJ$130,0,MATCH(L$2,Inputs!$K$4:$AJ$4,0)))+SUMPRODUCT((Inputs!$E$5:$E$130=$B16)*Inputs!$F$5:$F$130*(((Inputs!$G$5:$G$130="moeda")+(Inputs!$G$5:$G$130="acoes"))*Inputs!$B$1+((Inputs!$G$5:$G$130&lt;&gt;"moeda")*(Inputs!$G$5:$G$130&lt;&gt;"acoes")))*INDEX(Inputs!$K$5:$AJ$130,0,MATCH(L$2,Inputs!$K$4:$AJ$4,0)))))</f>
        <v>0</v>
      </c>
      <c r="M16" s="3">
        <f>L16</f>
        <v>0</v>
      </c>
      <c r="N16" s="6">
        <f>IF(ISNA(MATCH(N$2,Inputs!$K$4:$AJ$4,0)),NA(),IF(SUMPRODUCT((Inputs!$A$5:$A$130=$B16)*ISNUMBER(INDEX(Inputs!$K$5:$AJ$130,0,MATCH(N$2,Inputs!$K$4:$AJ$4,0))))+SUMPRODUCT((Inputs!$C$5:$C$130=$B16)*ISNUMBER(INDEX(Inputs!$K$5:$AJ$130,0,MATCH(N$2,Inputs!$K$4:$AJ$4,0))))+SUMPRODUCT((Inputs!$E$5:$E$130=$B16)*ISNUMBER(INDEX(Inputs!$K$5:$AJ$130,0,MATCH(N$2,Inputs!$K$4:$AJ$4,0))))=0,NA(),SUMPRODUCT((Inputs!$A$5:$A$130=$B16)*Inputs!$B$5:$B$130*(((Inputs!$G$5:$G$130="moeda")+(Inputs!$G$5:$G$130="acoes"))*Inputs!$B$1+((Inputs!$G$5:$G$130&lt;&gt;"moeda")*(Inputs!$G$5:$G$130&lt;&gt;"acoes")))*INDEX(Inputs!$K$5:$AJ$130,0,MATCH(N$2,Inputs!$K$4:$AJ$4,0)))+SUMPRODUCT((Inputs!$C$5:$C$130=$B16)*Inputs!$D$5:$D$130*(((Inputs!$G$5:$G$130="moeda")+(Inputs!$G$5:$G$130="acoes"))*Inputs!$B$1+((Inputs!$G$5:$G$130&lt;&gt;"moeda")*(Inputs!$G$5:$G$130&lt;&gt;"acoes")))*INDEX(Inputs!$K$5:$AJ$130,0,MATCH(N$2,Inputs!$K$4:$AJ$4,0)))+SUMPRODUCT((Inputs!$E$5:$E$130=$B16)*Inputs!$F$5:$F$130*(((Inputs!$G$5:$G$130="moeda")+(Inputs!$G$5:$G$130="acoes"))*Inputs!$B$1+((Inputs!$G$5:$G$130&lt;&gt;"moeda")*(Inputs!$G$5:$G$130&lt;&gt;"acoes")))*INDEX(Inputs!$K$5:$AJ$130,0,MATCH(N$2,Inputs!$K$4:$AJ$4,0)))))</f>
        <v>0</v>
      </c>
      <c r="O16" s="6">
        <f>IF(ISNA(MATCH(O$2,Inputs!$K$4:$AJ$4,0)),NA(),IF(SUMPRODUCT((Inputs!$A$5:$A$130=$B16)*ISNUMBER(INDEX(Inputs!$K$5:$AJ$130,0,MATCH(O$2,Inputs!$K$4:$AJ$4,0))))+SUMPRODUCT((Inputs!$C$5:$C$130=$B16)*ISNUMBER(INDEX(Inputs!$K$5:$AJ$130,0,MATCH(O$2,Inputs!$K$4:$AJ$4,0))))+SUMPRODUCT((Inputs!$E$5:$E$130=$B16)*ISNUMBER(INDEX(Inputs!$K$5:$AJ$130,0,MATCH(O$2,Inputs!$K$4:$AJ$4,0))))=0,NA(),SUMPRODUCT((Inputs!$A$5:$A$130=$B16)*Inputs!$B$5:$B$130*(((Inputs!$G$5:$G$130="moeda")+(Inputs!$G$5:$G$130="acoes"))*Inputs!$B$1+((Inputs!$G$5:$G$130&lt;&gt;"moeda")*(Inputs!$G$5:$G$130&lt;&gt;"acoes")))*INDEX(Inputs!$K$5:$AJ$130,0,MATCH(O$2,Inputs!$K$4:$AJ$4,0)))+SUMPRODUCT((Inputs!$C$5:$C$130=$B16)*Inputs!$D$5:$D$130*(((Inputs!$G$5:$G$130="moeda")+(Inputs!$G$5:$G$130="acoes"))*Inputs!$B$1+((Inputs!$G$5:$G$130&lt;&gt;"moeda")*(Inputs!$G$5:$G$130&lt;&gt;"acoes")))*INDEX(Inputs!$K$5:$AJ$130,0,MATCH(O$2,Inputs!$K$4:$AJ$4,0)))+SUMPRODUCT((Inputs!$E$5:$E$130=$B16)*Inputs!$F$5:$F$130*(((Inputs!$G$5:$G$130="moeda")+(Inputs!$G$5:$G$130="acoes"))*Inputs!$B$1+((Inputs!$G$5:$G$130&lt;&gt;"moeda")*(Inputs!$G$5:$G$130&lt;&gt;"acoes")))*INDEX(Inputs!$K$5:$AJ$130,0,MATCH(O$2,Inputs!$K$4:$AJ$4,0)))))</f>
        <v>0</v>
      </c>
      <c r="P16" s="6">
        <f>IF(ISNA(MATCH(P$2,Inputs!$K$4:$AJ$4,0)),NA(),IF(SUMPRODUCT((Inputs!$A$5:$A$130=$B16)*ISNUMBER(INDEX(Inputs!$K$5:$AJ$130,0,MATCH(P$2,Inputs!$K$4:$AJ$4,0))))+SUMPRODUCT((Inputs!$C$5:$C$130=$B16)*ISNUMBER(INDEX(Inputs!$K$5:$AJ$130,0,MATCH(P$2,Inputs!$K$4:$AJ$4,0))))+SUMPRODUCT((Inputs!$E$5:$E$130=$B16)*ISNUMBER(INDEX(Inputs!$K$5:$AJ$130,0,MATCH(P$2,Inputs!$K$4:$AJ$4,0))))=0,NA(),SUMPRODUCT((Inputs!$A$5:$A$130=$B16)*Inputs!$B$5:$B$130*(((Inputs!$G$5:$G$130="moeda")+(Inputs!$G$5:$G$130="acoes"))*Inputs!$B$1+((Inputs!$G$5:$G$130&lt;&gt;"moeda")*(Inputs!$G$5:$G$130&lt;&gt;"acoes")))*INDEX(Inputs!$K$5:$AJ$130,0,MATCH(P$2,Inputs!$K$4:$AJ$4,0)))+SUMPRODUCT((Inputs!$C$5:$C$130=$B16)*Inputs!$D$5:$D$130*(((Inputs!$G$5:$G$130="moeda")+(Inputs!$G$5:$G$130="acoes"))*Inputs!$B$1+((Inputs!$G$5:$G$130&lt;&gt;"moeda")*(Inputs!$G$5:$G$130&lt;&gt;"acoes")))*INDEX(Inputs!$K$5:$AJ$130,0,MATCH(P$2,Inputs!$K$4:$AJ$4,0)))+SUMPRODUCT((Inputs!$E$5:$E$130=$B16)*Inputs!$F$5:$F$130*(((Inputs!$G$5:$G$130="moeda")+(Inputs!$G$5:$G$130="acoes"))*Inputs!$B$1+((Inputs!$G$5:$G$130&lt;&gt;"moeda")*(Inputs!$G$5:$G$130&lt;&gt;"acoes")))*INDEX(Inputs!$K$5:$AJ$130,0,MATCH(P$2,Inputs!$K$4:$AJ$4,0)))))</f>
        <v>0</v>
      </c>
      <c r="Q16" s="6">
        <f>IF(ISNA(MATCH(Q$2,Inputs!$K$4:$AJ$4,0)),NA(),IF(SUMPRODUCT((Inputs!$A$5:$A$130=$B16)*ISNUMBER(INDEX(Inputs!$K$5:$AJ$130,0,MATCH(Q$2,Inputs!$K$4:$AJ$4,0))))+SUMPRODUCT((Inputs!$C$5:$C$130=$B16)*ISNUMBER(INDEX(Inputs!$K$5:$AJ$130,0,MATCH(Q$2,Inputs!$K$4:$AJ$4,0))))+SUMPRODUCT((Inputs!$E$5:$E$130=$B16)*ISNUMBER(INDEX(Inputs!$K$5:$AJ$130,0,MATCH(Q$2,Inputs!$K$4:$AJ$4,0))))=0,NA(),SUMPRODUCT((Inputs!$A$5:$A$130=$B16)*Inputs!$B$5:$B$130*(((Inputs!$G$5:$G$130="moeda")+(Inputs!$G$5:$G$130="acoes"))*Inputs!$B$1+((Inputs!$G$5:$G$130&lt;&gt;"moeda")*(Inputs!$G$5:$G$130&lt;&gt;"acoes")))*INDEX(Inputs!$K$5:$AJ$130,0,MATCH(Q$2,Inputs!$K$4:$AJ$4,0)))+SUMPRODUCT((Inputs!$C$5:$C$130=$B16)*Inputs!$D$5:$D$130*(((Inputs!$G$5:$G$130="moeda")+(Inputs!$G$5:$G$130="acoes"))*Inputs!$B$1+((Inputs!$G$5:$G$130&lt;&gt;"moeda")*(Inputs!$G$5:$G$130&lt;&gt;"acoes")))*INDEX(Inputs!$K$5:$AJ$130,0,MATCH(Q$2,Inputs!$K$4:$AJ$4,0)))+SUMPRODUCT((Inputs!$E$5:$E$130=$B16)*Inputs!$F$5:$F$130*(((Inputs!$G$5:$G$130="moeda")+(Inputs!$G$5:$G$130="acoes"))*Inputs!$B$1+((Inputs!$G$5:$G$130&lt;&gt;"moeda")*(Inputs!$G$5:$G$130&lt;&gt;"acoes")))*INDEX(Inputs!$K$5:$AJ$130,0,MATCH(Q$2,Inputs!$K$4:$AJ$4,0)))))</f>
        <v>0</v>
      </c>
      <c r="R16" s="3">
        <f>Q16</f>
        <v>0</v>
      </c>
      <c r="S16" s="6">
        <f>IF(ISNA(MATCH(S$2,Inputs!$K$4:$AJ$4,0)),NA(),IF(SUMPRODUCT((Inputs!$A$5:$A$130=$B16)*ISNUMBER(INDEX(Inputs!$K$5:$AJ$130,0,MATCH(S$2,Inputs!$K$4:$AJ$4,0))))+SUMPRODUCT((Inputs!$C$5:$C$130=$B16)*ISNUMBER(INDEX(Inputs!$K$5:$AJ$130,0,MATCH(S$2,Inputs!$K$4:$AJ$4,0))))+SUMPRODUCT((Inputs!$E$5:$E$130=$B16)*ISNUMBER(INDEX(Inputs!$K$5:$AJ$130,0,MATCH(S$2,Inputs!$K$4:$AJ$4,0))))=0,NA(),SUMPRODUCT((Inputs!$A$5:$A$130=$B16)*Inputs!$B$5:$B$130*(((Inputs!$G$5:$G$130="moeda")+(Inputs!$G$5:$G$130="acoes"))*Inputs!$B$1+((Inputs!$G$5:$G$130&lt;&gt;"moeda")*(Inputs!$G$5:$G$130&lt;&gt;"acoes")))*INDEX(Inputs!$K$5:$AJ$130,0,MATCH(S$2,Inputs!$K$4:$AJ$4,0)))+SUMPRODUCT((Inputs!$C$5:$C$130=$B16)*Inputs!$D$5:$D$130*(((Inputs!$G$5:$G$130="moeda")+(Inputs!$G$5:$G$130="acoes"))*Inputs!$B$1+((Inputs!$G$5:$G$130&lt;&gt;"moeda")*(Inputs!$G$5:$G$130&lt;&gt;"acoes")))*INDEX(Inputs!$K$5:$AJ$130,0,MATCH(S$2,Inputs!$K$4:$AJ$4,0)))+SUMPRODUCT((Inputs!$E$5:$E$130=$B16)*Inputs!$F$5:$F$130*(((Inputs!$G$5:$G$130="moeda")+(Inputs!$G$5:$G$130="acoes"))*Inputs!$B$1+((Inputs!$G$5:$G$130&lt;&gt;"moeda")*(Inputs!$G$5:$G$130&lt;&gt;"acoes")))*INDEX(Inputs!$K$5:$AJ$130,0,MATCH(S$2,Inputs!$K$4:$AJ$4,0)))))</f>
        <v>0</v>
      </c>
      <c r="T16" s="6">
        <f>IF(ISNA(MATCH(T$2,Inputs!$K$4:$AJ$4,0)),NA(),IF(SUMPRODUCT((Inputs!$A$5:$A$130=$B16)*ISNUMBER(INDEX(Inputs!$K$5:$AJ$130,0,MATCH(T$2,Inputs!$K$4:$AJ$4,0))))+SUMPRODUCT((Inputs!$C$5:$C$130=$B16)*ISNUMBER(INDEX(Inputs!$K$5:$AJ$130,0,MATCH(T$2,Inputs!$K$4:$AJ$4,0))))+SUMPRODUCT((Inputs!$E$5:$E$130=$B16)*ISNUMBER(INDEX(Inputs!$K$5:$AJ$130,0,MATCH(T$2,Inputs!$K$4:$AJ$4,0))))=0,NA(),SUMPRODUCT((Inputs!$A$5:$A$130=$B16)*Inputs!$B$5:$B$130*(((Inputs!$G$5:$G$130="moeda")+(Inputs!$G$5:$G$130="acoes"))*Inputs!$B$1+((Inputs!$G$5:$G$130&lt;&gt;"moeda")*(Inputs!$G$5:$G$130&lt;&gt;"acoes")))*INDEX(Inputs!$K$5:$AJ$130,0,MATCH(T$2,Inputs!$K$4:$AJ$4,0)))+SUMPRODUCT((Inputs!$C$5:$C$130=$B16)*Inputs!$D$5:$D$130*(((Inputs!$G$5:$G$130="moeda")+(Inputs!$G$5:$G$130="acoes"))*Inputs!$B$1+((Inputs!$G$5:$G$130&lt;&gt;"moeda")*(Inputs!$G$5:$G$130&lt;&gt;"acoes")))*INDEX(Inputs!$K$5:$AJ$130,0,MATCH(T$2,Inputs!$K$4:$AJ$4,0)))+SUMPRODUCT((Inputs!$E$5:$E$130=$B16)*Inputs!$F$5:$F$130*(((Inputs!$G$5:$G$130="moeda")+(Inputs!$G$5:$G$130="acoes"))*Inputs!$B$1+((Inputs!$G$5:$G$130&lt;&gt;"moeda")*(Inputs!$G$5:$G$130&lt;&gt;"acoes")))*INDEX(Inputs!$K$5:$AJ$130,0,MATCH(T$2,Inputs!$K$4:$AJ$4,0)))))</f>
        <v>0</v>
      </c>
      <c r="U16" s="6">
        <f>IF(ISNA(MATCH(U$2,Inputs!$K$4:$AJ$4,0)),NA(),IF(SUMPRODUCT((Inputs!$A$5:$A$130=$B16)*ISNUMBER(INDEX(Inputs!$K$5:$AJ$130,0,MATCH(U$2,Inputs!$K$4:$AJ$4,0))))+SUMPRODUCT((Inputs!$C$5:$C$130=$B16)*ISNUMBER(INDEX(Inputs!$K$5:$AJ$130,0,MATCH(U$2,Inputs!$K$4:$AJ$4,0))))+SUMPRODUCT((Inputs!$E$5:$E$130=$B16)*ISNUMBER(INDEX(Inputs!$K$5:$AJ$130,0,MATCH(U$2,Inputs!$K$4:$AJ$4,0))))=0,NA(),SUMPRODUCT((Inputs!$A$5:$A$130=$B16)*Inputs!$B$5:$B$130*(((Inputs!$G$5:$G$130="moeda")+(Inputs!$G$5:$G$130="acoes"))*Inputs!$B$1+((Inputs!$G$5:$G$130&lt;&gt;"moeda")*(Inputs!$G$5:$G$130&lt;&gt;"acoes")))*INDEX(Inputs!$K$5:$AJ$130,0,MATCH(U$2,Inputs!$K$4:$AJ$4,0)))+SUMPRODUCT((Inputs!$C$5:$C$130=$B16)*Inputs!$D$5:$D$130*(((Inputs!$G$5:$G$130="moeda")+(Inputs!$G$5:$G$130="acoes"))*Inputs!$B$1+((Inputs!$G$5:$G$130&lt;&gt;"moeda")*(Inputs!$G$5:$G$130&lt;&gt;"acoes")))*INDEX(Inputs!$K$5:$AJ$130,0,MATCH(U$2,Inputs!$K$4:$AJ$4,0)))+SUMPRODUCT((Inputs!$E$5:$E$130=$B16)*Inputs!$F$5:$F$130*(((Inputs!$G$5:$G$130="moeda")+(Inputs!$G$5:$G$130="acoes"))*Inputs!$B$1+((Inputs!$G$5:$G$130&lt;&gt;"moeda")*(Inputs!$G$5:$G$130&lt;&gt;"acoes")))*INDEX(Inputs!$K$5:$AJ$130,0,MATCH(U$2,Inputs!$K$4:$AJ$4,0)))))</f>
        <v>0</v>
      </c>
      <c r="V16" s="6">
        <f>IF(ISNA(MATCH(V$2,Inputs!$K$4:$AJ$4,0)),NA(),IF(SUMPRODUCT((Inputs!$A$5:$A$130=$B16)*ISNUMBER(INDEX(Inputs!$K$5:$AJ$130,0,MATCH(V$2,Inputs!$K$4:$AJ$4,0))))+SUMPRODUCT((Inputs!$C$5:$C$130=$B16)*ISNUMBER(INDEX(Inputs!$K$5:$AJ$130,0,MATCH(V$2,Inputs!$K$4:$AJ$4,0))))+SUMPRODUCT((Inputs!$E$5:$E$130=$B16)*ISNUMBER(INDEX(Inputs!$K$5:$AJ$130,0,MATCH(V$2,Inputs!$K$4:$AJ$4,0))))=0,NA(),SUMPRODUCT((Inputs!$A$5:$A$130=$B16)*Inputs!$B$5:$B$130*(((Inputs!$G$5:$G$130="moeda")+(Inputs!$G$5:$G$130="acoes"))*Inputs!$B$1+((Inputs!$G$5:$G$130&lt;&gt;"moeda")*(Inputs!$G$5:$G$130&lt;&gt;"acoes")))*INDEX(Inputs!$K$5:$AJ$130,0,MATCH(V$2,Inputs!$K$4:$AJ$4,0)))+SUMPRODUCT((Inputs!$C$5:$C$130=$B16)*Inputs!$D$5:$D$130*(((Inputs!$G$5:$G$130="moeda")+(Inputs!$G$5:$G$130="acoes"))*Inputs!$B$1+((Inputs!$G$5:$G$130&lt;&gt;"moeda")*(Inputs!$G$5:$G$130&lt;&gt;"acoes")))*INDEX(Inputs!$K$5:$AJ$130,0,MATCH(V$2,Inputs!$K$4:$AJ$4,0)))+SUMPRODUCT((Inputs!$E$5:$E$130=$B16)*Inputs!$F$5:$F$130*(((Inputs!$G$5:$G$130="moeda")+(Inputs!$G$5:$G$130="acoes"))*Inputs!$B$1+((Inputs!$G$5:$G$130&lt;&gt;"moeda")*(Inputs!$G$5:$G$130&lt;&gt;"acoes")))*INDEX(Inputs!$K$5:$AJ$130,0,MATCH(V$2,Inputs!$K$4:$AJ$4,0)))))</f>
        <v>0</v>
      </c>
      <c r="W16" s="3">
        <f>V16</f>
        <v>0</v>
      </c>
      <c r="X16" s="6">
        <f>IF(ISNA(MATCH(X$2,Inputs!$K$4:$AJ$4,0)),NA(),IF(SUMPRODUCT((Inputs!$A$5:$A$130=$B16)*ISNUMBER(INDEX(Inputs!$K$5:$AJ$130,0,MATCH(X$2,Inputs!$K$4:$AJ$4,0))))+SUMPRODUCT((Inputs!$C$5:$C$130=$B16)*ISNUMBER(INDEX(Inputs!$K$5:$AJ$130,0,MATCH(X$2,Inputs!$K$4:$AJ$4,0))))+SUMPRODUCT((Inputs!$E$5:$E$130=$B16)*ISNUMBER(INDEX(Inputs!$K$5:$AJ$130,0,MATCH(X$2,Inputs!$K$4:$AJ$4,0))))=0,NA(),SUMPRODUCT((Inputs!$A$5:$A$130=$B16)*Inputs!$B$5:$B$130*(((Inputs!$G$5:$G$130="moeda")+(Inputs!$G$5:$G$130="acoes"))*Inputs!$B$1+((Inputs!$G$5:$G$130&lt;&gt;"moeda")*(Inputs!$G$5:$G$130&lt;&gt;"acoes")))*INDEX(Inputs!$K$5:$AJ$130,0,MATCH(X$2,Inputs!$K$4:$AJ$4,0)))+SUMPRODUCT((Inputs!$C$5:$C$130=$B16)*Inputs!$D$5:$D$130*(((Inputs!$G$5:$G$130="moeda")+(Inputs!$G$5:$G$130="acoes"))*Inputs!$B$1+((Inputs!$G$5:$G$130&lt;&gt;"moeda")*(Inputs!$G$5:$G$130&lt;&gt;"acoes")))*INDEX(Inputs!$K$5:$AJ$130,0,MATCH(X$2,Inputs!$K$4:$AJ$4,0)))+SUMPRODUCT((Inputs!$E$5:$E$130=$B16)*Inputs!$F$5:$F$130*(((Inputs!$G$5:$G$130="moeda")+(Inputs!$G$5:$G$130="acoes"))*Inputs!$B$1+((Inputs!$G$5:$G$130&lt;&gt;"moeda")*(Inputs!$G$5:$G$130&lt;&gt;"acoes")))*INDEX(Inputs!$K$5:$AJ$130,0,MATCH(X$2,Inputs!$K$4:$AJ$4,0)))))</f>
        <v>0</v>
      </c>
      <c r="Y16" s="6">
        <f>IF(ISNA(MATCH(Y$2,Inputs!$K$4:$AJ$4,0)),NA(),IF(SUMPRODUCT((Inputs!$A$5:$A$130=$B16)*ISNUMBER(INDEX(Inputs!$K$5:$AJ$130,0,MATCH(Y$2,Inputs!$K$4:$AJ$4,0))))+SUMPRODUCT((Inputs!$C$5:$C$130=$B16)*ISNUMBER(INDEX(Inputs!$K$5:$AJ$130,0,MATCH(Y$2,Inputs!$K$4:$AJ$4,0))))+SUMPRODUCT((Inputs!$E$5:$E$130=$B16)*ISNUMBER(INDEX(Inputs!$K$5:$AJ$130,0,MATCH(Y$2,Inputs!$K$4:$AJ$4,0))))=0,NA(),SUMPRODUCT((Inputs!$A$5:$A$130=$B16)*Inputs!$B$5:$B$130*(((Inputs!$G$5:$G$130="moeda")+(Inputs!$G$5:$G$130="acoes"))*Inputs!$B$1+((Inputs!$G$5:$G$130&lt;&gt;"moeda")*(Inputs!$G$5:$G$130&lt;&gt;"acoes")))*INDEX(Inputs!$K$5:$AJ$130,0,MATCH(Y$2,Inputs!$K$4:$AJ$4,0)))+SUMPRODUCT((Inputs!$C$5:$C$130=$B16)*Inputs!$D$5:$D$130*(((Inputs!$G$5:$G$130="moeda")+(Inputs!$G$5:$G$130="acoes"))*Inputs!$B$1+((Inputs!$G$5:$G$130&lt;&gt;"moeda")*(Inputs!$G$5:$G$130&lt;&gt;"acoes")))*INDEX(Inputs!$K$5:$AJ$130,0,MATCH(Y$2,Inputs!$K$4:$AJ$4,0)))+SUMPRODUCT((Inputs!$E$5:$E$130=$B16)*Inputs!$F$5:$F$130*(((Inputs!$G$5:$G$130="moeda")+(Inputs!$G$5:$G$130="acoes"))*Inputs!$B$1+((Inputs!$G$5:$G$130&lt;&gt;"moeda")*(Inputs!$G$5:$G$130&lt;&gt;"acoes")))*INDEX(Inputs!$K$5:$AJ$130,0,MATCH(Y$2,Inputs!$K$4:$AJ$4,0)))))</f>
        <v>0</v>
      </c>
      <c r="Z16" s="6">
        <f>IF(ISNA(MATCH(Z$2,Inputs!$K$4:$AJ$4,0)),NA(),IF(SUMPRODUCT((Inputs!$A$5:$A$130=$B16)*ISNUMBER(INDEX(Inputs!$K$5:$AJ$130,0,MATCH(Z$2,Inputs!$K$4:$AJ$4,0))))+SUMPRODUCT((Inputs!$C$5:$C$130=$B16)*ISNUMBER(INDEX(Inputs!$K$5:$AJ$130,0,MATCH(Z$2,Inputs!$K$4:$AJ$4,0))))+SUMPRODUCT((Inputs!$E$5:$E$130=$B16)*ISNUMBER(INDEX(Inputs!$K$5:$AJ$130,0,MATCH(Z$2,Inputs!$K$4:$AJ$4,0))))=0,NA(),SUMPRODUCT((Inputs!$A$5:$A$130=$B16)*Inputs!$B$5:$B$130*(((Inputs!$G$5:$G$130="moeda")+(Inputs!$G$5:$G$130="acoes"))*Inputs!$B$1+((Inputs!$G$5:$G$130&lt;&gt;"moeda")*(Inputs!$G$5:$G$130&lt;&gt;"acoes")))*INDEX(Inputs!$K$5:$AJ$130,0,MATCH(Z$2,Inputs!$K$4:$AJ$4,0)))+SUMPRODUCT((Inputs!$C$5:$C$130=$B16)*Inputs!$D$5:$D$130*(((Inputs!$G$5:$G$130="moeda")+(Inputs!$G$5:$G$130="acoes"))*Inputs!$B$1+((Inputs!$G$5:$G$130&lt;&gt;"moeda")*(Inputs!$G$5:$G$130&lt;&gt;"acoes")))*INDEX(Inputs!$K$5:$AJ$130,0,MATCH(Z$2,Inputs!$K$4:$AJ$4,0)))+SUMPRODUCT((Inputs!$E$5:$E$130=$B16)*Inputs!$F$5:$F$130*(((Inputs!$G$5:$G$130="moeda")+(Inputs!$G$5:$G$130="acoes"))*Inputs!$B$1+((Inputs!$G$5:$G$130&lt;&gt;"moeda")*(Inputs!$G$5:$G$130&lt;&gt;"acoes")))*INDEX(Inputs!$K$5:$AJ$130,0,MATCH(Z$2,Inputs!$K$4:$AJ$4,0)))))</f>
        <v>0</v>
      </c>
      <c r="AA16" s="6">
        <f>IF(ISNA(MATCH(AA$2,Inputs!$K$4:$AJ$4,0)),NA(),IF(SUMPRODUCT((Inputs!$A$5:$A$130=$B16)*ISNUMBER(INDEX(Inputs!$K$5:$AJ$130,0,MATCH(AA$2,Inputs!$K$4:$AJ$4,0))))+SUMPRODUCT((Inputs!$C$5:$C$130=$B16)*ISNUMBER(INDEX(Inputs!$K$5:$AJ$130,0,MATCH(AA$2,Inputs!$K$4:$AJ$4,0))))+SUMPRODUCT((Inputs!$E$5:$E$130=$B16)*ISNUMBER(INDEX(Inputs!$K$5:$AJ$130,0,MATCH(AA$2,Inputs!$K$4:$AJ$4,0))))=0,NA(),SUMPRODUCT((Inputs!$A$5:$A$130=$B16)*Inputs!$B$5:$B$130*(((Inputs!$G$5:$G$130="moeda")+(Inputs!$G$5:$G$130="acoes"))*Inputs!$B$1+((Inputs!$G$5:$G$130&lt;&gt;"moeda")*(Inputs!$G$5:$G$130&lt;&gt;"acoes")))*INDEX(Inputs!$K$5:$AJ$130,0,MATCH(AA$2,Inputs!$K$4:$AJ$4,0)))+SUMPRODUCT((Inputs!$C$5:$C$130=$B16)*Inputs!$D$5:$D$130*(((Inputs!$G$5:$G$130="moeda")+(Inputs!$G$5:$G$130="acoes"))*Inputs!$B$1+((Inputs!$G$5:$G$130&lt;&gt;"moeda")*(Inputs!$G$5:$G$130&lt;&gt;"acoes")))*INDEX(Inputs!$K$5:$AJ$130,0,MATCH(AA$2,Inputs!$K$4:$AJ$4,0)))+SUMPRODUCT((Inputs!$E$5:$E$130=$B16)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6" s="3">
        <f>AA16</f>
        <v>0</v>
      </c>
      <c r="AC16" s="6">
        <f>IF(ISNA(MATCH(AC$2,Inputs!$K$4:$AJ$4,0)),NA(),IF(SUMPRODUCT((Inputs!$A$5:$A$130=$B16)*ISNUMBER(INDEX(Inputs!$K$5:$AJ$130,0,MATCH(AC$2,Inputs!$K$4:$AJ$4,0))))+SUMPRODUCT((Inputs!$C$5:$C$130=$B16)*ISNUMBER(INDEX(Inputs!$K$5:$AJ$130,0,MATCH(AC$2,Inputs!$K$4:$AJ$4,0))))+SUMPRODUCT((Inputs!$E$5:$E$130=$B16)*ISNUMBER(INDEX(Inputs!$K$5:$AJ$130,0,MATCH(AC$2,Inputs!$K$4:$AJ$4,0))))=0,NA(),SUMPRODUCT((Inputs!$A$5:$A$130=$B16)*Inputs!$B$5:$B$130*(((Inputs!$G$5:$G$130="moeda")+(Inputs!$G$5:$G$130="acoes"))*Inputs!$B$1+((Inputs!$G$5:$G$130&lt;&gt;"moeda")*(Inputs!$G$5:$G$130&lt;&gt;"acoes")))*INDEX(Inputs!$K$5:$AJ$130,0,MATCH(AC$2,Inputs!$K$4:$AJ$4,0)))+SUMPRODUCT((Inputs!$C$5:$C$130=$B16)*Inputs!$D$5:$D$130*(((Inputs!$G$5:$G$130="moeda")+(Inputs!$G$5:$G$130="acoes"))*Inputs!$B$1+((Inputs!$G$5:$G$130&lt;&gt;"moeda")*(Inputs!$G$5:$G$130&lt;&gt;"acoes")))*INDEX(Inputs!$K$5:$AJ$130,0,MATCH(AC$2,Inputs!$K$4:$AJ$4,0)))+SUMPRODUCT((Inputs!$E$5:$E$130=$B16)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6" s="6">
        <f>IF(ISNA(MATCH(AD$2,Inputs!$K$4:$AJ$4,0)),NA(),IF(SUMPRODUCT((Inputs!$A$5:$A$130=$B16)*ISNUMBER(INDEX(Inputs!$K$5:$AJ$130,0,MATCH(AD$2,Inputs!$K$4:$AJ$4,0))))+SUMPRODUCT((Inputs!$C$5:$C$130=$B16)*ISNUMBER(INDEX(Inputs!$K$5:$AJ$130,0,MATCH(AD$2,Inputs!$K$4:$AJ$4,0))))+SUMPRODUCT((Inputs!$E$5:$E$130=$B16)*ISNUMBER(INDEX(Inputs!$K$5:$AJ$130,0,MATCH(AD$2,Inputs!$K$4:$AJ$4,0))))=0,NA(),SUMPRODUCT((Inputs!$A$5:$A$130=$B16)*Inputs!$B$5:$B$130*(((Inputs!$G$5:$G$130="moeda")+(Inputs!$G$5:$G$130="acoes"))*Inputs!$B$1+((Inputs!$G$5:$G$130&lt;&gt;"moeda")*(Inputs!$G$5:$G$130&lt;&gt;"acoes")))*INDEX(Inputs!$K$5:$AJ$130,0,MATCH(AD$2,Inputs!$K$4:$AJ$4,0)))+SUMPRODUCT((Inputs!$C$5:$C$130=$B16)*Inputs!$D$5:$D$130*(((Inputs!$G$5:$G$130="moeda")+(Inputs!$G$5:$G$130="acoes"))*Inputs!$B$1+((Inputs!$G$5:$G$130&lt;&gt;"moeda")*(Inputs!$G$5:$G$130&lt;&gt;"acoes")))*INDEX(Inputs!$K$5:$AJ$130,0,MATCH(AD$2,Inputs!$K$4:$AJ$4,0)))+SUMPRODUCT((Inputs!$E$5:$E$130=$B16)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6" s="6" t="e">
        <f>IF(ISNA(MATCH(AE$2,Inputs!$K$4:$AJ$4,0)),NA(),IF(SUMPRODUCT((Inputs!$A$5:$A$130=$B16)*ISNUMBER(INDEX(Inputs!$K$5:$AJ$130,0,MATCH(AE$2,Inputs!$K$4:$AJ$4,0))))+SUMPRODUCT((Inputs!$C$5:$C$130=$B16)*ISNUMBER(INDEX(Inputs!$K$5:$AJ$130,0,MATCH(AE$2,Inputs!$K$4:$AJ$4,0))))+SUMPRODUCT((Inputs!$E$5:$E$130=$B16)*ISNUMBER(INDEX(Inputs!$K$5:$AJ$130,0,MATCH(AE$2,Inputs!$K$4:$AJ$4,0))))=0,NA(),SUMPRODUCT((Inputs!$A$5:$A$130=$B16)*Inputs!$B$5:$B$130*(((Inputs!$G$5:$G$130="moeda")+(Inputs!$G$5:$G$130="acoes"))*Inputs!$B$1+((Inputs!$G$5:$G$130&lt;&gt;"moeda")*(Inputs!$G$5:$G$130&lt;&gt;"acoes")))*INDEX(Inputs!$K$5:$AJ$130,0,MATCH(AE$2,Inputs!$K$4:$AJ$4,0)))+SUMPRODUCT((Inputs!$C$5:$C$130=$B16)*Inputs!$D$5:$D$130*(((Inputs!$G$5:$G$130="moeda")+(Inputs!$G$5:$G$130="acoes"))*Inputs!$B$1+((Inputs!$G$5:$G$130&lt;&gt;"moeda")*(Inputs!$G$5:$G$130&lt;&gt;"acoes")))*INDEX(Inputs!$K$5:$AJ$130,0,MATCH(AE$2,Inputs!$K$4:$AJ$4,0)))+SUMPRODUCT((Inputs!$E$5:$E$130=$B16)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6" s="6" t="e">
        <f>IF(ISNA(MATCH(AF$2,Inputs!$K$4:$AJ$4,0)),NA(),IF(SUMPRODUCT((Inputs!$A$5:$A$130=$B16)*ISNUMBER(INDEX(Inputs!$K$5:$AJ$130,0,MATCH(AF$2,Inputs!$K$4:$AJ$4,0))))+SUMPRODUCT((Inputs!$C$5:$C$130=$B16)*ISNUMBER(INDEX(Inputs!$K$5:$AJ$130,0,MATCH(AF$2,Inputs!$K$4:$AJ$4,0))))+SUMPRODUCT((Inputs!$E$5:$E$130=$B16)*ISNUMBER(INDEX(Inputs!$K$5:$AJ$130,0,MATCH(AF$2,Inputs!$K$4:$AJ$4,0))))=0,NA(),SUMPRODUCT((Inputs!$A$5:$A$130=$B16)*Inputs!$B$5:$B$130*(((Inputs!$G$5:$G$130="moeda")+(Inputs!$G$5:$G$130="acoes"))*Inputs!$B$1+((Inputs!$G$5:$G$130&lt;&gt;"moeda")*(Inputs!$G$5:$G$130&lt;&gt;"acoes")))*INDEX(Inputs!$K$5:$AJ$130,0,MATCH(AF$2,Inputs!$K$4:$AJ$4,0)))+SUMPRODUCT((Inputs!$C$5:$C$130=$B16)*Inputs!$D$5:$D$130*(((Inputs!$G$5:$G$130="moeda")+(Inputs!$G$5:$G$130="acoes"))*Inputs!$B$1+((Inputs!$G$5:$G$130&lt;&gt;"moeda")*(Inputs!$G$5:$G$130&lt;&gt;"acoes")))*INDEX(Inputs!$K$5:$AJ$130,0,MATCH(AF$2,Inputs!$K$4:$AJ$4,0)))+SUMPRODUCT((Inputs!$E$5:$E$130=$B16)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6" s="3" t="e">
        <f>AF16</f>
        <v>#N/A</v>
      </c>
      <c r="AH16" s="6">
        <f>IF(ISNA(MATCH(AH$2,Inputs!$K$4:$AJ$4,0)),NA(),IF(SUMPRODUCT((Inputs!$A$5:$A$130=$B16)*ISNUMBER(INDEX(Inputs!$K$5:$AJ$130,0,MATCH(AH$2,Inputs!$K$4:$AJ$4,0))))+SUMPRODUCT((Inputs!$C$5:$C$130=$B16)*ISNUMBER(INDEX(Inputs!$K$5:$AJ$130,0,MATCH(AH$2,Inputs!$K$4:$AJ$4,0))))+SUMPRODUCT((Inputs!$E$5:$E$130=$B16)*ISNUMBER(INDEX(Inputs!$K$5:$AJ$130,0,MATCH(AH$2,Inputs!$K$4:$AJ$4,0))))=0,NA(),SUMPRODUCT((Inputs!$A$5:$A$130=$B16)*Inputs!$B$5:$B$130*(((Inputs!$G$5:$G$130="moeda")+(Inputs!$G$5:$G$130="acoes"))*Inputs!$B$1+((Inputs!$G$5:$G$130&lt;&gt;"moeda")*(Inputs!$G$5:$G$130&lt;&gt;"acoes")))*INDEX(Inputs!$K$5:$AJ$130,0,MATCH(AH$2,Inputs!$K$4:$AJ$4,0)))+SUMPRODUCT((Inputs!$C$5:$C$130=$B16)*Inputs!$D$5:$D$130*(((Inputs!$G$5:$G$130="moeda")+(Inputs!$G$5:$G$130="acoes"))*Inputs!$B$1+((Inputs!$G$5:$G$130&lt;&gt;"moeda")*(Inputs!$G$5:$G$130&lt;&gt;"acoes")))*INDEX(Inputs!$K$5:$AJ$130,0,MATCH(AH$2,Inputs!$K$4:$AJ$4,0)))+SUMPRODUCT((Inputs!$E$5:$E$130=$B16)*Inputs!$F$5:$F$130*(((Inputs!$G$5:$G$130="moeda")+(Inputs!$G$5:$G$130="acoes"))*Inputs!$B$1+((Inputs!$G$5:$G$130&lt;&gt;"moeda")*(Inputs!$G$5:$G$130&lt;&gt;"acoes")))*INDEX(Inputs!$K$5:$AJ$130,0,MATCH(AH$2,Inputs!$K$4:$AJ$4,0)))))</f>
        <v>0</v>
      </c>
      <c r="AI16" s="6">
        <f>IF(ISNA(MATCH(AI$2,Inputs!$K$4:$AJ$4,0)),NA(),IF(SUMPRODUCT((Inputs!$A$5:$A$130=$B16)*ISNUMBER(INDEX(Inputs!$K$5:$AJ$130,0,MATCH(AI$2,Inputs!$K$4:$AJ$4,0))))+SUMPRODUCT((Inputs!$C$5:$C$130=$B16)*ISNUMBER(INDEX(Inputs!$K$5:$AJ$130,0,MATCH(AI$2,Inputs!$K$4:$AJ$4,0))))+SUMPRODUCT((Inputs!$E$5:$E$130=$B16)*ISNUMBER(INDEX(Inputs!$K$5:$AJ$130,0,MATCH(AI$2,Inputs!$K$4:$AJ$4,0))))=0,NA(),SUMPRODUCT((Inputs!$A$5:$A$130=$B16)*Inputs!$B$5:$B$130*(((Inputs!$G$5:$G$130="moeda")+(Inputs!$G$5:$G$130="acoes"))*Inputs!$B$1+((Inputs!$G$5:$G$130&lt;&gt;"moeda")*(Inputs!$G$5:$G$130&lt;&gt;"acoes")))*INDEX(Inputs!$K$5:$AJ$130,0,MATCH(AI$2,Inputs!$K$4:$AJ$4,0)))+SUMPRODUCT((Inputs!$C$5:$C$130=$B16)*Inputs!$D$5:$D$130*(((Inputs!$G$5:$G$130="moeda")+(Inputs!$G$5:$G$130="acoes"))*Inputs!$B$1+((Inputs!$G$5:$G$130&lt;&gt;"moeda")*(Inputs!$G$5:$G$130&lt;&gt;"acoes")))*INDEX(Inputs!$K$5:$AJ$130,0,MATCH(AI$2,Inputs!$K$4:$AJ$4,0)))+SUMPRODUCT((Inputs!$E$5:$E$130=$B16)*Inputs!$F$5:$F$130*(((Inputs!$G$5:$G$130="moeda")+(Inputs!$G$5:$G$130="acoes"))*Inputs!$B$1+((Inputs!$G$5:$G$130&lt;&gt;"moeda")*(Inputs!$G$5:$G$130&lt;&gt;"acoes")))*INDEX(Inputs!$K$5:$AJ$130,0,MATCH(AI$2,Inputs!$K$4:$AJ$4,0)))))</f>
        <v>0</v>
      </c>
      <c r="AJ16" s="6">
        <f>IF(ISNA(MATCH(AJ$2,Inputs!$K$4:$AJ$4,0)),NA(),IF(SUMPRODUCT((Inputs!$A$5:$A$130=$B16)*ISNUMBER(INDEX(Inputs!$K$5:$AJ$130,0,MATCH(AJ$2,Inputs!$K$4:$AJ$4,0))))+SUMPRODUCT((Inputs!$C$5:$C$130=$B16)*ISNUMBER(INDEX(Inputs!$K$5:$AJ$130,0,MATCH(AJ$2,Inputs!$K$4:$AJ$4,0))))+SUMPRODUCT((Inputs!$E$5:$E$130=$B16)*ISNUMBER(INDEX(Inputs!$K$5:$AJ$130,0,MATCH(AJ$2,Inputs!$K$4:$AJ$4,0))))=0,NA(),SUMPRODUCT((Inputs!$A$5:$A$130=$B16)*Inputs!$B$5:$B$130*(((Inputs!$G$5:$G$130="moeda")+(Inputs!$G$5:$G$130="acoes"))*Inputs!$B$1+((Inputs!$G$5:$G$130&lt;&gt;"moeda")*(Inputs!$G$5:$G$130&lt;&gt;"acoes")))*INDEX(Inputs!$K$5:$AJ$130,0,MATCH(AJ$2,Inputs!$K$4:$AJ$4,0)))+SUMPRODUCT((Inputs!$C$5:$C$130=$B16)*Inputs!$D$5:$D$130*(((Inputs!$G$5:$G$130="moeda")+(Inputs!$G$5:$G$130="acoes"))*Inputs!$B$1+((Inputs!$G$5:$G$130&lt;&gt;"moeda")*(Inputs!$G$5:$G$130&lt;&gt;"acoes")))*INDEX(Inputs!$K$5:$AJ$130,0,MATCH(AJ$2,Inputs!$K$4:$AJ$4,0)))+SUMPRODUCT((Inputs!$E$5:$E$130=$B16)*Inputs!$F$5:$F$130*(((Inputs!$G$5:$G$130="moeda")+(Inputs!$G$5:$G$130="acoes"))*Inputs!$B$1+((Inputs!$G$5:$G$130&lt;&gt;"moeda")*(Inputs!$G$5:$G$130&lt;&gt;"acoes")))*INDEX(Inputs!$K$5:$AJ$130,0,MATCH(AJ$2,Inputs!$K$4:$AJ$4,0)))))</f>
        <v>0</v>
      </c>
      <c r="AK16" s="6">
        <f>IF(ISNA(MATCH(AK$2,Inputs!$K$4:$AJ$4,0)),NA(),IF(SUMPRODUCT((Inputs!$A$5:$A$130=$B16)*ISNUMBER(INDEX(Inputs!$K$5:$AJ$130,0,MATCH(AK$2,Inputs!$K$4:$AJ$4,0))))+SUMPRODUCT((Inputs!$C$5:$C$130=$B16)*ISNUMBER(INDEX(Inputs!$K$5:$AJ$130,0,MATCH(AK$2,Inputs!$K$4:$AJ$4,0))))+SUMPRODUCT((Inputs!$E$5:$E$130=$B16)*ISNUMBER(INDEX(Inputs!$K$5:$AJ$130,0,MATCH(AK$2,Inputs!$K$4:$AJ$4,0))))=0,NA(),SUMPRODUCT((Inputs!$A$5:$A$130=$B16)*Inputs!$B$5:$B$130*(((Inputs!$G$5:$G$130="moeda")+(Inputs!$G$5:$G$130="acoes"))*Inputs!$B$1+((Inputs!$G$5:$G$130&lt;&gt;"moeda")*(Inputs!$G$5:$G$130&lt;&gt;"acoes")))*INDEX(Inputs!$K$5:$AJ$130,0,MATCH(AK$2,Inputs!$K$4:$AJ$4,0)))+SUMPRODUCT((Inputs!$C$5:$C$130=$B16)*Inputs!$D$5:$D$130*(((Inputs!$G$5:$G$130="moeda")+(Inputs!$G$5:$G$130="acoes"))*Inputs!$B$1+((Inputs!$G$5:$G$130&lt;&gt;"moeda")*(Inputs!$G$5:$G$130&lt;&gt;"acoes")))*INDEX(Inputs!$K$5:$AJ$130,0,MATCH(AK$2,Inputs!$K$4:$AJ$4,0)))+SUMPRODUCT((Inputs!$E$5:$E$130=$B16)*Inputs!$F$5:$F$130*(((Inputs!$G$5:$G$130="moeda")+(Inputs!$G$5:$G$130="acoes"))*Inputs!$B$1+((Inputs!$G$5:$G$130&lt;&gt;"moeda")*(Inputs!$G$5:$G$130&lt;&gt;"acoes")))*INDEX(Inputs!$K$5:$AJ$130,0,MATCH(AK$2,Inputs!$K$4:$AJ$4,0)))))</f>
        <v>0</v>
      </c>
      <c r="AL16" s="3">
        <f>AK16</f>
        <v>0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$130=$B17)*ISNUMBER(INDEX(Inputs!$K$5:$AJ$130,0,MATCH(D$2,Inputs!$K$4:$AJ$4,0))))+SUMPRODUCT((Inputs!$C$5:$C$130=$B17)*ISNUMBER(INDEX(Inputs!$K$5:$AJ$130,0,MATCH(D$2,Inputs!$K$4:$AJ$4,0))))+SUMPRODUCT((Inputs!$E$5:$E$130=$B17)*ISNUMBER(INDEX(Inputs!$K$5:$AJ$130,0,MATCH(D$2,Inputs!$K$4:$AJ$4,0))))=0,NA(),SUMPRODUCT((Inputs!$A$5:$A$130=$B17)*Inputs!$B$5:$B$130*(((Inputs!$G$5:$G$130="moeda")+(Inputs!$G$5:$G$130="acoes"))*Inputs!$B$1+((Inputs!$G$5:$G$130&lt;&gt;"moeda")*(Inputs!$G$5:$G$130&lt;&gt;"acoes")))*INDEX(Inputs!$K$5:$AJ$130,0,MATCH(D$2,Inputs!$K$4:$AJ$4,0)))+SUMPRODUCT((Inputs!$C$5:$C$130=$B17)*Inputs!$D$5:$D$130*(((Inputs!$G$5:$G$130="moeda")+(Inputs!$G$5:$G$130="acoes"))*Inputs!$B$1+((Inputs!$G$5:$G$130&lt;&gt;"moeda")*(Inputs!$G$5:$G$130&lt;&gt;"acoes")))*INDEX(Inputs!$K$5:$AJ$130,0,MATCH(D$2,Inputs!$K$4:$AJ$4,0)))+SUMPRODUCT((Inputs!$E$5:$E$130=$B17)*Inputs!$F$5:$F$130*(((Inputs!$G$5:$G$130="moeda")+(Inputs!$G$5:$G$130="acoes"))*Inputs!$B$1+((Inputs!$G$5:$G$130&lt;&gt;"moeda")*(Inputs!$G$5:$G$130&lt;&gt;"acoes")))*INDEX(Inputs!$K$5:$AJ$130,0,MATCH(D$2,Inputs!$K$4:$AJ$4,0)))))</f>
        <v>6042</v>
      </c>
      <c r="E17" s="6">
        <f>IF(ISNA(MATCH(E$2,Inputs!$K$4:$AJ$4,0)),NA(),IF(SUMPRODUCT((Inputs!$A$5:$A$130=$B17)*ISNUMBER(INDEX(Inputs!$K$5:$AJ$130,0,MATCH(E$2,Inputs!$K$4:$AJ$4,0))))+SUMPRODUCT((Inputs!$C$5:$C$130=$B17)*ISNUMBER(INDEX(Inputs!$K$5:$AJ$130,0,MATCH(E$2,Inputs!$K$4:$AJ$4,0))))+SUMPRODUCT((Inputs!$E$5:$E$130=$B17)*ISNUMBER(INDEX(Inputs!$K$5:$AJ$130,0,MATCH(E$2,Inputs!$K$4:$AJ$4,0))))=0,NA(),SUMPRODUCT((Inputs!$A$5:$A$130=$B17)*Inputs!$B$5:$B$130*(((Inputs!$G$5:$G$130="moeda")+(Inputs!$G$5:$G$130="acoes"))*Inputs!$B$1+((Inputs!$G$5:$G$130&lt;&gt;"moeda")*(Inputs!$G$5:$G$130&lt;&gt;"acoes")))*INDEX(Inputs!$K$5:$AJ$130,0,MATCH(E$2,Inputs!$K$4:$AJ$4,0)))+SUMPRODUCT((Inputs!$C$5:$C$130=$B17)*Inputs!$D$5:$D$130*(((Inputs!$G$5:$G$130="moeda")+(Inputs!$G$5:$G$130="acoes"))*Inputs!$B$1+((Inputs!$G$5:$G$130&lt;&gt;"moeda")*(Inputs!$G$5:$G$130&lt;&gt;"acoes")))*INDEX(Inputs!$K$5:$AJ$130,0,MATCH(E$2,Inputs!$K$4:$AJ$4,0)))+SUMPRODUCT((Inputs!$E$5:$E$130=$B17)*Inputs!$F$5:$F$130*(((Inputs!$G$5:$G$130="moeda")+(Inputs!$G$5:$G$130="acoes"))*Inputs!$B$1+((Inputs!$G$5:$G$130&lt;&gt;"moeda")*(Inputs!$G$5:$G$130&lt;&gt;"acoes")))*INDEX(Inputs!$K$5:$AJ$130,0,MATCH(E$2,Inputs!$K$4:$AJ$4,0)))))</f>
        <v>6410</v>
      </c>
      <c r="F17" s="6">
        <f>IF(ISNA(MATCH(F$2,Inputs!$K$4:$AJ$4,0)),NA(),IF(SUMPRODUCT((Inputs!$A$5:$A$130=$B17)*ISNUMBER(INDEX(Inputs!$K$5:$AJ$130,0,MATCH(F$2,Inputs!$K$4:$AJ$4,0))))+SUMPRODUCT((Inputs!$C$5:$C$130=$B17)*ISNUMBER(INDEX(Inputs!$K$5:$AJ$130,0,MATCH(F$2,Inputs!$K$4:$AJ$4,0))))+SUMPRODUCT((Inputs!$E$5:$E$130=$B17)*ISNUMBER(INDEX(Inputs!$K$5:$AJ$130,0,MATCH(F$2,Inputs!$K$4:$AJ$4,0))))=0,NA(),SUMPRODUCT((Inputs!$A$5:$A$130=$B17)*Inputs!$B$5:$B$130*(((Inputs!$G$5:$G$130="moeda")+(Inputs!$G$5:$G$130="acoes"))*Inputs!$B$1+((Inputs!$G$5:$G$130&lt;&gt;"moeda")*(Inputs!$G$5:$G$130&lt;&gt;"acoes")))*INDEX(Inputs!$K$5:$AJ$130,0,MATCH(F$2,Inputs!$K$4:$AJ$4,0)))+SUMPRODUCT((Inputs!$C$5:$C$130=$B17)*Inputs!$D$5:$D$130*(((Inputs!$G$5:$G$130="moeda")+(Inputs!$G$5:$G$130="acoes"))*Inputs!$B$1+((Inputs!$G$5:$G$130&lt;&gt;"moeda")*(Inputs!$G$5:$G$130&lt;&gt;"acoes")))*INDEX(Inputs!$K$5:$AJ$130,0,MATCH(F$2,Inputs!$K$4:$AJ$4,0)))+SUMPRODUCT((Inputs!$E$5:$E$130=$B17)*Inputs!$F$5:$F$130*(((Inputs!$G$5:$G$130="moeda")+(Inputs!$G$5:$G$130="acoes"))*Inputs!$B$1+((Inputs!$G$5:$G$130&lt;&gt;"moeda")*(Inputs!$G$5:$G$130&lt;&gt;"acoes")))*INDEX(Inputs!$K$5:$AJ$130,0,MATCH(F$2,Inputs!$K$4:$AJ$4,0)))))</f>
        <v>6781</v>
      </c>
      <c r="G17" s="6">
        <f>IF(ISNA(MATCH(G$2,Inputs!$K$4:$AJ$4,0)),NA(),IF(SUMPRODUCT((Inputs!$A$5:$A$130=$B17)*ISNUMBER(INDEX(Inputs!$K$5:$AJ$130,0,MATCH(G$2,Inputs!$K$4:$AJ$4,0))))+SUMPRODUCT((Inputs!$C$5:$C$130=$B17)*ISNUMBER(INDEX(Inputs!$K$5:$AJ$130,0,MATCH(G$2,Inputs!$K$4:$AJ$4,0))))+SUMPRODUCT((Inputs!$E$5:$E$130=$B17)*ISNUMBER(INDEX(Inputs!$K$5:$AJ$130,0,MATCH(G$2,Inputs!$K$4:$AJ$4,0))))=0,NA(),SUMPRODUCT((Inputs!$A$5:$A$130=$B17)*Inputs!$B$5:$B$130*(((Inputs!$G$5:$G$130="moeda")+(Inputs!$G$5:$G$130="acoes"))*Inputs!$B$1+((Inputs!$G$5:$G$130&lt;&gt;"moeda")*(Inputs!$G$5:$G$130&lt;&gt;"acoes")))*INDEX(Inputs!$K$5:$AJ$130,0,MATCH(G$2,Inputs!$K$4:$AJ$4,0)))+SUMPRODUCT((Inputs!$C$5:$C$130=$B17)*Inputs!$D$5:$D$130*(((Inputs!$G$5:$G$130="moeda")+(Inputs!$G$5:$G$130="acoes"))*Inputs!$B$1+((Inputs!$G$5:$G$130&lt;&gt;"moeda")*(Inputs!$G$5:$G$130&lt;&gt;"acoes")))*INDEX(Inputs!$K$5:$AJ$130,0,MATCH(G$2,Inputs!$K$4:$AJ$4,0)))+SUMPRODUCT((Inputs!$E$5:$E$130=$B17)*Inputs!$F$5:$F$130*(((Inputs!$G$5:$G$130="moeda")+(Inputs!$G$5:$G$130="acoes"))*Inputs!$B$1+((Inputs!$G$5:$G$130&lt;&gt;"moeda")*(Inputs!$G$5:$G$130&lt;&gt;"acoes")))*INDEX(Inputs!$K$5:$AJ$130,0,MATCH(G$2,Inputs!$K$4:$AJ$4,0)))))</f>
        <v>7935</v>
      </c>
      <c r="H17" s="3">
        <f>G17</f>
        <v>7935</v>
      </c>
      <c r="I17" s="6">
        <f>IF(ISNA(MATCH(I$2,Inputs!$K$4:$AJ$4,0)),NA(),IF(SUMPRODUCT((Inputs!$A$5:$A$130=$B17)*ISNUMBER(INDEX(Inputs!$K$5:$AJ$130,0,MATCH(I$2,Inputs!$K$4:$AJ$4,0))))+SUMPRODUCT((Inputs!$C$5:$C$130=$B17)*ISNUMBER(INDEX(Inputs!$K$5:$AJ$130,0,MATCH(I$2,Inputs!$K$4:$AJ$4,0))))+SUMPRODUCT((Inputs!$E$5:$E$130=$B17)*ISNUMBER(INDEX(Inputs!$K$5:$AJ$130,0,MATCH(I$2,Inputs!$K$4:$AJ$4,0))))=0,NA(),SUMPRODUCT((Inputs!$A$5:$A$130=$B17)*Inputs!$B$5:$B$130*(((Inputs!$G$5:$G$130="moeda")+(Inputs!$G$5:$G$130="acoes"))*Inputs!$B$1+((Inputs!$G$5:$G$130&lt;&gt;"moeda")*(Inputs!$G$5:$G$130&lt;&gt;"acoes")))*INDEX(Inputs!$K$5:$AJ$130,0,MATCH(I$2,Inputs!$K$4:$AJ$4,0)))+SUMPRODUCT((Inputs!$C$5:$C$130=$B17)*Inputs!$D$5:$D$130*(((Inputs!$G$5:$G$130="moeda")+(Inputs!$G$5:$G$130="acoes"))*Inputs!$B$1+((Inputs!$G$5:$G$130&lt;&gt;"moeda")*(Inputs!$G$5:$G$130&lt;&gt;"acoes")))*INDEX(Inputs!$K$5:$AJ$130,0,MATCH(I$2,Inputs!$K$4:$AJ$4,0)))+SUMPRODUCT((Inputs!$E$5:$E$130=$B17)*Inputs!$F$5:$F$130*(((Inputs!$G$5:$G$130="moeda")+(Inputs!$G$5:$G$130="acoes"))*Inputs!$B$1+((Inputs!$G$5:$G$130&lt;&gt;"moeda")*(Inputs!$G$5:$G$130&lt;&gt;"acoes")))*INDEX(Inputs!$K$5:$AJ$130,0,MATCH(I$2,Inputs!$K$4:$AJ$4,0)))))</f>
        <v>9030</v>
      </c>
      <c r="J17" s="6">
        <f>IF(ISNA(MATCH(J$2,Inputs!$K$4:$AJ$4,0)),NA(),IF(SUMPRODUCT((Inputs!$A$5:$A$130=$B17)*ISNUMBER(INDEX(Inputs!$K$5:$AJ$130,0,MATCH(J$2,Inputs!$K$4:$AJ$4,0))))+SUMPRODUCT((Inputs!$C$5:$C$130=$B17)*ISNUMBER(INDEX(Inputs!$K$5:$AJ$130,0,MATCH(J$2,Inputs!$K$4:$AJ$4,0))))+SUMPRODUCT((Inputs!$E$5:$E$130=$B17)*ISNUMBER(INDEX(Inputs!$K$5:$AJ$130,0,MATCH(J$2,Inputs!$K$4:$AJ$4,0))))=0,NA(),SUMPRODUCT((Inputs!$A$5:$A$130=$B17)*Inputs!$B$5:$B$130*(((Inputs!$G$5:$G$130="moeda")+(Inputs!$G$5:$G$130="acoes"))*Inputs!$B$1+((Inputs!$G$5:$G$130&lt;&gt;"moeda")*(Inputs!$G$5:$G$130&lt;&gt;"acoes")))*INDEX(Inputs!$K$5:$AJ$130,0,MATCH(J$2,Inputs!$K$4:$AJ$4,0)))+SUMPRODUCT((Inputs!$C$5:$C$130=$B17)*Inputs!$D$5:$D$130*(((Inputs!$G$5:$G$130="moeda")+(Inputs!$G$5:$G$130="acoes"))*Inputs!$B$1+((Inputs!$G$5:$G$130&lt;&gt;"moeda")*(Inputs!$G$5:$G$130&lt;&gt;"acoes")))*INDEX(Inputs!$K$5:$AJ$130,0,MATCH(J$2,Inputs!$K$4:$AJ$4,0)))+SUMPRODUCT((Inputs!$E$5:$E$130=$B17)*Inputs!$F$5:$F$130*(((Inputs!$G$5:$G$130="moeda")+(Inputs!$G$5:$G$130="acoes"))*Inputs!$B$1+((Inputs!$G$5:$G$130&lt;&gt;"moeda")*(Inputs!$G$5:$G$130&lt;&gt;"acoes")))*INDEX(Inputs!$K$5:$AJ$130,0,MATCH(J$2,Inputs!$K$4:$AJ$4,0)))))</f>
        <v>9121</v>
      </c>
      <c r="K17" s="6">
        <f>IF(ISNA(MATCH(K$2,Inputs!$K$4:$AJ$4,0)),NA(),IF(SUMPRODUCT((Inputs!$A$5:$A$130=$B17)*ISNUMBER(INDEX(Inputs!$K$5:$AJ$130,0,MATCH(K$2,Inputs!$K$4:$AJ$4,0))))+SUMPRODUCT((Inputs!$C$5:$C$130=$B17)*ISNUMBER(INDEX(Inputs!$K$5:$AJ$130,0,MATCH(K$2,Inputs!$K$4:$AJ$4,0))))+SUMPRODUCT((Inputs!$E$5:$E$130=$B17)*ISNUMBER(INDEX(Inputs!$K$5:$AJ$130,0,MATCH(K$2,Inputs!$K$4:$AJ$4,0))))=0,NA(),SUMPRODUCT((Inputs!$A$5:$A$130=$B17)*Inputs!$B$5:$B$130*(((Inputs!$G$5:$G$130="moeda")+(Inputs!$G$5:$G$130="acoes"))*Inputs!$B$1+((Inputs!$G$5:$G$130&lt;&gt;"moeda")*(Inputs!$G$5:$G$130&lt;&gt;"acoes")))*INDEX(Inputs!$K$5:$AJ$130,0,MATCH(K$2,Inputs!$K$4:$AJ$4,0)))+SUMPRODUCT((Inputs!$C$5:$C$130=$B17)*Inputs!$D$5:$D$130*(((Inputs!$G$5:$G$130="moeda")+(Inputs!$G$5:$G$130="acoes"))*Inputs!$B$1+((Inputs!$G$5:$G$130&lt;&gt;"moeda")*(Inputs!$G$5:$G$130&lt;&gt;"acoes")))*INDEX(Inputs!$K$5:$AJ$130,0,MATCH(K$2,Inputs!$K$4:$AJ$4,0)))+SUMPRODUCT((Inputs!$E$5:$E$130=$B17)*Inputs!$F$5:$F$130*(((Inputs!$G$5:$G$130="moeda")+(Inputs!$G$5:$G$130="acoes"))*Inputs!$B$1+((Inputs!$G$5:$G$130&lt;&gt;"moeda")*(Inputs!$G$5:$G$130&lt;&gt;"acoes")))*INDEX(Inputs!$K$5:$AJ$130,0,MATCH(K$2,Inputs!$K$4:$AJ$4,0)))))</f>
        <v>8495</v>
      </c>
      <c r="L17" s="6">
        <f>IF(ISNA(MATCH(L$2,Inputs!$K$4:$AJ$4,0)),NA(),IF(SUMPRODUCT((Inputs!$A$5:$A$130=$B17)*ISNUMBER(INDEX(Inputs!$K$5:$AJ$130,0,MATCH(L$2,Inputs!$K$4:$AJ$4,0))))+SUMPRODUCT((Inputs!$C$5:$C$130=$B17)*ISNUMBER(INDEX(Inputs!$K$5:$AJ$130,0,MATCH(L$2,Inputs!$K$4:$AJ$4,0))))+SUMPRODUCT((Inputs!$E$5:$E$130=$B17)*ISNUMBER(INDEX(Inputs!$K$5:$AJ$130,0,MATCH(L$2,Inputs!$K$4:$AJ$4,0))))=0,NA(),SUMPRODUCT((Inputs!$A$5:$A$130=$B17)*Inputs!$B$5:$B$130*(((Inputs!$G$5:$G$130="moeda")+(Inputs!$G$5:$G$130="acoes"))*Inputs!$B$1+((Inputs!$G$5:$G$130&lt;&gt;"moeda")*(Inputs!$G$5:$G$130&lt;&gt;"acoes")))*INDEX(Inputs!$K$5:$AJ$130,0,MATCH(L$2,Inputs!$K$4:$AJ$4,0)))+SUMPRODUCT((Inputs!$C$5:$C$130=$B17)*Inputs!$D$5:$D$130*(((Inputs!$G$5:$G$130="moeda")+(Inputs!$G$5:$G$130="acoes"))*Inputs!$B$1+((Inputs!$G$5:$G$130&lt;&gt;"moeda")*(Inputs!$G$5:$G$130&lt;&gt;"acoes")))*INDEX(Inputs!$K$5:$AJ$130,0,MATCH(L$2,Inputs!$K$4:$AJ$4,0)))+SUMPRODUCT((Inputs!$E$5:$E$130=$B17)*Inputs!$F$5:$F$130*(((Inputs!$G$5:$G$130="moeda")+(Inputs!$G$5:$G$130="acoes"))*Inputs!$B$1+((Inputs!$G$5:$G$130&lt;&gt;"moeda")*(Inputs!$G$5:$G$130&lt;&gt;"acoes")))*INDEX(Inputs!$K$5:$AJ$130,0,MATCH(L$2,Inputs!$K$4:$AJ$4,0)))))</f>
        <v>10056</v>
      </c>
      <c r="M17" s="3">
        <f>L17</f>
        <v>10056</v>
      </c>
      <c r="N17" s="6">
        <f>IF(ISNA(MATCH(N$2,Inputs!$K$4:$AJ$4,0)),NA(),IF(SUMPRODUCT((Inputs!$A$5:$A$130=$B17)*ISNUMBER(INDEX(Inputs!$K$5:$AJ$130,0,MATCH(N$2,Inputs!$K$4:$AJ$4,0))))+SUMPRODUCT((Inputs!$C$5:$C$130=$B17)*ISNUMBER(INDEX(Inputs!$K$5:$AJ$130,0,MATCH(N$2,Inputs!$K$4:$AJ$4,0))))+SUMPRODUCT((Inputs!$E$5:$E$130=$B17)*ISNUMBER(INDEX(Inputs!$K$5:$AJ$130,0,MATCH(N$2,Inputs!$K$4:$AJ$4,0))))=0,NA(),SUMPRODUCT((Inputs!$A$5:$A$130=$B17)*Inputs!$B$5:$B$130*(((Inputs!$G$5:$G$130="moeda")+(Inputs!$G$5:$G$130="acoes"))*Inputs!$B$1+((Inputs!$G$5:$G$130&lt;&gt;"moeda")*(Inputs!$G$5:$G$130&lt;&gt;"acoes")))*INDEX(Inputs!$K$5:$AJ$130,0,MATCH(N$2,Inputs!$K$4:$AJ$4,0)))+SUMPRODUCT((Inputs!$C$5:$C$130=$B17)*Inputs!$D$5:$D$130*(((Inputs!$G$5:$G$130="moeda")+(Inputs!$G$5:$G$130="acoes"))*Inputs!$B$1+((Inputs!$G$5:$G$130&lt;&gt;"moeda")*(Inputs!$G$5:$G$130&lt;&gt;"acoes")))*INDEX(Inputs!$K$5:$AJ$130,0,MATCH(N$2,Inputs!$K$4:$AJ$4,0)))+SUMPRODUCT((Inputs!$E$5:$E$130=$B17)*Inputs!$F$5:$F$130*(((Inputs!$G$5:$G$130="moeda")+(Inputs!$G$5:$G$130="acoes"))*Inputs!$B$1+((Inputs!$G$5:$G$130&lt;&gt;"moeda")*(Inputs!$G$5:$G$130&lt;&gt;"acoes")))*INDEX(Inputs!$K$5:$AJ$130,0,MATCH(N$2,Inputs!$K$4:$AJ$4,0)))))</f>
        <v>9713</v>
      </c>
      <c r="O17" s="6">
        <f>IF(ISNA(MATCH(O$2,Inputs!$K$4:$AJ$4,0)),NA(),IF(SUMPRODUCT((Inputs!$A$5:$A$130=$B17)*ISNUMBER(INDEX(Inputs!$K$5:$AJ$130,0,MATCH(O$2,Inputs!$K$4:$AJ$4,0))))+SUMPRODUCT((Inputs!$C$5:$C$130=$B17)*ISNUMBER(INDEX(Inputs!$K$5:$AJ$130,0,MATCH(O$2,Inputs!$K$4:$AJ$4,0))))+SUMPRODUCT((Inputs!$E$5:$E$130=$B17)*ISNUMBER(INDEX(Inputs!$K$5:$AJ$130,0,MATCH(O$2,Inputs!$K$4:$AJ$4,0))))=0,NA(),SUMPRODUCT((Inputs!$A$5:$A$130=$B17)*Inputs!$B$5:$B$130*(((Inputs!$G$5:$G$130="moeda")+(Inputs!$G$5:$G$130="acoes"))*Inputs!$B$1+((Inputs!$G$5:$G$130&lt;&gt;"moeda")*(Inputs!$G$5:$G$130&lt;&gt;"acoes")))*INDEX(Inputs!$K$5:$AJ$130,0,MATCH(O$2,Inputs!$K$4:$AJ$4,0)))+SUMPRODUCT((Inputs!$C$5:$C$130=$B17)*Inputs!$D$5:$D$130*(((Inputs!$G$5:$G$130="moeda")+(Inputs!$G$5:$G$130="acoes"))*Inputs!$B$1+((Inputs!$G$5:$G$130&lt;&gt;"moeda")*(Inputs!$G$5:$G$130&lt;&gt;"acoes")))*INDEX(Inputs!$K$5:$AJ$130,0,MATCH(O$2,Inputs!$K$4:$AJ$4,0)))+SUMPRODUCT((Inputs!$E$5:$E$130=$B17)*Inputs!$F$5:$F$130*(((Inputs!$G$5:$G$130="moeda")+(Inputs!$G$5:$G$130="acoes"))*Inputs!$B$1+((Inputs!$G$5:$G$130&lt;&gt;"moeda")*(Inputs!$G$5:$G$130&lt;&gt;"acoes")))*INDEX(Inputs!$K$5:$AJ$130,0,MATCH(O$2,Inputs!$K$4:$AJ$4,0)))))</f>
        <v>9350</v>
      </c>
      <c r="P17" s="6">
        <f>IF(ISNA(MATCH(P$2,Inputs!$K$4:$AJ$4,0)),NA(),IF(SUMPRODUCT((Inputs!$A$5:$A$130=$B17)*ISNUMBER(INDEX(Inputs!$K$5:$AJ$130,0,MATCH(P$2,Inputs!$K$4:$AJ$4,0))))+SUMPRODUCT((Inputs!$C$5:$C$130=$B17)*ISNUMBER(INDEX(Inputs!$K$5:$AJ$130,0,MATCH(P$2,Inputs!$K$4:$AJ$4,0))))+SUMPRODUCT((Inputs!$E$5:$E$130=$B17)*ISNUMBER(INDEX(Inputs!$K$5:$AJ$130,0,MATCH(P$2,Inputs!$K$4:$AJ$4,0))))=0,NA(),SUMPRODUCT((Inputs!$A$5:$A$130=$B17)*Inputs!$B$5:$B$130*(((Inputs!$G$5:$G$130="moeda")+(Inputs!$G$5:$G$130="acoes"))*Inputs!$B$1+((Inputs!$G$5:$G$130&lt;&gt;"moeda")*(Inputs!$G$5:$G$130&lt;&gt;"acoes")))*INDEX(Inputs!$K$5:$AJ$130,0,MATCH(P$2,Inputs!$K$4:$AJ$4,0)))+SUMPRODUCT((Inputs!$C$5:$C$130=$B17)*Inputs!$D$5:$D$130*(((Inputs!$G$5:$G$130="moeda")+(Inputs!$G$5:$G$130="acoes"))*Inputs!$B$1+((Inputs!$G$5:$G$130&lt;&gt;"moeda")*(Inputs!$G$5:$G$130&lt;&gt;"acoes")))*INDEX(Inputs!$K$5:$AJ$130,0,MATCH(P$2,Inputs!$K$4:$AJ$4,0)))+SUMPRODUCT((Inputs!$E$5:$E$130=$B17)*Inputs!$F$5:$F$130*(((Inputs!$G$5:$G$130="moeda")+(Inputs!$G$5:$G$130="acoes"))*Inputs!$B$1+((Inputs!$G$5:$G$130&lt;&gt;"moeda")*(Inputs!$G$5:$G$130&lt;&gt;"acoes")))*INDEX(Inputs!$K$5:$AJ$130,0,MATCH(P$2,Inputs!$K$4:$AJ$4,0)))))</f>
        <v>8160</v>
      </c>
      <c r="Q17" s="6">
        <f>IF(ISNA(MATCH(Q$2,Inputs!$K$4:$AJ$4,0)),NA(),IF(SUMPRODUCT((Inputs!$A$5:$A$130=$B17)*ISNUMBER(INDEX(Inputs!$K$5:$AJ$130,0,MATCH(Q$2,Inputs!$K$4:$AJ$4,0))))+SUMPRODUCT((Inputs!$C$5:$C$130=$B17)*ISNUMBER(INDEX(Inputs!$K$5:$AJ$130,0,MATCH(Q$2,Inputs!$K$4:$AJ$4,0))))+SUMPRODUCT((Inputs!$E$5:$E$130=$B17)*ISNUMBER(INDEX(Inputs!$K$5:$AJ$130,0,MATCH(Q$2,Inputs!$K$4:$AJ$4,0))))=0,NA(),SUMPRODUCT((Inputs!$A$5:$A$130=$B17)*Inputs!$B$5:$B$130*(((Inputs!$G$5:$G$130="moeda")+(Inputs!$G$5:$G$130="acoes"))*Inputs!$B$1+((Inputs!$G$5:$G$130&lt;&gt;"moeda")*(Inputs!$G$5:$G$130&lt;&gt;"acoes")))*INDEX(Inputs!$K$5:$AJ$130,0,MATCH(Q$2,Inputs!$K$4:$AJ$4,0)))+SUMPRODUCT((Inputs!$C$5:$C$130=$B17)*Inputs!$D$5:$D$130*(((Inputs!$G$5:$G$130="moeda")+(Inputs!$G$5:$G$130="acoes"))*Inputs!$B$1+((Inputs!$G$5:$G$130&lt;&gt;"moeda")*(Inputs!$G$5:$G$130&lt;&gt;"acoes")))*INDEX(Inputs!$K$5:$AJ$130,0,MATCH(Q$2,Inputs!$K$4:$AJ$4,0)))+SUMPRODUCT((Inputs!$E$5:$E$130=$B17)*Inputs!$F$5:$F$130*(((Inputs!$G$5:$G$130="moeda")+(Inputs!$G$5:$G$130="acoes"))*Inputs!$B$1+((Inputs!$G$5:$G$130&lt;&gt;"moeda")*(Inputs!$G$5:$G$130&lt;&gt;"acoes")))*INDEX(Inputs!$K$5:$AJ$130,0,MATCH(Q$2,Inputs!$K$4:$AJ$4,0)))))</f>
        <v>8937</v>
      </c>
      <c r="R17" s="3">
        <f>Q17</f>
        <v>8937</v>
      </c>
      <c r="S17" s="6">
        <f>IF(ISNA(MATCH(S$2,Inputs!$K$4:$AJ$4,0)),NA(),IF(SUMPRODUCT((Inputs!$A$5:$A$130=$B17)*ISNUMBER(INDEX(Inputs!$K$5:$AJ$130,0,MATCH(S$2,Inputs!$K$4:$AJ$4,0))))+SUMPRODUCT((Inputs!$C$5:$C$130=$B17)*ISNUMBER(INDEX(Inputs!$K$5:$AJ$130,0,MATCH(S$2,Inputs!$K$4:$AJ$4,0))))+SUMPRODUCT((Inputs!$E$5:$E$130=$B17)*ISNUMBER(INDEX(Inputs!$K$5:$AJ$130,0,MATCH(S$2,Inputs!$K$4:$AJ$4,0))))=0,NA(),SUMPRODUCT((Inputs!$A$5:$A$130=$B17)*Inputs!$B$5:$B$130*(((Inputs!$G$5:$G$130="moeda")+(Inputs!$G$5:$G$130="acoes"))*Inputs!$B$1+((Inputs!$G$5:$G$130&lt;&gt;"moeda")*(Inputs!$G$5:$G$130&lt;&gt;"acoes")))*INDEX(Inputs!$K$5:$AJ$130,0,MATCH(S$2,Inputs!$K$4:$AJ$4,0)))+SUMPRODUCT((Inputs!$C$5:$C$130=$B17)*Inputs!$D$5:$D$130*(((Inputs!$G$5:$G$130="moeda")+(Inputs!$G$5:$G$130="acoes"))*Inputs!$B$1+((Inputs!$G$5:$G$130&lt;&gt;"moeda")*(Inputs!$G$5:$G$130&lt;&gt;"acoes")))*INDEX(Inputs!$K$5:$AJ$130,0,MATCH(S$2,Inputs!$K$4:$AJ$4,0)))+SUMPRODUCT((Inputs!$E$5:$E$130=$B17)*Inputs!$F$5:$F$130*(((Inputs!$G$5:$G$130="moeda")+(Inputs!$G$5:$G$130="acoes"))*Inputs!$B$1+((Inputs!$G$5:$G$130&lt;&gt;"moeda")*(Inputs!$G$5:$G$130&lt;&gt;"acoes")))*INDEX(Inputs!$K$5:$AJ$130,0,MATCH(S$2,Inputs!$K$4:$AJ$4,0)))))</f>
        <v>8443</v>
      </c>
      <c r="T17" s="6">
        <f>IF(ISNA(MATCH(T$2,Inputs!$K$4:$AJ$4,0)),NA(),IF(SUMPRODUCT((Inputs!$A$5:$A$130=$B17)*ISNUMBER(INDEX(Inputs!$K$5:$AJ$130,0,MATCH(T$2,Inputs!$K$4:$AJ$4,0))))+SUMPRODUCT((Inputs!$C$5:$C$130=$B17)*ISNUMBER(INDEX(Inputs!$K$5:$AJ$130,0,MATCH(T$2,Inputs!$K$4:$AJ$4,0))))+SUMPRODUCT((Inputs!$E$5:$E$130=$B17)*ISNUMBER(INDEX(Inputs!$K$5:$AJ$130,0,MATCH(T$2,Inputs!$K$4:$AJ$4,0))))=0,NA(),SUMPRODUCT((Inputs!$A$5:$A$130=$B17)*Inputs!$B$5:$B$130*(((Inputs!$G$5:$G$130="moeda")+(Inputs!$G$5:$G$130="acoes"))*Inputs!$B$1+((Inputs!$G$5:$G$130&lt;&gt;"moeda")*(Inputs!$G$5:$G$130&lt;&gt;"acoes")))*INDEX(Inputs!$K$5:$AJ$130,0,MATCH(T$2,Inputs!$K$4:$AJ$4,0)))+SUMPRODUCT((Inputs!$C$5:$C$130=$B17)*Inputs!$D$5:$D$130*(((Inputs!$G$5:$G$130="moeda")+(Inputs!$G$5:$G$130="acoes"))*Inputs!$B$1+((Inputs!$G$5:$G$130&lt;&gt;"moeda")*(Inputs!$G$5:$G$130&lt;&gt;"acoes")))*INDEX(Inputs!$K$5:$AJ$130,0,MATCH(T$2,Inputs!$K$4:$AJ$4,0)))+SUMPRODUCT((Inputs!$E$5:$E$130=$B17)*Inputs!$F$5:$F$130*(((Inputs!$G$5:$G$130="moeda")+(Inputs!$G$5:$G$130="acoes"))*Inputs!$B$1+((Inputs!$G$5:$G$130&lt;&gt;"moeda")*(Inputs!$G$5:$G$130&lt;&gt;"acoes")))*INDEX(Inputs!$K$5:$AJ$130,0,MATCH(T$2,Inputs!$K$4:$AJ$4,0)))))</f>
        <v>7696</v>
      </c>
      <c r="U17" s="6">
        <f>IF(ISNA(MATCH(U$2,Inputs!$K$4:$AJ$4,0)),NA(),IF(SUMPRODUCT((Inputs!$A$5:$A$130=$B17)*ISNUMBER(INDEX(Inputs!$K$5:$AJ$130,0,MATCH(U$2,Inputs!$K$4:$AJ$4,0))))+SUMPRODUCT((Inputs!$C$5:$C$130=$B17)*ISNUMBER(INDEX(Inputs!$K$5:$AJ$130,0,MATCH(U$2,Inputs!$K$4:$AJ$4,0))))+SUMPRODUCT((Inputs!$E$5:$E$130=$B17)*ISNUMBER(INDEX(Inputs!$K$5:$AJ$130,0,MATCH(U$2,Inputs!$K$4:$AJ$4,0))))=0,NA(),SUMPRODUCT((Inputs!$A$5:$A$130=$B17)*Inputs!$B$5:$B$130*(((Inputs!$G$5:$G$130="moeda")+(Inputs!$G$5:$G$130="acoes"))*Inputs!$B$1+((Inputs!$G$5:$G$130&lt;&gt;"moeda")*(Inputs!$G$5:$G$130&lt;&gt;"acoes")))*INDEX(Inputs!$K$5:$AJ$130,0,MATCH(U$2,Inputs!$K$4:$AJ$4,0)))+SUMPRODUCT((Inputs!$C$5:$C$130=$B17)*Inputs!$D$5:$D$130*(((Inputs!$G$5:$G$130="moeda")+(Inputs!$G$5:$G$130="acoes"))*Inputs!$B$1+((Inputs!$G$5:$G$130&lt;&gt;"moeda")*(Inputs!$G$5:$G$130&lt;&gt;"acoes")))*INDEX(Inputs!$K$5:$AJ$130,0,MATCH(U$2,Inputs!$K$4:$AJ$4,0)))+SUMPRODUCT((Inputs!$E$5:$E$130=$B17)*Inputs!$F$5:$F$130*(((Inputs!$G$5:$G$130="moeda")+(Inputs!$G$5:$G$130="acoes"))*Inputs!$B$1+((Inputs!$G$5:$G$130&lt;&gt;"moeda")*(Inputs!$G$5:$G$130&lt;&gt;"acoes")))*INDEX(Inputs!$K$5:$AJ$130,0,MATCH(U$2,Inputs!$K$4:$AJ$4,0)))))</f>
        <v>7093</v>
      </c>
      <c r="V17" s="6">
        <f>IF(ISNA(MATCH(V$2,Inputs!$K$4:$AJ$4,0)),NA(),IF(SUMPRODUCT((Inputs!$A$5:$A$130=$B17)*ISNUMBER(INDEX(Inputs!$K$5:$AJ$130,0,MATCH(V$2,Inputs!$K$4:$AJ$4,0))))+SUMPRODUCT((Inputs!$C$5:$C$130=$B17)*ISNUMBER(INDEX(Inputs!$K$5:$AJ$130,0,MATCH(V$2,Inputs!$K$4:$AJ$4,0))))+SUMPRODUCT((Inputs!$E$5:$E$130=$B17)*ISNUMBER(INDEX(Inputs!$K$5:$AJ$130,0,MATCH(V$2,Inputs!$K$4:$AJ$4,0))))=0,NA(),SUMPRODUCT((Inputs!$A$5:$A$130=$B17)*Inputs!$B$5:$B$130*(((Inputs!$G$5:$G$130="moeda")+(Inputs!$G$5:$G$130="acoes"))*Inputs!$B$1+((Inputs!$G$5:$G$130&lt;&gt;"moeda")*(Inputs!$G$5:$G$130&lt;&gt;"acoes")))*INDEX(Inputs!$K$5:$AJ$130,0,MATCH(V$2,Inputs!$K$4:$AJ$4,0)))+SUMPRODUCT((Inputs!$C$5:$C$130=$B17)*Inputs!$D$5:$D$130*(((Inputs!$G$5:$G$130="moeda")+(Inputs!$G$5:$G$130="acoes"))*Inputs!$B$1+((Inputs!$G$5:$G$130&lt;&gt;"moeda")*(Inputs!$G$5:$G$130&lt;&gt;"acoes")))*INDEX(Inputs!$K$5:$AJ$130,0,MATCH(V$2,Inputs!$K$4:$AJ$4,0)))+SUMPRODUCT((Inputs!$E$5:$E$130=$B17)*Inputs!$F$5:$F$130*(((Inputs!$G$5:$G$130="moeda")+(Inputs!$G$5:$G$130="acoes"))*Inputs!$B$1+((Inputs!$G$5:$G$130&lt;&gt;"moeda")*(Inputs!$G$5:$G$130&lt;&gt;"acoes")))*INDEX(Inputs!$K$5:$AJ$130,0,MATCH(V$2,Inputs!$K$4:$AJ$4,0)))))</f>
        <v>7744</v>
      </c>
      <c r="W17" s="3">
        <f>V17</f>
        <v>7744</v>
      </c>
      <c r="X17" s="6">
        <f>IF(ISNA(MATCH(X$2,Inputs!$K$4:$AJ$4,0)),NA(),IF(SUMPRODUCT((Inputs!$A$5:$A$130=$B17)*ISNUMBER(INDEX(Inputs!$K$5:$AJ$130,0,MATCH(X$2,Inputs!$K$4:$AJ$4,0))))+SUMPRODUCT((Inputs!$C$5:$C$130=$B17)*ISNUMBER(INDEX(Inputs!$K$5:$AJ$130,0,MATCH(X$2,Inputs!$K$4:$AJ$4,0))))+SUMPRODUCT((Inputs!$E$5:$E$130=$B17)*ISNUMBER(INDEX(Inputs!$K$5:$AJ$130,0,MATCH(X$2,Inputs!$K$4:$AJ$4,0))))=0,NA(),SUMPRODUCT((Inputs!$A$5:$A$130=$B17)*Inputs!$B$5:$B$130*(((Inputs!$G$5:$G$130="moeda")+(Inputs!$G$5:$G$130="acoes"))*Inputs!$B$1+((Inputs!$G$5:$G$130&lt;&gt;"moeda")*(Inputs!$G$5:$G$130&lt;&gt;"acoes")))*INDEX(Inputs!$K$5:$AJ$130,0,MATCH(X$2,Inputs!$K$4:$AJ$4,0)))+SUMPRODUCT((Inputs!$C$5:$C$130=$B17)*Inputs!$D$5:$D$130*(((Inputs!$G$5:$G$130="moeda")+(Inputs!$G$5:$G$130="acoes"))*Inputs!$B$1+((Inputs!$G$5:$G$130&lt;&gt;"moeda")*(Inputs!$G$5:$G$130&lt;&gt;"acoes")))*INDEX(Inputs!$K$5:$AJ$130,0,MATCH(X$2,Inputs!$K$4:$AJ$4,0)))+SUMPRODUCT((Inputs!$E$5:$E$130=$B17)*Inputs!$F$5:$F$130*(((Inputs!$G$5:$G$130="moeda")+(Inputs!$G$5:$G$130="acoes"))*Inputs!$B$1+((Inputs!$G$5:$G$130&lt;&gt;"moeda")*(Inputs!$G$5:$G$130&lt;&gt;"acoes")))*INDEX(Inputs!$K$5:$AJ$130,0,MATCH(X$2,Inputs!$K$4:$AJ$4,0)))))</f>
        <v>7870</v>
      </c>
      <c r="Y17" s="6">
        <f>IF(ISNA(MATCH(Y$2,Inputs!$K$4:$AJ$4,0)),NA(),IF(SUMPRODUCT((Inputs!$A$5:$A$130=$B17)*ISNUMBER(INDEX(Inputs!$K$5:$AJ$130,0,MATCH(Y$2,Inputs!$K$4:$AJ$4,0))))+SUMPRODUCT((Inputs!$C$5:$C$130=$B17)*ISNUMBER(INDEX(Inputs!$K$5:$AJ$130,0,MATCH(Y$2,Inputs!$K$4:$AJ$4,0))))+SUMPRODUCT((Inputs!$E$5:$E$130=$B17)*ISNUMBER(INDEX(Inputs!$K$5:$AJ$130,0,MATCH(Y$2,Inputs!$K$4:$AJ$4,0))))=0,NA(),SUMPRODUCT((Inputs!$A$5:$A$130=$B17)*Inputs!$B$5:$B$130*(((Inputs!$G$5:$G$130="moeda")+(Inputs!$G$5:$G$130="acoes"))*Inputs!$B$1+((Inputs!$G$5:$G$130&lt;&gt;"moeda")*(Inputs!$G$5:$G$130&lt;&gt;"acoes")))*INDEX(Inputs!$K$5:$AJ$130,0,MATCH(Y$2,Inputs!$K$4:$AJ$4,0)))+SUMPRODUCT((Inputs!$C$5:$C$130=$B17)*Inputs!$D$5:$D$130*(((Inputs!$G$5:$G$130="moeda")+(Inputs!$G$5:$G$130="acoes"))*Inputs!$B$1+((Inputs!$G$5:$G$130&lt;&gt;"moeda")*(Inputs!$G$5:$G$130&lt;&gt;"acoes")))*INDEX(Inputs!$K$5:$AJ$130,0,MATCH(Y$2,Inputs!$K$4:$AJ$4,0)))+SUMPRODUCT((Inputs!$E$5:$E$130=$B17)*Inputs!$F$5:$F$130*(((Inputs!$G$5:$G$130="moeda")+(Inputs!$G$5:$G$130="acoes"))*Inputs!$B$1+((Inputs!$G$5:$G$130&lt;&gt;"moeda")*(Inputs!$G$5:$G$130&lt;&gt;"acoes")))*INDEX(Inputs!$K$5:$AJ$130,0,MATCH(Y$2,Inputs!$K$4:$AJ$4,0)))))</f>
        <v>7713</v>
      </c>
      <c r="Z17" s="6">
        <f>IF(ISNA(MATCH(Z$2,Inputs!$K$4:$AJ$4,0)),NA(),IF(SUMPRODUCT((Inputs!$A$5:$A$130=$B17)*ISNUMBER(INDEX(Inputs!$K$5:$AJ$130,0,MATCH(Z$2,Inputs!$K$4:$AJ$4,0))))+SUMPRODUCT((Inputs!$C$5:$C$130=$B17)*ISNUMBER(INDEX(Inputs!$K$5:$AJ$130,0,MATCH(Z$2,Inputs!$K$4:$AJ$4,0))))+SUMPRODUCT((Inputs!$E$5:$E$130=$B17)*ISNUMBER(INDEX(Inputs!$K$5:$AJ$130,0,MATCH(Z$2,Inputs!$K$4:$AJ$4,0))))=0,NA(),SUMPRODUCT((Inputs!$A$5:$A$130=$B17)*Inputs!$B$5:$B$130*(((Inputs!$G$5:$G$130="moeda")+(Inputs!$G$5:$G$130="acoes"))*Inputs!$B$1+((Inputs!$G$5:$G$130&lt;&gt;"moeda")*(Inputs!$G$5:$G$130&lt;&gt;"acoes")))*INDEX(Inputs!$K$5:$AJ$130,0,MATCH(Z$2,Inputs!$K$4:$AJ$4,0)))+SUMPRODUCT((Inputs!$C$5:$C$130=$B17)*Inputs!$D$5:$D$130*(((Inputs!$G$5:$G$130="moeda")+(Inputs!$G$5:$G$130="acoes"))*Inputs!$B$1+((Inputs!$G$5:$G$130&lt;&gt;"moeda")*(Inputs!$G$5:$G$130&lt;&gt;"acoes")))*INDEX(Inputs!$K$5:$AJ$130,0,MATCH(Z$2,Inputs!$K$4:$AJ$4,0)))+SUMPRODUCT((Inputs!$E$5:$E$130=$B17)*Inputs!$F$5:$F$130*(((Inputs!$G$5:$G$130="moeda")+(Inputs!$G$5:$G$130="acoes"))*Inputs!$B$1+((Inputs!$G$5:$G$130&lt;&gt;"moeda")*(Inputs!$G$5:$G$130&lt;&gt;"acoes")))*INDEX(Inputs!$K$5:$AJ$130,0,MATCH(Z$2,Inputs!$K$4:$AJ$4,0)))))</f>
        <v>7406</v>
      </c>
      <c r="AA17" s="6">
        <f>IF(ISNA(MATCH(AA$2,Inputs!$K$4:$AJ$4,0)),NA(),IF(SUMPRODUCT((Inputs!$A$5:$A$130=$B17)*ISNUMBER(INDEX(Inputs!$K$5:$AJ$130,0,MATCH(AA$2,Inputs!$K$4:$AJ$4,0))))+SUMPRODUCT((Inputs!$C$5:$C$130=$B17)*ISNUMBER(INDEX(Inputs!$K$5:$AJ$130,0,MATCH(AA$2,Inputs!$K$4:$AJ$4,0))))+SUMPRODUCT((Inputs!$E$5:$E$130=$B17)*ISNUMBER(INDEX(Inputs!$K$5:$AJ$130,0,MATCH(AA$2,Inputs!$K$4:$AJ$4,0))))=0,NA(),SUMPRODUCT((Inputs!$A$5:$A$130=$B17)*Inputs!$B$5:$B$130*(((Inputs!$G$5:$G$130="moeda")+(Inputs!$G$5:$G$130="acoes"))*Inputs!$B$1+((Inputs!$G$5:$G$130&lt;&gt;"moeda")*(Inputs!$G$5:$G$130&lt;&gt;"acoes")))*INDEX(Inputs!$K$5:$AJ$130,0,MATCH(AA$2,Inputs!$K$4:$AJ$4,0)))+SUMPRODUCT((Inputs!$C$5:$C$130=$B17)*Inputs!$D$5:$D$130*(((Inputs!$G$5:$G$130="moeda")+(Inputs!$G$5:$G$130="acoes"))*Inputs!$B$1+((Inputs!$G$5:$G$130&lt;&gt;"moeda")*(Inputs!$G$5:$G$130&lt;&gt;"acoes")))*INDEX(Inputs!$K$5:$AJ$130,0,MATCH(AA$2,Inputs!$K$4:$AJ$4,0)))+SUMPRODUCT((Inputs!$E$5:$E$130=$B17)*Inputs!$F$5:$F$130*(((Inputs!$G$5:$G$130="moeda")+(Inputs!$G$5:$G$130="acoes"))*Inputs!$B$1+((Inputs!$G$5:$G$130&lt;&gt;"moeda")*(Inputs!$G$5:$G$130&lt;&gt;"acoes")))*INDEX(Inputs!$K$5:$AJ$130,0,MATCH(AA$2,Inputs!$K$4:$AJ$4,0)))))</f>
        <v>8286</v>
      </c>
      <c r="AB17" s="3">
        <f>AA17</f>
        <v>8286</v>
      </c>
      <c r="AC17" s="6">
        <f>IF(ISNA(MATCH(AC$2,Inputs!$K$4:$AJ$4,0)),NA(),IF(SUMPRODUCT((Inputs!$A$5:$A$130=$B17)*ISNUMBER(INDEX(Inputs!$K$5:$AJ$130,0,MATCH(AC$2,Inputs!$K$4:$AJ$4,0))))+SUMPRODUCT((Inputs!$C$5:$C$130=$B17)*ISNUMBER(INDEX(Inputs!$K$5:$AJ$130,0,MATCH(AC$2,Inputs!$K$4:$AJ$4,0))))+SUMPRODUCT((Inputs!$E$5:$E$130=$B17)*ISNUMBER(INDEX(Inputs!$K$5:$AJ$130,0,MATCH(AC$2,Inputs!$K$4:$AJ$4,0))))=0,NA(),SUMPRODUCT((Inputs!$A$5:$A$130=$B17)*Inputs!$B$5:$B$130*(((Inputs!$G$5:$G$130="moeda")+(Inputs!$G$5:$G$130="acoes"))*Inputs!$B$1+((Inputs!$G$5:$G$130&lt;&gt;"moeda")*(Inputs!$G$5:$G$130&lt;&gt;"acoes")))*INDEX(Inputs!$K$5:$AJ$130,0,MATCH(AC$2,Inputs!$K$4:$AJ$4,0)))+SUMPRODUCT((Inputs!$C$5:$C$130=$B17)*Inputs!$D$5:$D$130*(((Inputs!$G$5:$G$130="moeda")+(Inputs!$G$5:$G$130="acoes"))*Inputs!$B$1+((Inputs!$G$5:$G$130&lt;&gt;"moeda")*(Inputs!$G$5:$G$130&lt;&gt;"acoes")))*INDEX(Inputs!$K$5:$AJ$130,0,MATCH(AC$2,Inputs!$K$4:$AJ$4,0)))+SUMPRODUCT((Inputs!$E$5:$E$130=$B17)*Inputs!$F$5:$F$130*(((Inputs!$G$5:$G$130="moeda")+(Inputs!$G$5:$G$130="acoes"))*Inputs!$B$1+((Inputs!$G$5:$G$130&lt;&gt;"moeda")*(Inputs!$G$5:$G$130&lt;&gt;"acoes")))*INDEX(Inputs!$K$5:$AJ$130,0,MATCH(AC$2,Inputs!$K$4:$AJ$4,0)))))</f>
        <v>8188</v>
      </c>
      <c r="AD17" s="6">
        <f>IF(ISNA(MATCH(AD$2,Inputs!$K$4:$AJ$4,0)),NA(),IF(SUMPRODUCT((Inputs!$A$5:$A$130=$B17)*ISNUMBER(INDEX(Inputs!$K$5:$AJ$130,0,MATCH(AD$2,Inputs!$K$4:$AJ$4,0))))+SUMPRODUCT((Inputs!$C$5:$C$130=$B17)*ISNUMBER(INDEX(Inputs!$K$5:$AJ$130,0,MATCH(AD$2,Inputs!$K$4:$AJ$4,0))))+SUMPRODUCT((Inputs!$E$5:$E$130=$B17)*ISNUMBER(INDEX(Inputs!$K$5:$AJ$130,0,MATCH(AD$2,Inputs!$K$4:$AJ$4,0))))=0,NA(),SUMPRODUCT((Inputs!$A$5:$A$130=$B17)*Inputs!$B$5:$B$130*(((Inputs!$G$5:$G$130="moeda")+(Inputs!$G$5:$G$130="acoes"))*Inputs!$B$1+((Inputs!$G$5:$G$130&lt;&gt;"moeda")*(Inputs!$G$5:$G$130&lt;&gt;"acoes")))*INDEX(Inputs!$K$5:$AJ$130,0,MATCH(AD$2,Inputs!$K$4:$AJ$4,0)))+SUMPRODUCT((Inputs!$C$5:$C$130=$B17)*Inputs!$D$5:$D$130*(((Inputs!$G$5:$G$130="moeda")+(Inputs!$G$5:$G$130="acoes"))*Inputs!$B$1+((Inputs!$G$5:$G$130&lt;&gt;"moeda")*(Inputs!$G$5:$G$130&lt;&gt;"acoes")))*INDEX(Inputs!$K$5:$AJ$130,0,MATCH(AD$2,Inputs!$K$4:$AJ$4,0)))+SUMPRODUCT((Inputs!$E$5:$E$130=$B17)*Inputs!$F$5:$F$130*(((Inputs!$G$5:$G$130="moeda")+(Inputs!$G$5:$G$130="acoes"))*Inputs!$B$1+((Inputs!$G$5:$G$130&lt;&gt;"moeda")*(Inputs!$G$5:$G$130&lt;&gt;"acoes")))*INDEX(Inputs!$K$5:$AJ$130,0,MATCH(AD$2,Inputs!$K$4:$AJ$4,0)))))</f>
        <v>7811</v>
      </c>
      <c r="AE17" s="6" t="e">
        <f>IF(ISNA(MATCH(AE$2,Inputs!$K$4:$AJ$4,0)),NA(),IF(SUMPRODUCT((Inputs!$A$5:$A$130=$B17)*ISNUMBER(INDEX(Inputs!$K$5:$AJ$130,0,MATCH(AE$2,Inputs!$K$4:$AJ$4,0))))+SUMPRODUCT((Inputs!$C$5:$C$130=$B17)*ISNUMBER(INDEX(Inputs!$K$5:$AJ$130,0,MATCH(AE$2,Inputs!$K$4:$AJ$4,0))))+SUMPRODUCT((Inputs!$E$5:$E$130=$B17)*ISNUMBER(INDEX(Inputs!$K$5:$AJ$130,0,MATCH(AE$2,Inputs!$K$4:$AJ$4,0))))=0,NA(),SUMPRODUCT((Inputs!$A$5:$A$130=$B17)*Inputs!$B$5:$B$130*(((Inputs!$G$5:$G$130="moeda")+(Inputs!$G$5:$G$130="acoes"))*Inputs!$B$1+((Inputs!$G$5:$G$130&lt;&gt;"moeda")*(Inputs!$G$5:$G$130&lt;&gt;"acoes")))*INDEX(Inputs!$K$5:$AJ$130,0,MATCH(AE$2,Inputs!$K$4:$AJ$4,0)))+SUMPRODUCT((Inputs!$C$5:$C$130=$B17)*Inputs!$D$5:$D$130*(((Inputs!$G$5:$G$130="moeda")+(Inputs!$G$5:$G$130="acoes"))*Inputs!$B$1+((Inputs!$G$5:$G$130&lt;&gt;"moeda")*(Inputs!$G$5:$G$130&lt;&gt;"acoes")))*INDEX(Inputs!$K$5:$AJ$130,0,MATCH(AE$2,Inputs!$K$4:$AJ$4,0)))+SUMPRODUCT((Inputs!$E$5:$E$130=$B17)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7" s="6" t="e">
        <f>IF(ISNA(MATCH(AF$2,Inputs!$K$4:$AJ$4,0)),NA(),IF(SUMPRODUCT((Inputs!$A$5:$A$130=$B17)*ISNUMBER(INDEX(Inputs!$K$5:$AJ$130,0,MATCH(AF$2,Inputs!$K$4:$AJ$4,0))))+SUMPRODUCT((Inputs!$C$5:$C$130=$B17)*ISNUMBER(INDEX(Inputs!$K$5:$AJ$130,0,MATCH(AF$2,Inputs!$K$4:$AJ$4,0))))+SUMPRODUCT((Inputs!$E$5:$E$130=$B17)*ISNUMBER(INDEX(Inputs!$K$5:$AJ$130,0,MATCH(AF$2,Inputs!$K$4:$AJ$4,0))))=0,NA(),SUMPRODUCT((Inputs!$A$5:$A$130=$B17)*Inputs!$B$5:$B$130*(((Inputs!$G$5:$G$130="moeda")+(Inputs!$G$5:$G$130="acoes"))*Inputs!$B$1+((Inputs!$G$5:$G$130&lt;&gt;"moeda")*(Inputs!$G$5:$G$130&lt;&gt;"acoes")))*INDEX(Inputs!$K$5:$AJ$130,0,MATCH(AF$2,Inputs!$K$4:$AJ$4,0)))+SUMPRODUCT((Inputs!$C$5:$C$130=$B17)*Inputs!$D$5:$D$130*(((Inputs!$G$5:$G$130="moeda")+(Inputs!$G$5:$G$130="acoes"))*Inputs!$B$1+((Inputs!$G$5:$G$130&lt;&gt;"moeda")*(Inputs!$G$5:$G$130&lt;&gt;"acoes")))*INDEX(Inputs!$K$5:$AJ$130,0,MATCH(AF$2,Inputs!$K$4:$AJ$4,0)))+SUMPRODUCT((Inputs!$E$5:$E$130=$B17)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7" s="3" t="e">
        <f>AF17</f>
        <v>#N/A</v>
      </c>
      <c r="AH17" s="6">
        <f>IF(ISNA(MATCH(AH$2,Inputs!$K$4:$AJ$4,0)),NA(),IF(SUMPRODUCT((Inputs!$A$5:$A$130=$B17)*ISNUMBER(INDEX(Inputs!$K$5:$AJ$130,0,MATCH(AH$2,Inputs!$K$4:$AJ$4,0))))+SUMPRODUCT((Inputs!$C$5:$C$130=$B17)*ISNUMBER(INDEX(Inputs!$K$5:$AJ$130,0,MATCH(AH$2,Inputs!$K$4:$AJ$4,0))))+SUMPRODUCT((Inputs!$E$5:$E$130=$B17)*ISNUMBER(INDEX(Inputs!$K$5:$AJ$130,0,MATCH(AH$2,Inputs!$K$4:$AJ$4,0))))=0,NA(),SUMPRODUCT((Inputs!$A$5:$A$130=$B17)*Inputs!$B$5:$B$130*(((Inputs!$G$5:$G$130="moeda")+(Inputs!$G$5:$G$130="acoes"))*Inputs!$B$1+((Inputs!$G$5:$G$130&lt;&gt;"moeda")*(Inputs!$G$5:$G$130&lt;&gt;"acoes")))*INDEX(Inputs!$K$5:$AJ$130,0,MATCH(AH$2,Inputs!$K$4:$AJ$4,0)))+SUMPRODUCT((Inputs!$C$5:$C$130=$B17)*Inputs!$D$5:$D$130*(((Inputs!$G$5:$G$130="moeda")+(Inputs!$G$5:$G$130="acoes"))*Inputs!$B$1+((Inputs!$G$5:$G$130&lt;&gt;"moeda")*(Inputs!$G$5:$G$130&lt;&gt;"acoes")))*INDEX(Inputs!$K$5:$AJ$130,0,MATCH(AH$2,Inputs!$K$4:$AJ$4,0)))+SUMPRODUCT((Inputs!$E$5:$E$130=$B17)*Inputs!$F$5:$F$130*(((Inputs!$G$5:$G$130="moeda")+(Inputs!$G$5:$G$130="acoes"))*Inputs!$B$1+((Inputs!$G$5:$G$130&lt;&gt;"moeda")*(Inputs!$G$5:$G$130&lt;&gt;"acoes")))*INDEX(Inputs!$K$5:$AJ$130,0,MATCH(AH$2,Inputs!$K$4:$AJ$4,0)))))</f>
        <v>6171</v>
      </c>
      <c r="AI17" s="6">
        <f>IF(ISNA(MATCH(AI$2,Inputs!$K$4:$AJ$4,0)),NA(),IF(SUMPRODUCT((Inputs!$A$5:$A$130=$B17)*ISNUMBER(INDEX(Inputs!$K$5:$AJ$130,0,MATCH(AI$2,Inputs!$K$4:$AJ$4,0))))+SUMPRODUCT((Inputs!$C$5:$C$130=$B17)*ISNUMBER(INDEX(Inputs!$K$5:$AJ$130,0,MATCH(AI$2,Inputs!$K$4:$AJ$4,0))))+SUMPRODUCT((Inputs!$E$5:$E$130=$B17)*ISNUMBER(INDEX(Inputs!$K$5:$AJ$130,0,MATCH(AI$2,Inputs!$K$4:$AJ$4,0))))=0,NA(),SUMPRODUCT((Inputs!$A$5:$A$130=$B17)*Inputs!$B$5:$B$130*(((Inputs!$G$5:$G$130="moeda")+(Inputs!$G$5:$G$130="acoes"))*Inputs!$B$1+((Inputs!$G$5:$G$130&lt;&gt;"moeda")*(Inputs!$G$5:$G$130&lt;&gt;"acoes")))*INDEX(Inputs!$K$5:$AJ$130,0,MATCH(AI$2,Inputs!$K$4:$AJ$4,0)))+SUMPRODUCT((Inputs!$C$5:$C$130=$B17)*Inputs!$D$5:$D$130*(((Inputs!$G$5:$G$130="moeda")+(Inputs!$G$5:$G$130="acoes"))*Inputs!$B$1+((Inputs!$G$5:$G$130&lt;&gt;"moeda")*(Inputs!$G$5:$G$130&lt;&gt;"acoes")))*INDEX(Inputs!$K$5:$AJ$130,0,MATCH(AI$2,Inputs!$K$4:$AJ$4,0)))+SUMPRODUCT((Inputs!$E$5:$E$130=$B17)*Inputs!$F$5:$F$130*(((Inputs!$G$5:$G$130="moeda")+(Inputs!$G$5:$G$130="acoes"))*Inputs!$B$1+((Inputs!$G$5:$G$130&lt;&gt;"moeda")*(Inputs!$G$5:$G$130&lt;&gt;"acoes")))*INDEX(Inputs!$K$5:$AJ$130,0,MATCH(AI$2,Inputs!$K$4:$AJ$4,0)))))</f>
        <v>5650</v>
      </c>
      <c r="AJ17" s="6">
        <f>IF(ISNA(MATCH(AJ$2,Inputs!$K$4:$AJ$4,0)),NA(),IF(SUMPRODUCT((Inputs!$A$5:$A$130=$B17)*ISNUMBER(INDEX(Inputs!$K$5:$AJ$130,0,MATCH(AJ$2,Inputs!$K$4:$AJ$4,0))))+SUMPRODUCT((Inputs!$C$5:$C$130=$B17)*ISNUMBER(INDEX(Inputs!$K$5:$AJ$130,0,MATCH(AJ$2,Inputs!$K$4:$AJ$4,0))))+SUMPRODUCT((Inputs!$E$5:$E$130=$B17)*ISNUMBER(INDEX(Inputs!$K$5:$AJ$130,0,MATCH(AJ$2,Inputs!$K$4:$AJ$4,0))))=0,NA(),SUMPRODUCT((Inputs!$A$5:$A$130=$B17)*Inputs!$B$5:$B$130*(((Inputs!$G$5:$G$130="moeda")+(Inputs!$G$5:$G$130="acoes"))*Inputs!$B$1+((Inputs!$G$5:$G$130&lt;&gt;"moeda")*(Inputs!$G$5:$G$130&lt;&gt;"acoes")))*INDEX(Inputs!$K$5:$AJ$130,0,MATCH(AJ$2,Inputs!$K$4:$AJ$4,0)))+SUMPRODUCT((Inputs!$C$5:$C$130=$B17)*Inputs!$D$5:$D$130*(((Inputs!$G$5:$G$130="moeda")+(Inputs!$G$5:$G$130="acoes"))*Inputs!$B$1+((Inputs!$G$5:$G$130&lt;&gt;"moeda")*(Inputs!$G$5:$G$130&lt;&gt;"acoes")))*INDEX(Inputs!$K$5:$AJ$130,0,MATCH(AJ$2,Inputs!$K$4:$AJ$4,0)))+SUMPRODUCT((Inputs!$E$5:$E$130=$B17)*Inputs!$F$5:$F$130*(((Inputs!$G$5:$G$130="moeda")+(Inputs!$G$5:$G$130="acoes"))*Inputs!$B$1+((Inputs!$G$5:$G$130&lt;&gt;"moeda")*(Inputs!$G$5:$G$130&lt;&gt;"acoes")))*INDEX(Inputs!$K$5:$AJ$130,0,MATCH(AJ$2,Inputs!$K$4:$AJ$4,0)))))</f>
        <v>4999</v>
      </c>
      <c r="AK17" s="6">
        <f>IF(ISNA(MATCH(AK$2,Inputs!$K$4:$AJ$4,0)),NA(),IF(SUMPRODUCT((Inputs!$A$5:$A$130=$B17)*ISNUMBER(INDEX(Inputs!$K$5:$AJ$130,0,MATCH(AK$2,Inputs!$K$4:$AJ$4,0))))+SUMPRODUCT((Inputs!$C$5:$C$130=$B17)*ISNUMBER(INDEX(Inputs!$K$5:$AJ$130,0,MATCH(AK$2,Inputs!$K$4:$AJ$4,0))))+SUMPRODUCT((Inputs!$E$5:$E$130=$B17)*ISNUMBER(INDEX(Inputs!$K$5:$AJ$130,0,MATCH(AK$2,Inputs!$K$4:$AJ$4,0))))=0,NA(),SUMPRODUCT((Inputs!$A$5:$A$130=$B17)*Inputs!$B$5:$B$130*(((Inputs!$G$5:$G$130="moeda")+(Inputs!$G$5:$G$130="acoes"))*Inputs!$B$1+((Inputs!$G$5:$G$130&lt;&gt;"moeda")*(Inputs!$G$5:$G$130&lt;&gt;"acoes")))*INDEX(Inputs!$K$5:$AJ$130,0,MATCH(AK$2,Inputs!$K$4:$AJ$4,0)))+SUMPRODUCT((Inputs!$C$5:$C$130=$B17)*Inputs!$D$5:$D$130*(((Inputs!$G$5:$G$130="moeda")+(Inputs!$G$5:$G$130="acoes"))*Inputs!$B$1+((Inputs!$G$5:$G$130&lt;&gt;"moeda")*(Inputs!$G$5:$G$130&lt;&gt;"acoes")))*INDEX(Inputs!$K$5:$AJ$130,0,MATCH(AK$2,Inputs!$K$4:$AJ$4,0)))+SUMPRODUCT((Inputs!$E$5:$E$130=$B17)*Inputs!$F$5:$F$130*(((Inputs!$G$5:$G$130="moeda")+(Inputs!$G$5:$G$130="acoes"))*Inputs!$B$1+((Inputs!$G$5:$G$130&lt;&gt;"moeda")*(Inputs!$G$5:$G$130&lt;&gt;"acoes")))*INDEX(Inputs!$K$5:$AJ$130,0,MATCH(AK$2,Inputs!$K$4:$AJ$4,0)))))</f>
        <v>5956</v>
      </c>
      <c r="AL17" s="3">
        <f>AK17</f>
        <v>5956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$130=$B18)*ISNUMBER(INDEX(Inputs!$K$5:$AJ$130,0,MATCH(D$2,Inputs!$K$4:$AJ$4,0))))+SUMPRODUCT((Inputs!$C$5:$C$130=$B18)*ISNUMBER(INDEX(Inputs!$K$5:$AJ$130,0,MATCH(D$2,Inputs!$K$4:$AJ$4,0))))+SUMPRODUCT((Inputs!$E$5:$E$130=$B18)*ISNUMBER(INDEX(Inputs!$K$5:$AJ$130,0,MATCH(D$2,Inputs!$K$4:$AJ$4,0))))=0,NA(),SUMPRODUCT((Inputs!$A$5:$A$130=$B18)*Inputs!$B$5:$B$130*(((Inputs!$G$5:$G$130="moeda")+(Inputs!$G$5:$G$130="acoes"))*Inputs!$B$1+((Inputs!$G$5:$G$130&lt;&gt;"moeda")*(Inputs!$G$5:$G$130&lt;&gt;"acoes")))*INDEX(Inputs!$K$5:$AJ$130,0,MATCH(D$2,Inputs!$K$4:$AJ$4,0)))+SUMPRODUCT((Inputs!$C$5:$C$130=$B18)*Inputs!$D$5:$D$130*(((Inputs!$G$5:$G$130="moeda")+(Inputs!$G$5:$G$130="acoes"))*Inputs!$B$1+((Inputs!$G$5:$G$130&lt;&gt;"moeda")*(Inputs!$G$5:$G$130&lt;&gt;"acoes")))*INDEX(Inputs!$K$5:$AJ$130,0,MATCH(D$2,Inputs!$K$4:$AJ$4,0)))+SUMPRODUCT((Inputs!$E$5:$E$130=$B18)*Inputs!$F$5:$F$130*(((Inputs!$G$5:$G$130="moeda")+(Inputs!$G$5:$G$130="acoes"))*Inputs!$B$1+((Inputs!$G$5:$G$130&lt;&gt;"moeda")*(Inputs!$G$5:$G$130&lt;&gt;"acoes")))*INDEX(Inputs!$K$5:$AJ$130,0,MATCH(D$2,Inputs!$K$4:$AJ$4,0)))))</f>
        <v>1724</v>
      </c>
      <c r="E18" s="6">
        <f>IF(ISNA(MATCH(E$2,Inputs!$K$4:$AJ$4,0)),NA(),IF(SUMPRODUCT((Inputs!$A$5:$A$130=$B18)*ISNUMBER(INDEX(Inputs!$K$5:$AJ$130,0,MATCH(E$2,Inputs!$K$4:$AJ$4,0))))+SUMPRODUCT((Inputs!$C$5:$C$130=$B18)*ISNUMBER(INDEX(Inputs!$K$5:$AJ$130,0,MATCH(E$2,Inputs!$K$4:$AJ$4,0))))+SUMPRODUCT((Inputs!$E$5:$E$130=$B18)*ISNUMBER(INDEX(Inputs!$K$5:$AJ$130,0,MATCH(E$2,Inputs!$K$4:$AJ$4,0))))=0,NA(),SUMPRODUCT((Inputs!$A$5:$A$130=$B18)*Inputs!$B$5:$B$130*(((Inputs!$G$5:$G$130="moeda")+(Inputs!$G$5:$G$130="acoes"))*Inputs!$B$1+((Inputs!$G$5:$G$130&lt;&gt;"moeda")*(Inputs!$G$5:$G$130&lt;&gt;"acoes")))*INDEX(Inputs!$K$5:$AJ$130,0,MATCH(E$2,Inputs!$K$4:$AJ$4,0)))+SUMPRODUCT((Inputs!$C$5:$C$130=$B18)*Inputs!$D$5:$D$130*(((Inputs!$G$5:$G$130="moeda")+(Inputs!$G$5:$G$130="acoes"))*Inputs!$B$1+((Inputs!$G$5:$G$130&lt;&gt;"moeda")*(Inputs!$G$5:$G$130&lt;&gt;"acoes")))*INDEX(Inputs!$K$5:$AJ$130,0,MATCH(E$2,Inputs!$K$4:$AJ$4,0)))+SUMPRODUCT((Inputs!$E$5:$E$130=$B18)*Inputs!$F$5:$F$130*(((Inputs!$G$5:$G$130="moeda")+(Inputs!$G$5:$G$130="acoes"))*Inputs!$B$1+((Inputs!$G$5:$G$130&lt;&gt;"moeda")*(Inputs!$G$5:$G$130&lt;&gt;"acoes")))*INDEX(Inputs!$K$5:$AJ$130,0,MATCH(E$2,Inputs!$K$4:$AJ$4,0)))))</f>
        <v>1767</v>
      </c>
      <c r="F18" s="6">
        <f>IF(ISNA(MATCH(F$2,Inputs!$K$4:$AJ$4,0)),NA(),IF(SUMPRODUCT((Inputs!$A$5:$A$130=$B18)*ISNUMBER(INDEX(Inputs!$K$5:$AJ$130,0,MATCH(F$2,Inputs!$K$4:$AJ$4,0))))+SUMPRODUCT((Inputs!$C$5:$C$130=$B18)*ISNUMBER(INDEX(Inputs!$K$5:$AJ$130,0,MATCH(F$2,Inputs!$K$4:$AJ$4,0))))+SUMPRODUCT((Inputs!$E$5:$E$130=$B18)*ISNUMBER(INDEX(Inputs!$K$5:$AJ$130,0,MATCH(F$2,Inputs!$K$4:$AJ$4,0))))=0,NA(),SUMPRODUCT((Inputs!$A$5:$A$130=$B18)*Inputs!$B$5:$B$130*(((Inputs!$G$5:$G$130="moeda")+(Inputs!$G$5:$G$130="acoes"))*Inputs!$B$1+((Inputs!$G$5:$G$130&lt;&gt;"moeda")*(Inputs!$G$5:$G$130&lt;&gt;"acoes")))*INDEX(Inputs!$K$5:$AJ$130,0,MATCH(F$2,Inputs!$K$4:$AJ$4,0)))+SUMPRODUCT((Inputs!$C$5:$C$130=$B18)*Inputs!$D$5:$D$130*(((Inputs!$G$5:$G$130="moeda")+(Inputs!$G$5:$G$130="acoes"))*Inputs!$B$1+((Inputs!$G$5:$G$130&lt;&gt;"moeda")*(Inputs!$G$5:$G$130&lt;&gt;"acoes")))*INDEX(Inputs!$K$5:$AJ$130,0,MATCH(F$2,Inputs!$K$4:$AJ$4,0)))+SUMPRODUCT((Inputs!$E$5:$E$130=$B18)*Inputs!$F$5:$F$130*(((Inputs!$G$5:$G$130="moeda")+(Inputs!$G$5:$G$130="acoes"))*Inputs!$B$1+((Inputs!$G$5:$G$130&lt;&gt;"moeda")*(Inputs!$G$5:$G$130&lt;&gt;"acoes")))*INDEX(Inputs!$K$5:$AJ$130,0,MATCH(F$2,Inputs!$K$4:$AJ$4,0)))))</f>
        <v>1037</v>
      </c>
      <c r="G18" s="6">
        <f>IF(ISNA(MATCH(G$2,Inputs!$K$4:$AJ$4,0)),NA(),IF(SUMPRODUCT((Inputs!$A$5:$A$130=$B18)*ISNUMBER(INDEX(Inputs!$K$5:$AJ$130,0,MATCH(G$2,Inputs!$K$4:$AJ$4,0))))+SUMPRODUCT((Inputs!$C$5:$C$130=$B18)*ISNUMBER(INDEX(Inputs!$K$5:$AJ$130,0,MATCH(G$2,Inputs!$K$4:$AJ$4,0))))+SUMPRODUCT((Inputs!$E$5:$E$130=$B18)*ISNUMBER(INDEX(Inputs!$K$5:$AJ$130,0,MATCH(G$2,Inputs!$K$4:$AJ$4,0))))=0,NA(),SUMPRODUCT((Inputs!$A$5:$A$130=$B18)*Inputs!$B$5:$B$130*(((Inputs!$G$5:$G$130="moeda")+(Inputs!$G$5:$G$130="acoes"))*Inputs!$B$1+((Inputs!$G$5:$G$130&lt;&gt;"moeda")*(Inputs!$G$5:$G$130&lt;&gt;"acoes")))*INDEX(Inputs!$K$5:$AJ$130,0,MATCH(G$2,Inputs!$K$4:$AJ$4,0)))+SUMPRODUCT((Inputs!$C$5:$C$130=$B18)*Inputs!$D$5:$D$130*(((Inputs!$G$5:$G$130="moeda")+(Inputs!$G$5:$G$130="acoes"))*Inputs!$B$1+((Inputs!$G$5:$G$130&lt;&gt;"moeda")*(Inputs!$G$5:$G$130&lt;&gt;"acoes")))*INDEX(Inputs!$K$5:$AJ$130,0,MATCH(G$2,Inputs!$K$4:$AJ$4,0)))+SUMPRODUCT((Inputs!$E$5:$E$130=$B18)*Inputs!$F$5:$F$130*(((Inputs!$G$5:$G$130="moeda")+(Inputs!$G$5:$G$130="acoes"))*Inputs!$B$1+((Inputs!$G$5:$G$130&lt;&gt;"moeda")*(Inputs!$G$5:$G$130&lt;&gt;"acoes")))*INDEX(Inputs!$K$5:$AJ$130,0,MATCH(G$2,Inputs!$K$4:$AJ$4,0)))))</f>
        <v>923</v>
      </c>
      <c r="H18" s="3">
        <f>G18</f>
        <v>923</v>
      </c>
      <c r="I18" s="6">
        <f>IF(ISNA(MATCH(I$2,Inputs!$K$4:$AJ$4,0)),NA(),IF(SUMPRODUCT((Inputs!$A$5:$A$130=$B18)*ISNUMBER(INDEX(Inputs!$K$5:$AJ$130,0,MATCH(I$2,Inputs!$K$4:$AJ$4,0))))+SUMPRODUCT((Inputs!$C$5:$C$130=$B18)*ISNUMBER(INDEX(Inputs!$K$5:$AJ$130,0,MATCH(I$2,Inputs!$K$4:$AJ$4,0))))+SUMPRODUCT((Inputs!$E$5:$E$130=$B18)*ISNUMBER(INDEX(Inputs!$K$5:$AJ$130,0,MATCH(I$2,Inputs!$K$4:$AJ$4,0))))=0,NA(),SUMPRODUCT((Inputs!$A$5:$A$130=$B18)*Inputs!$B$5:$B$130*(((Inputs!$G$5:$G$130="moeda")+(Inputs!$G$5:$G$130="acoes"))*Inputs!$B$1+((Inputs!$G$5:$G$130&lt;&gt;"moeda")*(Inputs!$G$5:$G$130&lt;&gt;"acoes")))*INDEX(Inputs!$K$5:$AJ$130,0,MATCH(I$2,Inputs!$K$4:$AJ$4,0)))+SUMPRODUCT((Inputs!$C$5:$C$130=$B18)*Inputs!$D$5:$D$130*(((Inputs!$G$5:$G$130="moeda")+(Inputs!$G$5:$G$130="acoes"))*Inputs!$B$1+((Inputs!$G$5:$G$130&lt;&gt;"moeda")*(Inputs!$G$5:$G$130&lt;&gt;"acoes")))*INDEX(Inputs!$K$5:$AJ$130,0,MATCH(I$2,Inputs!$K$4:$AJ$4,0)))+SUMPRODUCT((Inputs!$E$5:$E$130=$B18)*Inputs!$F$5:$F$130*(((Inputs!$G$5:$G$130="moeda")+(Inputs!$G$5:$G$130="acoes"))*Inputs!$B$1+((Inputs!$G$5:$G$130&lt;&gt;"moeda")*(Inputs!$G$5:$G$130&lt;&gt;"acoes")))*INDEX(Inputs!$K$5:$AJ$130,0,MATCH(I$2,Inputs!$K$4:$AJ$4,0)))))</f>
        <v>1104</v>
      </c>
      <c r="J18" s="6">
        <f>IF(ISNA(MATCH(J$2,Inputs!$K$4:$AJ$4,0)),NA(),IF(SUMPRODUCT((Inputs!$A$5:$A$130=$B18)*ISNUMBER(INDEX(Inputs!$K$5:$AJ$130,0,MATCH(J$2,Inputs!$K$4:$AJ$4,0))))+SUMPRODUCT((Inputs!$C$5:$C$130=$B18)*ISNUMBER(INDEX(Inputs!$K$5:$AJ$130,0,MATCH(J$2,Inputs!$K$4:$AJ$4,0))))+SUMPRODUCT((Inputs!$E$5:$E$130=$B18)*ISNUMBER(INDEX(Inputs!$K$5:$AJ$130,0,MATCH(J$2,Inputs!$K$4:$AJ$4,0))))=0,NA(),SUMPRODUCT((Inputs!$A$5:$A$130=$B18)*Inputs!$B$5:$B$130*(((Inputs!$G$5:$G$130="moeda")+(Inputs!$G$5:$G$130="acoes"))*Inputs!$B$1+((Inputs!$G$5:$G$130&lt;&gt;"moeda")*(Inputs!$G$5:$G$130&lt;&gt;"acoes")))*INDEX(Inputs!$K$5:$AJ$130,0,MATCH(J$2,Inputs!$K$4:$AJ$4,0)))+SUMPRODUCT((Inputs!$C$5:$C$130=$B18)*Inputs!$D$5:$D$130*(((Inputs!$G$5:$G$130="moeda")+(Inputs!$G$5:$G$130="acoes"))*Inputs!$B$1+((Inputs!$G$5:$G$130&lt;&gt;"moeda")*(Inputs!$G$5:$G$130&lt;&gt;"acoes")))*INDEX(Inputs!$K$5:$AJ$130,0,MATCH(J$2,Inputs!$K$4:$AJ$4,0)))+SUMPRODUCT((Inputs!$E$5:$E$130=$B18)*Inputs!$F$5:$F$130*(((Inputs!$G$5:$G$130="moeda")+(Inputs!$G$5:$G$130="acoes"))*Inputs!$B$1+((Inputs!$G$5:$G$130&lt;&gt;"moeda")*(Inputs!$G$5:$G$130&lt;&gt;"acoes")))*INDEX(Inputs!$K$5:$AJ$130,0,MATCH(J$2,Inputs!$K$4:$AJ$4,0)))))</f>
        <v>1110</v>
      </c>
      <c r="K18" s="6">
        <f>IF(ISNA(MATCH(K$2,Inputs!$K$4:$AJ$4,0)),NA(),IF(SUMPRODUCT((Inputs!$A$5:$A$130=$B18)*ISNUMBER(INDEX(Inputs!$K$5:$AJ$130,0,MATCH(K$2,Inputs!$K$4:$AJ$4,0))))+SUMPRODUCT((Inputs!$C$5:$C$130=$B18)*ISNUMBER(INDEX(Inputs!$K$5:$AJ$130,0,MATCH(K$2,Inputs!$K$4:$AJ$4,0))))+SUMPRODUCT((Inputs!$E$5:$E$130=$B18)*ISNUMBER(INDEX(Inputs!$K$5:$AJ$130,0,MATCH(K$2,Inputs!$K$4:$AJ$4,0))))=0,NA(),SUMPRODUCT((Inputs!$A$5:$A$130=$B18)*Inputs!$B$5:$B$130*(((Inputs!$G$5:$G$130="moeda")+(Inputs!$G$5:$G$130="acoes"))*Inputs!$B$1+((Inputs!$G$5:$G$130&lt;&gt;"moeda")*(Inputs!$G$5:$G$130&lt;&gt;"acoes")))*INDEX(Inputs!$K$5:$AJ$130,0,MATCH(K$2,Inputs!$K$4:$AJ$4,0)))+SUMPRODUCT((Inputs!$C$5:$C$130=$B18)*Inputs!$D$5:$D$130*(((Inputs!$G$5:$G$130="moeda")+(Inputs!$G$5:$G$130="acoes"))*Inputs!$B$1+((Inputs!$G$5:$G$130&lt;&gt;"moeda")*(Inputs!$G$5:$G$130&lt;&gt;"acoes")))*INDEX(Inputs!$K$5:$AJ$130,0,MATCH(K$2,Inputs!$K$4:$AJ$4,0)))+SUMPRODUCT((Inputs!$E$5:$E$130=$B18)*Inputs!$F$5:$F$130*(((Inputs!$G$5:$G$130="moeda")+(Inputs!$G$5:$G$130="acoes"))*Inputs!$B$1+((Inputs!$G$5:$G$130&lt;&gt;"moeda")*(Inputs!$G$5:$G$130&lt;&gt;"acoes")))*INDEX(Inputs!$K$5:$AJ$130,0,MATCH(K$2,Inputs!$K$4:$AJ$4,0)))))</f>
        <v>824</v>
      </c>
      <c r="L18" s="6">
        <f>IF(ISNA(MATCH(L$2,Inputs!$K$4:$AJ$4,0)),NA(),IF(SUMPRODUCT((Inputs!$A$5:$A$130=$B18)*ISNUMBER(INDEX(Inputs!$K$5:$AJ$130,0,MATCH(L$2,Inputs!$K$4:$AJ$4,0))))+SUMPRODUCT((Inputs!$C$5:$C$130=$B18)*ISNUMBER(INDEX(Inputs!$K$5:$AJ$130,0,MATCH(L$2,Inputs!$K$4:$AJ$4,0))))+SUMPRODUCT((Inputs!$E$5:$E$130=$B18)*ISNUMBER(INDEX(Inputs!$K$5:$AJ$130,0,MATCH(L$2,Inputs!$K$4:$AJ$4,0))))=0,NA(),SUMPRODUCT((Inputs!$A$5:$A$130=$B18)*Inputs!$B$5:$B$130*(((Inputs!$G$5:$G$130="moeda")+(Inputs!$G$5:$G$130="acoes"))*Inputs!$B$1+((Inputs!$G$5:$G$130&lt;&gt;"moeda")*(Inputs!$G$5:$G$130&lt;&gt;"acoes")))*INDEX(Inputs!$K$5:$AJ$130,0,MATCH(L$2,Inputs!$K$4:$AJ$4,0)))+SUMPRODUCT((Inputs!$C$5:$C$130=$B18)*Inputs!$D$5:$D$130*(((Inputs!$G$5:$G$130="moeda")+(Inputs!$G$5:$G$130="acoes"))*Inputs!$B$1+((Inputs!$G$5:$G$130&lt;&gt;"moeda")*(Inputs!$G$5:$G$130&lt;&gt;"acoes")))*INDEX(Inputs!$K$5:$AJ$130,0,MATCH(L$2,Inputs!$K$4:$AJ$4,0)))+SUMPRODUCT((Inputs!$E$5:$E$130=$B18)*Inputs!$F$5:$F$130*(((Inputs!$G$5:$G$130="moeda")+(Inputs!$G$5:$G$130="acoes"))*Inputs!$B$1+((Inputs!$G$5:$G$130&lt;&gt;"moeda")*(Inputs!$G$5:$G$130&lt;&gt;"acoes")))*INDEX(Inputs!$K$5:$AJ$130,0,MATCH(L$2,Inputs!$K$4:$AJ$4,0)))))</f>
        <v>914</v>
      </c>
      <c r="M18" s="3">
        <f>L18</f>
        <v>914</v>
      </c>
      <c r="N18" s="6">
        <f>IF(ISNA(MATCH(N$2,Inputs!$K$4:$AJ$4,0)),NA(),IF(SUMPRODUCT((Inputs!$A$5:$A$130=$B18)*ISNUMBER(INDEX(Inputs!$K$5:$AJ$130,0,MATCH(N$2,Inputs!$K$4:$AJ$4,0))))+SUMPRODUCT((Inputs!$C$5:$C$130=$B18)*ISNUMBER(INDEX(Inputs!$K$5:$AJ$130,0,MATCH(N$2,Inputs!$K$4:$AJ$4,0))))+SUMPRODUCT((Inputs!$E$5:$E$130=$B18)*ISNUMBER(INDEX(Inputs!$K$5:$AJ$130,0,MATCH(N$2,Inputs!$K$4:$AJ$4,0))))=0,NA(),SUMPRODUCT((Inputs!$A$5:$A$130=$B18)*Inputs!$B$5:$B$130*(((Inputs!$G$5:$G$130="moeda")+(Inputs!$G$5:$G$130="acoes"))*Inputs!$B$1+((Inputs!$G$5:$G$130&lt;&gt;"moeda")*(Inputs!$G$5:$G$130&lt;&gt;"acoes")))*INDEX(Inputs!$K$5:$AJ$130,0,MATCH(N$2,Inputs!$K$4:$AJ$4,0)))+SUMPRODUCT((Inputs!$C$5:$C$130=$B18)*Inputs!$D$5:$D$130*(((Inputs!$G$5:$G$130="moeda")+(Inputs!$G$5:$G$130="acoes"))*Inputs!$B$1+((Inputs!$G$5:$G$130&lt;&gt;"moeda")*(Inputs!$G$5:$G$130&lt;&gt;"acoes")))*INDEX(Inputs!$K$5:$AJ$130,0,MATCH(N$2,Inputs!$K$4:$AJ$4,0)))+SUMPRODUCT((Inputs!$E$5:$E$130=$B18)*Inputs!$F$5:$F$130*(((Inputs!$G$5:$G$130="moeda")+(Inputs!$G$5:$G$130="acoes"))*Inputs!$B$1+((Inputs!$G$5:$G$130&lt;&gt;"moeda")*(Inputs!$G$5:$G$130&lt;&gt;"acoes")))*INDEX(Inputs!$K$5:$AJ$130,0,MATCH(N$2,Inputs!$K$4:$AJ$4,0)))))</f>
        <v>1308</v>
      </c>
      <c r="O18" s="6">
        <f>IF(ISNA(MATCH(O$2,Inputs!$K$4:$AJ$4,0)),NA(),IF(SUMPRODUCT((Inputs!$A$5:$A$130=$B18)*ISNUMBER(INDEX(Inputs!$K$5:$AJ$130,0,MATCH(O$2,Inputs!$K$4:$AJ$4,0))))+SUMPRODUCT((Inputs!$C$5:$C$130=$B18)*ISNUMBER(INDEX(Inputs!$K$5:$AJ$130,0,MATCH(O$2,Inputs!$K$4:$AJ$4,0))))+SUMPRODUCT((Inputs!$E$5:$E$130=$B18)*ISNUMBER(INDEX(Inputs!$K$5:$AJ$130,0,MATCH(O$2,Inputs!$K$4:$AJ$4,0))))=0,NA(),SUMPRODUCT((Inputs!$A$5:$A$130=$B18)*Inputs!$B$5:$B$130*(((Inputs!$G$5:$G$130="moeda")+(Inputs!$G$5:$G$130="acoes"))*Inputs!$B$1+((Inputs!$G$5:$G$130&lt;&gt;"moeda")*(Inputs!$G$5:$G$130&lt;&gt;"acoes")))*INDEX(Inputs!$K$5:$AJ$130,0,MATCH(O$2,Inputs!$K$4:$AJ$4,0)))+SUMPRODUCT((Inputs!$C$5:$C$130=$B18)*Inputs!$D$5:$D$130*(((Inputs!$G$5:$G$130="moeda")+(Inputs!$G$5:$G$130="acoes"))*Inputs!$B$1+((Inputs!$G$5:$G$130&lt;&gt;"moeda")*(Inputs!$G$5:$G$130&lt;&gt;"acoes")))*INDEX(Inputs!$K$5:$AJ$130,0,MATCH(O$2,Inputs!$K$4:$AJ$4,0)))+SUMPRODUCT((Inputs!$E$5:$E$130=$B18)*Inputs!$F$5:$F$130*(((Inputs!$G$5:$G$130="moeda")+(Inputs!$G$5:$G$130="acoes"))*Inputs!$B$1+((Inputs!$G$5:$G$130&lt;&gt;"moeda")*(Inputs!$G$5:$G$130&lt;&gt;"acoes")))*INDEX(Inputs!$K$5:$AJ$130,0,MATCH(O$2,Inputs!$K$4:$AJ$4,0)))))</f>
        <v>1360</v>
      </c>
      <c r="P18" s="6">
        <f>IF(ISNA(MATCH(P$2,Inputs!$K$4:$AJ$4,0)),NA(),IF(SUMPRODUCT((Inputs!$A$5:$A$130=$B18)*ISNUMBER(INDEX(Inputs!$K$5:$AJ$130,0,MATCH(P$2,Inputs!$K$4:$AJ$4,0))))+SUMPRODUCT((Inputs!$C$5:$C$130=$B18)*ISNUMBER(INDEX(Inputs!$K$5:$AJ$130,0,MATCH(P$2,Inputs!$K$4:$AJ$4,0))))+SUMPRODUCT((Inputs!$E$5:$E$130=$B18)*ISNUMBER(INDEX(Inputs!$K$5:$AJ$130,0,MATCH(P$2,Inputs!$K$4:$AJ$4,0))))=0,NA(),SUMPRODUCT((Inputs!$A$5:$A$130=$B18)*Inputs!$B$5:$B$130*(((Inputs!$G$5:$G$130="moeda")+(Inputs!$G$5:$G$130="acoes"))*Inputs!$B$1+((Inputs!$G$5:$G$130&lt;&gt;"moeda")*(Inputs!$G$5:$G$130&lt;&gt;"acoes")))*INDEX(Inputs!$K$5:$AJ$130,0,MATCH(P$2,Inputs!$K$4:$AJ$4,0)))+SUMPRODUCT((Inputs!$C$5:$C$130=$B18)*Inputs!$D$5:$D$130*(((Inputs!$G$5:$G$130="moeda")+(Inputs!$G$5:$G$130="acoes"))*Inputs!$B$1+((Inputs!$G$5:$G$130&lt;&gt;"moeda")*(Inputs!$G$5:$G$130&lt;&gt;"acoes")))*INDEX(Inputs!$K$5:$AJ$130,0,MATCH(P$2,Inputs!$K$4:$AJ$4,0)))+SUMPRODUCT((Inputs!$E$5:$E$130=$B18)*Inputs!$F$5:$F$130*(((Inputs!$G$5:$G$130="moeda")+(Inputs!$G$5:$G$130="acoes"))*Inputs!$B$1+((Inputs!$G$5:$G$130&lt;&gt;"moeda")*(Inputs!$G$5:$G$130&lt;&gt;"acoes")))*INDEX(Inputs!$K$5:$AJ$130,0,MATCH(P$2,Inputs!$K$4:$AJ$4,0)))))</f>
        <v>1814</v>
      </c>
      <c r="Q18" s="6">
        <f>IF(ISNA(MATCH(Q$2,Inputs!$K$4:$AJ$4,0)),NA(),IF(SUMPRODUCT((Inputs!$A$5:$A$130=$B18)*ISNUMBER(INDEX(Inputs!$K$5:$AJ$130,0,MATCH(Q$2,Inputs!$K$4:$AJ$4,0))))+SUMPRODUCT((Inputs!$C$5:$C$130=$B18)*ISNUMBER(INDEX(Inputs!$K$5:$AJ$130,0,MATCH(Q$2,Inputs!$K$4:$AJ$4,0))))+SUMPRODUCT((Inputs!$E$5:$E$130=$B18)*ISNUMBER(INDEX(Inputs!$K$5:$AJ$130,0,MATCH(Q$2,Inputs!$K$4:$AJ$4,0))))=0,NA(),SUMPRODUCT((Inputs!$A$5:$A$130=$B18)*Inputs!$B$5:$B$130*(((Inputs!$G$5:$G$130="moeda")+(Inputs!$G$5:$G$130="acoes"))*Inputs!$B$1+((Inputs!$G$5:$G$130&lt;&gt;"moeda")*(Inputs!$G$5:$G$130&lt;&gt;"acoes")))*INDEX(Inputs!$K$5:$AJ$130,0,MATCH(Q$2,Inputs!$K$4:$AJ$4,0)))+SUMPRODUCT((Inputs!$C$5:$C$130=$B18)*Inputs!$D$5:$D$130*(((Inputs!$G$5:$G$130="moeda")+(Inputs!$G$5:$G$130="acoes"))*Inputs!$B$1+((Inputs!$G$5:$G$130&lt;&gt;"moeda")*(Inputs!$G$5:$G$130&lt;&gt;"acoes")))*INDEX(Inputs!$K$5:$AJ$130,0,MATCH(Q$2,Inputs!$K$4:$AJ$4,0)))+SUMPRODUCT((Inputs!$E$5:$E$130=$B18)*Inputs!$F$5:$F$130*(((Inputs!$G$5:$G$130="moeda")+(Inputs!$G$5:$G$130="acoes"))*Inputs!$B$1+((Inputs!$G$5:$G$130&lt;&gt;"moeda")*(Inputs!$G$5:$G$130&lt;&gt;"acoes")))*INDEX(Inputs!$K$5:$AJ$130,0,MATCH(Q$2,Inputs!$K$4:$AJ$4,0)))))</f>
        <v>1833</v>
      </c>
      <c r="R18" s="3">
        <f>Q18</f>
        <v>1833</v>
      </c>
      <c r="S18" s="6">
        <f>IF(ISNA(MATCH(S$2,Inputs!$K$4:$AJ$4,0)),NA(),IF(SUMPRODUCT((Inputs!$A$5:$A$130=$B18)*ISNUMBER(INDEX(Inputs!$K$5:$AJ$130,0,MATCH(S$2,Inputs!$K$4:$AJ$4,0))))+SUMPRODUCT((Inputs!$C$5:$C$130=$B18)*ISNUMBER(INDEX(Inputs!$K$5:$AJ$130,0,MATCH(S$2,Inputs!$K$4:$AJ$4,0))))+SUMPRODUCT((Inputs!$E$5:$E$130=$B18)*ISNUMBER(INDEX(Inputs!$K$5:$AJ$130,0,MATCH(S$2,Inputs!$K$4:$AJ$4,0))))=0,NA(),SUMPRODUCT((Inputs!$A$5:$A$130=$B18)*Inputs!$B$5:$B$130*(((Inputs!$G$5:$G$130="moeda")+(Inputs!$G$5:$G$130="acoes"))*Inputs!$B$1+((Inputs!$G$5:$G$130&lt;&gt;"moeda")*(Inputs!$G$5:$G$130&lt;&gt;"acoes")))*INDEX(Inputs!$K$5:$AJ$130,0,MATCH(S$2,Inputs!$K$4:$AJ$4,0)))+SUMPRODUCT((Inputs!$C$5:$C$130=$B18)*Inputs!$D$5:$D$130*(((Inputs!$G$5:$G$130="moeda")+(Inputs!$G$5:$G$130="acoes"))*Inputs!$B$1+((Inputs!$G$5:$G$130&lt;&gt;"moeda")*(Inputs!$G$5:$G$130&lt;&gt;"acoes")))*INDEX(Inputs!$K$5:$AJ$130,0,MATCH(S$2,Inputs!$K$4:$AJ$4,0)))+SUMPRODUCT((Inputs!$E$5:$E$130=$B18)*Inputs!$F$5:$F$130*(((Inputs!$G$5:$G$130="moeda")+(Inputs!$G$5:$G$130="acoes"))*Inputs!$B$1+((Inputs!$G$5:$G$130&lt;&gt;"moeda")*(Inputs!$G$5:$G$130&lt;&gt;"acoes")))*INDEX(Inputs!$K$5:$AJ$130,0,MATCH(S$2,Inputs!$K$4:$AJ$4,0)))))</f>
        <v>1936</v>
      </c>
      <c r="T18" s="6">
        <f>IF(ISNA(MATCH(T$2,Inputs!$K$4:$AJ$4,0)),NA(),IF(SUMPRODUCT((Inputs!$A$5:$A$130=$B18)*ISNUMBER(INDEX(Inputs!$K$5:$AJ$130,0,MATCH(T$2,Inputs!$K$4:$AJ$4,0))))+SUMPRODUCT((Inputs!$C$5:$C$130=$B18)*ISNUMBER(INDEX(Inputs!$K$5:$AJ$130,0,MATCH(T$2,Inputs!$K$4:$AJ$4,0))))+SUMPRODUCT((Inputs!$E$5:$E$130=$B18)*ISNUMBER(INDEX(Inputs!$K$5:$AJ$130,0,MATCH(T$2,Inputs!$K$4:$AJ$4,0))))=0,NA(),SUMPRODUCT((Inputs!$A$5:$A$130=$B18)*Inputs!$B$5:$B$130*(((Inputs!$G$5:$G$130="moeda")+(Inputs!$G$5:$G$130="acoes"))*Inputs!$B$1+((Inputs!$G$5:$G$130&lt;&gt;"moeda")*(Inputs!$G$5:$G$130&lt;&gt;"acoes")))*INDEX(Inputs!$K$5:$AJ$130,0,MATCH(T$2,Inputs!$K$4:$AJ$4,0)))+SUMPRODUCT((Inputs!$C$5:$C$130=$B18)*Inputs!$D$5:$D$130*(((Inputs!$G$5:$G$130="moeda")+(Inputs!$G$5:$G$130="acoes"))*Inputs!$B$1+((Inputs!$G$5:$G$130&lt;&gt;"moeda")*(Inputs!$G$5:$G$130&lt;&gt;"acoes")))*INDEX(Inputs!$K$5:$AJ$130,0,MATCH(T$2,Inputs!$K$4:$AJ$4,0)))+SUMPRODUCT((Inputs!$E$5:$E$130=$B18)*Inputs!$F$5:$F$130*(((Inputs!$G$5:$G$130="moeda")+(Inputs!$G$5:$G$130="acoes"))*Inputs!$B$1+((Inputs!$G$5:$G$130&lt;&gt;"moeda")*(Inputs!$G$5:$G$130&lt;&gt;"acoes")))*INDEX(Inputs!$K$5:$AJ$130,0,MATCH(T$2,Inputs!$K$4:$AJ$4,0)))))</f>
        <v>1898</v>
      </c>
      <c r="U18" s="6">
        <f>IF(ISNA(MATCH(U$2,Inputs!$K$4:$AJ$4,0)),NA(),IF(SUMPRODUCT((Inputs!$A$5:$A$130=$B18)*ISNUMBER(INDEX(Inputs!$K$5:$AJ$130,0,MATCH(U$2,Inputs!$K$4:$AJ$4,0))))+SUMPRODUCT((Inputs!$C$5:$C$130=$B18)*ISNUMBER(INDEX(Inputs!$K$5:$AJ$130,0,MATCH(U$2,Inputs!$K$4:$AJ$4,0))))+SUMPRODUCT((Inputs!$E$5:$E$130=$B18)*ISNUMBER(INDEX(Inputs!$K$5:$AJ$130,0,MATCH(U$2,Inputs!$K$4:$AJ$4,0))))=0,NA(),SUMPRODUCT((Inputs!$A$5:$A$130=$B18)*Inputs!$B$5:$B$130*(((Inputs!$G$5:$G$130="moeda")+(Inputs!$G$5:$G$130="acoes"))*Inputs!$B$1+((Inputs!$G$5:$G$130&lt;&gt;"moeda")*(Inputs!$G$5:$G$130&lt;&gt;"acoes")))*INDEX(Inputs!$K$5:$AJ$130,0,MATCH(U$2,Inputs!$K$4:$AJ$4,0)))+SUMPRODUCT((Inputs!$C$5:$C$130=$B18)*Inputs!$D$5:$D$130*(((Inputs!$G$5:$G$130="moeda")+(Inputs!$G$5:$G$130="acoes"))*Inputs!$B$1+((Inputs!$G$5:$G$130&lt;&gt;"moeda")*(Inputs!$G$5:$G$130&lt;&gt;"acoes")))*INDEX(Inputs!$K$5:$AJ$130,0,MATCH(U$2,Inputs!$K$4:$AJ$4,0)))+SUMPRODUCT((Inputs!$E$5:$E$130=$B18)*Inputs!$F$5:$F$130*(((Inputs!$G$5:$G$130="moeda")+(Inputs!$G$5:$G$130="acoes"))*Inputs!$B$1+((Inputs!$G$5:$G$130&lt;&gt;"moeda")*(Inputs!$G$5:$G$130&lt;&gt;"acoes")))*INDEX(Inputs!$K$5:$AJ$130,0,MATCH(U$2,Inputs!$K$4:$AJ$4,0)))))</f>
        <v>2086</v>
      </c>
      <c r="V18" s="6">
        <f>IF(ISNA(MATCH(V$2,Inputs!$K$4:$AJ$4,0)),NA(),IF(SUMPRODUCT((Inputs!$A$5:$A$130=$B18)*ISNUMBER(INDEX(Inputs!$K$5:$AJ$130,0,MATCH(V$2,Inputs!$K$4:$AJ$4,0))))+SUMPRODUCT((Inputs!$C$5:$C$130=$B18)*ISNUMBER(INDEX(Inputs!$K$5:$AJ$130,0,MATCH(V$2,Inputs!$K$4:$AJ$4,0))))+SUMPRODUCT((Inputs!$E$5:$E$130=$B18)*ISNUMBER(INDEX(Inputs!$K$5:$AJ$130,0,MATCH(V$2,Inputs!$K$4:$AJ$4,0))))=0,NA(),SUMPRODUCT((Inputs!$A$5:$A$130=$B18)*Inputs!$B$5:$B$130*(((Inputs!$G$5:$G$130="moeda")+(Inputs!$G$5:$G$130="acoes"))*Inputs!$B$1+((Inputs!$G$5:$G$130&lt;&gt;"moeda")*(Inputs!$G$5:$G$130&lt;&gt;"acoes")))*INDEX(Inputs!$K$5:$AJ$130,0,MATCH(V$2,Inputs!$K$4:$AJ$4,0)))+SUMPRODUCT((Inputs!$C$5:$C$130=$B18)*Inputs!$D$5:$D$130*(((Inputs!$G$5:$G$130="moeda")+(Inputs!$G$5:$G$130="acoes"))*Inputs!$B$1+((Inputs!$G$5:$G$130&lt;&gt;"moeda")*(Inputs!$G$5:$G$130&lt;&gt;"acoes")))*INDEX(Inputs!$K$5:$AJ$130,0,MATCH(V$2,Inputs!$K$4:$AJ$4,0)))+SUMPRODUCT((Inputs!$E$5:$E$130=$B18)*Inputs!$F$5:$F$130*(((Inputs!$G$5:$G$130="moeda")+(Inputs!$G$5:$G$130="acoes"))*Inputs!$B$1+((Inputs!$G$5:$G$130&lt;&gt;"moeda")*(Inputs!$G$5:$G$130&lt;&gt;"acoes")))*INDEX(Inputs!$K$5:$AJ$130,0,MATCH(V$2,Inputs!$K$4:$AJ$4,0)))))</f>
        <v>1852</v>
      </c>
      <c r="W18" s="3">
        <f>V18</f>
        <v>1852</v>
      </c>
      <c r="X18" s="6">
        <f>IF(ISNA(MATCH(X$2,Inputs!$K$4:$AJ$4,0)),NA(),IF(SUMPRODUCT((Inputs!$A$5:$A$130=$B18)*ISNUMBER(INDEX(Inputs!$K$5:$AJ$130,0,MATCH(X$2,Inputs!$K$4:$AJ$4,0))))+SUMPRODUCT((Inputs!$C$5:$C$130=$B18)*ISNUMBER(INDEX(Inputs!$K$5:$AJ$130,0,MATCH(X$2,Inputs!$K$4:$AJ$4,0))))+SUMPRODUCT((Inputs!$E$5:$E$130=$B18)*ISNUMBER(INDEX(Inputs!$K$5:$AJ$130,0,MATCH(X$2,Inputs!$K$4:$AJ$4,0))))=0,NA(),SUMPRODUCT((Inputs!$A$5:$A$130=$B18)*Inputs!$B$5:$B$130*(((Inputs!$G$5:$G$130="moeda")+(Inputs!$G$5:$G$130="acoes"))*Inputs!$B$1+((Inputs!$G$5:$G$130&lt;&gt;"moeda")*(Inputs!$G$5:$G$130&lt;&gt;"acoes")))*INDEX(Inputs!$K$5:$AJ$130,0,MATCH(X$2,Inputs!$K$4:$AJ$4,0)))+SUMPRODUCT((Inputs!$C$5:$C$130=$B18)*Inputs!$D$5:$D$130*(((Inputs!$G$5:$G$130="moeda")+(Inputs!$G$5:$G$130="acoes"))*Inputs!$B$1+((Inputs!$G$5:$G$130&lt;&gt;"moeda")*(Inputs!$G$5:$G$130&lt;&gt;"acoes")))*INDEX(Inputs!$K$5:$AJ$130,0,MATCH(X$2,Inputs!$K$4:$AJ$4,0)))+SUMPRODUCT((Inputs!$E$5:$E$130=$B18)*Inputs!$F$5:$F$130*(((Inputs!$G$5:$G$130="moeda")+(Inputs!$G$5:$G$130="acoes"))*Inputs!$B$1+((Inputs!$G$5:$G$130&lt;&gt;"moeda")*(Inputs!$G$5:$G$130&lt;&gt;"acoes")))*INDEX(Inputs!$K$5:$AJ$130,0,MATCH(X$2,Inputs!$K$4:$AJ$4,0)))))</f>
        <v>2088</v>
      </c>
      <c r="Y18" s="6">
        <f>IF(ISNA(MATCH(Y$2,Inputs!$K$4:$AJ$4,0)),NA(),IF(SUMPRODUCT((Inputs!$A$5:$A$130=$B18)*ISNUMBER(INDEX(Inputs!$K$5:$AJ$130,0,MATCH(Y$2,Inputs!$K$4:$AJ$4,0))))+SUMPRODUCT((Inputs!$C$5:$C$130=$B18)*ISNUMBER(INDEX(Inputs!$K$5:$AJ$130,0,MATCH(Y$2,Inputs!$K$4:$AJ$4,0))))+SUMPRODUCT((Inputs!$E$5:$E$130=$B18)*ISNUMBER(INDEX(Inputs!$K$5:$AJ$130,0,MATCH(Y$2,Inputs!$K$4:$AJ$4,0))))=0,NA(),SUMPRODUCT((Inputs!$A$5:$A$130=$B18)*Inputs!$B$5:$B$130*(((Inputs!$G$5:$G$130="moeda")+(Inputs!$G$5:$G$130="acoes"))*Inputs!$B$1+((Inputs!$G$5:$G$130&lt;&gt;"moeda")*(Inputs!$G$5:$G$130&lt;&gt;"acoes")))*INDEX(Inputs!$K$5:$AJ$130,0,MATCH(Y$2,Inputs!$K$4:$AJ$4,0)))+SUMPRODUCT((Inputs!$C$5:$C$130=$B18)*Inputs!$D$5:$D$130*(((Inputs!$G$5:$G$130="moeda")+(Inputs!$G$5:$G$130="acoes"))*Inputs!$B$1+((Inputs!$G$5:$G$130&lt;&gt;"moeda")*(Inputs!$G$5:$G$130&lt;&gt;"acoes")))*INDEX(Inputs!$K$5:$AJ$130,0,MATCH(Y$2,Inputs!$K$4:$AJ$4,0)))+SUMPRODUCT((Inputs!$E$5:$E$130=$B18)*Inputs!$F$5:$F$130*(((Inputs!$G$5:$G$130="moeda")+(Inputs!$G$5:$G$130="acoes"))*Inputs!$B$1+((Inputs!$G$5:$G$130&lt;&gt;"moeda")*(Inputs!$G$5:$G$130&lt;&gt;"acoes")))*INDEX(Inputs!$K$5:$AJ$130,0,MATCH(Y$2,Inputs!$K$4:$AJ$4,0)))))</f>
        <v>2209</v>
      </c>
      <c r="Z18" s="6">
        <f>IF(ISNA(MATCH(Z$2,Inputs!$K$4:$AJ$4,0)),NA(),IF(SUMPRODUCT((Inputs!$A$5:$A$130=$B18)*ISNUMBER(INDEX(Inputs!$K$5:$AJ$130,0,MATCH(Z$2,Inputs!$K$4:$AJ$4,0))))+SUMPRODUCT((Inputs!$C$5:$C$130=$B18)*ISNUMBER(INDEX(Inputs!$K$5:$AJ$130,0,MATCH(Z$2,Inputs!$K$4:$AJ$4,0))))+SUMPRODUCT((Inputs!$E$5:$E$130=$B18)*ISNUMBER(INDEX(Inputs!$K$5:$AJ$130,0,MATCH(Z$2,Inputs!$K$4:$AJ$4,0))))=0,NA(),SUMPRODUCT((Inputs!$A$5:$A$130=$B18)*Inputs!$B$5:$B$130*(((Inputs!$G$5:$G$130="moeda")+(Inputs!$G$5:$G$130="acoes"))*Inputs!$B$1+((Inputs!$G$5:$G$130&lt;&gt;"moeda")*(Inputs!$G$5:$G$130&lt;&gt;"acoes")))*INDEX(Inputs!$K$5:$AJ$130,0,MATCH(Z$2,Inputs!$K$4:$AJ$4,0)))+SUMPRODUCT((Inputs!$C$5:$C$130=$B18)*Inputs!$D$5:$D$130*(((Inputs!$G$5:$G$130="moeda")+(Inputs!$G$5:$G$130="acoes"))*Inputs!$B$1+((Inputs!$G$5:$G$130&lt;&gt;"moeda")*(Inputs!$G$5:$G$130&lt;&gt;"acoes")))*INDEX(Inputs!$K$5:$AJ$130,0,MATCH(Z$2,Inputs!$K$4:$AJ$4,0)))+SUMPRODUCT((Inputs!$E$5:$E$130=$B18)*Inputs!$F$5:$F$130*(((Inputs!$G$5:$G$130="moeda")+(Inputs!$G$5:$G$130="acoes"))*Inputs!$B$1+((Inputs!$G$5:$G$130&lt;&gt;"moeda")*(Inputs!$G$5:$G$130&lt;&gt;"acoes")))*INDEX(Inputs!$K$5:$AJ$130,0,MATCH(Z$2,Inputs!$K$4:$AJ$4,0)))))</f>
        <v>2284</v>
      </c>
      <c r="AA18" s="6">
        <f>IF(ISNA(MATCH(AA$2,Inputs!$K$4:$AJ$4,0)),NA(),IF(SUMPRODUCT((Inputs!$A$5:$A$130=$B18)*ISNUMBER(INDEX(Inputs!$K$5:$AJ$130,0,MATCH(AA$2,Inputs!$K$4:$AJ$4,0))))+SUMPRODUCT((Inputs!$C$5:$C$130=$B18)*ISNUMBER(INDEX(Inputs!$K$5:$AJ$130,0,MATCH(AA$2,Inputs!$K$4:$AJ$4,0))))+SUMPRODUCT((Inputs!$E$5:$E$130=$B18)*ISNUMBER(INDEX(Inputs!$K$5:$AJ$130,0,MATCH(AA$2,Inputs!$K$4:$AJ$4,0))))=0,NA(),SUMPRODUCT((Inputs!$A$5:$A$130=$B18)*Inputs!$B$5:$B$130*(((Inputs!$G$5:$G$130="moeda")+(Inputs!$G$5:$G$130="acoes"))*Inputs!$B$1+((Inputs!$G$5:$G$130&lt;&gt;"moeda")*(Inputs!$G$5:$G$130&lt;&gt;"acoes")))*INDEX(Inputs!$K$5:$AJ$130,0,MATCH(AA$2,Inputs!$K$4:$AJ$4,0)))+SUMPRODUCT((Inputs!$C$5:$C$130=$B18)*Inputs!$D$5:$D$130*(((Inputs!$G$5:$G$130="moeda")+(Inputs!$G$5:$G$130="acoes"))*Inputs!$B$1+((Inputs!$G$5:$G$130&lt;&gt;"moeda")*(Inputs!$G$5:$G$130&lt;&gt;"acoes")))*INDEX(Inputs!$K$5:$AJ$130,0,MATCH(AA$2,Inputs!$K$4:$AJ$4,0)))+SUMPRODUCT((Inputs!$E$5:$E$130=$B18)*Inputs!$F$5:$F$130*(((Inputs!$G$5:$G$130="moeda")+(Inputs!$G$5:$G$130="acoes"))*Inputs!$B$1+((Inputs!$G$5:$G$130&lt;&gt;"moeda")*(Inputs!$G$5:$G$130&lt;&gt;"acoes")))*INDEX(Inputs!$K$5:$AJ$130,0,MATCH(AA$2,Inputs!$K$4:$AJ$4,0)))))</f>
        <v>2268</v>
      </c>
      <c r="AB18" s="3">
        <f>AA18</f>
        <v>2268</v>
      </c>
      <c r="AC18" s="6">
        <f>IF(ISNA(MATCH(AC$2,Inputs!$K$4:$AJ$4,0)),NA(),IF(SUMPRODUCT((Inputs!$A$5:$A$130=$B18)*ISNUMBER(INDEX(Inputs!$K$5:$AJ$130,0,MATCH(AC$2,Inputs!$K$4:$AJ$4,0))))+SUMPRODUCT((Inputs!$C$5:$C$130=$B18)*ISNUMBER(INDEX(Inputs!$K$5:$AJ$130,0,MATCH(AC$2,Inputs!$K$4:$AJ$4,0))))+SUMPRODUCT((Inputs!$E$5:$E$130=$B18)*ISNUMBER(INDEX(Inputs!$K$5:$AJ$130,0,MATCH(AC$2,Inputs!$K$4:$AJ$4,0))))=0,NA(),SUMPRODUCT((Inputs!$A$5:$A$130=$B18)*Inputs!$B$5:$B$130*(((Inputs!$G$5:$G$130="moeda")+(Inputs!$G$5:$G$130="acoes"))*Inputs!$B$1+((Inputs!$G$5:$G$130&lt;&gt;"moeda")*(Inputs!$G$5:$G$130&lt;&gt;"acoes")))*INDEX(Inputs!$K$5:$AJ$130,0,MATCH(AC$2,Inputs!$K$4:$AJ$4,0)))+SUMPRODUCT((Inputs!$C$5:$C$130=$B18)*Inputs!$D$5:$D$130*(((Inputs!$G$5:$G$130="moeda")+(Inputs!$G$5:$G$130="acoes"))*Inputs!$B$1+((Inputs!$G$5:$G$130&lt;&gt;"moeda")*(Inputs!$G$5:$G$130&lt;&gt;"acoes")))*INDEX(Inputs!$K$5:$AJ$130,0,MATCH(AC$2,Inputs!$K$4:$AJ$4,0)))+SUMPRODUCT((Inputs!$E$5:$E$130=$B18)*Inputs!$F$5:$F$130*(((Inputs!$G$5:$G$130="moeda")+(Inputs!$G$5:$G$130="acoes"))*Inputs!$B$1+((Inputs!$G$5:$G$130&lt;&gt;"moeda")*(Inputs!$G$5:$G$130&lt;&gt;"acoes")))*INDEX(Inputs!$K$5:$AJ$130,0,MATCH(AC$2,Inputs!$K$4:$AJ$4,0)))))</f>
        <v>2361</v>
      </c>
      <c r="AD18" s="6">
        <f>IF(ISNA(MATCH(AD$2,Inputs!$K$4:$AJ$4,0)),NA(),IF(SUMPRODUCT((Inputs!$A$5:$A$130=$B18)*ISNUMBER(INDEX(Inputs!$K$5:$AJ$130,0,MATCH(AD$2,Inputs!$K$4:$AJ$4,0))))+SUMPRODUCT((Inputs!$C$5:$C$130=$B18)*ISNUMBER(INDEX(Inputs!$K$5:$AJ$130,0,MATCH(AD$2,Inputs!$K$4:$AJ$4,0))))+SUMPRODUCT((Inputs!$E$5:$E$130=$B18)*ISNUMBER(INDEX(Inputs!$K$5:$AJ$130,0,MATCH(AD$2,Inputs!$K$4:$AJ$4,0))))=0,NA(),SUMPRODUCT((Inputs!$A$5:$A$130=$B18)*Inputs!$B$5:$B$130*(((Inputs!$G$5:$G$130="moeda")+(Inputs!$G$5:$G$130="acoes"))*Inputs!$B$1+((Inputs!$G$5:$G$130&lt;&gt;"moeda")*(Inputs!$G$5:$G$130&lt;&gt;"acoes")))*INDEX(Inputs!$K$5:$AJ$130,0,MATCH(AD$2,Inputs!$K$4:$AJ$4,0)))+SUMPRODUCT((Inputs!$C$5:$C$130=$B18)*Inputs!$D$5:$D$130*(((Inputs!$G$5:$G$130="moeda")+(Inputs!$G$5:$G$130="acoes"))*Inputs!$B$1+((Inputs!$G$5:$G$130&lt;&gt;"moeda")*(Inputs!$G$5:$G$130&lt;&gt;"acoes")))*INDEX(Inputs!$K$5:$AJ$130,0,MATCH(AD$2,Inputs!$K$4:$AJ$4,0)))+SUMPRODUCT((Inputs!$E$5:$E$130=$B18)*Inputs!$F$5:$F$130*(((Inputs!$G$5:$G$130="moeda")+(Inputs!$G$5:$G$130="acoes"))*Inputs!$B$1+((Inputs!$G$5:$G$130&lt;&gt;"moeda")*(Inputs!$G$5:$G$130&lt;&gt;"acoes")))*INDEX(Inputs!$K$5:$AJ$130,0,MATCH(AD$2,Inputs!$K$4:$AJ$4,0)))))</f>
        <v>2343</v>
      </c>
      <c r="AE18" s="6" t="e">
        <f>IF(ISNA(MATCH(AE$2,Inputs!$K$4:$AJ$4,0)),NA(),IF(SUMPRODUCT((Inputs!$A$5:$A$130=$B18)*ISNUMBER(INDEX(Inputs!$K$5:$AJ$130,0,MATCH(AE$2,Inputs!$K$4:$AJ$4,0))))+SUMPRODUCT((Inputs!$C$5:$C$130=$B18)*ISNUMBER(INDEX(Inputs!$K$5:$AJ$130,0,MATCH(AE$2,Inputs!$K$4:$AJ$4,0))))+SUMPRODUCT((Inputs!$E$5:$E$130=$B18)*ISNUMBER(INDEX(Inputs!$K$5:$AJ$130,0,MATCH(AE$2,Inputs!$K$4:$AJ$4,0))))=0,NA(),SUMPRODUCT((Inputs!$A$5:$A$130=$B18)*Inputs!$B$5:$B$130*(((Inputs!$G$5:$G$130="moeda")+(Inputs!$G$5:$G$130="acoes"))*Inputs!$B$1+((Inputs!$G$5:$G$130&lt;&gt;"moeda")*(Inputs!$G$5:$G$130&lt;&gt;"acoes")))*INDEX(Inputs!$K$5:$AJ$130,0,MATCH(AE$2,Inputs!$K$4:$AJ$4,0)))+SUMPRODUCT((Inputs!$C$5:$C$130=$B18)*Inputs!$D$5:$D$130*(((Inputs!$G$5:$G$130="moeda")+(Inputs!$G$5:$G$130="acoes"))*Inputs!$B$1+((Inputs!$G$5:$G$130&lt;&gt;"moeda")*(Inputs!$G$5:$G$130&lt;&gt;"acoes")))*INDEX(Inputs!$K$5:$AJ$130,0,MATCH(AE$2,Inputs!$K$4:$AJ$4,0)))+SUMPRODUCT((Inputs!$E$5:$E$130=$B18)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8" s="6" t="e">
        <f>IF(ISNA(MATCH(AF$2,Inputs!$K$4:$AJ$4,0)),NA(),IF(SUMPRODUCT((Inputs!$A$5:$A$130=$B18)*ISNUMBER(INDEX(Inputs!$K$5:$AJ$130,0,MATCH(AF$2,Inputs!$K$4:$AJ$4,0))))+SUMPRODUCT((Inputs!$C$5:$C$130=$B18)*ISNUMBER(INDEX(Inputs!$K$5:$AJ$130,0,MATCH(AF$2,Inputs!$K$4:$AJ$4,0))))+SUMPRODUCT((Inputs!$E$5:$E$130=$B18)*ISNUMBER(INDEX(Inputs!$K$5:$AJ$130,0,MATCH(AF$2,Inputs!$K$4:$AJ$4,0))))=0,NA(),SUMPRODUCT((Inputs!$A$5:$A$130=$B18)*Inputs!$B$5:$B$130*(((Inputs!$G$5:$G$130="moeda")+(Inputs!$G$5:$G$130="acoes"))*Inputs!$B$1+((Inputs!$G$5:$G$130&lt;&gt;"moeda")*(Inputs!$G$5:$G$130&lt;&gt;"acoes")))*INDEX(Inputs!$K$5:$AJ$130,0,MATCH(AF$2,Inputs!$K$4:$AJ$4,0)))+SUMPRODUCT((Inputs!$C$5:$C$130=$B18)*Inputs!$D$5:$D$130*(((Inputs!$G$5:$G$130="moeda")+(Inputs!$G$5:$G$130="acoes"))*Inputs!$B$1+((Inputs!$G$5:$G$130&lt;&gt;"moeda")*(Inputs!$G$5:$G$130&lt;&gt;"acoes")))*INDEX(Inputs!$K$5:$AJ$130,0,MATCH(AF$2,Inputs!$K$4:$AJ$4,0)))+SUMPRODUCT((Inputs!$E$5:$E$130=$B18)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8" s="3" t="e">
        <f>AF18</f>
        <v>#N/A</v>
      </c>
      <c r="AH18" s="6">
        <f>IF(ISNA(MATCH(AH$2,Inputs!$K$4:$AJ$4,0)),NA(),IF(SUMPRODUCT((Inputs!$A$5:$A$130=$B18)*ISNUMBER(INDEX(Inputs!$K$5:$AJ$130,0,MATCH(AH$2,Inputs!$K$4:$AJ$4,0))))+SUMPRODUCT((Inputs!$C$5:$C$130=$B18)*ISNUMBER(INDEX(Inputs!$K$5:$AJ$130,0,MATCH(AH$2,Inputs!$K$4:$AJ$4,0))))+SUMPRODUCT((Inputs!$E$5:$E$130=$B18)*ISNUMBER(INDEX(Inputs!$K$5:$AJ$130,0,MATCH(AH$2,Inputs!$K$4:$AJ$4,0))))=0,NA(),SUMPRODUCT((Inputs!$A$5:$A$130=$B18)*Inputs!$B$5:$B$130*(((Inputs!$G$5:$G$130="moeda")+(Inputs!$G$5:$G$130="acoes"))*Inputs!$B$1+((Inputs!$G$5:$G$130&lt;&gt;"moeda")*(Inputs!$G$5:$G$130&lt;&gt;"acoes")))*INDEX(Inputs!$K$5:$AJ$130,0,MATCH(AH$2,Inputs!$K$4:$AJ$4,0)))+SUMPRODUCT((Inputs!$C$5:$C$130=$B18)*Inputs!$D$5:$D$130*(((Inputs!$G$5:$G$130="moeda")+(Inputs!$G$5:$G$130="acoes"))*Inputs!$B$1+((Inputs!$G$5:$G$130&lt;&gt;"moeda")*(Inputs!$G$5:$G$130&lt;&gt;"acoes")))*INDEX(Inputs!$K$5:$AJ$130,0,MATCH(AH$2,Inputs!$K$4:$AJ$4,0)))+SUMPRODUCT((Inputs!$E$5:$E$130=$B18)*Inputs!$F$5:$F$130*(((Inputs!$G$5:$G$130="moeda")+(Inputs!$G$5:$G$130="acoes"))*Inputs!$B$1+((Inputs!$G$5:$G$130&lt;&gt;"moeda")*(Inputs!$G$5:$G$130&lt;&gt;"acoes")))*INDEX(Inputs!$K$5:$AJ$130,0,MATCH(AH$2,Inputs!$K$4:$AJ$4,0)))))</f>
        <v>1435</v>
      </c>
      <c r="AI18" s="6">
        <f>IF(ISNA(MATCH(AI$2,Inputs!$K$4:$AJ$4,0)),NA(),IF(SUMPRODUCT((Inputs!$A$5:$A$130=$B18)*ISNUMBER(INDEX(Inputs!$K$5:$AJ$130,0,MATCH(AI$2,Inputs!$K$4:$AJ$4,0))))+SUMPRODUCT((Inputs!$C$5:$C$130=$B18)*ISNUMBER(INDEX(Inputs!$K$5:$AJ$130,0,MATCH(AI$2,Inputs!$K$4:$AJ$4,0))))+SUMPRODUCT((Inputs!$E$5:$E$130=$B18)*ISNUMBER(INDEX(Inputs!$K$5:$AJ$130,0,MATCH(AI$2,Inputs!$K$4:$AJ$4,0))))=0,NA(),SUMPRODUCT((Inputs!$A$5:$A$130=$B18)*Inputs!$B$5:$B$130*(((Inputs!$G$5:$G$130="moeda")+(Inputs!$G$5:$G$130="acoes"))*Inputs!$B$1+((Inputs!$G$5:$G$130&lt;&gt;"moeda")*(Inputs!$G$5:$G$130&lt;&gt;"acoes")))*INDEX(Inputs!$K$5:$AJ$130,0,MATCH(AI$2,Inputs!$K$4:$AJ$4,0)))+SUMPRODUCT((Inputs!$C$5:$C$130=$B18)*Inputs!$D$5:$D$130*(((Inputs!$G$5:$G$130="moeda")+(Inputs!$G$5:$G$130="acoes"))*Inputs!$B$1+((Inputs!$G$5:$G$130&lt;&gt;"moeda")*(Inputs!$G$5:$G$130&lt;&gt;"acoes")))*INDEX(Inputs!$K$5:$AJ$130,0,MATCH(AI$2,Inputs!$K$4:$AJ$4,0)))+SUMPRODUCT((Inputs!$E$5:$E$130=$B18)*Inputs!$F$5:$F$130*(((Inputs!$G$5:$G$130="moeda")+(Inputs!$G$5:$G$130="acoes"))*Inputs!$B$1+((Inputs!$G$5:$G$130&lt;&gt;"moeda")*(Inputs!$G$5:$G$130&lt;&gt;"acoes")))*INDEX(Inputs!$K$5:$AJ$130,0,MATCH(AI$2,Inputs!$K$4:$AJ$4,0)))))</f>
        <v>1534</v>
      </c>
      <c r="AJ18" s="6">
        <f>IF(ISNA(MATCH(AJ$2,Inputs!$K$4:$AJ$4,0)),NA(),IF(SUMPRODUCT((Inputs!$A$5:$A$130=$B18)*ISNUMBER(INDEX(Inputs!$K$5:$AJ$130,0,MATCH(AJ$2,Inputs!$K$4:$AJ$4,0))))+SUMPRODUCT((Inputs!$C$5:$C$130=$B18)*ISNUMBER(INDEX(Inputs!$K$5:$AJ$130,0,MATCH(AJ$2,Inputs!$K$4:$AJ$4,0))))+SUMPRODUCT((Inputs!$E$5:$E$130=$B18)*ISNUMBER(INDEX(Inputs!$K$5:$AJ$130,0,MATCH(AJ$2,Inputs!$K$4:$AJ$4,0))))=0,NA(),SUMPRODUCT((Inputs!$A$5:$A$130=$B18)*Inputs!$B$5:$B$130*(((Inputs!$G$5:$G$130="moeda")+(Inputs!$G$5:$G$130="acoes"))*Inputs!$B$1+((Inputs!$G$5:$G$130&lt;&gt;"moeda")*(Inputs!$G$5:$G$130&lt;&gt;"acoes")))*INDEX(Inputs!$K$5:$AJ$130,0,MATCH(AJ$2,Inputs!$K$4:$AJ$4,0)))+SUMPRODUCT((Inputs!$C$5:$C$130=$B18)*Inputs!$D$5:$D$130*(((Inputs!$G$5:$G$130="moeda")+(Inputs!$G$5:$G$130="acoes"))*Inputs!$B$1+((Inputs!$G$5:$G$130&lt;&gt;"moeda")*(Inputs!$G$5:$G$130&lt;&gt;"acoes")))*INDEX(Inputs!$K$5:$AJ$130,0,MATCH(AJ$2,Inputs!$K$4:$AJ$4,0)))+SUMPRODUCT((Inputs!$E$5:$E$130=$B18)*Inputs!$F$5:$F$130*(((Inputs!$G$5:$G$130="moeda")+(Inputs!$G$5:$G$130="acoes"))*Inputs!$B$1+((Inputs!$G$5:$G$130&lt;&gt;"moeda")*(Inputs!$G$5:$G$130&lt;&gt;"acoes")))*INDEX(Inputs!$K$5:$AJ$130,0,MATCH(AJ$2,Inputs!$K$4:$AJ$4,0)))))</f>
        <v>1499</v>
      </c>
      <c r="AK18" s="6">
        <f>IF(ISNA(MATCH(AK$2,Inputs!$K$4:$AJ$4,0)),NA(),IF(SUMPRODUCT((Inputs!$A$5:$A$130=$B18)*ISNUMBER(INDEX(Inputs!$K$5:$AJ$130,0,MATCH(AK$2,Inputs!$K$4:$AJ$4,0))))+SUMPRODUCT((Inputs!$C$5:$C$130=$B18)*ISNUMBER(INDEX(Inputs!$K$5:$AJ$130,0,MATCH(AK$2,Inputs!$K$4:$AJ$4,0))))+SUMPRODUCT((Inputs!$E$5:$E$130=$B18)*ISNUMBER(INDEX(Inputs!$K$5:$AJ$130,0,MATCH(AK$2,Inputs!$K$4:$AJ$4,0))))=0,NA(),SUMPRODUCT((Inputs!$A$5:$A$130=$B18)*Inputs!$B$5:$B$130*(((Inputs!$G$5:$G$130="moeda")+(Inputs!$G$5:$G$130="acoes"))*Inputs!$B$1+((Inputs!$G$5:$G$130&lt;&gt;"moeda")*(Inputs!$G$5:$G$130&lt;&gt;"acoes")))*INDEX(Inputs!$K$5:$AJ$130,0,MATCH(AK$2,Inputs!$K$4:$AJ$4,0)))+SUMPRODUCT((Inputs!$C$5:$C$130=$B18)*Inputs!$D$5:$D$130*(((Inputs!$G$5:$G$130="moeda")+(Inputs!$G$5:$G$130="acoes"))*Inputs!$B$1+((Inputs!$G$5:$G$130&lt;&gt;"moeda")*(Inputs!$G$5:$G$130&lt;&gt;"acoes")))*INDEX(Inputs!$K$5:$AJ$130,0,MATCH(AK$2,Inputs!$K$4:$AJ$4,0)))+SUMPRODUCT((Inputs!$E$5:$E$130=$B18)*Inputs!$F$5:$F$130*(((Inputs!$G$5:$G$130="moeda")+(Inputs!$G$5:$G$130="acoes"))*Inputs!$B$1+((Inputs!$G$5:$G$130&lt;&gt;"moeda")*(Inputs!$G$5:$G$130&lt;&gt;"acoes")))*INDEX(Inputs!$K$5:$AJ$130,0,MATCH(AK$2,Inputs!$K$4:$AJ$4,0)))))</f>
        <v>1556</v>
      </c>
      <c r="AL18" s="3">
        <f>AK18</f>
        <v>1556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$130=$B19)*ISNUMBER(INDEX(Inputs!$K$5:$AJ$130,0,MATCH(D$2,Inputs!$K$4:$AJ$4,0))))+SUMPRODUCT((Inputs!$C$5:$C$130=$B19)*ISNUMBER(INDEX(Inputs!$K$5:$AJ$130,0,MATCH(D$2,Inputs!$K$4:$AJ$4,0))))+SUMPRODUCT((Inputs!$E$5:$E$130=$B19)*ISNUMBER(INDEX(Inputs!$K$5:$AJ$130,0,MATCH(D$2,Inputs!$K$4:$AJ$4,0))))=0,NA(),SUMPRODUCT((Inputs!$A$5:$A$130=$B19)*Inputs!$B$5:$B$130*(((Inputs!$G$5:$G$130="moeda")+(Inputs!$G$5:$G$130="acoes"))*Inputs!$B$1+((Inputs!$G$5:$G$130&lt;&gt;"moeda")*(Inputs!$G$5:$G$130&lt;&gt;"acoes")))*INDEX(Inputs!$K$5:$AJ$130,0,MATCH(D$2,Inputs!$K$4:$AJ$4,0)))+SUMPRODUCT((Inputs!$C$5:$C$130=$B19)*Inputs!$D$5:$D$130*(((Inputs!$G$5:$G$130="moeda")+(Inputs!$G$5:$G$130="acoes"))*Inputs!$B$1+((Inputs!$G$5:$G$130&lt;&gt;"moeda")*(Inputs!$G$5:$G$130&lt;&gt;"acoes")))*INDEX(Inputs!$K$5:$AJ$130,0,MATCH(D$2,Inputs!$K$4:$AJ$4,0)))+SUMPRODUCT((Inputs!$E$5:$E$130=$B19)*Inputs!$F$5:$F$130*(((Inputs!$G$5:$G$130="moeda")+(Inputs!$G$5:$G$130="acoes"))*Inputs!$B$1+((Inputs!$G$5:$G$130&lt;&gt;"moeda")*(Inputs!$G$5:$G$130&lt;&gt;"acoes")))*INDEX(Inputs!$K$5:$AJ$130,0,MATCH(D$2,Inputs!$K$4:$AJ$4,0)))))</f>
        <v>0</v>
      </c>
      <c r="E19" s="6">
        <f>IF(ISNA(MATCH(E$2,Inputs!$K$4:$AJ$4,0)),NA(),IF(SUMPRODUCT((Inputs!$A$5:$A$130=$B19)*ISNUMBER(INDEX(Inputs!$K$5:$AJ$130,0,MATCH(E$2,Inputs!$K$4:$AJ$4,0))))+SUMPRODUCT((Inputs!$C$5:$C$130=$B19)*ISNUMBER(INDEX(Inputs!$K$5:$AJ$130,0,MATCH(E$2,Inputs!$K$4:$AJ$4,0))))+SUMPRODUCT((Inputs!$E$5:$E$130=$B19)*ISNUMBER(INDEX(Inputs!$K$5:$AJ$130,0,MATCH(E$2,Inputs!$K$4:$AJ$4,0))))=0,NA(),SUMPRODUCT((Inputs!$A$5:$A$130=$B19)*Inputs!$B$5:$B$130*(((Inputs!$G$5:$G$130="moeda")+(Inputs!$G$5:$G$130="acoes"))*Inputs!$B$1+((Inputs!$G$5:$G$130&lt;&gt;"moeda")*(Inputs!$G$5:$G$130&lt;&gt;"acoes")))*INDEX(Inputs!$K$5:$AJ$130,0,MATCH(E$2,Inputs!$K$4:$AJ$4,0)))+SUMPRODUCT((Inputs!$C$5:$C$130=$B19)*Inputs!$D$5:$D$130*(((Inputs!$G$5:$G$130="moeda")+(Inputs!$G$5:$G$130="acoes"))*Inputs!$B$1+((Inputs!$G$5:$G$130&lt;&gt;"moeda")*(Inputs!$G$5:$G$130&lt;&gt;"acoes")))*INDEX(Inputs!$K$5:$AJ$130,0,MATCH(E$2,Inputs!$K$4:$AJ$4,0)))+SUMPRODUCT((Inputs!$E$5:$E$130=$B19)*Inputs!$F$5:$F$130*(((Inputs!$G$5:$G$130="moeda")+(Inputs!$G$5:$G$130="acoes"))*Inputs!$B$1+((Inputs!$G$5:$G$130&lt;&gt;"moeda")*(Inputs!$G$5:$G$130&lt;&gt;"acoes")))*INDEX(Inputs!$K$5:$AJ$130,0,MATCH(E$2,Inputs!$K$4:$AJ$4,0)))))</f>
        <v>0</v>
      </c>
      <c r="F19" s="6">
        <f>IF(ISNA(MATCH(F$2,Inputs!$K$4:$AJ$4,0)),NA(),IF(SUMPRODUCT((Inputs!$A$5:$A$130=$B19)*ISNUMBER(INDEX(Inputs!$K$5:$AJ$130,0,MATCH(F$2,Inputs!$K$4:$AJ$4,0))))+SUMPRODUCT((Inputs!$C$5:$C$130=$B19)*ISNUMBER(INDEX(Inputs!$K$5:$AJ$130,0,MATCH(F$2,Inputs!$K$4:$AJ$4,0))))+SUMPRODUCT((Inputs!$E$5:$E$130=$B19)*ISNUMBER(INDEX(Inputs!$K$5:$AJ$130,0,MATCH(F$2,Inputs!$K$4:$AJ$4,0))))=0,NA(),SUMPRODUCT((Inputs!$A$5:$A$130=$B19)*Inputs!$B$5:$B$130*(((Inputs!$G$5:$G$130="moeda")+(Inputs!$G$5:$G$130="acoes"))*Inputs!$B$1+((Inputs!$G$5:$G$130&lt;&gt;"moeda")*(Inputs!$G$5:$G$130&lt;&gt;"acoes")))*INDEX(Inputs!$K$5:$AJ$130,0,MATCH(F$2,Inputs!$K$4:$AJ$4,0)))+SUMPRODUCT((Inputs!$C$5:$C$130=$B19)*Inputs!$D$5:$D$130*(((Inputs!$G$5:$G$130="moeda")+(Inputs!$G$5:$G$130="acoes"))*Inputs!$B$1+((Inputs!$G$5:$G$130&lt;&gt;"moeda")*(Inputs!$G$5:$G$130&lt;&gt;"acoes")))*INDEX(Inputs!$K$5:$AJ$130,0,MATCH(F$2,Inputs!$K$4:$AJ$4,0)))+SUMPRODUCT((Inputs!$E$5:$E$130=$B19)*Inputs!$F$5:$F$130*(((Inputs!$G$5:$G$130="moeda")+(Inputs!$G$5:$G$130="acoes"))*Inputs!$B$1+((Inputs!$G$5:$G$130&lt;&gt;"moeda")*(Inputs!$G$5:$G$130&lt;&gt;"acoes")))*INDEX(Inputs!$K$5:$AJ$130,0,MATCH(F$2,Inputs!$K$4:$AJ$4,0)))))</f>
        <v>0</v>
      </c>
      <c r="G19" s="6">
        <f>IF(ISNA(MATCH(G$2,Inputs!$K$4:$AJ$4,0)),NA(),IF(SUMPRODUCT((Inputs!$A$5:$A$130=$B19)*ISNUMBER(INDEX(Inputs!$K$5:$AJ$130,0,MATCH(G$2,Inputs!$K$4:$AJ$4,0))))+SUMPRODUCT((Inputs!$C$5:$C$130=$B19)*ISNUMBER(INDEX(Inputs!$K$5:$AJ$130,0,MATCH(G$2,Inputs!$K$4:$AJ$4,0))))+SUMPRODUCT((Inputs!$E$5:$E$130=$B19)*ISNUMBER(INDEX(Inputs!$K$5:$AJ$130,0,MATCH(G$2,Inputs!$K$4:$AJ$4,0))))=0,NA(),SUMPRODUCT((Inputs!$A$5:$A$130=$B19)*Inputs!$B$5:$B$130*(((Inputs!$G$5:$G$130="moeda")+(Inputs!$G$5:$G$130="acoes"))*Inputs!$B$1+((Inputs!$G$5:$G$130&lt;&gt;"moeda")*(Inputs!$G$5:$G$130&lt;&gt;"acoes")))*INDEX(Inputs!$K$5:$AJ$130,0,MATCH(G$2,Inputs!$K$4:$AJ$4,0)))+SUMPRODUCT((Inputs!$C$5:$C$130=$B19)*Inputs!$D$5:$D$130*(((Inputs!$G$5:$G$130="moeda")+(Inputs!$G$5:$G$130="acoes"))*Inputs!$B$1+((Inputs!$G$5:$G$130&lt;&gt;"moeda")*(Inputs!$G$5:$G$130&lt;&gt;"acoes")))*INDEX(Inputs!$K$5:$AJ$130,0,MATCH(G$2,Inputs!$K$4:$AJ$4,0)))+SUMPRODUCT((Inputs!$E$5:$E$130=$B19)*Inputs!$F$5:$F$130*(((Inputs!$G$5:$G$130="moeda")+(Inputs!$G$5:$G$130="acoes"))*Inputs!$B$1+((Inputs!$G$5:$G$130&lt;&gt;"moeda")*(Inputs!$G$5:$G$130&lt;&gt;"acoes")))*INDEX(Inputs!$K$5:$AJ$130,0,MATCH(G$2,Inputs!$K$4:$AJ$4,0)))))</f>
        <v>0</v>
      </c>
      <c r="H19" s="3">
        <f>G19</f>
        <v>0</v>
      </c>
      <c r="I19" s="6">
        <f>IF(ISNA(MATCH(I$2,Inputs!$K$4:$AJ$4,0)),NA(),IF(SUMPRODUCT((Inputs!$A$5:$A$130=$B19)*ISNUMBER(INDEX(Inputs!$K$5:$AJ$130,0,MATCH(I$2,Inputs!$K$4:$AJ$4,0))))+SUMPRODUCT((Inputs!$C$5:$C$130=$B19)*ISNUMBER(INDEX(Inputs!$K$5:$AJ$130,0,MATCH(I$2,Inputs!$K$4:$AJ$4,0))))+SUMPRODUCT((Inputs!$E$5:$E$130=$B19)*ISNUMBER(INDEX(Inputs!$K$5:$AJ$130,0,MATCH(I$2,Inputs!$K$4:$AJ$4,0))))=0,NA(),SUMPRODUCT((Inputs!$A$5:$A$130=$B19)*Inputs!$B$5:$B$130*(((Inputs!$G$5:$G$130="moeda")+(Inputs!$G$5:$G$130="acoes"))*Inputs!$B$1+((Inputs!$G$5:$G$130&lt;&gt;"moeda")*(Inputs!$G$5:$G$130&lt;&gt;"acoes")))*INDEX(Inputs!$K$5:$AJ$130,0,MATCH(I$2,Inputs!$K$4:$AJ$4,0)))+SUMPRODUCT((Inputs!$C$5:$C$130=$B19)*Inputs!$D$5:$D$130*(((Inputs!$G$5:$G$130="moeda")+(Inputs!$G$5:$G$130="acoes"))*Inputs!$B$1+((Inputs!$G$5:$G$130&lt;&gt;"moeda")*(Inputs!$G$5:$G$130&lt;&gt;"acoes")))*INDEX(Inputs!$K$5:$AJ$130,0,MATCH(I$2,Inputs!$K$4:$AJ$4,0)))+SUMPRODUCT((Inputs!$E$5:$E$130=$B19)*Inputs!$F$5:$F$130*(((Inputs!$G$5:$G$130="moeda")+(Inputs!$G$5:$G$130="acoes"))*Inputs!$B$1+((Inputs!$G$5:$G$130&lt;&gt;"moeda")*(Inputs!$G$5:$G$130&lt;&gt;"acoes")))*INDEX(Inputs!$K$5:$AJ$130,0,MATCH(I$2,Inputs!$K$4:$AJ$4,0)))))</f>
        <v>0</v>
      </c>
      <c r="J19" s="6">
        <f>IF(ISNA(MATCH(J$2,Inputs!$K$4:$AJ$4,0)),NA(),IF(SUMPRODUCT((Inputs!$A$5:$A$130=$B19)*ISNUMBER(INDEX(Inputs!$K$5:$AJ$130,0,MATCH(J$2,Inputs!$K$4:$AJ$4,0))))+SUMPRODUCT((Inputs!$C$5:$C$130=$B19)*ISNUMBER(INDEX(Inputs!$K$5:$AJ$130,0,MATCH(J$2,Inputs!$K$4:$AJ$4,0))))+SUMPRODUCT((Inputs!$E$5:$E$130=$B19)*ISNUMBER(INDEX(Inputs!$K$5:$AJ$130,0,MATCH(J$2,Inputs!$K$4:$AJ$4,0))))=0,NA(),SUMPRODUCT((Inputs!$A$5:$A$130=$B19)*Inputs!$B$5:$B$130*(((Inputs!$G$5:$G$130="moeda")+(Inputs!$G$5:$G$130="acoes"))*Inputs!$B$1+((Inputs!$G$5:$G$130&lt;&gt;"moeda")*(Inputs!$G$5:$G$130&lt;&gt;"acoes")))*INDEX(Inputs!$K$5:$AJ$130,0,MATCH(J$2,Inputs!$K$4:$AJ$4,0)))+SUMPRODUCT((Inputs!$C$5:$C$130=$B19)*Inputs!$D$5:$D$130*(((Inputs!$G$5:$G$130="moeda")+(Inputs!$G$5:$G$130="acoes"))*Inputs!$B$1+((Inputs!$G$5:$G$130&lt;&gt;"moeda")*(Inputs!$G$5:$G$130&lt;&gt;"acoes")))*INDEX(Inputs!$K$5:$AJ$130,0,MATCH(J$2,Inputs!$K$4:$AJ$4,0)))+SUMPRODUCT((Inputs!$E$5:$E$130=$B19)*Inputs!$F$5:$F$130*(((Inputs!$G$5:$G$130="moeda")+(Inputs!$G$5:$G$130="acoes"))*Inputs!$B$1+((Inputs!$G$5:$G$130&lt;&gt;"moeda")*(Inputs!$G$5:$G$130&lt;&gt;"acoes")))*INDEX(Inputs!$K$5:$AJ$130,0,MATCH(J$2,Inputs!$K$4:$AJ$4,0)))))</f>
        <v>0</v>
      </c>
      <c r="K19" s="6">
        <f>IF(ISNA(MATCH(K$2,Inputs!$K$4:$AJ$4,0)),NA(),IF(SUMPRODUCT((Inputs!$A$5:$A$130=$B19)*ISNUMBER(INDEX(Inputs!$K$5:$AJ$130,0,MATCH(K$2,Inputs!$K$4:$AJ$4,0))))+SUMPRODUCT((Inputs!$C$5:$C$130=$B19)*ISNUMBER(INDEX(Inputs!$K$5:$AJ$130,0,MATCH(K$2,Inputs!$K$4:$AJ$4,0))))+SUMPRODUCT((Inputs!$E$5:$E$130=$B19)*ISNUMBER(INDEX(Inputs!$K$5:$AJ$130,0,MATCH(K$2,Inputs!$K$4:$AJ$4,0))))=0,NA(),SUMPRODUCT((Inputs!$A$5:$A$130=$B19)*Inputs!$B$5:$B$130*(((Inputs!$G$5:$G$130="moeda")+(Inputs!$G$5:$G$130="acoes"))*Inputs!$B$1+((Inputs!$G$5:$G$130&lt;&gt;"moeda")*(Inputs!$G$5:$G$130&lt;&gt;"acoes")))*INDEX(Inputs!$K$5:$AJ$130,0,MATCH(K$2,Inputs!$K$4:$AJ$4,0)))+SUMPRODUCT((Inputs!$C$5:$C$130=$B19)*Inputs!$D$5:$D$130*(((Inputs!$G$5:$G$130="moeda")+(Inputs!$G$5:$G$130="acoes"))*Inputs!$B$1+((Inputs!$G$5:$G$130&lt;&gt;"moeda")*(Inputs!$G$5:$G$130&lt;&gt;"acoes")))*INDEX(Inputs!$K$5:$AJ$130,0,MATCH(K$2,Inputs!$K$4:$AJ$4,0)))+SUMPRODUCT((Inputs!$E$5:$E$130=$B19)*Inputs!$F$5:$F$130*(((Inputs!$G$5:$G$130="moeda")+(Inputs!$G$5:$G$130="acoes"))*Inputs!$B$1+((Inputs!$G$5:$G$130&lt;&gt;"moeda")*(Inputs!$G$5:$G$130&lt;&gt;"acoes")))*INDEX(Inputs!$K$5:$AJ$130,0,MATCH(K$2,Inputs!$K$4:$AJ$4,0)))))</f>
        <v>0</v>
      </c>
      <c r="L19" s="6">
        <f>IF(ISNA(MATCH(L$2,Inputs!$K$4:$AJ$4,0)),NA(),IF(SUMPRODUCT((Inputs!$A$5:$A$130=$B19)*ISNUMBER(INDEX(Inputs!$K$5:$AJ$130,0,MATCH(L$2,Inputs!$K$4:$AJ$4,0))))+SUMPRODUCT((Inputs!$C$5:$C$130=$B19)*ISNUMBER(INDEX(Inputs!$K$5:$AJ$130,0,MATCH(L$2,Inputs!$K$4:$AJ$4,0))))+SUMPRODUCT((Inputs!$E$5:$E$130=$B19)*ISNUMBER(INDEX(Inputs!$K$5:$AJ$130,0,MATCH(L$2,Inputs!$K$4:$AJ$4,0))))=0,NA(),SUMPRODUCT((Inputs!$A$5:$A$130=$B19)*Inputs!$B$5:$B$130*(((Inputs!$G$5:$G$130="moeda")+(Inputs!$G$5:$G$130="acoes"))*Inputs!$B$1+((Inputs!$G$5:$G$130&lt;&gt;"moeda")*(Inputs!$G$5:$G$130&lt;&gt;"acoes")))*INDEX(Inputs!$K$5:$AJ$130,0,MATCH(L$2,Inputs!$K$4:$AJ$4,0)))+SUMPRODUCT((Inputs!$C$5:$C$130=$B19)*Inputs!$D$5:$D$130*(((Inputs!$G$5:$G$130="moeda")+(Inputs!$G$5:$G$130="acoes"))*Inputs!$B$1+((Inputs!$G$5:$G$130&lt;&gt;"moeda")*(Inputs!$G$5:$G$130&lt;&gt;"acoes")))*INDEX(Inputs!$K$5:$AJ$130,0,MATCH(L$2,Inputs!$K$4:$AJ$4,0)))+SUMPRODUCT((Inputs!$E$5:$E$130=$B19)*Inputs!$F$5:$F$130*(((Inputs!$G$5:$G$130="moeda")+(Inputs!$G$5:$G$130="acoes"))*Inputs!$B$1+((Inputs!$G$5:$G$130&lt;&gt;"moeda")*(Inputs!$G$5:$G$130&lt;&gt;"acoes")))*INDEX(Inputs!$K$5:$AJ$130,0,MATCH(L$2,Inputs!$K$4:$AJ$4,0)))))</f>
        <v>0</v>
      </c>
      <c r="M19" s="3">
        <f>L19</f>
        <v>0</v>
      </c>
      <c r="N19" s="6">
        <f>IF(ISNA(MATCH(N$2,Inputs!$K$4:$AJ$4,0)),NA(),IF(SUMPRODUCT((Inputs!$A$5:$A$130=$B19)*ISNUMBER(INDEX(Inputs!$K$5:$AJ$130,0,MATCH(N$2,Inputs!$K$4:$AJ$4,0))))+SUMPRODUCT((Inputs!$C$5:$C$130=$B19)*ISNUMBER(INDEX(Inputs!$K$5:$AJ$130,0,MATCH(N$2,Inputs!$K$4:$AJ$4,0))))+SUMPRODUCT((Inputs!$E$5:$E$130=$B19)*ISNUMBER(INDEX(Inputs!$K$5:$AJ$130,0,MATCH(N$2,Inputs!$K$4:$AJ$4,0))))=0,NA(),SUMPRODUCT((Inputs!$A$5:$A$130=$B19)*Inputs!$B$5:$B$130*(((Inputs!$G$5:$G$130="moeda")+(Inputs!$G$5:$G$130="acoes"))*Inputs!$B$1+((Inputs!$G$5:$G$130&lt;&gt;"moeda")*(Inputs!$G$5:$G$130&lt;&gt;"acoes")))*INDEX(Inputs!$K$5:$AJ$130,0,MATCH(N$2,Inputs!$K$4:$AJ$4,0)))+SUMPRODUCT((Inputs!$C$5:$C$130=$B19)*Inputs!$D$5:$D$130*(((Inputs!$G$5:$G$130="moeda")+(Inputs!$G$5:$G$130="acoes"))*Inputs!$B$1+((Inputs!$G$5:$G$130&lt;&gt;"moeda")*(Inputs!$G$5:$G$130&lt;&gt;"acoes")))*INDEX(Inputs!$K$5:$AJ$130,0,MATCH(N$2,Inputs!$K$4:$AJ$4,0)))+SUMPRODUCT((Inputs!$E$5:$E$130=$B19)*Inputs!$F$5:$F$130*(((Inputs!$G$5:$G$130="moeda")+(Inputs!$G$5:$G$130="acoes"))*Inputs!$B$1+((Inputs!$G$5:$G$130&lt;&gt;"moeda")*(Inputs!$G$5:$G$130&lt;&gt;"acoes")))*INDEX(Inputs!$K$5:$AJ$130,0,MATCH(N$2,Inputs!$K$4:$AJ$4,0)))))</f>
        <v>0</v>
      </c>
      <c r="O19" s="6">
        <f>IF(ISNA(MATCH(O$2,Inputs!$K$4:$AJ$4,0)),NA(),IF(SUMPRODUCT((Inputs!$A$5:$A$130=$B19)*ISNUMBER(INDEX(Inputs!$K$5:$AJ$130,0,MATCH(O$2,Inputs!$K$4:$AJ$4,0))))+SUMPRODUCT((Inputs!$C$5:$C$130=$B19)*ISNUMBER(INDEX(Inputs!$K$5:$AJ$130,0,MATCH(O$2,Inputs!$K$4:$AJ$4,0))))+SUMPRODUCT((Inputs!$E$5:$E$130=$B19)*ISNUMBER(INDEX(Inputs!$K$5:$AJ$130,0,MATCH(O$2,Inputs!$K$4:$AJ$4,0))))=0,NA(),SUMPRODUCT((Inputs!$A$5:$A$130=$B19)*Inputs!$B$5:$B$130*(((Inputs!$G$5:$G$130="moeda")+(Inputs!$G$5:$G$130="acoes"))*Inputs!$B$1+((Inputs!$G$5:$G$130&lt;&gt;"moeda")*(Inputs!$G$5:$G$130&lt;&gt;"acoes")))*INDEX(Inputs!$K$5:$AJ$130,0,MATCH(O$2,Inputs!$K$4:$AJ$4,0)))+SUMPRODUCT((Inputs!$C$5:$C$130=$B19)*Inputs!$D$5:$D$130*(((Inputs!$G$5:$G$130="moeda")+(Inputs!$G$5:$G$130="acoes"))*Inputs!$B$1+((Inputs!$G$5:$G$130&lt;&gt;"moeda")*(Inputs!$G$5:$G$130&lt;&gt;"acoes")))*INDEX(Inputs!$K$5:$AJ$130,0,MATCH(O$2,Inputs!$K$4:$AJ$4,0)))+SUMPRODUCT((Inputs!$E$5:$E$130=$B19)*Inputs!$F$5:$F$130*(((Inputs!$G$5:$G$130="moeda")+(Inputs!$G$5:$G$130="acoes"))*Inputs!$B$1+((Inputs!$G$5:$G$130&lt;&gt;"moeda")*(Inputs!$G$5:$G$130&lt;&gt;"acoes")))*INDEX(Inputs!$K$5:$AJ$130,0,MATCH(O$2,Inputs!$K$4:$AJ$4,0)))))</f>
        <v>0</v>
      </c>
      <c r="P19" s="6">
        <f>IF(ISNA(MATCH(P$2,Inputs!$K$4:$AJ$4,0)),NA(),IF(SUMPRODUCT((Inputs!$A$5:$A$130=$B19)*ISNUMBER(INDEX(Inputs!$K$5:$AJ$130,0,MATCH(P$2,Inputs!$K$4:$AJ$4,0))))+SUMPRODUCT((Inputs!$C$5:$C$130=$B19)*ISNUMBER(INDEX(Inputs!$K$5:$AJ$130,0,MATCH(P$2,Inputs!$K$4:$AJ$4,0))))+SUMPRODUCT((Inputs!$E$5:$E$130=$B19)*ISNUMBER(INDEX(Inputs!$K$5:$AJ$130,0,MATCH(P$2,Inputs!$K$4:$AJ$4,0))))=0,NA(),SUMPRODUCT((Inputs!$A$5:$A$130=$B19)*Inputs!$B$5:$B$130*(((Inputs!$G$5:$G$130="moeda")+(Inputs!$G$5:$G$130="acoes"))*Inputs!$B$1+((Inputs!$G$5:$G$130&lt;&gt;"moeda")*(Inputs!$G$5:$G$130&lt;&gt;"acoes")))*INDEX(Inputs!$K$5:$AJ$130,0,MATCH(P$2,Inputs!$K$4:$AJ$4,0)))+SUMPRODUCT((Inputs!$C$5:$C$130=$B19)*Inputs!$D$5:$D$130*(((Inputs!$G$5:$G$130="moeda")+(Inputs!$G$5:$G$130="acoes"))*Inputs!$B$1+((Inputs!$G$5:$G$130&lt;&gt;"moeda")*(Inputs!$G$5:$G$130&lt;&gt;"acoes")))*INDEX(Inputs!$K$5:$AJ$130,0,MATCH(P$2,Inputs!$K$4:$AJ$4,0)))+SUMPRODUCT((Inputs!$E$5:$E$130=$B19)*Inputs!$F$5:$F$130*(((Inputs!$G$5:$G$130="moeda")+(Inputs!$G$5:$G$130="acoes"))*Inputs!$B$1+((Inputs!$G$5:$G$130&lt;&gt;"moeda")*(Inputs!$G$5:$G$130&lt;&gt;"acoes")))*INDEX(Inputs!$K$5:$AJ$130,0,MATCH(P$2,Inputs!$K$4:$AJ$4,0)))))</f>
        <v>0</v>
      </c>
      <c r="Q19" s="6">
        <f>IF(ISNA(MATCH(Q$2,Inputs!$K$4:$AJ$4,0)),NA(),IF(SUMPRODUCT((Inputs!$A$5:$A$130=$B19)*ISNUMBER(INDEX(Inputs!$K$5:$AJ$130,0,MATCH(Q$2,Inputs!$K$4:$AJ$4,0))))+SUMPRODUCT((Inputs!$C$5:$C$130=$B19)*ISNUMBER(INDEX(Inputs!$K$5:$AJ$130,0,MATCH(Q$2,Inputs!$K$4:$AJ$4,0))))+SUMPRODUCT((Inputs!$E$5:$E$130=$B19)*ISNUMBER(INDEX(Inputs!$K$5:$AJ$130,0,MATCH(Q$2,Inputs!$K$4:$AJ$4,0))))=0,NA(),SUMPRODUCT((Inputs!$A$5:$A$130=$B19)*Inputs!$B$5:$B$130*(((Inputs!$G$5:$G$130="moeda")+(Inputs!$G$5:$G$130="acoes"))*Inputs!$B$1+((Inputs!$G$5:$G$130&lt;&gt;"moeda")*(Inputs!$G$5:$G$130&lt;&gt;"acoes")))*INDEX(Inputs!$K$5:$AJ$130,0,MATCH(Q$2,Inputs!$K$4:$AJ$4,0)))+SUMPRODUCT((Inputs!$C$5:$C$130=$B19)*Inputs!$D$5:$D$130*(((Inputs!$G$5:$G$130="moeda")+(Inputs!$G$5:$G$130="acoes"))*Inputs!$B$1+((Inputs!$G$5:$G$130&lt;&gt;"moeda")*(Inputs!$G$5:$G$130&lt;&gt;"acoes")))*INDEX(Inputs!$K$5:$AJ$130,0,MATCH(Q$2,Inputs!$K$4:$AJ$4,0)))+SUMPRODUCT((Inputs!$E$5:$E$130=$B19)*Inputs!$F$5:$F$130*(((Inputs!$G$5:$G$130="moeda")+(Inputs!$G$5:$G$130="acoes"))*Inputs!$B$1+((Inputs!$G$5:$G$130&lt;&gt;"moeda")*(Inputs!$G$5:$G$130&lt;&gt;"acoes")))*INDEX(Inputs!$K$5:$AJ$130,0,MATCH(Q$2,Inputs!$K$4:$AJ$4,0)))))</f>
        <v>0</v>
      </c>
      <c r="R19" s="3">
        <f>Q19</f>
        <v>0</v>
      </c>
      <c r="S19" s="6">
        <f>IF(ISNA(MATCH(S$2,Inputs!$K$4:$AJ$4,0)),NA(),IF(SUMPRODUCT((Inputs!$A$5:$A$130=$B19)*ISNUMBER(INDEX(Inputs!$K$5:$AJ$130,0,MATCH(S$2,Inputs!$K$4:$AJ$4,0))))+SUMPRODUCT((Inputs!$C$5:$C$130=$B19)*ISNUMBER(INDEX(Inputs!$K$5:$AJ$130,0,MATCH(S$2,Inputs!$K$4:$AJ$4,0))))+SUMPRODUCT((Inputs!$E$5:$E$130=$B19)*ISNUMBER(INDEX(Inputs!$K$5:$AJ$130,0,MATCH(S$2,Inputs!$K$4:$AJ$4,0))))=0,NA(),SUMPRODUCT((Inputs!$A$5:$A$130=$B19)*Inputs!$B$5:$B$130*(((Inputs!$G$5:$G$130="moeda")+(Inputs!$G$5:$G$130="acoes"))*Inputs!$B$1+((Inputs!$G$5:$G$130&lt;&gt;"moeda")*(Inputs!$G$5:$G$130&lt;&gt;"acoes")))*INDEX(Inputs!$K$5:$AJ$130,0,MATCH(S$2,Inputs!$K$4:$AJ$4,0)))+SUMPRODUCT((Inputs!$C$5:$C$130=$B19)*Inputs!$D$5:$D$130*(((Inputs!$G$5:$G$130="moeda")+(Inputs!$G$5:$G$130="acoes"))*Inputs!$B$1+((Inputs!$G$5:$G$130&lt;&gt;"moeda")*(Inputs!$G$5:$G$130&lt;&gt;"acoes")))*INDEX(Inputs!$K$5:$AJ$130,0,MATCH(S$2,Inputs!$K$4:$AJ$4,0)))+SUMPRODUCT((Inputs!$E$5:$E$130=$B19)*Inputs!$F$5:$F$130*(((Inputs!$G$5:$G$130="moeda")+(Inputs!$G$5:$G$130="acoes"))*Inputs!$B$1+((Inputs!$G$5:$G$130&lt;&gt;"moeda")*(Inputs!$G$5:$G$130&lt;&gt;"acoes")))*INDEX(Inputs!$K$5:$AJ$130,0,MATCH(S$2,Inputs!$K$4:$AJ$4,0)))))</f>
        <v>0</v>
      </c>
      <c r="T19" s="6">
        <f>IF(ISNA(MATCH(T$2,Inputs!$K$4:$AJ$4,0)),NA(),IF(SUMPRODUCT((Inputs!$A$5:$A$130=$B19)*ISNUMBER(INDEX(Inputs!$K$5:$AJ$130,0,MATCH(T$2,Inputs!$K$4:$AJ$4,0))))+SUMPRODUCT((Inputs!$C$5:$C$130=$B19)*ISNUMBER(INDEX(Inputs!$K$5:$AJ$130,0,MATCH(T$2,Inputs!$K$4:$AJ$4,0))))+SUMPRODUCT((Inputs!$E$5:$E$130=$B19)*ISNUMBER(INDEX(Inputs!$K$5:$AJ$130,0,MATCH(T$2,Inputs!$K$4:$AJ$4,0))))=0,NA(),SUMPRODUCT((Inputs!$A$5:$A$130=$B19)*Inputs!$B$5:$B$130*(((Inputs!$G$5:$G$130="moeda")+(Inputs!$G$5:$G$130="acoes"))*Inputs!$B$1+((Inputs!$G$5:$G$130&lt;&gt;"moeda")*(Inputs!$G$5:$G$130&lt;&gt;"acoes")))*INDEX(Inputs!$K$5:$AJ$130,0,MATCH(T$2,Inputs!$K$4:$AJ$4,0)))+SUMPRODUCT((Inputs!$C$5:$C$130=$B19)*Inputs!$D$5:$D$130*(((Inputs!$G$5:$G$130="moeda")+(Inputs!$G$5:$G$130="acoes"))*Inputs!$B$1+((Inputs!$G$5:$G$130&lt;&gt;"moeda")*(Inputs!$G$5:$G$130&lt;&gt;"acoes")))*INDEX(Inputs!$K$5:$AJ$130,0,MATCH(T$2,Inputs!$K$4:$AJ$4,0)))+SUMPRODUCT((Inputs!$E$5:$E$130=$B19)*Inputs!$F$5:$F$130*(((Inputs!$G$5:$G$130="moeda")+(Inputs!$G$5:$G$130="acoes"))*Inputs!$B$1+((Inputs!$G$5:$G$130&lt;&gt;"moeda")*(Inputs!$G$5:$G$130&lt;&gt;"acoes")))*INDEX(Inputs!$K$5:$AJ$130,0,MATCH(T$2,Inputs!$K$4:$AJ$4,0)))))</f>
        <v>0</v>
      </c>
      <c r="U19" s="6">
        <f>IF(ISNA(MATCH(U$2,Inputs!$K$4:$AJ$4,0)),NA(),IF(SUMPRODUCT((Inputs!$A$5:$A$130=$B19)*ISNUMBER(INDEX(Inputs!$K$5:$AJ$130,0,MATCH(U$2,Inputs!$K$4:$AJ$4,0))))+SUMPRODUCT((Inputs!$C$5:$C$130=$B19)*ISNUMBER(INDEX(Inputs!$K$5:$AJ$130,0,MATCH(U$2,Inputs!$K$4:$AJ$4,0))))+SUMPRODUCT((Inputs!$E$5:$E$130=$B19)*ISNUMBER(INDEX(Inputs!$K$5:$AJ$130,0,MATCH(U$2,Inputs!$K$4:$AJ$4,0))))=0,NA(),SUMPRODUCT((Inputs!$A$5:$A$130=$B19)*Inputs!$B$5:$B$130*(((Inputs!$G$5:$G$130="moeda")+(Inputs!$G$5:$G$130="acoes"))*Inputs!$B$1+((Inputs!$G$5:$G$130&lt;&gt;"moeda")*(Inputs!$G$5:$G$130&lt;&gt;"acoes")))*INDEX(Inputs!$K$5:$AJ$130,0,MATCH(U$2,Inputs!$K$4:$AJ$4,0)))+SUMPRODUCT((Inputs!$C$5:$C$130=$B19)*Inputs!$D$5:$D$130*(((Inputs!$G$5:$G$130="moeda")+(Inputs!$G$5:$G$130="acoes"))*Inputs!$B$1+((Inputs!$G$5:$G$130&lt;&gt;"moeda")*(Inputs!$G$5:$G$130&lt;&gt;"acoes")))*INDEX(Inputs!$K$5:$AJ$130,0,MATCH(U$2,Inputs!$K$4:$AJ$4,0)))+SUMPRODUCT((Inputs!$E$5:$E$130=$B19)*Inputs!$F$5:$F$130*(((Inputs!$G$5:$G$130="moeda")+(Inputs!$G$5:$G$130="acoes"))*Inputs!$B$1+((Inputs!$G$5:$G$130&lt;&gt;"moeda")*(Inputs!$G$5:$G$130&lt;&gt;"acoes")))*INDEX(Inputs!$K$5:$AJ$130,0,MATCH(U$2,Inputs!$K$4:$AJ$4,0)))))</f>
        <v>0</v>
      </c>
      <c r="V19" s="6">
        <f>IF(ISNA(MATCH(V$2,Inputs!$K$4:$AJ$4,0)),NA(),IF(SUMPRODUCT((Inputs!$A$5:$A$130=$B19)*ISNUMBER(INDEX(Inputs!$K$5:$AJ$130,0,MATCH(V$2,Inputs!$K$4:$AJ$4,0))))+SUMPRODUCT((Inputs!$C$5:$C$130=$B19)*ISNUMBER(INDEX(Inputs!$K$5:$AJ$130,0,MATCH(V$2,Inputs!$K$4:$AJ$4,0))))+SUMPRODUCT((Inputs!$E$5:$E$130=$B19)*ISNUMBER(INDEX(Inputs!$K$5:$AJ$130,0,MATCH(V$2,Inputs!$K$4:$AJ$4,0))))=0,NA(),SUMPRODUCT((Inputs!$A$5:$A$130=$B19)*Inputs!$B$5:$B$130*(((Inputs!$G$5:$G$130="moeda")+(Inputs!$G$5:$G$130="acoes"))*Inputs!$B$1+((Inputs!$G$5:$G$130&lt;&gt;"moeda")*(Inputs!$G$5:$G$130&lt;&gt;"acoes")))*INDEX(Inputs!$K$5:$AJ$130,0,MATCH(V$2,Inputs!$K$4:$AJ$4,0)))+SUMPRODUCT((Inputs!$C$5:$C$130=$B19)*Inputs!$D$5:$D$130*(((Inputs!$G$5:$G$130="moeda")+(Inputs!$G$5:$G$130="acoes"))*Inputs!$B$1+((Inputs!$G$5:$G$130&lt;&gt;"moeda")*(Inputs!$G$5:$G$130&lt;&gt;"acoes")))*INDEX(Inputs!$K$5:$AJ$130,0,MATCH(V$2,Inputs!$K$4:$AJ$4,0)))+SUMPRODUCT((Inputs!$E$5:$E$130=$B19)*Inputs!$F$5:$F$130*(((Inputs!$G$5:$G$130="moeda")+(Inputs!$G$5:$G$130="acoes"))*Inputs!$B$1+((Inputs!$G$5:$G$130&lt;&gt;"moeda")*(Inputs!$G$5:$G$130&lt;&gt;"acoes")))*INDEX(Inputs!$K$5:$AJ$130,0,MATCH(V$2,Inputs!$K$4:$AJ$4,0)))))</f>
        <v>0</v>
      </c>
      <c r="W19" s="3">
        <f>V19</f>
        <v>0</v>
      </c>
      <c r="X19" s="6">
        <f>IF(ISNA(MATCH(X$2,Inputs!$K$4:$AJ$4,0)),NA(),IF(SUMPRODUCT((Inputs!$A$5:$A$130=$B19)*ISNUMBER(INDEX(Inputs!$K$5:$AJ$130,0,MATCH(X$2,Inputs!$K$4:$AJ$4,0))))+SUMPRODUCT((Inputs!$C$5:$C$130=$B19)*ISNUMBER(INDEX(Inputs!$K$5:$AJ$130,0,MATCH(X$2,Inputs!$K$4:$AJ$4,0))))+SUMPRODUCT((Inputs!$E$5:$E$130=$B19)*ISNUMBER(INDEX(Inputs!$K$5:$AJ$130,0,MATCH(X$2,Inputs!$K$4:$AJ$4,0))))=0,NA(),SUMPRODUCT((Inputs!$A$5:$A$130=$B19)*Inputs!$B$5:$B$130*(((Inputs!$G$5:$G$130="moeda")+(Inputs!$G$5:$G$130="acoes"))*Inputs!$B$1+((Inputs!$G$5:$G$130&lt;&gt;"moeda")*(Inputs!$G$5:$G$130&lt;&gt;"acoes")))*INDEX(Inputs!$K$5:$AJ$130,0,MATCH(X$2,Inputs!$K$4:$AJ$4,0)))+SUMPRODUCT((Inputs!$C$5:$C$130=$B19)*Inputs!$D$5:$D$130*(((Inputs!$G$5:$G$130="moeda")+(Inputs!$G$5:$G$130="acoes"))*Inputs!$B$1+((Inputs!$G$5:$G$130&lt;&gt;"moeda")*(Inputs!$G$5:$G$130&lt;&gt;"acoes")))*INDEX(Inputs!$K$5:$AJ$130,0,MATCH(X$2,Inputs!$K$4:$AJ$4,0)))+SUMPRODUCT((Inputs!$E$5:$E$130=$B19)*Inputs!$F$5:$F$130*(((Inputs!$G$5:$G$130="moeda")+(Inputs!$G$5:$G$130="acoes"))*Inputs!$B$1+((Inputs!$G$5:$G$130&lt;&gt;"moeda")*(Inputs!$G$5:$G$130&lt;&gt;"acoes")))*INDEX(Inputs!$K$5:$AJ$130,0,MATCH(X$2,Inputs!$K$4:$AJ$4,0)))))</f>
        <v>0</v>
      </c>
      <c r="Y19" s="6">
        <f>IF(ISNA(MATCH(Y$2,Inputs!$K$4:$AJ$4,0)),NA(),IF(SUMPRODUCT((Inputs!$A$5:$A$130=$B19)*ISNUMBER(INDEX(Inputs!$K$5:$AJ$130,0,MATCH(Y$2,Inputs!$K$4:$AJ$4,0))))+SUMPRODUCT((Inputs!$C$5:$C$130=$B19)*ISNUMBER(INDEX(Inputs!$K$5:$AJ$130,0,MATCH(Y$2,Inputs!$K$4:$AJ$4,0))))+SUMPRODUCT((Inputs!$E$5:$E$130=$B19)*ISNUMBER(INDEX(Inputs!$K$5:$AJ$130,0,MATCH(Y$2,Inputs!$K$4:$AJ$4,0))))=0,NA(),SUMPRODUCT((Inputs!$A$5:$A$130=$B19)*Inputs!$B$5:$B$130*(((Inputs!$G$5:$G$130="moeda")+(Inputs!$G$5:$G$130="acoes"))*Inputs!$B$1+((Inputs!$G$5:$G$130&lt;&gt;"moeda")*(Inputs!$G$5:$G$130&lt;&gt;"acoes")))*INDEX(Inputs!$K$5:$AJ$130,0,MATCH(Y$2,Inputs!$K$4:$AJ$4,0)))+SUMPRODUCT((Inputs!$C$5:$C$130=$B19)*Inputs!$D$5:$D$130*(((Inputs!$G$5:$G$130="moeda")+(Inputs!$G$5:$G$130="acoes"))*Inputs!$B$1+((Inputs!$G$5:$G$130&lt;&gt;"moeda")*(Inputs!$G$5:$G$130&lt;&gt;"acoes")))*INDEX(Inputs!$K$5:$AJ$130,0,MATCH(Y$2,Inputs!$K$4:$AJ$4,0)))+SUMPRODUCT((Inputs!$E$5:$E$130=$B19)*Inputs!$F$5:$F$130*(((Inputs!$G$5:$G$130="moeda")+(Inputs!$G$5:$G$130="acoes"))*Inputs!$B$1+((Inputs!$G$5:$G$130&lt;&gt;"moeda")*(Inputs!$G$5:$G$130&lt;&gt;"acoes")))*INDEX(Inputs!$K$5:$AJ$130,0,MATCH(Y$2,Inputs!$K$4:$AJ$4,0)))))</f>
        <v>0</v>
      </c>
      <c r="Z19" s="6">
        <f>IF(ISNA(MATCH(Z$2,Inputs!$K$4:$AJ$4,0)),NA(),IF(SUMPRODUCT((Inputs!$A$5:$A$130=$B19)*ISNUMBER(INDEX(Inputs!$K$5:$AJ$130,0,MATCH(Z$2,Inputs!$K$4:$AJ$4,0))))+SUMPRODUCT((Inputs!$C$5:$C$130=$B19)*ISNUMBER(INDEX(Inputs!$K$5:$AJ$130,0,MATCH(Z$2,Inputs!$K$4:$AJ$4,0))))+SUMPRODUCT((Inputs!$E$5:$E$130=$B19)*ISNUMBER(INDEX(Inputs!$K$5:$AJ$130,0,MATCH(Z$2,Inputs!$K$4:$AJ$4,0))))=0,NA(),SUMPRODUCT((Inputs!$A$5:$A$130=$B19)*Inputs!$B$5:$B$130*(((Inputs!$G$5:$G$130="moeda")+(Inputs!$G$5:$G$130="acoes"))*Inputs!$B$1+((Inputs!$G$5:$G$130&lt;&gt;"moeda")*(Inputs!$G$5:$G$130&lt;&gt;"acoes")))*INDEX(Inputs!$K$5:$AJ$130,0,MATCH(Z$2,Inputs!$K$4:$AJ$4,0)))+SUMPRODUCT((Inputs!$C$5:$C$130=$B19)*Inputs!$D$5:$D$130*(((Inputs!$G$5:$G$130="moeda")+(Inputs!$G$5:$G$130="acoes"))*Inputs!$B$1+((Inputs!$G$5:$G$130&lt;&gt;"moeda")*(Inputs!$G$5:$G$130&lt;&gt;"acoes")))*INDEX(Inputs!$K$5:$AJ$130,0,MATCH(Z$2,Inputs!$K$4:$AJ$4,0)))+SUMPRODUCT((Inputs!$E$5:$E$130=$B19)*Inputs!$F$5:$F$130*(((Inputs!$G$5:$G$130="moeda")+(Inputs!$G$5:$G$130="acoes"))*Inputs!$B$1+((Inputs!$G$5:$G$130&lt;&gt;"moeda")*(Inputs!$G$5:$G$130&lt;&gt;"acoes")))*INDEX(Inputs!$K$5:$AJ$130,0,MATCH(Z$2,Inputs!$K$4:$AJ$4,0)))))</f>
        <v>0</v>
      </c>
      <c r="AA19" s="6">
        <f>IF(ISNA(MATCH(AA$2,Inputs!$K$4:$AJ$4,0)),NA(),IF(SUMPRODUCT((Inputs!$A$5:$A$130=$B19)*ISNUMBER(INDEX(Inputs!$K$5:$AJ$130,0,MATCH(AA$2,Inputs!$K$4:$AJ$4,0))))+SUMPRODUCT((Inputs!$C$5:$C$130=$B19)*ISNUMBER(INDEX(Inputs!$K$5:$AJ$130,0,MATCH(AA$2,Inputs!$K$4:$AJ$4,0))))+SUMPRODUCT((Inputs!$E$5:$E$130=$B19)*ISNUMBER(INDEX(Inputs!$K$5:$AJ$130,0,MATCH(AA$2,Inputs!$K$4:$AJ$4,0))))=0,NA(),SUMPRODUCT((Inputs!$A$5:$A$130=$B19)*Inputs!$B$5:$B$130*(((Inputs!$G$5:$G$130="moeda")+(Inputs!$G$5:$G$130="acoes"))*Inputs!$B$1+((Inputs!$G$5:$G$130&lt;&gt;"moeda")*(Inputs!$G$5:$G$130&lt;&gt;"acoes")))*INDEX(Inputs!$K$5:$AJ$130,0,MATCH(AA$2,Inputs!$K$4:$AJ$4,0)))+SUMPRODUCT((Inputs!$C$5:$C$130=$B19)*Inputs!$D$5:$D$130*(((Inputs!$G$5:$G$130="moeda")+(Inputs!$G$5:$G$130="acoes"))*Inputs!$B$1+((Inputs!$G$5:$G$130&lt;&gt;"moeda")*(Inputs!$G$5:$G$130&lt;&gt;"acoes")))*INDEX(Inputs!$K$5:$AJ$130,0,MATCH(AA$2,Inputs!$K$4:$AJ$4,0)))+SUMPRODUCT((Inputs!$E$5:$E$130=$B19)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9" s="3">
        <f>AA19</f>
        <v>0</v>
      </c>
      <c r="AC19" s="6">
        <f>IF(ISNA(MATCH(AC$2,Inputs!$K$4:$AJ$4,0)),NA(),IF(SUMPRODUCT((Inputs!$A$5:$A$130=$B19)*ISNUMBER(INDEX(Inputs!$K$5:$AJ$130,0,MATCH(AC$2,Inputs!$K$4:$AJ$4,0))))+SUMPRODUCT((Inputs!$C$5:$C$130=$B19)*ISNUMBER(INDEX(Inputs!$K$5:$AJ$130,0,MATCH(AC$2,Inputs!$K$4:$AJ$4,0))))+SUMPRODUCT((Inputs!$E$5:$E$130=$B19)*ISNUMBER(INDEX(Inputs!$K$5:$AJ$130,0,MATCH(AC$2,Inputs!$K$4:$AJ$4,0))))=0,NA(),SUMPRODUCT((Inputs!$A$5:$A$130=$B19)*Inputs!$B$5:$B$130*(((Inputs!$G$5:$G$130="moeda")+(Inputs!$G$5:$G$130="acoes"))*Inputs!$B$1+((Inputs!$G$5:$G$130&lt;&gt;"moeda")*(Inputs!$G$5:$G$130&lt;&gt;"acoes")))*INDEX(Inputs!$K$5:$AJ$130,0,MATCH(AC$2,Inputs!$K$4:$AJ$4,0)))+SUMPRODUCT((Inputs!$C$5:$C$130=$B19)*Inputs!$D$5:$D$130*(((Inputs!$G$5:$G$130="moeda")+(Inputs!$G$5:$G$130="acoes"))*Inputs!$B$1+((Inputs!$G$5:$G$130&lt;&gt;"moeda")*(Inputs!$G$5:$G$130&lt;&gt;"acoes")))*INDEX(Inputs!$K$5:$AJ$130,0,MATCH(AC$2,Inputs!$K$4:$AJ$4,0)))+SUMPRODUCT((Inputs!$E$5:$E$130=$B19)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9" s="6">
        <f>IF(ISNA(MATCH(AD$2,Inputs!$K$4:$AJ$4,0)),NA(),IF(SUMPRODUCT((Inputs!$A$5:$A$130=$B19)*ISNUMBER(INDEX(Inputs!$K$5:$AJ$130,0,MATCH(AD$2,Inputs!$K$4:$AJ$4,0))))+SUMPRODUCT((Inputs!$C$5:$C$130=$B19)*ISNUMBER(INDEX(Inputs!$K$5:$AJ$130,0,MATCH(AD$2,Inputs!$K$4:$AJ$4,0))))+SUMPRODUCT((Inputs!$E$5:$E$130=$B19)*ISNUMBER(INDEX(Inputs!$K$5:$AJ$130,0,MATCH(AD$2,Inputs!$K$4:$AJ$4,0))))=0,NA(),SUMPRODUCT((Inputs!$A$5:$A$130=$B19)*Inputs!$B$5:$B$130*(((Inputs!$G$5:$G$130="moeda")+(Inputs!$G$5:$G$130="acoes"))*Inputs!$B$1+((Inputs!$G$5:$G$130&lt;&gt;"moeda")*(Inputs!$G$5:$G$130&lt;&gt;"acoes")))*INDEX(Inputs!$K$5:$AJ$130,0,MATCH(AD$2,Inputs!$K$4:$AJ$4,0)))+SUMPRODUCT((Inputs!$C$5:$C$130=$B19)*Inputs!$D$5:$D$130*(((Inputs!$G$5:$G$130="moeda")+(Inputs!$G$5:$G$130="acoes"))*Inputs!$B$1+((Inputs!$G$5:$G$130&lt;&gt;"moeda")*(Inputs!$G$5:$G$130&lt;&gt;"acoes")))*INDEX(Inputs!$K$5:$AJ$130,0,MATCH(AD$2,Inputs!$K$4:$AJ$4,0)))+SUMPRODUCT((Inputs!$E$5:$E$130=$B19)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9" s="6" t="e">
        <f>IF(ISNA(MATCH(AE$2,Inputs!$K$4:$AJ$4,0)),NA(),IF(SUMPRODUCT((Inputs!$A$5:$A$130=$B19)*ISNUMBER(INDEX(Inputs!$K$5:$AJ$130,0,MATCH(AE$2,Inputs!$K$4:$AJ$4,0))))+SUMPRODUCT((Inputs!$C$5:$C$130=$B19)*ISNUMBER(INDEX(Inputs!$K$5:$AJ$130,0,MATCH(AE$2,Inputs!$K$4:$AJ$4,0))))+SUMPRODUCT((Inputs!$E$5:$E$130=$B19)*ISNUMBER(INDEX(Inputs!$K$5:$AJ$130,0,MATCH(AE$2,Inputs!$K$4:$AJ$4,0))))=0,NA(),SUMPRODUCT((Inputs!$A$5:$A$130=$B19)*Inputs!$B$5:$B$130*(((Inputs!$G$5:$G$130="moeda")+(Inputs!$G$5:$G$130="acoes"))*Inputs!$B$1+((Inputs!$G$5:$G$130&lt;&gt;"moeda")*(Inputs!$G$5:$G$130&lt;&gt;"acoes")))*INDEX(Inputs!$K$5:$AJ$130,0,MATCH(AE$2,Inputs!$K$4:$AJ$4,0)))+SUMPRODUCT((Inputs!$C$5:$C$130=$B19)*Inputs!$D$5:$D$130*(((Inputs!$G$5:$G$130="moeda")+(Inputs!$G$5:$G$130="acoes"))*Inputs!$B$1+((Inputs!$G$5:$G$130&lt;&gt;"moeda")*(Inputs!$G$5:$G$130&lt;&gt;"acoes")))*INDEX(Inputs!$K$5:$AJ$130,0,MATCH(AE$2,Inputs!$K$4:$AJ$4,0)))+SUMPRODUCT((Inputs!$E$5:$E$130=$B19)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9" s="6" t="e">
        <f>IF(ISNA(MATCH(AF$2,Inputs!$K$4:$AJ$4,0)),NA(),IF(SUMPRODUCT((Inputs!$A$5:$A$130=$B19)*ISNUMBER(INDEX(Inputs!$K$5:$AJ$130,0,MATCH(AF$2,Inputs!$K$4:$AJ$4,0))))+SUMPRODUCT((Inputs!$C$5:$C$130=$B19)*ISNUMBER(INDEX(Inputs!$K$5:$AJ$130,0,MATCH(AF$2,Inputs!$K$4:$AJ$4,0))))+SUMPRODUCT((Inputs!$E$5:$E$130=$B19)*ISNUMBER(INDEX(Inputs!$K$5:$AJ$130,0,MATCH(AF$2,Inputs!$K$4:$AJ$4,0))))=0,NA(),SUMPRODUCT((Inputs!$A$5:$A$130=$B19)*Inputs!$B$5:$B$130*(((Inputs!$G$5:$G$130="moeda")+(Inputs!$G$5:$G$130="acoes"))*Inputs!$B$1+((Inputs!$G$5:$G$130&lt;&gt;"moeda")*(Inputs!$G$5:$G$130&lt;&gt;"acoes")))*INDEX(Inputs!$K$5:$AJ$130,0,MATCH(AF$2,Inputs!$K$4:$AJ$4,0)))+SUMPRODUCT((Inputs!$C$5:$C$130=$B19)*Inputs!$D$5:$D$130*(((Inputs!$G$5:$G$130="moeda")+(Inputs!$G$5:$G$130="acoes"))*Inputs!$B$1+((Inputs!$G$5:$G$130&lt;&gt;"moeda")*(Inputs!$G$5:$G$130&lt;&gt;"acoes")))*INDEX(Inputs!$K$5:$AJ$130,0,MATCH(AF$2,Inputs!$K$4:$AJ$4,0)))+SUMPRODUCT((Inputs!$E$5:$E$130=$B19)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9" s="3" t="e">
        <f>AF19</f>
        <v>#N/A</v>
      </c>
      <c r="AH19" s="6">
        <f>IF(ISNA(MATCH(AH$2,Inputs!$K$4:$AJ$4,0)),NA(),IF(SUMPRODUCT((Inputs!$A$5:$A$130=$B19)*ISNUMBER(INDEX(Inputs!$K$5:$AJ$130,0,MATCH(AH$2,Inputs!$K$4:$AJ$4,0))))+SUMPRODUCT((Inputs!$C$5:$C$130=$B19)*ISNUMBER(INDEX(Inputs!$K$5:$AJ$130,0,MATCH(AH$2,Inputs!$K$4:$AJ$4,0))))+SUMPRODUCT((Inputs!$E$5:$E$130=$B19)*ISNUMBER(INDEX(Inputs!$K$5:$AJ$130,0,MATCH(AH$2,Inputs!$K$4:$AJ$4,0))))=0,NA(),SUMPRODUCT((Inputs!$A$5:$A$130=$B19)*Inputs!$B$5:$B$130*(((Inputs!$G$5:$G$130="moeda")+(Inputs!$G$5:$G$130="acoes"))*Inputs!$B$1+((Inputs!$G$5:$G$130&lt;&gt;"moeda")*(Inputs!$G$5:$G$130&lt;&gt;"acoes")))*INDEX(Inputs!$K$5:$AJ$130,0,MATCH(AH$2,Inputs!$K$4:$AJ$4,0)))+SUMPRODUCT((Inputs!$C$5:$C$130=$B19)*Inputs!$D$5:$D$130*(((Inputs!$G$5:$G$130="moeda")+(Inputs!$G$5:$G$130="acoes"))*Inputs!$B$1+((Inputs!$G$5:$G$130&lt;&gt;"moeda")*(Inputs!$G$5:$G$130&lt;&gt;"acoes")))*INDEX(Inputs!$K$5:$AJ$130,0,MATCH(AH$2,Inputs!$K$4:$AJ$4,0)))+SUMPRODUCT((Inputs!$E$5:$E$130=$B19)*Inputs!$F$5:$F$130*(((Inputs!$G$5:$G$130="moeda")+(Inputs!$G$5:$G$130="acoes"))*Inputs!$B$1+((Inputs!$G$5:$G$130&lt;&gt;"moeda")*(Inputs!$G$5:$G$130&lt;&gt;"acoes")))*INDEX(Inputs!$K$5:$AJ$130,0,MATCH(AH$2,Inputs!$K$4:$AJ$4,0)))))</f>
        <v>0</v>
      </c>
      <c r="AI19" s="6">
        <f>IF(ISNA(MATCH(AI$2,Inputs!$K$4:$AJ$4,0)),NA(),IF(SUMPRODUCT((Inputs!$A$5:$A$130=$B19)*ISNUMBER(INDEX(Inputs!$K$5:$AJ$130,0,MATCH(AI$2,Inputs!$K$4:$AJ$4,0))))+SUMPRODUCT((Inputs!$C$5:$C$130=$B19)*ISNUMBER(INDEX(Inputs!$K$5:$AJ$130,0,MATCH(AI$2,Inputs!$K$4:$AJ$4,0))))+SUMPRODUCT((Inputs!$E$5:$E$130=$B19)*ISNUMBER(INDEX(Inputs!$K$5:$AJ$130,0,MATCH(AI$2,Inputs!$K$4:$AJ$4,0))))=0,NA(),SUMPRODUCT((Inputs!$A$5:$A$130=$B19)*Inputs!$B$5:$B$130*(((Inputs!$G$5:$G$130="moeda")+(Inputs!$G$5:$G$130="acoes"))*Inputs!$B$1+((Inputs!$G$5:$G$130&lt;&gt;"moeda")*(Inputs!$G$5:$G$130&lt;&gt;"acoes")))*INDEX(Inputs!$K$5:$AJ$130,0,MATCH(AI$2,Inputs!$K$4:$AJ$4,0)))+SUMPRODUCT((Inputs!$C$5:$C$130=$B19)*Inputs!$D$5:$D$130*(((Inputs!$G$5:$G$130="moeda")+(Inputs!$G$5:$G$130="acoes"))*Inputs!$B$1+((Inputs!$G$5:$G$130&lt;&gt;"moeda")*(Inputs!$G$5:$G$130&lt;&gt;"acoes")))*INDEX(Inputs!$K$5:$AJ$130,0,MATCH(AI$2,Inputs!$K$4:$AJ$4,0)))+SUMPRODUCT((Inputs!$E$5:$E$130=$B19)*Inputs!$F$5:$F$130*(((Inputs!$G$5:$G$130="moeda")+(Inputs!$G$5:$G$130="acoes"))*Inputs!$B$1+((Inputs!$G$5:$G$130&lt;&gt;"moeda")*(Inputs!$G$5:$G$130&lt;&gt;"acoes")))*INDEX(Inputs!$K$5:$AJ$130,0,MATCH(AI$2,Inputs!$K$4:$AJ$4,0)))))</f>
        <v>0</v>
      </c>
      <c r="AJ19" s="6">
        <f>IF(ISNA(MATCH(AJ$2,Inputs!$K$4:$AJ$4,0)),NA(),IF(SUMPRODUCT((Inputs!$A$5:$A$130=$B19)*ISNUMBER(INDEX(Inputs!$K$5:$AJ$130,0,MATCH(AJ$2,Inputs!$K$4:$AJ$4,0))))+SUMPRODUCT((Inputs!$C$5:$C$130=$B19)*ISNUMBER(INDEX(Inputs!$K$5:$AJ$130,0,MATCH(AJ$2,Inputs!$K$4:$AJ$4,0))))+SUMPRODUCT((Inputs!$E$5:$E$130=$B19)*ISNUMBER(INDEX(Inputs!$K$5:$AJ$130,0,MATCH(AJ$2,Inputs!$K$4:$AJ$4,0))))=0,NA(),SUMPRODUCT((Inputs!$A$5:$A$130=$B19)*Inputs!$B$5:$B$130*(((Inputs!$G$5:$G$130="moeda")+(Inputs!$G$5:$G$130="acoes"))*Inputs!$B$1+((Inputs!$G$5:$G$130&lt;&gt;"moeda")*(Inputs!$G$5:$G$130&lt;&gt;"acoes")))*INDEX(Inputs!$K$5:$AJ$130,0,MATCH(AJ$2,Inputs!$K$4:$AJ$4,0)))+SUMPRODUCT((Inputs!$C$5:$C$130=$B19)*Inputs!$D$5:$D$130*(((Inputs!$G$5:$G$130="moeda")+(Inputs!$G$5:$G$130="acoes"))*Inputs!$B$1+((Inputs!$G$5:$G$130&lt;&gt;"moeda")*(Inputs!$G$5:$G$130&lt;&gt;"acoes")))*INDEX(Inputs!$K$5:$AJ$130,0,MATCH(AJ$2,Inputs!$K$4:$AJ$4,0)))+SUMPRODUCT((Inputs!$E$5:$E$130=$B19)*Inputs!$F$5:$F$130*(((Inputs!$G$5:$G$130="moeda")+(Inputs!$G$5:$G$130="acoes"))*Inputs!$B$1+((Inputs!$G$5:$G$130&lt;&gt;"moeda")*(Inputs!$G$5:$G$130&lt;&gt;"acoes")))*INDEX(Inputs!$K$5:$AJ$130,0,MATCH(AJ$2,Inputs!$K$4:$AJ$4,0)))))</f>
        <v>0</v>
      </c>
      <c r="AK19" s="6">
        <f>IF(ISNA(MATCH(AK$2,Inputs!$K$4:$AJ$4,0)),NA(),IF(SUMPRODUCT((Inputs!$A$5:$A$130=$B19)*ISNUMBER(INDEX(Inputs!$K$5:$AJ$130,0,MATCH(AK$2,Inputs!$K$4:$AJ$4,0))))+SUMPRODUCT((Inputs!$C$5:$C$130=$B19)*ISNUMBER(INDEX(Inputs!$K$5:$AJ$130,0,MATCH(AK$2,Inputs!$K$4:$AJ$4,0))))+SUMPRODUCT((Inputs!$E$5:$E$130=$B19)*ISNUMBER(INDEX(Inputs!$K$5:$AJ$130,0,MATCH(AK$2,Inputs!$K$4:$AJ$4,0))))=0,NA(),SUMPRODUCT((Inputs!$A$5:$A$130=$B19)*Inputs!$B$5:$B$130*(((Inputs!$G$5:$G$130="moeda")+(Inputs!$G$5:$G$130="acoes"))*Inputs!$B$1+((Inputs!$G$5:$G$130&lt;&gt;"moeda")*(Inputs!$G$5:$G$130&lt;&gt;"acoes")))*INDEX(Inputs!$K$5:$AJ$130,0,MATCH(AK$2,Inputs!$K$4:$AJ$4,0)))+SUMPRODUCT((Inputs!$C$5:$C$130=$B19)*Inputs!$D$5:$D$130*(((Inputs!$G$5:$G$130="moeda")+(Inputs!$G$5:$G$130="acoes"))*Inputs!$B$1+((Inputs!$G$5:$G$130&lt;&gt;"moeda")*(Inputs!$G$5:$G$130&lt;&gt;"acoes")))*INDEX(Inputs!$K$5:$AJ$130,0,MATCH(AK$2,Inputs!$K$4:$AJ$4,0)))+SUMPRODUCT((Inputs!$E$5:$E$130=$B19)*Inputs!$F$5:$F$130*(((Inputs!$G$5:$G$130="moeda")+(Inputs!$G$5:$G$130="acoes"))*Inputs!$B$1+((Inputs!$G$5:$G$130&lt;&gt;"moeda")*(Inputs!$G$5:$G$130&lt;&gt;"acoes")))*INDEX(Inputs!$K$5:$AJ$130,0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$130=$B20)*ISNUMBER(INDEX(Inputs!$K$5:$AJ$130,0,MATCH(D$2,Inputs!$K$4:$AJ$4,0))))+SUMPRODUCT((Inputs!$C$5:$C$130=$B20)*ISNUMBER(INDEX(Inputs!$K$5:$AJ$130,0,MATCH(D$2,Inputs!$K$4:$AJ$4,0))))+SUMPRODUCT((Inputs!$E$5:$E$130=$B20)*ISNUMBER(INDEX(Inputs!$K$5:$AJ$130,0,MATCH(D$2,Inputs!$K$4:$AJ$4,0))))=0,NA(),SUMPRODUCT((Inputs!$A$5:$A$130=$B20)*Inputs!$B$5:$B$130*(((Inputs!$G$5:$G$130="moeda")+(Inputs!$G$5:$G$130="acoes"))*Inputs!$B$1+((Inputs!$G$5:$G$130&lt;&gt;"moeda")*(Inputs!$G$5:$G$130&lt;&gt;"acoes")))*INDEX(Inputs!$K$5:$AJ$130,0,MATCH(D$2,Inputs!$K$4:$AJ$4,0)))+SUMPRODUCT((Inputs!$C$5:$C$130=$B20)*Inputs!$D$5:$D$130*(((Inputs!$G$5:$G$130="moeda")+(Inputs!$G$5:$G$130="acoes"))*Inputs!$B$1+((Inputs!$G$5:$G$130&lt;&gt;"moeda")*(Inputs!$G$5:$G$130&lt;&gt;"acoes")))*INDEX(Inputs!$K$5:$AJ$130,0,MATCH(D$2,Inputs!$K$4:$AJ$4,0)))+SUMPRODUCT((Inputs!$E$5:$E$130=$B20)*Inputs!$F$5:$F$130*(((Inputs!$G$5:$G$130="moeda")+(Inputs!$G$5:$G$130="acoes"))*Inputs!$B$1+((Inputs!$G$5:$G$130&lt;&gt;"moeda")*(Inputs!$G$5:$G$130&lt;&gt;"acoes")))*INDEX(Inputs!$K$5:$AJ$130,0,MATCH(D$2,Inputs!$K$4:$AJ$4,0)))))</f>
        <v>59531</v>
      </c>
      <c r="E20" s="6">
        <f>IF(ISNA(MATCH(E$2,Inputs!$K$4:$AJ$4,0)),NA(),IF(SUMPRODUCT((Inputs!$A$5:$A$130=$B20)*ISNUMBER(INDEX(Inputs!$K$5:$AJ$130,0,MATCH(E$2,Inputs!$K$4:$AJ$4,0))))+SUMPRODUCT((Inputs!$C$5:$C$130=$B20)*ISNUMBER(INDEX(Inputs!$K$5:$AJ$130,0,MATCH(E$2,Inputs!$K$4:$AJ$4,0))))+SUMPRODUCT((Inputs!$E$5:$E$130=$B20)*ISNUMBER(INDEX(Inputs!$K$5:$AJ$130,0,MATCH(E$2,Inputs!$K$4:$AJ$4,0))))=0,NA(),SUMPRODUCT((Inputs!$A$5:$A$130=$B20)*Inputs!$B$5:$B$130*(((Inputs!$G$5:$G$130="moeda")+(Inputs!$G$5:$G$130="acoes"))*Inputs!$B$1+((Inputs!$G$5:$G$130&lt;&gt;"moeda")*(Inputs!$G$5:$G$130&lt;&gt;"acoes")))*INDEX(Inputs!$K$5:$AJ$130,0,MATCH(E$2,Inputs!$K$4:$AJ$4,0)))+SUMPRODUCT((Inputs!$C$5:$C$130=$B20)*Inputs!$D$5:$D$130*(((Inputs!$G$5:$G$130="moeda")+(Inputs!$G$5:$G$130="acoes"))*Inputs!$B$1+((Inputs!$G$5:$G$130&lt;&gt;"moeda")*(Inputs!$G$5:$G$130&lt;&gt;"acoes")))*INDEX(Inputs!$K$5:$AJ$130,0,MATCH(E$2,Inputs!$K$4:$AJ$4,0)))+SUMPRODUCT((Inputs!$E$5:$E$130=$B20)*Inputs!$F$5:$F$130*(((Inputs!$G$5:$G$130="moeda")+(Inputs!$G$5:$G$130="acoes"))*Inputs!$B$1+((Inputs!$G$5:$G$130&lt;&gt;"moeda")*(Inputs!$G$5:$G$130&lt;&gt;"acoes")))*INDEX(Inputs!$K$5:$AJ$130,0,MATCH(E$2,Inputs!$K$4:$AJ$4,0)))))</f>
        <v>60577</v>
      </c>
      <c r="F20" s="6">
        <f>IF(ISNA(MATCH(F$2,Inputs!$K$4:$AJ$4,0)),NA(),IF(SUMPRODUCT((Inputs!$A$5:$A$130=$B20)*ISNUMBER(INDEX(Inputs!$K$5:$AJ$130,0,MATCH(F$2,Inputs!$K$4:$AJ$4,0))))+SUMPRODUCT((Inputs!$C$5:$C$130=$B20)*ISNUMBER(INDEX(Inputs!$K$5:$AJ$130,0,MATCH(F$2,Inputs!$K$4:$AJ$4,0))))+SUMPRODUCT((Inputs!$E$5:$E$130=$B20)*ISNUMBER(INDEX(Inputs!$K$5:$AJ$130,0,MATCH(F$2,Inputs!$K$4:$AJ$4,0))))=0,NA(),SUMPRODUCT((Inputs!$A$5:$A$130=$B20)*Inputs!$B$5:$B$130*(((Inputs!$G$5:$G$130="moeda")+(Inputs!$G$5:$G$130="acoes"))*Inputs!$B$1+((Inputs!$G$5:$G$130&lt;&gt;"moeda")*(Inputs!$G$5:$G$130&lt;&gt;"acoes")))*INDEX(Inputs!$K$5:$AJ$130,0,MATCH(F$2,Inputs!$K$4:$AJ$4,0)))+SUMPRODUCT((Inputs!$C$5:$C$130=$B20)*Inputs!$D$5:$D$130*(((Inputs!$G$5:$G$130="moeda")+(Inputs!$G$5:$G$130="acoes"))*Inputs!$B$1+((Inputs!$G$5:$G$130&lt;&gt;"moeda")*(Inputs!$G$5:$G$130&lt;&gt;"acoes")))*INDEX(Inputs!$K$5:$AJ$130,0,MATCH(F$2,Inputs!$K$4:$AJ$4,0)))+SUMPRODUCT((Inputs!$E$5:$E$130=$B20)*Inputs!$F$5:$F$130*(((Inputs!$G$5:$G$130="moeda")+(Inputs!$G$5:$G$130="acoes"))*Inputs!$B$1+((Inputs!$G$5:$G$130&lt;&gt;"moeda")*(Inputs!$G$5:$G$130&lt;&gt;"acoes")))*INDEX(Inputs!$K$5:$AJ$130,0,MATCH(F$2,Inputs!$K$4:$AJ$4,0)))))</f>
        <v>63713</v>
      </c>
      <c r="G20" s="6">
        <f>IF(ISNA(MATCH(G$2,Inputs!$K$4:$AJ$4,0)),NA(),IF(SUMPRODUCT((Inputs!$A$5:$A$130=$B20)*ISNUMBER(INDEX(Inputs!$K$5:$AJ$130,0,MATCH(G$2,Inputs!$K$4:$AJ$4,0))))+SUMPRODUCT((Inputs!$C$5:$C$130=$B20)*ISNUMBER(INDEX(Inputs!$K$5:$AJ$130,0,MATCH(G$2,Inputs!$K$4:$AJ$4,0))))+SUMPRODUCT((Inputs!$E$5:$E$130=$B20)*ISNUMBER(INDEX(Inputs!$K$5:$AJ$130,0,MATCH(G$2,Inputs!$K$4:$AJ$4,0))))=0,NA(),SUMPRODUCT((Inputs!$A$5:$A$130=$B20)*Inputs!$B$5:$B$130*(((Inputs!$G$5:$G$130="moeda")+(Inputs!$G$5:$G$130="acoes"))*Inputs!$B$1+((Inputs!$G$5:$G$130&lt;&gt;"moeda")*(Inputs!$G$5:$G$130&lt;&gt;"acoes")))*INDEX(Inputs!$K$5:$AJ$130,0,MATCH(G$2,Inputs!$K$4:$AJ$4,0)))+SUMPRODUCT((Inputs!$C$5:$C$130=$B20)*Inputs!$D$5:$D$130*(((Inputs!$G$5:$G$130="moeda")+(Inputs!$G$5:$G$130="acoes"))*Inputs!$B$1+((Inputs!$G$5:$G$130&lt;&gt;"moeda")*(Inputs!$G$5:$G$130&lt;&gt;"acoes")))*INDEX(Inputs!$K$5:$AJ$130,0,MATCH(G$2,Inputs!$K$4:$AJ$4,0)))+SUMPRODUCT((Inputs!$E$5:$E$130=$B20)*Inputs!$F$5:$F$130*(((Inputs!$G$5:$G$130="moeda")+(Inputs!$G$5:$G$130="acoes"))*Inputs!$B$1+((Inputs!$G$5:$G$130&lt;&gt;"moeda")*(Inputs!$G$5:$G$130&lt;&gt;"acoes")))*INDEX(Inputs!$K$5:$AJ$130,0,MATCH(G$2,Inputs!$K$4:$AJ$4,0)))))</f>
        <v>61883</v>
      </c>
      <c r="H20" s="3">
        <f>G20</f>
        <v>61883</v>
      </c>
      <c r="I20" s="6">
        <f>IF(ISNA(MATCH(I$2,Inputs!$K$4:$AJ$4,0)),NA(),IF(SUMPRODUCT((Inputs!$A$5:$A$130=$B20)*ISNUMBER(INDEX(Inputs!$K$5:$AJ$130,0,MATCH(I$2,Inputs!$K$4:$AJ$4,0))))+SUMPRODUCT((Inputs!$C$5:$C$130=$B20)*ISNUMBER(INDEX(Inputs!$K$5:$AJ$130,0,MATCH(I$2,Inputs!$K$4:$AJ$4,0))))+SUMPRODUCT((Inputs!$E$5:$E$130=$B20)*ISNUMBER(INDEX(Inputs!$K$5:$AJ$130,0,MATCH(I$2,Inputs!$K$4:$AJ$4,0))))=0,NA(),SUMPRODUCT((Inputs!$A$5:$A$130=$B20)*Inputs!$B$5:$B$130*(((Inputs!$G$5:$G$130="moeda")+(Inputs!$G$5:$G$130="acoes"))*Inputs!$B$1+((Inputs!$G$5:$G$130&lt;&gt;"moeda")*(Inputs!$G$5:$G$130&lt;&gt;"acoes")))*INDEX(Inputs!$K$5:$AJ$130,0,MATCH(I$2,Inputs!$K$4:$AJ$4,0)))+SUMPRODUCT((Inputs!$C$5:$C$130=$B20)*Inputs!$D$5:$D$130*(((Inputs!$G$5:$G$130="moeda")+(Inputs!$G$5:$G$130="acoes"))*Inputs!$B$1+((Inputs!$G$5:$G$130&lt;&gt;"moeda")*(Inputs!$G$5:$G$130&lt;&gt;"acoes")))*INDEX(Inputs!$K$5:$AJ$130,0,MATCH(I$2,Inputs!$K$4:$AJ$4,0)))+SUMPRODUCT((Inputs!$E$5:$E$130=$B20)*Inputs!$F$5:$F$130*(((Inputs!$G$5:$G$130="moeda")+(Inputs!$G$5:$G$130="acoes"))*Inputs!$B$1+((Inputs!$G$5:$G$130&lt;&gt;"moeda")*(Inputs!$G$5:$G$130&lt;&gt;"acoes")))*INDEX(Inputs!$K$5:$AJ$130,0,MATCH(I$2,Inputs!$K$4:$AJ$4,0)))))</f>
        <v>64923</v>
      </c>
      <c r="J20" s="6">
        <f>IF(ISNA(MATCH(J$2,Inputs!$K$4:$AJ$4,0)),NA(),IF(SUMPRODUCT((Inputs!$A$5:$A$130=$B20)*ISNUMBER(INDEX(Inputs!$K$5:$AJ$130,0,MATCH(J$2,Inputs!$K$4:$AJ$4,0))))+SUMPRODUCT((Inputs!$C$5:$C$130=$B20)*ISNUMBER(INDEX(Inputs!$K$5:$AJ$130,0,MATCH(J$2,Inputs!$K$4:$AJ$4,0))))+SUMPRODUCT((Inputs!$E$5:$E$130=$B20)*ISNUMBER(INDEX(Inputs!$K$5:$AJ$130,0,MATCH(J$2,Inputs!$K$4:$AJ$4,0))))=0,NA(),SUMPRODUCT((Inputs!$A$5:$A$130=$B20)*Inputs!$B$5:$B$130*(((Inputs!$G$5:$G$130="moeda")+(Inputs!$G$5:$G$130="acoes"))*Inputs!$B$1+((Inputs!$G$5:$G$130&lt;&gt;"moeda")*(Inputs!$G$5:$G$130&lt;&gt;"acoes")))*INDEX(Inputs!$K$5:$AJ$130,0,MATCH(J$2,Inputs!$K$4:$AJ$4,0)))+SUMPRODUCT((Inputs!$C$5:$C$130=$B20)*Inputs!$D$5:$D$130*(((Inputs!$G$5:$G$130="moeda")+(Inputs!$G$5:$G$130="acoes"))*Inputs!$B$1+((Inputs!$G$5:$G$130&lt;&gt;"moeda")*(Inputs!$G$5:$G$130&lt;&gt;"acoes")))*INDEX(Inputs!$K$5:$AJ$130,0,MATCH(J$2,Inputs!$K$4:$AJ$4,0)))+SUMPRODUCT((Inputs!$E$5:$E$130=$B20)*Inputs!$F$5:$F$130*(((Inputs!$G$5:$G$130="moeda")+(Inputs!$G$5:$G$130="acoes"))*Inputs!$B$1+((Inputs!$G$5:$G$130&lt;&gt;"moeda")*(Inputs!$G$5:$G$130&lt;&gt;"acoes")))*INDEX(Inputs!$K$5:$AJ$130,0,MATCH(J$2,Inputs!$K$4:$AJ$4,0)))))</f>
        <v>26995</v>
      </c>
      <c r="K20" s="6">
        <f>IF(ISNA(MATCH(K$2,Inputs!$K$4:$AJ$4,0)),NA(),IF(SUMPRODUCT((Inputs!$A$5:$A$130=$B20)*ISNUMBER(INDEX(Inputs!$K$5:$AJ$130,0,MATCH(K$2,Inputs!$K$4:$AJ$4,0))))+SUMPRODUCT((Inputs!$C$5:$C$130=$B20)*ISNUMBER(INDEX(Inputs!$K$5:$AJ$130,0,MATCH(K$2,Inputs!$K$4:$AJ$4,0))))+SUMPRODUCT((Inputs!$E$5:$E$130=$B20)*ISNUMBER(INDEX(Inputs!$K$5:$AJ$130,0,MATCH(K$2,Inputs!$K$4:$AJ$4,0))))=0,NA(),SUMPRODUCT((Inputs!$A$5:$A$130=$B20)*Inputs!$B$5:$B$130*(((Inputs!$G$5:$G$130="moeda")+(Inputs!$G$5:$G$130="acoes"))*Inputs!$B$1+((Inputs!$G$5:$G$130&lt;&gt;"moeda")*(Inputs!$G$5:$G$130&lt;&gt;"acoes")))*INDEX(Inputs!$K$5:$AJ$130,0,MATCH(K$2,Inputs!$K$4:$AJ$4,0)))+SUMPRODUCT((Inputs!$C$5:$C$130=$B20)*Inputs!$D$5:$D$130*(((Inputs!$G$5:$G$130="moeda")+(Inputs!$G$5:$G$130="acoes"))*Inputs!$B$1+((Inputs!$G$5:$G$130&lt;&gt;"moeda")*(Inputs!$G$5:$G$130&lt;&gt;"acoes")))*INDEX(Inputs!$K$5:$AJ$130,0,MATCH(K$2,Inputs!$K$4:$AJ$4,0)))+SUMPRODUCT((Inputs!$E$5:$E$130=$B20)*Inputs!$F$5:$F$130*(((Inputs!$G$5:$G$130="moeda")+(Inputs!$G$5:$G$130="acoes"))*Inputs!$B$1+((Inputs!$G$5:$G$130&lt;&gt;"moeda")*(Inputs!$G$5:$G$130&lt;&gt;"acoes")))*INDEX(Inputs!$K$5:$AJ$130,0,MATCH(K$2,Inputs!$K$4:$AJ$4,0)))))</f>
        <v>28462</v>
      </c>
      <c r="L20" s="6">
        <f>IF(ISNA(MATCH(L$2,Inputs!$K$4:$AJ$4,0)),NA(),IF(SUMPRODUCT((Inputs!$A$5:$A$130=$B20)*ISNUMBER(INDEX(Inputs!$K$5:$AJ$130,0,MATCH(L$2,Inputs!$K$4:$AJ$4,0))))+SUMPRODUCT((Inputs!$C$5:$C$130=$B20)*ISNUMBER(INDEX(Inputs!$K$5:$AJ$130,0,MATCH(L$2,Inputs!$K$4:$AJ$4,0))))+SUMPRODUCT((Inputs!$E$5:$E$130=$B20)*ISNUMBER(INDEX(Inputs!$K$5:$AJ$130,0,MATCH(L$2,Inputs!$K$4:$AJ$4,0))))=0,NA(),SUMPRODUCT((Inputs!$A$5:$A$130=$B20)*Inputs!$B$5:$B$130*(((Inputs!$G$5:$G$130="moeda")+(Inputs!$G$5:$G$130="acoes"))*Inputs!$B$1+((Inputs!$G$5:$G$130&lt;&gt;"moeda")*(Inputs!$G$5:$G$130&lt;&gt;"acoes")))*INDEX(Inputs!$K$5:$AJ$130,0,MATCH(L$2,Inputs!$K$4:$AJ$4,0)))+SUMPRODUCT((Inputs!$C$5:$C$130=$B20)*Inputs!$D$5:$D$130*(((Inputs!$G$5:$G$130="moeda")+(Inputs!$G$5:$G$130="acoes"))*Inputs!$B$1+((Inputs!$G$5:$G$130&lt;&gt;"moeda")*(Inputs!$G$5:$G$130&lt;&gt;"acoes")))*INDEX(Inputs!$K$5:$AJ$130,0,MATCH(L$2,Inputs!$K$4:$AJ$4,0)))+SUMPRODUCT((Inputs!$E$5:$E$130=$B20)*Inputs!$F$5:$F$130*(((Inputs!$G$5:$G$130="moeda")+(Inputs!$G$5:$G$130="acoes"))*Inputs!$B$1+((Inputs!$G$5:$G$130&lt;&gt;"moeda")*(Inputs!$G$5:$G$130&lt;&gt;"acoes")))*INDEX(Inputs!$K$5:$AJ$130,0,MATCH(L$2,Inputs!$K$4:$AJ$4,0)))))</f>
        <v>29557</v>
      </c>
      <c r="M20" s="3">
        <f>L20</f>
        <v>29557</v>
      </c>
      <c r="N20" s="6">
        <f>IF(ISNA(MATCH(N$2,Inputs!$K$4:$AJ$4,0)),NA(),IF(SUMPRODUCT((Inputs!$A$5:$A$130=$B20)*ISNUMBER(INDEX(Inputs!$K$5:$AJ$130,0,MATCH(N$2,Inputs!$K$4:$AJ$4,0))))+SUMPRODUCT((Inputs!$C$5:$C$130=$B20)*ISNUMBER(INDEX(Inputs!$K$5:$AJ$130,0,MATCH(N$2,Inputs!$K$4:$AJ$4,0))))+SUMPRODUCT((Inputs!$E$5:$E$130=$B20)*ISNUMBER(INDEX(Inputs!$K$5:$AJ$130,0,MATCH(N$2,Inputs!$K$4:$AJ$4,0))))=0,NA(),SUMPRODUCT((Inputs!$A$5:$A$130=$B20)*Inputs!$B$5:$B$130*(((Inputs!$G$5:$G$130="moeda")+(Inputs!$G$5:$G$130="acoes"))*Inputs!$B$1+((Inputs!$G$5:$G$130&lt;&gt;"moeda")*(Inputs!$G$5:$G$130&lt;&gt;"acoes")))*INDEX(Inputs!$K$5:$AJ$130,0,MATCH(N$2,Inputs!$K$4:$AJ$4,0)))+SUMPRODUCT((Inputs!$C$5:$C$130=$B20)*Inputs!$D$5:$D$130*(((Inputs!$G$5:$G$130="moeda")+(Inputs!$G$5:$G$130="acoes"))*Inputs!$B$1+((Inputs!$G$5:$G$130&lt;&gt;"moeda")*(Inputs!$G$5:$G$130&lt;&gt;"acoes")))*INDEX(Inputs!$K$5:$AJ$130,0,MATCH(N$2,Inputs!$K$4:$AJ$4,0)))+SUMPRODUCT((Inputs!$E$5:$E$130=$B20)*Inputs!$F$5:$F$130*(((Inputs!$G$5:$G$130="moeda")+(Inputs!$G$5:$G$130="acoes"))*Inputs!$B$1+((Inputs!$G$5:$G$130&lt;&gt;"moeda")*(Inputs!$G$5:$G$130&lt;&gt;"acoes")))*INDEX(Inputs!$K$5:$AJ$130,0,MATCH(N$2,Inputs!$K$4:$AJ$4,0)))))</f>
        <v>32261</v>
      </c>
      <c r="O20" s="6">
        <f>IF(ISNA(MATCH(O$2,Inputs!$K$4:$AJ$4,0)),NA(),IF(SUMPRODUCT((Inputs!$A$5:$A$130=$B20)*ISNUMBER(INDEX(Inputs!$K$5:$AJ$130,0,MATCH(O$2,Inputs!$K$4:$AJ$4,0))))+SUMPRODUCT((Inputs!$C$5:$C$130=$B20)*ISNUMBER(INDEX(Inputs!$K$5:$AJ$130,0,MATCH(O$2,Inputs!$K$4:$AJ$4,0))))+SUMPRODUCT((Inputs!$E$5:$E$130=$B20)*ISNUMBER(INDEX(Inputs!$K$5:$AJ$130,0,MATCH(O$2,Inputs!$K$4:$AJ$4,0))))=0,NA(),SUMPRODUCT((Inputs!$A$5:$A$130=$B20)*Inputs!$B$5:$B$130*(((Inputs!$G$5:$G$130="moeda")+(Inputs!$G$5:$G$130="acoes"))*Inputs!$B$1+((Inputs!$G$5:$G$130&lt;&gt;"moeda")*(Inputs!$G$5:$G$130&lt;&gt;"acoes")))*INDEX(Inputs!$K$5:$AJ$130,0,MATCH(O$2,Inputs!$K$4:$AJ$4,0)))+SUMPRODUCT((Inputs!$C$5:$C$130=$B20)*Inputs!$D$5:$D$130*(((Inputs!$G$5:$G$130="moeda")+(Inputs!$G$5:$G$130="acoes"))*Inputs!$B$1+((Inputs!$G$5:$G$130&lt;&gt;"moeda")*(Inputs!$G$5:$G$130&lt;&gt;"acoes")))*INDEX(Inputs!$K$5:$AJ$130,0,MATCH(O$2,Inputs!$K$4:$AJ$4,0)))+SUMPRODUCT((Inputs!$E$5:$E$130=$B20)*Inputs!$F$5:$F$130*(((Inputs!$G$5:$G$130="moeda")+(Inputs!$G$5:$G$130="acoes"))*Inputs!$B$1+((Inputs!$G$5:$G$130&lt;&gt;"moeda")*(Inputs!$G$5:$G$130&lt;&gt;"acoes")))*INDEX(Inputs!$K$5:$AJ$130,0,MATCH(O$2,Inputs!$K$4:$AJ$4,0)))))</f>
        <v>32615</v>
      </c>
      <c r="P20" s="6">
        <f>IF(ISNA(MATCH(P$2,Inputs!$K$4:$AJ$4,0)),NA(),IF(SUMPRODUCT((Inputs!$A$5:$A$130=$B20)*ISNUMBER(INDEX(Inputs!$K$5:$AJ$130,0,MATCH(P$2,Inputs!$K$4:$AJ$4,0))))+SUMPRODUCT((Inputs!$C$5:$C$130=$B20)*ISNUMBER(INDEX(Inputs!$K$5:$AJ$130,0,MATCH(P$2,Inputs!$K$4:$AJ$4,0))))+SUMPRODUCT((Inputs!$E$5:$E$130=$B20)*ISNUMBER(INDEX(Inputs!$K$5:$AJ$130,0,MATCH(P$2,Inputs!$K$4:$AJ$4,0))))=0,NA(),SUMPRODUCT((Inputs!$A$5:$A$130=$B20)*Inputs!$B$5:$B$130*(((Inputs!$G$5:$G$130="moeda")+(Inputs!$G$5:$G$130="acoes"))*Inputs!$B$1+((Inputs!$G$5:$G$130&lt;&gt;"moeda")*(Inputs!$G$5:$G$130&lt;&gt;"acoes")))*INDEX(Inputs!$K$5:$AJ$130,0,MATCH(P$2,Inputs!$K$4:$AJ$4,0)))+SUMPRODUCT((Inputs!$C$5:$C$130=$B20)*Inputs!$D$5:$D$130*(((Inputs!$G$5:$G$130="moeda")+(Inputs!$G$5:$G$130="acoes"))*Inputs!$B$1+((Inputs!$G$5:$G$130&lt;&gt;"moeda")*(Inputs!$G$5:$G$130&lt;&gt;"acoes")))*INDEX(Inputs!$K$5:$AJ$130,0,MATCH(P$2,Inputs!$K$4:$AJ$4,0)))+SUMPRODUCT((Inputs!$E$5:$E$130=$B20)*Inputs!$F$5:$F$130*(((Inputs!$G$5:$G$130="moeda")+(Inputs!$G$5:$G$130="acoes"))*Inputs!$B$1+((Inputs!$G$5:$G$130&lt;&gt;"moeda")*(Inputs!$G$5:$G$130&lt;&gt;"acoes")))*INDEX(Inputs!$K$5:$AJ$130,0,MATCH(P$2,Inputs!$K$4:$AJ$4,0)))))</f>
        <v>30614</v>
      </c>
      <c r="Q20" s="6">
        <f>IF(ISNA(MATCH(Q$2,Inputs!$K$4:$AJ$4,0)),NA(),IF(SUMPRODUCT((Inputs!$A$5:$A$130=$B20)*ISNUMBER(INDEX(Inputs!$K$5:$AJ$130,0,MATCH(Q$2,Inputs!$K$4:$AJ$4,0))))+SUMPRODUCT((Inputs!$C$5:$C$130=$B20)*ISNUMBER(INDEX(Inputs!$K$5:$AJ$130,0,MATCH(Q$2,Inputs!$K$4:$AJ$4,0))))+SUMPRODUCT((Inputs!$E$5:$E$130=$B20)*ISNUMBER(INDEX(Inputs!$K$5:$AJ$130,0,MATCH(Q$2,Inputs!$K$4:$AJ$4,0))))=0,NA(),SUMPRODUCT((Inputs!$A$5:$A$130=$B20)*Inputs!$B$5:$B$130*(((Inputs!$G$5:$G$130="moeda")+(Inputs!$G$5:$G$130="acoes"))*Inputs!$B$1+((Inputs!$G$5:$G$130&lt;&gt;"moeda")*(Inputs!$G$5:$G$130&lt;&gt;"acoes")))*INDEX(Inputs!$K$5:$AJ$130,0,MATCH(Q$2,Inputs!$K$4:$AJ$4,0)))+SUMPRODUCT((Inputs!$C$5:$C$130=$B20)*Inputs!$D$5:$D$130*(((Inputs!$G$5:$G$130="moeda")+(Inputs!$G$5:$G$130="acoes"))*Inputs!$B$1+((Inputs!$G$5:$G$130&lt;&gt;"moeda")*(Inputs!$G$5:$G$130&lt;&gt;"acoes")))*INDEX(Inputs!$K$5:$AJ$130,0,MATCH(Q$2,Inputs!$K$4:$AJ$4,0)))+SUMPRODUCT((Inputs!$E$5:$E$130=$B20)*Inputs!$F$5:$F$130*(((Inputs!$G$5:$G$130="moeda")+(Inputs!$G$5:$G$130="acoes"))*Inputs!$B$1+((Inputs!$G$5:$G$130&lt;&gt;"moeda")*(Inputs!$G$5:$G$130&lt;&gt;"acoes")))*INDEX(Inputs!$K$5:$AJ$130,0,MATCH(Q$2,Inputs!$K$4:$AJ$4,0)))))</f>
        <v>30278</v>
      </c>
      <c r="R20" s="3">
        <f>Q20</f>
        <v>30278</v>
      </c>
      <c r="S20" s="6">
        <f>IF(ISNA(MATCH(S$2,Inputs!$K$4:$AJ$4,0)),NA(),IF(SUMPRODUCT((Inputs!$A$5:$A$130=$B20)*ISNUMBER(INDEX(Inputs!$K$5:$AJ$130,0,MATCH(S$2,Inputs!$K$4:$AJ$4,0))))+SUMPRODUCT((Inputs!$C$5:$C$130=$B20)*ISNUMBER(INDEX(Inputs!$K$5:$AJ$130,0,MATCH(S$2,Inputs!$K$4:$AJ$4,0))))+SUMPRODUCT((Inputs!$E$5:$E$130=$B20)*ISNUMBER(INDEX(Inputs!$K$5:$AJ$130,0,MATCH(S$2,Inputs!$K$4:$AJ$4,0))))=0,NA(),SUMPRODUCT((Inputs!$A$5:$A$130=$B20)*Inputs!$B$5:$B$130*(((Inputs!$G$5:$G$130="moeda")+(Inputs!$G$5:$G$130="acoes"))*Inputs!$B$1+((Inputs!$G$5:$G$130&lt;&gt;"moeda")*(Inputs!$G$5:$G$130&lt;&gt;"acoes")))*INDEX(Inputs!$K$5:$AJ$130,0,MATCH(S$2,Inputs!$K$4:$AJ$4,0)))+SUMPRODUCT((Inputs!$C$5:$C$130=$B20)*Inputs!$D$5:$D$130*(((Inputs!$G$5:$G$130="moeda")+(Inputs!$G$5:$G$130="acoes"))*Inputs!$B$1+((Inputs!$G$5:$G$130&lt;&gt;"moeda")*(Inputs!$G$5:$G$130&lt;&gt;"acoes")))*INDEX(Inputs!$K$5:$AJ$130,0,MATCH(S$2,Inputs!$K$4:$AJ$4,0)))+SUMPRODUCT((Inputs!$E$5:$E$130=$B20)*Inputs!$F$5:$F$130*(((Inputs!$G$5:$G$130="moeda")+(Inputs!$G$5:$G$130="acoes"))*Inputs!$B$1+((Inputs!$G$5:$G$130&lt;&gt;"moeda")*(Inputs!$G$5:$G$130&lt;&gt;"acoes")))*INDEX(Inputs!$K$5:$AJ$130,0,MATCH(S$2,Inputs!$K$4:$AJ$4,0)))))</f>
        <v>32156</v>
      </c>
      <c r="T20" s="6">
        <f>IF(ISNA(MATCH(T$2,Inputs!$K$4:$AJ$4,0)),NA(),IF(SUMPRODUCT((Inputs!$A$5:$A$130=$B20)*ISNUMBER(INDEX(Inputs!$K$5:$AJ$130,0,MATCH(T$2,Inputs!$K$4:$AJ$4,0))))+SUMPRODUCT((Inputs!$C$5:$C$130=$B20)*ISNUMBER(INDEX(Inputs!$K$5:$AJ$130,0,MATCH(T$2,Inputs!$K$4:$AJ$4,0))))+SUMPRODUCT((Inputs!$E$5:$E$130=$B20)*ISNUMBER(INDEX(Inputs!$K$5:$AJ$130,0,MATCH(T$2,Inputs!$K$4:$AJ$4,0))))=0,NA(),SUMPRODUCT((Inputs!$A$5:$A$130=$B20)*Inputs!$B$5:$B$130*(((Inputs!$G$5:$G$130="moeda")+(Inputs!$G$5:$G$130="acoes"))*Inputs!$B$1+((Inputs!$G$5:$G$130&lt;&gt;"moeda")*(Inputs!$G$5:$G$130&lt;&gt;"acoes")))*INDEX(Inputs!$K$5:$AJ$130,0,MATCH(T$2,Inputs!$K$4:$AJ$4,0)))+SUMPRODUCT((Inputs!$C$5:$C$130=$B20)*Inputs!$D$5:$D$130*(((Inputs!$G$5:$G$130="moeda")+(Inputs!$G$5:$G$130="acoes"))*Inputs!$B$1+((Inputs!$G$5:$G$130&lt;&gt;"moeda")*(Inputs!$G$5:$G$130&lt;&gt;"acoes")))*INDEX(Inputs!$K$5:$AJ$130,0,MATCH(T$2,Inputs!$K$4:$AJ$4,0)))+SUMPRODUCT((Inputs!$E$5:$E$130=$B20)*Inputs!$F$5:$F$130*(((Inputs!$G$5:$G$130="moeda")+(Inputs!$G$5:$G$130="acoes"))*Inputs!$B$1+((Inputs!$G$5:$G$130&lt;&gt;"moeda")*(Inputs!$G$5:$G$130&lt;&gt;"acoes")))*INDEX(Inputs!$K$5:$AJ$130,0,MATCH(T$2,Inputs!$K$4:$AJ$4,0)))))</f>
        <v>34083</v>
      </c>
      <c r="U20" s="6">
        <f>IF(ISNA(MATCH(U$2,Inputs!$K$4:$AJ$4,0)),NA(),IF(SUMPRODUCT((Inputs!$A$5:$A$130=$B20)*ISNUMBER(INDEX(Inputs!$K$5:$AJ$130,0,MATCH(U$2,Inputs!$K$4:$AJ$4,0))))+SUMPRODUCT((Inputs!$C$5:$C$130=$B20)*ISNUMBER(INDEX(Inputs!$K$5:$AJ$130,0,MATCH(U$2,Inputs!$K$4:$AJ$4,0))))+SUMPRODUCT((Inputs!$E$5:$E$130=$B20)*ISNUMBER(INDEX(Inputs!$K$5:$AJ$130,0,MATCH(U$2,Inputs!$K$4:$AJ$4,0))))=0,NA(),SUMPRODUCT((Inputs!$A$5:$A$130=$B20)*Inputs!$B$5:$B$130*(((Inputs!$G$5:$G$130="moeda")+(Inputs!$G$5:$G$130="acoes"))*Inputs!$B$1+((Inputs!$G$5:$G$130&lt;&gt;"moeda")*(Inputs!$G$5:$G$130&lt;&gt;"acoes")))*INDEX(Inputs!$K$5:$AJ$130,0,MATCH(U$2,Inputs!$K$4:$AJ$4,0)))+SUMPRODUCT((Inputs!$C$5:$C$130=$B20)*Inputs!$D$5:$D$130*(((Inputs!$G$5:$G$130="moeda")+(Inputs!$G$5:$G$130="acoes"))*Inputs!$B$1+((Inputs!$G$5:$G$130&lt;&gt;"moeda")*(Inputs!$G$5:$G$130&lt;&gt;"acoes")))*INDEX(Inputs!$K$5:$AJ$130,0,MATCH(U$2,Inputs!$K$4:$AJ$4,0)))+SUMPRODUCT((Inputs!$E$5:$E$130=$B20)*Inputs!$F$5:$F$130*(((Inputs!$G$5:$G$130="moeda")+(Inputs!$G$5:$G$130="acoes"))*Inputs!$B$1+((Inputs!$G$5:$G$130&lt;&gt;"moeda")*(Inputs!$G$5:$G$130&lt;&gt;"acoes")))*INDEX(Inputs!$K$5:$AJ$130,0,MATCH(U$2,Inputs!$K$4:$AJ$4,0)))))</f>
        <v>32827</v>
      </c>
      <c r="V20" s="6">
        <f>IF(ISNA(MATCH(V$2,Inputs!$K$4:$AJ$4,0)),NA(),IF(SUMPRODUCT((Inputs!$A$5:$A$130=$B20)*ISNUMBER(INDEX(Inputs!$K$5:$AJ$130,0,MATCH(V$2,Inputs!$K$4:$AJ$4,0))))+SUMPRODUCT((Inputs!$C$5:$C$130=$B20)*ISNUMBER(INDEX(Inputs!$K$5:$AJ$130,0,MATCH(V$2,Inputs!$K$4:$AJ$4,0))))+SUMPRODUCT((Inputs!$E$5:$E$130=$B20)*ISNUMBER(INDEX(Inputs!$K$5:$AJ$130,0,MATCH(V$2,Inputs!$K$4:$AJ$4,0))))=0,NA(),SUMPRODUCT((Inputs!$A$5:$A$130=$B20)*Inputs!$B$5:$B$130*(((Inputs!$G$5:$G$130="moeda")+(Inputs!$G$5:$G$130="acoes"))*Inputs!$B$1+((Inputs!$G$5:$G$130&lt;&gt;"moeda")*(Inputs!$G$5:$G$130&lt;&gt;"acoes")))*INDEX(Inputs!$K$5:$AJ$130,0,MATCH(V$2,Inputs!$K$4:$AJ$4,0)))+SUMPRODUCT((Inputs!$C$5:$C$130=$B20)*Inputs!$D$5:$D$130*(((Inputs!$G$5:$G$130="moeda")+(Inputs!$G$5:$G$130="acoes"))*Inputs!$B$1+((Inputs!$G$5:$G$130&lt;&gt;"moeda")*(Inputs!$G$5:$G$130&lt;&gt;"acoes")))*INDEX(Inputs!$K$5:$AJ$130,0,MATCH(V$2,Inputs!$K$4:$AJ$4,0)))+SUMPRODUCT((Inputs!$E$5:$E$130=$B20)*Inputs!$F$5:$F$130*(((Inputs!$G$5:$G$130="moeda")+(Inputs!$G$5:$G$130="acoes"))*Inputs!$B$1+((Inputs!$G$5:$G$130&lt;&gt;"moeda")*(Inputs!$G$5:$G$130&lt;&gt;"acoes")))*INDEX(Inputs!$K$5:$AJ$130,0,MATCH(V$2,Inputs!$K$4:$AJ$4,0)))))</f>
        <v>32460</v>
      </c>
      <c r="W20" s="3">
        <f>V20</f>
        <v>32460</v>
      </c>
      <c r="X20" s="6">
        <f>IF(ISNA(MATCH(X$2,Inputs!$K$4:$AJ$4,0)),NA(),IF(SUMPRODUCT((Inputs!$A$5:$A$130=$B20)*ISNUMBER(INDEX(Inputs!$K$5:$AJ$130,0,MATCH(X$2,Inputs!$K$4:$AJ$4,0))))+SUMPRODUCT((Inputs!$C$5:$C$130=$B20)*ISNUMBER(INDEX(Inputs!$K$5:$AJ$130,0,MATCH(X$2,Inputs!$K$4:$AJ$4,0))))+SUMPRODUCT((Inputs!$E$5:$E$130=$B20)*ISNUMBER(INDEX(Inputs!$K$5:$AJ$130,0,MATCH(X$2,Inputs!$K$4:$AJ$4,0))))=0,NA(),SUMPRODUCT((Inputs!$A$5:$A$130=$B20)*Inputs!$B$5:$B$130*(((Inputs!$G$5:$G$130="moeda")+(Inputs!$G$5:$G$130="acoes"))*Inputs!$B$1+((Inputs!$G$5:$G$130&lt;&gt;"moeda")*(Inputs!$G$5:$G$130&lt;&gt;"acoes")))*INDEX(Inputs!$K$5:$AJ$130,0,MATCH(X$2,Inputs!$K$4:$AJ$4,0)))+SUMPRODUCT((Inputs!$C$5:$C$130=$B20)*Inputs!$D$5:$D$130*(((Inputs!$G$5:$G$130="moeda")+(Inputs!$G$5:$G$130="acoes"))*Inputs!$B$1+((Inputs!$G$5:$G$130&lt;&gt;"moeda")*(Inputs!$G$5:$G$130&lt;&gt;"acoes")))*INDEX(Inputs!$K$5:$AJ$130,0,MATCH(X$2,Inputs!$K$4:$AJ$4,0)))+SUMPRODUCT((Inputs!$E$5:$E$130=$B20)*Inputs!$F$5:$F$130*(((Inputs!$G$5:$G$130="moeda")+(Inputs!$G$5:$G$130="acoes"))*Inputs!$B$1+((Inputs!$G$5:$G$130&lt;&gt;"moeda")*(Inputs!$G$5:$G$130&lt;&gt;"acoes")))*INDEX(Inputs!$K$5:$AJ$130,0,MATCH(X$2,Inputs!$K$4:$AJ$4,0)))))</f>
        <v>32502</v>
      </c>
      <c r="Y20" s="6">
        <f>IF(ISNA(MATCH(Y$2,Inputs!$K$4:$AJ$4,0)),NA(),IF(SUMPRODUCT((Inputs!$A$5:$A$130=$B20)*ISNUMBER(INDEX(Inputs!$K$5:$AJ$130,0,MATCH(Y$2,Inputs!$K$4:$AJ$4,0))))+SUMPRODUCT((Inputs!$C$5:$C$130=$B20)*ISNUMBER(INDEX(Inputs!$K$5:$AJ$130,0,MATCH(Y$2,Inputs!$K$4:$AJ$4,0))))+SUMPRODUCT((Inputs!$E$5:$E$130=$B20)*ISNUMBER(INDEX(Inputs!$K$5:$AJ$130,0,MATCH(Y$2,Inputs!$K$4:$AJ$4,0))))=0,NA(),SUMPRODUCT((Inputs!$A$5:$A$130=$B20)*Inputs!$B$5:$B$130*(((Inputs!$G$5:$G$130="moeda")+(Inputs!$G$5:$G$130="acoes"))*Inputs!$B$1+((Inputs!$G$5:$G$130&lt;&gt;"moeda")*(Inputs!$G$5:$G$130&lt;&gt;"acoes")))*INDEX(Inputs!$K$5:$AJ$130,0,MATCH(Y$2,Inputs!$K$4:$AJ$4,0)))+SUMPRODUCT((Inputs!$C$5:$C$130=$B20)*Inputs!$D$5:$D$130*(((Inputs!$G$5:$G$130="moeda")+(Inputs!$G$5:$G$130="acoes"))*Inputs!$B$1+((Inputs!$G$5:$G$130&lt;&gt;"moeda")*(Inputs!$G$5:$G$130&lt;&gt;"acoes")))*INDEX(Inputs!$K$5:$AJ$130,0,MATCH(Y$2,Inputs!$K$4:$AJ$4,0)))+SUMPRODUCT((Inputs!$E$5:$E$130=$B20)*Inputs!$F$5:$F$130*(((Inputs!$G$5:$G$130="moeda")+(Inputs!$G$5:$G$130="acoes"))*Inputs!$B$1+((Inputs!$G$5:$G$130&lt;&gt;"moeda")*(Inputs!$G$5:$G$130&lt;&gt;"acoes")))*INDEX(Inputs!$K$5:$AJ$130,0,MATCH(Y$2,Inputs!$K$4:$AJ$4,0)))))</f>
        <v>32302</v>
      </c>
      <c r="Z20" s="6">
        <f>IF(ISNA(MATCH(Z$2,Inputs!$K$4:$AJ$4,0)),NA(),IF(SUMPRODUCT((Inputs!$A$5:$A$130=$B20)*ISNUMBER(INDEX(Inputs!$K$5:$AJ$130,0,MATCH(Z$2,Inputs!$K$4:$AJ$4,0))))+SUMPRODUCT((Inputs!$C$5:$C$130=$B20)*ISNUMBER(INDEX(Inputs!$K$5:$AJ$130,0,MATCH(Z$2,Inputs!$K$4:$AJ$4,0))))+SUMPRODUCT((Inputs!$E$5:$E$130=$B20)*ISNUMBER(INDEX(Inputs!$K$5:$AJ$130,0,MATCH(Z$2,Inputs!$K$4:$AJ$4,0))))=0,NA(),SUMPRODUCT((Inputs!$A$5:$A$130=$B20)*Inputs!$B$5:$B$130*(((Inputs!$G$5:$G$130="moeda")+(Inputs!$G$5:$G$130="acoes"))*Inputs!$B$1+((Inputs!$G$5:$G$130&lt;&gt;"moeda")*(Inputs!$G$5:$G$130&lt;&gt;"acoes")))*INDEX(Inputs!$K$5:$AJ$130,0,MATCH(Z$2,Inputs!$K$4:$AJ$4,0)))+SUMPRODUCT((Inputs!$C$5:$C$130=$B20)*Inputs!$D$5:$D$130*(((Inputs!$G$5:$G$130="moeda")+(Inputs!$G$5:$G$130="acoes"))*Inputs!$B$1+((Inputs!$G$5:$G$130&lt;&gt;"moeda")*(Inputs!$G$5:$G$130&lt;&gt;"acoes")))*INDEX(Inputs!$K$5:$AJ$130,0,MATCH(Z$2,Inputs!$K$4:$AJ$4,0)))+SUMPRODUCT((Inputs!$E$5:$E$130=$B20)*Inputs!$F$5:$F$130*(((Inputs!$G$5:$G$130="moeda")+(Inputs!$G$5:$G$130="acoes"))*Inputs!$B$1+((Inputs!$G$5:$G$130&lt;&gt;"moeda")*(Inputs!$G$5:$G$130&lt;&gt;"acoes")))*INDEX(Inputs!$K$5:$AJ$130,0,MATCH(Z$2,Inputs!$K$4:$AJ$4,0)))))</f>
        <v>31544</v>
      </c>
      <c r="AA20" s="6">
        <f>IF(ISNA(MATCH(AA$2,Inputs!$K$4:$AJ$4,0)),NA(),IF(SUMPRODUCT((Inputs!$A$5:$A$130=$B20)*ISNUMBER(INDEX(Inputs!$K$5:$AJ$130,0,MATCH(AA$2,Inputs!$K$4:$AJ$4,0))))+SUMPRODUCT((Inputs!$C$5:$C$130=$B20)*ISNUMBER(INDEX(Inputs!$K$5:$AJ$130,0,MATCH(AA$2,Inputs!$K$4:$AJ$4,0))))+SUMPRODUCT((Inputs!$E$5:$E$130=$B20)*ISNUMBER(INDEX(Inputs!$K$5:$AJ$130,0,MATCH(AA$2,Inputs!$K$4:$AJ$4,0))))=0,NA(),SUMPRODUCT((Inputs!$A$5:$A$130=$B20)*Inputs!$B$5:$B$130*(((Inputs!$G$5:$G$130="moeda")+(Inputs!$G$5:$G$130="acoes"))*Inputs!$B$1+((Inputs!$G$5:$G$130&lt;&gt;"moeda")*(Inputs!$G$5:$G$130&lt;&gt;"acoes")))*INDEX(Inputs!$K$5:$AJ$130,0,MATCH(AA$2,Inputs!$K$4:$AJ$4,0)))+SUMPRODUCT((Inputs!$C$5:$C$130=$B20)*Inputs!$D$5:$D$130*(((Inputs!$G$5:$G$130="moeda")+(Inputs!$G$5:$G$130="acoes"))*Inputs!$B$1+((Inputs!$G$5:$G$130&lt;&gt;"moeda")*(Inputs!$G$5:$G$130&lt;&gt;"acoes")))*INDEX(Inputs!$K$5:$AJ$130,0,MATCH(AA$2,Inputs!$K$4:$AJ$4,0)))+SUMPRODUCT((Inputs!$E$5:$E$130=$B20)*Inputs!$F$5:$F$130*(((Inputs!$G$5:$G$130="moeda")+(Inputs!$G$5:$G$130="acoes"))*Inputs!$B$1+((Inputs!$G$5:$G$130&lt;&gt;"moeda")*(Inputs!$G$5:$G$130&lt;&gt;"acoes")))*INDEX(Inputs!$K$5:$AJ$130,0,MATCH(AA$2,Inputs!$K$4:$AJ$4,0)))))</f>
        <v>32332</v>
      </c>
      <c r="AB20" s="3">
        <f>AA20</f>
        <v>32332</v>
      </c>
      <c r="AC20" s="6">
        <f>IF(ISNA(MATCH(AC$2,Inputs!$K$4:$AJ$4,0)),NA(),IF(SUMPRODUCT((Inputs!$A$5:$A$130=$B20)*ISNUMBER(INDEX(Inputs!$K$5:$AJ$130,0,MATCH(AC$2,Inputs!$K$4:$AJ$4,0))))+SUMPRODUCT((Inputs!$C$5:$C$130=$B20)*ISNUMBER(INDEX(Inputs!$K$5:$AJ$130,0,MATCH(AC$2,Inputs!$K$4:$AJ$4,0))))+SUMPRODUCT((Inputs!$E$5:$E$130=$B20)*ISNUMBER(INDEX(Inputs!$K$5:$AJ$130,0,MATCH(AC$2,Inputs!$K$4:$AJ$4,0))))=0,NA(),SUMPRODUCT((Inputs!$A$5:$A$130=$B20)*Inputs!$B$5:$B$130*(((Inputs!$G$5:$G$130="moeda")+(Inputs!$G$5:$G$130="acoes"))*Inputs!$B$1+((Inputs!$G$5:$G$130&lt;&gt;"moeda")*(Inputs!$G$5:$G$130&lt;&gt;"acoes")))*INDEX(Inputs!$K$5:$AJ$130,0,MATCH(AC$2,Inputs!$K$4:$AJ$4,0)))+SUMPRODUCT((Inputs!$C$5:$C$130=$B20)*Inputs!$D$5:$D$130*(((Inputs!$G$5:$G$130="moeda")+(Inputs!$G$5:$G$130="acoes"))*Inputs!$B$1+((Inputs!$G$5:$G$130&lt;&gt;"moeda")*(Inputs!$G$5:$G$130&lt;&gt;"acoes")))*INDEX(Inputs!$K$5:$AJ$130,0,MATCH(AC$2,Inputs!$K$4:$AJ$4,0)))+SUMPRODUCT((Inputs!$E$5:$E$130=$B20)*Inputs!$F$5:$F$130*(((Inputs!$G$5:$G$130="moeda")+(Inputs!$G$5:$G$130="acoes"))*Inputs!$B$1+((Inputs!$G$5:$G$130&lt;&gt;"moeda")*(Inputs!$G$5:$G$130&lt;&gt;"acoes")))*INDEX(Inputs!$K$5:$AJ$130,0,MATCH(AC$2,Inputs!$K$4:$AJ$4,0)))))</f>
        <v>34043</v>
      </c>
      <c r="AD20" s="6">
        <f>IF(ISNA(MATCH(AD$2,Inputs!$K$4:$AJ$4,0)),NA(),IF(SUMPRODUCT((Inputs!$A$5:$A$130=$B20)*ISNUMBER(INDEX(Inputs!$K$5:$AJ$130,0,MATCH(AD$2,Inputs!$K$4:$AJ$4,0))))+SUMPRODUCT((Inputs!$C$5:$C$130=$B20)*ISNUMBER(INDEX(Inputs!$K$5:$AJ$130,0,MATCH(AD$2,Inputs!$K$4:$AJ$4,0))))+SUMPRODUCT((Inputs!$E$5:$E$130=$B20)*ISNUMBER(INDEX(Inputs!$K$5:$AJ$130,0,MATCH(AD$2,Inputs!$K$4:$AJ$4,0))))=0,NA(),SUMPRODUCT((Inputs!$A$5:$A$130=$B20)*Inputs!$B$5:$B$130*(((Inputs!$G$5:$G$130="moeda")+(Inputs!$G$5:$G$130="acoes"))*Inputs!$B$1+((Inputs!$G$5:$G$130&lt;&gt;"moeda")*(Inputs!$G$5:$G$130&lt;&gt;"acoes")))*INDEX(Inputs!$K$5:$AJ$130,0,MATCH(AD$2,Inputs!$K$4:$AJ$4,0)))+SUMPRODUCT((Inputs!$C$5:$C$130=$B20)*Inputs!$D$5:$D$130*(((Inputs!$G$5:$G$130="moeda")+(Inputs!$G$5:$G$130="acoes"))*Inputs!$B$1+((Inputs!$G$5:$G$130&lt;&gt;"moeda")*(Inputs!$G$5:$G$130&lt;&gt;"acoes")))*INDEX(Inputs!$K$5:$AJ$130,0,MATCH(AD$2,Inputs!$K$4:$AJ$4,0)))+SUMPRODUCT((Inputs!$E$5:$E$130=$B20)*Inputs!$F$5:$F$130*(((Inputs!$G$5:$G$130="moeda")+(Inputs!$G$5:$G$130="acoes"))*Inputs!$B$1+((Inputs!$G$5:$G$130&lt;&gt;"moeda")*(Inputs!$G$5:$G$130&lt;&gt;"acoes")))*INDEX(Inputs!$K$5:$AJ$130,0,MATCH(AD$2,Inputs!$K$4:$AJ$4,0)))))</f>
        <v>33943</v>
      </c>
      <c r="AE20" s="6" t="e">
        <f>IF(ISNA(MATCH(AE$2,Inputs!$K$4:$AJ$4,0)),NA(),IF(SUMPRODUCT((Inputs!$A$5:$A$130=$B20)*ISNUMBER(INDEX(Inputs!$K$5:$AJ$130,0,MATCH(AE$2,Inputs!$K$4:$AJ$4,0))))+SUMPRODUCT((Inputs!$C$5:$C$130=$B20)*ISNUMBER(INDEX(Inputs!$K$5:$AJ$130,0,MATCH(AE$2,Inputs!$K$4:$AJ$4,0))))+SUMPRODUCT((Inputs!$E$5:$E$130=$B20)*ISNUMBER(INDEX(Inputs!$K$5:$AJ$130,0,MATCH(AE$2,Inputs!$K$4:$AJ$4,0))))=0,NA(),SUMPRODUCT((Inputs!$A$5:$A$130=$B20)*Inputs!$B$5:$B$130*(((Inputs!$G$5:$G$130="moeda")+(Inputs!$G$5:$G$130="acoes"))*Inputs!$B$1+((Inputs!$G$5:$G$130&lt;&gt;"moeda")*(Inputs!$G$5:$G$130&lt;&gt;"acoes")))*INDEX(Inputs!$K$5:$AJ$130,0,MATCH(AE$2,Inputs!$K$4:$AJ$4,0)))+SUMPRODUCT((Inputs!$C$5:$C$130=$B20)*Inputs!$D$5:$D$130*(((Inputs!$G$5:$G$130="moeda")+(Inputs!$G$5:$G$130="acoes"))*Inputs!$B$1+((Inputs!$G$5:$G$130&lt;&gt;"moeda")*(Inputs!$G$5:$G$130&lt;&gt;"acoes")))*INDEX(Inputs!$K$5:$AJ$130,0,MATCH(AE$2,Inputs!$K$4:$AJ$4,0)))+SUMPRODUCT((Inputs!$E$5:$E$130=$B20)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0" s="6" t="e">
        <f>IF(ISNA(MATCH(AF$2,Inputs!$K$4:$AJ$4,0)),NA(),IF(SUMPRODUCT((Inputs!$A$5:$A$130=$B20)*ISNUMBER(INDEX(Inputs!$K$5:$AJ$130,0,MATCH(AF$2,Inputs!$K$4:$AJ$4,0))))+SUMPRODUCT((Inputs!$C$5:$C$130=$B20)*ISNUMBER(INDEX(Inputs!$K$5:$AJ$130,0,MATCH(AF$2,Inputs!$K$4:$AJ$4,0))))+SUMPRODUCT((Inputs!$E$5:$E$130=$B20)*ISNUMBER(INDEX(Inputs!$K$5:$AJ$130,0,MATCH(AF$2,Inputs!$K$4:$AJ$4,0))))=0,NA(),SUMPRODUCT((Inputs!$A$5:$A$130=$B20)*Inputs!$B$5:$B$130*(((Inputs!$G$5:$G$130="moeda")+(Inputs!$G$5:$G$130="acoes"))*Inputs!$B$1+((Inputs!$G$5:$G$130&lt;&gt;"moeda")*(Inputs!$G$5:$G$130&lt;&gt;"acoes")))*INDEX(Inputs!$K$5:$AJ$130,0,MATCH(AF$2,Inputs!$K$4:$AJ$4,0)))+SUMPRODUCT((Inputs!$C$5:$C$130=$B20)*Inputs!$D$5:$D$130*(((Inputs!$G$5:$G$130="moeda")+(Inputs!$G$5:$G$130="acoes"))*Inputs!$B$1+((Inputs!$G$5:$G$130&lt;&gt;"moeda")*(Inputs!$G$5:$G$130&lt;&gt;"acoes")))*INDEX(Inputs!$K$5:$AJ$130,0,MATCH(AF$2,Inputs!$K$4:$AJ$4,0)))+SUMPRODUCT((Inputs!$E$5:$E$130=$B20)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0" s="3" t="e">
        <f>AF20</f>
        <v>#N/A</v>
      </c>
      <c r="AH20" s="6">
        <f>IF(ISNA(MATCH(AH$2,Inputs!$K$4:$AJ$4,0)),NA(),IF(SUMPRODUCT((Inputs!$A$5:$A$130=$B20)*ISNUMBER(INDEX(Inputs!$K$5:$AJ$130,0,MATCH(AH$2,Inputs!$K$4:$AJ$4,0))))+SUMPRODUCT((Inputs!$C$5:$C$130=$B20)*ISNUMBER(INDEX(Inputs!$K$5:$AJ$130,0,MATCH(AH$2,Inputs!$K$4:$AJ$4,0))))+SUMPRODUCT((Inputs!$E$5:$E$130=$B20)*ISNUMBER(INDEX(Inputs!$K$5:$AJ$130,0,MATCH(AH$2,Inputs!$K$4:$AJ$4,0))))=0,NA(),SUMPRODUCT((Inputs!$A$5:$A$130=$B20)*Inputs!$B$5:$B$130*(((Inputs!$G$5:$G$130="moeda")+(Inputs!$G$5:$G$130="acoes"))*Inputs!$B$1+((Inputs!$G$5:$G$130&lt;&gt;"moeda")*(Inputs!$G$5:$G$130&lt;&gt;"acoes")))*INDEX(Inputs!$K$5:$AJ$130,0,MATCH(AH$2,Inputs!$K$4:$AJ$4,0)))+SUMPRODUCT((Inputs!$C$5:$C$130=$B20)*Inputs!$D$5:$D$130*(((Inputs!$G$5:$G$130="moeda")+(Inputs!$G$5:$G$130="acoes"))*Inputs!$B$1+((Inputs!$G$5:$G$130&lt;&gt;"moeda")*(Inputs!$G$5:$G$130&lt;&gt;"acoes")))*INDEX(Inputs!$K$5:$AJ$130,0,MATCH(AH$2,Inputs!$K$4:$AJ$4,0)))+SUMPRODUCT((Inputs!$E$5:$E$130=$B20)*Inputs!$F$5:$F$130*(((Inputs!$G$5:$G$130="moeda")+(Inputs!$G$5:$G$130="acoes"))*Inputs!$B$1+((Inputs!$G$5:$G$130&lt;&gt;"moeda")*(Inputs!$G$5:$G$130&lt;&gt;"acoes")))*INDEX(Inputs!$K$5:$AJ$130,0,MATCH(AH$2,Inputs!$K$4:$AJ$4,0)))))</f>
        <v>50907</v>
      </c>
      <c r="AI20" s="6">
        <f>IF(ISNA(MATCH(AI$2,Inputs!$K$4:$AJ$4,0)),NA(),IF(SUMPRODUCT((Inputs!$A$5:$A$130=$B20)*ISNUMBER(INDEX(Inputs!$K$5:$AJ$130,0,MATCH(AI$2,Inputs!$K$4:$AJ$4,0))))+SUMPRODUCT((Inputs!$C$5:$C$130=$B20)*ISNUMBER(INDEX(Inputs!$K$5:$AJ$130,0,MATCH(AI$2,Inputs!$K$4:$AJ$4,0))))+SUMPRODUCT((Inputs!$E$5:$E$130=$B20)*ISNUMBER(INDEX(Inputs!$K$5:$AJ$130,0,MATCH(AI$2,Inputs!$K$4:$AJ$4,0))))=0,NA(),SUMPRODUCT((Inputs!$A$5:$A$130=$B20)*Inputs!$B$5:$B$130*(((Inputs!$G$5:$G$130="moeda")+(Inputs!$G$5:$G$130="acoes"))*Inputs!$B$1+((Inputs!$G$5:$G$130&lt;&gt;"moeda")*(Inputs!$G$5:$G$130&lt;&gt;"acoes")))*INDEX(Inputs!$K$5:$AJ$130,0,MATCH(AI$2,Inputs!$K$4:$AJ$4,0)))+SUMPRODUCT((Inputs!$C$5:$C$130=$B20)*Inputs!$D$5:$D$130*(((Inputs!$G$5:$G$130="moeda")+(Inputs!$G$5:$G$130="acoes"))*Inputs!$B$1+((Inputs!$G$5:$G$130&lt;&gt;"moeda")*(Inputs!$G$5:$G$130&lt;&gt;"acoes")))*INDEX(Inputs!$K$5:$AJ$130,0,MATCH(AI$2,Inputs!$K$4:$AJ$4,0)))+SUMPRODUCT((Inputs!$E$5:$E$130=$B20)*Inputs!$F$5:$F$130*(((Inputs!$G$5:$G$130="moeda")+(Inputs!$G$5:$G$130="acoes"))*Inputs!$B$1+((Inputs!$G$5:$G$130&lt;&gt;"moeda")*(Inputs!$G$5:$G$130&lt;&gt;"acoes")))*INDEX(Inputs!$K$5:$AJ$130,0,MATCH(AI$2,Inputs!$K$4:$AJ$4,0)))))</f>
        <v>51851</v>
      </c>
      <c r="AJ20" s="6">
        <f>IF(ISNA(MATCH(AJ$2,Inputs!$K$4:$AJ$4,0)),NA(),IF(SUMPRODUCT((Inputs!$A$5:$A$130=$B20)*ISNUMBER(INDEX(Inputs!$K$5:$AJ$130,0,MATCH(AJ$2,Inputs!$K$4:$AJ$4,0))))+SUMPRODUCT((Inputs!$C$5:$C$130=$B20)*ISNUMBER(INDEX(Inputs!$K$5:$AJ$130,0,MATCH(AJ$2,Inputs!$K$4:$AJ$4,0))))+SUMPRODUCT((Inputs!$E$5:$E$130=$B20)*ISNUMBER(INDEX(Inputs!$K$5:$AJ$130,0,MATCH(AJ$2,Inputs!$K$4:$AJ$4,0))))=0,NA(),SUMPRODUCT((Inputs!$A$5:$A$130=$B20)*Inputs!$B$5:$B$130*(((Inputs!$G$5:$G$130="moeda")+(Inputs!$G$5:$G$130="acoes"))*Inputs!$B$1+((Inputs!$G$5:$G$130&lt;&gt;"moeda")*(Inputs!$G$5:$G$130&lt;&gt;"acoes")))*INDEX(Inputs!$K$5:$AJ$130,0,MATCH(AJ$2,Inputs!$K$4:$AJ$4,0)))+SUMPRODUCT((Inputs!$C$5:$C$130=$B20)*Inputs!$D$5:$D$130*(((Inputs!$G$5:$G$130="moeda")+(Inputs!$G$5:$G$130="acoes"))*Inputs!$B$1+((Inputs!$G$5:$G$130&lt;&gt;"moeda")*(Inputs!$G$5:$G$130&lt;&gt;"acoes")))*INDEX(Inputs!$K$5:$AJ$130,0,MATCH(AJ$2,Inputs!$K$4:$AJ$4,0)))+SUMPRODUCT((Inputs!$E$5:$E$130=$B20)*Inputs!$F$5:$F$130*(((Inputs!$G$5:$G$130="moeda")+(Inputs!$G$5:$G$130="acoes"))*Inputs!$B$1+((Inputs!$G$5:$G$130&lt;&gt;"moeda")*(Inputs!$G$5:$G$130&lt;&gt;"acoes")))*INDEX(Inputs!$K$5:$AJ$130,0,MATCH(AJ$2,Inputs!$K$4:$AJ$4,0)))))</f>
        <v>51302</v>
      </c>
      <c r="AK20" s="6">
        <f>IF(ISNA(MATCH(AK$2,Inputs!$K$4:$AJ$4,0)),NA(),IF(SUMPRODUCT((Inputs!$A$5:$A$130=$B20)*ISNUMBER(INDEX(Inputs!$K$5:$AJ$130,0,MATCH(AK$2,Inputs!$K$4:$AJ$4,0))))+SUMPRODUCT((Inputs!$C$5:$C$130=$B20)*ISNUMBER(INDEX(Inputs!$K$5:$AJ$130,0,MATCH(AK$2,Inputs!$K$4:$AJ$4,0))))+SUMPRODUCT((Inputs!$E$5:$E$130=$B20)*ISNUMBER(INDEX(Inputs!$K$5:$AJ$130,0,MATCH(AK$2,Inputs!$K$4:$AJ$4,0))))=0,NA(),SUMPRODUCT((Inputs!$A$5:$A$130=$B20)*Inputs!$B$5:$B$130*(((Inputs!$G$5:$G$130="moeda")+(Inputs!$G$5:$G$130="acoes"))*Inputs!$B$1+((Inputs!$G$5:$G$130&lt;&gt;"moeda")*(Inputs!$G$5:$G$130&lt;&gt;"acoes")))*INDEX(Inputs!$K$5:$AJ$130,0,MATCH(AK$2,Inputs!$K$4:$AJ$4,0)))+SUMPRODUCT((Inputs!$C$5:$C$130=$B20)*Inputs!$D$5:$D$130*(((Inputs!$G$5:$G$130="moeda")+(Inputs!$G$5:$G$130="acoes"))*Inputs!$B$1+((Inputs!$G$5:$G$130&lt;&gt;"moeda")*(Inputs!$G$5:$G$130&lt;&gt;"acoes")))*INDEX(Inputs!$K$5:$AJ$130,0,MATCH(AK$2,Inputs!$K$4:$AJ$4,0)))+SUMPRODUCT((Inputs!$E$5:$E$130=$B20)*Inputs!$F$5:$F$130*(((Inputs!$G$5:$G$130="moeda")+(Inputs!$G$5:$G$130="acoes"))*Inputs!$B$1+((Inputs!$G$5:$G$130&lt;&gt;"moeda")*(Inputs!$G$5:$G$130&lt;&gt;"acoes")))*INDEX(Inputs!$K$5:$AJ$130,0,MATCH(AK$2,Inputs!$K$4:$AJ$4,0)))))</f>
        <v>50729</v>
      </c>
      <c r="AL20" s="3">
        <f>AK20</f>
        <v>50729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$130=$B21)*ISNUMBER(INDEX(Inputs!$K$5:$AJ$130,0,MATCH(D$2,Inputs!$K$4:$AJ$4,0))))+SUMPRODUCT((Inputs!$C$5:$C$130=$B21)*ISNUMBER(INDEX(Inputs!$K$5:$AJ$130,0,MATCH(D$2,Inputs!$K$4:$AJ$4,0))))+SUMPRODUCT((Inputs!$E$5:$E$130=$B21)*ISNUMBER(INDEX(Inputs!$K$5:$AJ$130,0,MATCH(D$2,Inputs!$K$4:$AJ$4,0))))=0,NA(),SUMPRODUCT((Inputs!$A$5:$A$130=$B21)*Inputs!$B$5:$B$130*(((Inputs!$G$5:$G$130="moeda")+(Inputs!$G$5:$G$130="acoes"))*Inputs!$B$1+((Inputs!$G$5:$G$130&lt;&gt;"moeda")*(Inputs!$G$5:$G$130&lt;&gt;"acoes")))*INDEX(Inputs!$K$5:$AJ$130,0,MATCH(D$2,Inputs!$K$4:$AJ$4,0)))+SUMPRODUCT((Inputs!$C$5:$C$130=$B21)*Inputs!$D$5:$D$130*(((Inputs!$G$5:$G$130="moeda")+(Inputs!$G$5:$G$130="acoes"))*Inputs!$B$1+((Inputs!$G$5:$G$130&lt;&gt;"moeda")*(Inputs!$G$5:$G$130&lt;&gt;"acoes")))*INDEX(Inputs!$K$5:$AJ$130,0,MATCH(D$2,Inputs!$K$4:$AJ$4,0)))+SUMPRODUCT((Inputs!$E$5:$E$130=$B21)*Inputs!$F$5:$F$130*(((Inputs!$G$5:$G$130="moeda")+(Inputs!$G$5:$G$130="acoes"))*Inputs!$B$1+((Inputs!$G$5:$G$130&lt;&gt;"moeda")*(Inputs!$G$5:$G$130&lt;&gt;"acoes")))*INDEX(Inputs!$K$5:$AJ$130,0,MATCH(D$2,Inputs!$K$4:$AJ$4,0)))))</f>
        <v>0</v>
      </c>
      <c r="E21" s="6">
        <f>IF(ISNA(MATCH(E$2,Inputs!$K$4:$AJ$4,0)),NA(),IF(SUMPRODUCT((Inputs!$A$5:$A$130=$B21)*ISNUMBER(INDEX(Inputs!$K$5:$AJ$130,0,MATCH(E$2,Inputs!$K$4:$AJ$4,0))))+SUMPRODUCT((Inputs!$C$5:$C$130=$B21)*ISNUMBER(INDEX(Inputs!$K$5:$AJ$130,0,MATCH(E$2,Inputs!$K$4:$AJ$4,0))))+SUMPRODUCT((Inputs!$E$5:$E$130=$B21)*ISNUMBER(INDEX(Inputs!$K$5:$AJ$130,0,MATCH(E$2,Inputs!$K$4:$AJ$4,0))))=0,NA(),SUMPRODUCT((Inputs!$A$5:$A$130=$B21)*Inputs!$B$5:$B$130*(((Inputs!$G$5:$G$130="moeda")+(Inputs!$G$5:$G$130="acoes"))*Inputs!$B$1+((Inputs!$G$5:$G$130&lt;&gt;"moeda")*(Inputs!$G$5:$G$130&lt;&gt;"acoes")))*INDEX(Inputs!$K$5:$AJ$130,0,MATCH(E$2,Inputs!$K$4:$AJ$4,0)))+SUMPRODUCT((Inputs!$C$5:$C$130=$B21)*Inputs!$D$5:$D$130*(((Inputs!$G$5:$G$130="moeda")+(Inputs!$G$5:$G$130="acoes"))*Inputs!$B$1+((Inputs!$G$5:$G$130&lt;&gt;"moeda")*(Inputs!$G$5:$G$130&lt;&gt;"acoes")))*INDEX(Inputs!$K$5:$AJ$130,0,MATCH(E$2,Inputs!$K$4:$AJ$4,0)))+SUMPRODUCT((Inputs!$E$5:$E$130=$B21)*Inputs!$F$5:$F$130*(((Inputs!$G$5:$G$130="moeda")+(Inputs!$G$5:$G$130="acoes"))*Inputs!$B$1+((Inputs!$G$5:$G$130&lt;&gt;"moeda")*(Inputs!$G$5:$G$130&lt;&gt;"acoes")))*INDEX(Inputs!$K$5:$AJ$130,0,MATCH(E$2,Inputs!$K$4:$AJ$4,0)))))</f>
        <v>0</v>
      </c>
      <c r="F21" s="6">
        <f>IF(ISNA(MATCH(F$2,Inputs!$K$4:$AJ$4,0)),NA(),IF(SUMPRODUCT((Inputs!$A$5:$A$130=$B21)*ISNUMBER(INDEX(Inputs!$K$5:$AJ$130,0,MATCH(F$2,Inputs!$K$4:$AJ$4,0))))+SUMPRODUCT((Inputs!$C$5:$C$130=$B21)*ISNUMBER(INDEX(Inputs!$K$5:$AJ$130,0,MATCH(F$2,Inputs!$K$4:$AJ$4,0))))+SUMPRODUCT((Inputs!$E$5:$E$130=$B21)*ISNUMBER(INDEX(Inputs!$K$5:$AJ$130,0,MATCH(F$2,Inputs!$K$4:$AJ$4,0))))=0,NA(),SUMPRODUCT((Inputs!$A$5:$A$130=$B21)*Inputs!$B$5:$B$130*(((Inputs!$G$5:$G$130="moeda")+(Inputs!$G$5:$G$130="acoes"))*Inputs!$B$1+((Inputs!$G$5:$G$130&lt;&gt;"moeda")*(Inputs!$G$5:$G$130&lt;&gt;"acoes")))*INDEX(Inputs!$K$5:$AJ$130,0,MATCH(F$2,Inputs!$K$4:$AJ$4,0)))+SUMPRODUCT((Inputs!$C$5:$C$130=$B21)*Inputs!$D$5:$D$130*(((Inputs!$G$5:$G$130="moeda")+(Inputs!$G$5:$G$130="acoes"))*Inputs!$B$1+((Inputs!$G$5:$G$130&lt;&gt;"moeda")*(Inputs!$G$5:$G$130&lt;&gt;"acoes")))*INDEX(Inputs!$K$5:$AJ$130,0,MATCH(F$2,Inputs!$K$4:$AJ$4,0)))+SUMPRODUCT((Inputs!$E$5:$E$130=$B21)*Inputs!$F$5:$F$130*(((Inputs!$G$5:$G$130="moeda")+(Inputs!$G$5:$G$130="acoes"))*Inputs!$B$1+((Inputs!$G$5:$G$130&lt;&gt;"moeda")*(Inputs!$G$5:$G$130&lt;&gt;"acoes")))*INDEX(Inputs!$K$5:$AJ$130,0,MATCH(F$2,Inputs!$K$4:$AJ$4,0)))))</f>
        <v>0</v>
      </c>
      <c r="G21" s="6">
        <f>IF(ISNA(MATCH(G$2,Inputs!$K$4:$AJ$4,0)),NA(),IF(SUMPRODUCT((Inputs!$A$5:$A$130=$B21)*ISNUMBER(INDEX(Inputs!$K$5:$AJ$130,0,MATCH(G$2,Inputs!$K$4:$AJ$4,0))))+SUMPRODUCT((Inputs!$C$5:$C$130=$B21)*ISNUMBER(INDEX(Inputs!$K$5:$AJ$130,0,MATCH(G$2,Inputs!$K$4:$AJ$4,0))))+SUMPRODUCT((Inputs!$E$5:$E$130=$B21)*ISNUMBER(INDEX(Inputs!$K$5:$AJ$130,0,MATCH(G$2,Inputs!$K$4:$AJ$4,0))))=0,NA(),SUMPRODUCT((Inputs!$A$5:$A$130=$B21)*Inputs!$B$5:$B$130*(((Inputs!$G$5:$G$130="moeda")+(Inputs!$G$5:$G$130="acoes"))*Inputs!$B$1+((Inputs!$G$5:$G$130&lt;&gt;"moeda")*(Inputs!$G$5:$G$130&lt;&gt;"acoes")))*INDEX(Inputs!$K$5:$AJ$130,0,MATCH(G$2,Inputs!$K$4:$AJ$4,0)))+SUMPRODUCT((Inputs!$C$5:$C$130=$B21)*Inputs!$D$5:$D$130*(((Inputs!$G$5:$G$130="moeda")+(Inputs!$G$5:$G$130="acoes"))*Inputs!$B$1+((Inputs!$G$5:$G$130&lt;&gt;"moeda")*(Inputs!$G$5:$G$130&lt;&gt;"acoes")))*INDEX(Inputs!$K$5:$AJ$130,0,MATCH(G$2,Inputs!$K$4:$AJ$4,0)))+SUMPRODUCT((Inputs!$E$5:$E$130=$B21)*Inputs!$F$5:$F$130*(((Inputs!$G$5:$G$130="moeda")+(Inputs!$G$5:$G$130="acoes"))*Inputs!$B$1+((Inputs!$G$5:$G$130&lt;&gt;"moeda")*(Inputs!$G$5:$G$130&lt;&gt;"acoes")))*INDEX(Inputs!$K$5:$AJ$130,0,MATCH(G$2,Inputs!$K$4:$AJ$4,0)))))</f>
        <v>0</v>
      </c>
      <c r="H21" s="3">
        <f>G21</f>
        <v>0</v>
      </c>
      <c r="I21" s="6">
        <f>IF(ISNA(MATCH(I$2,Inputs!$K$4:$AJ$4,0)),NA(),IF(SUMPRODUCT((Inputs!$A$5:$A$130=$B21)*ISNUMBER(INDEX(Inputs!$K$5:$AJ$130,0,MATCH(I$2,Inputs!$K$4:$AJ$4,0))))+SUMPRODUCT((Inputs!$C$5:$C$130=$B21)*ISNUMBER(INDEX(Inputs!$K$5:$AJ$130,0,MATCH(I$2,Inputs!$K$4:$AJ$4,0))))+SUMPRODUCT((Inputs!$E$5:$E$130=$B21)*ISNUMBER(INDEX(Inputs!$K$5:$AJ$130,0,MATCH(I$2,Inputs!$K$4:$AJ$4,0))))=0,NA(),SUMPRODUCT((Inputs!$A$5:$A$130=$B21)*Inputs!$B$5:$B$130*(((Inputs!$G$5:$G$130="moeda")+(Inputs!$G$5:$G$130="acoes"))*Inputs!$B$1+((Inputs!$G$5:$G$130&lt;&gt;"moeda")*(Inputs!$G$5:$G$130&lt;&gt;"acoes")))*INDEX(Inputs!$K$5:$AJ$130,0,MATCH(I$2,Inputs!$K$4:$AJ$4,0)))+SUMPRODUCT((Inputs!$C$5:$C$130=$B21)*Inputs!$D$5:$D$130*(((Inputs!$G$5:$G$130="moeda")+(Inputs!$G$5:$G$130="acoes"))*Inputs!$B$1+((Inputs!$G$5:$G$130&lt;&gt;"moeda")*(Inputs!$G$5:$G$130&lt;&gt;"acoes")))*INDEX(Inputs!$K$5:$AJ$130,0,MATCH(I$2,Inputs!$K$4:$AJ$4,0)))+SUMPRODUCT((Inputs!$E$5:$E$130=$B21)*Inputs!$F$5:$F$130*(((Inputs!$G$5:$G$130="moeda")+(Inputs!$G$5:$G$130="acoes"))*Inputs!$B$1+((Inputs!$G$5:$G$130&lt;&gt;"moeda")*(Inputs!$G$5:$G$130&lt;&gt;"acoes")))*INDEX(Inputs!$K$5:$AJ$130,0,MATCH(I$2,Inputs!$K$4:$AJ$4,0)))))</f>
        <v>0</v>
      </c>
      <c r="J21" s="6">
        <f>IF(ISNA(MATCH(J$2,Inputs!$K$4:$AJ$4,0)),NA(),IF(SUMPRODUCT((Inputs!$A$5:$A$130=$B21)*ISNUMBER(INDEX(Inputs!$K$5:$AJ$130,0,MATCH(J$2,Inputs!$K$4:$AJ$4,0))))+SUMPRODUCT((Inputs!$C$5:$C$130=$B21)*ISNUMBER(INDEX(Inputs!$K$5:$AJ$130,0,MATCH(J$2,Inputs!$K$4:$AJ$4,0))))+SUMPRODUCT((Inputs!$E$5:$E$130=$B21)*ISNUMBER(INDEX(Inputs!$K$5:$AJ$130,0,MATCH(J$2,Inputs!$K$4:$AJ$4,0))))=0,NA(),SUMPRODUCT((Inputs!$A$5:$A$130=$B21)*Inputs!$B$5:$B$130*(((Inputs!$G$5:$G$130="moeda")+(Inputs!$G$5:$G$130="acoes"))*Inputs!$B$1+((Inputs!$G$5:$G$130&lt;&gt;"moeda")*(Inputs!$G$5:$G$130&lt;&gt;"acoes")))*INDEX(Inputs!$K$5:$AJ$130,0,MATCH(J$2,Inputs!$K$4:$AJ$4,0)))+SUMPRODUCT((Inputs!$C$5:$C$130=$B21)*Inputs!$D$5:$D$130*(((Inputs!$G$5:$G$130="moeda")+(Inputs!$G$5:$G$130="acoes"))*Inputs!$B$1+((Inputs!$G$5:$G$130&lt;&gt;"moeda")*(Inputs!$G$5:$G$130&lt;&gt;"acoes")))*INDEX(Inputs!$K$5:$AJ$130,0,MATCH(J$2,Inputs!$K$4:$AJ$4,0)))+SUMPRODUCT((Inputs!$E$5:$E$130=$B21)*Inputs!$F$5:$F$130*(((Inputs!$G$5:$G$130="moeda")+(Inputs!$G$5:$G$130="acoes"))*Inputs!$B$1+((Inputs!$G$5:$G$130&lt;&gt;"moeda")*(Inputs!$G$5:$G$130&lt;&gt;"acoes")))*INDEX(Inputs!$K$5:$AJ$130,0,MATCH(J$2,Inputs!$K$4:$AJ$4,0)))))</f>
        <v>0</v>
      </c>
      <c r="K21" s="6">
        <f>IF(ISNA(MATCH(K$2,Inputs!$K$4:$AJ$4,0)),NA(),IF(SUMPRODUCT((Inputs!$A$5:$A$130=$B21)*ISNUMBER(INDEX(Inputs!$K$5:$AJ$130,0,MATCH(K$2,Inputs!$K$4:$AJ$4,0))))+SUMPRODUCT((Inputs!$C$5:$C$130=$B21)*ISNUMBER(INDEX(Inputs!$K$5:$AJ$130,0,MATCH(K$2,Inputs!$K$4:$AJ$4,0))))+SUMPRODUCT((Inputs!$E$5:$E$130=$B21)*ISNUMBER(INDEX(Inputs!$K$5:$AJ$130,0,MATCH(K$2,Inputs!$K$4:$AJ$4,0))))=0,NA(),SUMPRODUCT((Inputs!$A$5:$A$130=$B21)*Inputs!$B$5:$B$130*(((Inputs!$G$5:$G$130="moeda")+(Inputs!$G$5:$G$130="acoes"))*Inputs!$B$1+((Inputs!$G$5:$G$130&lt;&gt;"moeda")*(Inputs!$G$5:$G$130&lt;&gt;"acoes")))*INDEX(Inputs!$K$5:$AJ$130,0,MATCH(K$2,Inputs!$K$4:$AJ$4,0)))+SUMPRODUCT((Inputs!$C$5:$C$130=$B21)*Inputs!$D$5:$D$130*(((Inputs!$G$5:$G$130="moeda")+(Inputs!$G$5:$G$130="acoes"))*Inputs!$B$1+((Inputs!$G$5:$G$130&lt;&gt;"moeda")*(Inputs!$G$5:$G$130&lt;&gt;"acoes")))*INDEX(Inputs!$K$5:$AJ$130,0,MATCH(K$2,Inputs!$K$4:$AJ$4,0)))+SUMPRODUCT((Inputs!$E$5:$E$130=$B21)*Inputs!$F$5:$F$130*(((Inputs!$G$5:$G$130="moeda")+(Inputs!$G$5:$G$130="acoes"))*Inputs!$B$1+((Inputs!$G$5:$G$130&lt;&gt;"moeda")*(Inputs!$G$5:$G$130&lt;&gt;"acoes")))*INDEX(Inputs!$K$5:$AJ$130,0,MATCH(K$2,Inputs!$K$4:$AJ$4,0)))))</f>
        <v>0</v>
      </c>
      <c r="L21" s="6">
        <f>IF(ISNA(MATCH(L$2,Inputs!$K$4:$AJ$4,0)),NA(),IF(SUMPRODUCT((Inputs!$A$5:$A$130=$B21)*ISNUMBER(INDEX(Inputs!$K$5:$AJ$130,0,MATCH(L$2,Inputs!$K$4:$AJ$4,0))))+SUMPRODUCT((Inputs!$C$5:$C$130=$B21)*ISNUMBER(INDEX(Inputs!$K$5:$AJ$130,0,MATCH(L$2,Inputs!$K$4:$AJ$4,0))))+SUMPRODUCT((Inputs!$E$5:$E$130=$B21)*ISNUMBER(INDEX(Inputs!$K$5:$AJ$130,0,MATCH(L$2,Inputs!$K$4:$AJ$4,0))))=0,NA(),SUMPRODUCT((Inputs!$A$5:$A$130=$B21)*Inputs!$B$5:$B$130*(((Inputs!$G$5:$G$130="moeda")+(Inputs!$G$5:$G$130="acoes"))*Inputs!$B$1+((Inputs!$G$5:$G$130&lt;&gt;"moeda")*(Inputs!$G$5:$G$130&lt;&gt;"acoes")))*INDEX(Inputs!$K$5:$AJ$130,0,MATCH(L$2,Inputs!$K$4:$AJ$4,0)))+SUMPRODUCT((Inputs!$C$5:$C$130=$B21)*Inputs!$D$5:$D$130*(((Inputs!$G$5:$G$130="moeda")+(Inputs!$G$5:$G$130="acoes"))*Inputs!$B$1+((Inputs!$G$5:$G$130&lt;&gt;"moeda")*(Inputs!$G$5:$G$130&lt;&gt;"acoes")))*INDEX(Inputs!$K$5:$AJ$130,0,MATCH(L$2,Inputs!$K$4:$AJ$4,0)))+SUMPRODUCT((Inputs!$E$5:$E$130=$B21)*Inputs!$F$5:$F$130*(((Inputs!$G$5:$G$130="moeda")+(Inputs!$G$5:$G$130="acoes"))*Inputs!$B$1+((Inputs!$G$5:$G$130&lt;&gt;"moeda")*(Inputs!$G$5:$G$130&lt;&gt;"acoes")))*INDEX(Inputs!$K$5:$AJ$130,0,MATCH(L$2,Inputs!$K$4:$AJ$4,0)))))</f>
        <v>0</v>
      </c>
      <c r="M21" s="3">
        <f>L21</f>
        <v>0</v>
      </c>
      <c r="N21" s="6">
        <f>IF(ISNA(MATCH(N$2,Inputs!$K$4:$AJ$4,0)),NA(),IF(SUMPRODUCT((Inputs!$A$5:$A$130=$B21)*ISNUMBER(INDEX(Inputs!$K$5:$AJ$130,0,MATCH(N$2,Inputs!$K$4:$AJ$4,0))))+SUMPRODUCT((Inputs!$C$5:$C$130=$B21)*ISNUMBER(INDEX(Inputs!$K$5:$AJ$130,0,MATCH(N$2,Inputs!$K$4:$AJ$4,0))))+SUMPRODUCT((Inputs!$E$5:$E$130=$B21)*ISNUMBER(INDEX(Inputs!$K$5:$AJ$130,0,MATCH(N$2,Inputs!$K$4:$AJ$4,0))))=0,NA(),SUMPRODUCT((Inputs!$A$5:$A$130=$B21)*Inputs!$B$5:$B$130*(((Inputs!$G$5:$G$130="moeda")+(Inputs!$G$5:$G$130="acoes"))*Inputs!$B$1+((Inputs!$G$5:$G$130&lt;&gt;"moeda")*(Inputs!$G$5:$G$130&lt;&gt;"acoes")))*INDEX(Inputs!$K$5:$AJ$130,0,MATCH(N$2,Inputs!$K$4:$AJ$4,0)))+SUMPRODUCT((Inputs!$C$5:$C$130=$B21)*Inputs!$D$5:$D$130*(((Inputs!$G$5:$G$130="moeda")+(Inputs!$G$5:$G$130="acoes"))*Inputs!$B$1+((Inputs!$G$5:$G$130&lt;&gt;"moeda")*(Inputs!$G$5:$G$130&lt;&gt;"acoes")))*INDEX(Inputs!$K$5:$AJ$130,0,MATCH(N$2,Inputs!$K$4:$AJ$4,0)))+SUMPRODUCT((Inputs!$E$5:$E$130=$B21)*Inputs!$F$5:$F$130*(((Inputs!$G$5:$G$130="moeda")+(Inputs!$G$5:$G$130="acoes"))*Inputs!$B$1+((Inputs!$G$5:$G$130&lt;&gt;"moeda")*(Inputs!$G$5:$G$130&lt;&gt;"acoes")))*INDEX(Inputs!$K$5:$AJ$130,0,MATCH(N$2,Inputs!$K$4:$AJ$4,0)))))</f>
        <v>0</v>
      </c>
      <c r="O21" s="6">
        <f>IF(ISNA(MATCH(O$2,Inputs!$K$4:$AJ$4,0)),NA(),IF(SUMPRODUCT((Inputs!$A$5:$A$130=$B21)*ISNUMBER(INDEX(Inputs!$K$5:$AJ$130,0,MATCH(O$2,Inputs!$K$4:$AJ$4,0))))+SUMPRODUCT((Inputs!$C$5:$C$130=$B21)*ISNUMBER(INDEX(Inputs!$K$5:$AJ$130,0,MATCH(O$2,Inputs!$K$4:$AJ$4,0))))+SUMPRODUCT((Inputs!$E$5:$E$130=$B21)*ISNUMBER(INDEX(Inputs!$K$5:$AJ$130,0,MATCH(O$2,Inputs!$K$4:$AJ$4,0))))=0,NA(),SUMPRODUCT((Inputs!$A$5:$A$130=$B21)*Inputs!$B$5:$B$130*(((Inputs!$G$5:$G$130="moeda")+(Inputs!$G$5:$G$130="acoes"))*Inputs!$B$1+((Inputs!$G$5:$G$130&lt;&gt;"moeda")*(Inputs!$G$5:$G$130&lt;&gt;"acoes")))*INDEX(Inputs!$K$5:$AJ$130,0,MATCH(O$2,Inputs!$K$4:$AJ$4,0)))+SUMPRODUCT((Inputs!$C$5:$C$130=$B21)*Inputs!$D$5:$D$130*(((Inputs!$G$5:$G$130="moeda")+(Inputs!$G$5:$G$130="acoes"))*Inputs!$B$1+((Inputs!$G$5:$G$130&lt;&gt;"moeda")*(Inputs!$G$5:$G$130&lt;&gt;"acoes")))*INDEX(Inputs!$K$5:$AJ$130,0,MATCH(O$2,Inputs!$K$4:$AJ$4,0)))+SUMPRODUCT((Inputs!$E$5:$E$130=$B21)*Inputs!$F$5:$F$130*(((Inputs!$G$5:$G$130="moeda")+(Inputs!$G$5:$G$130="acoes"))*Inputs!$B$1+((Inputs!$G$5:$G$130&lt;&gt;"moeda")*(Inputs!$G$5:$G$130&lt;&gt;"acoes")))*INDEX(Inputs!$K$5:$AJ$130,0,MATCH(O$2,Inputs!$K$4:$AJ$4,0)))))</f>
        <v>0</v>
      </c>
      <c r="P21" s="6">
        <f>IF(ISNA(MATCH(P$2,Inputs!$K$4:$AJ$4,0)),NA(),IF(SUMPRODUCT((Inputs!$A$5:$A$130=$B21)*ISNUMBER(INDEX(Inputs!$K$5:$AJ$130,0,MATCH(P$2,Inputs!$K$4:$AJ$4,0))))+SUMPRODUCT((Inputs!$C$5:$C$130=$B21)*ISNUMBER(INDEX(Inputs!$K$5:$AJ$130,0,MATCH(P$2,Inputs!$K$4:$AJ$4,0))))+SUMPRODUCT((Inputs!$E$5:$E$130=$B21)*ISNUMBER(INDEX(Inputs!$K$5:$AJ$130,0,MATCH(P$2,Inputs!$K$4:$AJ$4,0))))=0,NA(),SUMPRODUCT((Inputs!$A$5:$A$130=$B21)*Inputs!$B$5:$B$130*(((Inputs!$G$5:$G$130="moeda")+(Inputs!$G$5:$G$130="acoes"))*Inputs!$B$1+((Inputs!$G$5:$G$130&lt;&gt;"moeda")*(Inputs!$G$5:$G$130&lt;&gt;"acoes")))*INDEX(Inputs!$K$5:$AJ$130,0,MATCH(P$2,Inputs!$K$4:$AJ$4,0)))+SUMPRODUCT((Inputs!$C$5:$C$130=$B21)*Inputs!$D$5:$D$130*(((Inputs!$G$5:$G$130="moeda")+(Inputs!$G$5:$G$130="acoes"))*Inputs!$B$1+((Inputs!$G$5:$G$130&lt;&gt;"moeda")*(Inputs!$G$5:$G$130&lt;&gt;"acoes")))*INDEX(Inputs!$K$5:$AJ$130,0,MATCH(P$2,Inputs!$K$4:$AJ$4,0)))+SUMPRODUCT((Inputs!$E$5:$E$130=$B21)*Inputs!$F$5:$F$130*(((Inputs!$G$5:$G$130="moeda")+(Inputs!$G$5:$G$130="acoes"))*Inputs!$B$1+((Inputs!$G$5:$G$130&lt;&gt;"moeda")*(Inputs!$G$5:$G$130&lt;&gt;"acoes")))*INDEX(Inputs!$K$5:$AJ$130,0,MATCH(P$2,Inputs!$K$4:$AJ$4,0)))))</f>
        <v>0</v>
      </c>
      <c r="Q21" s="6">
        <f>IF(ISNA(MATCH(Q$2,Inputs!$K$4:$AJ$4,0)),NA(),IF(SUMPRODUCT((Inputs!$A$5:$A$130=$B21)*ISNUMBER(INDEX(Inputs!$K$5:$AJ$130,0,MATCH(Q$2,Inputs!$K$4:$AJ$4,0))))+SUMPRODUCT((Inputs!$C$5:$C$130=$B21)*ISNUMBER(INDEX(Inputs!$K$5:$AJ$130,0,MATCH(Q$2,Inputs!$K$4:$AJ$4,0))))+SUMPRODUCT((Inputs!$E$5:$E$130=$B21)*ISNUMBER(INDEX(Inputs!$K$5:$AJ$130,0,MATCH(Q$2,Inputs!$K$4:$AJ$4,0))))=0,NA(),SUMPRODUCT((Inputs!$A$5:$A$130=$B21)*Inputs!$B$5:$B$130*(((Inputs!$G$5:$G$130="moeda")+(Inputs!$G$5:$G$130="acoes"))*Inputs!$B$1+((Inputs!$G$5:$G$130&lt;&gt;"moeda")*(Inputs!$G$5:$G$130&lt;&gt;"acoes")))*INDEX(Inputs!$K$5:$AJ$130,0,MATCH(Q$2,Inputs!$K$4:$AJ$4,0)))+SUMPRODUCT((Inputs!$C$5:$C$130=$B21)*Inputs!$D$5:$D$130*(((Inputs!$G$5:$G$130="moeda")+(Inputs!$G$5:$G$130="acoes"))*Inputs!$B$1+((Inputs!$G$5:$G$130&lt;&gt;"moeda")*(Inputs!$G$5:$G$130&lt;&gt;"acoes")))*INDEX(Inputs!$K$5:$AJ$130,0,MATCH(Q$2,Inputs!$K$4:$AJ$4,0)))+SUMPRODUCT((Inputs!$E$5:$E$130=$B21)*Inputs!$F$5:$F$130*(((Inputs!$G$5:$G$130="moeda")+(Inputs!$G$5:$G$130="acoes"))*Inputs!$B$1+((Inputs!$G$5:$G$130&lt;&gt;"moeda")*(Inputs!$G$5:$G$130&lt;&gt;"acoes")))*INDEX(Inputs!$K$5:$AJ$130,0,MATCH(Q$2,Inputs!$K$4:$AJ$4,0)))))</f>
        <v>0</v>
      </c>
      <c r="R21" s="3">
        <f>Q21</f>
        <v>0</v>
      </c>
      <c r="S21" s="6">
        <f>IF(ISNA(MATCH(S$2,Inputs!$K$4:$AJ$4,0)),NA(),IF(SUMPRODUCT((Inputs!$A$5:$A$130=$B21)*ISNUMBER(INDEX(Inputs!$K$5:$AJ$130,0,MATCH(S$2,Inputs!$K$4:$AJ$4,0))))+SUMPRODUCT((Inputs!$C$5:$C$130=$B21)*ISNUMBER(INDEX(Inputs!$K$5:$AJ$130,0,MATCH(S$2,Inputs!$K$4:$AJ$4,0))))+SUMPRODUCT((Inputs!$E$5:$E$130=$B21)*ISNUMBER(INDEX(Inputs!$K$5:$AJ$130,0,MATCH(S$2,Inputs!$K$4:$AJ$4,0))))=0,NA(),SUMPRODUCT((Inputs!$A$5:$A$130=$B21)*Inputs!$B$5:$B$130*(((Inputs!$G$5:$G$130="moeda")+(Inputs!$G$5:$G$130="acoes"))*Inputs!$B$1+((Inputs!$G$5:$G$130&lt;&gt;"moeda")*(Inputs!$G$5:$G$130&lt;&gt;"acoes")))*INDEX(Inputs!$K$5:$AJ$130,0,MATCH(S$2,Inputs!$K$4:$AJ$4,0)))+SUMPRODUCT((Inputs!$C$5:$C$130=$B21)*Inputs!$D$5:$D$130*(((Inputs!$G$5:$G$130="moeda")+(Inputs!$G$5:$G$130="acoes"))*Inputs!$B$1+((Inputs!$G$5:$G$130&lt;&gt;"moeda")*(Inputs!$G$5:$G$130&lt;&gt;"acoes")))*INDEX(Inputs!$K$5:$AJ$130,0,MATCH(S$2,Inputs!$K$4:$AJ$4,0)))+SUMPRODUCT((Inputs!$E$5:$E$130=$B21)*Inputs!$F$5:$F$130*(((Inputs!$G$5:$G$130="moeda")+(Inputs!$G$5:$G$130="acoes"))*Inputs!$B$1+((Inputs!$G$5:$G$130&lt;&gt;"moeda")*(Inputs!$G$5:$G$130&lt;&gt;"acoes")))*INDEX(Inputs!$K$5:$AJ$130,0,MATCH(S$2,Inputs!$K$4:$AJ$4,0)))))</f>
        <v>0</v>
      </c>
      <c r="T21" s="6">
        <f>IF(ISNA(MATCH(T$2,Inputs!$K$4:$AJ$4,0)),NA(),IF(SUMPRODUCT((Inputs!$A$5:$A$130=$B21)*ISNUMBER(INDEX(Inputs!$K$5:$AJ$130,0,MATCH(T$2,Inputs!$K$4:$AJ$4,0))))+SUMPRODUCT((Inputs!$C$5:$C$130=$B21)*ISNUMBER(INDEX(Inputs!$K$5:$AJ$130,0,MATCH(T$2,Inputs!$K$4:$AJ$4,0))))+SUMPRODUCT((Inputs!$E$5:$E$130=$B21)*ISNUMBER(INDEX(Inputs!$K$5:$AJ$130,0,MATCH(T$2,Inputs!$K$4:$AJ$4,0))))=0,NA(),SUMPRODUCT((Inputs!$A$5:$A$130=$B21)*Inputs!$B$5:$B$130*(((Inputs!$G$5:$G$130="moeda")+(Inputs!$G$5:$G$130="acoes"))*Inputs!$B$1+((Inputs!$G$5:$G$130&lt;&gt;"moeda")*(Inputs!$G$5:$G$130&lt;&gt;"acoes")))*INDEX(Inputs!$K$5:$AJ$130,0,MATCH(T$2,Inputs!$K$4:$AJ$4,0)))+SUMPRODUCT((Inputs!$C$5:$C$130=$B21)*Inputs!$D$5:$D$130*(((Inputs!$G$5:$G$130="moeda")+(Inputs!$G$5:$G$130="acoes"))*Inputs!$B$1+((Inputs!$G$5:$G$130&lt;&gt;"moeda")*(Inputs!$G$5:$G$130&lt;&gt;"acoes")))*INDEX(Inputs!$K$5:$AJ$130,0,MATCH(T$2,Inputs!$K$4:$AJ$4,0)))+SUMPRODUCT((Inputs!$E$5:$E$130=$B21)*Inputs!$F$5:$F$130*(((Inputs!$G$5:$G$130="moeda")+(Inputs!$G$5:$G$130="acoes"))*Inputs!$B$1+((Inputs!$G$5:$G$130&lt;&gt;"moeda")*(Inputs!$G$5:$G$130&lt;&gt;"acoes")))*INDEX(Inputs!$K$5:$AJ$130,0,MATCH(T$2,Inputs!$K$4:$AJ$4,0)))))</f>
        <v>0</v>
      </c>
      <c r="U21" s="6">
        <f>IF(ISNA(MATCH(U$2,Inputs!$K$4:$AJ$4,0)),NA(),IF(SUMPRODUCT((Inputs!$A$5:$A$130=$B21)*ISNUMBER(INDEX(Inputs!$K$5:$AJ$130,0,MATCH(U$2,Inputs!$K$4:$AJ$4,0))))+SUMPRODUCT((Inputs!$C$5:$C$130=$B21)*ISNUMBER(INDEX(Inputs!$K$5:$AJ$130,0,MATCH(U$2,Inputs!$K$4:$AJ$4,0))))+SUMPRODUCT((Inputs!$E$5:$E$130=$B21)*ISNUMBER(INDEX(Inputs!$K$5:$AJ$130,0,MATCH(U$2,Inputs!$K$4:$AJ$4,0))))=0,NA(),SUMPRODUCT((Inputs!$A$5:$A$130=$B21)*Inputs!$B$5:$B$130*(((Inputs!$G$5:$G$130="moeda")+(Inputs!$G$5:$G$130="acoes"))*Inputs!$B$1+((Inputs!$G$5:$G$130&lt;&gt;"moeda")*(Inputs!$G$5:$G$130&lt;&gt;"acoes")))*INDEX(Inputs!$K$5:$AJ$130,0,MATCH(U$2,Inputs!$K$4:$AJ$4,0)))+SUMPRODUCT((Inputs!$C$5:$C$130=$B21)*Inputs!$D$5:$D$130*(((Inputs!$G$5:$G$130="moeda")+(Inputs!$G$5:$G$130="acoes"))*Inputs!$B$1+((Inputs!$G$5:$G$130&lt;&gt;"moeda")*(Inputs!$G$5:$G$130&lt;&gt;"acoes")))*INDEX(Inputs!$K$5:$AJ$130,0,MATCH(U$2,Inputs!$K$4:$AJ$4,0)))+SUMPRODUCT((Inputs!$E$5:$E$130=$B21)*Inputs!$F$5:$F$130*(((Inputs!$G$5:$G$130="moeda")+(Inputs!$G$5:$G$130="acoes"))*Inputs!$B$1+((Inputs!$G$5:$G$130&lt;&gt;"moeda")*(Inputs!$G$5:$G$130&lt;&gt;"acoes")))*INDEX(Inputs!$K$5:$AJ$130,0,MATCH(U$2,Inputs!$K$4:$AJ$4,0)))))</f>
        <v>0</v>
      </c>
      <c r="V21" s="6">
        <f>IF(ISNA(MATCH(V$2,Inputs!$K$4:$AJ$4,0)),NA(),IF(SUMPRODUCT((Inputs!$A$5:$A$130=$B21)*ISNUMBER(INDEX(Inputs!$K$5:$AJ$130,0,MATCH(V$2,Inputs!$K$4:$AJ$4,0))))+SUMPRODUCT((Inputs!$C$5:$C$130=$B21)*ISNUMBER(INDEX(Inputs!$K$5:$AJ$130,0,MATCH(V$2,Inputs!$K$4:$AJ$4,0))))+SUMPRODUCT((Inputs!$E$5:$E$130=$B21)*ISNUMBER(INDEX(Inputs!$K$5:$AJ$130,0,MATCH(V$2,Inputs!$K$4:$AJ$4,0))))=0,NA(),SUMPRODUCT((Inputs!$A$5:$A$130=$B21)*Inputs!$B$5:$B$130*(((Inputs!$G$5:$G$130="moeda")+(Inputs!$G$5:$G$130="acoes"))*Inputs!$B$1+((Inputs!$G$5:$G$130&lt;&gt;"moeda")*(Inputs!$G$5:$G$130&lt;&gt;"acoes")))*INDEX(Inputs!$K$5:$AJ$130,0,MATCH(V$2,Inputs!$K$4:$AJ$4,0)))+SUMPRODUCT((Inputs!$C$5:$C$130=$B21)*Inputs!$D$5:$D$130*(((Inputs!$G$5:$G$130="moeda")+(Inputs!$G$5:$G$130="acoes"))*Inputs!$B$1+((Inputs!$G$5:$G$130&lt;&gt;"moeda")*(Inputs!$G$5:$G$130&lt;&gt;"acoes")))*INDEX(Inputs!$K$5:$AJ$130,0,MATCH(V$2,Inputs!$K$4:$AJ$4,0)))+SUMPRODUCT((Inputs!$E$5:$E$130=$B21)*Inputs!$F$5:$F$130*(((Inputs!$G$5:$G$130="moeda")+(Inputs!$G$5:$G$130="acoes"))*Inputs!$B$1+((Inputs!$G$5:$G$130&lt;&gt;"moeda")*(Inputs!$G$5:$G$130&lt;&gt;"acoes")))*INDEX(Inputs!$K$5:$AJ$130,0,MATCH(V$2,Inputs!$K$4:$AJ$4,0)))))</f>
        <v>0</v>
      </c>
      <c r="W21" s="3">
        <f>V21</f>
        <v>0</v>
      </c>
      <c r="X21" s="6">
        <f>IF(ISNA(MATCH(X$2,Inputs!$K$4:$AJ$4,0)),NA(),IF(SUMPRODUCT((Inputs!$A$5:$A$130=$B21)*ISNUMBER(INDEX(Inputs!$K$5:$AJ$130,0,MATCH(X$2,Inputs!$K$4:$AJ$4,0))))+SUMPRODUCT((Inputs!$C$5:$C$130=$B21)*ISNUMBER(INDEX(Inputs!$K$5:$AJ$130,0,MATCH(X$2,Inputs!$K$4:$AJ$4,0))))+SUMPRODUCT((Inputs!$E$5:$E$130=$B21)*ISNUMBER(INDEX(Inputs!$K$5:$AJ$130,0,MATCH(X$2,Inputs!$K$4:$AJ$4,0))))=0,NA(),SUMPRODUCT((Inputs!$A$5:$A$130=$B21)*Inputs!$B$5:$B$130*(((Inputs!$G$5:$G$130="moeda")+(Inputs!$G$5:$G$130="acoes"))*Inputs!$B$1+((Inputs!$G$5:$G$130&lt;&gt;"moeda")*(Inputs!$G$5:$G$130&lt;&gt;"acoes")))*INDEX(Inputs!$K$5:$AJ$130,0,MATCH(X$2,Inputs!$K$4:$AJ$4,0)))+SUMPRODUCT((Inputs!$C$5:$C$130=$B21)*Inputs!$D$5:$D$130*(((Inputs!$G$5:$G$130="moeda")+(Inputs!$G$5:$G$130="acoes"))*Inputs!$B$1+((Inputs!$G$5:$G$130&lt;&gt;"moeda")*(Inputs!$G$5:$G$130&lt;&gt;"acoes")))*INDEX(Inputs!$K$5:$AJ$130,0,MATCH(X$2,Inputs!$K$4:$AJ$4,0)))+SUMPRODUCT((Inputs!$E$5:$E$130=$B21)*Inputs!$F$5:$F$130*(((Inputs!$G$5:$G$130="moeda")+(Inputs!$G$5:$G$130="acoes"))*Inputs!$B$1+((Inputs!$G$5:$G$130&lt;&gt;"moeda")*(Inputs!$G$5:$G$130&lt;&gt;"acoes")))*INDEX(Inputs!$K$5:$AJ$130,0,MATCH(X$2,Inputs!$K$4:$AJ$4,0)))))</f>
        <v>0</v>
      </c>
      <c r="Y21" s="6">
        <f>IF(ISNA(MATCH(Y$2,Inputs!$K$4:$AJ$4,0)),NA(),IF(SUMPRODUCT((Inputs!$A$5:$A$130=$B21)*ISNUMBER(INDEX(Inputs!$K$5:$AJ$130,0,MATCH(Y$2,Inputs!$K$4:$AJ$4,0))))+SUMPRODUCT((Inputs!$C$5:$C$130=$B21)*ISNUMBER(INDEX(Inputs!$K$5:$AJ$130,0,MATCH(Y$2,Inputs!$K$4:$AJ$4,0))))+SUMPRODUCT((Inputs!$E$5:$E$130=$B21)*ISNUMBER(INDEX(Inputs!$K$5:$AJ$130,0,MATCH(Y$2,Inputs!$K$4:$AJ$4,0))))=0,NA(),SUMPRODUCT((Inputs!$A$5:$A$130=$B21)*Inputs!$B$5:$B$130*(((Inputs!$G$5:$G$130="moeda")+(Inputs!$G$5:$G$130="acoes"))*Inputs!$B$1+((Inputs!$G$5:$G$130&lt;&gt;"moeda")*(Inputs!$G$5:$G$130&lt;&gt;"acoes")))*INDEX(Inputs!$K$5:$AJ$130,0,MATCH(Y$2,Inputs!$K$4:$AJ$4,0)))+SUMPRODUCT((Inputs!$C$5:$C$130=$B21)*Inputs!$D$5:$D$130*(((Inputs!$G$5:$G$130="moeda")+(Inputs!$G$5:$G$130="acoes"))*Inputs!$B$1+((Inputs!$G$5:$G$130&lt;&gt;"moeda")*(Inputs!$G$5:$G$130&lt;&gt;"acoes")))*INDEX(Inputs!$K$5:$AJ$130,0,MATCH(Y$2,Inputs!$K$4:$AJ$4,0)))+SUMPRODUCT((Inputs!$E$5:$E$130=$B21)*Inputs!$F$5:$F$130*(((Inputs!$G$5:$G$130="moeda")+(Inputs!$G$5:$G$130="acoes"))*Inputs!$B$1+((Inputs!$G$5:$G$130&lt;&gt;"moeda")*(Inputs!$G$5:$G$130&lt;&gt;"acoes")))*INDEX(Inputs!$K$5:$AJ$130,0,MATCH(Y$2,Inputs!$K$4:$AJ$4,0)))))</f>
        <v>0</v>
      </c>
      <c r="Z21" s="6">
        <f>IF(ISNA(MATCH(Z$2,Inputs!$K$4:$AJ$4,0)),NA(),IF(SUMPRODUCT((Inputs!$A$5:$A$130=$B21)*ISNUMBER(INDEX(Inputs!$K$5:$AJ$130,0,MATCH(Z$2,Inputs!$K$4:$AJ$4,0))))+SUMPRODUCT((Inputs!$C$5:$C$130=$B21)*ISNUMBER(INDEX(Inputs!$K$5:$AJ$130,0,MATCH(Z$2,Inputs!$K$4:$AJ$4,0))))+SUMPRODUCT((Inputs!$E$5:$E$130=$B21)*ISNUMBER(INDEX(Inputs!$K$5:$AJ$130,0,MATCH(Z$2,Inputs!$K$4:$AJ$4,0))))=0,NA(),SUMPRODUCT((Inputs!$A$5:$A$130=$B21)*Inputs!$B$5:$B$130*(((Inputs!$G$5:$G$130="moeda")+(Inputs!$G$5:$G$130="acoes"))*Inputs!$B$1+((Inputs!$G$5:$G$130&lt;&gt;"moeda")*(Inputs!$G$5:$G$130&lt;&gt;"acoes")))*INDEX(Inputs!$K$5:$AJ$130,0,MATCH(Z$2,Inputs!$K$4:$AJ$4,0)))+SUMPRODUCT((Inputs!$C$5:$C$130=$B21)*Inputs!$D$5:$D$130*(((Inputs!$G$5:$G$130="moeda")+(Inputs!$G$5:$G$130="acoes"))*Inputs!$B$1+((Inputs!$G$5:$G$130&lt;&gt;"moeda")*(Inputs!$G$5:$G$130&lt;&gt;"acoes")))*INDEX(Inputs!$K$5:$AJ$130,0,MATCH(Z$2,Inputs!$K$4:$AJ$4,0)))+SUMPRODUCT((Inputs!$E$5:$E$130=$B21)*Inputs!$F$5:$F$130*(((Inputs!$G$5:$G$130="moeda")+(Inputs!$G$5:$G$130="acoes"))*Inputs!$B$1+((Inputs!$G$5:$G$130&lt;&gt;"moeda")*(Inputs!$G$5:$G$130&lt;&gt;"acoes")))*INDEX(Inputs!$K$5:$AJ$130,0,MATCH(Z$2,Inputs!$K$4:$AJ$4,0)))))</f>
        <v>0</v>
      </c>
      <c r="AA21" s="6">
        <f>IF(ISNA(MATCH(AA$2,Inputs!$K$4:$AJ$4,0)),NA(),IF(SUMPRODUCT((Inputs!$A$5:$A$130=$B21)*ISNUMBER(INDEX(Inputs!$K$5:$AJ$130,0,MATCH(AA$2,Inputs!$K$4:$AJ$4,0))))+SUMPRODUCT((Inputs!$C$5:$C$130=$B21)*ISNUMBER(INDEX(Inputs!$K$5:$AJ$130,0,MATCH(AA$2,Inputs!$K$4:$AJ$4,0))))+SUMPRODUCT((Inputs!$E$5:$E$130=$B21)*ISNUMBER(INDEX(Inputs!$K$5:$AJ$130,0,MATCH(AA$2,Inputs!$K$4:$AJ$4,0))))=0,NA(),SUMPRODUCT((Inputs!$A$5:$A$130=$B21)*Inputs!$B$5:$B$130*(((Inputs!$G$5:$G$130="moeda")+(Inputs!$G$5:$G$130="acoes"))*Inputs!$B$1+((Inputs!$G$5:$G$130&lt;&gt;"moeda")*(Inputs!$G$5:$G$130&lt;&gt;"acoes")))*INDEX(Inputs!$K$5:$AJ$130,0,MATCH(AA$2,Inputs!$K$4:$AJ$4,0)))+SUMPRODUCT((Inputs!$C$5:$C$130=$B21)*Inputs!$D$5:$D$130*(((Inputs!$G$5:$G$130="moeda")+(Inputs!$G$5:$G$130="acoes"))*Inputs!$B$1+((Inputs!$G$5:$G$130&lt;&gt;"moeda")*(Inputs!$G$5:$G$130&lt;&gt;"acoes")))*INDEX(Inputs!$K$5:$AJ$130,0,MATCH(AA$2,Inputs!$K$4:$AJ$4,0)))+SUMPRODUCT((Inputs!$E$5:$E$130=$B21)*Inputs!$F$5:$F$130*(((Inputs!$G$5:$G$130="moeda")+(Inputs!$G$5:$G$130="acoes"))*Inputs!$B$1+((Inputs!$G$5:$G$130&lt;&gt;"moeda")*(Inputs!$G$5:$G$130&lt;&gt;"acoes")))*INDEX(Inputs!$K$5:$AJ$130,0,MATCH(AA$2,Inputs!$K$4:$AJ$4,0)))))</f>
        <v>0</v>
      </c>
      <c r="AB21" s="3">
        <f>AA21</f>
        <v>0</v>
      </c>
      <c r="AC21" s="6">
        <f>IF(ISNA(MATCH(AC$2,Inputs!$K$4:$AJ$4,0)),NA(),IF(SUMPRODUCT((Inputs!$A$5:$A$130=$B21)*ISNUMBER(INDEX(Inputs!$K$5:$AJ$130,0,MATCH(AC$2,Inputs!$K$4:$AJ$4,0))))+SUMPRODUCT((Inputs!$C$5:$C$130=$B21)*ISNUMBER(INDEX(Inputs!$K$5:$AJ$130,0,MATCH(AC$2,Inputs!$K$4:$AJ$4,0))))+SUMPRODUCT((Inputs!$E$5:$E$130=$B21)*ISNUMBER(INDEX(Inputs!$K$5:$AJ$130,0,MATCH(AC$2,Inputs!$K$4:$AJ$4,0))))=0,NA(),SUMPRODUCT((Inputs!$A$5:$A$130=$B21)*Inputs!$B$5:$B$130*(((Inputs!$G$5:$G$130="moeda")+(Inputs!$G$5:$G$130="acoes"))*Inputs!$B$1+((Inputs!$G$5:$G$130&lt;&gt;"moeda")*(Inputs!$G$5:$G$130&lt;&gt;"acoes")))*INDEX(Inputs!$K$5:$AJ$130,0,MATCH(AC$2,Inputs!$K$4:$AJ$4,0)))+SUMPRODUCT((Inputs!$C$5:$C$130=$B21)*Inputs!$D$5:$D$130*(((Inputs!$G$5:$G$130="moeda")+(Inputs!$G$5:$G$130="acoes"))*Inputs!$B$1+((Inputs!$G$5:$G$130&lt;&gt;"moeda")*(Inputs!$G$5:$G$130&lt;&gt;"acoes")))*INDEX(Inputs!$K$5:$AJ$130,0,MATCH(AC$2,Inputs!$K$4:$AJ$4,0)))+SUMPRODUCT((Inputs!$E$5:$E$130=$B21)*Inputs!$F$5:$F$130*(((Inputs!$G$5:$G$130="moeda")+(Inputs!$G$5:$G$130="acoes"))*Inputs!$B$1+((Inputs!$G$5:$G$130&lt;&gt;"moeda")*(Inputs!$G$5:$G$130&lt;&gt;"acoes")))*INDEX(Inputs!$K$5:$AJ$130,0,MATCH(AC$2,Inputs!$K$4:$AJ$4,0)))))</f>
        <v>0</v>
      </c>
      <c r="AD21" s="6">
        <f>IF(ISNA(MATCH(AD$2,Inputs!$K$4:$AJ$4,0)),NA(),IF(SUMPRODUCT((Inputs!$A$5:$A$130=$B21)*ISNUMBER(INDEX(Inputs!$K$5:$AJ$130,0,MATCH(AD$2,Inputs!$K$4:$AJ$4,0))))+SUMPRODUCT((Inputs!$C$5:$C$130=$B21)*ISNUMBER(INDEX(Inputs!$K$5:$AJ$130,0,MATCH(AD$2,Inputs!$K$4:$AJ$4,0))))+SUMPRODUCT((Inputs!$E$5:$E$130=$B21)*ISNUMBER(INDEX(Inputs!$K$5:$AJ$130,0,MATCH(AD$2,Inputs!$K$4:$AJ$4,0))))=0,NA(),SUMPRODUCT((Inputs!$A$5:$A$130=$B21)*Inputs!$B$5:$B$130*(((Inputs!$G$5:$G$130="moeda")+(Inputs!$G$5:$G$130="acoes"))*Inputs!$B$1+((Inputs!$G$5:$G$130&lt;&gt;"moeda")*(Inputs!$G$5:$G$130&lt;&gt;"acoes")))*INDEX(Inputs!$K$5:$AJ$130,0,MATCH(AD$2,Inputs!$K$4:$AJ$4,0)))+SUMPRODUCT((Inputs!$C$5:$C$130=$B21)*Inputs!$D$5:$D$130*(((Inputs!$G$5:$G$130="moeda")+(Inputs!$G$5:$G$130="acoes"))*Inputs!$B$1+((Inputs!$G$5:$G$130&lt;&gt;"moeda")*(Inputs!$G$5:$G$130&lt;&gt;"acoes")))*INDEX(Inputs!$K$5:$AJ$130,0,MATCH(AD$2,Inputs!$K$4:$AJ$4,0)))+SUMPRODUCT((Inputs!$E$5:$E$130=$B21)*Inputs!$F$5:$F$130*(((Inputs!$G$5:$G$130="moeda")+(Inputs!$G$5:$G$130="acoes"))*Inputs!$B$1+((Inputs!$G$5:$G$130&lt;&gt;"moeda")*(Inputs!$G$5:$G$130&lt;&gt;"acoes")))*INDEX(Inputs!$K$5:$AJ$130,0,MATCH(AD$2,Inputs!$K$4:$AJ$4,0)))))</f>
        <v>0</v>
      </c>
      <c r="AE21" s="6" t="e">
        <f>IF(ISNA(MATCH(AE$2,Inputs!$K$4:$AJ$4,0)),NA(),IF(SUMPRODUCT((Inputs!$A$5:$A$130=$B21)*ISNUMBER(INDEX(Inputs!$K$5:$AJ$130,0,MATCH(AE$2,Inputs!$K$4:$AJ$4,0))))+SUMPRODUCT((Inputs!$C$5:$C$130=$B21)*ISNUMBER(INDEX(Inputs!$K$5:$AJ$130,0,MATCH(AE$2,Inputs!$K$4:$AJ$4,0))))+SUMPRODUCT((Inputs!$E$5:$E$130=$B21)*ISNUMBER(INDEX(Inputs!$K$5:$AJ$130,0,MATCH(AE$2,Inputs!$K$4:$AJ$4,0))))=0,NA(),SUMPRODUCT((Inputs!$A$5:$A$130=$B21)*Inputs!$B$5:$B$130*(((Inputs!$G$5:$G$130="moeda")+(Inputs!$G$5:$G$130="acoes"))*Inputs!$B$1+((Inputs!$G$5:$G$130&lt;&gt;"moeda")*(Inputs!$G$5:$G$130&lt;&gt;"acoes")))*INDEX(Inputs!$K$5:$AJ$130,0,MATCH(AE$2,Inputs!$K$4:$AJ$4,0)))+SUMPRODUCT((Inputs!$C$5:$C$130=$B21)*Inputs!$D$5:$D$130*(((Inputs!$G$5:$G$130="moeda")+(Inputs!$G$5:$G$130="acoes"))*Inputs!$B$1+((Inputs!$G$5:$G$130&lt;&gt;"moeda")*(Inputs!$G$5:$G$130&lt;&gt;"acoes")))*INDEX(Inputs!$K$5:$AJ$130,0,MATCH(AE$2,Inputs!$K$4:$AJ$4,0)))+SUMPRODUCT((Inputs!$E$5:$E$130=$B21)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1" s="6" t="e">
        <f>IF(ISNA(MATCH(AF$2,Inputs!$K$4:$AJ$4,0)),NA(),IF(SUMPRODUCT((Inputs!$A$5:$A$130=$B21)*ISNUMBER(INDEX(Inputs!$K$5:$AJ$130,0,MATCH(AF$2,Inputs!$K$4:$AJ$4,0))))+SUMPRODUCT((Inputs!$C$5:$C$130=$B21)*ISNUMBER(INDEX(Inputs!$K$5:$AJ$130,0,MATCH(AF$2,Inputs!$K$4:$AJ$4,0))))+SUMPRODUCT((Inputs!$E$5:$E$130=$B21)*ISNUMBER(INDEX(Inputs!$K$5:$AJ$130,0,MATCH(AF$2,Inputs!$K$4:$AJ$4,0))))=0,NA(),SUMPRODUCT((Inputs!$A$5:$A$130=$B21)*Inputs!$B$5:$B$130*(((Inputs!$G$5:$G$130="moeda")+(Inputs!$G$5:$G$130="acoes"))*Inputs!$B$1+((Inputs!$G$5:$G$130&lt;&gt;"moeda")*(Inputs!$G$5:$G$130&lt;&gt;"acoes")))*INDEX(Inputs!$K$5:$AJ$130,0,MATCH(AF$2,Inputs!$K$4:$AJ$4,0)))+SUMPRODUCT((Inputs!$C$5:$C$130=$B21)*Inputs!$D$5:$D$130*(((Inputs!$G$5:$G$130="moeda")+(Inputs!$G$5:$G$130="acoes"))*Inputs!$B$1+((Inputs!$G$5:$G$130&lt;&gt;"moeda")*(Inputs!$G$5:$G$130&lt;&gt;"acoes")))*INDEX(Inputs!$K$5:$AJ$130,0,MATCH(AF$2,Inputs!$K$4:$AJ$4,0)))+SUMPRODUCT((Inputs!$E$5:$E$130=$B21)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1" s="3" t="e">
        <f>AF21</f>
        <v>#N/A</v>
      </c>
      <c r="AH21" s="6">
        <f>IF(ISNA(MATCH(AH$2,Inputs!$K$4:$AJ$4,0)),NA(),IF(SUMPRODUCT((Inputs!$A$5:$A$130=$B21)*ISNUMBER(INDEX(Inputs!$K$5:$AJ$130,0,MATCH(AH$2,Inputs!$K$4:$AJ$4,0))))+SUMPRODUCT((Inputs!$C$5:$C$130=$B21)*ISNUMBER(INDEX(Inputs!$K$5:$AJ$130,0,MATCH(AH$2,Inputs!$K$4:$AJ$4,0))))+SUMPRODUCT((Inputs!$E$5:$E$130=$B21)*ISNUMBER(INDEX(Inputs!$K$5:$AJ$130,0,MATCH(AH$2,Inputs!$K$4:$AJ$4,0))))=0,NA(),SUMPRODUCT((Inputs!$A$5:$A$130=$B21)*Inputs!$B$5:$B$130*(((Inputs!$G$5:$G$130="moeda")+(Inputs!$G$5:$G$130="acoes"))*Inputs!$B$1+((Inputs!$G$5:$G$130&lt;&gt;"moeda")*(Inputs!$G$5:$G$130&lt;&gt;"acoes")))*INDEX(Inputs!$K$5:$AJ$130,0,MATCH(AH$2,Inputs!$K$4:$AJ$4,0)))+SUMPRODUCT((Inputs!$C$5:$C$130=$B21)*Inputs!$D$5:$D$130*(((Inputs!$G$5:$G$130="moeda")+(Inputs!$G$5:$G$130="acoes"))*Inputs!$B$1+((Inputs!$G$5:$G$130&lt;&gt;"moeda")*(Inputs!$G$5:$G$130&lt;&gt;"acoes")))*INDEX(Inputs!$K$5:$AJ$130,0,MATCH(AH$2,Inputs!$K$4:$AJ$4,0)))+SUMPRODUCT((Inputs!$E$5:$E$130=$B21)*Inputs!$F$5:$F$130*(((Inputs!$G$5:$G$130="moeda")+(Inputs!$G$5:$G$130="acoes"))*Inputs!$B$1+((Inputs!$G$5:$G$130&lt;&gt;"moeda")*(Inputs!$G$5:$G$130&lt;&gt;"acoes")))*INDEX(Inputs!$K$5:$AJ$130,0,MATCH(AH$2,Inputs!$K$4:$AJ$4,0)))))</f>
        <v>0</v>
      </c>
      <c r="AI21" s="6">
        <f>IF(ISNA(MATCH(AI$2,Inputs!$K$4:$AJ$4,0)),NA(),IF(SUMPRODUCT((Inputs!$A$5:$A$130=$B21)*ISNUMBER(INDEX(Inputs!$K$5:$AJ$130,0,MATCH(AI$2,Inputs!$K$4:$AJ$4,0))))+SUMPRODUCT((Inputs!$C$5:$C$130=$B21)*ISNUMBER(INDEX(Inputs!$K$5:$AJ$130,0,MATCH(AI$2,Inputs!$K$4:$AJ$4,0))))+SUMPRODUCT((Inputs!$E$5:$E$130=$B21)*ISNUMBER(INDEX(Inputs!$K$5:$AJ$130,0,MATCH(AI$2,Inputs!$K$4:$AJ$4,0))))=0,NA(),SUMPRODUCT((Inputs!$A$5:$A$130=$B21)*Inputs!$B$5:$B$130*(((Inputs!$G$5:$G$130="moeda")+(Inputs!$G$5:$G$130="acoes"))*Inputs!$B$1+((Inputs!$G$5:$G$130&lt;&gt;"moeda")*(Inputs!$G$5:$G$130&lt;&gt;"acoes")))*INDEX(Inputs!$K$5:$AJ$130,0,MATCH(AI$2,Inputs!$K$4:$AJ$4,0)))+SUMPRODUCT((Inputs!$C$5:$C$130=$B21)*Inputs!$D$5:$D$130*(((Inputs!$G$5:$G$130="moeda")+(Inputs!$G$5:$G$130="acoes"))*Inputs!$B$1+((Inputs!$G$5:$G$130&lt;&gt;"moeda")*(Inputs!$G$5:$G$130&lt;&gt;"acoes")))*INDEX(Inputs!$K$5:$AJ$130,0,MATCH(AI$2,Inputs!$K$4:$AJ$4,0)))+SUMPRODUCT((Inputs!$E$5:$E$130=$B21)*Inputs!$F$5:$F$130*(((Inputs!$G$5:$G$130="moeda")+(Inputs!$G$5:$G$130="acoes"))*Inputs!$B$1+((Inputs!$G$5:$G$130&lt;&gt;"moeda")*(Inputs!$G$5:$G$130&lt;&gt;"acoes")))*INDEX(Inputs!$K$5:$AJ$130,0,MATCH(AI$2,Inputs!$K$4:$AJ$4,0)))))</f>
        <v>0</v>
      </c>
      <c r="AJ21" s="6">
        <f>IF(ISNA(MATCH(AJ$2,Inputs!$K$4:$AJ$4,0)),NA(),IF(SUMPRODUCT((Inputs!$A$5:$A$130=$B21)*ISNUMBER(INDEX(Inputs!$K$5:$AJ$130,0,MATCH(AJ$2,Inputs!$K$4:$AJ$4,0))))+SUMPRODUCT((Inputs!$C$5:$C$130=$B21)*ISNUMBER(INDEX(Inputs!$K$5:$AJ$130,0,MATCH(AJ$2,Inputs!$K$4:$AJ$4,0))))+SUMPRODUCT((Inputs!$E$5:$E$130=$B21)*ISNUMBER(INDEX(Inputs!$K$5:$AJ$130,0,MATCH(AJ$2,Inputs!$K$4:$AJ$4,0))))=0,NA(),SUMPRODUCT((Inputs!$A$5:$A$130=$B21)*Inputs!$B$5:$B$130*(((Inputs!$G$5:$G$130="moeda")+(Inputs!$G$5:$G$130="acoes"))*Inputs!$B$1+((Inputs!$G$5:$G$130&lt;&gt;"moeda")*(Inputs!$G$5:$G$130&lt;&gt;"acoes")))*INDEX(Inputs!$K$5:$AJ$130,0,MATCH(AJ$2,Inputs!$K$4:$AJ$4,0)))+SUMPRODUCT((Inputs!$C$5:$C$130=$B21)*Inputs!$D$5:$D$130*(((Inputs!$G$5:$G$130="moeda")+(Inputs!$G$5:$G$130="acoes"))*Inputs!$B$1+((Inputs!$G$5:$G$130&lt;&gt;"moeda")*(Inputs!$G$5:$G$130&lt;&gt;"acoes")))*INDEX(Inputs!$K$5:$AJ$130,0,MATCH(AJ$2,Inputs!$K$4:$AJ$4,0)))+SUMPRODUCT((Inputs!$E$5:$E$130=$B21)*Inputs!$F$5:$F$130*(((Inputs!$G$5:$G$130="moeda")+(Inputs!$G$5:$G$130="acoes"))*Inputs!$B$1+((Inputs!$G$5:$G$130&lt;&gt;"moeda")*(Inputs!$G$5:$G$130&lt;&gt;"acoes")))*INDEX(Inputs!$K$5:$AJ$130,0,MATCH(AJ$2,Inputs!$K$4:$AJ$4,0)))))</f>
        <v>0</v>
      </c>
      <c r="AK21" s="6">
        <f>IF(ISNA(MATCH(AK$2,Inputs!$K$4:$AJ$4,0)),NA(),IF(SUMPRODUCT((Inputs!$A$5:$A$130=$B21)*ISNUMBER(INDEX(Inputs!$K$5:$AJ$130,0,MATCH(AK$2,Inputs!$K$4:$AJ$4,0))))+SUMPRODUCT((Inputs!$C$5:$C$130=$B21)*ISNUMBER(INDEX(Inputs!$K$5:$AJ$130,0,MATCH(AK$2,Inputs!$K$4:$AJ$4,0))))+SUMPRODUCT((Inputs!$E$5:$E$130=$B21)*ISNUMBER(INDEX(Inputs!$K$5:$AJ$130,0,MATCH(AK$2,Inputs!$K$4:$AJ$4,0))))=0,NA(),SUMPRODUCT((Inputs!$A$5:$A$130=$B21)*Inputs!$B$5:$B$130*(((Inputs!$G$5:$G$130="moeda")+(Inputs!$G$5:$G$130="acoes"))*Inputs!$B$1+((Inputs!$G$5:$G$130&lt;&gt;"moeda")*(Inputs!$G$5:$G$130&lt;&gt;"acoes")))*INDEX(Inputs!$K$5:$AJ$130,0,MATCH(AK$2,Inputs!$K$4:$AJ$4,0)))+SUMPRODUCT((Inputs!$C$5:$C$130=$B21)*Inputs!$D$5:$D$130*(((Inputs!$G$5:$G$130="moeda")+(Inputs!$G$5:$G$130="acoes"))*Inputs!$B$1+((Inputs!$G$5:$G$130&lt;&gt;"moeda")*(Inputs!$G$5:$G$130&lt;&gt;"acoes")))*INDEX(Inputs!$K$5:$AJ$130,0,MATCH(AK$2,Inputs!$K$4:$AJ$4,0)))+SUMPRODUCT((Inputs!$E$5:$E$130=$B21)*Inputs!$F$5:$F$130*(((Inputs!$G$5:$G$130="moeda")+(Inputs!$G$5:$G$130="acoes"))*Inputs!$B$1+((Inputs!$G$5:$G$130&lt;&gt;"moeda")*(Inputs!$G$5:$G$130&lt;&gt;"acoes")))*INDEX(Inputs!$K$5:$AJ$130,0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$130=$B22)*ISNUMBER(INDEX(Inputs!$K$5:$AJ$130,0,MATCH(D$2,Inputs!$K$4:$AJ$4,0))))+SUMPRODUCT((Inputs!$C$5:$C$130=$B22)*ISNUMBER(INDEX(Inputs!$K$5:$AJ$130,0,MATCH(D$2,Inputs!$K$4:$AJ$4,0))))+SUMPRODUCT((Inputs!$E$5:$E$130=$B22)*ISNUMBER(INDEX(Inputs!$K$5:$AJ$130,0,MATCH(D$2,Inputs!$K$4:$AJ$4,0))))=0,NA(),SUMPRODUCT((Inputs!$A$5:$A$130=$B22)*Inputs!$B$5:$B$130*(((Inputs!$G$5:$G$130="moeda")+(Inputs!$G$5:$G$130="acoes"))*Inputs!$B$1+((Inputs!$G$5:$G$130&lt;&gt;"moeda")*(Inputs!$G$5:$G$130&lt;&gt;"acoes")))*INDEX(Inputs!$K$5:$AJ$130,0,MATCH(D$2,Inputs!$K$4:$AJ$4,0)))+SUMPRODUCT((Inputs!$C$5:$C$130=$B22)*Inputs!$D$5:$D$130*(((Inputs!$G$5:$G$130="moeda")+(Inputs!$G$5:$G$130="acoes"))*Inputs!$B$1+((Inputs!$G$5:$G$130&lt;&gt;"moeda")*(Inputs!$G$5:$G$130&lt;&gt;"acoes")))*INDEX(Inputs!$K$5:$AJ$130,0,MATCH(D$2,Inputs!$K$4:$AJ$4,0)))+SUMPRODUCT((Inputs!$E$5:$E$130=$B22)*Inputs!$F$5:$F$130*(((Inputs!$G$5:$G$130="moeda")+(Inputs!$G$5:$G$130="acoes"))*Inputs!$B$1+((Inputs!$G$5:$G$130&lt;&gt;"moeda")*(Inputs!$G$5:$G$130&lt;&gt;"acoes")))*INDEX(Inputs!$K$5:$AJ$130,0,MATCH(D$2,Inputs!$K$4:$AJ$4,0)))))</f>
        <v>0</v>
      </c>
      <c r="E22" s="6">
        <f>IF(ISNA(MATCH(E$2,Inputs!$K$4:$AJ$4,0)),NA(),IF(SUMPRODUCT((Inputs!$A$5:$A$130=$B22)*ISNUMBER(INDEX(Inputs!$K$5:$AJ$130,0,MATCH(E$2,Inputs!$K$4:$AJ$4,0))))+SUMPRODUCT((Inputs!$C$5:$C$130=$B22)*ISNUMBER(INDEX(Inputs!$K$5:$AJ$130,0,MATCH(E$2,Inputs!$K$4:$AJ$4,0))))+SUMPRODUCT((Inputs!$E$5:$E$130=$B22)*ISNUMBER(INDEX(Inputs!$K$5:$AJ$130,0,MATCH(E$2,Inputs!$K$4:$AJ$4,0))))=0,NA(),SUMPRODUCT((Inputs!$A$5:$A$130=$B22)*Inputs!$B$5:$B$130*(((Inputs!$G$5:$G$130="moeda")+(Inputs!$G$5:$G$130="acoes"))*Inputs!$B$1+((Inputs!$G$5:$G$130&lt;&gt;"moeda")*(Inputs!$G$5:$G$130&lt;&gt;"acoes")))*INDEX(Inputs!$K$5:$AJ$130,0,MATCH(E$2,Inputs!$K$4:$AJ$4,0)))+SUMPRODUCT((Inputs!$C$5:$C$130=$B22)*Inputs!$D$5:$D$130*(((Inputs!$G$5:$G$130="moeda")+(Inputs!$G$5:$G$130="acoes"))*Inputs!$B$1+((Inputs!$G$5:$G$130&lt;&gt;"moeda")*(Inputs!$G$5:$G$130&lt;&gt;"acoes")))*INDEX(Inputs!$K$5:$AJ$130,0,MATCH(E$2,Inputs!$K$4:$AJ$4,0)))+SUMPRODUCT((Inputs!$E$5:$E$130=$B22)*Inputs!$F$5:$F$130*(((Inputs!$G$5:$G$130="moeda")+(Inputs!$G$5:$G$130="acoes"))*Inputs!$B$1+((Inputs!$G$5:$G$130&lt;&gt;"moeda")*(Inputs!$G$5:$G$130&lt;&gt;"acoes")))*INDEX(Inputs!$K$5:$AJ$130,0,MATCH(E$2,Inputs!$K$4:$AJ$4,0)))))</f>
        <v>0</v>
      </c>
      <c r="F22" s="6">
        <f>IF(ISNA(MATCH(F$2,Inputs!$K$4:$AJ$4,0)),NA(),IF(SUMPRODUCT((Inputs!$A$5:$A$130=$B22)*ISNUMBER(INDEX(Inputs!$K$5:$AJ$130,0,MATCH(F$2,Inputs!$K$4:$AJ$4,0))))+SUMPRODUCT((Inputs!$C$5:$C$130=$B22)*ISNUMBER(INDEX(Inputs!$K$5:$AJ$130,0,MATCH(F$2,Inputs!$K$4:$AJ$4,0))))+SUMPRODUCT((Inputs!$E$5:$E$130=$B22)*ISNUMBER(INDEX(Inputs!$K$5:$AJ$130,0,MATCH(F$2,Inputs!$K$4:$AJ$4,0))))=0,NA(),SUMPRODUCT((Inputs!$A$5:$A$130=$B22)*Inputs!$B$5:$B$130*(((Inputs!$G$5:$G$130="moeda")+(Inputs!$G$5:$G$130="acoes"))*Inputs!$B$1+((Inputs!$G$5:$G$130&lt;&gt;"moeda")*(Inputs!$G$5:$G$130&lt;&gt;"acoes")))*INDEX(Inputs!$K$5:$AJ$130,0,MATCH(F$2,Inputs!$K$4:$AJ$4,0)))+SUMPRODUCT((Inputs!$C$5:$C$130=$B22)*Inputs!$D$5:$D$130*(((Inputs!$G$5:$G$130="moeda")+(Inputs!$G$5:$G$130="acoes"))*Inputs!$B$1+((Inputs!$G$5:$G$130&lt;&gt;"moeda")*(Inputs!$G$5:$G$130&lt;&gt;"acoes")))*INDEX(Inputs!$K$5:$AJ$130,0,MATCH(F$2,Inputs!$K$4:$AJ$4,0)))+SUMPRODUCT((Inputs!$E$5:$E$130=$B22)*Inputs!$F$5:$F$130*(((Inputs!$G$5:$G$130="moeda")+(Inputs!$G$5:$G$130="acoes"))*Inputs!$B$1+((Inputs!$G$5:$G$130&lt;&gt;"moeda")*(Inputs!$G$5:$G$130&lt;&gt;"acoes")))*INDEX(Inputs!$K$5:$AJ$130,0,MATCH(F$2,Inputs!$K$4:$AJ$4,0)))))</f>
        <v>0</v>
      </c>
      <c r="G22" s="6">
        <f>IF(ISNA(MATCH(G$2,Inputs!$K$4:$AJ$4,0)),NA(),IF(SUMPRODUCT((Inputs!$A$5:$A$130=$B22)*ISNUMBER(INDEX(Inputs!$K$5:$AJ$130,0,MATCH(G$2,Inputs!$K$4:$AJ$4,0))))+SUMPRODUCT((Inputs!$C$5:$C$130=$B22)*ISNUMBER(INDEX(Inputs!$K$5:$AJ$130,0,MATCH(G$2,Inputs!$K$4:$AJ$4,0))))+SUMPRODUCT((Inputs!$E$5:$E$130=$B22)*ISNUMBER(INDEX(Inputs!$K$5:$AJ$130,0,MATCH(G$2,Inputs!$K$4:$AJ$4,0))))=0,NA(),SUMPRODUCT((Inputs!$A$5:$A$130=$B22)*Inputs!$B$5:$B$130*(((Inputs!$G$5:$G$130="moeda")+(Inputs!$G$5:$G$130="acoes"))*Inputs!$B$1+((Inputs!$G$5:$G$130&lt;&gt;"moeda")*(Inputs!$G$5:$G$130&lt;&gt;"acoes")))*INDEX(Inputs!$K$5:$AJ$130,0,MATCH(G$2,Inputs!$K$4:$AJ$4,0)))+SUMPRODUCT((Inputs!$C$5:$C$130=$B22)*Inputs!$D$5:$D$130*(((Inputs!$G$5:$G$130="moeda")+(Inputs!$G$5:$G$130="acoes"))*Inputs!$B$1+((Inputs!$G$5:$G$130&lt;&gt;"moeda")*(Inputs!$G$5:$G$130&lt;&gt;"acoes")))*INDEX(Inputs!$K$5:$AJ$130,0,MATCH(G$2,Inputs!$K$4:$AJ$4,0)))+SUMPRODUCT((Inputs!$E$5:$E$130=$B22)*Inputs!$F$5:$F$130*(((Inputs!$G$5:$G$130="moeda")+(Inputs!$G$5:$G$130="acoes"))*Inputs!$B$1+((Inputs!$G$5:$G$130&lt;&gt;"moeda")*(Inputs!$G$5:$G$130&lt;&gt;"acoes")))*INDEX(Inputs!$K$5:$AJ$130,0,MATCH(G$2,Inputs!$K$4:$AJ$4,0)))))</f>
        <v>0</v>
      </c>
      <c r="H22" s="3">
        <f>G22</f>
        <v>0</v>
      </c>
      <c r="I22" s="6">
        <f>IF(ISNA(MATCH(I$2,Inputs!$K$4:$AJ$4,0)),NA(),IF(SUMPRODUCT((Inputs!$A$5:$A$130=$B22)*ISNUMBER(INDEX(Inputs!$K$5:$AJ$130,0,MATCH(I$2,Inputs!$K$4:$AJ$4,0))))+SUMPRODUCT((Inputs!$C$5:$C$130=$B22)*ISNUMBER(INDEX(Inputs!$K$5:$AJ$130,0,MATCH(I$2,Inputs!$K$4:$AJ$4,0))))+SUMPRODUCT((Inputs!$E$5:$E$130=$B22)*ISNUMBER(INDEX(Inputs!$K$5:$AJ$130,0,MATCH(I$2,Inputs!$K$4:$AJ$4,0))))=0,NA(),SUMPRODUCT((Inputs!$A$5:$A$130=$B22)*Inputs!$B$5:$B$130*(((Inputs!$G$5:$G$130="moeda")+(Inputs!$G$5:$G$130="acoes"))*Inputs!$B$1+((Inputs!$G$5:$G$130&lt;&gt;"moeda")*(Inputs!$G$5:$G$130&lt;&gt;"acoes")))*INDEX(Inputs!$K$5:$AJ$130,0,MATCH(I$2,Inputs!$K$4:$AJ$4,0)))+SUMPRODUCT((Inputs!$C$5:$C$130=$B22)*Inputs!$D$5:$D$130*(((Inputs!$G$5:$G$130="moeda")+(Inputs!$G$5:$G$130="acoes"))*Inputs!$B$1+((Inputs!$G$5:$G$130&lt;&gt;"moeda")*(Inputs!$G$5:$G$130&lt;&gt;"acoes")))*INDEX(Inputs!$K$5:$AJ$130,0,MATCH(I$2,Inputs!$K$4:$AJ$4,0)))+SUMPRODUCT((Inputs!$E$5:$E$130=$B22)*Inputs!$F$5:$F$130*(((Inputs!$G$5:$G$130="moeda")+(Inputs!$G$5:$G$130="acoes"))*Inputs!$B$1+((Inputs!$G$5:$G$130&lt;&gt;"moeda")*(Inputs!$G$5:$G$130&lt;&gt;"acoes")))*INDEX(Inputs!$K$5:$AJ$130,0,MATCH(I$2,Inputs!$K$4:$AJ$4,0)))))</f>
        <v>0</v>
      </c>
      <c r="J22" s="6">
        <f>IF(ISNA(MATCH(J$2,Inputs!$K$4:$AJ$4,0)),NA(),IF(SUMPRODUCT((Inputs!$A$5:$A$130=$B22)*ISNUMBER(INDEX(Inputs!$K$5:$AJ$130,0,MATCH(J$2,Inputs!$K$4:$AJ$4,0))))+SUMPRODUCT((Inputs!$C$5:$C$130=$B22)*ISNUMBER(INDEX(Inputs!$K$5:$AJ$130,0,MATCH(J$2,Inputs!$K$4:$AJ$4,0))))+SUMPRODUCT((Inputs!$E$5:$E$130=$B22)*ISNUMBER(INDEX(Inputs!$K$5:$AJ$130,0,MATCH(J$2,Inputs!$K$4:$AJ$4,0))))=0,NA(),SUMPRODUCT((Inputs!$A$5:$A$130=$B22)*Inputs!$B$5:$B$130*(((Inputs!$G$5:$G$130="moeda")+(Inputs!$G$5:$G$130="acoes"))*Inputs!$B$1+((Inputs!$G$5:$G$130&lt;&gt;"moeda")*(Inputs!$G$5:$G$130&lt;&gt;"acoes")))*INDEX(Inputs!$K$5:$AJ$130,0,MATCH(J$2,Inputs!$K$4:$AJ$4,0)))+SUMPRODUCT((Inputs!$C$5:$C$130=$B22)*Inputs!$D$5:$D$130*(((Inputs!$G$5:$G$130="moeda")+(Inputs!$G$5:$G$130="acoes"))*Inputs!$B$1+((Inputs!$G$5:$G$130&lt;&gt;"moeda")*(Inputs!$G$5:$G$130&lt;&gt;"acoes")))*INDEX(Inputs!$K$5:$AJ$130,0,MATCH(J$2,Inputs!$K$4:$AJ$4,0)))+SUMPRODUCT((Inputs!$E$5:$E$130=$B22)*Inputs!$F$5:$F$130*(((Inputs!$G$5:$G$130="moeda")+(Inputs!$G$5:$G$130="acoes"))*Inputs!$B$1+((Inputs!$G$5:$G$130&lt;&gt;"moeda")*(Inputs!$G$5:$G$130&lt;&gt;"acoes")))*INDEX(Inputs!$K$5:$AJ$130,0,MATCH(J$2,Inputs!$K$4:$AJ$4,0)))))</f>
        <v>0</v>
      </c>
      <c r="K22" s="6">
        <f>IF(ISNA(MATCH(K$2,Inputs!$K$4:$AJ$4,0)),NA(),IF(SUMPRODUCT((Inputs!$A$5:$A$130=$B22)*ISNUMBER(INDEX(Inputs!$K$5:$AJ$130,0,MATCH(K$2,Inputs!$K$4:$AJ$4,0))))+SUMPRODUCT((Inputs!$C$5:$C$130=$B22)*ISNUMBER(INDEX(Inputs!$K$5:$AJ$130,0,MATCH(K$2,Inputs!$K$4:$AJ$4,0))))+SUMPRODUCT((Inputs!$E$5:$E$130=$B22)*ISNUMBER(INDEX(Inputs!$K$5:$AJ$130,0,MATCH(K$2,Inputs!$K$4:$AJ$4,0))))=0,NA(),SUMPRODUCT((Inputs!$A$5:$A$130=$B22)*Inputs!$B$5:$B$130*(((Inputs!$G$5:$G$130="moeda")+(Inputs!$G$5:$G$130="acoes"))*Inputs!$B$1+((Inputs!$G$5:$G$130&lt;&gt;"moeda")*(Inputs!$G$5:$G$130&lt;&gt;"acoes")))*INDEX(Inputs!$K$5:$AJ$130,0,MATCH(K$2,Inputs!$K$4:$AJ$4,0)))+SUMPRODUCT((Inputs!$C$5:$C$130=$B22)*Inputs!$D$5:$D$130*(((Inputs!$G$5:$G$130="moeda")+(Inputs!$G$5:$G$130="acoes"))*Inputs!$B$1+((Inputs!$G$5:$G$130&lt;&gt;"moeda")*(Inputs!$G$5:$G$130&lt;&gt;"acoes")))*INDEX(Inputs!$K$5:$AJ$130,0,MATCH(K$2,Inputs!$K$4:$AJ$4,0)))+SUMPRODUCT((Inputs!$E$5:$E$130=$B22)*Inputs!$F$5:$F$130*(((Inputs!$G$5:$G$130="moeda")+(Inputs!$G$5:$G$130="acoes"))*Inputs!$B$1+((Inputs!$G$5:$G$130&lt;&gt;"moeda")*(Inputs!$G$5:$G$130&lt;&gt;"acoes")))*INDEX(Inputs!$K$5:$AJ$130,0,MATCH(K$2,Inputs!$K$4:$AJ$4,0)))))</f>
        <v>0</v>
      </c>
      <c r="L22" s="6">
        <f>IF(ISNA(MATCH(L$2,Inputs!$K$4:$AJ$4,0)),NA(),IF(SUMPRODUCT((Inputs!$A$5:$A$130=$B22)*ISNUMBER(INDEX(Inputs!$K$5:$AJ$130,0,MATCH(L$2,Inputs!$K$4:$AJ$4,0))))+SUMPRODUCT((Inputs!$C$5:$C$130=$B22)*ISNUMBER(INDEX(Inputs!$K$5:$AJ$130,0,MATCH(L$2,Inputs!$K$4:$AJ$4,0))))+SUMPRODUCT((Inputs!$E$5:$E$130=$B22)*ISNUMBER(INDEX(Inputs!$K$5:$AJ$130,0,MATCH(L$2,Inputs!$K$4:$AJ$4,0))))=0,NA(),SUMPRODUCT((Inputs!$A$5:$A$130=$B22)*Inputs!$B$5:$B$130*(((Inputs!$G$5:$G$130="moeda")+(Inputs!$G$5:$G$130="acoes"))*Inputs!$B$1+((Inputs!$G$5:$G$130&lt;&gt;"moeda")*(Inputs!$G$5:$G$130&lt;&gt;"acoes")))*INDEX(Inputs!$K$5:$AJ$130,0,MATCH(L$2,Inputs!$K$4:$AJ$4,0)))+SUMPRODUCT((Inputs!$C$5:$C$130=$B22)*Inputs!$D$5:$D$130*(((Inputs!$G$5:$G$130="moeda")+(Inputs!$G$5:$G$130="acoes"))*Inputs!$B$1+((Inputs!$G$5:$G$130&lt;&gt;"moeda")*(Inputs!$G$5:$G$130&lt;&gt;"acoes")))*INDEX(Inputs!$K$5:$AJ$130,0,MATCH(L$2,Inputs!$K$4:$AJ$4,0)))+SUMPRODUCT((Inputs!$E$5:$E$130=$B22)*Inputs!$F$5:$F$130*(((Inputs!$G$5:$G$130="moeda")+(Inputs!$G$5:$G$130="acoes"))*Inputs!$B$1+((Inputs!$G$5:$G$130&lt;&gt;"moeda")*(Inputs!$G$5:$G$130&lt;&gt;"acoes")))*INDEX(Inputs!$K$5:$AJ$130,0,MATCH(L$2,Inputs!$K$4:$AJ$4,0)))))</f>
        <v>0</v>
      </c>
      <c r="M22" s="3">
        <f>L22</f>
        <v>0</v>
      </c>
      <c r="N22" s="6">
        <f>IF(ISNA(MATCH(N$2,Inputs!$K$4:$AJ$4,0)),NA(),IF(SUMPRODUCT((Inputs!$A$5:$A$130=$B22)*ISNUMBER(INDEX(Inputs!$K$5:$AJ$130,0,MATCH(N$2,Inputs!$K$4:$AJ$4,0))))+SUMPRODUCT((Inputs!$C$5:$C$130=$B22)*ISNUMBER(INDEX(Inputs!$K$5:$AJ$130,0,MATCH(N$2,Inputs!$K$4:$AJ$4,0))))+SUMPRODUCT((Inputs!$E$5:$E$130=$B22)*ISNUMBER(INDEX(Inputs!$K$5:$AJ$130,0,MATCH(N$2,Inputs!$K$4:$AJ$4,0))))=0,NA(),SUMPRODUCT((Inputs!$A$5:$A$130=$B22)*Inputs!$B$5:$B$130*(((Inputs!$G$5:$G$130="moeda")+(Inputs!$G$5:$G$130="acoes"))*Inputs!$B$1+((Inputs!$G$5:$G$130&lt;&gt;"moeda")*(Inputs!$G$5:$G$130&lt;&gt;"acoes")))*INDEX(Inputs!$K$5:$AJ$130,0,MATCH(N$2,Inputs!$K$4:$AJ$4,0)))+SUMPRODUCT((Inputs!$C$5:$C$130=$B22)*Inputs!$D$5:$D$130*(((Inputs!$G$5:$G$130="moeda")+(Inputs!$G$5:$G$130="acoes"))*Inputs!$B$1+((Inputs!$G$5:$G$130&lt;&gt;"moeda")*(Inputs!$G$5:$G$130&lt;&gt;"acoes")))*INDEX(Inputs!$K$5:$AJ$130,0,MATCH(N$2,Inputs!$K$4:$AJ$4,0)))+SUMPRODUCT((Inputs!$E$5:$E$130=$B22)*Inputs!$F$5:$F$130*(((Inputs!$G$5:$G$130="moeda")+(Inputs!$G$5:$G$130="acoes"))*Inputs!$B$1+((Inputs!$G$5:$G$130&lt;&gt;"moeda")*(Inputs!$G$5:$G$130&lt;&gt;"acoes")))*INDEX(Inputs!$K$5:$AJ$130,0,MATCH(N$2,Inputs!$K$4:$AJ$4,0)))))</f>
        <v>0</v>
      </c>
      <c r="O22" s="6">
        <f>IF(ISNA(MATCH(O$2,Inputs!$K$4:$AJ$4,0)),NA(),IF(SUMPRODUCT((Inputs!$A$5:$A$130=$B22)*ISNUMBER(INDEX(Inputs!$K$5:$AJ$130,0,MATCH(O$2,Inputs!$K$4:$AJ$4,0))))+SUMPRODUCT((Inputs!$C$5:$C$130=$B22)*ISNUMBER(INDEX(Inputs!$K$5:$AJ$130,0,MATCH(O$2,Inputs!$K$4:$AJ$4,0))))+SUMPRODUCT((Inputs!$E$5:$E$130=$B22)*ISNUMBER(INDEX(Inputs!$K$5:$AJ$130,0,MATCH(O$2,Inputs!$K$4:$AJ$4,0))))=0,NA(),SUMPRODUCT((Inputs!$A$5:$A$130=$B22)*Inputs!$B$5:$B$130*(((Inputs!$G$5:$G$130="moeda")+(Inputs!$G$5:$G$130="acoes"))*Inputs!$B$1+((Inputs!$G$5:$G$130&lt;&gt;"moeda")*(Inputs!$G$5:$G$130&lt;&gt;"acoes")))*INDEX(Inputs!$K$5:$AJ$130,0,MATCH(O$2,Inputs!$K$4:$AJ$4,0)))+SUMPRODUCT((Inputs!$C$5:$C$130=$B22)*Inputs!$D$5:$D$130*(((Inputs!$G$5:$G$130="moeda")+(Inputs!$G$5:$G$130="acoes"))*Inputs!$B$1+((Inputs!$G$5:$G$130&lt;&gt;"moeda")*(Inputs!$G$5:$G$130&lt;&gt;"acoes")))*INDEX(Inputs!$K$5:$AJ$130,0,MATCH(O$2,Inputs!$K$4:$AJ$4,0)))+SUMPRODUCT((Inputs!$E$5:$E$130=$B22)*Inputs!$F$5:$F$130*(((Inputs!$G$5:$G$130="moeda")+(Inputs!$G$5:$G$130="acoes"))*Inputs!$B$1+((Inputs!$G$5:$G$130&lt;&gt;"moeda")*(Inputs!$G$5:$G$130&lt;&gt;"acoes")))*INDEX(Inputs!$K$5:$AJ$130,0,MATCH(O$2,Inputs!$K$4:$AJ$4,0)))))</f>
        <v>0</v>
      </c>
      <c r="P22" s="6">
        <f>IF(ISNA(MATCH(P$2,Inputs!$K$4:$AJ$4,0)),NA(),IF(SUMPRODUCT((Inputs!$A$5:$A$130=$B22)*ISNUMBER(INDEX(Inputs!$K$5:$AJ$130,0,MATCH(P$2,Inputs!$K$4:$AJ$4,0))))+SUMPRODUCT((Inputs!$C$5:$C$130=$B22)*ISNUMBER(INDEX(Inputs!$K$5:$AJ$130,0,MATCH(P$2,Inputs!$K$4:$AJ$4,0))))+SUMPRODUCT((Inputs!$E$5:$E$130=$B22)*ISNUMBER(INDEX(Inputs!$K$5:$AJ$130,0,MATCH(P$2,Inputs!$K$4:$AJ$4,0))))=0,NA(),SUMPRODUCT((Inputs!$A$5:$A$130=$B22)*Inputs!$B$5:$B$130*(((Inputs!$G$5:$G$130="moeda")+(Inputs!$G$5:$G$130="acoes"))*Inputs!$B$1+((Inputs!$G$5:$G$130&lt;&gt;"moeda")*(Inputs!$G$5:$G$130&lt;&gt;"acoes")))*INDEX(Inputs!$K$5:$AJ$130,0,MATCH(P$2,Inputs!$K$4:$AJ$4,0)))+SUMPRODUCT((Inputs!$C$5:$C$130=$B22)*Inputs!$D$5:$D$130*(((Inputs!$G$5:$G$130="moeda")+(Inputs!$G$5:$G$130="acoes"))*Inputs!$B$1+((Inputs!$G$5:$G$130&lt;&gt;"moeda")*(Inputs!$G$5:$G$130&lt;&gt;"acoes")))*INDEX(Inputs!$K$5:$AJ$130,0,MATCH(P$2,Inputs!$K$4:$AJ$4,0)))+SUMPRODUCT((Inputs!$E$5:$E$130=$B22)*Inputs!$F$5:$F$130*(((Inputs!$G$5:$G$130="moeda")+(Inputs!$G$5:$G$130="acoes"))*Inputs!$B$1+((Inputs!$G$5:$G$130&lt;&gt;"moeda")*(Inputs!$G$5:$G$130&lt;&gt;"acoes")))*INDEX(Inputs!$K$5:$AJ$130,0,MATCH(P$2,Inputs!$K$4:$AJ$4,0)))))</f>
        <v>0</v>
      </c>
      <c r="Q22" s="6">
        <f>IF(ISNA(MATCH(Q$2,Inputs!$K$4:$AJ$4,0)),NA(),IF(SUMPRODUCT((Inputs!$A$5:$A$130=$B22)*ISNUMBER(INDEX(Inputs!$K$5:$AJ$130,0,MATCH(Q$2,Inputs!$K$4:$AJ$4,0))))+SUMPRODUCT((Inputs!$C$5:$C$130=$B22)*ISNUMBER(INDEX(Inputs!$K$5:$AJ$130,0,MATCH(Q$2,Inputs!$K$4:$AJ$4,0))))+SUMPRODUCT((Inputs!$E$5:$E$130=$B22)*ISNUMBER(INDEX(Inputs!$K$5:$AJ$130,0,MATCH(Q$2,Inputs!$K$4:$AJ$4,0))))=0,NA(),SUMPRODUCT((Inputs!$A$5:$A$130=$B22)*Inputs!$B$5:$B$130*(((Inputs!$G$5:$G$130="moeda")+(Inputs!$G$5:$G$130="acoes"))*Inputs!$B$1+((Inputs!$G$5:$G$130&lt;&gt;"moeda")*(Inputs!$G$5:$G$130&lt;&gt;"acoes")))*INDEX(Inputs!$K$5:$AJ$130,0,MATCH(Q$2,Inputs!$K$4:$AJ$4,0)))+SUMPRODUCT((Inputs!$C$5:$C$130=$B22)*Inputs!$D$5:$D$130*(((Inputs!$G$5:$G$130="moeda")+(Inputs!$G$5:$G$130="acoes"))*Inputs!$B$1+((Inputs!$G$5:$G$130&lt;&gt;"moeda")*(Inputs!$G$5:$G$130&lt;&gt;"acoes")))*INDEX(Inputs!$K$5:$AJ$130,0,MATCH(Q$2,Inputs!$K$4:$AJ$4,0)))+SUMPRODUCT((Inputs!$E$5:$E$130=$B22)*Inputs!$F$5:$F$130*(((Inputs!$G$5:$G$130="moeda")+(Inputs!$G$5:$G$130="acoes"))*Inputs!$B$1+((Inputs!$G$5:$G$130&lt;&gt;"moeda")*(Inputs!$G$5:$G$130&lt;&gt;"acoes")))*INDEX(Inputs!$K$5:$AJ$130,0,MATCH(Q$2,Inputs!$K$4:$AJ$4,0)))))</f>
        <v>0</v>
      </c>
      <c r="R22" s="3">
        <f>Q22</f>
        <v>0</v>
      </c>
      <c r="S22" s="6">
        <f>IF(ISNA(MATCH(S$2,Inputs!$K$4:$AJ$4,0)),NA(),IF(SUMPRODUCT((Inputs!$A$5:$A$130=$B22)*ISNUMBER(INDEX(Inputs!$K$5:$AJ$130,0,MATCH(S$2,Inputs!$K$4:$AJ$4,0))))+SUMPRODUCT((Inputs!$C$5:$C$130=$B22)*ISNUMBER(INDEX(Inputs!$K$5:$AJ$130,0,MATCH(S$2,Inputs!$K$4:$AJ$4,0))))+SUMPRODUCT((Inputs!$E$5:$E$130=$B22)*ISNUMBER(INDEX(Inputs!$K$5:$AJ$130,0,MATCH(S$2,Inputs!$K$4:$AJ$4,0))))=0,NA(),SUMPRODUCT((Inputs!$A$5:$A$130=$B22)*Inputs!$B$5:$B$130*(((Inputs!$G$5:$G$130="moeda")+(Inputs!$G$5:$G$130="acoes"))*Inputs!$B$1+((Inputs!$G$5:$G$130&lt;&gt;"moeda")*(Inputs!$G$5:$G$130&lt;&gt;"acoes")))*INDEX(Inputs!$K$5:$AJ$130,0,MATCH(S$2,Inputs!$K$4:$AJ$4,0)))+SUMPRODUCT((Inputs!$C$5:$C$130=$B22)*Inputs!$D$5:$D$130*(((Inputs!$G$5:$G$130="moeda")+(Inputs!$G$5:$G$130="acoes"))*Inputs!$B$1+((Inputs!$G$5:$G$130&lt;&gt;"moeda")*(Inputs!$G$5:$G$130&lt;&gt;"acoes")))*INDEX(Inputs!$K$5:$AJ$130,0,MATCH(S$2,Inputs!$K$4:$AJ$4,0)))+SUMPRODUCT((Inputs!$E$5:$E$130=$B22)*Inputs!$F$5:$F$130*(((Inputs!$G$5:$G$130="moeda")+(Inputs!$G$5:$G$130="acoes"))*Inputs!$B$1+((Inputs!$G$5:$G$130&lt;&gt;"moeda")*(Inputs!$G$5:$G$130&lt;&gt;"acoes")))*INDEX(Inputs!$K$5:$AJ$130,0,MATCH(S$2,Inputs!$K$4:$AJ$4,0)))))</f>
        <v>0</v>
      </c>
      <c r="T22" s="6">
        <f>IF(ISNA(MATCH(T$2,Inputs!$K$4:$AJ$4,0)),NA(),IF(SUMPRODUCT((Inputs!$A$5:$A$130=$B22)*ISNUMBER(INDEX(Inputs!$K$5:$AJ$130,0,MATCH(T$2,Inputs!$K$4:$AJ$4,0))))+SUMPRODUCT((Inputs!$C$5:$C$130=$B22)*ISNUMBER(INDEX(Inputs!$K$5:$AJ$130,0,MATCH(T$2,Inputs!$K$4:$AJ$4,0))))+SUMPRODUCT((Inputs!$E$5:$E$130=$B22)*ISNUMBER(INDEX(Inputs!$K$5:$AJ$130,0,MATCH(T$2,Inputs!$K$4:$AJ$4,0))))=0,NA(),SUMPRODUCT((Inputs!$A$5:$A$130=$B22)*Inputs!$B$5:$B$130*(((Inputs!$G$5:$G$130="moeda")+(Inputs!$G$5:$G$130="acoes"))*Inputs!$B$1+((Inputs!$G$5:$G$130&lt;&gt;"moeda")*(Inputs!$G$5:$G$130&lt;&gt;"acoes")))*INDEX(Inputs!$K$5:$AJ$130,0,MATCH(T$2,Inputs!$K$4:$AJ$4,0)))+SUMPRODUCT((Inputs!$C$5:$C$130=$B22)*Inputs!$D$5:$D$130*(((Inputs!$G$5:$G$130="moeda")+(Inputs!$G$5:$G$130="acoes"))*Inputs!$B$1+((Inputs!$G$5:$G$130&lt;&gt;"moeda")*(Inputs!$G$5:$G$130&lt;&gt;"acoes")))*INDEX(Inputs!$K$5:$AJ$130,0,MATCH(T$2,Inputs!$K$4:$AJ$4,0)))+SUMPRODUCT((Inputs!$E$5:$E$130=$B22)*Inputs!$F$5:$F$130*(((Inputs!$G$5:$G$130="moeda")+(Inputs!$G$5:$G$130="acoes"))*Inputs!$B$1+((Inputs!$G$5:$G$130&lt;&gt;"moeda")*(Inputs!$G$5:$G$130&lt;&gt;"acoes")))*INDEX(Inputs!$K$5:$AJ$130,0,MATCH(T$2,Inputs!$K$4:$AJ$4,0)))))</f>
        <v>0</v>
      </c>
      <c r="U22" s="6">
        <f>IF(ISNA(MATCH(U$2,Inputs!$K$4:$AJ$4,0)),NA(),IF(SUMPRODUCT((Inputs!$A$5:$A$130=$B22)*ISNUMBER(INDEX(Inputs!$K$5:$AJ$130,0,MATCH(U$2,Inputs!$K$4:$AJ$4,0))))+SUMPRODUCT((Inputs!$C$5:$C$130=$B22)*ISNUMBER(INDEX(Inputs!$K$5:$AJ$130,0,MATCH(U$2,Inputs!$K$4:$AJ$4,0))))+SUMPRODUCT((Inputs!$E$5:$E$130=$B22)*ISNUMBER(INDEX(Inputs!$K$5:$AJ$130,0,MATCH(U$2,Inputs!$K$4:$AJ$4,0))))=0,NA(),SUMPRODUCT((Inputs!$A$5:$A$130=$B22)*Inputs!$B$5:$B$130*(((Inputs!$G$5:$G$130="moeda")+(Inputs!$G$5:$G$130="acoes"))*Inputs!$B$1+((Inputs!$G$5:$G$130&lt;&gt;"moeda")*(Inputs!$G$5:$G$130&lt;&gt;"acoes")))*INDEX(Inputs!$K$5:$AJ$130,0,MATCH(U$2,Inputs!$K$4:$AJ$4,0)))+SUMPRODUCT((Inputs!$C$5:$C$130=$B22)*Inputs!$D$5:$D$130*(((Inputs!$G$5:$G$130="moeda")+(Inputs!$G$5:$G$130="acoes"))*Inputs!$B$1+((Inputs!$G$5:$G$130&lt;&gt;"moeda")*(Inputs!$G$5:$G$130&lt;&gt;"acoes")))*INDEX(Inputs!$K$5:$AJ$130,0,MATCH(U$2,Inputs!$K$4:$AJ$4,0)))+SUMPRODUCT((Inputs!$E$5:$E$130=$B22)*Inputs!$F$5:$F$130*(((Inputs!$G$5:$G$130="moeda")+(Inputs!$G$5:$G$130="acoes"))*Inputs!$B$1+((Inputs!$G$5:$G$130&lt;&gt;"moeda")*(Inputs!$G$5:$G$130&lt;&gt;"acoes")))*INDEX(Inputs!$K$5:$AJ$130,0,MATCH(U$2,Inputs!$K$4:$AJ$4,0)))))</f>
        <v>0</v>
      </c>
      <c r="V22" s="6">
        <f>IF(ISNA(MATCH(V$2,Inputs!$K$4:$AJ$4,0)),NA(),IF(SUMPRODUCT((Inputs!$A$5:$A$130=$B22)*ISNUMBER(INDEX(Inputs!$K$5:$AJ$130,0,MATCH(V$2,Inputs!$K$4:$AJ$4,0))))+SUMPRODUCT((Inputs!$C$5:$C$130=$B22)*ISNUMBER(INDEX(Inputs!$K$5:$AJ$130,0,MATCH(V$2,Inputs!$K$4:$AJ$4,0))))+SUMPRODUCT((Inputs!$E$5:$E$130=$B22)*ISNUMBER(INDEX(Inputs!$K$5:$AJ$130,0,MATCH(V$2,Inputs!$K$4:$AJ$4,0))))=0,NA(),SUMPRODUCT((Inputs!$A$5:$A$130=$B22)*Inputs!$B$5:$B$130*(((Inputs!$G$5:$G$130="moeda")+(Inputs!$G$5:$G$130="acoes"))*Inputs!$B$1+((Inputs!$G$5:$G$130&lt;&gt;"moeda")*(Inputs!$G$5:$G$130&lt;&gt;"acoes")))*INDEX(Inputs!$K$5:$AJ$130,0,MATCH(V$2,Inputs!$K$4:$AJ$4,0)))+SUMPRODUCT((Inputs!$C$5:$C$130=$B22)*Inputs!$D$5:$D$130*(((Inputs!$G$5:$G$130="moeda")+(Inputs!$G$5:$G$130="acoes"))*Inputs!$B$1+((Inputs!$G$5:$G$130&lt;&gt;"moeda")*(Inputs!$G$5:$G$130&lt;&gt;"acoes")))*INDEX(Inputs!$K$5:$AJ$130,0,MATCH(V$2,Inputs!$K$4:$AJ$4,0)))+SUMPRODUCT((Inputs!$E$5:$E$130=$B22)*Inputs!$F$5:$F$130*(((Inputs!$G$5:$G$130="moeda")+(Inputs!$G$5:$G$130="acoes"))*Inputs!$B$1+((Inputs!$G$5:$G$130&lt;&gt;"moeda")*(Inputs!$G$5:$G$130&lt;&gt;"acoes")))*INDEX(Inputs!$K$5:$AJ$130,0,MATCH(V$2,Inputs!$K$4:$AJ$4,0)))))</f>
        <v>0</v>
      </c>
      <c r="W22" s="3">
        <f>V22</f>
        <v>0</v>
      </c>
      <c r="X22" s="6">
        <f>IF(ISNA(MATCH(X$2,Inputs!$K$4:$AJ$4,0)),NA(),IF(SUMPRODUCT((Inputs!$A$5:$A$130=$B22)*ISNUMBER(INDEX(Inputs!$K$5:$AJ$130,0,MATCH(X$2,Inputs!$K$4:$AJ$4,0))))+SUMPRODUCT((Inputs!$C$5:$C$130=$B22)*ISNUMBER(INDEX(Inputs!$K$5:$AJ$130,0,MATCH(X$2,Inputs!$K$4:$AJ$4,0))))+SUMPRODUCT((Inputs!$E$5:$E$130=$B22)*ISNUMBER(INDEX(Inputs!$K$5:$AJ$130,0,MATCH(X$2,Inputs!$K$4:$AJ$4,0))))=0,NA(),SUMPRODUCT((Inputs!$A$5:$A$130=$B22)*Inputs!$B$5:$B$130*(((Inputs!$G$5:$G$130="moeda")+(Inputs!$G$5:$G$130="acoes"))*Inputs!$B$1+((Inputs!$G$5:$G$130&lt;&gt;"moeda")*(Inputs!$G$5:$G$130&lt;&gt;"acoes")))*INDEX(Inputs!$K$5:$AJ$130,0,MATCH(X$2,Inputs!$K$4:$AJ$4,0)))+SUMPRODUCT((Inputs!$C$5:$C$130=$B22)*Inputs!$D$5:$D$130*(((Inputs!$G$5:$G$130="moeda")+(Inputs!$G$5:$G$130="acoes"))*Inputs!$B$1+((Inputs!$G$5:$G$130&lt;&gt;"moeda")*(Inputs!$G$5:$G$130&lt;&gt;"acoes")))*INDEX(Inputs!$K$5:$AJ$130,0,MATCH(X$2,Inputs!$K$4:$AJ$4,0)))+SUMPRODUCT((Inputs!$E$5:$E$130=$B22)*Inputs!$F$5:$F$130*(((Inputs!$G$5:$G$130="moeda")+(Inputs!$G$5:$G$130="acoes"))*Inputs!$B$1+((Inputs!$G$5:$G$130&lt;&gt;"moeda")*(Inputs!$G$5:$G$130&lt;&gt;"acoes")))*INDEX(Inputs!$K$5:$AJ$130,0,MATCH(X$2,Inputs!$K$4:$AJ$4,0)))))</f>
        <v>0</v>
      </c>
      <c r="Y22" s="6">
        <f>IF(ISNA(MATCH(Y$2,Inputs!$K$4:$AJ$4,0)),NA(),IF(SUMPRODUCT((Inputs!$A$5:$A$130=$B22)*ISNUMBER(INDEX(Inputs!$K$5:$AJ$130,0,MATCH(Y$2,Inputs!$K$4:$AJ$4,0))))+SUMPRODUCT((Inputs!$C$5:$C$130=$B22)*ISNUMBER(INDEX(Inputs!$K$5:$AJ$130,0,MATCH(Y$2,Inputs!$K$4:$AJ$4,0))))+SUMPRODUCT((Inputs!$E$5:$E$130=$B22)*ISNUMBER(INDEX(Inputs!$K$5:$AJ$130,0,MATCH(Y$2,Inputs!$K$4:$AJ$4,0))))=0,NA(),SUMPRODUCT((Inputs!$A$5:$A$130=$B22)*Inputs!$B$5:$B$130*(((Inputs!$G$5:$G$130="moeda")+(Inputs!$G$5:$G$130="acoes"))*Inputs!$B$1+((Inputs!$G$5:$G$130&lt;&gt;"moeda")*(Inputs!$G$5:$G$130&lt;&gt;"acoes")))*INDEX(Inputs!$K$5:$AJ$130,0,MATCH(Y$2,Inputs!$K$4:$AJ$4,0)))+SUMPRODUCT((Inputs!$C$5:$C$130=$B22)*Inputs!$D$5:$D$130*(((Inputs!$G$5:$G$130="moeda")+(Inputs!$G$5:$G$130="acoes"))*Inputs!$B$1+((Inputs!$G$5:$G$130&lt;&gt;"moeda")*(Inputs!$G$5:$G$130&lt;&gt;"acoes")))*INDEX(Inputs!$K$5:$AJ$130,0,MATCH(Y$2,Inputs!$K$4:$AJ$4,0)))+SUMPRODUCT((Inputs!$E$5:$E$130=$B22)*Inputs!$F$5:$F$130*(((Inputs!$G$5:$G$130="moeda")+(Inputs!$G$5:$G$130="acoes"))*Inputs!$B$1+((Inputs!$G$5:$G$130&lt;&gt;"moeda")*(Inputs!$G$5:$G$130&lt;&gt;"acoes")))*INDEX(Inputs!$K$5:$AJ$130,0,MATCH(Y$2,Inputs!$K$4:$AJ$4,0)))))</f>
        <v>0</v>
      </c>
      <c r="Z22" s="6">
        <f>IF(ISNA(MATCH(Z$2,Inputs!$K$4:$AJ$4,0)),NA(),IF(SUMPRODUCT((Inputs!$A$5:$A$130=$B22)*ISNUMBER(INDEX(Inputs!$K$5:$AJ$130,0,MATCH(Z$2,Inputs!$K$4:$AJ$4,0))))+SUMPRODUCT((Inputs!$C$5:$C$130=$B22)*ISNUMBER(INDEX(Inputs!$K$5:$AJ$130,0,MATCH(Z$2,Inputs!$K$4:$AJ$4,0))))+SUMPRODUCT((Inputs!$E$5:$E$130=$B22)*ISNUMBER(INDEX(Inputs!$K$5:$AJ$130,0,MATCH(Z$2,Inputs!$K$4:$AJ$4,0))))=0,NA(),SUMPRODUCT((Inputs!$A$5:$A$130=$B22)*Inputs!$B$5:$B$130*(((Inputs!$G$5:$G$130="moeda")+(Inputs!$G$5:$G$130="acoes"))*Inputs!$B$1+((Inputs!$G$5:$G$130&lt;&gt;"moeda")*(Inputs!$G$5:$G$130&lt;&gt;"acoes")))*INDEX(Inputs!$K$5:$AJ$130,0,MATCH(Z$2,Inputs!$K$4:$AJ$4,0)))+SUMPRODUCT((Inputs!$C$5:$C$130=$B22)*Inputs!$D$5:$D$130*(((Inputs!$G$5:$G$130="moeda")+(Inputs!$G$5:$G$130="acoes"))*Inputs!$B$1+((Inputs!$G$5:$G$130&lt;&gt;"moeda")*(Inputs!$G$5:$G$130&lt;&gt;"acoes")))*INDEX(Inputs!$K$5:$AJ$130,0,MATCH(Z$2,Inputs!$K$4:$AJ$4,0)))+SUMPRODUCT((Inputs!$E$5:$E$130=$B22)*Inputs!$F$5:$F$130*(((Inputs!$G$5:$G$130="moeda")+(Inputs!$G$5:$G$130="acoes"))*Inputs!$B$1+((Inputs!$G$5:$G$130&lt;&gt;"moeda")*(Inputs!$G$5:$G$130&lt;&gt;"acoes")))*INDEX(Inputs!$K$5:$AJ$130,0,MATCH(Z$2,Inputs!$K$4:$AJ$4,0)))))</f>
        <v>0</v>
      </c>
      <c r="AA22" s="6">
        <f>IF(ISNA(MATCH(AA$2,Inputs!$K$4:$AJ$4,0)),NA(),IF(SUMPRODUCT((Inputs!$A$5:$A$130=$B22)*ISNUMBER(INDEX(Inputs!$K$5:$AJ$130,0,MATCH(AA$2,Inputs!$K$4:$AJ$4,0))))+SUMPRODUCT((Inputs!$C$5:$C$130=$B22)*ISNUMBER(INDEX(Inputs!$K$5:$AJ$130,0,MATCH(AA$2,Inputs!$K$4:$AJ$4,0))))+SUMPRODUCT((Inputs!$E$5:$E$130=$B22)*ISNUMBER(INDEX(Inputs!$K$5:$AJ$130,0,MATCH(AA$2,Inputs!$K$4:$AJ$4,0))))=0,NA(),SUMPRODUCT((Inputs!$A$5:$A$130=$B22)*Inputs!$B$5:$B$130*(((Inputs!$G$5:$G$130="moeda")+(Inputs!$G$5:$G$130="acoes"))*Inputs!$B$1+((Inputs!$G$5:$G$130&lt;&gt;"moeda")*(Inputs!$G$5:$G$130&lt;&gt;"acoes")))*INDEX(Inputs!$K$5:$AJ$130,0,MATCH(AA$2,Inputs!$K$4:$AJ$4,0)))+SUMPRODUCT((Inputs!$C$5:$C$130=$B22)*Inputs!$D$5:$D$130*(((Inputs!$G$5:$G$130="moeda")+(Inputs!$G$5:$G$130="acoes"))*Inputs!$B$1+((Inputs!$G$5:$G$130&lt;&gt;"moeda")*(Inputs!$G$5:$G$130&lt;&gt;"acoes")))*INDEX(Inputs!$K$5:$AJ$130,0,MATCH(AA$2,Inputs!$K$4:$AJ$4,0)))+SUMPRODUCT((Inputs!$E$5:$E$130=$B22)*Inputs!$F$5:$F$130*(((Inputs!$G$5:$G$130="moeda")+(Inputs!$G$5:$G$130="acoes"))*Inputs!$B$1+((Inputs!$G$5:$G$130&lt;&gt;"moeda")*(Inputs!$G$5:$G$130&lt;&gt;"acoes")))*INDEX(Inputs!$K$5:$AJ$130,0,MATCH(AA$2,Inputs!$K$4:$AJ$4,0)))))</f>
        <v>0</v>
      </c>
      <c r="AB22" s="3">
        <f>AA22</f>
        <v>0</v>
      </c>
      <c r="AC22" s="6">
        <f>IF(ISNA(MATCH(AC$2,Inputs!$K$4:$AJ$4,0)),NA(),IF(SUMPRODUCT((Inputs!$A$5:$A$130=$B22)*ISNUMBER(INDEX(Inputs!$K$5:$AJ$130,0,MATCH(AC$2,Inputs!$K$4:$AJ$4,0))))+SUMPRODUCT((Inputs!$C$5:$C$130=$B22)*ISNUMBER(INDEX(Inputs!$K$5:$AJ$130,0,MATCH(AC$2,Inputs!$K$4:$AJ$4,0))))+SUMPRODUCT((Inputs!$E$5:$E$130=$B22)*ISNUMBER(INDEX(Inputs!$K$5:$AJ$130,0,MATCH(AC$2,Inputs!$K$4:$AJ$4,0))))=0,NA(),SUMPRODUCT((Inputs!$A$5:$A$130=$B22)*Inputs!$B$5:$B$130*(((Inputs!$G$5:$G$130="moeda")+(Inputs!$G$5:$G$130="acoes"))*Inputs!$B$1+((Inputs!$G$5:$G$130&lt;&gt;"moeda")*(Inputs!$G$5:$G$130&lt;&gt;"acoes")))*INDEX(Inputs!$K$5:$AJ$130,0,MATCH(AC$2,Inputs!$K$4:$AJ$4,0)))+SUMPRODUCT((Inputs!$C$5:$C$130=$B22)*Inputs!$D$5:$D$130*(((Inputs!$G$5:$G$130="moeda")+(Inputs!$G$5:$G$130="acoes"))*Inputs!$B$1+((Inputs!$G$5:$G$130&lt;&gt;"moeda")*(Inputs!$G$5:$G$130&lt;&gt;"acoes")))*INDEX(Inputs!$K$5:$AJ$130,0,MATCH(AC$2,Inputs!$K$4:$AJ$4,0)))+SUMPRODUCT((Inputs!$E$5:$E$130=$B22)*Inputs!$F$5:$F$130*(((Inputs!$G$5:$G$130="moeda")+(Inputs!$G$5:$G$130="acoes"))*Inputs!$B$1+((Inputs!$G$5:$G$130&lt;&gt;"moeda")*(Inputs!$G$5:$G$130&lt;&gt;"acoes")))*INDEX(Inputs!$K$5:$AJ$130,0,MATCH(AC$2,Inputs!$K$4:$AJ$4,0)))))</f>
        <v>0</v>
      </c>
      <c r="AD22" s="6">
        <f>IF(ISNA(MATCH(AD$2,Inputs!$K$4:$AJ$4,0)),NA(),IF(SUMPRODUCT((Inputs!$A$5:$A$130=$B22)*ISNUMBER(INDEX(Inputs!$K$5:$AJ$130,0,MATCH(AD$2,Inputs!$K$4:$AJ$4,0))))+SUMPRODUCT((Inputs!$C$5:$C$130=$B22)*ISNUMBER(INDEX(Inputs!$K$5:$AJ$130,0,MATCH(AD$2,Inputs!$K$4:$AJ$4,0))))+SUMPRODUCT((Inputs!$E$5:$E$130=$B22)*ISNUMBER(INDEX(Inputs!$K$5:$AJ$130,0,MATCH(AD$2,Inputs!$K$4:$AJ$4,0))))=0,NA(),SUMPRODUCT((Inputs!$A$5:$A$130=$B22)*Inputs!$B$5:$B$130*(((Inputs!$G$5:$G$130="moeda")+(Inputs!$G$5:$G$130="acoes"))*Inputs!$B$1+((Inputs!$G$5:$G$130&lt;&gt;"moeda")*(Inputs!$G$5:$G$130&lt;&gt;"acoes")))*INDEX(Inputs!$K$5:$AJ$130,0,MATCH(AD$2,Inputs!$K$4:$AJ$4,0)))+SUMPRODUCT((Inputs!$C$5:$C$130=$B22)*Inputs!$D$5:$D$130*(((Inputs!$G$5:$G$130="moeda")+(Inputs!$G$5:$G$130="acoes"))*Inputs!$B$1+((Inputs!$G$5:$G$130&lt;&gt;"moeda")*(Inputs!$G$5:$G$130&lt;&gt;"acoes")))*INDEX(Inputs!$K$5:$AJ$130,0,MATCH(AD$2,Inputs!$K$4:$AJ$4,0)))+SUMPRODUCT((Inputs!$E$5:$E$130=$B22)*Inputs!$F$5:$F$130*(((Inputs!$G$5:$G$130="moeda")+(Inputs!$G$5:$G$130="acoes"))*Inputs!$B$1+((Inputs!$G$5:$G$130&lt;&gt;"moeda")*(Inputs!$G$5:$G$130&lt;&gt;"acoes")))*INDEX(Inputs!$K$5:$AJ$130,0,MATCH(AD$2,Inputs!$K$4:$AJ$4,0)))))</f>
        <v>0</v>
      </c>
      <c r="AE22" s="6" t="e">
        <f>IF(ISNA(MATCH(AE$2,Inputs!$K$4:$AJ$4,0)),NA(),IF(SUMPRODUCT((Inputs!$A$5:$A$130=$B22)*ISNUMBER(INDEX(Inputs!$K$5:$AJ$130,0,MATCH(AE$2,Inputs!$K$4:$AJ$4,0))))+SUMPRODUCT((Inputs!$C$5:$C$130=$B22)*ISNUMBER(INDEX(Inputs!$K$5:$AJ$130,0,MATCH(AE$2,Inputs!$K$4:$AJ$4,0))))+SUMPRODUCT((Inputs!$E$5:$E$130=$B22)*ISNUMBER(INDEX(Inputs!$K$5:$AJ$130,0,MATCH(AE$2,Inputs!$K$4:$AJ$4,0))))=0,NA(),SUMPRODUCT((Inputs!$A$5:$A$130=$B22)*Inputs!$B$5:$B$130*(((Inputs!$G$5:$G$130="moeda")+(Inputs!$G$5:$G$130="acoes"))*Inputs!$B$1+((Inputs!$G$5:$G$130&lt;&gt;"moeda")*(Inputs!$G$5:$G$130&lt;&gt;"acoes")))*INDEX(Inputs!$K$5:$AJ$130,0,MATCH(AE$2,Inputs!$K$4:$AJ$4,0)))+SUMPRODUCT((Inputs!$C$5:$C$130=$B22)*Inputs!$D$5:$D$130*(((Inputs!$G$5:$G$130="moeda")+(Inputs!$G$5:$G$130="acoes"))*Inputs!$B$1+((Inputs!$G$5:$G$130&lt;&gt;"moeda")*(Inputs!$G$5:$G$130&lt;&gt;"acoes")))*INDEX(Inputs!$K$5:$AJ$130,0,MATCH(AE$2,Inputs!$K$4:$AJ$4,0)))+SUMPRODUCT((Inputs!$E$5:$E$130=$B22)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2" s="6" t="e">
        <f>IF(ISNA(MATCH(AF$2,Inputs!$K$4:$AJ$4,0)),NA(),IF(SUMPRODUCT((Inputs!$A$5:$A$130=$B22)*ISNUMBER(INDEX(Inputs!$K$5:$AJ$130,0,MATCH(AF$2,Inputs!$K$4:$AJ$4,0))))+SUMPRODUCT((Inputs!$C$5:$C$130=$B22)*ISNUMBER(INDEX(Inputs!$K$5:$AJ$130,0,MATCH(AF$2,Inputs!$K$4:$AJ$4,0))))+SUMPRODUCT((Inputs!$E$5:$E$130=$B22)*ISNUMBER(INDEX(Inputs!$K$5:$AJ$130,0,MATCH(AF$2,Inputs!$K$4:$AJ$4,0))))=0,NA(),SUMPRODUCT((Inputs!$A$5:$A$130=$B22)*Inputs!$B$5:$B$130*(((Inputs!$G$5:$G$130="moeda")+(Inputs!$G$5:$G$130="acoes"))*Inputs!$B$1+((Inputs!$G$5:$G$130&lt;&gt;"moeda")*(Inputs!$G$5:$G$130&lt;&gt;"acoes")))*INDEX(Inputs!$K$5:$AJ$130,0,MATCH(AF$2,Inputs!$K$4:$AJ$4,0)))+SUMPRODUCT((Inputs!$C$5:$C$130=$B22)*Inputs!$D$5:$D$130*(((Inputs!$G$5:$G$130="moeda")+(Inputs!$G$5:$G$130="acoes"))*Inputs!$B$1+((Inputs!$G$5:$G$130&lt;&gt;"moeda")*(Inputs!$G$5:$G$130&lt;&gt;"acoes")))*INDEX(Inputs!$K$5:$AJ$130,0,MATCH(AF$2,Inputs!$K$4:$AJ$4,0)))+SUMPRODUCT((Inputs!$E$5:$E$130=$B22)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2" s="3" t="e">
        <f>AF22</f>
        <v>#N/A</v>
      </c>
      <c r="AH22" s="6">
        <f>IF(ISNA(MATCH(AH$2,Inputs!$K$4:$AJ$4,0)),NA(),IF(SUMPRODUCT((Inputs!$A$5:$A$130=$B22)*ISNUMBER(INDEX(Inputs!$K$5:$AJ$130,0,MATCH(AH$2,Inputs!$K$4:$AJ$4,0))))+SUMPRODUCT((Inputs!$C$5:$C$130=$B22)*ISNUMBER(INDEX(Inputs!$K$5:$AJ$130,0,MATCH(AH$2,Inputs!$K$4:$AJ$4,0))))+SUMPRODUCT((Inputs!$E$5:$E$130=$B22)*ISNUMBER(INDEX(Inputs!$K$5:$AJ$130,0,MATCH(AH$2,Inputs!$K$4:$AJ$4,0))))=0,NA(),SUMPRODUCT((Inputs!$A$5:$A$130=$B22)*Inputs!$B$5:$B$130*(((Inputs!$G$5:$G$130="moeda")+(Inputs!$G$5:$G$130="acoes"))*Inputs!$B$1+((Inputs!$G$5:$G$130&lt;&gt;"moeda")*(Inputs!$G$5:$G$130&lt;&gt;"acoes")))*INDEX(Inputs!$K$5:$AJ$130,0,MATCH(AH$2,Inputs!$K$4:$AJ$4,0)))+SUMPRODUCT((Inputs!$C$5:$C$130=$B22)*Inputs!$D$5:$D$130*(((Inputs!$G$5:$G$130="moeda")+(Inputs!$G$5:$G$130="acoes"))*Inputs!$B$1+((Inputs!$G$5:$G$130&lt;&gt;"moeda")*(Inputs!$G$5:$G$130&lt;&gt;"acoes")))*INDEX(Inputs!$K$5:$AJ$130,0,MATCH(AH$2,Inputs!$K$4:$AJ$4,0)))+SUMPRODUCT((Inputs!$E$5:$E$130=$B22)*Inputs!$F$5:$F$130*(((Inputs!$G$5:$G$130="moeda")+(Inputs!$G$5:$G$130="acoes"))*Inputs!$B$1+((Inputs!$G$5:$G$130&lt;&gt;"moeda")*(Inputs!$G$5:$G$130&lt;&gt;"acoes")))*INDEX(Inputs!$K$5:$AJ$130,0,MATCH(AH$2,Inputs!$K$4:$AJ$4,0)))))</f>
        <v>5685</v>
      </c>
      <c r="AI22" s="6">
        <f>IF(ISNA(MATCH(AI$2,Inputs!$K$4:$AJ$4,0)),NA(),IF(SUMPRODUCT((Inputs!$A$5:$A$130=$B22)*ISNUMBER(INDEX(Inputs!$K$5:$AJ$130,0,MATCH(AI$2,Inputs!$K$4:$AJ$4,0))))+SUMPRODUCT((Inputs!$C$5:$C$130=$B22)*ISNUMBER(INDEX(Inputs!$K$5:$AJ$130,0,MATCH(AI$2,Inputs!$K$4:$AJ$4,0))))+SUMPRODUCT((Inputs!$E$5:$E$130=$B22)*ISNUMBER(INDEX(Inputs!$K$5:$AJ$130,0,MATCH(AI$2,Inputs!$K$4:$AJ$4,0))))=0,NA(),SUMPRODUCT((Inputs!$A$5:$A$130=$B22)*Inputs!$B$5:$B$130*(((Inputs!$G$5:$G$130="moeda")+(Inputs!$G$5:$G$130="acoes"))*Inputs!$B$1+((Inputs!$G$5:$G$130&lt;&gt;"moeda")*(Inputs!$G$5:$G$130&lt;&gt;"acoes")))*INDEX(Inputs!$K$5:$AJ$130,0,MATCH(AI$2,Inputs!$K$4:$AJ$4,0)))+SUMPRODUCT((Inputs!$C$5:$C$130=$B22)*Inputs!$D$5:$D$130*(((Inputs!$G$5:$G$130="moeda")+(Inputs!$G$5:$G$130="acoes"))*Inputs!$B$1+((Inputs!$G$5:$G$130&lt;&gt;"moeda")*(Inputs!$G$5:$G$130&lt;&gt;"acoes")))*INDEX(Inputs!$K$5:$AJ$130,0,MATCH(AI$2,Inputs!$K$4:$AJ$4,0)))+SUMPRODUCT((Inputs!$E$5:$E$130=$B22)*Inputs!$F$5:$F$130*(((Inputs!$G$5:$G$130="moeda")+(Inputs!$G$5:$G$130="acoes"))*Inputs!$B$1+((Inputs!$G$5:$G$130&lt;&gt;"moeda")*(Inputs!$G$5:$G$130&lt;&gt;"acoes")))*INDEX(Inputs!$K$5:$AJ$130,0,MATCH(AI$2,Inputs!$K$4:$AJ$4,0)))))</f>
        <v>5754</v>
      </c>
      <c r="AJ22" s="6">
        <f>IF(ISNA(MATCH(AJ$2,Inputs!$K$4:$AJ$4,0)),NA(),IF(SUMPRODUCT((Inputs!$A$5:$A$130=$B22)*ISNUMBER(INDEX(Inputs!$K$5:$AJ$130,0,MATCH(AJ$2,Inputs!$K$4:$AJ$4,0))))+SUMPRODUCT((Inputs!$C$5:$C$130=$B22)*ISNUMBER(INDEX(Inputs!$K$5:$AJ$130,0,MATCH(AJ$2,Inputs!$K$4:$AJ$4,0))))+SUMPRODUCT((Inputs!$E$5:$E$130=$B22)*ISNUMBER(INDEX(Inputs!$K$5:$AJ$130,0,MATCH(AJ$2,Inputs!$K$4:$AJ$4,0))))=0,NA(),SUMPRODUCT((Inputs!$A$5:$A$130=$B22)*Inputs!$B$5:$B$130*(((Inputs!$G$5:$G$130="moeda")+(Inputs!$G$5:$G$130="acoes"))*Inputs!$B$1+((Inputs!$G$5:$G$130&lt;&gt;"moeda")*(Inputs!$G$5:$G$130&lt;&gt;"acoes")))*INDEX(Inputs!$K$5:$AJ$130,0,MATCH(AJ$2,Inputs!$K$4:$AJ$4,0)))+SUMPRODUCT((Inputs!$C$5:$C$130=$B22)*Inputs!$D$5:$D$130*(((Inputs!$G$5:$G$130="moeda")+(Inputs!$G$5:$G$130="acoes"))*Inputs!$B$1+((Inputs!$G$5:$G$130&lt;&gt;"moeda")*(Inputs!$G$5:$G$130&lt;&gt;"acoes")))*INDEX(Inputs!$K$5:$AJ$130,0,MATCH(AJ$2,Inputs!$K$4:$AJ$4,0)))+SUMPRODUCT((Inputs!$E$5:$E$130=$B22)*Inputs!$F$5:$F$130*(((Inputs!$G$5:$G$130="moeda")+(Inputs!$G$5:$G$130="acoes"))*Inputs!$B$1+((Inputs!$G$5:$G$130&lt;&gt;"moeda")*(Inputs!$G$5:$G$130&lt;&gt;"acoes")))*INDEX(Inputs!$K$5:$AJ$130,0,MATCH(AJ$2,Inputs!$K$4:$AJ$4,0)))))</f>
        <v>5817</v>
      </c>
      <c r="AK22" s="6">
        <f>IF(ISNA(MATCH(AK$2,Inputs!$K$4:$AJ$4,0)),NA(),IF(SUMPRODUCT((Inputs!$A$5:$A$130=$B22)*ISNUMBER(INDEX(Inputs!$K$5:$AJ$130,0,MATCH(AK$2,Inputs!$K$4:$AJ$4,0))))+SUMPRODUCT((Inputs!$C$5:$C$130=$B22)*ISNUMBER(INDEX(Inputs!$K$5:$AJ$130,0,MATCH(AK$2,Inputs!$K$4:$AJ$4,0))))+SUMPRODUCT((Inputs!$E$5:$E$130=$B22)*ISNUMBER(INDEX(Inputs!$K$5:$AJ$130,0,MATCH(AK$2,Inputs!$K$4:$AJ$4,0))))=0,NA(),SUMPRODUCT((Inputs!$A$5:$A$130=$B22)*Inputs!$B$5:$B$130*(((Inputs!$G$5:$G$130="moeda")+(Inputs!$G$5:$G$130="acoes"))*Inputs!$B$1+((Inputs!$G$5:$G$130&lt;&gt;"moeda")*(Inputs!$G$5:$G$130&lt;&gt;"acoes")))*INDEX(Inputs!$K$5:$AJ$130,0,MATCH(AK$2,Inputs!$K$4:$AJ$4,0)))+SUMPRODUCT((Inputs!$C$5:$C$130=$B22)*Inputs!$D$5:$D$130*(((Inputs!$G$5:$G$130="moeda")+(Inputs!$G$5:$G$130="acoes"))*Inputs!$B$1+((Inputs!$G$5:$G$130&lt;&gt;"moeda")*(Inputs!$G$5:$G$130&lt;&gt;"acoes")))*INDEX(Inputs!$K$5:$AJ$130,0,MATCH(AK$2,Inputs!$K$4:$AJ$4,0)))+SUMPRODUCT((Inputs!$E$5:$E$130=$B22)*Inputs!$F$5:$F$130*(((Inputs!$G$5:$G$130="moeda")+(Inputs!$G$5:$G$130="acoes"))*Inputs!$B$1+((Inputs!$G$5:$G$130&lt;&gt;"moeda")*(Inputs!$G$5:$G$130&lt;&gt;"acoes")))*INDEX(Inputs!$K$5:$AJ$130,0,MATCH(AK$2,Inputs!$K$4:$AJ$4,0)))))</f>
        <v>5741</v>
      </c>
      <c r="AL22" s="3">
        <f>AK22</f>
        <v>5741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$130=$B23)*ISNUMBER(INDEX(Inputs!$K$5:$AJ$130,0,MATCH(D$2,Inputs!$K$4:$AJ$4,0))))+SUMPRODUCT((Inputs!$C$5:$C$130=$B23)*ISNUMBER(INDEX(Inputs!$K$5:$AJ$130,0,MATCH(D$2,Inputs!$K$4:$AJ$4,0))))+SUMPRODUCT((Inputs!$E$5:$E$130=$B23)*ISNUMBER(INDEX(Inputs!$K$5:$AJ$130,0,MATCH(D$2,Inputs!$K$4:$AJ$4,0))))=0,NA(),SUMPRODUCT((Inputs!$A$5:$A$130=$B23)*Inputs!$B$5:$B$130*(((Inputs!$G$5:$G$130="moeda")+(Inputs!$G$5:$G$130="acoes"))*Inputs!$B$1+((Inputs!$G$5:$G$130&lt;&gt;"moeda")*(Inputs!$G$5:$G$130&lt;&gt;"acoes")))*INDEX(Inputs!$K$5:$AJ$130,0,MATCH(D$2,Inputs!$K$4:$AJ$4,0)))+SUMPRODUCT((Inputs!$C$5:$C$130=$B23)*Inputs!$D$5:$D$130*(((Inputs!$G$5:$G$130="moeda")+(Inputs!$G$5:$G$130="acoes"))*Inputs!$B$1+((Inputs!$G$5:$G$130&lt;&gt;"moeda")*(Inputs!$G$5:$G$130&lt;&gt;"acoes")))*INDEX(Inputs!$K$5:$AJ$130,0,MATCH(D$2,Inputs!$K$4:$AJ$4,0)))+SUMPRODUCT((Inputs!$E$5:$E$130=$B23)*Inputs!$F$5:$F$130*(((Inputs!$G$5:$G$130="moeda")+(Inputs!$G$5:$G$130="acoes"))*Inputs!$B$1+((Inputs!$G$5:$G$130&lt;&gt;"moeda")*(Inputs!$G$5:$G$130&lt;&gt;"acoes")))*INDEX(Inputs!$K$5:$AJ$130,0,MATCH(D$2,Inputs!$K$4:$AJ$4,0)))))</f>
        <v>0</v>
      </c>
      <c r="E23" s="6">
        <f>IF(ISNA(MATCH(E$2,Inputs!$K$4:$AJ$4,0)),NA(),IF(SUMPRODUCT((Inputs!$A$5:$A$130=$B23)*ISNUMBER(INDEX(Inputs!$K$5:$AJ$130,0,MATCH(E$2,Inputs!$K$4:$AJ$4,0))))+SUMPRODUCT((Inputs!$C$5:$C$130=$B23)*ISNUMBER(INDEX(Inputs!$K$5:$AJ$130,0,MATCH(E$2,Inputs!$K$4:$AJ$4,0))))+SUMPRODUCT((Inputs!$E$5:$E$130=$B23)*ISNUMBER(INDEX(Inputs!$K$5:$AJ$130,0,MATCH(E$2,Inputs!$K$4:$AJ$4,0))))=0,NA(),SUMPRODUCT((Inputs!$A$5:$A$130=$B23)*Inputs!$B$5:$B$130*(((Inputs!$G$5:$G$130="moeda")+(Inputs!$G$5:$G$130="acoes"))*Inputs!$B$1+((Inputs!$G$5:$G$130&lt;&gt;"moeda")*(Inputs!$G$5:$G$130&lt;&gt;"acoes")))*INDEX(Inputs!$K$5:$AJ$130,0,MATCH(E$2,Inputs!$K$4:$AJ$4,0)))+SUMPRODUCT((Inputs!$C$5:$C$130=$B23)*Inputs!$D$5:$D$130*(((Inputs!$G$5:$G$130="moeda")+(Inputs!$G$5:$G$130="acoes"))*Inputs!$B$1+((Inputs!$G$5:$G$130&lt;&gt;"moeda")*(Inputs!$G$5:$G$130&lt;&gt;"acoes")))*INDEX(Inputs!$K$5:$AJ$130,0,MATCH(E$2,Inputs!$K$4:$AJ$4,0)))+SUMPRODUCT((Inputs!$E$5:$E$130=$B23)*Inputs!$F$5:$F$130*(((Inputs!$G$5:$G$130="moeda")+(Inputs!$G$5:$G$130="acoes"))*Inputs!$B$1+((Inputs!$G$5:$G$130&lt;&gt;"moeda")*(Inputs!$G$5:$G$130&lt;&gt;"acoes")))*INDEX(Inputs!$K$5:$AJ$130,0,MATCH(E$2,Inputs!$K$4:$AJ$4,0)))))</f>
        <v>0</v>
      </c>
      <c r="F23" s="6">
        <f>IF(ISNA(MATCH(F$2,Inputs!$K$4:$AJ$4,0)),NA(),IF(SUMPRODUCT((Inputs!$A$5:$A$130=$B23)*ISNUMBER(INDEX(Inputs!$K$5:$AJ$130,0,MATCH(F$2,Inputs!$K$4:$AJ$4,0))))+SUMPRODUCT((Inputs!$C$5:$C$130=$B23)*ISNUMBER(INDEX(Inputs!$K$5:$AJ$130,0,MATCH(F$2,Inputs!$K$4:$AJ$4,0))))+SUMPRODUCT((Inputs!$E$5:$E$130=$B23)*ISNUMBER(INDEX(Inputs!$K$5:$AJ$130,0,MATCH(F$2,Inputs!$K$4:$AJ$4,0))))=0,NA(),SUMPRODUCT((Inputs!$A$5:$A$130=$B23)*Inputs!$B$5:$B$130*(((Inputs!$G$5:$G$130="moeda")+(Inputs!$G$5:$G$130="acoes"))*Inputs!$B$1+((Inputs!$G$5:$G$130&lt;&gt;"moeda")*(Inputs!$G$5:$G$130&lt;&gt;"acoes")))*INDEX(Inputs!$K$5:$AJ$130,0,MATCH(F$2,Inputs!$K$4:$AJ$4,0)))+SUMPRODUCT((Inputs!$C$5:$C$130=$B23)*Inputs!$D$5:$D$130*(((Inputs!$G$5:$G$130="moeda")+(Inputs!$G$5:$G$130="acoes"))*Inputs!$B$1+((Inputs!$G$5:$G$130&lt;&gt;"moeda")*(Inputs!$G$5:$G$130&lt;&gt;"acoes")))*INDEX(Inputs!$K$5:$AJ$130,0,MATCH(F$2,Inputs!$K$4:$AJ$4,0)))+SUMPRODUCT((Inputs!$E$5:$E$130=$B23)*Inputs!$F$5:$F$130*(((Inputs!$G$5:$G$130="moeda")+(Inputs!$G$5:$G$130="acoes"))*Inputs!$B$1+((Inputs!$G$5:$G$130&lt;&gt;"moeda")*(Inputs!$G$5:$G$130&lt;&gt;"acoes")))*INDEX(Inputs!$K$5:$AJ$130,0,MATCH(F$2,Inputs!$K$4:$AJ$4,0)))))</f>
        <v>0</v>
      </c>
      <c r="G23" s="6">
        <f>IF(ISNA(MATCH(G$2,Inputs!$K$4:$AJ$4,0)),NA(),IF(SUMPRODUCT((Inputs!$A$5:$A$130=$B23)*ISNUMBER(INDEX(Inputs!$K$5:$AJ$130,0,MATCH(G$2,Inputs!$K$4:$AJ$4,0))))+SUMPRODUCT((Inputs!$C$5:$C$130=$B23)*ISNUMBER(INDEX(Inputs!$K$5:$AJ$130,0,MATCH(G$2,Inputs!$K$4:$AJ$4,0))))+SUMPRODUCT((Inputs!$E$5:$E$130=$B23)*ISNUMBER(INDEX(Inputs!$K$5:$AJ$130,0,MATCH(G$2,Inputs!$K$4:$AJ$4,0))))=0,NA(),SUMPRODUCT((Inputs!$A$5:$A$130=$B23)*Inputs!$B$5:$B$130*(((Inputs!$G$5:$G$130="moeda")+(Inputs!$G$5:$G$130="acoes"))*Inputs!$B$1+((Inputs!$G$5:$G$130&lt;&gt;"moeda")*(Inputs!$G$5:$G$130&lt;&gt;"acoes")))*INDEX(Inputs!$K$5:$AJ$130,0,MATCH(G$2,Inputs!$K$4:$AJ$4,0)))+SUMPRODUCT((Inputs!$C$5:$C$130=$B23)*Inputs!$D$5:$D$130*(((Inputs!$G$5:$G$130="moeda")+(Inputs!$G$5:$G$130="acoes"))*Inputs!$B$1+((Inputs!$G$5:$G$130&lt;&gt;"moeda")*(Inputs!$G$5:$G$130&lt;&gt;"acoes")))*INDEX(Inputs!$K$5:$AJ$130,0,MATCH(G$2,Inputs!$K$4:$AJ$4,0)))+SUMPRODUCT((Inputs!$E$5:$E$130=$B23)*Inputs!$F$5:$F$130*(((Inputs!$G$5:$G$130="moeda")+(Inputs!$G$5:$G$130="acoes"))*Inputs!$B$1+((Inputs!$G$5:$G$130&lt;&gt;"moeda")*(Inputs!$G$5:$G$130&lt;&gt;"acoes")))*INDEX(Inputs!$K$5:$AJ$130,0,MATCH(G$2,Inputs!$K$4:$AJ$4,0)))))</f>
        <v>0</v>
      </c>
      <c r="H23" s="3">
        <f>G23</f>
        <v>0</v>
      </c>
      <c r="I23" s="6">
        <f>IF(ISNA(MATCH(I$2,Inputs!$K$4:$AJ$4,0)),NA(),IF(SUMPRODUCT((Inputs!$A$5:$A$130=$B23)*ISNUMBER(INDEX(Inputs!$K$5:$AJ$130,0,MATCH(I$2,Inputs!$K$4:$AJ$4,0))))+SUMPRODUCT((Inputs!$C$5:$C$130=$B23)*ISNUMBER(INDEX(Inputs!$K$5:$AJ$130,0,MATCH(I$2,Inputs!$K$4:$AJ$4,0))))+SUMPRODUCT((Inputs!$E$5:$E$130=$B23)*ISNUMBER(INDEX(Inputs!$K$5:$AJ$130,0,MATCH(I$2,Inputs!$K$4:$AJ$4,0))))=0,NA(),SUMPRODUCT((Inputs!$A$5:$A$130=$B23)*Inputs!$B$5:$B$130*(((Inputs!$G$5:$G$130="moeda")+(Inputs!$G$5:$G$130="acoes"))*Inputs!$B$1+((Inputs!$G$5:$G$130&lt;&gt;"moeda")*(Inputs!$G$5:$G$130&lt;&gt;"acoes")))*INDEX(Inputs!$K$5:$AJ$130,0,MATCH(I$2,Inputs!$K$4:$AJ$4,0)))+SUMPRODUCT((Inputs!$C$5:$C$130=$B23)*Inputs!$D$5:$D$130*(((Inputs!$G$5:$G$130="moeda")+(Inputs!$G$5:$G$130="acoes"))*Inputs!$B$1+((Inputs!$G$5:$G$130&lt;&gt;"moeda")*(Inputs!$G$5:$G$130&lt;&gt;"acoes")))*INDEX(Inputs!$K$5:$AJ$130,0,MATCH(I$2,Inputs!$K$4:$AJ$4,0)))+SUMPRODUCT((Inputs!$E$5:$E$130=$B23)*Inputs!$F$5:$F$130*(((Inputs!$G$5:$G$130="moeda")+(Inputs!$G$5:$G$130="acoes"))*Inputs!$B$1+((Inputs!$G$5:$G$130&lt;&gt;"moeda")*(Inputs!$G$5:$G$130&lt;&gt;"acoes")))*INDEX(Inputs!$K$5:$AJ$130,0,MATCH(I$2,Inputs!$K$4:$AJ$4,0)))))</f>
        <v>0</v>
      </c>
      <c r="J23" s="6">
        <f>IF(ISNA(MATCH(J$2,Inputs!$K$4:$AJ$4,0)),NA(),IF(SUMPRODUCT((Inputs!$A$5:$A$130=$B23)*ISNUMBER(INDEX(Inputs!$K$5:$AJ$130,0,MATCH(J$2,Inputs!$K$4:$AJ$4,0))))+SUMPRODUCT((Inputs!$C$5:$C$130=$B23)*ISNUMBER(INDEX(Inputs!$K$5:$AJ$130,0,MATCH(J$2,Inputs!$K$4:$AJ$4,0))))+SUMPRODUCT((Inputs!$E$5:$E$130=$B23)*ISNUMBER(INDEX(Inputs!$K$5:$AJ$130,0,MATCH(J$2,Inputs!$K$4:$AJ$4,0))))=0,NA(),SUMPRODUCT((Inputs!$A$5:$A$130=$B23)*Inputs!$B$5:$B$130*(((Inputs!$G$5:$G$130="moeda")+(Inputs!$G$5:$G$130="acoes"))*Inputs!$B$1+((Inputs!$G$5:$G$130&lt;&gt;"moeda")*(Inputs!$G$5:$G$130&lt;&gt;"acoes")))*INDEX(Inputs!$K$5:$AJ$130,0,MATCH(J$2,Inputs!$K$4:$AJ$4,0)))+SUMPRODUCT((Inputs!$C$5:$C$130=$B23)*Inputs!$D$5:$D$130*(((Inputs!$G$5:$G$130="moeda")+(Inputs!$G$5:$G$130="acoes"))*Inputs!$B$1+((Inputs!$G$5:$G$130&lt;&gt;"moeda")*(Inputs!$G$5:$G$130&lt;&gt;"acoes")))*INDEX(Inputs!$K$5:$AJ$130,0,MATCH(J$2,Inputs!$K$4:$AJ$4,0)))+SUMPRODUCT((Inputs!$E$5:$E$130=$B23)*Inputs!$F$5:$F$130*(((Inputs!$G$5:$G$130="moeda")+(Inputs!$G$5:$G$130="acoes"))*Inputs!$B$1+((Inputs!$G$5:$G$130&lt;&gt;"moeda")*(Inputs!$G$5:$G$130&lt;&gt;"acoes")))*INDEX(Inputs!$K$5:$AJ$130,0,MATCH(J$2,Inputs!$K$4:$AJ$4,0)))))</f>
        <v>0</v>
      </c>
      <c r="K23" s="6">
        <f>IF(ISNA(MATCH(K$2,Inputs!$K$4:$AJ$4,0)),NA(),IF(SUMPRODUCT((Inputs!$A$5:$A$130=$B23)*ISNUMBER(INDEX(Inputs!$K$5:$AJ$130,0,MATCH(K$2,Inputs!$K$4:$AJ$4,0))))+SUMPRODUCT((Inputs!$C$5:$C$130=$B23)*ISNUMBER(INDEX(Inputs!$K$5:$AJ$130,0,MATCH(K$2,Inputs!$K$4:$AJ$4,0))))+SUMPRODUCT((Inputs!$E$5:$E$130=$B23)*ISNUMBER(INDEX(Inputs!$K$5:$AJ$130,0,MATCH(K$2,Inputs!$K$4:$AJ$4,0))))=0,NA(),SUMPRODUCT((Inputs!$A$5:$A$130=$B23)*Inputs!$B$5:$B$130*(((Inputs!$G$5:$G$130="moeda")+(Inputs!$G$5:$G$130="acoes"))*Inputs!$B$1+((Inputs!$G$5:$G$130&lt;&gt;"moeda")*(Inputs!$G$5:$G$130&lt;&gt;"acoes")))*INDEX(Inputs!$K$5:$AJ$130,0,MATCH(K$2,Inputs!$K$4:$AJ$4,0)))+SUMPRODUCT((Inputs!$C$5:$C$130=$B23)*Inputs!$D$5:$D$130*(((Inputs!$G$5:$G$130="moeda")+(Inputs!$G$5:$G$130="acoes"))*Inputs!$B$1+((Inputs!$G$5:$G$130&lt;&gt;"moeda")*(Inputs!$G$5:$G$130&lt;&gt;"acoes")))*INDEX(Inputs!$K$5:$AJ$130,0,MATCH(K$2,Inputs!$K$4:$AJ$4,0)))+SUMPRODUCT((Inputs!$E$5:$E$130=$B23)*Inputs!$F$5:$F$130*(((Inputs!$G$5:$G$130="moeda")+(Inputs!$G$5:$G$130="acoes"))*Inputs!$B$1+((Inputs!$G$5:$G$130&lt;&gt;"moeda")*(Inputs!$G$5:$G$130&lt;&gt;"acoes")))*INDEX(Inputs!$K$5:$AJ$130,0,MATCH(K$2,Inputs!$K$4:$AJ$4,0)))))</f>
        <v>0</v>
      </c>
      <c r="L23" s="6">
        <f>IF(ISNA(MATCH(L$2,Inputs!$K$4:$AJ$4,0)),NA(),IF(SUMPRODUCT((Inputs!$A$5:$A$130=$B23)*ISNUMBER(INDEX(Inputs!$K$5:$AJ$130,0,MATCH(L$2,Inputs!$K$4:$AJ$4,0))))+SUMPRODUCT((Inputs!$C$5:$C$130=$B23)*ISNUMBER(INDEX(Inputs!$K$5:$AJ$130,0,MATCH(L$2,Inputs!$K$4:$AJ$4,0))))+SUMPRODUCT((Inputs!$E$5:$E$130=$B23)*ISNUMBER(INDEX(Inputs!$K$5:$AJ$130,0,MATCH(L$2,Inputs!$K$4:$AJ$4,0))))=0,NA(),SUMPRODUCT((Inputs!$A$5:$A$130=$B23)*Inputs!$B$5:$B$130*(((Inputs!$G$5:$G$130="moeda")+(Inputs!$G$5:$G$130="acoes"))*Inputs!$B$1+((Inputs!$G$5:$G$130&lt;&gt;"moeda")*(Inputs!$G$5:$G$130&lt;&gt;"acoes")))*INDEX(Inputs!$K$5:$AJ$130,0,MATCH(L$2,Inputs!$K$4:$AJ$4,0)))+SUMPRODUCT((Inputs!$C$5:$C$130=$B23)*Inputs!$D$5:$D$130*(((Inputs!$G$5:$G$130="moeda")+(Inputs!$G$5:$G$130="acoes"))*Inputs!$B$1+((Inputs!$G$5:$G$130&lt;&gt;"moeda")*(Inputs!$G$5:$G$130&lt;&gt;"acoes")))*INDEX(Inputs!$K$5:$AJ$130,0,MATCH(L$2,Inputs!$K$4:$AJ$4,0)))+SUMPRODUCT((Inputs!$E$5:$E$130=$B23)*Inputs!$F$5:$F$130*(((Inputs!$G$5:$G$130="moeda")+(Inputs!$G$5:$G$130="acoes"))*Inputs!$B$1+((Inputs!$G$5:$G$130&lt;&gt;"moeda")*(Inputs!$G$5:$G$130&lt;&gt;"acoes")))*INDEX(Inputs!$K$5:$AJ$130,0,MATCH(L$2,Inputs!$K$4:$AJ$4,0)))))</f>
        <v>0</v>
      </c>
      <c r="M23" s="3">
        <f>L23</f>
        <v>0</v>
      </c>
      <c r="N23" s="6">
        <f>IF(ISNA(MATCH(N$2,Inputs!$K$4:$AJ$4,0)),NA(),IF(SUMPRODUCT((Inputs!$A$5:$A$130=$B23)*ISNUMBER(INDEX(Inputs!$K$5:$AJ$130,0,MATCH(N$2,Inputs!$K$4:$AJ$4,0))))+SUMPRODUCT((Inputs!$C$5:$C$130=$B23)*ISNUMBER(INDEX(Inputs!$K$5:$AJ$130,0,MATCH(N$2,Inputs!$K$4:$AJ$4,0))))+SUMPRODUCT((Inputs!$E$5:$E$130=$B23)*ISNUMBER(INDEX(Inputs!$K$5:$AJ$130,0,MATCH(N$2,Inputs!$K$4:$AJ$4,0))))=0,NA(),SUMPRODUCT((Inputs!$A$5:$A$130=$B23)*Inputs!$B$5:$B$130*(((Inputs!$G$5:$G$130="moeda")+(Inputs!$G$5:$G$130="acoes"))*Inputs!$B$1+((Inputs!$G$5:$G$130&lt;&gt;"moeda")*(Inputs!$G$5:$G$130&lt;&gt;"acoes")))*INDEX(Inputs!$K$5:$AJ$130,0,MATCH(N$2,Inputs!$K$4:$AJ$4,0)))+SUMPRODUCT((Inputs!$C$5:$C$130=$B23)*Inputs!$D$5:$D$130*(((Inputs!$G$5:$G$130="moeda")+(Inputs!$G$5:$G$130="acoes"))*Inputs!$B$1+((Inputs!$G$5:$G$130&lt;&gt;"moeda")*(Inputs!$G$5:$G$130&lt;&gt;"acoes")))*INDEX(Inputs!$K$5:$AJ$130,0,MATCH(N$2,Inputs!$K$4:$AJ$4,0)))+SUMPRODUCT((Inputs!$E$5:$E$130=$B23)*Inputs!$F$5:$F$130*(((Inputs!$G$5:$G$130="moeda")+(Inputs!$G$5:$G$130="acoes"))*Inputs!$B$1+((Inputs!$G$5:$G$130&lt;&gt;"moeda")*(Inputs!$G$5:$G$130&lt;&gt;"acoes")))*INDEX(Inputs!$K$5:$AJ$130,0,MATCH(N$2,Inputs!$K$4:$AJ$4,0)))))</f>
        <v>0</v>
      </c>
      <c r="O23" s="6">
        <f>IF(ISNA(MATCH(O$2,Inputs!$K$4:$AJ$4,0)),NA(),IF(SUMPRODUCT((Inputs!$A$5:$A$130=$B23)*ISNUMBER(INDEX(Inputs!$K$5:$AJ$130,0,MATCH(O$2,Inputs!$K$4:$AJ$4,0))))+SUMPRODUCT((Inputs!$C$5:$C$130=$B23)*ISNUMBER(INDEX(Inputs!$K$5:$AJ$130,0,MATCH(O$2,Inputs!$K$4:$AJ$4,0))))+SUMPRODUCT((Inputs!$E$5:$E$130=$B23)*ISNUMBER(INDEX(Inputs!$K$5:$AJ$130,0,MATCH(O$2,Inputs!$K$4:$AJ$4,0))))=0,NA(),SUMPRODUCT((Inputs!$A$5:$A$130=$B23)*Inputs!$B$5:$B$130*(((Inputs!$G$5:$G$130="moeda")+(Inputs!$G$5:$G$130="acoes"))*Inputs!$B$1+((Inputs!$G$5:$G$130&lt;&gt;"moeda")*(Inputs!$G$5:$G$130&lt;&gt;"acoes")))*INDEX(Inputs!$K$5:$AJ$130,0,MATCH(O$2,Inputs!$K$4:$AJ$4,0)))+SUMPRODUCT((Inputs!$C$5:$C$130=$B23)*Inputs!$D$5:$D$130*(((Inputs!$G$5:$G$130="moeda")+(Inputs!$G$5:$G$130="acoes"))*Inputs!$B$1+((Inputs!$G$5:$G$130&lt;&gt;"moeda")*(Inputs!$G$5:$G$130&lt;&gt;"acoes")))*INDEX(Inputs!$K$5:$AJ$130,0,MATCH(O$2,Inputs!$K$4:$AJ$4,0)))+SUMPRODUCT((Inputs!$E$5:$E$130=$B23)*Inputs!$F$5:$F$130*(((Inputs!$G$5:$G$130="moeda")+(Inputs!$G$5:$G$130="acoes"))*Inputs!$B$1+((Inputs!$G$5:$G$130&lt;&gt;"moeda")*(Inputs!$G$5:$G$130&lt;&gt;"acoes")))*INDEX(Inputs!$K$5:$AJ$130,0,MATCH(O$2,Inputs!$K$4:$AJ$4,0)))))</f>
        <v>0</v>
      </c>
      <c r="P23" s="6">
        <f>IF(ISNA(MATCH(P$2,Inputs!$K$4:$AJ$4,0)),NA(),IF(SUMPRODUCT((Inputs!$A$5:$A$130=$B23)*ISNUMBER(INDEX(Inputs!$K$5:$AJ$130,0,MATCH(P$2,Inputs!$K$4:$AJ$4,0))))+SUMPRODUCT((Inputs!$C$5:$C$130=$B23)*ISNUMBER(INDEX(Inputs!$K$5:$AJ$130,0,MATCH(P$2,Inputs!$K$4:$AJ$4,0))))+SUMPRODUCT((Inputs!$E$5:$E$130=$B23)*ISNUMBER(INDEX(Inputs!$K$5:$AJ$130,0,MATCH(P$2,Inputs!$K$4:$AJ$4,0))))=0,NA(),SUMPRODUCT((Inputs!$A$5:$A$130=$B23)*Inputs!$B$5:$B$130*(((Inputs!$G$5:$G$130="moeda")+(Inputs!$G$5:$G$130="acoes"))*Inputs!$B$1+((Inputs!$G$5:$G$130&lt;&gt;"moeda")*(Inputs!$G$5:$G$130&lt;&gt;"acoes")))*INDEX(Inputs!$K$5:$AJ$130,0,MATCH(P$2,Inputs!$K$4:$AJ$4,0)))+SUMPRODUCT((Inputs!$C$5:$C$130=$B23)*Inputs!$D$5:$D$130*(((Inputs!$G$5:$G$130="moeda")+(Inputs!$G$5:$G$130="acoes"))*Inputs!$B$1+((Inputs!$G$5:$G$130&lt;&gt;"moeda")*(Inputs!$G$5:$G$130&lt;&gt;"acoes")))*INDEX(Inputs!$K$5:$AJ$130,0,MATCH(P$2,Inputs!$K$4:$AJ$4,0)))+SUMPRODUCT((Inputs!$E$5:$E$130=$B23)*Inputs!$F$5:$F$130*(((Inputs!$G$5:$G$130="moeda")+(Inputs!$G$5:$G$130="acoes"))*Inputs!$B$1+((Inputs!$G$5:$G$130&lt;&gt;"moeda")*(Inputs!$G$5:$G$130&lt;&gt;"acoes")))*INDEX(Inputs!$K$5:$AJ$130,0,MATCH(P$2,Inputs!$K$4:$AJ$4,0)))))</f>
        <v>0</v>
      </c>
      <c r="Q23" s="6">
        <f>IF(ISNA(MATCH(Q$2,Inputs!$K$4:$AJ$4,0)),NA(),IF(SUMPRODUCT((Inputs!$A$5:$A$130=$B23)*ISNUMBER(INDEX(Inputs!$K$5:$AJ$130,0,MATCH(Q$2,Inputs!$K$4:$AJ$4,0))))+SUMPRODUCT((Inputs!$C$5:$C$130=$B23)*ISNUMBER(INDEX(Inputs!$K$5:$AJ$130,0,MATCH(Q$2,Inputs!$K$4:$AJ$4,0))))+SUMPRODUCT((Inputs!$E$5:$E$130=$B23)*ISNUMBER(INDEX(Inputs!$K$5:$AJ$130,0,MATCH(Q$2,Inputs!$K$4:$AJ$4,0))))=0,NA(),SUMPRODUCT((Inputs!$A$5:$A$130=$B23)*Inputs!$B$5:$B$130*(((Inputs!$G$5:$G$130="moeda")+(Inputs!$G$5:$G$130="acoes"))*Inputs!$B$1+((Inputs!$G$5:$G$130&lt;&gt;"moeda")*(Inputs!$G$5:$G$130&lt;&gt;"acoes")))*INDEX(Inputs!$K$5:$AJ$130,0,MATCH(Q$2,Inputs!$K$4:$AJ$4,0)))+SUMPRODUCT((Inputs!$C$5:$C$130=$B23)*Inputs!$D$5:$D$130*(((Inputs!$G$5:$G$130="moeda")+(Inputs!$G$5:$G$130="acoes"))*Inputs!$B$1+((Inputs!$G$5:$G$130&lt;&gt;"moeda")*(Inputs!$G$5:$G$130&lt;&gt;"acoes")))*INDEX(Inputs!$K$5:$AJ$130,0,MATCH(Q$2,Inputs!$K$4:$AJ$4,0)))+SUMPRODUCT((Inputs!$E$5:$E$130=$B23)*Inputs!$F$5:$F$130*(((Inputs!$G$5:$G$130="moeda")+(Inputs!$G$5:$G$130="acoes"))*Inputs!$B$1+((Inputs!$G$5:$G$130&lt;&gt;"moeda")*(Inputs!$G$5:$G$130&lt;&gt;"acoes")))*INDEX(Inputs!$K$5:$AJ$130,0,MATCH(Q$2,Inputs!$K$4:$AJ$4,0)))))</f>
        <v>0</v>
      </c>
      <c r="R23" s="3">
        <f>Q23</f>
        <v>0</v>
      </c>
      <c r="S23" s="6">
        <f>IF(ISNA(MATCH(S$2,Inputs!$K$4:$AJ$4,0)),NA(),IF(SUMPRODUCT((Inputs!$A$5:$A$130=$B23)*ISNUMBER(INDEX(Inputs!$K$5:$AJ$130,0,MATCH(S$2,Inputs!$K$4:$AJ$4,0))))+SUMPRODUCT((Inputs!$C$5:$C$130=$B23)*ISNUMBER(INDEX(Inputs!$K$5:$AJ$130,0,MATCH(S$2,Inputs!$K$4:$AJ$4,0))))+SUMPRODUCT((Inputs!$E$5:$E$130=$B23)*ISNUMBER(INDEX(Inputs!$K$5:$AJ$130,0,MATCH(S$2,Inputs!$K$4:$AJ$4,0))))=0,NA(),SUMPRODUCT((Inputs!$A$5:$A$130=$B23)*Inputs!$B$5:$B$130*(((Inputs!$G$5:$G$130="moeda")+(Inputs!$G$5:$G$130="acoes"))*Inputs!$B$1+((Inputs!$G$5:$G$130&lt;&gt;"moeda")*(Inputs!$G$5:$G$130&lt;&gt;"acoes")))*INDEX(Inputs!$K$5:$AJ$130,0,MATCH(S$2,Inputs!$K$4:$AJ$4,0)))+SUMPRODUCT((Inputs!$C$5:$C$130=$B23)*Inputs!$D$5:$D$130*(((Inputs!$G$5:$G$130="moeda")+(Inputs!$G$5:$G$130="acoes"))*Inputs!$B$1+((Inputs!$G$5:$G$130&lt;&gt;"moeda")*(Inputs!$G$5:$G$130&lt;&gt;"acoes")))*INDEX(Inputs!$K$5:$AJ$130,0,MATCH(S$2,Inputs!$K$4:$AJ$4,0)))+SUMPRODUCT((Inputs!$E$5:$E$130=$B23)*Inputs!$F$5:$F$130*(((Inputs!$G$5:$G$130="moeda")+(Inputs!$G$5:$G$130="acoes"))*Inputs!$B$1+((Inputs!$G$5:$G$130&lt;&gt;"moeda")*(Inputs!$G$5:$G$130&lt;&gt;"acoes")))*INDEX(Inputs!$K$5:$AJ$130,0,MATCH(S$2,Inputs!$K$4:$AJ$4,0)))))</f>
        <v>0</v>
      </c>
      <c r="T23" s="6">
        <f>IF(ISNA(MATCH(T$2,Inputs!$K$4:$AJ$4,0)),NA(),IF(SUMPRODUCT((Inputs!$A$5:$A$130=$B23)*ISNUMBER(INDEX(Inputs!$K$5:$AJ$130,0,MATCH(T$2,Inputs!$K$4:$AJ$4,0))))+SUMPRODUCT((Inputs!$C$5:$C$130=$B23)*ISNUMBER(INDEX(Inputs!$K$5:$AJ$130,0,MATCH(T$2,Inputs!$K$4:$AJ$4,0))))+SUMPRODUCT((Inputs!$E$5:$E$130=$B23)*ISNUMBER(INDEX(Inputs!$K$5:$AJ$130,0,MATCH(T$2,Inputs!$K$4:$AJ$4,0))))=0,NA(),SUMPRODUCT((Inputs!$A$5:$A$130=$B23)*Inputs!$B$5:$B$130*(((Inputs!$G$5:$G$130="moeda")+(Inputs!$G$5:$G$130="acoes"))*Inputs!$B$1+((Inputs!$G$5:$G$130&lt;&gt;"moeda")*(Inputs!$G$5:$G$130&lt;&gt;"acoes")))*INDEX(Inputs!$K$5:$AJ$130,0,MATCH(T$2,Inputs!$K$4:$AJ$4,0)))+SUMPRODUCT((Inputs!$C$5:$C$130=$B23)*Inputs!$D$5:$D$130*(((Inputs!$G$5:$G$130="moeda")+(Inputs!$G$5:$G$130="acoes"))*Inputs!$B$1+((Inputs!$G$5:$G$130&lt;&gt;"moeda")*(Inputs!$G$5:$G$130&lt;&gt;"acoes")))*INDEX(Inputs!$K$5:$AJ$130,0,MATCH(T$2,Inputs!$K$4:$AJ$4,0)))+SUMPRODUCT((Inputs!$E$5:$E$130=$B23)*Inputs!$F$5:$F$130*(((Inputs!$G$5:$G$130="moeda")+(Inputs!$G$5:$G$130="acoes"))*Inputs!$B$1+((Inputs!$G$5:$G$130&lt;&gt;"moeda")*(Inputs!$G$5:$G$130&lt;&gt;"acoes")))*INDEX(Inputs!$K$5:$AJ$130,0,MATCH(T$2,Inputs!$K$4:$AJ$4,0)))))</f>
        <v>0</v>
      </c>
      <c r="U23" s="6">
        <f>IF(ISNA(MATCH(U$2,Inputs!$K$4:$AJ$4,0)),NA(),IF(SUMPRODUCT((Inputs!$A$5:$A$130=$B23)*ISNUMBER(INDEX(Inputs!$K$5:$AJ$130,0,MATCH(U$2,Inputs!$K$4:$AJ$4,0))))+SUMPRODUCT((Inputs!$C$5:$C$130=$B23)*ISNUMBER(INDEX(Inputs!$K$5:$AJ$130,0,MATCH(U$2,Inputs!$K$4:$AJ$4,0))))+SUMPRODUCT((Inputs!$E$5:$E$130=$B23)*ISNUMBER(INDEX(Inputs!$K$5:$AJ$130,0,MATCH(U$2,Inputs!$K$4:$AJ$4,0))))=0,NA(),SUMPRODUCT((Inputs!$A$5:$A$130=$B23)*Inputs!$B$5:$B$130*(((Inputs!$G$5:$G$130="moeda")+(Inputs!$G$5:$G$130="acoes"))*Inputs!$B$1+((Inputs!$G$5:$G$130&lt;&gt;"moeda")*(Inputs!$G$5:$G$130&lt;&gt;"acoes")))*INDEX(Inputs!$K$5:$AJ$130,0,MATCH(U$2,Inputs!$K$4:$AJ$4,0)))+SUMPRODUCT((Inputs!$C$5:$C$130=$B23)*Inputs!$D$5:$D$130*(((Inputs!$G$5:$G$130="moeda")+(Inputs!$G$5:$G$130="acoes"))*Inputs!$B$1+((Inputs!$G$5:$G$130&lt;&gt;"moeda")*(Inputs!$G$5:$G$130&lt;&gt;"acoes")))*INDEX(Inputs!$K$5:$AJ$130,0,MATCH(U$2,Inputs!$K$4:$AJ$4,0)))+SUMPRODUCT((Inputs!$E$5:$E$130=$B23)*Inputs!$F$5:$F$130*(((Inputs!$G$5:$G$130="moeda")+(Inputs!$G$5:$G$130="acoes"))*Inputs!$B$1+((Inputs!$G$5:$G$130&lt;&gt;"moeda")*(Inputs!$G$5:$G$130&lt;&gt;"acoes")))*INDEX(Inputs!$K$5:$AJ$130,0,MATCH(U$2,Inputs!$K$4:$AJ$4,0)))))</f>
        <v>0</v>
      </c>
      <c r="V23" s="6">
        <f>IF(ISNA(MATCH(V$2,Inputs!$K$4:$AJ$4,0)),NA(),IF(SUMPRODUCT((Inputs!$A$5:$A$130=$B23)*ISNUMBER(INDEX(Inputs!$K$5:$AJ$130,0,MATCH(V$2,Inputs!$K$4:$AJ$4,0))))+SUMPRODUCT((Inputs!$C$5:$C$130=$B23)*ISNUMBER(INDEX(Inputs!$K$5:$AJ$130,0,MATCH(V$2,Inputs!$K$4:$AJ$4,0))))+SUMPRODUCT((Inputs!$E$5:$E$130=$B23)*ISNUMBER(INDEX(Inputs!$K$5:$AJ$130,0,MATCH(V$2,Inputs!$K$4:$AJ$4,0))))=0,NA(),SUMPRODUCT((Inputs!$A$5:$A$130=$B23)*Inputs!$B$5:$B$130*(((Inputs!$G$5:$G$130="moeda")+(Inputs!$G$5:$G$130="acoes"))*Inputs!$B$1+((Inputs!$G$5:$G$130&lt;&gt;"moeda")*(Inputs!$G$5:$G$130&lt;&gt;"acoes")))*INDEX(Inputs!$K$5:$AJ$130,0,MATCH(V$2,Inputs!$K$4:$AJ$4,0)))+SUMPRODUCT((Inputs!$C$5:$C$130=$B23)*Inputs!$D$5:$D$130*(((Inputs!$G$5:$G$130="moeda")+(Inputs!$G$5:$G$130="acoes"))*Inputs!$B$1+((Inputs!$G$5:$G$130&lt;&gt;"moeda")*(Inputs!$G$5:$G$130&lt;&gt;"acoes")))*INDEX(Inputs!$K$5:$AJ$130,0,MATCH(V$2,Inputs!$K$4:$AJ$4,0)))+SUMPRODUCT((Inputs!$E$5:$E$130=$B23)*Inputs!$F$5:$F$130*(((Inputs!$G$5:$G$130="moeda")+(Inputs!$G$5:$G$130="acoes"))*Inputs!$B$1+((Inputs!$G$5:$G$130&lt;&gt;"moeda")*(Inputs!$G$5:$G$130&lt;&gt;"acoes")))*INDEX(Inputs!$K$5:$AJ$130,0,MATCH(V$2,Inputs!$K$4:$AJ$4,0)))))</f>
        <v>0</v>
      </c>
      <c r="W23" s="3">
        <f>V23</f>
        <v>0</v>
      </c>
      <c r="X23" s="6">
        <f>IF(ISNA(MATCH(X$2,Inputs!$K$4:$AJ$4,0)),NA(),IF(SUMPRODUCT((Inputs!$A$5:$A$130=$B23)*ISNUMBER(INDEX(Inputs!$K$5:$AJ$130,0,MATCH(X$2,Inputs!$K$4:$AJ$4,0))))+SUMPRODUCT((Inputs!$C$5:$C$130=$B23)*ISNUMBER(INDEX(Inputs!$K$5:$AJ$130,0,MATCH(X$2,Inputs!$K$4:$AJ$4,0))))+SUMPRODUCT((Inputs!$E$5:$E$130=$B23)*ISNUMBER(INDEX(Inputs!$K$5:$AJ$130,0,MATCH(X$2,Inputs!$K$4:$AJ$4,0))))=0,NA(),SUMPRODUCT((Inputs!$A$5:$A$130=$B23)*Inputs!$B$5:$B$130*(((Inputs!$G$5:$G$130="moeda")+(Inputs!$G$5:$G$130="acoes"))*Inputs!$B$1+((Inputs!$G$5:$G$130&lt;&gt;"moeda")*(Inputs!$G$5:$G$130&lt;&gt;"acoes")))*INDEX(Inputs!$K$5:$AJ$130,0,MATCH(X$2,Inputs!$K$4:$AJ$4,0)))+SUMPRODUCT((Inputs!$C$5:$C$130=$B23)*Inputs!$D$5:$D$130*(((Inputs!$G$5:$G$130="moeda")+(Inputs!$G$5:$G$130="acoes"))*Inputs!$B$1+((Inputs!$G$5:$G$130&lt;&gt;"moeda")*(Inputs!$G$5:$G$130&lt;&gt;"acoes")))*INDEX(Inputs!$K$5:$AJ$130,0,MATCH(X$2,Inputs!$K$4:$AJ$4,0)))+SUMPRODUCT((Inputs!$E$5:$E$130=$B23)*Inputs!$F$5:$F$130*(((Inputs!$G$5:$G$130="moeda")+(Inputs!$G$5:$G$130="acoes"))*Inputs!$B$1+((Inputs!$G$5:$G$130&lt;&gt;"moeda")*(Inputs!$G$5:$G$130&lt;&gt;"acoes")))*INDEX(Inputs!$K$5:$AJ$130,0,MATCH(X$2,Inputs!$K$4:$AJ$4,0)))))</f>
        <v>0</v>
      </c>
      <c r="Y23" s="6">
        <f>IF(ISNA(MATCH(Y$2,Inputs!$K$4:$AJ$4,0)),NA(),IF(SUMPRODUCT((Inputs!$A$5:$A$130=$B23)*ISNUMBER(INDEX(Inputs!$K$5:$AJ$130,0,MATCH(Y$2,Inputs!$K$4:$AJ$4,0))))+SUMPRODUCT((Inputs!$C$5:$C$130=$B23)*ISNUMBER(INDEX(Inputs!$K$5:$AJ$130,0,MATCH(Y$2,Inputs!$K$4:$AJ$4,0))))+SUMPRODUCT((Inputs!$E$5:$E$130=$B23)*ISNUMBER(INDEX(Inputs!$K$5:$AJ$130,0,MATCH(Y$2,Inputs!$K$4:$AJ$4,0))))=0,NA(),SUMPRODUCT((Inputs!$A$5:$A$130=$B23)*Inputs!$B$5:$B$130*(((Inputs!$G$5:$G$130="moeda")+(Inputs!$G$5:$G$130="acoes"))*Inputs!$B$1+((Inputs!$G$5:$G$130&lt;&gt;"moeda")*(Inputs!$G$5:$G$130&lt;&gt;"acoes")))*INDEX(Inputs!$K$5:$AJ$130,0,MATCH(Y$2,Inputs!$K$4:$AJ$4,0)))+SUMPRODUCT((Inputs!$C$5:$C$130=$B23)*Inputs!$D$5:$D$130*(((Inputs!$G$5:$G$130="moeda")+(Inputs!$G$5:$G$130="acoes"))*Inputs!$B$1+((Inputs!$G$5:$G$130&lt;&gt;"moeda")*(Inputs!$G$5:$G$130&lt;&gt;"acoes")))*INDEX(Inputs!$K$5:$AJ$130,0,MATCH(Y$2,Inputs!$K$4:$AJ$4,0)))+SUMPRODUCT((Inputs!$E$5:$E$130=$B23)*Inputs!$F$5:$F$130*(((Inputs!$G$5:$G$130="moeda")+(Inputs!$G$5:$G$130="acoes"))*Inputs!$B$1+((Inputs!$G$5:$G$130&lt;&gt;"moeda")*(Inputs!$G$5:$G$130&lt;&gt;"acoes")))*INDEX(Inputs!$K$5:$AJ$130,0,MATCH(Y$2,Inputs!$K$4:$AJ$4,0)))))</f>
        <v>0</v>
      </c>
      <c r="Z23" s="6">
        <f>IF(ISNA(MATCH(Z$2,Inputs!$K$4:$AJ$4,0)),NA(),IF(SUMPRODUCT((Inputs!$A$5:$A$130=$B23)*ISNUMBER(INDEX(Inputs!$K$5:$AJ$130,0,MATCH(Z$2,Inputs!$K$4:$AJ$4,0))))+SUMPRODUCT((Inputs!$C$5:$C$130=$B23)*ISNUMBER(INDEX(Inputs!$K$5:$AJ$130,0,MATCH(Z$2,Inputs!$K$4:$AJ$4,0))))+SUMPRODUCT((Inputs!$E$5:$E$130=$B23)*ISNUMBER(INDEX(Inputs!$K$5:$AJ$130,0,MATCH(Z$2,Inputs!$K$4:$AJ$4,0))))=0,NA(),SUMPRODUCT((Inputs!$A$5:$A$130=$B23)*Inputs!$B$5:$B$130*(((Inputs!$G$5:$G$130="moeda")+(Inputs!$G$5:$G$130="acoes"))*Inputs!$B$1+((Inputs!$G$5:$G$130&lt;&gt;"moeda")*(Inputs!$G$5:$G$130&lt;&gt;"acoes")))*INDEX(Inputs!$K$5:$AJ$130,0,MATCH(Z$2,Inputs!$K$4:$AJ$4,0)))+SUMPRODUCT((Inputs!$C$5:$C$130=$B23)*Inputs!$D$5:$D$130*(((Inputs!$G$5:$G$130="moeda")+(Inputs!$G$5:$G$130="acoes"))*Inputs!$B$1+((Inputs!$G$5:$G$130&lt;&gt;"moeda")*(Inputs!$G$5:$G$130&lt;&gt;"acoes")))*INDEX(Inputs!$K$5:$AJ$130,0,MATCH(Z$2,Inputs!$K$4:$AJ$4,0)))+SUMPRODUCT((Inputs!$E$5:$E$130=$B23)*Inputs!$F$5:$F$130*(((Inputs!$G$5:$G$130="moeda")+(Inputs!$G$5:$G$130="acoes"))*Inputs!$B$1+((Inputs!$G$5:$G$130&lt;&gt;"moeda")*(Inputs!$G$5:$G$130&lt;&gt;"acoes")))*INDEX(Inputs!$K$5:$AJ$130,0,MATCH(Z$2,Inputs!$K$4:$AJ$4,0)))))</f>
        <v>0</v>
      </c>
      <c r="AA23" s="6">
        <f>IF(ISNA(MATCH(AA$2,Inputs!$K$4:$AJ$4,0)),NA(),IF(SUMPRODUCT((Inputs!$A$5:$A$130=$B23)*ISNUMBER(INDEX(Inputs!$K$5:$AJ$130,0,MATCH(AA$2,Inputs!$K$4:$AJ$4,0))))+SUMPRODUCT((Inputs!$C$5:$C$130=$B23)*ISNUMBER(INDEX(Inputs!$K$5:$AJ$130,0,MATCH(AA$2,Inputs!$K$4:$AJ$4,0))))+SUMPRODUCT((Inputs!$E$5:$E$130=$B23)*ISNUMBER(INDEX(Inputs!$K$5:$AJ$130,0,MATCH(AA$2,Inputs!$K$4:$AJ$4,0))))=0,NA(),SUMPRODUCT((Inputs!$A$5:$A$130=$B23)*Inputs!$B$5:$B$130*(((Inputs!$G$5:$G$130="moeda")+(Inputs!$G$5:$G$130="acoes"))*Inputs!$B$1+((Inputs!$G$5:$G$130&lt;&gt;"moeda")*(Inputs!$G$5:$G$130&lt;&gt;"acoes")))*INDEX(Inputs!$K$5:$AJ$130,0,MATCH(AA$2,Inputs!$K$4:$AJ$4,0)))+SUMPRODUCT((Inputs!$C$5:$C$130=$B23)*Inputs!$D$5:$D$130*(((Inputs!$G$5:$G$130="moeda")+(Inputs!$G$5:$G$130="acoes"))*Inputs!$B$1+((Inputs!$G$5:$G$130&lt;&gt;"moeda")*(Inputs!$G$5:$G$130&lt;&gt;"acoes")))*INDEX(Inputs!$K$5:$AJ$130,0,MATCH(AA$2,Inputs!$K$4:$AJ$4,0)))+SUMPRODUCT((Inputs!$E$5:$E$130=$B23)*Inputs!$F$5:$F$130*(((Inputs!$G$5:$G$130="moeda")+(Inputs!$G$5:$G$130="acoes"))*Inputs!$B$1+((Inputs!$G$5:$G$130&lt;&gt;"moeda")*(Inputs!$G$5:$G$130&lt;&gt;"acoes")))*INDEX(Inputs!$K$5:$AJ$130,0,MATCH(AA$2,Inputs!$K$4:$AJ$4,0)))))</f>
        <v>0</v>
      </c>
      <c r="AB23" s="3">
        <f>AA23</f>
        <v>0</v>
      </c>
      <c r="AC23" s="6">
        <f>IF(ISNA(MATCH(AC$2,Inputs!$K$4:$AJ$4,0)),NA(),IF(SUMPRODUCT((Inputs!$A$5:$A$130=$B23)*ISNUMBER(INDEX(Inputs!$K$5:$AJ$130,0,MATCH(AC$2,Inputs!$K$4:$AJ$4,0))))+SUMPRODUCT((Inputs!$C$5:$C$130=$B23)*ISNUMBER(INDEX(Inputs!$K$5:$AJ$130,0,MATCH(AC$2,Inputs!$K$4:$AJ$4,0))))+SUMPRODUCT((Inputs!$E$5:$E$130=$B23)*ISNUMBER(INDEX(Inputs!$K$5:$AJ$130,0,MATCH(AC$2,Inputs!$K$4:$AJ$4,0))))=0,NA(),SUMPRODUCT((Inputs!$A$5:$A$130=$B23)*Inputs!$B$5:$B$130*(((Inputs!$G$5:$G$130="moeda")+(Inputs!$G$5:$G$130="acoes"))*Inputs!$B$1+((Inputs!$G$5:$G$130&lt;&gt;"moeda")*(Inputs!$G$5:$G$130&lt;&gt;"acoes")))*INDEX(Inputs!$K$5:$AJ$130,0,MATCH(AC$2,Inputs!$K$4:$AJ$4,0)))+SUMPRODUCT((Inputs!$C$5:$C$130=$B23)*Inputs!$D$5:$D$130*(((Inputs!$G$5:$G$130="moeda")+(Inputs!$G$5:$G$130="acoes"))*Inputs!$B$1+((Inputs!$G$5:$G$130&lt;&gt;"moeda")*(Inputs!$G$5:$G$130&lt;&gt;"acoes")))*INDEX(Inputs!$K$5:$AJ$130,0,MATCH(AC$2,Inputs!$K$4:$AJ$4,0)))+SUMPRODUCT((Inputs!$E$5:$E$130=$B23)*Inputs!$F$5:$F$130*(((Inputs!$G$5:$G$130="moeda")+(Inputs!$G$5:$G$130="acoes"))*Inputs!$B$1+((Inputs!$G$5:$G$130&lt;&gt;"moeda")*(Inputs!$G$5:$G$130&lt;&gt;"acoes")))*INDEX(Inputs!$K$5:$AJ$130,0,MATCH(AC$2,Inputs!$K$4:$AJ$4,0)))))</f>
        <v>0</v>
      </c>
      <c r="AD23" s="6">
        <f>IF(ISNA(MATCH(AD$2,Inputs!$K$4:$AJ$4,0)),NA(),IF(SUMPRODUCT((Inputs!$A$5:$A$130=$B23)*ISNUMBER(INDEX(Inputs!$K$5:$AJ$130,0,MATCH(AD$2,Inputs!$K$4:$AJ$4,0))))+SUMPRODUCT((Inputs!$C$5:$C$130=$B23)*ISNUMBER(INDEX(Inputs!$K$5:$AJ$130,0,MATCH(AD$2,Inputs!$K$4:$AJ$4,0))))+SUMPRODUCT((Inputs!$E$5:$E$130=$B23)*ISNUMBER(INDEX(Inputs!$K$5:$AJ$130,0,MATCH(AD$2,Inputs!$K$4:$AJ$4,0))))=0,NA(),SUMPRODUCT((Inputs!$A$5:$A$130=$B23)*Inputs!$B$5:$B$130*(((Inputs!$G$5:$G$130="moeda")+(Inputs!$G$5:$G$130="acoes"))*Inputs!$B$1+((Inputs!$G$5:$G$130&lt;&gt;"moeda")*(Inputs!$G$5:$G$130&lt;&gt;"acoes")))*INDEX(Inputs!$K$5:$AJ$130,0,MATCH(AD$2,Inputs!$K$4:$AJ$4,0)))+SUMPRODUCT((Inputs!$C$5:$C$130=$B23)*Inputs!$D$5:$D$130*(((Inputs!$G$5:$G$130="moeda")+(Inputs!$G$5:$G$130="acoes"))*Inputs!$B$1+((Inputs!$G$5:$G$130&lt;&gt;"moeda")*(Inputs!$G$5:$G$130&lt;&gt;"acoes")))*INDEX(Inputs!$K$5:$AJ$130,0,MATCH(AD$2,Inputs!$K$4:$AJ$4,0)))+SUMPRODUCT((Inputs!$E$5:$E$130=$B23)*Inputs!$F$5:$F$130*(((Inputs!$G$5:$G$130="moeda")+(Inputs!$G$5:$G$130="acoes"))*Inputs!$B$1+((Inputs!$G$5:$G$130&lt;&gt;"moeda")*(Inputs!$G$5:$G$130&lt;&gt;"acoes")))*INDEX(Inputs!$K$5:$AJ$130,0,MATCH(AD$2,Inputs!$K$4:$AJ$4,0)))))</f>
        <v>0</v>
      </c>
      <c r="AE23" s="6" t="e">
        <f>IF(ISNA(MATCH(AE$2,Inputs!$K$4:$AJ$4,0)),NA(),IF(SUMPRODUCT((Inputs!$A$5:$A$130=$B23)*ISNUMBER(INDEX(Inputs!$K$5:$AJ$130,0,MATCH(AE$2,Inputs!$K$4:$AJ$4,0))))+SUMPRODUCT((Inputs!$C$5:$C$130=$B23)*ISNUMBER(INDEX(Inputs!$K$5:$AJ$130,0,MATCH(AE$2,Inputs!$K$4:$AJ$4,0))))+SUMPRODUCT((Inputs!$E$5:$E$130=$B23)*ISNUMBER(INDEX(Inputs!$K$5:$AJ$130,0,MATCH(AE$2,Inputs!$K$4:$AJ$4,0))))=0,NA(),SUMPRODUCT((Inputs!$A$5:$A$130=$B23)*Inputs!$B$5:$B$130*(((Inputs!$G$5:$G$130="moeda")+(Inputs!$G$5:$G$130="acoes"))*Inputs!$B$1+((Inputs!$G$5:$G$130&lt;&gt;"moeda")*(Inputs!$G$5:$G$130&lt;&gt;"acoes")))*INDEX(Inputs!$K$5:$AJ$130,0,MATCH(AE$2,Inputs!$K$4:$AJ$4,0)))+SUMPRODUCT((Inputs!$C$5:$C$130=$B23)*Inputs!$D$5:$D$130*(((Inputs!$G$5:$G$130="moeda")+(Inputs!$G$5:$G$130="acoes"))*Inputs!$B$1+((Inputs!$G$5:$G$130&lt;&gt;"moeda")*(Inputs!$G$5:$G$130&lt;&gt;"acoes")))*INDEX(Inputs!$K$5:$AJ$130,0,MATCH(AE$2,Inputs!$K$4:$AJ$4,0)))+SUMPRODUCT((Inputs!$E$5:$E$130=$B23)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3" s="6" t="e">
        <f>IF(ISNA(MATCH(AF$2,Inputs!$K$4:$AJ$4,0)),NA(),IF(SUMPRODUCT((Inputs!$A$5:$A$130=$B23)*ISNUMBER(INDEX(Inputs!$K$5:$AJ$130,0,MATCH(AF$2,Inputs!$K$4:$AJ$4,0))))+SUMPRODUCT((Inputs!$C$5:$C$130=$B23)*ISNUMBER(INDEX(Inputs!$K$5:$AJ$130,0,MATCH(AF$2,Inputs!$K$4:$AJ$4,0))))+SUMPRODUCT((Inputs!$E$5:$E$130=$B23)*ISNUMBER(INDEX(Inputs!$K$5:$AJ$130,0,MATCH(AF$2,Inputs!$K$4:$AJ$4,0))))=0,NA(),SUMPRODUCT((Inputs!$A$5:$A$130=$B23)*Inputs!$B$5:$B$130*(((Inputs!$G$5:$G$130="moeda")+(Inputs!$G$5:$G$130="acoes"))*Inputs!$B$1+((Inputs!$G$5:$G$130&lt;&gt;"moeda")*(Inputs!$G$5:$G$130&lt;&gt;"acoes")))*INDEX(Inputs!$K$5:$AJ$130,0,MATCH(AF$2,Inputs!$K$4:$AJ$4,0)))+SUMPRODUCT((Inputs!$C$5:$C$130=$B23)*Inputs!$D$5:$D$130*(((Inputs!$G$5:$G$130="moeda")+(Inputs!$G$5:$G$130="acoes"))*Inputs!$B$1+((Inputs!$G$5:$G$130&lt;&gt;"moeda")*(Inputs!$G$5:$G$130&lt;&gt;"acoes")))*INDEX(Inputs!$K$5:$AJ$130,0,MATCH(AF$2,Inputs!$K$4:$AJ$4,0)))+SUMPRODUCT((Inputs!$E$5:$E$130=$B23)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3" s="3" t="e">
        <f>AF23</f>
        <v>#N/A</v>
      </c>
      <c r="AH23" s="6">
        <f>IF(ISNA(MATCH(AH$2,Inputs!$K$4:$AJ$4,0)),NA(),IF(SUMPRODUCT((Inputs!$A$5:$A$130=$B23)*ISNUMBER(INDEX(Inputs!$K$5:$AJ$130,0,MATCH(AH$2,Inputs!$K$4:$AJ$4,0))))+SUMPRODUCT((Inputs!$C$5:$C$130=$B23)*ISNUMBER(INDEX(Inputs!$K$5:$AJ$130,0,MATCH(AH$2,Inputs!$K$4:$AJ$4,0))))+SUMPRODUCT((Inputs!$E$5:$E$130=$B23)*ISNUMBER(INDEX(Inputs!$K$5:$AJ$130,0,MATCH(AH$2,Inputs!$K$4:$AJ$4,0))))=0,NA(),SUMPRODUCT((Inputs!$A$5:$A$130=$B23)*Inputs!$B$5:$B$130*(((Inputs!$G$5:$G$130="moeda")+(Inputs!$G$5:$G$130="acoes"))*Inputs!$B$1+((Inputs!$G$5:$G$130&lt;&gt;"moeda")*(Inputs!$G$5:$G$130&lt;&gt;"acoes")))*INDEX(Inputs!$K$5:$AJ$130,0,MATCH(AH$2,Inputs!$K$4:$AJ$4,0)))+SUMPRODUCT((Inputs!$C$5:$C$130=$B23)*Inputs!$D$5:$D$130*(((Inputs!$G$5:$G$130="moeda")+(Inputs!$G$5:$G$130="acoes"))*Inputs!$B$1+((Inputs!$G$5:$G$130&lt;&gt;"moeda")*(Inputs!$G$5:$G$130&lt;&gt;"acoes")))*INDEX(Inputs!$K$5:$AJ$130,0,MATCH(AH$2,Inputs!$K$4:$AJ$4,0)))+SUMPRODUCT((Inputs!$E$5:$E$130=$B23)*Inputs!$F$5:$F$130*(((Inputs!$G$5:$G$130="moeda")+(Inputs!$G$5:$G$130="acoes"))*Inputs!$B$1+((Inputs!$G$5:$G$130&lt;&gt;"moeda")*(Inputs!$G$5:$G$130&lt;&gt;"acoes")))*INDEX(Inputs!$K$5:$AJ$130,0,MATCH(AH$2,Inputs!$K$4:$AJ$4,0)))))</f>
        <v>0</v>
      </c>
      <c r="AI23" s="6">
        <f>IF(ISNA(MATCH(AI$2,Inputs!$K$4:$AJ$4,0)),NA(),IF(SUMPRODUCT((Inputs!$A$5:$A$130=$B23)*ISNUMBER(INDEX(Inputs!$K$5:$AJ$130,0,MATCH(AI$2,Inputs!$K$4:$AJ$4,0))))+SUMPRODUCT((Inputs!$C$5:$C$130=$B23)*ISNUMBER(INDEX(Inputs!$K$5:$AJ$130,0,MATCH(AI$2,Inputs!$K$4:$AJ$4,0))))+SUMPRODUCT((Inputs!$E$5:$E$130=$B23)*ISNUMBER(INDEX(Inputs!$K$5:$AJ$130,0,MATCH(AI$2,Inputs!$K$4:$AJ$4,0))))=0,NA(),SUMPRODUCT((Inputs!$A$5:$A$130=$B23)*Inputs!$B$5:$B$130*(((Inputs!$G$5:$G$130="moeda")+(Inputs!$G$5:$G$130="acoes"))*Inputs!$B$1+((Inputs!$G$5:$G$130&lt;&gt;"moeda")*(Inputs!$G$5:$G$130&lt;&gt;"acoes")))*INDEX(Inputs!$K$5:$AJ$130,0,MATCH(AI$2,Inputs!$K$4:$AJ$4,0)))+SUMPRODUCT((Inputs!$C$5:$C$130=$B23)*Inputs!$D$5:$D$130*(((Inputs!$G$5:$G$130="moeda")+(Inputs!$G$5:$G$130="acoes"))*Inputs!$B$1+((Inputs!$G$5:$G$130&lt;&gt;"moeda")*(Inputs!$G$5:$G$130&lt;&gt;"acoes")))*INDEX(Inputs!$K$5:$AJ$130,0,MATCH(AI$2,Inputs!$K$4:$AJ$4,0)))+SUMPRODUCT((Inputs!$E$5:$E$130=$B23)*Inputs!$F$5:$F$130*(((Inputs!$G$5:$G$130="moeda")+(Inputs!$G$5:$G$130="acoes"))*Inputs!$B$1+((Inputs!$G$5:$G$130&lt;&gt;"moeda")*(Inputs!$G$5:$G$130&lt;&gt;"acoes")))*INDEX(Inputs!$K$5:$AJ$130,0,MATCH(AI$2,Inputs!$K$4:$AJ$4,0)))))</f>
        <v>0</v>
      </c>
      <c r="AJ23" s="6">
        <f>IF(ISNA(MATCH(AJ$2,Inputs!$K$4:$AJ$4,0)),NA(),IF(SUMPRODUCT((Inputs!$A$5:$A$130=$B23)*ISNUMBER(INDEX(Inputs!$K$5:$AJ$130,0,MATCH(AJ$2,Inputs!$K$4:$AJ$4,0))))+SUMPRODUCT((Inputs!$C$5:$C$130=$B23)*ISNUMBER(INDEX(Inputs!$K$5:$AJ$130,0,MATCH(AJ$2,Inputs!$K$4:$AJ$4,0))))+SUMPRODUCT((Inputs!$E$5:$E$130=$B23)*ISNUMBER(INDEX(Inputs!$K$5:$AJ$130,0,MATCH(AJ$2,Inputs!$K$4:$AJ$4,0))))=0,NA(),SUMPRODUCT((Inputs!$A$5:$A$130=$B23)*Inputs!$B$5:$B$130*(((Inputs!$G$5:$G$130="moeda")+(Inputs!$G$5:$G$130="acoes"))*Inputs!$B$1+((Inputs!$G$5:$G$130&lt;&gt;"moeda")*(Inputs!$G$5:$G$130&lt;&gt;"acoes")))*INDEX(Inputs!$K$5:$AJ$130,0,MATCH(AJ$2,Inputs!$K$4:$AJ$4,0)))+SUMPRODUCT((Inputs!$C$5:$C$130=$B23)*Inputs!$D$5:$D$130*(((Inputs!$G$5:$G$130="moeda")+(Inputs!$G$5:$G$130="acoes"))*Inputs!$B$1+((Inputs!$G$5:$G$130&lt;&gt;"moeda")*(Inputs!$G$5:$G$130&lt;&gt;"acoes")))*INDEX(Inputs!$K$5:$AJ$130,0,MATCH(AJ$2,Inputs!$K$4:$AJ$4,0)))+SUMPRODUCT((Inputs!$E$5:$E$130=$B23)*Inputs!$F$5:$F$130*(((Inputs!$G$5:$G$130="moeda")+(Inputs!$G$5:$G$130="acoes"))*Inputs!$B$1+((Inputs!$G$5:$G$130&lt;&gt;"moeda")*(Inputs!$G$5:$G$130&lt;&gt;"acoes")))*INDEX(Inputs!$K$5:$AJ$130,0,MATCH(AJ$2,Inputs!$K$4:$AJ$4,0)))))</f>
        <v>0</v>
      </c>
      <c r="AK23" s="6">
        <f>IF(ISNA(MATCH(AK$2,Inputs!$K$4:$AJ$4,0)),NA(),IF(SUMPRODUCT((Inputs!$A$5:$A$130=$B23)*ISNUMBER(INDEX(Inputs!$K$5:$AJ$130,0,MATCH(AK$2,Inputs!$K$4:$AJ$4,0))))+SUMPRODUCT((Inputs!$C$5:$C$130=$B23)*ISNUMBER(INDEX(Inputs!$K$5:$AJ$130,0,MATCH(AK$2,Inputs!$K$4:$AJ$4,0))))+SUMPRODUCT((Inputs!$E$5:$E$130=$B23)*ISNUMBER(INDEX(Inputs!$K$5:$AJ$130,0,MATCH(AK$2,Inputs!$K$4:$AJ$4,0))))=0,NA(),SUMPRODUCT((Inputs!$A$5:$A$130=$B23)*Inputs!$B$5:$B$130*(((Inputs!$G$5:$G$130="moeda")+(Inputs!$G$5:$G$130="acoes"))*Inputs!$B$1+((Inputs!$G$5:$G$130&lt;&gt;"moeda")*(Inputs!$G$5:$G$130&lt;&gt;"acoes")))*INDEX(Inputs!$K$5:$AJ$130,0,MATCH(AK$2,Inputs!$K$4:$AJ$4,0)))+SUMPRODUCT((Inputs!$C$5:$C$130=$B23)*Inputs!$D$5:$D$130*(((Inputs!$G$5:$G$130="moeda")+(Inputs!$G$5:$G$130="acoes"))*Inputs!$B$1+((Inputs!$G$5:$G$130&lt;&gt;"moeda")*(Inputs!$G$5:$G$130&lt;&gt;"acoes")))*INDEX(Inputs!$K$5:$AJ$130,0,MATCH(AK$2,Inputs!$K$4:$AJ$4,0)))+SUMPRODUCT((Inputs!$E$5:$E$130=$B23)*Inputs!$F$5:$F$130*(((Inputs!$G$5:$G$130="moeda")+(Inputs!$G$5:$G$130="acoes"))*Inputs!$B$1+((Inputs!$G$5:$G$130&lt;&gt;"moeda")*(Inputs!$G$5:$G$130&lt;&gt;"acoes")))*INDEX(Inputs!$K$5:$AJ$130,0,MATCH(AK$2,Inputs!$K$4:$AJ$4,0)))))</f>
        <v>0</v>
      </c>
      <c r="AL23" s="3">
        <f>AK23</f>
        <v>0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$130=$B24)*ISNUMBER(INDEX(Inputs!$K$5:$AJ$130,0,MATCH(D$2,Inputs!$K$4:$AJ$4,0))))+SUMPRODUCT((Inputs!$C$5:$C$130=$B24)*ISNUMBER(INDEX(Inputs!$K$5:$AJ$130,0,MATCH(D$2,Inputs!$K$4:$AJ$4,0))))+SUMPRODUCT((Inputs!$E$5:$E$130=$B24)*ISNUMBER(INDEX(Inputs!$K$5:$AJ$130,0,MATCH(D$2,Inputs!$K$4:$AJ$4,0))))=0,NA(),SUMPRODUCT((Inputs!$A$5:$A$130=$B24)*Inputs!$B$5:$B$130*(((Inputs!$G$5:$G$130="moeda")+(Inputs!$G$5:$G$130="acoes"))*Inputs!$B$1+((Inputs!$G$5:$G$130&lt;&gt;"moeda")*(Inputs!$G$5:$G$130&lt;&gt;"acoes")))*INDEX(Inputs!$K$5:$AJ$130,0,MATCH(D$2,Inputs!$K$4:$AJ$4,0)))+SUMPRODUCT((Inputs!$C$5:$C$130=$B24)*Inputs!$D$5:$D$130*(((Inputs!$G$5:$G$130="moeda")+(Inputs!$G$5:$G$130="acoes"))*Inputs!$B$1+((Inputs!$G$5:$G$130&lt;&gt;"moeda")*(Inputs!$G$5:$G$130&lt;&gt;"acoes")))*INDEX(Inputs!$K$5:$AJ$130,0,MATCH(D$2,Inputs!$K$4:$AJ$4,0)))+SUMPRODUCT((Inputs!$E$5:$E$130=$B24)*Inputs!$F$5:$F$130*(((Inputs!$G$5:$G$130="moeda")+(Inputs!$G$5:$G$130="acoes"))*Inputs!$B$1+((Inputs!$G$5:$G$130&lt;&gt;"moeda")*(Inputs!$G$5:$G$130&lt;&gt;"acoes")))*INDEX(Inputs!$K$5:$AJ$130,0,MATCH(D$2,Inputs!$K$4:$AJ$4,0)))))</f>
        <v>3190</v>
      </c>
      <c r="E24" s="6">
        <f>IF(ISNA(MATCH(E$2,Inputs!$K$4:$AJ$4,0)),NA(),IF(SUMPRODUCT((Inputs!$A$5:$A$130=$B24)*ISNUMBER(INDEX(Inputs!$K$5:$AJ$130,0,MATCH(E$2,Inputs!$K$4:$AJ$4,0))))+SUMPRODUCT((Inputs!$C$5:$C$130=$B24)*ISNUMBER(INDEX(Inputs!$K$5:$AJ$130,0,MATCH(E$2,Inputs!$K$4:$AJ$4,0))))+SUMPRODUCT((Inputs!$E$5:$E$130=$B24)*ISNUMBER(INDEX(Inputs!$K$5:$AJ$130,0,MATCH(E$2,Inputs!$K$4:$AJ$4,0))))=0,NA(),SUMPRODUCT((Inputs!$A$5:$A$130=$B24)*Inputs!$B$5:$B$130*(((Inputs!$G$5:$G$130="moeda")+(Inputs!$G$5:$G$130="acoes"))*Inputs!$B$1+((Inputs!$G$5:$G$130&lt;&gt;"moeda")*(Inputs!$G$5:$G$130&lt;&gt;"acoes")))*INDEX(Inputs!$K$5:$AJ$130,0,MATCH(E$2,Inputs!$K$4:$AJ$4,0)))+SUMPRODUCT((Inputs!$C$5:$C$130=$B24)*Inputs!$D$5:$D$130*(((Inputs!$G$5:$G$130="moeda")+(Inputs!$G$5:$G$130="acoes"))*Inputs!$B$1+((Inputs!$G$5:$G$130&lt;&gt;"moeda")*(Inputs!$G$5:$G$130&lt;&gt;"acoes")))*INDEX(Inputs!$K$5:$AJ$130,0,MATCH(E$2,Inputs!$K$4:$AJ$4,0)))+SUMPRODUCT((Inputs!$E$5:$E$130=$B24)*Inputs!$F$5:$F$130*(((Inputs!$G$5:$G$130="moeda")+(Inputs!$G$5:$G$130="acoes"))*Inputs!$B$1+((Inputs!$G$5:$G$130&lt;&gt;"moeda")*(Inputs!$G$5:$G$130&lt;&gt;"acoes")))*INDEX(Inputs!$K$5:$AJ$130,0,MATCH(E$2,Inputs!$K$4:$AJ$4,0)))))</f>
        <v>3148</v>
      </c>
      <c r="F24" s="6">
        <f>IF(ISNA(MATCH(F$2,Inputs!$K$4:$AJ$4,0)),NA(),IF(SUMPRODUCT((Inputs!$A$5:$A$130=$B24)*ISNUMBER(INDEX(Inputs!$K$5:$AJ$130,0,MATCH(F$2,Inputs!$K$4:$AJ$4,0))))+SUMPRODUCT((Inputs!$C$5:$C$130=$B24)*ISNUMBER(INDEX(Inputs!$K$5:$AJ$130,0,MATCH(F$2,Inputs!$K$4:$AJ$4,0))))+SUMPRODUCT((Inputs!$E$5:$E$130=$B24)*ISNUMBER(INDEX(Inputs!$K$5:$AJ$130,0,MATCH(F$2,Inputs!$K$4:$AJ$4,0))))=0,NA(),SUMPRODUCT((Inputs!$A$5:$A$130=$B24)*Inputs!$B$5:$B$130*(((Inputs!$G$5:$G$130="moeda")+(Inputs!$G$5:$G$130="acoes"))*Inputs!$B$1+((Inputs!$G$5:$G$130&lt;&gt;"moeda")*(Inputs!$G$5:$G$130&lt;&gt;"acoes")))*INDEX(Inputs!$K$5:$AJ$130,0,MATCH(F$2,Inputs!$K$4:$AJ$4,0)))+SUMPRODUCT((Inputs!$C$5:$C$130=$B24)*Inputs!$D$5:$D$130*(((Inputs!$G$5:$G$130="moeda")+(Inputs!$G$5:$G$130="acoes"))*Inputs!$B$1+((Inputs!$G$5:$G$130&lt;&gt;"moeda")*(Inputs!$G$5:$G$130&lt;&gt;"acoes")))*INDEX(Inputs!$K$5:$AJ$130,0,MATCH(F$2,Inputs!$K$4:$AJ$4,0)))+SUMPRODUCT((Inputs!$E$5:$E$130=$B24)*Inputs!$F$5:$F$130*(((Inputs!$G$5:$G$130="moeda")+(Inputs!$G$5:$G$130="acoes"))*Inputs!$B$1+((Inputs!$G$5:$G$130&lt;&gt;"moeda")*(Inputs!$G$5:$G$130&lt;&gt;"acoes")))*INDEX(Inputs!$K$5:$AJ$130,0,MATCH(F$2,Inputs!$K$4:$AJ$4,0)))))</f>
        <v>3291</v>
      </c>
      <c r="G24" s="6">
        <f>IF(ISNA(MATCH(G$2,Inputs!$K$4:$AJ$4,0)),NA(),IF(SUMPRODUCT((Inputs!$A$5:$A$130=$B24)*ISNUMBER(INDEX(Inputs!$K$5:$AJ$130,0,MATCH(G$2,Inputs!$K$4:$AJ$4,0))))+SUMPRODUCT((Inputs!$C$5:$C$130=$B24)*ISNUMBER(INDEX(Inputs!$K$5:$AJ$130,0,MATCH(G$2,Inputs!$K$4:$AJ$4,0))))+SUMPRODUCT((Inputs!$E$5:$E$130=$B24)*ISNUMBER(INDEX(Inputs!$K$5:$AJ$130,0,MATCH(G$2,Inputs!$K$4:$AJ$4,0))))=0,NA(),SUMPRODUCT((Inputs!$A$5:$A$130=$B24)*Inputs!$B$5:$B$130*(((Inputs!$G$5:$G$130="moeda")+(Inputs!$G$5:$G$130="acoes"))*Inputs!$B$1+((Inputs!$G$5:$G$130&lt;&gt;"moeda")*(Inputs!$G$5:$G$130&lt;&gt;"acoes")))*INDEX(Inputs!$K$5:$AJ$130,0,MATCH(G$2,Inputs!$K$4:$AJ$4,0)))+SUMPRODUCT((Inputs!$C$5:$C$130=$B24)*Inputs!$D$5:$D$130*(((Inputs!$G$5:$G$130="moeda")+(Inputs!$G$5:$G$130="acoes"))*Inputs!$B$1+((Inputs!$G$5:$G$130&lt;&gt;"moeda")*(Inputs!$G$5:$G$130&lt;&gt;"acoes")))*INDEX(Inputs!$K$5:$AJ$130,0,MATCH(G$2,Inputs!$K$4:$AJ$4,0)))+SUMPRODUCT((Inputs!$E$5:$E$130=$B24)*Inputs!$F$5:$F$130*(((Inputs!$G$5:$G$130="moeda")+(Inputs!$G$5:$G$130="acoes"))*Inputs!$B$1+((Inputs!$G$5:$G$130&lt;&gt;"moeda")*(Inputs!$G$5:$G$130&lt;&gt;"acoes")))*INDEX(Inputs!$K$5:$AJ$130,0,MATCH(G$2,Inputs!$K$4:$AJ$4,0)))))</f>
        <v>3192</v>
      </c>
      <c r="H24" s="3">
        <f>G24</f>
        <v>3192</v>
      </c>
      <c r="I24" s="6">
        <f>IF(ISNA(MATCH(I$2,Inputs!$K$4:$AJ$4,0)),NA(),IF(SUMPRODUCT((Inputs!$A$5:$A$130=$B24)*ISNUMBER(INDEX(Inputs!$K$5:$AJ$130,0,MATCH(I$2,Inputs!$K$4:$AJ$4,0))))+SUMPRODUCT((Inputs!$C$5:$C$130=$B24)*ISNUMBER(INDEX(Inputs!$K$5:$AJ$130,0,MATCH(I$2,Inputs!$K$4:$AJ$4,0))))+SUMPRODUCT((Inputs!$E$5:$E$130=$B24)*ISNUMBER(INDEX(Inputs!$K$5:$AJ$130,0,MATCH(I$2,Inputs!$K$4:$AJ$4,0))))=0,NA(),SUMPRODUCT((Inputs!$A$5:$A$130=$B24)*Inputs!$B$5:$B$130*(((Inputs!$G$5:$G$130="moeda")+(Inputs!$G$5:$G$130="acoes"))*Inputs!$B$1+((Inputs!$G$5:$G$130&lt;&gt;"moeda")*(Inputs!$G$5:$G$130&lt;&gt;"acoes")))*INDEX(Inputs!$K$5:$AJ$130,0,MATCH(I$2,Inputs!$K$4:$AJ$4,0)))+SUMPRODUCT((Inputs!$C$5:$C$130=$B24)*Inputs!$D$5:$D$130*(((Inputs!$G$5:$G$130="moeda")+(Inputs!$G$5:$G$130="acoes"))*Inputs!$B$1+((Inputs!$G$5:$G$130&lt;&gt;"moeda")*(Inputs!$G$5:$G$130&lt;&gt;"acoes")))*INDEX(Inputs!$K$5:$AJ$130,0,MATCH(I$2,Inputs!$K$4:$AJ$4,0)))+SUMPRODUCT((Inputs!$E$5:$E$130=$B24)*Inputs!$F$5:$F$130*(((Inputs!$G$5:$G$130="moeda")+(Inputs!$G$5:$G$130="acoes"))*Inputs!$B$1+((Inputs!$G$5:$G$130&lt;&gt;"moeda")*(Inputs!$G$5:$G$130&lt;&gt;"acoes")))*INDEX(Inputs!$K$5:$AJ$130,0,MATCH(I$2,Inputs!$K$4:$AJ$4,0)))))</f>
        <v>3812</v>
      </c>
      <c r="J24" s="6">
        <f>IF(ISNA(MATCH(J$2,Inputs!$K$4:$AJ$4,0)),NA(),IF(SUMPRODUCT((Inputs!$A$5:$A$130=$B24)*ISNUMBER(INDEX(Inputs!$K$5:$AJ$130,0,MATCH(J$2,Inputs!$K$4:$AJ$4,0))))+SUMPRODUCT((Inputs!$C$5:$C$130=$B24)*ISNUMBER(INDEX(Inputs!$K$5:$AJ$130,0,MATCH(J$2,Inputs!$K$4:$AJ$4,0))))+SUMPRODUCT((Inputs!$E$5:$E$130=$B24)*ISNUMBER(INDEX(Inputs!$K$5:$AJ$130,0,MATCH(J$2,Inputs!$K$4:$AJ$4,0))))=0,NA(),SUMPRODUCT((Inputs!$A$5:$A$130=$B24)*Inputs!$B$5:$B$130*(((Inputs!$G$5:$G$130="moeda")+(Inputs!$G$5:$G$130="acoes"))*Inputs!$B$1+((Inputs!$G$5:$G$130&lt;&gt;"moeda")*(Inputs!$G$5:$G$130&lt;&gt;"acoes")))*INDEX(Inputs!$K$5:$AJ$130,0,MATCH(J$2,Inputs!$K$4:$AJ$4,0)))+SUMPRODUCT((Inputs!$C$5:$C$130=$B24)*Inputs!$D$5:$D$130*(((Inputs!$G$5:$G$130="moeda")+(Inputs!$G$5:$G$130="acoes"))*Inputs!$B$1+((Inputs!$G$5:$G$130&lt;&gt;"moeda")*(Inputs!$G$5:$G$130&lt;&gt;"acoes")))*INDEX(Inputs!$K$5:$AJ$130,0,MATCH(J$2,Inputs!$K$4:$AJ$4,0)))+SUMPRODUCT((Inputs!$E$5:$E$130=$B24)*Inputs!$F$5:$F$130*(((Inputs!$G$5:$G$130="moeda")+(Inputs!$G$5:$G$130="acoes"))*Inputs!$B$1+((Inputs!$G$5:$G$130&lt;&gt;"moeda")*(Inputs!$G$5:$G$130&lt;&gt;"acoes")))*INDEX(Inputs!$K$5:$AJ$130,0,MATCH(J$2,Inputs!$K$4:$AJ$4,0)))))</f>
        <v>3754</v>
      </c>
      <c r="K24" s="6">
        <f>IF(ISNA(MATCH(K$2,Inputs!$K$4:$AJ$4,0)),NA(),IF(SUMPRODUCT((Inputs!$A$5:$A$130=$B24)*ISNUMBER(INDEX(Inputs!$K$5:$AJ$130,0,MATCH(K$2,Inputs!$K$4:$AJ$4,0))))+SUMPRODUCT((Inputs!$C$5:$C$130=$B24)*ISNUMBER(INDEX(Inputs!$K$5:$AJ$130,0,MATCH(K$2,Inputs!$K$4:$AJ$4,0))))+SUMPRODUCT((Inputs!$E$5:$E$130=$B24)*ISNUMBER(INDEX(Inputs!$K$5:$AJ$130,0,MATCH(K$2,Inputs!$K$4:$AJ$4,0))))=0,NA(),SUMPRODUCT((Inputs!$A$5:$A$130=$B24)*Inputs!$B$5:$B$130*(((Inputs!$G$5:$G$130="moeda")+(Inputs!$G$5:$G$130="acoes"))*Inputs!$B$1+((Inputs!$G$5:$G$130&lt;&gt;"moeda")*(Inputs!$G$5:$G$130&lt;&gt;"acoes")))*INDEX(Inputs!$K$5:$AJ$130,0,MATCH(K$2,Inputs!$K$4:$AJ$4,0)))+SUMPRODUCT((Inputs!$C$5:$C$130=$B24)*Inputs!$D$5:$D$130*(((Inputs!$G$5:$G$130="moeda")+(Inputs!$G$5:$G$130="acoes"))*Inputs!$B$1+((Inputs!$G$5:$G$130&lt;&gt;"moeda")*(Inputs!$G$5:$G$130&lt;&gt;"acoes")))*INDEX(Inputs!$K$5:$AJ$130,0,MATCH(K$2,Inputs!$K$4:$AJ$4,0)))+SUMPRODUCT((Inputs!$E$5:$E$130=$B24)*Inputs!$F$5:$F$130*(((Inputs!$G$5:$G$130="moeda")+(Inputs!$G$5:$G$130="acoes"))*Inputs!$B$1+((Inputs!$G$5:$G$130&lt;&gt;"moeda")*(Inputs!$G$5:$G$130&lt;&gt;"acoes")))*INDEX(Inputs!$K$5:$AJ$130,0,MATCH(K$2,Inputs!$K$4:$AJ$4,0)))))</f>
        <v>3687</v>
      </c>
      <c r="L24" s="6">
        <f>IF(ISNA(MATCH(L$2,Inputs!$K$4:$AJ$4,0)),NA(),IF(SUMPRODUCT((Inputs!$A$5:$A$130=$B24)*ISNUMBER(INDEX(Inputs!$K$5:$AJ$130,0,MATCH(L$2,Inputs!$K$4:$AJ$4,0))))+SUMPRODUCT((Inputs!$C$5:$C$130=$B24)*ISNUMBER(INDEX(Inputs!$K$5:$AJ$130,0,MATCH(L$2,Inputs!$K$4:$AJ$4,0))))+SUMPRODUCT((Inputs!$E$5:$E$130=$B24)*ISNUMBER(INDEX(Inputs!$K$5:$AJ$130,0,MATCH(L$2,Inputs!$K$4:$AJ$4,0))))=0,NA(),SUMPRODUCT((Inputs!$A$5:$A$130=$B24)*Inputs!$B$5:$B$130*(((Inputs!$G$5:$G$130="moeda")+(Inputs!$G$5:$G$130="acoes"))*Inputs!$B$1+((Inputs!$G$5:$G$130&lt;&gt;"moeda")*(Inputs!$G$5:$G$130&lt;&gt;"acoes")))*INDEX(Inputs!$K$5:$AJ$130,0,MATCH(L$2,Inputs!$K$4:$AJ$4,0)))+SUMPRODUCT((Inputs!$C$5:$C$130=$B24)*Inputs!$D$5:$D$130*(((Inputs!$G$5:$G$130="moeda")+(Inputs!$G$5:$G$130="acoes"))*Inputs!$B$1+((Inputs!$G$5:$G$130&lt;&gt;"moeda")*(Inputs!$G$5:$G$130&lt;&gt;"acoes")))*INDEX(Inputs!$K$5:$AJ$130,0,MATCH(L$2,Inputs!$K$4:$AJ$4,0)))+SUMPRODUCT((Inputs!$E$5:$E$130=$B24)*Inputs!$F$5:$F$130*(((Inputs!$G$5:$G$130="moeda")+(Inputs!$G$5:$G$130="acoes"))*Inputs!$B$1+((Inputs!$G$5:$G$130&lt;&gt;"moeda")*(Inputs!$G$5:$G$130&lt;&gt;"acoes")))*INDEX(Inputs!$K$5:$AJ$130,0,MATCH(L$2,Inputs!$K$4:$AJ$4,0)))))</f>
        <v>3891</v>
      </c>
      <c r="M24" s="3">
        <f>L24</f>
        <v>3891</v>
      </c>
      <c r="N24" s="6">
        <f>IF(ISNA(MATCH(N$2,Inputs!$K$4:$AJ$4,0)),NA(),IF(SUMPRODUCT((Inputs!$A$5:$A$130=$B24)*ISNUMBER(INDEX(Inputs!$K$5:$AJ$130,0,MATCH(N$2,Inputs!$K$4:$AJ$4,0))))+SUMPRODUCT((Inputs!$C$5:$C$130=$B24)*ISNUMBER(INDEX(Inputs!$K$5:$AJ$130,0,MATCH(N$2,Inputs!$K$4:$AJ$4,0))))+SUMPRODUCT((Inputs!$E$5:$E$130=$B24)*ISNUMBER(INDEX(Inputs!$K$5:$AJ$130,0,MATCH(N$2,Inputs!$K$4:$AJ$4,0))))=0,NA(),SUMPRODUCT((Inputs!$A$5:$A$130=$B24)*Inputs!$B$5:$B$130*(((Inputs!$G$5:$G$130="moeda")+(Inputs!$G$5:$G$130="acoes"))*Inputs!$B$1+((Inputs!$G$5:$G$130&lt;&gt;"moeda")*(Inputs!$G$5:$G$130&lt;&gt;"acoes")))*INDEX(Inputs!$K$5:$AJ$130,0,MATCH(N$2,Inputs!$K$4:$AJ$4,0)))+SUMPRODUCT((Inputs!$C$5:$C$130=$B24)*Inputs!$D$5:$D$130*(((Inputs!$G$5:$G$130="moeda")+(Inputs!$G$5:$G$130="acoes"))*Inputs!$B$1+((Inputs!$G$5:$G$130&lt;&gt;"moeda")*(Inputs!$G$5:$G$130&lt;&gt;"acoes")))*INDEX(Inputs!$K$5:$AJ$130,0,MATCH(N$2,Inputs!$K$4:$AJ$4,0)))+SUMPRODUCT((Inputs!$E$5:$E$130=$B24)*Inputs!$F$5:$F$130*(((Inputs!$G$5:$G$130="moeda")+(Inputs!$G$5:$G$130="acoes"))*Inputs!$B$1+((Inputs!$G$5:$G$130&lt;&gt;"moeda")*(Inputs!$G$5:$G$130&lt;&gt;"acoes")))*INDEX(Inputs!$K$5:$AJ$130,0,MATCH(N$2,Inputs!$K$4:$AJ$4,0)))))</f>
        <v>3963</v>
      </c>
      <c r="O24" s="6">
        <f>IF(ISNA(MATCH(O$2,Inputs!$K$4:$AJ$4,0)),NA(),IF(SUMPRODUCT((Inputs!$A$5:$A$130=$B24)*ISNUMBER(INDEX(Inputs!$K$5:$AJ$130,0,MATCH(O$2,Inputs!$K$4:$AJ$4,0))))+SUMPRODUCT((Inputs!$C$5:$C$130=$B24)*ISNUMBER(INDEX(Inputs!$K$5:$AJ$130,0,MATCH(O$2,Inputs!$K$4:$AJ$4,0))))+SUMPRODUCT((Inputs!$E$5:$E$130=$B24)*ISNUMBER(INDEX(Inputs!$K$5:$AJ$130,0,MATCH(O$2,Inputs!$K$4:$AJ$4,0))))=0,NA(),SUMPRODUCT((Inputs!$A$5:$A$130=$B24)*Inputs!$B$5:$B$130*(((Inputs!$G$5:$G$130="moeda")+(Inputs!$G$5:$G$130="acoes"))*Inputs!$B$1+((Inputs!$G$5:$G$130&lt;&gt;"moeda")*(Inputs!$G$5:$G$130&lt;&gt;"acoes")))*INDEX(Inputs!$K$5:$AJ$130,0,MATCH(O$2,Inputs!$K$4:$AJ$4,0)))+SUMPRODUCT((Inputs!$C$5:$C$130=$B24)*Inputs!$D$5:$D$130*(((Inputs!$G$5:$G$130="moeda")+(Inputs!$G$5:$G$130="acoes"))*Inputs!$B$1+((Inputs!$G$5:$G$130&lt;&gt;"moeda")*(Inputs!$G$5:$G$130&lt;&gt;"acoes")))*INDEX(Inputs!$K$5:$AJ$130,0,MATCH(O$2,Inputs!$K$4:$AJ$4,0)))+SUMPRODUCT((Inputs!$E$5:$E$130=$B24)*Inputs!$F$5:$F$130*(((Inputs!$G$5:$G$130="moeda")+(Inputs!$G$5:$G$130="acoes"))*Inputs!$B$1+((Inputs!$G$5:$G$130&lt;&gt;"moeda")*(Inputs!$G$5:$G$130&lt;&gt;"acoes")))*INDEX(Inputs!$K$5:$AJ$130,0,MATCH(O$2,Inputs!$K$4:$AJ$4,0)))))</f>
        <v>3994</v>
      </c>
      <c r="P24" s="6">
        <f>IF(ISNA(MATCH(P$2,Inputs!$K$4:$AJ$4,0)),NA(),IF(SUMPRODUCT((Inputs!$A$5:$A$130=$B24)*ISNUMBER(INDEX(Inputs!$K$5:$AJ$130,0,MATCH(P$2,Inputs!$K$4:$AJ$4,0))))+SUMPRODUCT((Inputs!$C$5:$C$130=$B24)*ISNUMBER(INDEX(Inputs!$K$5:$AJ$130,0,MATCH(P$2,Inputs!$K$4:$AJ$4,0))))+SUMPRODUCT((Inputs!$E$5:$E$130=$B24)*ISNUMBER(INDEX(Inputs!$K$5:$AJ$130,0,MATCH(P$2,Inputs!$K$4:$AJ$4,0))))=0,NA(),SUMPRODUCT((Inputs!$A$5:$A$130=$B24)*Inputs!$B$5:$B$130*(((Inputs!$G$5:$G$130="moeda")+(Inputs!$G$5:$G$130="acoes"))*Inputs!$B$1+((Inputs!$G$5:$G$130&lt;&gt;"moeda")*(Inputs!$G$5:$G$130&lt;&gt;"acoes")))*INDEX(Inputs!$K$5:$AJ$130,0,MATCH(P$2,Inputs!$K$4:$AJ$4,0)))+SUMPRODUCT((Inputs!$C$5:$C$130=$B24)*Inputs!$D$5:$D$130*(((Inputs!$G$5:$G$130="moeda")+(Inputs!$G$5:$G$130="acoes"))*Inputs!$B$1+((Inputs!$G$5:$G$130&lt;&gt;"moeda")*(Inputs!$G$5:$G$130&lt;&gt;"acoes")))*INDEX(Inputs!$K$5:$AJ$130,0,MATCH(P$2,Inputs!$K$4:$AJ$4,0)))+SUMPRODUCT((Inputs!$E$5:$E$130=$B24)*Inputs!$F$5:$F$130*(((Inputs!$G$5:$G$130="moeda")+(Inputs!$G$5:$G$130="acoes"))*Inputs!$B$1+((Inputs!$G$5:$G$130&lt;&gt;"moeda")*(Inputs!$G$5:$G$130&lt;&gt;"acoes")))*INDEX(Inputs!$K$5:$AJ$130,0,MATCH(P$2,Inputs!$K$4:$AJ$4,0)))))</f>
        <v>3900</v>
      </c>
      <c r="Q24" s="6">
        <f>IF(ISNA(MATCH(Q$2,Inputs!$K$4:$AJ$4,0)),NA(),IF(SUMPRODUCT((Inputs!$A$5:$A$130=$B24)*ISNUMBER(INDEX(Inputs!$K$5:$AJ$130,0,MATCH(Q$2,Inputs!$K$4:$AJ$4,0))))+SUMPRODUCT((Inputs!$C$5:$C$130=$B24)*ISNUMBER(INDEX(Inputs!$K$5:$AJ$130,0,MATCH(Q$2,Inputs!$K$4:$AJ$4,0))))+SUMPRODUCT((Inputs!$E$5:$E$130=$B24)*ISNUMBER(INDEX(Inputs!$K$5:$AJ$130,0,MATCH(Q$2,Inputs!$K$4:$AJ$4,0))))=0,NA(),SUMPRODUCT((Inputs!$A$5:$A$130=$B24)*Inputs!$B$5:$B$130*(((Inputs!$G$5:$G$130="moeda")+(Inputs!$G$5:$G$130="acoes"))*Inputs!$B$1+((Inputs!$G$5:$G$130&lt;&gt;"moeda")*(Inputs!$G$5:$G$130&lt;&gt;"acoes")))*INDEX(Inputs!$K$5:$AJ$130,0,MATCH(Q$2,Inputs!$K$4:$AJ$4,0)))+SUMPRODUCT((Inputs!$C$5:$C$130=$B24)*Inputs!$D$5:$D$130*(((Inputs!$G$5:$G$130="moeda")+(Inputs!$G$5:$G$130="acoes"))*Inputs!$B$1+((Inputs!$G$5:$G$130&lt;&gt;"moeda")*(Inputs!$G$5:$G$130&lt;&gt;"acoes")))*INDEX(Inputs!$K$5:$AJ$130,0,MATCH(Q$2,Inputs!$K$4:$AJ$4,0)))+SUMPRODUCT((Inputs!$E$5:$E$130=$B24)*Inputs!$F$5:$F$130*(((Inputs!$G$5:$G$130="moeda")+(Inputs!$G$5:$G$130="acoes"))*Inputs!$B$1+((Inputs!$G$5:$G$130&lt;&gt;"moeda")*(Inputs!$G$5:$G$130&lt;&gt;"acoes")))*INDEX(Inputs!$K$5:$AJ$130,0,MATCH(Q$2,Inputs!$K$4:$AJ$4,0)))))</f>
        <v>3966</v>
      </c>
      <c r="R24" s="3">
        <f>Q24</f>
        <v>3966</v>
      </c>
      <c r="S24" s="6">
        <f>IF(ISNA(MATCH(S$2,Inputs!$K$4:$AJ$4,0)),NA(),IF(SUMPRODUCT((Inputs!$A$5:$A$130=$B24)*ISNUMBER(INDEX(Inputs!$K$5:$AJ$130,0,MATCH(S$2,Inputs!$K$4:$AJ$4,0))))+SUMPRODUCT((Inputs!$C$5:$C$130=$B24)*ISNUMBER(INDEX(Inputs!$K$5:$AJ$130,0,MATCH(S$2,Inputs!$K$4:$AJ$4,0))))+SUMPRODUCT((Inputs!$E$5:$E$130=$B24)*ISNUMBER(INDEX(Inputs!$K$5:$AJ$130,0,MATCH(S$2,Inputs!$K$4:$AJ$4,0))))=0,NA(),SUMPRODUCT((Inputs!$A$5:$A$130=$B24)*Inputs!$B$5:$B$130*(((Inputs!$G$5:$G$130="moeda")+(Inputs!$G$5:$G$130="acoes"))*Inputs!$B$1+((Inputs!$G$5:$G$130&lt;&gt;"moeda")*(Inputs!$G$5:$G$130&lt;&gt;"acoes")))*INDEX(Inputs!$K$5:$AJ$130,0,MATCH(S$2,Inputs!$K$4:$AJ$4,0)))+SUMPRODUCT((Inputs!$C$5:$C$130=$B24)*Inputs!$D$5:$D$130*(((Inputs!$G$5:$G$130="moeda")+(Inputs!$G$5:$G$130="acoes"))*Inputs!$B$1+((Inputs!$G$5:$G$130&lt;&gt;"moeda")*(Inputs!$G$5:$G$130&lt;&gt;"acoes")))*INDEX(Inputs!$K$5:$AJ$130,0,MATCH(S$2,Inputs!$K$4:$AJ$4,0)))+SUMPRODUCT((Inputs!$E$5:$E$130=$B24)*Inputs!$F$5:$F$130*(((Inputs!$G$5:$G$130="moeda")+(Inputs!$G$5:$G$130="acoes"))*Inputs!$B$1+((Inputs!$G$5:$G$130&lt;&gt;"moeda")*(Inputs!$G$5:$G$130&lt;&gt;"acoes")))*INDEX(Inputs!$K$5:$AJ$130,0,MATCH(S$2,Inputs!$K$4:$AJ$4,0)))))</f>
        <v>3936</v>
      </c>
      <c r="T24" s="6">
        <f>IF(ISNA(MATCH(T$2,Inputs!$K$4:$AJ$4,0)),NA(),IF(SUMPRODUCT((Inputs!$A$5:$A$130=$B24)*ISNUMBER(INDEX(Inputs!$K$5:$AJ$130,0,MATCH(T$2,Inputs!$K$4:$AJ$4,0))))+SUMPRODUCT((Inputs!$C$5:$C$130=$B24)*ISNUMBER(INDEX(Inputs!$K$5:$AJ$130,0,MATCH(T$2,Inputs!$K$4:$AJ$4,0))))+SUMPRODUCT((Inputs!$E$5:$E$130=$B24)*ISNUMBER(INDEX(Inputs!$K$5:$AJ$130,0,MATCH(T$2,Inputs!$K$4:$AJ$4,0))))=0,NA(),SUMPRODUCT((Inputs!$A$5:$A$130=$B24)*Inputs!$B$5:$B$130*(((Inputs!$G$5:$G$130="moeda")+(Inputs!$G$5:$G$130="acoes"))*Inputs!$B$1+((Inputs!$G$5:$G$130&lt;&gt;"moeda")*(Inputs!$G$5:$G$130&lt;&gt;"acoes")))*INDEX(Inputs!$K$5:$AJ$130,0,MATCH(T$2,Inputs!$K$4:$AJ$4,0)))+SUMPRODUCT((Inputs!$C$5:$C$130=$B24)*Inputs!$D$5:$D$130*(((Inputs!$G$5:$G$130="moeda")+(Inputs!$G$5:$G$130="acoes"))*Inputs!$B$1+((Inputs!$G$5:$G$130&lt;&gt;"moeda")*(Inputs!$G$5:$G$130&lt;&gt;"acoes")))*INDEX(Inputs!$K$5:$AJ$130,0,MATCH(T$2,Inputs!$K$4:$AJ$4,0)))+SUMPRODUCT((Inputs!$E$5:$E$130=$B24)*Inputs!$F$5:$F$130*(((Inputs!$G$5:$G$130="moeda")+(Inputs!$G$5:$G$130="acoes"))*Inputs!$B$1+((Inputs!$G$5:$G$130&lt;&gt;"moeda")*(Inputs!$G$5:$G$130&lt;&gt;"acoes")))*INDEX(Inputs!$K$5:$AJ$130,0,MATCH(T$2,Inputs!$K$4:$AJ$4,0)))))</f>
        <v>3960</v>
      </c>
      <c r="U24" s="6">
        <f>IF(ISNA(MATCH(U$2,Inputs!$K$4:$AJ$4,0)),NA(),IF(SUMPRODUCT((Inputs!$A$5:$A$130=$B24)*ISNUMBER(INDEX(Inputs!$K$5:$AJ$130,0,MATCH(U$2,Inputs!$K$4:$AJ$4,0))))+SUMPRODUCT((Inputs!$C$5:$C$130=$B24)*ISNUMBER(INDEX(Inputs!$K$5:$AJ$130,0,MATCH(U$2,Inputs!$K$4:$AJ$4,0))))+SUMPRODUCT((Inputs!$E$5:$E$130=$B24)*ISNUMBER(INDEX(Inputs!$K$5:$AJ$130,0,MATCH(U$2,Inputs!$K$4:$AJ$4,0))))=0,NA(),SUMPRODUCT((Inputs!$A$5:$A$130=$B24)*Inputs!$B$5:$B$130*(((Inputs!$G$5:$G$130="moeda")+(Inputs!$G$5:$G$130="acoes"))*Inputs!$B$1+((Inputs!$G$5:$G$130&lt;&gt;"moeda")*(Inputs!$G$5:$G$130&lt;&gt;"acoes")))*INDEX(Inputs!$K$5:$AJ$130,0,MATCH(U$2,Inputs!$K$4:$AJ$4,0)))+SUMPRODUCT((Inputs!$C$5:$C$130=$B24)*Inputs!$D$5:$D$130*(((Inputs!$G$5:$G$130="moeda")+(Inputs!$G$5:$G$130="acoes"))*Inputs!$B$1+((Inputs!$G$5:$G$130&lt;&gt;"moeda")*(Inputs!$G$5:$G$130&lt;&gt;"acoes")))*INDEX(Inputs!$K$5:$AJ$130,0,MATCH(U$2,Inputs!$K$4:$AJ$4,0)))+SUMPRODUCT((Inputs!$E$5:$E$130=$B24)*Inputs!$F$5:$F$130*(((Inputs!$G$5:$G$130="moeda")+(Inputs!$G$5:$G$130="acoes"))*Inputs!$B$1+((Inputs!$G$5:$G$130&lt;&gt;"moeda")*(Inputs!$G$5:$G$130&lt;&gt;"acoes")))*INDEX(Inputs!$K$5:$AJ$130,0,MATCH(U$2,Inputs!$K$4:$AJ$4,0)))))</f>
        <v>3959</v>
      </c>
      <c r="V24" s="6">
        <f>IF(ISNA(MATCH(V$2,Inputs!$K$4:$AJ$4,0)),NA(),IF(SUMPRODUCT((Inputs!$A$5:$A$130=$B24)*ISNUMBER(INDEX(Inputs!$K$5:$AJ$130,0,MATCH(V$2,Inputs!$K$4:$AJ$4,0))))+SUMPRODUCT((Inputs!$C$5:$C$130=$B24)*ISNUMBER(INDEX(Inputs!$K$5:$AJ$130,0,MATCH(V$2,Inputs!$K$4:$AJ$4,0))))+SUMPRODUCT((Inputs!$E$5:$E$130=$B24)*ISNUMBER(INDEX(Inputs!$K$5:$AJ$130,0,MATCH(V$2,Inputs!$K$4:$AJ$4,0))))=0,NA(),SUMPRODUCT((Inputs!$A$5:$A$130=$B24)*Inputs!$B$5:$B$130*(((Inputs!$G$5:$G$130="moeda")+(Inputs!$G$5:$G$130="acoes"))*Inputs!$B$1+((Inputs!$G$5:$G$130&lt;&gt;"moeda")*(Inputs!$G$5:$G$130&lt;&gt;"acoes")))*INDEX(Inputs!$K$5:$AJ$130,0,MATCH(V$2,Inputs!$K$4:$AJ$4,0)))+SUMPRODUCT((Inputs!$C$5:$C$130=$B24)*Inputs!$D$5:$D$130*(((Inputs!$G$5:$G$130="moeda")+(Inputs!$G$5:$G$130="acoes"))*Inputs!$B$1+((Inputs!$G$5:$G$130&lt;&gt;"moeda")*(Inputs!$G$5:$G$130&lt;&gt;"acoes")))*INDEX(Inputs!$K$5:$AJ$130,0,MATCH(V$2,Inputs!$K$4:$AJ$4,0)))+SUMPRODUCT((Inputs!$E$5:$E$130=$B24)*Inputs!$F$5:$F$130*(((Inputs!$G$5:$G$130="moeda")+(Inputs!$G$5:$G$130="acoes"))*Inputs!$B$1+((Inputs!$G$5:$G$130&lt;&gt;"moeda")*(Inputs!$G$5:$G$130&lt;&gt;"acoes")))*INDEX(Inputs!$K$5:$AJ$130,0,MATCH(V$2,Inputs!$K$4:$AJ$4,0)))))</f>
        <v>3872</v>
      </c>
      <c r="W24" s="3">
        <f>V24</f>
        <v>3872</v>
      </c>
      <c r="X24" s="6">
        <f>IF(ISNA(MATCH(X$2,Inputs!$K$4:$AJ$4,0)),NA(),IF(SUMPRODUCT((Inputs!$A$5:$A$130=$B24)*ISNUMBER(INDEX(Inputs!$K$5:$AJ$130,0,MATCH(X$2,Inputs!$K$4:$AJ$4,0))))+SUMPRODUCT((Inputs!$C$5:$C$130=$B24)*ISNUMBER(INDEX(Inputs!$K$5:$AJ$130,0,MATCH(X$2,Inputs!$K$4:$AJ$4,0))))+SUMPRODUCT((Inputs!$E$5:$E$130=$B24)*ISNUMBER(INDEX(Inputs!$K$5:$AJ$130,0,MATCH(X$2,Inputs!$K$4:$AJ$4,0))))=0,NA(),SUMPRODUCT((Inputs!$A$5:$A$130=$B24)*Inputs!$B$5:$B$130*(((Inputs!$G$5:$G$130="moeda")+(Inputs!$G$5:$G$130="acoes"))*Inputs!$B$1+((Inputs!$G$5:$G$130&lt;&gt;"moeda")*(Inputs!$G$5:$G$130&lt;&gt;"acoes")))*INDEX(Inputs!$K$5:$AJ$130,0,MATCH(X$2,Inputs!$K$4:$AJ$4,0)))+SUMPRODUCT((Inputs!$C$5:$C$130=$B24)*Inputs!$D$5:$D$130*(((Inputs!$G$5:$G$130="moeda")+(Inputs!$G$5:$G$130="acoes"))*Inputs!$B$1+((Inputs!$G$5:$G$130&lt;&gt;"moeda")*(Inputs!$G$5:$G$130&lt;&gt;"acoes")))*INDEX(Inputs!$K$5:$AJ$130,0,MATCH(X$2,Inputs!$K$4:$AJ$4,0)))+SUMPRODUCT((Inputs!$E$5:$E$130=$B24)*Inputs!$F$5:$F$130*(((Inputs!$G$5:$G$130="moeda")+(Inputs!$G$5:$G$130="acoes"))*Inputs!$B$1+((Inputs!$G$5:$G$130&lt;&gt;"moeda")*(Inputs!$G$5:$G$130&lt;&gt;"acoes")))*INDEX(Inputs!$K$5:$AJ$130,0,MATCH(X$2,Inputs!$K$4:$AJ$4,0)))))</f>
        <v>4094</v>
      </c>
      <c r="Y24" s="6">
        <f>IF(ISNA(MATCH(Y$2,Inputs!$K$4:$AJ$4,0)),NA(),IF(SUMPRODUCT((Inputs!$A$5:$A$130=$B24)*ISNUMBER(INDEX(Inputs!$K$5:$AJ$130,0,MATCH(Y$2,Inputs!$K$4:$AJ$4,0))))+SUMPRODUCT((Inputs!$C$5:$C$130=$B24)*ISNUMBER(INDEX(Inputs!$K$5:$AJ$130,0,MATCH(Y$2,Inputs!$K$4:$AJ$4,0))))+SUMPRODUCT((Inputs!$E$5:$E$130=$B24)*ISNUMBER(INDEX(Inputs!$K$5:$AJ$130,0,MATCH(Y$2,Inputs!$K$4:$AJ$4,0))))=0,NA(),SUMPRODUCT((Inputs!$A$5:$A$130=$B24)*Inputs!$B$5:$B$130*(((Inputs!$G$5:$G$130="moeda")+(Inputs!$G$5:$G$130="acoes"))*Inputs!$B$1+((Inputs!$G$5:$G$130&lt;&gt;"moeda")*(Inputs!$G$5:$G$130&lt;&gt;"acoes")))*INDEX(Inputs!$K$5:$AJ$130,0,MATCH(Y$2,Inputs!$K$4:$AJ$4,0)))+SUMPRODUCT((Inputs!$C$5:$C$130=$B24)*Inputs!$D$5:$D$130*(((Inputs!$G$5:$G$130="moeda")+(Inputs!$G$5:$G$130="acoes"))*Inputs!$B$1+((Inputs!$G$5:$G$130&lt;&gt;"moeda")*(Inputs!$G$5:$G$130&lt;&gt;"acoes")))*INDEX(Inputs!$K$5:$AJ$130,0,MATCH(Y$2,Inputs!$K$4:$AJ$4,0)))+SUMPRODUCT((Inputs!$E$5:$E$130=$B24)*Inputs!$F$5:$F$130*(((Inputs!$G$5:$G$130="moeda")+(Inputs!$G$5:$G$130="acoes"))*Inputs!$B$1+((Inputs!$G$5:$G$130&lt;&gt;"moeda")*(Inputs!$G$5:$G$130&lt;&gt;"acoes")))*INDEX(Inputs!$K$5:$AJ$130,0,MATCH(Y$2,Inputs!$K$4:$AJ$4,0)))))</f>
        <v>4209</v>
      </c>
      <c r="Z24" s="6">
        <f>IF(ISNA(MATCH(Z$2,Inputs!$K$4:$AJ$4,0)),NA(),IF(SUMPRODUCT((Inputs!$A$5:$A$130=$B24)*ISNUMBER(INDEX(Inputs!$K$5:$AJ$130,0,MATCH(Z$2,Inputs!$K$4:$AJ$4,0))))+SUMPRODUCT((Inputs!$C$5:$C$130=$B24)*ISNUMBER(INDEX(Inputs!$K$5:$AJ$130,0,MATCH(Z$2,Inputs!$K$4:$AJ$4,0))))+SUMPRODUCT((Inputs!$E$5:$E$130=$B24)*ISNUMBER(INDEX(Inputs!$K$5:$AJ$130,0,MATCH(Z$2,Inputs!$K$4:$AJ$4,0))))=0,NA(),SUMPRODUCT((Inputs!$A$5:$A$130=$B24)*Inputs!$B$5:$B$130*(((Inputs!$G$5:$G$130="moeda")+(Inputs!$G$5:$G$130="acoes"))*Inputs!$B$1+((Inputs!$G$5:$G$130&lt;&gt;"moeda")*(Inputs!$G$5:$G$130&lt;&gt;"acoes")))*INDEX(Inputs!$K$5:$AJ$130,0,MATCH(Z$2,Inputs!$K$4:$AJ$4,0)))+SUMPRODUCT((Inputs!$C$5:$C$130=$B24)*Inputs!$D$5:$D$130*(((Inputs!$G$5:$G$130="moeda")+(Inputs!$G$5:$G$130="acoes"))*Inputs!$B$1+((Inputs!$G$5:$G$130&lt;&gt;"moeda")*(Inputs!$G$5:$G$130&lt;&gt;"acoes")))*INDEX(Inputs!$K$5:$AJ$130,0,MATCH(Z$2,Inputs!$K$4:$AJ$4,0)))+SUMPRODUCT((Inputs!$E$5:$E$130=$B24)*Inputs!$F$5:$F$130*(((Inputs!$G$5:$G$130="moeda")+(Inputs!$G$5:$G$130="acoes"))*Inputs!$B$1+((Inputs!$G$5:$G$130&lt;&gt;"moeda")*(Inputs!$G$5:$G$130&lt;&gt;"acoes")))*INDEX(Inputs!$K$5:$AJ$130,0,MATCH(Z$2,Inputs!$K$4:$AJ$4,0)))))</f>
        <v>4188</v>
      </c>
      <c r="AA24" s="6">
        <f>IF(ISNA(MATCH(AA$2,Inputs!$K$4:$AJ$4,0)),NA(),IF(SUMPRODUCT((Inputs!$A$5:$A$130=$B24)*ISNUMBER(INDEX(Inputs!$K$5:$AJ$130,0,MATCH(AA$2,Inputs!$K$4:$AJ$4,0))))+SUMPRODUCT((Inputs!$C$5:$C$130=$B24)*ISNUMBER(INDEX(Inputs!$K$5:$AJ$130,0,MATCH(AA$2,Inputs!$K$4:$AJ$4,0))))+SUMPRODUCT((Inputs!$E$5:$E$130=$B24)*ISNUMBER(INDEX(Inputs!$K$5:$AJ$130,0,MATCH(AA$2,Inputs!$K$4:$AJ$4,0))))=0,NA(),SUMPRODUCT((Inputs!$A$5:$A$130=$B24)*Inputs!$B$5:$B$130*(((Inputs!$G$5:$G$130="moeda")+(Inputs!$G$5:$G$130="acoes"))*Inputs!$B$1+((Inputs!$G$5:$G$130&lt;&gt;"moeda")*(Inputs!$G$5:$G$130&lt;&gt;"acoes")))*INDEX(Inputs!$K$5:$AJ$130,0,MATCH(AA$2,Inputs!$K$4:$AJ$4,0)))+SUMPRODUCT((Inputs!$C$5:$C$130=$B24)*Inputs!$D$5:$D$130*(((Inputs!$G$5:$G$130="moeda")+(Inputs!$G$5:$G$130="acoes"))*Inputs!$B$1+((Inputs!$G$5:$G$130&lt;&gt;"moeda")*(Inputs!$G$5:$G$130&lt;&gt;"acoes")))*INDEX(Inputs!$K$5:$AJ$130,0,MATCH(AA$2,Inputs!$K$4:$AJ$4,0)))+SUMPRODUCT((Inputs!$E$5:$E$130=$B24)*Inputs!$F$5:$F$130*(((Inputs!$G$5:$G$130="moeda")+(Inputs!$G$5:$G$130="acoes"))*Inputs!$B$1+((Inputs!$G$5:$G$130&lt;&gt;"moeda")*(Inputs!$G$5:$G$130&lt;&gt;"acoes")))*INDEX(Inputs!$K$5:$AJ$130,0,MATCH(AA$2,Inputs!$K$4:$AJ$4,0)))))</f>
        <v>4280</v>
      </c>
      <c r="AB24" s="3">
        <f>AA24</f>
        <v>4280</v>
      </c>
      <c r="AC24" s="6">
        <f>IF(ISNA(MATCH(AC$2,Inputs!$K$4:$AJ$4,0)),NA(),IF(SUMPRODUCT((Inputs!$A$5:$A$130=$B24)*ISNUMBER(INDEX(Inputs!$K$5:$AJ$130,0,MATCH(AC$2,Inputs!$K$4:$AJ$4,0))))+SUMPRODUCT((Inputs!$C$5:$C$130=$B24)*ISNUMBER(INDEX(Inputs!$K$5:$AJ$130,0,MATCH(AC$2,Inputs!$K$4:$AJ$4,0))))+SUMPRODUCT((Inputs!$E$5:$E$130=$B24)*ISNUMBER(INDEX(Inputs!$K$5:$AJ$130,0,MATCH(AC$2,Inputs!$K$4:$AJ$4,0))))=0,NA(),SUMPRODUCT((Inputs!$A$5:$A$130=$B24)*Inputs!$B$5:$B$130*(((Inputs!$G$5:$G$130="moeda")+(Inputs!$G$5:$G$130="acoes"))*Inputs!$B$1+((Inputs!$G$5:$G$130&lt;&gt;"moeda")*(Inputs!$G$5:$G$130&lt;&gt;"acoes")))*INDEX(Inputs!$K$5:$AJ$130,0,MATCH(AC$2,Inputs!$K$4:$AJ$4,0)))+SUMPRODUCT((Inputs!$C$5:$C$130=$B24)*Inputs!$D$5:$D$130*(((Inputs!$G$5:$G$130="moeda")+(Inputs!$G$5:$G$130="acoes"))*Inputs!$B$1+((Inputs!$G$5:$G$130&lt;&gt;"moeda")*(Inputs!$G$5:$G$130&lt;&gt;"acoes")))*INDEX(Inputs!$K$5:$AJ$130,0,MATCH(AC$2,Inputs!$K$4:$AJ$4,0)))+SUMPRODUCT((Inputs!$E$5:$E$130=$B24)*Inputs!$F$5:$F$130*(((Inputs!$G$5:$G$130="moeda")+(Inputs!$G$5:$G$130="acoes"))*Inputs!$B$1+((Inputs!$G$5:$G$130&lt;&gt;"moeda")*(Inputs!$G$5:$G$130&lt;&gt;"acoes")))*INDEX(Inputs!$K$5:$AJ$130,0,MATCH(AC$2,Inputs!$K$4:$AJ$4,0)))))</f>
        <v>4513</v>
      </c>
      <c r="AD24" s="6">
        <f>IF(ISNA(MATCH(AD$2,Inputs!$K$4:$AJ$4,0)),NA(),IF(SUMPRODUCT((Inputs!$A$5:$A$130=$B24)*ISNUMBER(INDEX(Inputs!$K$5:$AJ$130,0,MATCH(AD$2,Inputs!$K$4:$AJ$4,0))))+SUMPRODUCT((Inputs!$C$5:$C$130=$B24)*ISNUMBER(INDEX(Inputs!$K$5:$AJ$130,0,MATCH(AD$2,Inputs!$K$4:$AJ$4,0))))+SUMPRODUCT((Inputs!$E$5:$E$130=$B24)*ISNUMBER(INDEX(Inputs!$K$5:$AJ$130,0,MATCH(AD$2,Inputs!$K$4:$AJ$4,0))))=0,NA(),SUMPRODUCT((Inputs!$A$5:$A$130=$B24)*Inputs!$B$5:$B$130*(((Inputs!$G$5:$G$130="moeda")+(Inputs!$G$5:$G$130="acoes"))*Inputs!$B$1+((Inputs!$G$5:$G$130&lt;&gt;"moeda")*(Inputs!$G$5:$G$130&lt;&gt;"acoes")))*INDEX(Inputs!$K$5:$AJ$130,0,MATCH(AD$2,Inputs!$K$4:$AJ$4,0)))+SUMPRODUCT((Inputs!$C$5:$C$130=$B24)*Inputs!$D$5:$D$130*(((Inputs!$G$5:$G$130="moeda")+(Inputs!$G$5:$G$130="acoes"))*Inputs!$B$1+((Inputs!$G$5:$G$130&lt;&gt;"moeda")*(Inputs!$G$5:$G$130&lt;&gt;"acoes")))*INDEX(Inputs!$K$5:$AJ$130,0,MATCH(AD$2,Inputs!$K$4:$AJ$4,0)))+SUMPRODUCT((Inputs!$E$5:$E$130=$B24)*Inputs!$F$5:$F$130*(((Inputs!$G$5:$G$130="moeda")+(Inputs!$G$5:$G$130="acoes"))*Inputs!$B$1+((Inputs!$G$5:$G$130&lt;&gt;"moeda")*(Inputs!$G$5:$G$130&lt;&gt;"acoes")))*INDEX(Inputs!$K$5:$AJ$130,0,MATCH(AD$2,Inputs!$K$4:$AJ$4,0)))))</f>
        <v>4466</v>
      </c>
      <c r="AE24" s="6" t="e">
        <f>IF(ISNA(MATCH(AE$2,Inputs!$K$4:$AJ$4,0)),NA(),IF(SUMPRODUCT((Inputs!$A$5:$A$130=$B24)*ISNUMBER(INDEX(Inputs!$K$5:$AJ$130,0,MATCH(AE$2,Inputs!$K$4:$AJ$4,0))))+SUMPRODUCT((Inputs!$C$5:$C$130=$B24)*ISNUMBER(INDEX(Inputs!$K$5:$AJ$130,0,MATCH(AE$2,Inputs!$K$4:$AJ$4,0))))+SUMPRODUCT((Inputs!$E$5:$E$130=$B24)*ISNUMBER(INDEX(Inputs!$K$5:$AJ$130,0,MATCH(AE$2,Inputs!$K$4:$AJ$4,0))))=0,NA(),SUMPRODUCT((Inputs!$A$5:$A$130=$B24)*Inputs!$B$5:$B$130*(((Inputs!$G$5:$G$130="moeda")+(Inputs!$G$5:$G$130="acoes"))*Inputs!$B$1+((Inputs!$G$5:$G$130&lt;&gt;"moeda")*(Inputs!$G$5:$G$130&lt;&gt;"acoes")))*INDEX(Inputs!$K$5:$AJ$130,0,MATCH(AE$2,Inputs!$K$4:$AJ$4,0)))+SUMPRODUCT((Inputs!$C$5:$C$130=$B24)*Inputs!$D$5:$D$130*(((Inputs!$G$5:$G$130="moeda")+(Inputs!$G$5:$G$130="acoes"))*Inputs!$B$1+((Inputs!$G$5:$G$130&lt;&gt;"moeda")*(Inputs!$G$5:$G$130&lt;&gt;"acoes")))*INDEX(Inputs!$K$5:$AJ$130,0,MATCH(AE$2,Inputs!$K$4:$AJ$4,0)))+SUMPRODUCT((Inputs!$E$5:$E$130=$B24)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4" s="6" t="e">
        <f>IF(ISNA(MATCH(AF$2,Inputs!$K$4:$AJ$4,0)),NA(),IF(SUMPRODUCT((Inputs!$A$5:$A$130=$B24)*ISNUMBER(INDEX(Inputs!$K$5:$AJ$130,0,MATCH(AF$2,Inputs!$K$4:$AJ$4,0))))+SUMPRODUCT((Inputs!$C$5:$C$130=$B24)*ISNUMBER(INDEX(Inputs!$K$5:$AJ$130,0,MATCH(AF$2,Inputs!$K$4:$AJ$4,0))))+SUMPRODUCT((Inputs!$E$5:$E$130=$B24)*ISNUMBER(INDEX(Inputs!$K$5:$AJ$130,0,MATCH(AF$2,Inputs!$K$4:$AJ$4,0))))=0,NA(),SUMPRODUCT((Inputs!$A$5:$A$130=$B24)*Inputs!$B$5:$B$130*(((Inputs!$G$5:$G$130="moeda")+(Inputs!$G$5:$G$130="acoes"))*Inputs!$B$1+((Inputs!$G$5:$G$130&lt;&gt;"moeda")*(Inputs!$G$5:$G$130&lt;&gt;"acoes")))*INDEX(Inputs!$K$5:$AJ$130,0,MATCH(AF$2,Inputs!$K$4:$AJ$4,0)))+SUMPRODUCT((Inputs!$C$5:$C$130=$B24)*Inputs!$D$5:$D$130*(((Inputs!$G$5:$G$130="moeda")+(Inputs!$G$5:$G$130="acoes"))*Inputs!$B$1+((Inputs!$G$5:$G$130&lt;&gt;"moeda")*(Inputs!$G$5:$G$130&lt;&gt;"acoes")))*INDEX(Inputs!$K$5:$AJ$130,0,MATCH(AF$2,Inputs!$K$4:$AJ$4,0)))+SUMPRODUCT((Inputs!$E$5:$E$130=$B24)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4" s="3" t="e">
        <f>AF24</f>
        <v>#N/A</v>
      </c>
      <c r="AH24" s="6">
        <f>IF(ISNA(MATCH(AH$2,Inputs!$K$4:$AJ$4,0)),NA(),IF(SUMPRODUCT((Inputs!$A$5:$A$130=$B24)*ISNUMBER(INDEX(Inputs!$K$5:$AJ$130,0,MATCH(AH$2,Inputs!$K$4:$AJ$4,0))))+SUMPRODUCT((Inputs!$C$5:$C$130=$B24)*ISNUMBER(INDEX(Inputs!$K$5:$AJ$130,0,MATCH(AH$2,Inputs!$K$4:$AJ$4,0))))+SUMPRODUCT((Inputs!$E$5:$E$130=$B24)*ISNUMBER(INDEX(Inputs!$K$5:$AJ$130,0,MATCH(AH$2,Inputs!$K$4:$AJ$4,0))))=0,NA(),SUMPRODUCT((Inputs!$A$5:$A$130=$B24)*Inputs!$B$5:$B$130*(((Inputs!$G$5:$G$130="moeda")+(Inputs!$G$5:$G$130="acoes"))*Inputs!$B$1+((Inputs!$G$5:$G$130&lt;&gt;"moeda")*(Inputs!$G$5:$G$130&lt;&gt;"acoes")))*INDEX(Inputs!$K$5:$AJ$130,0,MATCH(AH$2,Inputs!$K$4:$AJ$4,0)))+SUMPRODUCT((Inputs!$C$5:$C$130=$B24)*Inputs!$D$5:$D$130*(((Inputs!$G$5:$G$130="moeda")+(Inputs!$G$5:$G$130="acoes"))*Inputs!$B$1+((Inputs!$G$5:$G$130&lt;&gt;"moeda")*(Inputs!$G$5:$G$130&lt;&gt;"acoes")))*INDEX(Inputs!$K$5:$AJ$130,0,MATCH(AH$2,Inputs!$K$4:$AJ$4,0)))+SUMPRODUCT((Inputs!$E$5:$E$130=$B24)*Inputs!$F$5:$F$130*(((Inputs!$G$5:$G$130="moeda")+(Inputs!$G$5:$G$130="acoes"))*Inputs!$B$1+((Inputs!$G$5:$G$130&lt;&gt;"moeda")*(Inputs!$G$5:$G$130&lt;&gt;"acoes")))*INDEX(Inputs!$K$5:$AJ$130,0,MATCH(AH$2,Inputs!$K$4:$AJ$4,0)))))</f>
        <v>2917</v>
      </c>
      <c r="AI24" s="6">
        <f>IF(ISNA(MATCH(AI$2,Inputs!$K$4:$AJ$4,0)),NA(),IF(SUMPRODUCT((Inputs!$A$5:$A$130=$B24)*ISNUMBER(INDEX(Inputs!$K$5:$AJ$130,0,MATCH(AI$2,Inputs!$K$4:$AJ$4,0))))+SUMPRODUCT((Inputs!$C$5:$C$130=$B24)*ISNUMBER(INDEX(Inputs!$K$5:$AJ$130,0,MATCH(AI$2,Inputs!$K$4:$AJ$4,0))))+SUMPRODUCT((Inputs!$E$5:$E$130=$B24)*ISNUMBER(INDEX(Inputs!$K$5:$AJ$130,0,MATCH(AI$2,Inputs!$K$4:$AJ$4,0))))=0,NA(),SUMPRODUCT((Inputs!$A$5:$A$130=$B24)*Inputs!$B$5:$B$130*(((Inputs!$G$5:$G$130="moeda")+(Inputs!$G$5:$G$130="acoes"))*Inputs!$B$1+((Inputs!$G$5:$G$130&lt;&gt;"moeda")*(Inputs!$G$5:$G$130&lt;&gt;"acoes")))*INDEX(Inputs!$K$5:$AJ$130,0,MATCH(AI$2,Inputs!$K$4:$AJ$4,0)))+SUMPRODUCT((Inputs!$C$5:$C$130=$B24)*Inputs!$D$5:$D$130*(((Inputs!$G$5:$G$130="moeda")+(Inputs!$G$5:$G$130="acoes"))*Inputs!$B$1+((Inputs!$G$5:$G$130&lt;&gt;"moeda")*(Inputs!$G$5:$G$130&lt;&gt;"acoes")))*INDEX(Inputs!$K$5:$AJ$130,0,MATCH(AI$2,Inputs!$K$4:$AJ$4,0)))+SUMPRODUCT((Inputs!$E$5:$E$130=$B24)*Inputs!$F$5:$F$130*(((Inputs!$G$5:$G$130="moeda")+(Inputs!$G$5:$G$130="acoes"))*Inputs!$B$1+((Inputs!$G$5:$G$130&lt;&gt;"moeda")*(Inputs!$G$5:$G$130&lt;&gt;"acoes")))*INDEX(Inputs!$K$5:$AJ$130,0,MATCH(AI$2,Inputs!$K$4:$AJ$4,0)))))</f>
        <v>2984</v>
      </c>
      <c r="AJ24" s="6">
        <f>IF(ISNA(MATCH(AJ$2,Inputs!$K$4:$AJ$4,0)),NA(),IF(SUMPRODUCT((Inputs!$A$5:$A$130=$B24)*ISNUMBER(INDEX(Inputs!$K$5:$AJ$130,0,MATCH(AJ$2,Inputs!$K$4:$AJ$4,0))))+SUMPRODUCT((Inputs!$C$5:$C$130=$B24)*ISNUMBER(INDEX(Inputs!$K$5:$AJ$130,0,MATCH(AJ$2,Inputs!$K$4:$AJ$4,0))))+SUMPRODUCT((Inputs!$E$5:$E$130=$B24)*ISNUMBER(INDEX(Inputs!$K$5:$AJ$130,0,MATCH(AJ$2,Inputs!$K$4:$AJ$4,0))))=0,NA(),SUMPRODUCT((Inputs!$A$5:$A$130=$B24)*Inputs!$B$5:$B$130*(((Inputs!$G$5:$G$130="moeda")+(Inputs!$G$5:$G$130="acoes"))*Inputs!$B$1+((Inputs!$G$5:$G$130&lt;&gt;"moeda")*(Inputs!$G$5:$G$130&lt;&gt;"acoes")))*INDEX(Inputs!$K$5:$AJ$130,0,MATCH(AJ$2,Inputs!$K$4:$AJ$4,0)))+SUMPRODUCT((Inputs!$C$5:$C$130=$B24)*Inputs!$D$5:$D$130*(((Inputs!$G$5:$G$130="moeda")+(Inputs!$G$5:$G$130="acoes"))*Inputs!$B$1+((Inputs!$G$5:$G$130&lt;&gt;"moeda")*(Inputs!$G$5:$G$130&lt;&gt;"acoes")))*INDEX(Inputs!$K$5:$AJ$130,0,MATCH(AJ$2,Inputs!$K$4:$AJ$4,0)))+SUMPRODUCT((Inputs!$E$5:$E$130=$B24)*Inputs!$F$5:$F$130*(((Inputs!$G$5:$G$130="moeda")+(Inputs!$G$5:$G$130="acoes"))*Inputs!$B$1+((Inputs!$G$5:$G$130&lt;&gt;"moeda")*(Inputs!$G$5:$G$130&lt;&gt;"acoes")))*INDEX(Inputs!$K$5:$AJ$130,0,MATCH(AJ$2,Inputs!$K$4:$AJ$4,0)))))</f>
        <v>3081</v>
      </c>
      <c r="AK24" s="6">
        <f>IF(ISNA(MATCH(AK$2,Inputs!$K$4:$AJ$4,0)),NA(),IF(SUMPRODUCT((Inputs!$A$5:$A$130=$B24)*ISNUMBER(INDEX(Inputs!$K$5:$AJ$130,0,MATCH(AK$2,Inputs!$K$4:$AJ$4,0))))+SUMPRODUCT((Inputs!$C$5:$C$130=$B24)*ISNUMBER(INDEX(Inputs!$K$5:$AJ$130,0,MATCH(AK$2,Inputs!$K$4:$AJ$4,0))))+SUMPRODUCT((Inputs!$E$5:$E$130=$B24)*ISNUMBER(INDEX(Inputs!$K$5:$AJ$130,0,MATCH(AK$2,Inputs!$K$4:$AJ$4,0))))=0,NA(),SUMPRODUCT((Inputs!$A$5:$A$130=$B24)*Inputs!$B$5:$B$130*(((Inputs!$G$5:$G$130="moeda")+(Inputs!$G$5:$G$130="acoes"))*Inputs!$B$1+((Inputs!$G$5:$G$130&lt;&gt;"moeda")*(Inputs!$G$5:$G$130&lt;&gt;"acoes")))*INDEX(Inputs!$K$5:$AJ$130,0,MATCH(AK$2,Inputs!$K$4:$AJ$4,0)))+SUMPRODUCT((Inputs!$C$5:$C$130=$B24)*Inputs!$D$5:$D$130*(((Inputs!$G$5:$G$130="moeda")+(Inputs!$G$5:$G$130="acoes"))*Inputs!$B$1+((Inputs!$G$5:$G$130&lt;&gt;"moeda")*(Inputs!$G$5:$G$130&lt;&gt;"acoes")))*INDEX(Inputs!$K$5:$AJ$130,0,MATCH(AK$2,Inputs!$K$4:$AJ$4,0)))+SUMPRODUCT((Inputs!$E$5:$E$130=$B24)*Inputs!$F$5:$F$130*(((Inputs!$G$5:$G$130="moeda")+(Inputs!$G$5:$G$130="acoes"))*Inputs!$B$1+((Inputs!$G$5:$G$130&lt;&gt;"moeda")*(Inputs!$G$5:$G$130&lt;&gt;"acoes")))*INDEX(Inputs!$K$5:$AJ$130,0,MATCH(AK$2,Inputs!$K$4:$AJ$4,0)))))</f>
        <v>3194</v>
      </c>
      <c r="AL24" s="3">
        <f>AK24</f>
        <v>3194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$130=$B25)*ISNUMBER(INDEX(Inputs!$K$5:$AJ$130,0,MATCH(D$2,Inputs!$K$4:$AJ$4,0))))+SUMPRODUCT((Inputs!$C$5:$C$130=$B25)*ISNUMBER(INDEX(Inputs!$K$5:$AJ$130,0,MATCH(D$2,Inputs!$K$4:$AJ$4,0))))+SUMPRODUCT((Inputs!$E$5:$E$130=$B25)*ISNUMBER(INDEX(Inputs!$K$5:$AJ$130,0,MATCH(D$2,Inputs!$K$4:$AJ$4,0))))=0,NA(),SUMPRODUCT((Inputs!$A$5:$A$130=$B25)*Inputs!$B$5:$B$130*(((Inputs!$G$5:$G$130="moeda")+(Inputs!$G$5:$G$130="acoes"))*Inputs!$B$1+((Inputs!$G$5:$G$130&lt;&gt;"moeda")*(Inputs!$G$5:$G$130&lt;&gt;"acoes")))*INDEX(Inputs!$K$5:$AJ$130,0,MATCH(D$2,Inputs!$K$4:$AJ$4,0)))+SUMPRODUCT((Inputs!$C$5:$C$130=$B25)*Inputs!$D$5:$D$130*(((Inputs!$G$5:$G$130="moeda")+(Inputs!$G$5:$G$130="acoes"))*Inputs!$B$1+((Inputs!$G$5:$G$130&lt;&gt;"moeda")*(Inputs!$G$5:$G$130&lt;&gt;"acoes")))*INDEX(Inputs!$K$5:$AJ$130,0,MATCH(D$2,Inputs!$K$4:$AJ$4,0)))+SUMPRODUCT((Inputs!$E$5:$E$130=$B25)*Inputs!$F$5:$F$130*(((Inputs!$G$5:$G$130="moeda")+(Inputs!$G$5:$G$130="acoes"))*Inputs!$B$1+((Inputs!$G$5:$G$130&lt;&gt;"moeda")*(Inputs!$G$5:$G$130&lt;&gt;"acoes")))*INDEX(Inputs!$K$5:$AJ$130,0,MATCH(D$2,Inputs!$K$4:$AJ$4,0)))))</f>
        <v>1310</v>
      </c>
      <c r="E25" s="6">
        <f>IF(ISNA(MATCH(E$2,Inputs!$K$4:$AJ$4,0)),NA(),IF(SUMPRODUCT((Inputs!$A$5:$A$130=$B25)*ISNUMBER(INDEX(Inputs!$K$5:$AJ$130,0,MATCH(E$2,Inputs!$K$4:$AJ$4,0))))+SUMPRODUCT((Inputs!$C$5:$C$130=$B25)*ISNUMBER(INDEX(Inputs!$K$5:$AJ$130,0,MATCH(E$2,Inputs!$K$4:$AJ$4,0))))+SUMPRODUCT((Inputs!$E$5:$E$130=$B25)*ISNUMBER(INDEX(Inputs!$K$5:$AJ$130,0,MATCH(E$2,Inputs!$K$4:$AJ$4,0))))=0,NA(),SUMPRODUCT((Inputs!$A$5:$A$130=$B25)*Inputs!$B$5:$B$130*(((Inputs!$G$5:$G$130="moeda")+(Inputs!$G$5:$G$130="acoes"))*Inputs!$B$1+((Inputs!$G$5:$G$130&lt;&gt;"moeda")*(Inputs!$G$5:$G$130&lt;&gt;"acoes")))*INDEX(Inputs!$K$5:$AJ$130,0,MATCH(E$2,Inputs!$K$4:$AJ$4,0)))+SUMPRODUCT((Inputs!$C$5:$C$130=$B25)*Inputs!$D$5:$D$130*(((Inputs!$G$5:$G$130="moeda")+(Inputs!$G$5:$G$130="acoes"))*Inputs!$B$1+((Inputs!$G$5:$G$130&lt;&gt;"moeda")*(Inputs!$G$5:$G$130&lt;&gt;"acoes")))*INDEX(Inputs!$K$5:$AJ$130,0,MATCH(E$2,Inputs!$K$4:$AJ$4,0)))+SUMPRODUCT((Inputs!$E$5:$E$130=$B25)*Inputs!$F$5:$F$130*(((Inputs!$G$5:$G$130="moeda")+(Inputs!$G$5:$G$130="acoes"))*Inputs!$B$1+((Inputs!$G$5:$G$130&lt;&gt;"moeda")*(Inputs!$G$5:$G$130&lt;&gt;"acoes")))*INDEX(Inputs!$K$5:$AJ$130,0,MATCH(E$2,Inputs!$K$4:$AJ$4,0)))))</f>
        <v>1267</v>
      </c>
      <c r="F25" s="6">
        <f>IF(ISNA(MATCH(F$2,Inputs!$K$4:$AJ$4,0)),NA(),IF(SUMPRODUCT((Inputs!$A$5:$A$130=$B25)*ISNUMBER(INDEX(Inputs!$K$5:$AJ$130,0,MATCH(F$2,Inputs!$K$4:$AJ$4,0))))+SUMPRODUCT((Inputs!$C$5:$C$130=$B25)*ISNUMBER(INDEX(Inputs!$K$5:$AJ$130,0,MATCH(F$2,Inputs!$K$4:$AJ$4,0))))+SUMPRODUCT((Inputs!$E$5:$E$130=$B25)*ISNUMBER(INDEX(Inputs!$K$5:$AJ$130,0,MATCH(F$2,Inputs!$K$4:$AJ$4,0))))=0,NA(),SUMPRODUCT((Inputs!$A$5:$A$130=$B25)*Inputs!$B$5:$B$130*(((Inputs!$G$5:$G$130="moeda")+(Inputs!$G$5:$G$130="acoes"))*Inputs!$B$1+((Inputs!$G$5:$G$130&lt;&gt;"moeda")*(Inputs!$G$5:$G$130&lt;&gt;"acoes")))*INDEX(Inputs!$K$5:$AJ$130,0,MATCH(F$2,Inputs!$K$4:$AJ$4,0)))+SUMPRODUCT((Inputs!$C$5:$C$130=$B25)*Inputs!$D$5:$D$130*(((Inputs!$G$5:$G$130="moeda")+(Inputs!$G$5:$G$130="acoes"))*Inputs!$B$1+((Inputs!$G$5:$G$130&lt;&gt;"moeda")*(Inputs!$G$5:$G$130&lt;&gt;"acoes")))*INDEX(Inputs!$K$5:$AJ$130,0,MATCH(F$2,Inputs!$K$4:$AJ$4,0)))+SUMPRODUCT((Inputs!$E$5:$E$130=$B25)*Inputs!$F$5:$F$130*(((Inputs!$G$5:$G$130="moeda")+(Inputs!$G$5:$G$130="acoes"))*Inputs!$B$1+((Inputs!$G$5:$G$130&lt;&gt;"moeda")*(Inputs!$G$5:$G$130&lt;&gt;"acoes")))*INDEX(Inputs!$K$5:$AJ$130,0,MATCH(F$2,Inputs!$K$4:$AJ$4,0)))))</f>
        <v>1275</v>
      </c>
      <c r="G25" s="6">
        <f>IF(ISNA(MATCH(G$2,Inputs!$K$4:$AJ$4,0)),NA(),IF(SUMPRODUCT((Inputs!$A$5:$A$130=$B25)*ISNUMBER(INDEX(Inputs!$K$5:$AJ$130,0,MATCH(G$2,Inputs!$K$4:$AJ$4,0))))+SUMPRODUCT((Inputs!$C$5:$C$130=$B25)*ISNUMBER(INDEX(Inputs!$K$5:$AJ$130,0,MATCH(G$2,Inputs!$K$4:$AJ$4,0))))+SUMPRODUCT((Inputs!$E$5:$E$130=$B25)*ISNUMBER(INDEX(Inputs!$K$5:$AJ$130,0,MATCH(G$2,Inputs!$K$4:$AJ$4,0))))=0,NA(),SUMPRODUCT((Inputs!$A$5:$A$130=$B25)*Inputs!$B$5:$B$130*(((Inputs!$G$5:$G$130="moeda")+(Inputs!$G$5:$G$130="acoes"))*Inputs!$B$1+((Inputs!$G$5:$G$130&lt;&gt;"moeda")*(Inputs!$G$5:$G$130&lt;&gt;"acoes")))*INDEX(Inputs!$K$5:$AJ$130,0,MATCH(G$2,Inputs!$K$4:$AJ$4,0)))+SUMPRODUCT((Inputs!$C$5:$C$130=$B25)*Inputs!$D$5:$D$130*(((Inputs!$G$5:$G$130="moeda")+(Inputs!$G$5:$G$130="acoes"))*Inputs!$B$1+((Inputs!$G$5:$G$130&lt;&gt;"moeda")*(Inputs!$G$5:$G$130&lt;&gt;"acoes")))*INDEX(Inputs!$K$5:$AJ$130,0,MATCH(G$2,Inputs!$K$4:$AJ$4,0)))+SUMPRODUCT((Inputs!$E$5:$E$130=$B25)*Inputs!$F$5:$F$130*(((Inputs!$G$5:$G$130="moeda")+(Inputs!$G$5:$G$130="acoes"))*Inputs!$B$1+((Inputs!$G$5:$G$130&lt;&gt;"moeda")*(Inputs!$G$5:$G$130&lt;&gt;"acoes")))*INDEX(Inputs!$K$5:$AJ$130,0,MATCH(G$2,Inputs!$K$4:$AJ$4,0)))))</f>
        <v>1209</v>
      </c>
      <c r="H25" s="3">
        <f>G25</f>
        <v>1209</v>
      </c>
      <c r="I25" s="6">
        <f>IF(ISNA(MATCH(I$2,Inputs!$K$4:$AJ$4,0)),NA(),IF(SUMPRODUCT((Inputs!$A$5:$A$130=$B25)*ISNUMBER(INDEX(Inputs!$K$5:$AJ$130,0,MATCH(I$2,Inputs!$K$4:$AJ$4,0))))+SUMPRODUCT((Inputs!$C$5:$C$130=$B25)*ISNUMBER(INDEX(Inputs!$K$5:$AJ$130,0,MATCH(I$2,Inputs!$K$4:$AJ$4,0))))+SUMPRODUCT((Inputs!$E$5:$E$130=$B25)*ISNUMBER(INDEX(Inputs!$K$5:$AJ$130,0,MATCH(I$2,Inputs!$K$4:$AJ$4,0))))=0,NA(),SUMPRODUCT((Inputs!$A$5:$A$130=$B25)*Inputs!$B$5:$B$130*(((Inputs!$G$5:$G$130="moeda")+(Inputs!$G$5:$G$130="acoes"))*Inputs!$B$1+((Inputs!$G$5:$G$130&lt;&gt;"moeda")*(Inputs!$G$5:$G$130&lt;&gt;"acoes")))*INDEX(Inputs!$K$5:$AJ$130,0,MATCH(I$2,Inputs!$K$4:$AJ$4,0)))+SUMPRODUCT((Inputs!$C$5:$C$130=$B25)*Inputs!$D$5:$D$130*(((Inputs!$G$5:$G$130="moeda")+(Inputs!$G$5:$G$130="acoes"))*Inputs!$B$1+((Inputs!$G$5:$G$130&lt;&gt;"moeda")*(Inputs!$G$5:$G$130&lt;&gt;"acoes")))*INDEX(Inputs!$K$5:$AJ$130,0,MATCH(I$2,Inputs!$K$4:$AJ$4,0)))+SUMPRODUCT((Inputs!$E$5:$E$130=$B25)*Inputs!$F$5:$F$130*(((Inputs!$G$5:$G$130="moeda")+(Inputs!$G$5:$G$130="acoes"))*Inputs!$B$1+((Inputs!$G$5:$G$130&lt;&gt;"moeda")*(Inputs!$G$5:$G$130&lt;&gt;"acoes")))*INDEX(Inputs!$K$5:$AJ$130,0,MATCH(I$2,Inputs!$K$4:$AJ$4,0)))))</f>
        <v>1352</v>
      </c>
      <c r="J25" s="6">
        <f>IF(ISNA(MATCH(J$2,Inputs!$K$4:$AJ$4,0)),NA(),IF(SUMPRODUCT((Inputs!$A$5:$A$130=$B25)*ISNUMBER(INDEX(Inputs!$K$5:$AJ$130,0,MATCH(J$2,Inputs!$K$4:$AJ$4,0))))+SUMPRODUCT((Inputs!$C$5:$C$130=$B25)*ISNUMBER(INDEX(Inputs!$K$5:$AJ$130,0,MATCH(J$2,Inputs!$K$4:$AJ$4,0))))+SUMPRODUCT((Inputs!$E$5:$E$130=$B25)*ISNUMBER(INDEX(Inputs!$K$5:$AJ$130,0,MATCH(J$2,Inputs!$K$4:$AJ$4,0))))=0,NA(),SUMPRODUCT((Inputs!$A$5:$A$130=$B25)*Inputs!$B$5:$B$130*(((Inputs!$G$5:$G$130="moeda")+(Inputs!$G$5:$G$130="acoes"))*Inputs!$B$1+((Inputs!$G$5:$G$130&lt;&gt;"moeda")*(Inputs!$G$5:$G$130&lt;&gt;"acoes")))*INDEX(Inputs!$K$5:$AJ$130,0,MATCH(J$2,Inputs!$K$4:$AJ$4,0)))+SUMPRODUCT((Inputs!$C$5:$C$130=$B25)*Inputs!$D$5:$D$130*(((Inputs!$G$5:$G$130="moeda")+(Inputs!$G$5:$G$130="acoes"))*Inputs!$B$1+((Inputs!$G$5:$G$130&lt;&gt;"moeda")*(Inputs!$G$5:$G$130&lt;&gt;"acoes")))*INDEX(Inputs!$K$5:$AJ$130,0,MATCH(J$2,Inputs!$K$4:$AJ$4,0)))+SUMPRODUCT((Inputs!$E$5:$E$130=$B25)*Inputs!$F$5:$F$130*(((Inputs!$G$5:$G$130="moeda")+(Inputs!$G$5:$G$130="acoes"))*Inputs!$B$1+((Inputs!$G$5:$G$130&lt;&gt;"moeda")*(Inputs!$G$5:$G$130&lt;&gt;"acoes")))*INDEX(Inputs!$K$5:$AJ$130,0,MATCH(J$2,Inputs!$K$4:$AJ$4,0)))))</f>
        <v>1281</v>
      </c>
      <c r="K25" s="6">
        <f>IF(ISNA(MATCH(K$2,Inputs!$K$4:$AJ$4,0)),NA(),IF(SUMPRODUCT((Inputs!$A$5:$A$130=$B25)*ISNUMBER(INDEX(Inputs!$K$5:$AJ$130,0,MATCH(K$2,Inputs!$K$4:$AJ$4,0))))+SUMPRODUCT((Inputs!$C$5:$C$130=$B25)*ISNUMBER(INDEX(Inputs!$K$5:$AJ$130,0,MATCH(K$2,Inputs!$K$4:$AJ$4,0))))+SUMPRODUCT((Inputs!$E$5:$E$130=$B25)*ISNUMBER(INDEX(Inputs!$K$5:$AJ$130,0,MATCH(K$2,Inputs!$K$4:$AJ$4,0))))=0,NA(),SUMPRODUCT((Inputs!$A$5:$A$130=$B25)*Inputs!$B$5:$B$130*(((Inputs!$G$5:$G$130="moeda")+(Inputs!$G$5:$G$130="acoes"))*Inputs!$B$1+((Inputs!$G$5:$G$130&lt;&gt;"moeda")*(Inputs!$G$5:$G$130&lt;&gt;"acoes")))*INDEX(Inputs!$K$5:$AJ$130,0,MATCH(K$2,Inputs!$K$4:$AJ$4,0)))+SUMPRODUCT((Inputs!$C$5:$C$130=$B25)*Inputs!$D$5:$D$130*(((Inputs!$G$5:$G$130="moeda")+(Inputs!$G$5:$G$130="acoes"))*Inputs!$B$1+((Inputs!$G$5:$G$130&lt;&gt;"moeda")*(Inputs!$G$5:$G$130&lt;&gt;"acoes")))*INDEX(Inputs!$K$5:$AJ$130,0,MATCH(K$2,Inputs!$K$4:$AJ$4,0)))+SUMPRODUCT((Inputs!$E$5:$E$130=$B25)*Inputs!$F$5:$F$130*(((Inputs!$G$5:$G$130="moeda")+(Inputs!$G$5:$G$130="acoes"))*Inputs!$B$1+((Inputs!$G$5:$G$130&lt;&gt;"moeda")*(Inputs!$G$5:$G$130&lt;&gt;"acoes")))*INDEX(Inputs!$K$5:$AJ$130,0,MATCH(K$2,Inputs!$K$4:$AJ$4,0)))))</f>
        <v>1218</v>
      </c>
      <c r="L25" s="6">
        <f>IF(ISNA(MATCH(L$2,Inputs!$K$4:$AJ$4,0)),NA(),IF(SUMPRODUCT((Inputs!$A$5:$A$130=$B25)*ISNUMBER(INDEX(Inputs!$K$5:$AJ$130,0,MATCH(L$2,Inputs!$K$4:$AJ$4,0))))+SUMPRODUCT((Inputs!$C$5:$C$130=$B25)*ISNUMBER(INDEX(Inputs!$K$5:$AJ$130,0,MATCH(L$2,Inputs!$K$4:$AJ$4,0))))+SUMPRODUCT((Inputs!$E$5:$E$130=$B25)*ISNUMBER(INDEX(Inputs!$K$5:$AJ$130,0,MATCH(L$2,Inputs!$K$4:$AJ$4,0))))=0,NA(),SUMPRODUCT((Inputs!$A$5:$A$130=$B25)*Inputs!$B$5:$B$130*(((Inputs!$G$5:$G$130="moeda")+(Inputs!$G$5:$G$130="acoes"))*Inputs!$B$1+((Inputs!$G$5:$G$130&lt;&gt;"moeda")*(Inputs!$G$5:$G$130&lt;&gt;"acoes")))*INDEX(Inputs!$K$5:$AJ$130,0,MATCH(L$2,Inputs!$K$4:$AJ$4,0)))+SUMPRODUCT((Inputs!$C$5:$C$130=$B25)*Inputs!$D$5:$D$130*(((Inputs!$G$5:$G$130="moeda")+(Inputs!$G$5:$G$130="acoes"))*Inputs!$B$1+((Inputs!$G$5:$G$130&lt;&gt;"moeda")*(Inputs!$G$5:$G$130&lt;&gt;"acoes")))*INDEX(Inputs!$K$5:$AJ$130,0,MATCH(L$2,Inputs!$K$4:$AJ$4,0)))+SUMPRODUCT((Inputs!$E$5:$E$130=$B25)*Inputs!$F$5:$F$130*(((Inputs!$G$5:$G$130="moeda")+(Inputs!$G$5:$G$130="acoes"))*Inputs!$B$1+((Inputs!$G$5:$G$130&lt;&gt;"moeda")*(Inputs!$G$5:$G$130&lt;&gt;"acoes")))*INDEX(Inputs!$K$5:$AJ$130,0,MATCH(L$2,Inputs!$K$4:$AJ$4,0)))))</f>
        <v>1255</v>
      </c>
      <c r="M25" s="3">
        <f>L25</f>
        <v>1255</v>
      </c>
      <c r="N25" s="6">
        <f>IF(ISNA(MATCH(N$2,Inputs!$K$4:$AJ$4,0)),NA(),IF(SUMPRODUCT((Inputs!$A$5:$A$130=$B25)*ISNUMBER(INDEX(Inputs!$K$5:$AJ$130,0,MATCH(N$2,Inputs!$K$4:$AJ$4,0))))+SUMPRODUCT((Inputs!$C$5:$C$130=$B25)*ISNUMBER(INDEX(Inputs!$K$5:$AJ$130,0,MATCH(N$2,Inputs!$K$4:$AJ$4,0))))+SUMPRODUCT((Inputs!$E$5:$E$130=$B25)*ISNUMBER(INDEX(Inputs!$K$5:$AJ$130,0,MATCH(N$2,Inputs!$K$4:$AJ$4,0))))=0,NA(),SUMPRODUCT((Inputs!$A$5:$A$130=$B25)*Inputs!$B$5:$B$130*(((Inputs!$G$5:$G$130="moeda")+(Inputs!$G$5:$G$130="acoes"))*Inputs!$B$1+((Inputs!$G$5:$G$130&lt;&gt;"moeda")*(Inputs!$G$5:$G$130&lt;&gt;"acoes")))*INDEX(Inputs!$K$5:$AJ$130,0,MATCH(N$2,Inputs!$K$4:$AJ$4,0)))+SUMPRODUCT((Inputs!$C$5:$C$130=$B25)*Inputs!$D$5:$D$130*(((Inputs!$G$5:$G$130="moeda")+(Inputs!$G$5:$G$130="acoes"))*Inputs!$B$1+((Inputs!$G$5:$G$130&lt;&gt;"moeda")*(Inputs!$G$5:$G$130&lt;&gt;"acoes")))*INDEX(Inputs!$K$5:$AJ$130,0,MATCH(N$2,Inputs!$K$4:$AJ$4,0)))+SUMPRODUCT((Inputs!$E$5:$E$130=$B25)*Inputs!$F$5:$F$130*(((Inputs!$G$5:$G$130="moeda")+(Inputs!$G$5:$G$130="acoes"))*Inputs!$B$1+((Inputs!$G$5:$G$130&lt;&gt;"moeda")*(Inputs!$G$5:$G$130&lt;&gt;"acoes")))*INDEX(Inputs!$K$5:$AJ$130,0,MATCH(N$2,Inputs!$K$4:$AJ$4,0)))))</f>
        <v>1222</v>
      </c>
      <c r="O25" s="6">
        <f>IF(ISNA(MATCH(O$2,Inputs!$K$4:$AJ$4,0)),NA(),IF(SUMPRODUCT((Inputs!$A$5:$A$130=$B25)*ISNUMBER(INDEX(Inputs!$K$5:$AJ$130,0,MATCH(O$2,Inputs!$K$4:$AJ$4,0))))+SUMPRODUCT((Inputs!$C$5:$C$130=$B25)*ISNUMBER(INDEX(Inputs!$K$5:$AJ$130,0,MATCH(O$2,Inputs!$K$4:$AJ$4,0))))+SUMPRODUCT((Inputs!$E$5:$E$130=$B25)*ISNUMBER(INDEX(Inputs!$K$5:$AJ$130,0,MATCH(O$2,Inputs!$K$4:$AJ$4,0))))=0,NA(),SUMPRODUCT((Inputs!$A$5:$A$130=$B25)*Inputs!$B$5:$B$130*(((Inputs!$G$5:$G$130="moeda")+(Inputs!$G$5:$G$130="acoes"))*Inputs!$B$1+((Inputs!$G$5:$G$130&lt;&gt;"moeda")*(Inputs!$G$5:$G$130&lt;&gt;"acoes")))*INDEX(Inputs!$K$5:$AJ$130,0,MATCH(O$2,Inputs!$K$4:$AJ$4,0)))+SUMPRODUCT((Inputs!$C$5:$C$130=$B25)*Inputs!$D$5:$D$130*(((Inputs!$G$5:$G$130="moeda")+(Inputs!$G$5:$G$130="acoes"))*Inputs!$B$1+((Inputs!$G$5:$G$130&lt;&gt;"moeda")*(Inputs!$G$5:$G$130&lt;&gt;"acoes")))*INDEX(Inputs!$K$5:$AJ$130,0,MATCH(O$2,Inputs!$K$4:$AJ$4,0)))+SUMPRODUCT((Inputs!$E$5:$E$130=$B25)*Inputs!$F$5:$F$130*(((Inputs!$G$5:$G$130="moeda")+(Inputs!$G$5:$G$130="acoes"))*Inputs!$B$1+((Inputs!$G$5:$G$130&lt;&gt;"moeda")*(Inputs!$G$5:$G$130&lt;&gt;"acoes")))*INDEX(Inputs!$K$5:$AJ$130,0,MATCH(O$2,Inputs!$K$4:$AJ$4,0)))))</f>
        <v>1199</v>
      </c>
      <c r="P25" s="6">
        <f>IF(ISNA(MATCH(P$2,Inputs!$K$4:$AJ$4,0)),NA(),IF(SUMPRODUCT((Inputs!$A$5:$A$130=$B25)*ISNUMBER(INDEX(Inputs!$K$5:$AJ$130,0,MATCH(P$2,Inputs!$K$4:$AJ$4,0))))+SUMPRODUCT((Inputs!$C$5:$C$130=$B25)*ISNUMBER(INDEX(Inputs!$K$5:$AJ$130,0,MATCH(P$2,Inputs!$K$4:$AJ$4,0))))+SUMPRODUCT((Inputs!$E$5:$E$130=$B25)*ISNUMBER(INDEX(Inputs!$K$5:$AJ$130,0,MATCH(P$2,Inputs!$K$4:$AJ$4,0))))=0,NA(),SUMPRODUCT((Inputs!$A$5:$A$130=$B25)*Inputs!$B$5:$B$130*(((Inputs!$G$5:$G$130="moeda")+(Inputs!$G$5:$G$130="acoes"))*Inputs!$B$1+((Inputs!$G$5:$G$130&lt;&gt;"moeda")*(Inputs!$G$5:$G$130&lt;&gt;"acoes")))*INDEX(Inputs!$K$5:$AJ$130,0,MATCH(P$2,Inputs!$K$4:$AJ$4,0)))+SUMPRODUCT((Inputs!$C$5:$C$130=$B25)*Inputs!$D$5:$D$130*(((Inputs!$G$5:$G$130="moeda")+(Inputs!$G$5:$G$130="acoes"))*Inputs!$B$1+((Inputs!$G$5:$G$130&lt;&gt;"moeda")*(Inputs!$G$5:$G$130&lt;&gt;"acoes")))*INDEX(Inputs!$K$5:$AJ$130,0,MATCH(P$2,Inputs!$K$4:$AJ$4,0)))+SUMPRODUCT((Inputs!$E$5:$E$130=$B25)*Inputs!$F$5:$F$130*(((Inputs!$G$5:$G$130="moeda")+(Inputs!$G$5:$G$130="acoes"))*Inputs!$B$1+((Inputs!$G$5:$G$130&lt;&gt;"moeda")*(Inputs!$G$5:$G$130&lt;&gt;"acoes")))*INDEX(Inputs!$K$5:$AJ$130,0,MATCH(P$2,Inputs!$K$4:$AJ$4,0)))))</f>
        <v>1133</v>
      </c>
      <c r="Q25" s="6">
        <f>IF(ISNA(MATCH(Q$2,Inputs!$K$4:$AJ$4,0)),NA(),IF(SUMPRODUCT((Inputs!$A$5:$A$130=$B25)*ISNUMBER(INDEX(Inputs!$K$5:$AJ$130,0,MATCH(Q$2,Inputs!$K$4:$AJ$4,0))))+SUMPRODUCT((Inputs!$C$5:$C$130=$B25)*ISNUMBER(INDEX(Inputs!$K$5:$AJ$130,0,MATCH(Q$2,Inputs!$K$4:$AJ$4,0))))+SUMPRODUCT((Inputs!$E$5:$E$130=$B25)*ISNUMBER(INDEX(Inputs!$K$5:$AJ$130,0,MATCH(Q$2,Inputs!$K$4:$AJ$4,0))))=0,NA(),SUMPRODUCT((Inputs!$A$5:$A$130=$B25)*Inputs!$B$5:$B$130*(((Inputs!$G$5:$G$130="moeda")+(Inputs!$G$5:$G$130="acoes"))*Inputs!$B$1+((Inputs!$G$5:$G$130&lt;&gt;"moeda")*(Inputs!$G$5:$G$130&lt;&gt;"acoes")))*INDEX(Inputs!$K$5:$AJ$130,0,MATCH(Q$2,Inputs!$K$4:$AJ$4,0)))+SUMPRODUCT((Inputs!$C$5:$C$130=$B25)*Inputs!$D$5:$D$130*(((Inputs!$G$5:$G$130="moeda")+(Inputs!$G$5:$G$130="acoes"))*Inputs!$B$1+((Inputs!$G$5:$G$130&lt;&gt;"moeda")*(Inputs!$G$5:$G$130&lt;&gt;"acoes")))*INDEX(Inputs!$K$5:$AJ$130,0,MATCH(Q$2,Inputs!$K$4:$AJ$4,0)))+SUMPRODUCT((Inputs!$E$5:$E$130=$B25)*Inputs!$F$5:$F$130*(((Inputs!$G$5:$G$130="moeda")+(Inputs!$G$5:$G$130="acoes"))*Inputs!$B$1+((Inputs!$G$5:$G$130&lt;&gt;"moeda")*(Inputs!$G$5:$G$130&lt;&gt;"acoes")))*INDEX(Inputs!$K$5:$AJ$130,0,MATCH(Q$2,Inputs!$K$4:$AJ$4,0)))))</f>
        <v>1112</v>
      </c>
      <c r="R25" s="3">
        <f>Q25</f>
        <v>1112</v>
      </c>
      <c r="S25" s="6">
        <f>IF(ISNA(MATCH(S$2,Inputs!$K$4:$AJ$4,0)),NA(),IF(SUMPRODUCT((Inputs!$A$5:$A$130=$B25)*ISNUMBER(INDEX(Inputs!$K$5:$AJ$130,0,MATCH(S$2,Inputs!$K$4:$AJ$4,0))))+SUMPRODUCT((Inputs!$C$5:$C$130=$B25)*ISNUMBER(INDEX(Inputs!$K$5:$AJ$130,0,MATCH(S$2,Inputs!$K$4:$AJ$4,0))))+SUMPRODUCT((Inputs!$E$5:$E$130=$B25)*ISNUMBER(INDEX(Inputs!$K$5:$AJ$130,0,MATCH(S$2,Inputs!$K$4:$AJ$4,0))))=0,NA(),SUMPRODUCT((Inputs!$A$5:$A$130=$B25)*Inputs!$B$5:$B$130*(((Inputs!$G$5:$G$130="moeda")+(Inputs!$G$5:$G$130="acoes"))*Inputs!$B$1+((Inputs!$G$5:$G$130&lt;&gt;"moeda")*(Inputs!$G$5:$G$130&lt;&gt;"acoes")))*INDEX(Inputs!$K$5:$AJ$130,0,MATCH(S$2,Inputs!$K$4:$AJ$4,0)))+SUMPRODUCT((Inputs!$C$5:$C$130=$B25)*Inputs!$D$5:$D$130*(((Inputs!$G$5:$G$130="moeda")+(Inputs!$G$5:$G$130="acoes"))*Inputs!$B$1+((Inputs!$G$5:$G$130&lt;&gt;"moeda")*(Inputs!$G$5:$G$130&lt;&gt;"acoes")))*INDEX(Inputs!$K$5:$AJ$130,0,MATCH(S$2,Inputs!$K$4:$AJ$4,0)))+SUMPRODUCT((Inputs!$E$5:$E$130=$B25)*Inputs!$F$5:$F$130*(((Inputs!$G$5:$G$130="moeda")+(Inputs!$G$5:$G$130="acoes"))*Inputs!$B$1+((Inputs!$G$5:$G$130&lt;&gt;"moeda")*(Inputs!$G$5:$G$130&lt;&gt;"acoes")))*INDEX(Inputs!$K$5:$AJ$130,0,MATCH(S$2,Inputs!$K$4:$AJ$4,0)))))</f>
        <v>1064</v>
      </c>
      <c r="T25" s="6">
        <f>IF(ISNA(MATCH(T$2,Inputs!$K$4:$AJ$4,0)),NA(),IF(SUMPRODUCT((Inputs!$A$5:$A$130=$B25)*ISNUMBER(INDEX(Inputs!$K$5:$AJ$130,0,MATCH(T$2,Inputs!$K$4:$AJ$4,0))))+SUMPRODUCT((Inputs!$C$5:$C$130=$B25)*ISNUMBER(INDEX(Inputs!$K$5:$AJ$130,0,MATCH(T$2,Inputs!$K$4:$AJ$4,0))))+SUMPRODUCT((Inputs!$E$5:$E$130=$B25)*ISNUMBER(INDEX(Inputs!$K$5:$AJ$130,0,MATCH(T$2,Inputs!$K$4:$AJ$4,0))))=0,NA(),SUMPRODUCT((Inputs!$A$5:$A$130=$B25)*Inputs!$B$5:$B$130*(((Inputs!$G$5:$G$130="moeda")+(Inputs!$G$5:$G$130="acoes"))*Inputs!$B$1+((Inputs!$G$5:$G$130&lt;&gt;"moeda")*(Inputs!$G$5:$G$130&lt;&gt;"acoes")))*INDEX(Inputs!$K$5:$AJ$130,0,MATCH(T$2,Inputs!$K$4:$AJ$4,0)))+SUMPRODUCT((Inputs!$C$5:$C$130=$B25)*Inputs!$D$5:$D$130*(((Inputs!$G$5:$G$130="moeda")+(Inputs!$G$5:$G$130="acoes"))*Inputs!$B$1+((Inputs!$G$5:$G$130&lt;&gt;"moeda")*(Inputs!$G$5:$G$130&lt;&gt;"acoes")))*INDEX(Inputs!$K$5:$AJ$130,0,MATCH(T$2,Inputs!$K$4:$AJ$4,0)))+SUMPRODUCT((Inputs!$E$5:$E$130=$B25)*Inputs!$F$5:$F$130*(((Inputs!$G$5:$G$130="moeda")+(Inputs!$G$5:$G$130="acoes"))*Inputs!$B$1+((Inputs!$G$5:$G$130&lt;&gt;"moeda")*(Inputs!$G$5:$G$130&lt;&gt;"acoes")))*INDEX(Inputs!$K$5:$AJ$130,0,MATCH(T$2,Inputs!$K$4:$AJ$4,0)))))</f>
        <v>1030</v>
      </c>
      <c r="U25" s="6">
        <f>IF(ISNA(MATCH(U$2,Inputs!$K$4:$AJ$4,0)),NA(),IF(SUMPRODUCT((Inputs!$A$5:$A$130=$B25)*ISNUMBER(INDEX(Inputs!$K$5:$AJ$130,0,MATCH(U$2,Inputs!$K$4:$AJ$4,0))))+SUMPRODUCT((Inputs!$C$5:$C$130=$B25)*ISNUMBER(INDEX(Inputs!$K$5:$AJ$130,0,MATCH(U$2,Inputs!$K$4:$AJ$4,0))))+SUMPRODUCT((Inputs!$E$5:$E$130=$B25)*ISNUMBER(INDEX(Inputs!$K$5:$AJ$130,0,MATCH(U$2,Inputs!$K$4:$AJ$4,0))))=0,NA(),SUMPRODUCT((Inputs!$A$5:$A$130=$B25)*Inputs!$B$5:$B$130*(((Inputs!$G$5:$G$130="moeda")+(Inputs!$G$5:$G$130="acoes"))*Inputs!$B$1+((Inputs!$G$5:$G$130&lt;&gt;"moeda")*(Inputs!$G$5:$G$130&lt;&gt;"acoes")))*INDEX(Inputs!$K$5:$AJ$130,0,MATCH(U$2,Inputs!$K$4:$AJ$4,0)))+SUMPRODUCT((Inputs!$C$5:$C$130=$B25)*Inputs!$D$5:$D$130*(((Inputs!$G$5:$G$130="moeda")+(Inputs!$G$5:$G$130="acoes"))*Inputs!$B$1+((Inputs!$G$5:$G$130&lt;&gt;"moeda")*(Inputs!$G$5:$G$130&lt;&gt;"acoes")))*INDEX(Inputs!$K$5:$AJ$130,0,MATCH(U$2,Inputs!$K$4:$AJ$4,0)))+SUMPRODUCT((Inputs!$E$5:$E$130=$B25)*Inputs!$F$5:$F$130*(((Inputs!$G$5:$G$130="moeda")+(Inputs!$G$5:$G$130="acoes"))*Inputs!$B$1+((Inputs!$G$5:$G$130&lt;&gt;"moeda")*(Inputs!$G$5:$G$130&lt;&gt;"acoes")))*INDEX(Inputs!$K$5:$AJ$130,0,MATCH(U$2,Inputs!$K$4:$AJ$4,0)))))</f>
        <v>999</v>
      </c>
      <c r="V25" s="6">
        <f>IF(ISNA(MATCH(V$2,Inputs!$K$4:$AJ$4,0)),NA(),IF(SUMPRODUCT((Inputs!$A$5:$A$130=$B25)*ISNUMBER(INDEX(Inputs!$K$5:$AJ$130,0,MATCH(V$2,Inputs!$K$4:$AJ$4,0))))+SUMPRODUCT((Inputs!$C$5:$C$130=$B25)*ISNUMBER(INDEX(Inputs!$K$5:$AJ$130,0,MATCH(V$2,Inputs!$K$4:$AJ$4,0))))+SUMPRODUCT((Inputs!$E$5:$E$130=$B25)*ISNUMBER(INDEX(Inputs!$K$5:$AJ$130,0,MATCH(V$2,Inputs!$K$4:$AJ$4,0))))=0,NA(),SUMPRODUCT((Inputs!$A$5:$A$130=$B25)*Inputs!$B$5:$B$130*(((Inputs!$G$5:$G$130="moeda")+(Inputs!$G$5:$G$130="acoes"))*Inputs!$B$1+((Inputs!$G$5:$G$130&lt;&gt;"moeda")*(Inputs!$G$5:$G$130&lt;&gt;"acoes")))*INDEX(Inputs!$K$5:$AJ$130,0,MATCH(V$2,Inputs!$K$4:$AJ$4,0)))+SUMPRODUCT((Inputs!$C$5:$C$130=$B25)*Inputs!$D$5:$D$130*(((Inputs!$G$5:$G$130="moeda")+(Inputs!$G$5:$G$130="acoes"))*Inputs!$B$1+((Inputs!$G$5:$G$130&lt;&gt;"moeda")*(Inputs!$G$5:$G$130&lt;&gt;"acoes")))*INDEX(Inputs!$K$5:$AJ$130,0,MATCH(V$2,Inputs!$K$4:$AJ$4,0)))+SUMPRODUCT((Inputs!$E$5:$E$130=$B25)*Inputs!$F$5:$F$130*(((Inputs!$G$5:$G$130="moeda")+(Inputs!$G$5:$G$130="acoes"))*Inputs!$B$1+((Inputs!$G$5:$G$130&lt;&gt;"moeda")*(Inputs!$G$5:$G$130&lt;&gt;"acoes")))*INDEX(Inputs!$K$5:$AJ$130,0,MATCH(V$2,Inputs!$K$4:$AJ$4,0)))))</f>
        <v>937</v>
      </c>
      <c r="W25" s="3">
        <f>V25</f>
        <v>937</v>
      </c>
      <c r="X25" s="6">
        <f>IF(ISNA(MATCH(X$2,Inputs!$K$4:$AJ$4,0)),NA(),IF(SUMPRODUCT((Inputs!$A$5:$A$130=$B25)*ISNUMBER(INDEX(Inputs!$K$5:$AJ$130,0,MATCH(X$2,Inputs!$K$4:$AJ$4,0))))+SUMPRODUCT((Inputs!$C$5:$C$130=$B25)*ISNUMBER(INDEX(Inputs!$K$5:$AJ$130,0,MATCH(X$2,Inputs!$K$4:$AJ$4,0))))+SUMPRODUCT((Inputs!$E$5:$E$130=$B25)*ISNUMBER(INDEX(Inputs!$K$5:$AJ$130,0,MATCH(X$2,Inputs!$K$4:$AJ$4,0))))=0,NA(),SUMPRODUCT((Inputs!$A$5:$A$130=$B25)*Inputs!$B$5:$B$130*(((Inputs!$G$5:$G$130="moeda")+(Inputs!$G$5:$G$130="acoes"))*Inputs!$B$1+((Inputs!$G$5:$G$130&lt;&gt;"moeda")*(Inputs!$G$5:$G$130&lt;&gt;"acoes")))*INDEX(Inputs!$K$5:$AJ$130,0,MATCH(X$2,Inputs!$K$4:$AJ$4,0)))+SUMPRODUCT((Inputs!$C$5:$C$130=$B25)*Inputs!$D$5:$D$130*(((Inputs!$G$5:$G$130="moeda")+(Inputs!$G$5:$G$130="acoes"))*Inputs!$B$1+((Inputs!$G$5:$G$130&lt;&gt;"moeda")*(Inputs!$G$5:$G$130&lt;&gt;"acoes")))*INDEX(Inputs!$K$5:$AJ$130,0,MATCH(X$2,Inputs!$K$4:$AJ$4,0)))+SUMPRODUCT((Inputs!$E$5:$E$130=$B25)*Inputs!$F$5:$F$130*(((Inputs!$G$5:$G$130="moeda")+(Inputs!$G$5:$G$130="acoes"))*Inputs!$B$1+((Inputs!$G$5:$G$130&lt;&gt;"moeda")*(Inputs!$G$5:$G$130&lt;&gt;"acoes")))*INDEX(Inputs!$K$5:$AJ$130,0,MATCH(X$2,Inputs!$K$4:$AJ$4,0)))))</f>
        <v>964</v>
      </c>
      <c r="Y25" s="6">
        <f>IF(ISNA(MATCH(Y$2,Inputs!$K$4:$AJ$4,0)),NA(),IF(SUMPRODUCT((Inputs!$A$5:$A$130=$B25)*ISNUMBER(INDEX(Inputs!$K$5:$AJ$130,0,MATCH(Y$2,Inputs!$K$4:$AJ$4,0))))+SUMPRODUCT((Inputs!$C$5:$C$130=$B25)*ISNUMBER(INDEX(Inputs!$K$5:$AJ$130,0,MATCH(Y$2,Inputs!$K$4:$AJ$4,0))))+SUMPRODUCT((Inputs!$E$5:$E$130=$B25)*ISNUMBER(INDEX(Inputs!$K$5:$AJ$130,0,MATCH(Y$2,Inputs!$K$4:$AJ$4,0))))=0,NA(),SUMPRODUCT((Inputs!$A$5:$A$130=$B25)*Inputs!$B$5:$B$130*(((Inputs!$G$5:$G$130="moeda")+(Inputs!$G$5:$G$130="acoes"))*Inputs!$B$1+((Inputs!$G$5:$G$130&lt;&gt;"moeda")*(Inputs!$G$5:$G$130&lt;&gt;"acoes")))*INDEX(Inputs!$K$5:$AJ$130,0,MATCH(Y$2,Inputs!$K$4:$AJ$4,0)))+SUMPRODUCT((Inputs!$C$5:$C$130=$B25)*Inputs!$D$5:$D$130*(((Inputs!$G$5:$G$130="moeda")+(Inputs!$G$5:$G$130="acoes"))*Inputs!$B$1+((Inputs!$G$5:$G$130&lt;&gt;"moeda")*(Inputs!$G$5:$G$130&lt;&gt;"acoes")))*INDEX(Inputs!$K$5:$AJ$130,0,MATCH(Y$2,Inputs!$K$4:$AJ$4,0)))+SUMPRODUCT((Inputs!$E$5:$E$130=$B25)*Inputs!$F$5:$F$130*(((Inputs!$G$5:$G$130="moeda")+(Inputs!$G$5:$G$130="acoes"))*Inputs!$B$1+((Inputs!$G$5:$G$130&lt;&gt;"moeda")*(Inputs!$G$5:$G$130&lt;&gt;"acoes")))*INDEX(Inputs!$K$5:$AJ$130,0,MATCH(Y$2,Inputs!$K$4:$AJ$4,0)))))</f>
        <v>926</v>
      </c>
      <c r="Z25" s="6">
        <f>IF(ISNA(MATCH(Z$2,Inputs!$K$4:$AJ$4,0)),NA(),IF(SUMPRODUCT((Inputs!$A$5:$A$130=$B25)*ISNUMBER(INDEX(Inputs!$K$5:$AJ$130,0,MATCH(Z$2,Inputs!$K$4:$AJ$4,0))))+SUMPRODUCT((Inputs!$C$5:$C$130=$B25)*ISNUMBER(INDEX(Inputs!$K$5:$AJ$130,0,MATCH(Z$2,Inputs!$K$4:$AJ$4,0))))+SUMPRODUCT((Inputs!$E$5:$E$130=$B25)*ISNUMBER(INDEX(Inputs!$K$5:$AJ$130,0,MATCH(Z$2,Inputs!$K$4:$AJ$4,0))))=0,NA(),SUMPRODUCT((Inputs!$A$5:$A$130=$B25)*Inputs!$B$5:$B$130*(((Inputs!$G$5:$G$130="moeda")+(Inputs!$G$5:$G$130="acoes"))*Inputs!$B$1+((Inputs!$G$5:$G$130&lt;&gt;"moeda")*(Inputs!$G$5:$G$130&lt;&gt;"acoes")))*INDEX(Inputs!$K$5:$AJ$130,0,MATCH(Z$2,Inputs!$K$4:$AJ$4,0)))+SUMPRODUCT((Inputs!$C$5:$C$130=$B25)*Inputs!$D$5:$D$130*(((Inputs!$G$5:$G$130="moeda")+(Inputs!$G$5:$G$130="acoes"))*Inputs!$B$1+((Inputs!$G$5:$G$130&lt;&gt;"moeda")*(Inputs!$G$5:$G$130&lt;&gt;"acoes")))*INDEX(Inputs!$K$5:$AJ$130,0,MATCH(Z$2,Inputs!$K$4:$AJ$4,0)))+SUMPRODUCT((Inputs!$E$5:$E$130=$B25)*Inputs!$F$5:$F$130*(((Inputs!$G$5:$G$130="moeda")+(Inputs!$G$5:$G$130="acoes"))*Inputs!$B$1+((Inputs!$G$5:$G$130&lt;&gt;"moeda")*(Inputs!$G$5:$G$130&lt;&gt;"acoes")))*INDEX(Inputs!$K$5:$AJ$130,0,MATCH(Z$2,Inputs!$K$4:$AJ$4,0)))))</f>
        <v>892</v>
      </c>
      <c r="AA25" s="6">
        <f>IF(ISNA(MATCH(AA$2,Inputs!$K$4:$AJ$4,0)),NA(),IF(SUMPRODUCT((Inputs!$A$5:$A$130=$B25)*ISNUMBER(INDEX(Inputs!$K$5:$AJ$130,0,MATCH(AA$2,Inputs!$K$4:$AJ$4,0))))+SUMPRODUCT((Inputs!$C$5:$C$130=$B25)*ISNUMBER(INDEX(Inputs!$K$5:$AJ$130,0,MATCH(AA$2,Inputs!$K$4:$AJ$4,0))))+SUMPRODUCT((Inputs!$E$5:$E$130=$B25)*ISNUMBER(INDEX(Inputs!$K$5:$AJ$130,0,MATCH(AA$2,Inputs!$K$4:$AJ$4,0))))=0,NA(),SUMPRODUCT((Inputs!$A$5:$A$130=$B25)*Inputs!$B$5:$B$130*(((Inputs!$G$5:$G$130="moeda")+(Inputs!$G$5:$G$130="acoes"))*Inputs!$B$1+((Inputs!$G$5:$G$130&lt;&gt;"moeda")*(Inputs!$G$5:$G$130&lt;&gt;"acoes")))*INDEX(Inputs!$K$5:$AJ$130,0,MATCH(AA$2,Inputs!$K$4:$AJ$4,0)))+SUMPRODUCT((Inputs!$C$5:$C$130=$B25)*Inputs!$D$5:$D$130*(((Inputs!$G$5:$G$130="moeda")+(Inputs!$G$5:$G$130="acoes"))*Inputs!$B$1+((Inputs!$G$5:$G$130&lt;&gt;"moeda")*(Inputs!$G$5:$G$130&lt;&gt;"acoes")))*INDEX(Inputs!$K$5:$AJ$130,0,MATCH(AA$2,Inputs!$K$4:$AJ$4,0)))+SUMPRODUCT((Inputs!$E$5:$E$130=$B25)*Inputs!$F$5:$F$130*(((Inputs!$G$5:$G$130="moeda")+(Inputs!$G$5:$G$130="acoes"))*Inputs!$B$1+((Inputs!$G$5:$G$130&lt;&gt;"moeda")*(Inputs!$G$5:$G$130&lt;&gt;"acoes")))*INDEX(Inputs!$K$5:$AJ$130,0,MATCH(AA$2,Inputs!$K$4:$AJ$4,0)))))</f>
        <v>880</v>
      </c>
      <c r="AB25" s="3">
        <f>AA25</f>
        <v>880</v>
      </c>
      <c r="AC25" s="6">
        <f>IF(ISNA(MATCH(AC$2,Inputs!$K$4:$AJ$4,0)),NA(),IF(SUMPRODUCT((Inputs!$A$5:$A$130=$B25)*ISNUMBER(INDEX(Inputs!$K$5:$AJ$130,0,MATCH(AC$2,Inputs!$K$4:$AJ$4,0))))+SUMPRODUCT((Inputs!$C$5:$C$130=$B25)*ISNUMBER(INDEX(Inputs!$K$5:$AJ$130,0,MATCH(AC$2,Inputs!$K$4:$AJ$4,0))))+SUMPRODUCT((Inputs!$E$5:$E$130=$B25)*ISNUMBER(INDEX(Inputs!$K$5:$AJ$130,0,MATCH(AC$2,Inputs!$K$4:$AJ$4,0))))=0,NA(),SUMPRODUCT((Inputs!$A$5:$A$130=$B25)*Inputs!$B$5:$B$130*(((Inputs!$G$5:$G$130="moeda")+(Inputs!$G$5:$G$130="acoes"))*Inputs!$B$1+((Inputs!$G$5:$G$130&lt;&gt;"moeda")*(Inputs!$G$5:$G$130&lt;&gt;"acoes")))*INDEX(Inputs!$K$5:$AJ$130,0,MATCH(AC$2,Inputs!$K$4:$AJ$4,0)))+SUMPRODUCT((Inputs!$C$5:$C$130=$B25)*Inputs!$D$5:$D$130*(((Inputs!$G$5:$G$130="moeda")+(Inputs!$G$5:$G$130="acoes"))*Inputs!$B$1+((Inputs!$G$5:$G$130&lt;&gt;"moeda")*(Inputs!$G$5:$G$130&lt;&gt;"acoes")))*INDEX(Inputs!$K$5:$AJ$130,0,MATCH(AC$2,Inputs!$K$4:$AJ$4,0)))+SUMPRODUCT((Inputs!$E$5:$E$130=$B25)*Inputs!$F$5:$F$130*(((Inputs!$G$5:$G$130="moeda")+(Inputs!$G$5:$G$130="acoes"))*Inputs!$B$1+((Inputs!$G$5:$G$130&lt;&gt;"moeda")*(Inputs!$G$5:$G$130&lt;&gt;"acoes")))*INDEX(Inputs!$K$5:$AJ$130,0,MATCH(AC$2,Inputs!$K$4:$AJ$4,0)))))</f>
        <v>975</v>
      </c>
      <c r="AD25" s="6">
        <f>IF(ISNA(MATCH(AD$2,Inputs!$K$4:$AJ$4,0)),NA(),IF(SUMPRODUCT((Inputs!$A$5:$A$130=$B25)*ISNUMBER(INDEX(Inputs!$K$5:$AJ$130,0,MATCH(AD$2,Inputs!$K$4:$AJ$4,0))))+SUMPRODUCT((Inputs!$C$5:$C$130=$B25)*ISNUMBER(INDEX(Inputs!$K$5:$AJ$130,0,MATCH(AD$2,Inputs!$K$4:$AJ$4,0))))+SUMPRODUCT((Inputs!$E$5:$E$130=$B25)*ISNUMBER(INDEX(Inputs!$K$5:$AJ$130,0,MATCH(AD$2,Inputs!$K$4:$AJ$4,0))))=0,NA(),SUMPRODUCT((Inputs!$A$5:$A$130=$B25)*Inputs!$B$5:$B$130*(((Inputs!$G$5:$G$130="moeda")+(Inputs!$G$5:$G$130="acoes"))*Inputs!$B$1+((Inputs!$G$5:$G$130&lt;&gt;"moeda")*(Inputs!$G$5:$G$130&lt;&gt;"acoes")))*INDEX(Inputs!$K$5:$AJ$130,0,MATCH(AD$2,Inputs!$K$4:$AJ$4,0)))+SUMPRODUCT((Inputs!$C$5:$C$130=$B25)*Inputs!$D$5:$D$130*(((Inputs!$G$5:$G$130="moeda")+(Inputs!$G$5:$G$130="acoes"))*Inputs!$B$1+((Inputs!$G$5:$G$130&lt;&gt;"moeda")*(Inputs!$G$5:$G$130&lt;&gt;"acoes")))*INDEX(Inputs!$K$5:$AJ$130,0,MATCH(AD$2,Inputs!$K$4:$AJ$4,0)))+SUMPRODUCT((Inputs!$E$5:$E$130=$B25)*Inputs!$F$5:$F$130*(((Inputs!$G$5:$G$130="moeda")+(Inputs!$G$5:$G$130="acoes"))*Inputs!$B$1+((Inputs!$G$5:$G$130&lt;&gt;"moeda")*(Inputs!$G$5:$G$130&lt;&gt;"acoes")))*INDEX(Inputs!$K$5:$AJ$130,0,MATCH(AD$2,Inputs!$K$4:$AJ$4,0)))))</f>
        <v>940</v>
      </c>
      <c r="AE25" s="6" t="e">
        <f>IF(ISNA(MATCH(AE$2,Inputs!$K$4:$AJ$4,0)),NA(),IF(SUMPRODUCT((Inputs!$A$5:$A$130=$B25)*ISNUMBER(INDEX(Inputs!$K$5:$AJ$130,0,MATCH(AE$2,Inputs!$K$4:$AJ$4,0))))+SUMPRODUCT((Inputs!$C$5:$C$130=$B25)*ISNUMBER(INDEX(Inputs!$K$5:$AJ$130,0,MATCH(AE$2,Inputs!$K$4:$AJ$4,0))))+SUMPRODUCT((Inputs!$E$5:$E$130=$B25)*ISNUMBER(INDEX(Inputs!$K$5:$AJ$130,0,MATCH(AE$2,Inputs!$K$4:$AJ$4,0))))=0,NA(),SUMPRODUCT((Inputs!$A$5:$A$130=$B25)*Inputs!$B$5:$B$130*(((Inputs!$G$5:$G$130="moeda")+(Inputs!$G$5:$G$130="acoes"))*Inputs!$B$1+((Inputs!$G$5:$G$130&lt;&gt;"moeda")*(Inputs!$G$5:$G$130&lt;&gt;"acoes")))*INDEX(Inputs!$K$5:$AJ$130,0,MATCH(AE$2,Inputs!$K$4:$AJ$4,0)))+SUMPRODUCT((Inputs!$C$5:$C$130=$B25)*Inputs!$D$5:$D$130*(((Inputs!$G$5:$G$130="moeda")+(Inputs!$G$5:$G$130="acoes"))*Inputs!$B$1+((Inputs!$G$5:$G$130&lt;&gt;"moeda")*(Inputs!$G$5:$G$130&lt;&gt;"acoes")))*INDEX(Inputs!$K$5:$AJ$130,0,MATCH(AE$2,Inputs!$K$4:$AJ$4,0)))+SUMPRODUCT((Inputs!$E$5:$E$130=$B25)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5" s="6" t="e">
        <f>IF(ISNA(MATCH(AF$2,Inputs!$K$4:$AJ$4,0)),NA(),IF(SUMPRODUCT((Inputs!$A$5:$A$130=$B25)*ISNUMBER(INDEX(Inputs!$K$5:$AJ$130,0,MATCH(AF$2,Inputs!$K$4:$AJ$4,0))))+SUMPRODUCT((Inputs!$C$5:$C$130=$B25)*ISNUMBER(INDEX(Inputs!$K$5:$AJ$130,0,MATCH(AF$2,Inputs!$K$4:$AJ$4,0))))+SUMPRODUCT((Inputs!$E$5:$E$130=$B25)*ISNUMBER(INDEX(Inputs!$K$5:$AJ$130,0,MATCH(AF$2,Inputs!$K$4:$AJ$4,0))))=0,NA(),SUMPRODUCT((Inputs!$A$5:$A$130=$B25)*Inputs!$B$5:$B$130*(((Inputs!$G$5:$G$130="moeda")+(Inputs!$G$5:$G$130="acoes"))*Inputs!$B$1+((Inputs!$G$5:$G$130&lt;&gt;"moeda")*(Inputs!$G$5:$G$130&lt;&gt;"acoes")))*INDEX(Inputs!$K$5:$AJ$130,0,MATCH(AF$2,Inputs!$K$4:$AJ$4,0)))+SUMPRODUCT((Inputs!$C$5:$C$130=$B25)*Inputs!$D$5:$D$130*(((Inputs!$G$5:$G$130="moeda")+(Inputs!$G$5:$G$130="acoes"))*Inputs!$B$1+((Inputs!$G$5:$G$130&lt;&gt;"moeda")*(Inputs!$G$5:$G$130&lt;&gt;"acoes")))*INDEX(Inputs!$K$5:$AJ$130,0,MATCH(AF$2,Inputs!$K$4:$AJ$4,0)))+SUMPRODUCT((Inputs!$E$5:$E$130=$B25)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5" s="3" t="e">
        <f>AF25</f>
        <v>#N/A</v>
      </c>
      <c r="AH25" s="6">
        <f>IF(ISNA(MATCH(AH$2,Inputs!$K$4:$AJ$4,0)),NA(),IF(SUMPRODUCT((Inputs!$A$5:$A$130=$B25)*ISNUMBER(INDEX(Inputs!$K$5:$AJ$130,0,MATCH(AH$2,Inputs!$K$4:$AJ$4,0))))+SUMPRODUCT((Inputs!$C$5:$C$130=$B25)*ISNUMBER(INDEX(Inputs!$K$5:$AJ$130,0,MATCH(AH$2,Inputs!$K$4:$AJ$4,0))))+SUMPRODUCT((Inputs!$E$5:$E$130=$B25)*ISNUMBER(INDEX(Inputs!$K$5:$AJ$130,0,MATCH(AH$2,Inputs!$K$4:$AJ$4,0))))=0,NA(),SUMPRODUCT((Inputs!$A$5:$A$130=$B25)*Inputs!$B$5:$B$130*(((Inputs!$G$5:$G$130="moeda")+(Inputs!$G$5:$G$130="acoes"))*Inputs!$B$1+((Inputs!$G$5:$G$130&lt;&gt;"moeda")*(Inputs!$G$5:$G$130&lt;&gt;"acoes")))*INDEX(Inputs!$K$5:$AJ$130,0,MATCH(AH$2,Inputs!$K$4:$AJ$4,0)))+SUMPRODUCT((Inputs!$C$5:$C$130=$B25)*Inputs!$D$5:$D$130*(((Inputs!$G$5:$G$130="moeda")+(Inputs!$G$5:$G$130="acoes"))*Inputs!$B$1+((Inputs!$G$5:$G$130&lt;&gt;"moeda")*(Inputs!$G$5:$G$130&lt;&gt;"acoes")))*INDEX(Inputs!$K$5:$AJ$130,0,MATCH(AH$2,Inputs!$K$4:$AJ$4,0)))+SUMPRODUCT((Inputs!$E$5:$E$130=$B25)*Inputs!$F$5:$F$130*(((Inputs!$G$5:$G$130="moeda")+(Inputs!$G$5:$G$130="acoes"))*Inputs!$B$1+((Inputs!$G$5:$G$130&lt;&gt;"moeda")*(Inputs!$G$5:$G$130&lt;&gt;"acoes")))*INDEX(Inputs!$K$5:$AJ$130,0,MATCH(AH$2,Inputs!$K$4:$AJ$4,0)))))</f>
        <v>1311</v>
      </c>
      <c r="AI25" s="6">
        <f>IF(ISNA(MATCH(AI$2,Inputs!$K$4:$AJ$4,0)),NA(),IF(SUMPRODUCT((Inputs!$A$5:$A$130=$B25)*ISNUMBER(INDEX(Inputs!$K$5:$AJ$130,0,MATCH(AI$2,Inputs!$K$4:$AJ$4,0))))+SUMPRODUCT((Inputs!$C$5:$C$130=$B25)*ISNUMBER(INDEX(Inputs!$K$5:$AJ$130,0,MATCH(AI$2,Inputs!$K$4:$AJ$4,0))))+SUMPRODUCT((Inputs!$E$5:$E$130=$B25)*ISNUMBER(INDEX(Inputs!$K$5:$AJ$130,0,MATCH(AI$2,Inputs!$K$4:$AJ$4,0))))=0,NA(),SUMPRODUCT((Inputs!$A$5:$A$130=$B25)*Inputs!$B$5:$B$130*(((Inputs!$G$5:$G$130="moeda")+(Inputs!$G$5:$G$130="acoes"))*Inputs!$B$1+((Inputs!$G$5:$G$130&lt;&gt;"moeda")*(Inputs!$G$5:$G$130&lt;&gt;"acoes")))*INDEX(Inputs!$K$5:$AJ$130,0,MATCH(AI$2,Inputs!$K$4:$AJ$4,0)))+SUMPRODUCT((Inputs!$C$5:$C$130=$B25)*Inputs!$D$5:$D$130*(((Inputs!$G$5:$G$130="moeda")+(Inputs!$G$5:$G$130="acoes"))*Inputs!$B$1+((Inputs!$G$5:$G$130&lt;&gt;"moeda")*(Inputs!$G$5:$G$130&lt;&gt;"acoes")))*INDEX(Inputs!$K$5:$AJ$130,0,MATCH(AI$2,Inputs!$K$4:$AJ$4,0)))+SUMPRODUCT((Inputs!$E$5:$E$130=$B25)*Inputs!$F$5:$F$130*(((Inputs!$G$5:$G$130="moeda")+(Inputs!$G$5:$G$130="acoes"))*Inputs!$B$1+((Inputs!$G$5:$G$130&lt;&gt;"moeda")*(Inputs!$G$5:$G$130&lt;&gt;"acoes")))*INDEX(Inputs!$K$5:$AJ$130,0,MATCH(AI$2,Inputs!$K$4:$AJ$4,0)))))</f>
        <v>1301</v>
      </c>
      <c r="AJ25" s="6">
        <f>IF(ISNA(MATCH(AJ$2,Inputs!$K$4:$AJ$4,0)),NA(),IF(SUMPRODUCT((Inputs!$A$5:$A$130=$B25)*ISNUMBER(INDEX(Inputs!$K$5:$AJ$130,0,MATCH(AJ$2,Inputs!$K$4:$AJ$4,0))))+SUMPRODUCT((Inputs!$C$5:$C$130=$B25)*ISNUMBER(INDEX(Inputs!$K$5:$AJ$130,0,MATCH(AJ$2,Inputs!$K$4:$AJ$4,0))))+SUMPRODUCT((Inputs!$E$5:$E$130=$B25)*ISNUMBER(INDEX(Inputs!$K$5:$AJ$130,0,MATCH(AJ$2,Inputs!$K$4:$AJ$4,0))))=0,NA(),SUMPRODUCT((Inputs!$A$5:$A$130=$B25)*Inputs!$B$5:$B$130*(((Inputs!$G$5:$G$130="moeda")+(Inputs!$G$5:$G$130="acoes"))*Inputs!$B$1+((Inputs!$G$5:$G$130&lt;&gt;"moeda")*(Inputs!$G$5:$G$130&lt;&gt;"acoes")))*INDEX(Inputs!$K$5:$AJ$130,0,MATCH(AJ$2,Inputs!$K$4:$AJ$4,0)))+SUMPRODUCT((Inputs!$C$5:$C$130=$B25)*Inputs!$D$5:$D$130*(((Inputs!$G$5:$G$130="moeda")+(Inputs!$G$5:$G$130="acoes"))*Inputs!$B$1+((Inputs!$G$5:$G$130&lt;&gt;"moeda")*(Inputs!$G$5:$G$130&lt;&gt;"acoes")))*INDEX(Inputs!$K$5:$AJ$130,0,MATCH(AJ$2,Inputs!$K$4:$AJ$4,0)))+SUMPRODUCT((Inputs!$E$5:$E$130=$B25)*Inputs!$F$5:$F$130*(((Inputs!$G$5:$G$130="moeda")+(Inputs!$G$5:$G$130="acoes"))*Inputs!$B$1+((Inputs!$G$5:$G$130&lt;&gt;"moeda")*(Inputs!$G$5:$G$130&lt;&gt;"acoes")))*INDEX(Inputs!$K$5:$AJ$130,0,MATCH(AJ$2,Inputs!$K$4:$AJ$4,0)))))</f>
        <v>1327</v>
      </c>
      <c r="AK25" s="6">
        <f>IF(ISNA(MATCH(AK$2,Inputs!$K$4:$AJ$4,0)),NA(),IF(SUMPRODUCT((Inputs!$A$5:$A$130=$B25)*ISNUMBER(INDEX(Inputs!$K$5:$AJ$130,0,MATCH(AK$2,Inputs!$K$4:$AJ$4,0))))+SUMPRODUCT((Inputs!$C$5:$C$130=$B25)*ISNUMBER(INDEX(Inputs!$K$5:$AJ$130,0,MATCH(AK$2,Inputs!$K$4:$AJ$4,0))))+SUMPRODUCT((Inputs!$E$5:$E$130=$B25)*ISNUMBER(INDEX(Inputs!$K$5:$AJ$130,0,MATCH(AK$2,Inputs!$K$4:$AJ$4,0))))=0,NA(),SUMPRODUCT((Inputs!$A$5:$A$130=$B25)*Inputs!$B$5:$B$130*(((Inputs!$G$5:$G$130="moeda")+(Inputs!$G$5:$G$130="acoes"))*Inputs!$B$1+((Inputs!$G$5:$G$130&lt;&gt;"moeda")*(Inputs!$G$5:$G$130&lt;&gt;"acoes")))*INDEX(Inputs!$K$5:$AJ$130,0,MATCH(AK$2,Inputs!$K$4:$AJ$4,0)))+SUMPRODUCT((Inputs!$C$5:$C$130=$B25)*Inputs!$D$5:$D$130*(((Inputs!$G$5:$G$130="moeda")+(Inputs!$G$5:$G$130="acoes"))*Inputs!$B$1+((Inputs!$G$5:$G$130&lt;&gt;"moeda")*(Inputs!$G$5:$G$130&lt;&gt;"acoes")))*INDEX(Inputs!$K$5:$AJ$130,0,MATCH(AK$2,Inputs!$K$4:$AJ$4,0)))+SUMPRODUCT((Inputs!$E$5:$E$130=$B25)*Inputs!$F$5:$F$130*(((Inputs!$G$5:$G$130="moeda")+(Inputs!$G$5:$G$130="acoes"))*Inputs!$B$1+((Inputs!$G$5:$G$130&lt;&gt;"moeda")*(Inputs!$G$5:$G$130&lt;&gt;"acoes")))*INDEX(Inputs!$K$5:$AJ$130,0,MATCH(AK$2,Inputs!$K$4:$AJ$4,0)))))</f>
        <v>1342</v>
      </c>
      <c r="AL25" s="3">
        <f>AK25</f>
        <v>1342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$130=$B26)*ISNUMBER(INDEX(Inputs!$K$5:$AJ$130,0,MATCH(D$2,Inputs!$K$4:$AJ$4,0))))+SUMPRODUCT((Inputs!$C$5:$C$130=$B26)*ISNUMBER(INDEX(Inputs!$K$5:$AJ$130,0,MATCH(D$2,Inputs!$K$4:$AJ$4,0))))+SUMPRODUCT((Inputs!$E$5:$E$130=$B26)*ISNUMBER(INDEX(Inputs!$K$5:$AJ$130,0,MATCH(D$2,Inputs!$K$4:$AJ$4,0))))=0,NA(),SUMPRODUCT((Inputs!$A$5:$A$130=$B26)*Inputs!$B$5:$B$130*(((Inputs!$G$5:$G$130="moeda")+(Inputs!$G$5:$G$130="acoes"))*Inputs!$B$1+((Inputs!$G$5:$G$130&lt;&gt;"moeda")*(Inputs!$G$5:$G$130&lt;&gt;"acoes")))*INDEX(Inputs!$K$5:$AJ$130,0,MATCH(D$2,Inputs!$K$4:$AJ$4,0)))+SUMPRODUCT((Inputs!$C$5:$C$130=$B26)*Inputs!$D$5:$D$130*(((Inputs!$G$5:$G$130="moeda")+(Inputs!$G$5:$G$130="acoes"))*Inputs!$B$1+((Inputs!$G$5:$G$130&lt;&gt;"moeda")*(Inputs!$G$5:$G$130&lt;&gt;"acoes")))*INDEX(Inputs!$K$5:$AJ$130,0,MATCH(D$2,Inputs!$K$4:$AJ$4,0)))+SUMPRODUCT((Inputs!$E$5:$E$130=$B26)*Inputs!$F$5:$F$130*(((Inputs!$G$5:$G$130="moeda")+(Inputs!$G$5:$G$130="acoes"))*Inputs!$B$1+((Inputs!$G$5:$G$130&lt;&gt;"moeda")*(Inputs!$G$5:$G$130&lt;&gt;"acoes")))*INDEX(Inputs!$K$5:$AJ$130,0,MATCH(D$2,Inputs!$K$4:$AJ$4,0)))))</f>
        <v>0</v>
      </c>
      <c r="E26" s="6">
        <f>IF(ISNA(MATCH(E$2,Inputs!$K$4:$AJ$4,0)),NA(),IF(SUMPRODUCT((Inputs!$A$5:$A$130=$B26)*ISNUMBER(INDEX(Inputs!$K$5:$AJ$130,0,MATCH(E$2,Inputs!$K$4:$AJ$4,0))))+SUMPRODUCT((Inputs!$C$5:$C$130=$B26)*ISNUMBER(INDEX(Inputs!$K$5:$AJ$130,0,MATCH(E$2,Inputs!$K$4:$AJ$4,0))))+SUMPRODUCT((Inputs!$E$5:$E$130=$B26)*ISNUMBER(INDEX(Inputs!$K$5:$AJ$130,0,MATCH(E$2,Inputs!$K$4:$AJ$4,0))))=0,NA(),SUMPRODUCT((Inputs!$A$5:$A$130=$B26)*Inputs!$B$5:$B$130*(((Inputs!$G$5:$G$130="moeda")+(Inputs!$G$5:$G$130="acoes"))*Inputs!$B$1+((Inputs!$G$5:$G$130&lt;&gt;"moeda")*(Inputs!$G$5:$G$130&lt;&gt;"acoes")))*INDEX(Inputs!$K$5:$AJ$130,0,MATCH(E$2,Inputs!$K$4:$AJ$4,0)))+SUMPRODUCT((Inputs!$C$5:$C$130=$B26)*Inputs!$D$5:$D$130*(((Inputs!$G$5:$G$130="moeda")+(Inputs!$G$5:$G$130="acoes"))*Inputs!$B$1+((Inputs!$G$5:$G$130&lt;&gt;"moeda")*(Inputs!$G$5:$G$130&lt;&gt;"acoes")))*INDEX(Inputs!$K$5:$AJ$130,0,MATCH(E$2,Inputs!$K$4:$AJ$4,0)))+SUMPRODUCT((Inputs!$E$5:$E$130=$B26)*Inputs!$F$5:$F$130*(((Inputs!$G$5:$G$130="moeda")+(Inputs!$G$5:$G$130="acoes"))*Inputs!$B$1+((Inputs!$G$5:$G$130&lt;&gt;"moeda")*(Inputs!$G$5:$G$130&lt;&gt;"acoes")))*INDEX(Inputs!$K$5:$AJ$130,0,MATCH(E$2,Inputs!$K$4:$AJ$4,0)))))</f>
        <v>0</v>
      </c>
      <c r="F26" s="6">
        <f>IF(ISNA(MATCH(F$2,Inputs!$K$4:$AJ$4,0)),NA(),IF(SUMPRODUCT((Inputs!$A$5:$A$130=$B26)*ISNUMBER(INDEX(Inputs!$K$5:$AJ$130,0,MATCH(F$2,Inputs!$K$4:$AJ$4,0))))+SUMPRODUCT((Inputs!$C$5:$C$130=$B26)*ISNUMBER(INDEX(Inputs!$K$5:$AJ$130,0,MATCH(F$2,Inputs!$K$4:$AJ$4,0))))+SUMPRODUCT((Inputs!$E$5:$E$130=$B26)*ISNUMBER(INDEX(Inputs!$K$5:$AJ$130,0,MATCH(F$2,Inputs!$K$4:$AJ$4,0))))=0,NA(),SUMPRODUCT((Inputs!$A$5:$A$130=$B26)*Inputs!$B$5:$B$130*(((Inputs!$G$5:$G$130="moeda")+(Inputs!$G$5:$G$130="acoes"))*Inputs!$B$1+((Inputs!$G$5:$G$130&lt;&gt;"moeda")*(Inputs!$G$5:$G$130&lt;&gt;"acoes")))*INDEX(Inputs!$K$5:$AJ$130,0,MATCH(F$2,Inputs!$K$4:$AJ$4,0)))+SUMPRODUCT((Inputs!$C$5:$C$130=$B26)*Inputs!$D$5:$D$130*(((Inputs!$G$5:$G$130="moeda")+(Inputs!$G$5:$G$130="acoes"))*Inputs!$B$1+((Inputs!$G$5:$G$130&lt;&gt;"moeda")*(Inputs!$G$5:$G$130&lt;&gt;"acoes")))*INDEX(Inputs!$K$5:$AJ$130,0,MATCH(F$2,Inputs!$K$4:$AJ$4,0)))+SUMPRODUCT((Inputs!$E$5:$E$130=$B26)*Inputs!$F$5:$F$130*(((Inputs!$G$5:$G$130="moeda")+(Inputs!$G$5:$G$130="acoes"))*Inputs!$B$1+((Inputs!$G$5:$G$130&lt;&gt;"moeda")*(Inputs!$G$5:$G$130&lt;&gt;"acoes")))*INDEX(Inputs!$K$5:$AJ$130,0,MATCH(F$2,Inputs!$K$4:$AJ$4,0)))))</f>
        <v>0</v>
      </c>
      <c r="G26" s="6">
        <f>IF(ISNA(MATCH(G$2,Inputs!$K$4:$AJ$4,0)),NA(),IF(SUMPRODUCT((Inputs!$A$5:$A$130=$B26)*ISNUMBER(INDEX(Inputs!$K$5:$AJ$130,0,MATCH(G$2,Inputs!$K$4:$AJ$4,0))))+SUMPRODUCT((Inputs!$C$5:$C$130=$B26)*ISNUMBER(INDEX(Inputs!$K$5:$AJ$130,0,MATCH(G$2,Inputs!$K$4:$AJ$4,0))))+SUMPRODUCT((Inputs!$E$5:$E$130=$B26)*ISNUMBER(INDEX(Inputs!$K$5:$AJ$130,0,MATCH(G$2,Inputs!$K$4:$AJ$4,0))))=0,NA(),SUMPRODUCT((Inputs!$A$5:$A$130=$B26)*Inputs!$B$5:$B$130*(((Inputs!$G$5:$G$130="moeda")+(Inputs!$G$5:$G$130="acoes"))*Inputs!$B$1+((Inputs!$G$5:$G$130&lt;&gt;"moeda")*(Inputs!$G$5:$G$130&lt;&gt;"acoes")))*INDEX(Inputs!$K$5:$AJ$130,0,MATCH(G$2,Inputs!$K$4:$AJ$4,0)))+SUMPRODUCT((Inputs!$C$5:$C$130=$B26)*Inputs!$D$5:$D$130*(((Inputs!$G$5:$G$130="moeda")+(Inputs!$G$5:$G$130="acoes"))*Inputs!$B$1+((Inputs!$G$5:$G$130&lt;&gt;"moeda")*(Inputs!$G$5:$G$130&lt;&gt;"acoes")))*INDEX(Inputs!$K$5:$AJ$130,0,MATCH(G$2,Inputs!$K$4:$AJ$4,0)))+SUMPRODUCT((Inputs!$E$5:$E$130=$B26)*Inputs!$F$5:$F$130*(((Inputs!$G$5:$G$130="moeda")+(Inputs!$G$5:$G$130="acoes"))*Inputs!$B$1+((Inputs!$G$5:$G$130&lt;&gt;"moeda")*(Inputs!$G$5:$G$130&lt;&gt;"acoes")))*INDEX(Inputs!$K$5:$AJ$130,0,MATCH(G$2,Inputs!$K$4:$AJ$4,0)))))</f>
        <v>0</v>
      </c>
      <c r="H26" s="3">
        <f>G26</f>
        <v>0</v>
      </c>
      <c r="I26" s="6">
        <f>IF(ISNA(MATCH(I$2,Inputs!$K$4:$AJ$4,0)),NA(),IF(SUMPRODUCT((Inputs!$A$5:$A$130=$B26)*ISNUMBER(INDEX(Inputs!$K$5:$AJ$130,0,MATCH(I$2,Inputs!$K$4:$AJ$4,0))))+SUMPRODUCT((Inputs!$C$5:$C$130=$B26)*ISNUMBER(INDEX(Inputs!$K$5:$AJ$130,0,MATCH(I$2,Inputs!$K$4:$AJ$4,0))))+SUMPRODUCT((Inputs!$E$5:$E$130=$B26)*ISNUMBER(INDEX(Inputs!$K$5:$AJ$130,0,MATCH(I$2,Inputs!$K$4:$AJ$4,0))))=0,NA(),SUMPRODUCT((Inputs!$A$5:$A$130=$B26)*Inputs!$B$5:$B$130*(((Inputs!$G$5:$G$130="moeda")+(Inputs!$G$5:$G$130="acoes"))*Inputs!$B$1+((Inputs!$G$5:$G$130&lt;&gt;"moeda")*(Inputs!$G$5:$G$130&lt;&gt;"acoes")))*INDEX(Inputs!$K$5:$AJ$130,0,MATCH(I$2,Inputs!$K$4:$AJ$4,0)))+SUMPRODUCT((Inputs!$C$5:$C$130=$B26)*Inputs!$D$5:$D$130*(((Inputs!$G$5:$G$130="moeda")+(Inputs!$G$5:$G$130="acoes"))*Inputs!$B$1+((Inputs!$G$5:$G$130&lt;&gt;"moeda")*(Inputs!$G$5:$G$130&lt;&gt;"acoes")))*INDEX(Inputs!$K$5:$AJ$130,0,MATCH(I$2,Inputs!$K$4:$AJ$4,0)))+SUMPRODUCT((Inputs!$E$5:$E$130=$B26)*Inputs!$F$5:$F$130*(((Inputs!$G$5:$G$130="moeda")+(Inputs!$G$5:$G$130="acoes"))*Inputs!$B$1+((Inputs!$G$5:$G$130&lt;&gt;"moeda")*(Inputs!$G$5:$G$130&lt;&gt;"acoes")))*INDEX(Inputs!$K$5:$AJ$130,0,MATCH(I$2,Inputs!$K$4:$AJ$4,0)))))</f>
        <v>0</v>
      </c>
      <c r="J26" s="6">
        <f>IF(ISNA(MATCH(J$2,Inputs!$K$4:$AJ$4,0)),NA(),IF(SUMPRODUCT((Inputs!$A$5:$A$130=$B26)*ISNUMBER(INDEX(Inputs!$K$5:$AJ$130,0,MATCH(J$2,Inputs!$K$4:$AJ$4,0))))+SUMPRODUCT((Inputs!$C$5:$C$130=$B26)*ISNUMBER(INDEX(Inputs!$K$5:$AJ$130,0,MATCH(J$2,Inputs!$K$4:$AJ$4,0))))+SUMPRODUCT((Inputs!$E$5:$E$130=$B26)*ISNUMBER(INDEX(Inputs!$K$5:$AJ$130,0,MATCH(J$2,Inputs!$K$4:$AJ$4,0))))=0,NA(),SUMPRODUCT((Inputs!$A$5:$A$130=$B26)*Inputs!$B$5:$B$130*(((Inputs!$G$5:$G$130="moeda")+(Inputs!$G$5:$G$130="acoes"))*Inputs!$B$1+((Inputs!$G$5:$G$130&lt;&gt;"moeda")*(Inputs!$G$5:$G$130&lt;&gt;"acoes")))*INDEX(Inputs!$K$5:$AJ$130,0,MATCH(J$2,Inputs!$K$4:$AJ$4,0)))+SUMPRODUCT((Inputs!$C$5:$C$130=$B26)*Inputs!$D$5:$D$130*(((Inputs!$G$5:$G$130="moeda")+(Inputs!$G$5:$G$130="acoes"))*Inputs!$B$1+((Inputs!$G$5:$G$130&lt;&gt;"moeda")*(Inputs!$G$5:$G$130&lt;&gt;"acoes")))*INDEX(Inputs!$K$5:$AJ$130,0,MATCH(J$2,Inputs!$K$4:$AJ$4,0)))+SUMPRODUCT((Inputs!$E$5:$E$130=$B26)*Inputs!$F$5:$F$130*(((Inputs!$G$5:$G$130="moeda")+(Inputs!$G$5:$G$130="acoes"))*Inputs!$B$1+((Inputs!$G$5:$G$130&lt;&gt;"moeda")*(Inputs!$G$5:$G$130&lt;&gt;"acoes")))*INDEX(Inputs!$K$5:$AJ$130,0,MATCH(J$2,Inputs!$K$4:$AJ$4,0)))))</f>
        <v>40197</v>
      </c>
      <c r="K26" s="6">
        <f>IF(ISNA(MATCH(K$2,Inputs!$K$4:$AJ$4,0)),NA(),IF(SUMPRODUCT((Inputs!$A$5:$A$130=$B26)*ISNUMBER(INDEX(Inputs!$K$5:$AJ$130,0,MATCH(K$2,Inputs!$K$4:$AJ$4,0))))+SUMPRODUCT((Inputs!$C$5:$C$130=$B26)*ISNUMBER(INDEX(Inputs!$K$5:$AJ$130,0,MATCH(K$2,Inputs!$K$4:$AJ$4,0))))+SUMPRODUCT((Inputs!$E$5:$E$130=$B26)*ISNUMBER(INDEX(Inputs!$K$5:$AJ$130,0,MATCH(K$2,Inputs!$K$4:$AJ$4,0))))=0,NA(),SUMPRODUCT((Inputs!$A$5:$A$130=$B26)*Inputs!$B$5:$B$130*(((Inputs!$G$5:$G$130="moeda")+(Inputs!$G$5:$G$130="acoes"))*Inputs!$B$1+((Inputs!$G$5:$G$130&lt;&gt;"moeda")*(Inputs!$G$5:$G$130&lt;&gt;"acoes")))*INDEX(Inputs!$K$5:$AJ$130,0,MATCH(K$2,Inputs!$K$4:$AJ$4,0)))+SUMPRODUCT((Inputs!$C$5:$C$130=$B26)*Inputs!$D$5:$D$130*(((Inputs!$G$5:$G$130="moeda")+(Inputs!$G$5:$G$130="acoes"))*Inputs!$B$1+((Inputs!$G$5:$G$130&lt;&gt;"moeda")*(Inputs!$G$5:$G$130&lt;&gt;"acoes")))*INDEX(Inputs!$K$5:$AJ$130,0,MATCH(K$2,Inputs!$K$4:$AJ$4,0)))+SUMPRODUCT((Inputs!$E$5:$E$130=$B26)*Inputs!$F$5:$F$130*(((Inputs!$G$5:$G$130="moeda")+(Inputs!$G$5:$G$130="acoes"))*Inputs!$B$1+((Inputs!$G$5:$G$130&lt;&gt;"moeda")*(Inputs!$G$5:$G$130&lt;&gt;"acoes")))*INDEX(Inputs!$K$5:$AJ$130,0,MATCH(K$2,Inputs!$K$4:$AJ$4,0)))))</f>
        <v>42570</v>
      </c>
      <c r="L26" s="6">
        <f>IF(ISNA(MATCH(L$2,Inputs!$K$4:$AJ$4,0)),NA(),IF(SUMPRODUCT((Inputs!$A$5:$A$130=$B26)*ISNUMBER(INDEX(Inputs!$K$5:$AJ$130,0,MATCH(L$2,Inputs!$K$4:$AJ$4,0))))+SUMPRODUCT((Inputs!$C$5:$C$130=$B26)*ISNUMBER(INDEX(Inputs!$K$5:$AJ$130,0,MATCH(L$2,Inputs!$K$4:$AJ$4,0))))+SUMPRODUCT((Inputs!$E$5:$E$130=$B26)*ISNUMBER(INDEX(Inputs!$K$5:$AJ$130,0,MATCH(L$2,Inputs!$K$4:$AJ$4,0))))=0,NA(),SUMPRODUCT((Inputs!$A$5:$A$130=$B26)*Inputs!$B$5:$B$130*(((Inputs!$G$5:$G$130="moeda")+(Inputs!$G$5:$G$130="acoes"))*Inputs!$B$1+((Inputs!$G$5:$G$130&lt;&gt;"moeda")*(Inputs!$G$5:$G$130&lt;&gt;"acoes")))*INDEX(Inputs!$K$5:$AJ$130,0,MATCH(L$2,Inputs!$K$4:$AJ$4,0)))+SUMPRODUCT((Inputs!$C$5:$C$130=$B26)*Inputs!$D$5:$D$130*(((Inputs!$G$5:$G$130="moeda")+(Inputs!$G$5:$G$130="acoes"))*Inputs!$B$1+((Inputs!$G$5:$G$130&lt;&gt;"moeda")*(Inputs!$G$5:$G$130&lt;&gt;"acoes")))*INDEX(Inputs!$K$5:$AJ$130,0,MATCH(L$2,Inputs!$K$4:$AJ$4,0)))+SUMPRODUCT((Inputs!$E$5:$E$130=$B26)*Inputs!$F$5:$F$130*(((Inputs!$G$5:$G$130="moeda")+(Inputs!$G$5:$G$130="acoes"))*Inputs!$B$1+((Inputs!$G$5:$G$130&lt;&gt;"moeda")*(Inputs!$G$5:$G$130&lt;&gt;"acoes")))*INDEX(Inputs!$K$5:$AJ$130,0,MATCH(L$2,Inputs!$K$4:$AJ$4,0)))))</f>
        <v>41971</v>
      </c>
      <c r="M26" s="3">
        <f>L26</f>
        <v>41971</v>
      </c>
      <c r="N26" s="6">
        <f>IF(ISNA(MATCH(N$2,Inputs!$K$4:$AJ$4,0)),NA(),IF(SUMPRODUCT((Inputs!$A$5:$A$130=$B26)*ISNUMBER(INDEX(Inputs!$K$5:$AJ$130,0,MATCH(N$2,Inputs!$K$4:$AJ$4,0))))+SUMPRODUCT((Inputs!$C$5:$C$130=$B26)*ISNUMBER(INDEX(Inputs!$K$5:$AJ$130,0,MATCH(N$2,Inputs!$K$4:$AJ$4,0))))+SUMPRODUCT((Inputs!$E$5:$E$130=$B26)*ISNUMBER(INDEX(Inputs!$K$5:$AJ$130,0,MATCH(N$2,Inputs!$K$4:$AJ$4,0))))=0,NA(),SUMPRODUCT((Inputs!$A$5:$A$130=$B26)*Inputs!$B$5:$B$130*(((Inputs!$G$5:$G$130="moeda")+(Inputs!$G$5:$G$130="acoes"))*Inputs!$B$1+((Inputs!$G$5:$G$130&lt;&gt;"moeda")*(Inputs!$G$5:$G$130&lt;&gt;"acoes")))*INDEX(Inputs!$K$5:$AJ$130,0,MATCH(N$2,Inputs!$K$4:$AJ$4,0)))+SUMPRODUCT((Inputs!$C$5:$C$130=$B26)*Inputs!$D$5:$D$130*(((Inputs!$G$5:$G$130="moeda")+(Inputs!$G$5:$G$130="acoes"))*Inputs!$B$1+((Inputs!$G$5:$G$130&lt;&gt;"moeda")*(Inputs!$G$5:$G$130&lt;&gt;"acoes")))*INDEX(Inputs!$K$5:$AJ$130,0,MATCH(N$2,Inputs!$K$4:$AJ$4,0)))+SUMPRODUCT((Inputs!$E$5:$E$130=$B26)*Inputs!$F$5:$F$130*(((Inputs!$G$5:$G$130="moeda")+(Inputs!$G$5:$G$130="acoes"))*Inputs!$B$1+((Inputs!$G$5:$G$130&lt;&gt;"moeda")*(Inputs!$G$5:$G$130&lt;&gt;"acoes")))*INDEX(Inputs!$K$5:$AJ$130,0,MATCH(N$2,Inputs!$K$4:$AJ$4,0)))))</f>
        <v>44613</v>
      </c>
      <c r="O26" s="6">
        <f>IF(ISNA(MATCH(O$2,Inputs!$K$4:$AJ$4,0)),NA(),IF(SUMPRODUCT((Inputs!$A$5:$A$130=$B26)*ISNUMBER(INDEX(Inputs!$K$5:$AJ$130,0,MATCH(O$2,Inputs!$K$4:$AJ$4,0))))+SUMPRODUCT((Inputs!$C$5:$C$130=$B26)*ISNUMBER(INDEX(Inputs!$K$5:$AJ$130,0,MATCH(O$2,Inputs!$K$4:$AJ$4,0))))+SUMPRODUCT((Inputs!$E$5:$E$130=$B26)*ISNUMBER(INDEX(Inputs!$K$5:$AJ$130,0,MATCH(O$2,Inputs!$K$4:$AJ$4,0))))=0,NA(),SUMPRODUCT((Inputs!$A$5:$A$130=$B26)*Inputs!$B$5:$B$130*(((Inputs!$G$5:$G$130="moeda")+(Inputs!$G$5:$G$130="acoes"))*Inputs!$B$1+((Inputs!$G$5:$G$130&lt;&gt;"moeda")*(Inputs!$G$5:$G$130&lt;&gt;"acoes")))*INDEX(Inputs!$K$5:$AJ$130,0,MATCH(O$2,Inputs!$K$4:$AJ$4,0)))+SUMPRODUCT((Inputs!$C$5:$C$130=$B26)*Inputs!$D$5:$D$130*(((Inputs!$G$5:$G$130="moeda")+(Inputs!$G$5:$G$130="acoes"))*Inputs!$B$1+((Inputs!$G$5:$G$130&lt;&gt;"moeda")*(Inputs!$G$5:$G$130&lt;&gt;"acoes")))*INDEX(Inputs!$K$5:$AJ$130,0,MATCH(O$2,Inputs!$K$4:$AJ$4,0)))+SUMPRODUCT((Inputs!$E$5:$E$130=$B26)*Inputs!$F$5:$F$130*(((Inputs!$G$5:$G$130="moeda")+(Inputs!$G$5:$G$130="acoes"))*Inputs!$B$1+((Inputs!$G$5:$G$130&lt;&gt;"moeda")*(Inputs!$G$5:$G$130&lt;&gt;"acoes")))*INDEX(Inputs!$K$5:$AJ$130,0,MATCH(O$2,Inputs!$K$4:$AJ$4,0)))))</f>
        <v>48303</v>
      </c>
      <c r="P26" s="6">
        <f>IF(ISNA(MATCH(P$2,Inputs!$K$4:$AJ$4,0)),NA(),IF(SUMPRODUCT((Inputs!$A$5:$A$130=$B26)*ISNUMBER(INDEX(Inputs!$K$5:$AJ$130,0,MATCH(P$2,Inputs!$K$4:$AJ$4,0))))+SUMPRODUCT((Inputs!$C$5:$C$130=$B26)*ISNUMBER(INDEX(Inputs!$K$5:$AJ$130,0,MATCH(P$2,Inputs!$K$4:$AJ$4,0))))+SUMPRODUCT((Inputs!$E$5:$E$130=$B26)*ISNUMBER(INDEX(Inputs!$K$5:$AJ$130,0,MATCH(P$2,Inputs!$K$4:$AJ$4,0))))=0,NA(),SUMPRODUCT((Inputs!$A$5:$A$130=$B26)*Inputs!$B$5:$B$130*(((Inputs!$G$5:$G$130="moeda")+(Inputs!$G$5:$G$130="acoes"))*Inputs!$B$1+((Inputs!$G$5:$G$130&lt;&gt;"moeda")*(Inputs!$G$5:$G$130&lt;&gt;"acoes")))*INDEX(Inputs!$K$5:$AJ$130,0,MATCH(P$2,Inputs!$K$4:$AJ$4,0)))+SUMPRODUCT((Inputs!$C$5:$C$130=$B26)*Inputs!$D$5:$D$130*(((Inputs!$G$5:$G$130="moeda")+(Inputs!$G$5:$G$130="acoes"))*Inputs!$B$1+((Inputs!$G$5:$G$130&lt;&gt;"moeda")*(Inputs!$G$5:$G$130&lt;&gt;"acoes")))*INDEX(Inputs!$K$5:$AJ$130,0,MATCH(P$2,Inputs!$K$4:$AJ$4,0)))+SUMPRODUCT((Inputs!$E$5:$E$130=$B26)*Inputs!$F$5:$F$130*(((Inputs!$G$5:$G$130="moeda")+(Inputs!$G$5:$G$130="acoes"))*Inputs!$B$1+((Inputs!$G$5:$G$130&lt;&gt;"moeda")*(Inputs!$G$5:$G$130&lt;&gt;"acoes")))*INDEX(Inputs!$K$5:$AJ$130,0,MATCH(P$2,Inputs!$K$4:$AJ$4,0)))))</f>
        <v>51008</v>
      </c>
      <c r="Q26" s="6">
        <f>IF(ISNA(MATCH(Q$2,Inputs!$K$4:$AJ$4,0)),NA(),IF(SUMPRODUCT((Inputs!$A$5:$A$130=$B26)*ISNUMBER(INDEX(Inputs!$K$5:$AJ$130,0,MATCH(Q$2,Inputs!$K$4:$AJ$4,0))))+SUMPRODUCT((Inputs!$C$5:$C$130=$B26)*ISNUMBER(INDEX(Inputs!$K$5:$AJ$130,0,MATCH(Q$2,Inputs!$K$4:$AJ$4,0))))+SUMPRODUCT((Inputs!$E$5:$E$130=$B26)*ISNUMBER(INDEX(Inputs!$K$5:$AJ$130,0,MATCH(Q$2,Inputs!$K$4:$AJ$4,0))))=0,NA(),SUMPRODUCT((Inputs!$A$5:$A$130=$B26)*Inputs!$B$5:$B$130*(((Inputs!$G$5:$G$130="moeda")+(Inputs!$G$5:$G$130="acoes"))*Inputs!$B$1+((Inputs!$G$5:$G$130&lt;&gt;"moeda")*(Inputs!$G$5:$G$130&lt;&gt;"acoes")))*INDEX(Inputs!$K$5:$AJ$130,0,MATCH(Q$2,Inputs!$K$4:$AJ$4,0)))+SUMPRODUCT((Inputs!$C$5:$C$130=$B26)*Inputs!$D$5:$D$130*(((Inputs!$G$5:$G$130="moeda")+(Inputs!$G$5:$G$130="acoes"))*Inputs!$B$1+((Inputs!$G$5:$G$130&lt;&gt;"moeda")*(Inputs!$G$5:$G$130&lt;&gt;"acoes")))*INDEX(Inputs!$K$5:$AJ$130,0,MATCH(Q$2,Inputs!$K$4:$AJ$4,0)))+SUMPRODUCT((Inputs!$E$5:$E$130=$B26)*Inputs!$F$5:$F$130*(((Inputs!$G$5:$G$130="moeda")+(Inputs!$G$5:$G$130="acoes"))*Inputs!$B$1+((Inputs!$G$5:$G$130&lt;&gt;"moeda")*(Inputs!$G$5:$G$130&lt;&gt;"acoes")))*INDEX(Inputs!$K$5:$AJ$130,0,MATCH(Q$2,Inputs!$K$4:$AJ$4,0)))))</f>
        <v>50108</v>
      </c>
      <c r="R26" s="3">
        <f>Q26</f>
        <v>50108</v>
      </c>
      <c r="S26" s="6">
        <f>IF(ISNA(MATCH(S$2,Inputs!$K$4:$AJ$4,0)),NA(),IF(SUMPRODUCT((Inputs!$A$5:$A$130=$B26)*ISNUMBER(INDEX(Inputs!$K$5:$AJ$130,0,MATCH(S$2,Inputs!$K$4:$AJ$4,0))))+SUMPRODUCT((Inputs!$C$5:$C$130=$B26)*ISNUMBER(INDEX(Inputs!$K$5:$AJ$130,0,MATCH(S$2,Inputs!$K$4:$AJ$4,0))))+SUMPRODUCT((Inputs!$E$5:$E$130=$B26)*ISNUMBER(INDEX(Inputs!$K$5:$AJ$130,0,MATCH(S$2,Inputs!$K$4:$AJ$4,0))))=0,NA(),SUMPRODUCT((Inputs!$A$5:$A$130=$B26)*Inputs!$B$5:$B$130*(((Inputs!$G$5:$G$130="moeda")+(Inputs!$G$5:$G$130="acoes"))*Inputs!$B$1+((Inputs!$G$5:$G$130&lt;&gt;"moeda")*(Inputs!$G$5:$G$130&lt;&gt;"acoes")))*INDEX(Inputs!$K$5:$AJ$130,0,MATCH(S$2,Inputs!$K$4:$AJ$4,0)))+SUMPRODUCT((Inputs!$C$5:$C$130=$B26)*Inputs!$D$5:$D$130*(((Inputs!$G$5:$G$130="moeda")+(Inputs!$G$5:$G$130="acoes"))*Inputs!$B$1+((Inputs!$G$5:$G$130&lt;&gt;"moeda")*(Inputs!$G$5:$G$130&lt;&gt;"acoes")))*INDEX(Inputs!$K$5:$AJ$130,0,MATCH(S$2,Inputs!$K$4:$AJ$4,0)))+SUMPRODUCT((Inputs!$E$5:$E$130=$B26)*Inputs!$F$5:$F$130*(((Inputs!$G$5:$G$130="moeda")+(Inputs!$G$5:$G$130="acoes"))*Inputs!$B$1+((Inputs!$G$5:$G$130&lt;&gt;"moeda")*(Inputs!$G$5:$G$130&lt;&gt;"acoes")))*INDEX(Inputs!$K$5:$AJ$130,0,MATCH(S$2,Inputs!$K$4:$AJ$4,0)))))</f>
        <v>52540</v>
      </c>
      <c r="T26" s="6">
        <f>IF(ISNA(MATCH(T$2,Inputs!$K$4:$AJ$4,0)),NA(),IF(SUMPRODUCT((Inputs!$A$5:$A$130=$B26)*ISNUMBER(INDEX(Inputs!$K$5:$AJ$130,0,MATCH(T$2,Inputs!$K$4:$AJ$4,0))))+SUMPRODUCT((Inputs!$C$5:$C$130=$B26)*ISNUMBER(INDEX(Inputs!$K$5:$AJ$130,0,MATCH(T$2,Inputs!$K$4:$AJ$4,0))))+SUMPRODUCT((Inputs!$E$5:$E$130=$B26)*ISNUMBER(INDEX(Inputs!$K$5:$AJ$130,0,MATCH(T$2,Inputs!$K$4:$AJ$4,0))))=0,NA(),SUMPRODUCT((Inputs!$A$5:$A$130=$B26)*Inputs!$B$5:$B$130*(((Inputs!$G$5:$G$130="moeda")+(Inputs!$G$5:$G$130="acoes"))*Inputs!$B$1+((Inputs!$G$5:$G$130&lt;&gt;"moeda")*(Inputs!$G$5:$G$130&lt;&gt;"acoes")))*INDEX(Inputs!$K$5:$AJ$130,0,MATCH(T$2,Inputs!$K$4:$AJ$4,0)))+SUMPRODUCT((Inputs!$C$5:$C$130=$B26)*Inputs!$D$5:$D$130*(((Inputs!$G$5:$G$130="moeda")+(Inputs!$G$5:$G$130="acoes"))*Inputs!$B$1+((Inputs!$G$5:$G$130&lt;&gt;"moeda")*(Inputs!$G$5:$G$130&lt;&gt;"acoes")))*INDEX(Inputs!$K$5:$AJ$130,0,MATCH(T$2,Inputs!$K$4:$AJ$4,0)))+SUMPRODUCT((Inputs!$E$5:$E$130=$B26)*Inputs!$F$5:$F$130*(((Inputs!$G$5:$G$130="moeda")+(Inputs!$G$5:$G$130="acoes"))*Inputs!$B$1+((Inputs!$G$5:$G$130&lt;&gt;"moeda")*(Inputs!$G$5:$G$130&lt;&gt;"acoes")))*INDEX(Inputs!$K$5:$AJ$130,0,MATCH(T$2,Inputs!$K$4:$AJ$4,0)))))</f>
        <v>52170</v>
      </c>
      <c r="U26" s="6">
        <f>IF(ISNA(MATCH(U$2,Inputs!$K$4:$AJ$4,0)),NA(),IF(SUMPRODUCT((Inputs!$A$5:$A$130=$B26)*ISNUMBER(INDEX(Inputs!$K$5:$AJ$130,0,MATCH(U$2,Inputs!$K$4:$AJ$4,0))))+SUMPRODUCT((Inputs!$C$5:$C$130=$B26)*ISNUMBER(INDEX(Inputs!$K$5:$AJ$130,0,MATCH(U$2,Inputs!$K$4:$AJ$4,0))))+SUMPRODUCT((Inputs!$E$5:$E$130=$B26)*ISNUMBER(INDEX(Inputs!$K$5:$AJ$130,0,MATCH(U$2,Inputs!$K$4:$AJ$4,0))))=0,NA(),SUMPRODUCT((Inputs!$A$5:$A$130=$B26)*Inputs!$B$5:$B$130*(((Inputs!$G$5:$G$130="moeda")+(Inputs!$G$5:$G$130="acoes"))*Inputs!$B$1+((Inputs!$G$5:$G$130&lt;&gt;"moeda")*(Inputs!$G$5:$G$130&lt;&gt;"acoes")))*INDEX(Inputs!$K$5:$AJ$130,0,MATCH(U$2,Inputs!$K$4:$AJ$4,0)))+SUMPRODUCT((Inputs!$C$5:$C$130=$B26)*Inputs!$D$5:$D$130*(((Inputs!$G$5:$G$130="moeda")+(Inputs!$G$5:$G$130="acoes"))*Inputs!$B$1+((Inputs!$G$5:$G$130&lt;&gt;"moeda")*(Inputs!$G$5:$G$130&lt;&gt;"acoes")))*INDEX(Inputs!$K$5:$AJ$130,0,MATCH(U$2,Inputs!$K$4:$AJ$4,0)))+SUMPRODUCT((Inputs!$E$5:$E$130=$B26)*Inputs!$F$5:$F$130*(((Inputs!$G$5:$G$130="moeda")+(Inputs!$G$5:$G$130="acoes"))*Inputs!$B$1+((Inputs!$G$5:$G$130&lt;&gt;"moeda")*(Inputs!$G$5:$G$130&lt;&gt;"acoes")))*INDEX(Inputs!$K$5:$AJ$130,0,MATCH(U$2,Inputs!$K$4:$AJ$4,0)))))</f>
        <v>53032</v>
      </c>
      <c r="V26" s="6">
        <f>IF(ISNA(MATCH(V$2,Inputs!$K$4:$AJ$4,0)),NA(),IF(SUMPRODUCT((Inputs!$A$5:$A$130=$B26)*ISNUMBER(INDEX(Inputs!$K$5:$AJ$130,0,MATCH(V$2,Inputs!$K$4:$AJ$4,0))))+SUMPRODUCT((Inputs!$C$5:$C$130=$B26)*ISNUMBER(INDEX(Inputs!$K$5:$AJ$130,0,MATCH(V$2,Inputs!$K$4:$AJ$4,0))))+SUMPRODUCT((Inputs!$E$5:$E$130=$B26)*ISNUMBER(INDEX(Inputs!$K$5:$AJ$130,0,MATCH(V$2,Inputs!$K$4:$AJ$4,0))))=0,NA(),SUMPRODUCT((Inputs!$A$5:$A$130=$B26)*Inputs!$B$5:$B$130*(((Inputs!$G$5:$G$130="moeda")+(Inputs!$G$5:$G$130="acoes"))*Inputs!$B$1+((Inputs!$G$5:$G$130&lt;&gt;"moeda")*(Inputs!$G$5:$G$130&lt;&gt;"acoes")))*INDEX(Inputs!$K$5:$AJ$130,0,MATCH(V$2,Inputs!$K$4:$AJ$4,0)))+SUMPRODUCT((Inputs!$C$5:$C$130=$B26)*Inputs!$D$5:$D$130*(((Inputs!$G$5:$G$130="moeda")+(Inputs!$G$5:$G$130="acoes"))*Inputs!$B$1+((Inputs!$G$5:$G$130&lt;&gt;"moeda")*(Inputs!$G$5:$G$130&lt;&gt;"acoes")))*INDEX(Inputs!$K$5:$AJ$130,0,MATCH(V$2,Inputs!$K$4:$AJ$4,0)))+SUMPRODUCT((Inputs!$E$5:$E$130=$B26)*Inputs!$F$5:$F$130*(((Inputs!$G$5:$G$130="moeda")+(Inputs!$G$5:$G$130="acoes"))*Inputs!$B$1+((Inputs!$G$5:$G$130&lt;&gt;"moeda")*(Inputs!$G$5:$G$130&lt;&gt;"acoes")))*INDEX(Inputs!$K$5:$AJ$130,0,MATCH(V$2,Inputs!$K$4:$AJ$4,0)))))</f>
        <v>49653</v>
      </c>
      <c r="W26" s="3">
        <f>V26</f>
        <v>49653</v>
      </c>
      <c r="X26" s="6">
        <f>IF(ISNA(MATCH(X$2,Inputs!$K$4:$AJ$4,0)),NA(),IF(SUMPRODUCT((Inputs!$A$5:$A$130=$B26)*ISNUMBER(INDEX(Inputs!$K$5:$AJ$130,0,MATCH(X$2,Inputs!$K$4:$AJ$4,0))))+SUMPRODUCT((Inputs!$C$5:$C$130=$B26)*ISNUMBER(INDEX(Inputs!$K$5:$AJ$130,0,MATCH(X$2,Inputs!$K$4:$AJ$4,0))))+SUMPRODUCT((Inputs!$E$5:$E$130=$B26)*ISNUMBER(INDEX(Inputs!$K$5:$AJ$130,0,MATCH(X$2,Inputs!$K$4:$AJ$4,0))))=0,NA(),SUMPRODUCT((Inputs!$A$5:$A$130=$B26)*Inputs!$B$5:$B$130*(((Inputs!$G$5:$G$130="moeda")+(Inputs!$G$5:$G$130="acoes"))*Inputs!$B$1+((Inputs!$G$5:$G$130&lt;&gt;"moeda")*(Inputs!$G$5:$G$130&lt;&gt;"acoes")))*INDEX(Inputs!$K$5:$AJ$130,0,MATCH(X$2,Inputs!$K$4:$AJ$4,0)))+SUMPRODUCT((Inputs!$C$5:$C$130=$B26)*Inputs!$D$5:$D$130*(((Inputs!$G$5:$G$130="moeda")+(Inputs!$G$5:$G$130="acoes"))*Inputs!$B$1+((Inputs!$G$5:$G$130&lt;&gt;"moeda")*(Inputs!$G$5:$G$130&lt;&gt;"acoes")))*INDEX(Inputs!$K$5:$AJ$130,0,MATCH(X$2,Inputs!$K$4:$AJ$4,0)))+SUMPRODUCT((Inputs!$E$5:$E$130=$B26)*Inputs!$F$5:$F$130*(((Inputs!$G$5:$G$130="moeda")+(Inputs!$G$5:$G$130="acoes"))*Inputs!$B$1+((Inputs!$G$5:$G$130&lt;&gt;"moeda")*(Inputs!$G$5:$G$130&lt;&gt;"acoes")))*INDEX(Inputs!$K$5:$AJ$130,0,MATCH(X$2,Inputs!$K$4:$AJ$4,0)))))</f>
        <v>50794</v>
      </c>
      <c r="Y26" s="6">
        <f>IF(ISNA(MATCH(Y$2,Inputs!$K$4:$AJ$4,0)),NA(),IF(SUMPRODUCT((Inputs!$A$5:$A$130=$B26)*ISNUMBER(INDEX(Inputs!$K$5:$AJ$130,0,MATCH(Y$2,Inputs!$K$4:$AJ$4,0))))+SUMPRODUCT((Inputs!$C$5:$C$130=$B26)*ISNUMBER(INDEX(Inputs!$K$5:$AJ$130,0,MATCH(Y$2,Inputs!$K$4:$AJ$4,0))))+SUMPRODUCT((Inputs!$E$5:$E$130=$B26)*ISNUMBER(INDEX(Inputs!$K$5:$AJ$130,0,MATCH(Y$2,Inputs!$K$4:$AJ$4,0))))=0,NA(),SUMPRODUCT((Inputs!$A$5:$A$130=$B26)*Inputs!$B$5:$B$130*(((Inputs!$G$5:$G$130="moeda")+(Inputs!$G$5:$G$130="acoes"))*Inputs!$B$1+((Inputs!$G$5:$G$130&lt;&gt;"moeda")*(Inputs!$G$5:$G$130&lt;&gt;"acoes")))*INDEX(Inputs!$K$5:$AJ$130,0,MATCH(Y$2,Inputs!$K$4:$AJ$4,0)))+SUMPRODUCT((Inputs!$C$5:$C$130=$B26)*Inputs!$D$5:$D$130*(((Inputs!$G$5:$G$130="moeda")+(Inputs!$G$5:$G$130="acoes"))*Inputs!$B$1+((Inputs!$G$5:$G$130&lt;&gt;"moeda")*(Inputs!$G$5:$G$130&lt;&gt;"acoes")))*INDEX(Inputs!$K$5:$AJ$130,0,MATCH(Y$2,Inputs!$K$4:$AJ$4,0)))+SUMPRODUCT((Inputs!$E$5:$E$130=$B26)*Inputs!$F$5:$F$130*(((Inputs!$G$5:$G$130="moeda")+(Inputs!$G$5:$G$130="acoes"))*Inputs!$B$1+((Inputs!$G$5:$G$130&lt;&gt;"moeda")*(Inputs!$G$5:$G$130&lt;&gt;"acoes")))*INDEX(Inputs!$K$5:$AJ$130,0,MATCH(Y$2,Inputs!$K$4:$AJ$4,0)))))</f>
        <v>51878</v>
      </c>
      <c r="Z26" s="6">
        <f>IF(ISNA(MATCH(Z$2,Inputs!$K$4:$AJ$4,0)),NA(),IF(SUMPRODUCT((Inputs!$A$5:$A$130=$B26)*ISNUMBER(INDEX(Inputs!$K$5:$AJ$130,0,MATCH(Z$2,Inputs!$K$4:$AJ$4,0))))+SUMPRODUCT((Inputs!$C$5:$C$130=$B26)*ISNUMBER(INDEX(Inputs!$K$5:$AJ$130,0,MATCH(Z$2,Inputs!$K$4:$AJ$4,0))))+SUMPRODUCT((Inputs!$E$5:$E$130=$B26)*ISNUMBER(INDEX(Inputs!$K$5:$AJ$130,0,MATCH(Z$2,Inputs!$K$4:$AJ$4,0))))=0,NA(),SUMPRODUCT((Inputs!$A$5:$A$130=$B26)*Inputs!$B$5:$B$130*(((Inputs!$G$5:$G$130="moeda")+(Inputs!$G$5:$G$130="acoes"))*Inputs!$B$1+((Inputs!$G$5:$G$130&lt;&gt;"moeda")*(Inputs!$G$5:$G$130&lt;&gt;"acoes")))*INDEX(Inputs!$K$5:$AJ$130,0,MATCH(Z$2,Inputs!$K$4:$AJ$4,0)))+SUMPRODUCT((Inputs!$C$5:$C$130=$B26)*Inputs!$D$5:$D$130*(((Inputs!$G$5:$G$130="moeda")+(Inputs!$G$5:$G$130="acoes"))*Inputs!$B$1+((Inputs!$G$5:$G$130&lt;&gt;"moeda")*(Inputs!$G$5:$G$130&lt;&gt;"acoes")))*INDEX(Inputs!$K$5:$AJ$130,0,MATCH(Z$2,Inputs!$K$4:$AJ$4,0)))+SUMPRODUCT((Inputs!$E$5:$E$130=$B26)*Inputs!$F$5:$F$130*(((Inputs!$G$5:$G$130="moeda")+(Inputs!$G$5:$G$130="acoes"))*Inputs!$B$1+((Inputs!$G$5:$G$130&lt;&gt;"moeda")*(Inputs!$G$5:$G$130&lt;&gt;"acoes")))*INDEX(Inputs!$K$5:$AJ$130,0,MATCH(Z$2,Inputs!$K$4:$AJ$4,0)))))</f>
        <v>51406</v>
      </c>
      <c r="AA26" s="6">
        <f>IF(ISNA(MATCH(AA$2,Inputs!$K$4:$AJ$4,0)),NA(),IF(SUMPRODUCT((Inputs!$A$5:$A$130=$B26)*ISNUMBER(INDEX(Inputs!$K$5:$AJ$130,0,MATCH(AA$2,Inputs!$K$4:$AJ$4,0))))+SUMPRODUCT((Inputs!$C$5:$C$130=$B26)*ISNUMBER(INDEX(Inputs!$K$5:$AJ$130,0,MATCH(AA$2,Inputs!$K$4:$AJ$4,0))))+SUMPRODUCT((Inputs!$E$5:$E$130=$B26)*ISNUMBER(INDEX(Inputs!$K$5:$AJ$130,0,MATCH(AA$2,Inputs!$K$4:$AJ$4,0))))=0,NA(),SUMPRODUCT((Inputs!$A$5:$A$130=$B26)*Inputs!$B$5:$B$130*(((Inputs!$G$5:$G$130="moeda")+(Inputs!$G$5:$G$130="acoes"))*Inputs!$B$1+((Inputs!$G$5:$G$130&lt;&gt;"moeda")*(Inputs!$G$5:$G$130&lt;&gt;"acoes")))*INDEX(Inputs!$K$5:$AJ$130,0,MATCH(AA$2,Inputs!$K$4:$AJ$4,0)))+SUMPRODUCT((Inputs!$C$5:$C$130=$B26)*Inputs!$D$5:$D$130*(((Inputs!$G$5:$G$130="moeda")+(Inputs!$G$5:$G$130="acoes"))*Inputs!$B$1+((Inputs!$G$5:$G$130&lt;&gt;"moeda")*(Inputs!$G$5:$G$130&lt;&gt;"acoes")))*INDEX(Inputs!$K$5:$AJ$130,0,MATCH(AA$2,Inputs!$K$4:$AJ$4,0)))+SUMPRODUCT((Inputs!$E$5:$E$130=$B26)*Inputs!$F$5:$F$130*(((Inputs!$G$5:$G$130="moeda")+(Inputs!$G$5:$G$130="acoes"))*Inputs!$B$1+((Inputs!$G$5:$G$130&lt;&gt;"moeda")*(Inputs!$G$5:$G$130&lt;&gt;"acoes")))*INDEX(Inputs!$K$5:$AJ$130,0,MATCH(AA$2,Inputs!$K$4:$AJ$4,0)))))</f>
        <v>48592</v>
      </c>
      <c r="AB26" s="3">
        <f>AA26</f>
        <v>48592</v>
      </c>
      <c r="AC26" s="6">
        <f>IF(ISNA(MATCH(AC$2,Inputs!$K$4:$AJ$4,0)),NA(),IF(SUMPRODUCT((Inputs!$A$5:$A$130=$B26)*ISNUMBER(INDEX(Inputs!$K$5:$AJ$130,0,MATCH(AC$2,Inputs!$K$4:$AJ$4,0))))+SUMPRODUCT((Inputs!$C$5:$C$130=$B26)*ISNUMBER(INDEX(Inputs!$K$5:$AJ$130,0,MATCH(AC$2,Inputs!$K$4:$AJ$4,0))))+SUMPRODUCT((Inputs!$E$5:$E$130=$B26)*ISNUMBER(INDEX(Inputs!$K$5:$AJ$130,0,MATCH(AC$2,Inputs!$K$4:$AJ$4,0))))=0,NA(),SUMPRODUCT((Inputs!$A$5:$A$130=$B26)*Inputs!$B$5:$B$130*(((Inputs!$G$5:$G$130="moeda")+(Inputs!$G$5:$G$130="acoes"))*Inputs!$B$1+((Inputs!$G$5:$G$130&lt;&gt;"moeda")*(Inputs!$G$5:$G$130&lt;&gt;"acoes")))*INDEX(Inputs!$K$5:$AJ$130,0,MATCH(AC$2,Inputs!$K$4:$AJ$4,0)))+SUMPRODUCT((Inputs!$C$5:$C$130=$B26)*Inputs!$D$5:$D$130*(((Inputs!$G$5:$G$130="moeda")+(Inputs!$G$5:$G$130="acoes"))*Inputs!$B$1+((Inputs!$G$5:$G$130&lt;&gt;"moeda")*(Inputs!$G$5:$G$130&lt;&gt;"acoes")))*INDEX(Inputs!$K$5:$AJ$130,0,MATCH(AC$2,Inputs!$K$4:$AJ$4,0)))+SUMPRODUCT((Inputs!$E$5:$E$130=$B26)*Inputs!$F$5:$F$130*(((Inputs!$G$5:$G$130="moeda")+(Inputs!$G$5:$G$130="acoes"))*Inputs!$B$1+((Inputs!$G$5:$G$130&lt;&gt;"moeda")*(Inputs!$G$5:$G$130&lt;&gt;"acoes")))*INDEX(Inputs!$K$5:$AJ$130,0,MATCH(AC$2,Inputs!$K$4:$AJ$4,0)))))</f>
        <v>49016</v>
      </c>
      <c r="AD26" s="6">
        <f>IF(ISNA(MATCH(AD$2,Inputs!$K$4:$AJ$4,0)),NA(),IF(SUMPRODUCT((Inputs!$A$5:$A$130=$B26)*ISNUMBER(INDEX(Inputs!$K$5:$AJ$130,0,MATCH(AD$2,Inputs!$K$4:$AJ$4,0))))+SUMPRODUCT((Inputs!$C$5:$C$130=$B26)*ISNUMBER(INDEX(Inputs!$K$5:$AJ$130,0,MATCH(AD$2,Inputs!$K$4:$AJ$4,0))))+SUMPRODUCT((Inputs!$E$5:$E$130=$B26)*ISNUMBER(INDEX(Inputs!$K$5:$AJ$130,0,MATCH(AD$2,Inputs!$K$4:$AJ$4,0))))=0,NA(),SUMPRODUCT((Inputs!$A$5:$A$130=$B26)*Inputs!$B$5:$B$130*(((Inputs!$G$5:$G$130="moeda")+(Inputs!$G$5:$G$130="acoes"))*Inputs!$B$1+((Inputs!$G$5:$G$130&lt;&gt;"moeda")*(Inputs!$G$5:$G$130&lt;&gt;"acoes")))*INDEX(Inputs!$K$5:$AJ$130,0,MATCH(AD$2,Inputs!$K$4:$AJ$4,0)))+SUMPRODUCT((Inputs!$C$5:$C$130=$B26)*Inputs!$D$5:$D$130*(((Inputs!$G$5:$G$130="moeda")+(Inputs!$G$5:$G$130="acoes"))*Inputs!$B$1+((Inputs!$G$5:$G$130&lt;&gt;"moeda")*(Inputs!$G$5:$G$130&lt;&gt;"acoes")))*INDEX(Inputs!$K$5:$AJ$130,0,MATCH(AD$2,Inputs!$K$4:$AJ$4,0)))+SUMPRODUCT((Inputs!$E$5:$E$130=$B26)*Inputs!$F$5:$F$130*(((Inputs!$G$5:$G$130="moeda")+(Inputs!$G$5:$G$130="acoes"))*Inputs!$B$1+((Inputs!$G$5:$G$130&lt;&gt;"moeda")*(Inputs!$G$5:$G$130&lt;&gt;"acoes")))*INDEX(Inputs!$K$5:$AJ$130,0,MATCH(AD$2,Inputs!$K$4:$AJ$4,0)))))</f>
        <v>49176</v>
      </c>
      <c r="AE26" s="6" t="e">
        <f>IF(ISNA(MATCH(AE$2,Inputs!$K$4:$AJ$4,0)),NA(),IF(SUMPRODUCT((Inputs!$A$5:$A$130=$B26)*ISNUMBER(INDEX(Inputs!$K$5:$AJ$130,0,MATCH(AE$2,Inputs!$K$4:$AJ$4,0))))+SUMPRODUCT((Inputs!$C$5:$C$130=$B26)*ISNUMBER(INDEX(Inputs!$K$5:$AJ$130,0,MATCH(AE$2,Inputs!$K$4:$AJ$4,0))))+SUMPRODUCT((Inputs!$E$5:$E$130=$B26)*ISNUMBER(INDEX(Inputs!$K$5:$AJ$130,0,MATCH(AE$2,Inputs!$K$4:$AJ$4,0))))=0,NA(),SUMPRODUCT((Inputs!$A$5:$A$130=$B26)*Inputs!$B$5:$B$130*(((Inputs!$G$5:$G$130="moeda")+(Inputs!$G$5:$G$130="acoes"))*Inputs!$B$1+((Inputs!$G$5:$G$130&lt;&gt;"moeda")*(Inputs!$G$5:$G$130&lt;&gt;"acoes")))*INDEX(Inputs!$K$5:$AJ$130,0,MATCH(AE$2,Inputs!$K$4:$AJ$4,0)))+SUMPRODUCT((Inputs!$C$5:$C$130=$B26)*Inputs!$D$5:$D$130*(((Inputs!$G$5:$G$130="moeda")+(Inputs!$G$5:$G$130="acoes"))*Inputs!$B$1+((Inputs!$G$5:$G$130&lt;&gt;"moeda")*(Inputs!$G$5:$G$130&lt;&gt;"acoes")))*INDEX(Inputs!$K$5:$AJ$130,0,MATCH(AE$2,Inputs!$K$4:$AJ$4,0)))+SUMPRODUCT((Inputs!$E$5:$E$130=$B26)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6" s="6" t="e">
        <f>IF(ISNA(MATCH(AF$2,Inputs!$K$4:$AJ$4,0)),NA(),IF(SUMPRODUCT((Inputs!$A$5:$A$130=$B26)*ISNUMBER(INDEX(Inputs!$K$5:$AJ$130,0,MATCH(AF$2,Inputs!$K$4:$AJ$4,0))))+SUMPRODUCT((Inputs!$C$5:$C$130=$B26)*ISNUMBER(INDEX(Inputs!$K$5:$AJ$130,0,MATCH(AF$2,Inputs!$K$4:$AJ$4,0))))+SUMPRODUCT((Inputs!$E$5:$E$130=$B26)*ISNUMBER(INDEX(Inputs!$K$5:$AJ$130,0,MATCH(AF$2,Inputs!$K$4:$AJ$4,0))))=0,NA(),SUMPRODUCT((Inputs!$A$5:$A$130=$B26)*Inputs!$B$5:$B$130*(((Inputs!$G$5:$G$130="moeda")+(Inputs!$G$5:$G$130="acoes"))*Inputs!$B$1+((Inputs!$G$5:$G$130&lt;&gt;"moeda")*(Inputs!$G$5:$G$130&lt;&gt;"acoes")))*INDEX(Inputs!$K$5:$AJ$130,0,MATCH(AF$2,Inputs!$K$4:$AJ$4,0)))+SUMPRODUCT((Inputs!$C$5:$C$130=$B26)*Inputs!$D$5:$D$130*(((Inputs!$G$5:$G$130="moeda")+(Inputs!$G$5:$G$130="acoes"))*Inputs!$B$1+((Inputs!$G$5:$G$130&lt;&gt;"moeda")*(Inputs!$G$5:$G$130&lt;&gt;"acoes")))*INDEX(Inputs!$K$5:$AJ$130,0,MATCH(AF$2,Inputs!$K$4:$AJ$4,0)))+SUMPRODUCT((Inputs!$E$5:$E$130=$B26)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6" s="3" t="e">
        <f>AF26</f>
        <v>#N/A</v>
      </c>
      <c r="AH26" s="6">
        <f>IF(ISNA(MATCH(AH$2,Inputs!$K$4:$AJ$4,0)),NA(),IF(SUMPRODUCT((Inputs!$A$5:$A$130=$B26)*ISNUMBER(INDEX(Inputs!$K$5:$AJ$130,0,MATCH(AH$2,Inputs!$K$4:$AJ$4,0))))+SUMPRODUCT((Inputs!$C$5:$C$130=$B26)*ISNUMBER(INDEX(Inputs!$K$5:$AJ$130,0,MATCH(AH$2,Inputs!$K$4:$AJ$4,0))))+SUMPRODUCT((Inputs!$E$5:$E$130=$B26)*ISNUMBER(INDEX(Inputs!$K$5:$AJ$130,0,MATCH(AH$2,Inputs!$K$4:$AJ$4,0))))=0,NA(),SUMPRODUCT((Inputs!$A$5:$A$130=$B26)*Inputs!$B$5:$B$130*(((Inputs!$G$5:$G$130="moeda")+(Inputs!$G$5:$G$130="acoes"))*Inputs!$B$1+((Inputs!$G$5:$G$130&lt;&gt;"moeda")*(Inputs!$G$5:$G$130&lt;&gt;"acoes")))*INDEX(Inputs!$K$5:$AJ$130,0,MATCH(AH$2,Inputs!$K$4:$AJ$4,0)))+SUMPRODUCT((Inputs!$C$5:$C$130=$B26)*Inputs!$D$5:$D$130*(((Inputs!$G$5:$G$130="moeda")+(Inputs!$G$5:$G$130="acoes"))*Inputs!$B$1+((Inputs!$G$5:$G$130&lt;&gt;"moeda")*(Inputs!$G$5:$G$130&lt;&gt;"acoes")))*INDEX(Inputs!$K$5:$AJ$130,0,MATCH(AH$2,Inputs!$K$4:$AJ$4,0)))+SUMPRODUCT((Inputs!$E$5:$E$130=$B26)*Inputs!$F$5:$F$130*(((Inputs!$G$5:$G$130="moeda")+(Inputs!$G$5:$G$130="acoes"))*Inputs!$B$1+((Inputs!$G$5:$G$130&lt;&gt;"moeda")*(Inputs!$G$5:$G$130&lt;&gt;"acoes")))*INDEX(Inputs!$K$5:$AJ$130,0,MATCH(AH$2,Inputs!$K$4:$AJ$4,0)))))</f>
        <v>0</v>
      </c>
      <c r="AI26" s="6">
        <f>IF(ISNA(MATCH(AI$2,Inputs!$K$4:$AJ$4,0)),NA(),IF(SUMPRODUCT((Inputs!$A$5:$A$130=$B26)*ISNUMBER(INDEX(Inputs!$K$5:$AJ$130,0,MATCH(AI$2,Inputs!$K$4:$AJ$4,0))))+SUMPRODUCT((Inputs!$C$5:$C$130=$B26)*ISNUMBER(INDEX(Inputs!$K$5:$AJ$130,0,MATCH(AI$2,Inputs!$K$4:$AJ$4,0))))+SUMPRODUCT((Inputs!$E$5:$E$130=$B26)*ISNUMBER(INDEX(Inputs!$K$5:$AJ$130,0,MATCH(AI$2,Inputs!$K$4:$AJ$4,0))))=0,NA(),SUMPRODUCT((Inputs!$A$5:$A$130=$B26)*Inputs!$B$5:$B$130*(((Inputs!$G$5:$G$130="moeda")+(Inputs!$G$5:$G$130="acoes"))*Inputs!$B$1+((Inputs!$G$5:$G$130&lt;&gt;"moeda")*(Inputs!$G$5:$G$130&lt;&gt;"acoes")))*INDEX(Inputs!$K$5:$AJ$130,0,MATCH(AI$2,Inputs!$K$4:$AJ$4,0)))+SUMPRODUCT((Inputs!$C$5:$C$130=$B26)*Inputs!$D$5:$D$130*(((Inputs!$G$5:$G$130="moeda")+(Inputs!$G$5:$G$130="acoes"))*Inputs!$B$1+((Inputs!$G$5:$G$130&lt;&gt;"moeda")*(Inputs!$G$5:$G$130&lt;&gt;"acoes")))*INDEX(Inputs!$K$5:$AJ$130,0,MATCH(AI$2,Inputs!$K$4:$AJ$4,0)))+SUMPRODUCT((Inputs!$E$5:$E$130=$B26)*Inputs!$F$5:$F$130*(((Inputs!$G$5:$G$130="moeda")+(Inputs!$G$5:$G$130="acoes"))*Inputs!$B$1+((Inputs!$G$5:$G$130&lt;&gt;"moeda")*(Inputs!$G$5:$G$130&lt;&gt;"acoes")))*INDEX(Inputs!$K$5:$AJ$130,0,MATCH(AI$2,Inputs!$K$4:$AJ$4,0)))))</f>
        <v>0</v>
      </c>
      <c r="AJ26" s="6">
        <f>IF(ISNA(MATCH(AJ$2,Inputs!$K$4:$AJ$4,0)),NA(),IF(SUMPRODUCT((Inputs!$A$5:$A$130=$B26)*ISNUMBER(INDEX(Inputs!$K$5:$AJ$130,0,MATCH(AJ$2,Inputs!$K$4:$AJ$4,0))))+SUMPRODUCT((Inputs!$C$5:$C$130=$B26)*ISNUMBER(INDEX(Inputs!$K$5:$AJ$130,0,MATCH(AJ$2,Inputs!$K$4:$AJ$4,0))))+SUMPRODUCT((Inputs!$E$5:$E$130=$B26)*ISNUMBER(INDEX(Inputs!$K$5:$AJ$130,0,MATCH(AJ$2,Inputs!$K$4:$AJ$4,0))))=0,NA(),SUMPRODUCT((Inputs!$A$5:$A$130=$B26)*Inputs!$B$5:$B$130*(((Inputs!$G$5:$G$130="moeda")+(Inputs!$G$5:$G$130="acoes"))*Inputs!$B$1+((Inputs!$G$5:$G$130&lt;&gt;"moeda")*(Inputs!$G$5:$G$130&lt;&gt;"acoes")))*INDEX(Inputs!$K$5:$AJ$130,0,MATCH(AJ$2,Inputs!$K$4:$AJ$4,0)))+SUMPRODUCT((Inputs!$C$5:$C$130=$B26)*Inputs!$D$5:$D$130*(((Inputs!$G$5:$G$130="moeda")+(Inputs!$G$5:$G$130="acoes"))*Inputs!$B$1+((Inputs!$G$5:$G$130&lt;&gt;"moeda")*(Inputs!$G$5:$G$130&lt;&gt;"acoes")))*INDEX(Inputs!$K$5:$AJ$130,0,MATCH(AJ$2,Inputs!$K$4:$AJ$4,0)))+SUMPRODUCT((Inputs!$E$5:$E$130=$B26)*Inputs!$F$5:$F$130*(((Inputs!$G$5:$G$130="moeda")+(Inputs!$G$5:$G$130="acoes"))*Inputs!$B$1+((Inputs!$G$5:$G$130&lt;&gt;"moeda")*(Inputs!$G$5:$G$130&lt;&gt;"acoes")))*INDEX(Inputs!$K$5:$AJ$130,0,MATCH(AJ$2,Inputs!$K$4:$AJ$4,0)))))</f>
        <v>0</v>
      </c>
      <c r="AK26" s="6">
        <f>IF(ISNA(MATCH(AK$2,Inputs!$K$4:$AJ$4,0)),NA(),IF(SUMPRODUCT((Inputs!$A$5:$A$130=$B26)*ISNUMBER(INDEX(Inputs!$K$5:$AJ$130,0,MATCH(AK$2,Inputs!$K$4:$AJ$4,0))))+SUMPRODUCT((Inputs!$C$5:$C$130=$B26)*ISNUMBER(INDEX(Inputs!$K$5:$AJ$130,0,MATCH(AK$2,Inputs!$K$4:$AJ$4,0))))+SUMPRODUCT((Inputs!$E$5:$E$130=$B26)*ISNUMBER(INDEX(Inputs!$K$5:$AJ$130,0,MATCH(AK$2,Inputs!$K$4:$AJ$4,0))))=0,NA(),SUMPRODUCT((Inputs!$A$5:$A$130=$B26)*Inputs!$B$5:$B$130*(((Inputs!$G$5:$G$130="moeda")+(Inputs!$G$5:$G$130="acoes"))*Inputs!$B$1+((Inputs!$G$5:$G$130&lt;&gt;"moeda")*(Inputs!$G$5:$G$130&lt;&gt;"acoes")))*INDEX(Inputs!$K$5:$AJ$130,0,MATCH(AK$2,Inputs!$K$4:$AJ$4,0)))+SUMPRODUCT((Inputs!$C$5:$C$130=$B26)*Inputs!$D$5:$D$130*(((Inputs!$G$5:$G$130="moeda")+(Inputs!$G$5:$G$130="acoes"))*Inputs!$B$1+((Inputs!$G$5:$G$130&lt;&gt;"moeda")*(Inputs!$G$5:$G$130&lt;&gt;"acoes")))*INDEX(Inputs!$K$5:$AJ$130,0,MATCH(AK$2,Inputs!$K$4:$AJ$4,0)))+SUMPRODUCT((Inputs!$E$5:$E$130=$B26)*Inputs!$F$5:$F$130*(((Inputs!$G$5:$G$130="moeda")+(Inputs!$G$5:$G$130="acoes"))*Inputs!$B$1+((Inputs!$G$5:$G$130&lt;&gt;"moeda")*(Inputs!$G$5:$G$130&lt;&gt;"acoes")))*INDEX(Inputs!$K$5:$AJ$130,0,MATCH(AK$2,Inputs!$K$4:$AJ$4,0)))))</f>
        <v>0</v>
      </c>
      <c r="AL26" s="3">
        <f>AK26</f>
        <v>0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$130=$B28)*ISNUMBER(INDEX(Inputs!$K$5:$AJ$130,0,MATCH(D$2,Inputs!$K$4:$AJ$4,0))))+SUMPRODUCT((Inputs!$C$5:$C$130=$B28)*ISNUMBER(INDEX(Inputs!$K$5:$AJ$130,0,MATCH(D$2,Inputs!$K$4:$AJ$4,0))))+SUMPRODUCT((Inputs!$E$5:$E$130=$B28)*ISNUMBER(INDEX(Inputs!$K$5:$AJ$130,0,MATCH(D$2,Inputs!$K$4:$AJ$4,0))))=0,NA(),SUMPRODUCT((Inputs!$A$5:$A$130=$B28)*Inputs!$B$5:$B$130*(((Inputs!$G$5:$G$130="moeda")+(Inputs!$G$5:$G$130="acoes"))*Inputs!$B$1+((Inputs!$G$5:$G$130&lt;&gt;"moeda")*(Inputs!$G$5:$G$130&lt;&gt;"acoes")))*INDEX(Inputs!$K$5:$AJ$130,0,MATCH(D$2,Inputs!$K$4:$AJ$4,0)))+SUMPRODUCT((Inputs!$C$5:$C$130=$B28)*Inputs!$D$5:$D$130*(((Inputs!$G$5:$G$130="moeda")+(Inputs!$G$5:$G$130="acoes"))*Inputs!$B$1+((Inputs!$G$5:$G$130&lt;&gt;"moeda")*(Inputs!$G$5:$G$130&lt;&gt;"acoes")))*INDEX(Inputs!$K$5:$AJ$130,0,MATCH(D$2,Inputs!$K$4:$AJ$4,0)))+SUMPRODUCT((Inputs!$E$5:$E$130=$B28)*Inputs!$F$5:$F$130*(((Inputs!$G$5:$G$130="moeda")+(Inputs!$G$5:$G$130="acoes"))*Inputs!$B$1+((Inputs!$G$5:$G$130&lt;&gt;"moeda")*(Inputs!$G$5:$G$130&lt;&gt;"acoes")))*INDEX(Inputs!$K$5:$AJ$130,0,MATCH(D$2,Inputs!$K$4:$AJ$4,0)))))</f>
        <v>0</v>
      </c>
      <c r="E28" s="6">
        <f>IF(ISNA(MATCH(E$2,Inputs!$K$4:$AJ$4,0)),NA(),IF(SUMPRODUCT((Inputs!$A$5:$A$130=$B28)*ISNUMBER(INDEX(Inputs!$K$5:$AJ$130,0,MATCH(E$2,Inputs!$K$4:$AJ$4,0))))+SUMPRODUCT((Inputs!$C$5:$C$130=$B28)*ISNUMBER(INDEX(Inputs!$K$5:$AJ$130,0,MATCH(E$2,Inputs!$K$4:$AJ$4,0))))+SUMPRODUCT((Inputs!$E$5:$E$130=$B28)*ISNUMBER(INDEX(Inputs!$K$5:$AJ$130,0,MATCH(E$2,Inputs!$K$4:$AJ$4,0))))=0,NA(),SUMPRODUCT((Inputs!$A$5:$A$130=$B28)*Inputs!$B$5:$B$130*(((Inputs!$G$5:$G$130="moeda")+(Inputs!$G$5:$G$130="acoes"))*Inputs!$B$1+((Inputs!$G$5:$G$130&lt;&gt;"moeda")*(Inputs!$G$5:$G$130&lt;&gt;"acoes")))*INDEX(Inputs!$K$5:$AJ$130,0,MATCH(E$2,Inputs!$K$4:$AJ$4,0)))+SUMPRODUCT((Inputs!$C$5:$C$130=$B28)*Inputs!$D$5:$D$130*(((Inputs!$G$5:$G$130="moeda")+(Inputs!$G$5:$G$130="acoes"))*Inputs!$B$1+((Inputs!$G$5:$G$130&lt;&gt;"moeda")*(Inputs!$G$5:$G$130&lt;&gt;"acoes")))*INDEX(Inputs!$K$5:$AJ$130,0,MATCH(E$2,Inputs!$K$4:$AJ$4,0)))+SUMPRODUCT((Inputs!$E$5:$E$130=$B28)*Inputs!$F$5:$F$130*(((Inputs!$G$5:$G$130="moeda")+(Inputs!$G$5:$G$130="acoes"))*Inputs!$B$1+((Inputs!$G$5:$G$130&lt;&gt;"moeda")*(Inputs!$G$5:$G$130&lt;&gt;"acoes")))*INDEX(Inputs!$K$5:$AJ$130,0,MATCH(E$2,Inputs!$K$4:$AJ$4,0)))))</f>
        <v>0</v>
      </c>
      <c r="F28" s="6">
        <f>IF(ISNA(MATCH(F$2,Inputs!$K$4:$AJ$4,0)),NA(),IF(SUMPRODUCT((Inputs!$A$5:$A$130=$B28)*ISNUMBER(INDEX(Inputs!$K$5:$AJ$130,0,MATCH(F$2,Inputs!$K$4:$AJ$4,0))))+SUMPRODUCT((Inputs!$C$5:$C$130=$B28)*ISNUMBER(INDEX(Inputs!$K$5:$AJ$130,0,MATCH(F$2,Inputs!$K$4:$AJ$4,0))))+SUMPRODUCT((Inputs!$E$5:$E$130=$B28)*ISNUMBER(INDEX(Inputs!$K$5:$AJ$130,0,MATCH(F$2,Inputs!$K$4:$AJ$4,0))))=0,NA(),SUMPRODUCT((Inputs!$A$5:$A$130=$B28)*Inputs!$B$5:$B$130*(((Inputs!$G$5:$G$130="moeda")+(Inputs!$G$5:$G$130="acoes"))*Inputs!$B$1+((Inputs!$G$5:$G$130&lt;&gt;"moeda")*(Inputs!$G$5:$G$130&lt;&gt;"acoes")))*INDEX(Inputs!$K$5:$AJ$130,0,MATCH(F$2,Inputs!$K$4:$AJ$4,0)))+SUMPRODUCT((Inputs!$C$5:$C$130=$B28)*Inputs!$D$5:$D$130*(((Inputs!$G$5:$G$130="moeda")+(Inputs!$G$5:$G$130="acoes"))*Inputs!$B$1+((Inputs!$G$5:$G$130&lt;&gt;"moeda")*(Inputs!$G$5:$G$130&lt;&gt;"acoes")))*INDEX(Inputs!$K$5:$AJ$130,0,MATCH(F$2,Inputs!$K$4:$AJ$4,0)))+SUMPRODUCT((Inputs!$E$5:$E$130=$B28)*Inputs!$F$5:$F$130*(((Inputs!$G$5:$G$130="moeda")+(Inputs!$G$5:$G$130="acoes"))*Inputs!$B$1+((Inputs!$G$5:$G$130&lt;&gt;"moeda")*(Inputs!$G$5:$G$130&lt;&gt;"acoes")))*INDEX(Inputs!$K$5:$AJ$130,0,MATCH(F$2,Inputs!$K$4:$AJ$4,0)))))</f>
        <v>0</v>
      </c>
      <c r="G28" s="6">
        <f>IF(ISNA(MATCH(G$2,Inputs!$K$4:$AJ$4,0)),NA(),IF(SUMPRODUCT((Inputs!$A$5:$A$130=$B28)*ISNUMBER(INDEX(Inputs!$K$5:$AJ$130,0,MATCH(G$2,Inputs!$K$4:$AJ$4,0))))+SUMPRODUCT((Inputs!$C$5:$C$130=$B28)*ISNUMBER(INDEX(Inputs!$K$5:$AJ$130,0,MATCH(G$2,Inputs!$K$4:$AJ$4,0))))+SUMPRODUCT((Inputs!$E$5:$E$130=$B28)*ISNUMBER(INDEX(Inputs!$K$5:$AJ$130,0,MATCH(G$2,Inputs!$K$4:$AJ$4,0))))=0,NA(),SUMPRODUCT((Inputs!$A$5:$A$130=$B28)*Inputs!$B$5:$B$130*(((Inputs!$G$5:$G$130="moeda")+(Inputs!$G$5:$G$130="acoes"))*Inputs!$B$1+((Inputs!$G$5:$G$130&lt;&gt;"moeda")*(Inputs!$G$5:$G$130&lt;&gt;"acoes")))*INDEX(Inputs!$K$5:$AJ$130,0,MATCH(G$2,Inputs!$K$4:$AJ$4,0)))+SUMPRODUCT((Inputs!$C$5:$C$130=$B28)*Inputs!$D$5:$D$130*(((Inputs!$G$5:$G$130="moeda")+(Inputs!$G$5:$G$130="acoes"))*Inputs!$B$1+((Inputs!$G$5:$G$130&lt;&gt;"moeda")*(Inputs!$G$5:$G$130&lt;&gt;"acoes")))*INDEX(Inputs!$K$5:$AJ$130,0,MATCH(G$2,Inputs!$K$4:$AJ$4,0)))+SUMPRODUCT((Inputs!$E$5:$E$130=$B28)*Inputs!$F$5:$F$130*(((Inputs!$G$5:$G$130="moeda")+(Inputs!$G$5:$G$130="acoes"))*Inputs!$B$1+((Inputs!$G$5:$G$130&lt;&gt;"moeda")*(Inputs!$G$5:$G$130&lt;&gt;"acoes")))*INDEX(Inputs!$K$5:$AJ$130,0,MATCH(G$2,Inputs!$K$4:$AJ$4,0)))))</f>
        <v>0</v>
      </c>
      <c r="H28" s="3">
        <f>G28</f>
        <v>0</v>
      </c>
      <c r="I28" s="6">
        <f>IF(ISNA(MATCH(I$2,Inputs!$K$4:$AJ$4,0)),NA(),IF(SUMPRODUCT((Inputs!$A$5:$A$130=$B28)*ISNUMBER(INDEX(Inputs!$K$5:$AJ$130,0,MATCH(I$2,Inputs!$K$4:$AJ$4,0))))+SUMPRODUCT((Inputs!$C$5:$C$130=$B28)*ISNUMBER(INDEX(Inputs!$K$5:$AJ$130,0,MATCH(I$2,Inputs!$K$4:$AJ$4,0))))+SUMPRODUCT((Inputs!$E$5:$E$130=$B28)*ISNUMBER(INDEX(Inputs!$K$5:$AJ$130,0,MATCH(I$2,Inputs!$K$4:$AJ$4,0))))=0,NA(),SUMPRODUCT((Inputs!$A$5:$A$130=$B28)*Inputs!$B$5:$B$130*(((Inputs!$G$5:$G$130="moeda")+(Inputs!$G$5:$G$130="acoes"))*Inputs!$B$1+((Inputs!$G$5:$G$130&lt;&gt;"moeda")*(Inputs!$G$5:$G$130&lt;&gt;"acoes")))*INDEX(Inputs!$K$5:$AJ$130,0,MATCH(I$2,Inputs!$K$4:$AJ$4,0)))+SUMPRODUCT((Inputs!$C$5:$C$130=$B28)*Inputs!$D$5:$D$130*(((Inputs!$G$5:$G$130="moeda")+(Inputs!$G$5:$G$130="acoes"))*Inputs!$B$1+((Inputs!$G$5:$G$130&lt;&gt;"moeda")*(Inputs!$G$5:$G$130&lt;&gt;"acoes")))*INDEX(Inputs!$K$5:$AJ$130,0,MATCH(I$2,Inputs!$K$4:$AJ$4,0)))+SUMPRODUCT((Inputs!$E$5:$E$130=$B28)*Inputs!$F$5:$F$130*(((Inputs!$G$5:$G$130="moeda")+(Inputs!$G$5:$G$130="acoes"))*Inputs!$B$1+((Inputs!$G$5:$G$130&lt;&gt;"moeda")*(Inputs!$G$5:$G$130&lt;&gt;"acoes")))*INDEX(Inputs!$K$5:$AJ$130,0,MATCH(I$2,Inputs!$K$4:$AJ$4,0)))))</f>
        <v>0</v>
      </c>
      <c r="J28" s="6">
        <f>IF(ISNA(MATCH(J$2,Inputs!$K$4:$AJ$4,0)),NA(),IF(SUMPRODUCT((Inputs!$A$5:$A$130=$B28)*ISNUMBER(INDEX(Inputs!$K$5:$AJ$130,0,MATCH(J$2,Inputs!$K$4:$AJ$4,0))))+SUMPRODUCT((Inputs!$C$5:$C$130=$B28)*ISNUMBER(INDEX(Inputs!$K$5:$AJ$130,0,MATCH(J$2,Inputs!$K$4:$AJ$4,0))))+SUMPRODUCT((Inputs!$E$5:$E$130=$B28)*ISNUMBER(INDEX(Inputs!$K$5:$AJ$130,0,MATCH(J$2,Inputs!$K$4:$AJ$4,0))))=0,NA(),SUMPRODUCT((Inputs!$A$5:$A$130=$B28)*Inputs!$B$5:$B$130*(((Inputs!$G$5:$G$130="moeda")+(Inputs!$G$5:$G$130="acoes"))*Inputs!$B$1+((Inputs!$G$5:$G$130&lt;&gt;"moeda")*(Inputs!$G$5:$G$130&lt;&gt;"acoes")))*INDEX(Inputs!$K$5:$AJ$130,0,MATCH(J$2,Inputs!$K$4:$AJ$4,0)))+SUMPRODUCT((Inputs!$C$5:$C$130=$B28)*Inputs!$D$5:$D$130*(((Inputs!$G$5:$G$130="moeda")+(Inputs!$G$5:$G$130="acoes"))*Inputs!$B$1+((Inputs!$G$5:$G$130&lt;&gt;"moeda")*(Inputs!$G$5:$G$130&lt;&gt;"acoes")))*INDEX(Inputs!$K$5:$AJ$130,0,MATCH(J$2,Inputs!$K$4:$AJ$4,0)))+SUMPRODUCT((Inputs!$E$5:$E$130=$B28)*Inputs!$F$5:$F$130*(((Inputs!$G$5:$G$130="moeda")+(Inputs!$G$5:$G$130="acoes"))*Inputs!$B$1+((Inputs!$G$5:$G$130&lt;&gt;"moeda")*(Inputs!$G$5:$G$130&lt;&gt;"acoes")))*INDEX(Inputs!$K$5:$AJ$130,0,MATCH(J$2,Inputs!$K$4:$AJ$4,0)))))</f>
        <v>0</v>
      </c>
      <c r="K28" s="6">
        <f>IF(ISNA(MATCH(K$2,Inputs!$K$4:$AJ$4,0)),NA(),IF(SUMPRODUCT((Inputs!$A$5:$A$130=$B28)*ISNUMBER(INDEX(Inputs!$K$5:$AJ$130,0,MATCH(K$2,Inputs!$K$4:$AJ$4,0))))+SUMPRODUCT((Inputs!$C$5:$C$130=$B28)*ISNUMBER(INDEX(Inputs!$K$5:$AJ$130,0,MATCH(K$2,Inputs!$K$4:$AJ$4,0))))+SUMPRODUCT((Inputs!$E$5:$E$130=$B28)*ISNUMBER(INDEX(Inputs!$K$5:$AJ$130,0,MATCH(K$2,Inputs!$K$4:$AJ$4,0))))=0,NA(),SUMPRODUCT((Inputs!$A$5:$A$130=$B28)*Inputs!$B$5:$B$130*(((Inputs!$G$5:$G$130="moeda")+(Inputs!$G$5:$G$130="acoes"))*Inputs!$B$1+((Inputs!$G$5:$G$130&lt;&gt;"moeda")*(Inputs!$G$5:$G$130&lt;&gt;"acoes")))*INDEX(Inputs!$K$5:$AJ$130,0,MATCH(K$2,Inputs!$K$4:$AJ$4,0)))+SUMPRODUCT((Inputs!$C$5:$C$130=$B28)*Inputs!$D$5:$D$130*(((Inputs!$G$5:$G$130="moeda")+(Inputs!$G$5:$G$130="acoes"))*Inputs!$B$1+((Inputs!$G$5:$G$130&lt;&gt;"moeda")*(Inputs!$G$5:$G$130&lt;&gt;"acoes")))*INDEX(Inputs!$K$5:$AJ$130,0,MATCH(K$2,Inputs!$K$4:$AJ$4,0)))+SUMPRODUCT((Inputs!$E$5:$E$130=$B28)*Inputs!$F$5:$F$130*(((Inputs!$G$5:$G$130="moeda")+(Inputs!$G$5:$G$130="acoes"))*Inputs!$B$1+((Inputs!$G$5:$G$130&lt;&gt;"moeda")*(Inputs!$G$5:$G$130&lt;&gt;"acoes")))*INDEX(Inputs!$K$5:$AJ$130,0,MATCH(K$2,Inputs!$K$4:$AJ$4,0)))))</f>
        <v>0</v>
      </c>
      <c r="L28" s="6">
        <f>IF(ISNA(MATCH(L$2,Inputs!$K$4:$AJ$4,0)),NA(),IF(SUMPRODUCT((Inputs!$A$5:$A$130=$B28)*ISNUMBER(INDEX(Inputs!$K$5:$AJ$130,0,MATCH(L$2,Inputs!$K$4:$AJ$4,0))))+SUMPRODUCT((Inputs!$C$5:$C$130=$B28)*ISNUMBER(INDEX(Inputs!$K$5:$AJ$130,0,MATCH(L$2,Inputs!$K$4:$AJ$4,0))))+SUMPRODUCT((Inputs!$E$5:$E$130=$B28)*ISNUMBER(INDEX(Inputs!$K$5:$AJ$130,0,MATCH(L$2,Inputs!$K$4:$AJ$4,0))))=0,NA(),SUMPRODUCT((Inputs!$A$5:$A$130=$B28)*Inputs!$B$5:$B$130*(((Inputs!$G$5:$G$130="moeda")+(Inputs!$G$5:$G$130="acoes"))*Inputs!$B$1+((Inputs!$G$5:$G$130&lt;&gt;"moeda")*(Inputs!$G$5:$G$130&lt;&gt;"acoes")))*INDEX(Inputs!$K$5:$AJ$130,0,MATCH(L$2,Inputs!$K$4:$AJ$4,0)))+SUMPRODUCT((Inputs!$C$5:$C$130=$B28)*Inputs!$D$5:$D$130*(((Inputs!$G$5:$G$130="moeda")+(Inputs!$G$5:$G$130="acoes"))*Inputs!$B$1+((Inputs!$G$5:$G$130&lt;&gt;"moeda")*(Inputs!$G$5:$G$130&lt;&gt;"acoes")))*INDEX(Inputs!$K$5:$AJ$130,0,MATCH(L$2,Inputs!$K$4:$AJ$4,0)))+SUMPRODUCT((Inputs!$E$5:$E$130=$B28)*Inputs!$F$5:$F$130*(((Inputs!$G$5:$G$130="moeda")+(Inputs!$G$5:$G$130="acoes"))*Inputs!$B$1+((Inputs!$G$5:$G$130&lt;&gt;"moeda")*(Inputs!$G$5:$G$130&lt;&gt;"acoes")))*INDEX(Inputs!$K$5:$AJ$130,0,MATCH(L$2,Inputs!$K$4:$AJ$4,0)))))</f>
        <v>0</v>
      </c>
      <c r="M28" s="3">
        <f>L28</f>
        <v>0</v>
      </c>
      <c r="N28" s="6">
        <f>IF(ISNA(MATCH(N$2,Inputs!$K$4:$AJ$4,0)),NA(),IF(SUMPRODUCT((Inputs!$A$5:$A$130=$B28)*ISNUMBER(INDEX(Inputs!$K$5:$AJ$130,0,MATCH(N$2,Inputs!$K$4:$AJ$4,0))))+SUMPRODUCT((Inputs!$C$5:$C$130=$B28)*ISNUMBER(INDEX(Inputs!$K$5:$AJ$130,0,MATCH(N$2,Inputs!$K$4:$AJ$4,0))))+SUMPRODUCT((Inputs!$E$5:$E$130=$B28)*ISNUMBER(INDEX(Inputs!$K$5:$AJ$130,0,MATCH(N$2,Inputs!$K$4:$AJ$4,0))))=0,NA(),SUMPRODUCT((Inputs!$A$5:$A$130=$B28)*Inputs!$B$5:$B$130*(((Inputs!$G$5:$G$130="moeda")+(Inputs!$G$5:$G$130="acoes"))*Inputs!$B$1+((Inputs!$G$5:$G$130&lt;&gt;"moeda")*(Inputs!$G$5:$G$130&lt;&gt;"acoes")))*INDEX(Inputs!$K$5:$AJ$130,0,MATCH(N$2,Inputs!$K$4:$AJ$4,0)))+SUMPRODUCT((Inputs!$C$5:$C$130=$B28)*Inputs!$D$5:$D$130*(((Inputs!$G$5:$G$130="moeda")+(Inputs!$G$5:$G$130="acoes"))*Inputs!$B$1+((Inputs!$G$5:$G$130&lt;&gt;"moeda")*(Inputs!$G$5:$G$130&lt;&gt;"acoes")))*INDEX(Inputs!$K$5:$AJ$130,0,MATCH(N$2,Inputs!$K$4:$AJ$4,0)))+SUMPRODUCT((Inputs!$E$5:$E$130=$B28)*Inputs!$F$5:$F$130*(((Inputs!$G$5:$G$130="moeda")+(Inputs!$G$5:$G$130="acoes"))*Inputs!$B$1+((Inputs!$G$5:$G$130&lt;&gt;"moeda")*(Inputs!$G$5:$G$130&lt;&gt;"acoes")))*INDEX(Inputs!$K$5:$AJ$130,0,MATCH(N$2,Inputs!$K$4:$AJ$4,0)))))</f>
        <v>0</v>
      </c>
      <c r="O28" s="6">
        <f>IF(ISNA(MATCH(O$2,Inputs!$K$4:$AJ$4,0)),NA(),IF(SUMPRODUCT((Inputs!$A$5:$A$130=$B28)*ISNUMBER(INDEX(Inputs!$K$5:$AJ$130,0,MATCH(O$2,Inputs!$K$4:$AJ$4,0))))+SUMPRODUCT((Inputs!$C$5:$C$130=$B28)*ISNUMBER(INDEX(Inputs!$K$5:$AJ$130,0,MATCH(O$2,Inputs!$K$4:$AJ$4,0))))+SUMPRODUCT((Inputs!$E$5:$E$130=$B28)*ISNUMBER(INDEX(Inputs!$K$5:$AJ$130,0,MATCH(O$2,Inputs!$K$4:$AJ$4,0))))=0,NA(),SUMPRODUCT((Inputs!$A$5:$A$130=$B28)*Inputs!$B$5:$B$130*(((Inputs!$G$5:$G$130="moeda")+(Inputs!$G$5:$G$130="acoes"))*Inputs!$B$1+((Inputs!$G$5:$G$130&lt;&gt;"moeda")*(Inputs!$G$5:$G$130&lt;&gt;"acoes")))*INDEX(Inputs!$K$5:$AJ$130,0,MATCH(O$2,Inputs!$K$4:$AJ$4,0)))+SUMPRODUCT((Inputs!$C$5:$C$130=$B28)*Inputs!$D$5:$D$130*(((Inputs!$G$5:$G$130="moeda")+(Inputs!$G$5:$G$130="acoes"))*Inputs!$B$1+((Inputs!$G$5:$G$130&lt;&gt;"moeda")*(Inputs!$G$5:$G$130&lt;&gt;"acoes")))*INDEX(Inputs!$K$5:$AJ$130,0,MATCH(O$2,Inputs!$K$4:$AJ$4,0)))+SUMPRODUCT((Inputs!$E$5:$E$130=$B28)*Inputs!$F$5:$F$130*(((Inputs!$G$5:$G$130="moeda")+(Inputs!$G$5:$G$130="acoes"))*Inputs!$B$1+((Inputs!$G$5:$G$130&lt;&gt;"moeda")*(Inputs!$G$5:$G$130&lt;&gt;"acoes")))*INDEX(Inputs!$K$5:$AJ$130,0,MATCH(O$2,Inputs!$K$4:$AJ$4,0)))))</f>
        <v>0</v>
      </c>
      <c r="P28" s="6">
        <f>IF(ISNA(MATCH(P$2,Inputs!$K$4:$AJ$4,0)),NA(),IF(SUMPRODUCT((Inputs!$A$5:$A$130=$B28)*ISNUMBER(INDEX(Inputs!$K$5:$AJ$130,0,MATCH(P$2,Inputs!$K$4:$AJ$4,0))))+SUMPRODUCT((Inputs!$C$5:$C$130=$B28)*ISNUMBER(INDEX(Inputs!$K$5:$AJ$130,0,MATCH(P$2,Inputs!$K$4:$AJ$4,0))))+SUMPRODUCT((Inputs!$E$5:$E$130=$B28)*ISNUMBER(INDEX(Inputs!$K$5:$AJ$130,0,MATCH(P$2,Inputs!$K$4:$AJ$4,0))))=0,NA(),SUMPRODUCT((Inputs!$A$5:$A$130=$B28)*Inputs!$B$5:$B$130*(((Inputs!$G$5:$G$130="moeda")+(Inputs!$G$5:$G$130="acoes"))*Inputs!$B$1+((Inputs!$G$5:$G$130&lt;&gt;"moeda")*(Inputs!$G$5:$G$130&lt;&gt;"acoes")))*INDEX(Inputs!$K$5:$AJ$130,0,MATCH(P$2,Inputs!$K$4:$AJ$4,0)))+SUMPRODUCT((Inputs!$C$5:$C$130=$B28)*Inputs!$D$5:$D$130*(((Inputs!$G$5:$G$130="moeda")+(Inputs!$G$5:$G$130="acoes"))*Inputs!$B$1+((Inputs!$G$5:$G$130&lt;&gt;"moeda")*(Inputs!$G$5:$G$130&lt;&gt;"acoes")))*INDEX(Inputs!$K$5:$AJ$130,0,MATCH(P$2,Inputs!$K$4:$AJ$4,0)))+SUMPRODUCT((Inputs!$E$5:$E$130=$B28)*Inputs!$F$5:$F$130*(((Inputs!$G$5:$G$130="moeda")+(Inputs!$G$5:$G$130="acoes"))*Inputs!$B$1+((Inputs!$G$5:$G$130&lt;&gt;"moeda")*(Inputs!$G$5:$G$130&lt;&gt;"acoes")))*INDEX(Inputs!$K$5:$AJ$130,0,MATCH(P$2,Inputs!$K$4:$AJ$4,0)))))</f>
        <v>0</v>
      </c>
      <c r="Q28" s="6">
        <f>IF(ISNA(MATCH(Q$2,Inputs!$K$4:$AJ$4,0)),NA(),IF(SUMPRODUCT((Inputs!$A$5:$A$130=$B28)*ISNUMBER(INDEX(Inputs!$K$5:$AJ$130,0,MATCH(Q$2,Inputs!$K$4:$AJ$4,0))))+SUMPRODUCT((Inputs!$C$5:$C$130=$B28)*ISNUMBER(INDEX(Inputs!$K$5:$AJ$130,0,MATCH(Q$2,Inputs!$K$4:$AJ$4,0))))+SUMPRODUCT((Inputs!$E$5:$E$130=$B28)*ISNUMBER(INDEX(Inputs!$K$5:$AJ$130,0,MATCH(Q$2,Inputs!$K$4:$AJ$4,0))))=0,NA(),SUMPRODUCT((Inputs!$A$5:$A$130=$B28)*Inputs!$B$5:$B$130*(((Inputs!$G$5:$G$130="moeda")+(Inputs!$G$5:$G$130="acoes"))*Inputs!$B$1+((Inputs!$G$5:$G$130&lt;&gt;"moeda")*(Inputs!$G$5:$G$130&lt;&gt;"acoes")))*INDEX(Inputs!$K$5:$AJ$130,0,MATCH(Q$2,Inputs!$K$4:$AJ$4,0)))+SUMPRODUCT((Inputs!$C$5:$C$130=$B28)*Inputs!$D$5:$D$130*(((Inputs!$G$5:$G$130="moeda")+(Inputs!$G$5:$G$130="acoes"))*Inputs!$B$1+((Inputs!$G$5:$G$130&lt;&gt;"moeda")*(Inputs!$G$5:$G$130&lt;&gt;"acoes")))*INDEX(Inputs!$K$5:$AJ$130,0,MATCH(Q$2,Inputs!$K$4:$AJ$4,0)))+SUMPRODUCT((Inputs!$E$5:$E$130=$B28)*Inputs!$F$5:$F$130*(((Inputs!$G$5:$G$130="moeda")+(Inputs!$G$5:$G$130="acoes"))*Inputs!$B$1+((Inputs!$G$5:$G$130&lt;&gt;"moeda")*(Inputs!$G$5:$G$130&lt;&gt;"acoes")))*INDEX(Inputs!$K$5:$AJ$130,0,MATCH(Q$2,Inputs!$K$4:$AJ$4,0)))))</f>
        <v>0</v>
      </c>
      <c r="R28" s="3">
        <f>Q28</f>
        <v>0</v>
      </c>
      <c r="S28" s="6">
        <f>IF(ISNA(MATCH(S$2,Inputs!$K$4:$AJ$4,0)),NA(),IF(SUMPRODUCT((Inputs!$A$5:$A$130=$B28)*ISNUMBER(INDEX(Inputs!$K$5:$AJ$130,0,MATCH(S$2,Inputs!$K$4:$AJ$4,0))))+SUMPRODUCT((Inputs!$C$5:$C$130=$B28)*ISNUMBER(INDEX(Inputs!$K$5:$AJ$130,0,MATCH(S$2,Inputs!$K$4:$AJ$4,0))))+SUMPRODUCT((Inputs!$E$5:$E$130=$B28)*ISNUMBER(INDEX(Inputs!$K$5:$AJ$130,0,MATCH(S$2,Inputs!$K$4:$AJ$4,0))))=0,NA(),SUMPRODUCT((Inputs!$A$5:$A$130=$B28)*Inputs!$B$5:$B$130*(((Inputs!$G$5:$G$130="moeda")+(Inputs!$G$5:$G$130="acoes"))*Inputs!$B$1+((Inputs!$G$5:$G$130&lt;&gt;"moeda")*(Inputs!$G$5:$G$130&lt;&gt;"acoes")))*INDEX(Inputs!$K$5:$AJ$130,0,MATCH(S$2,Inputs!$K$4:$AJ$4,0)))+SUMPRODUCT((Inputs!$C$5:$C$130=$B28)*Inputs!$D$5:$D$130*(((Inputs!$G$5:$G$130="moeda")+(Inputs!$G$5:$G$130="acoes"))*Inputs!$B$1+((Inputs!$G$5:$G$130&lt;&gt;"moeda")*(Inputs!$G$5:$G$130&lt;&gt;"acoes")))*INDEX(Inputs!$K$5:$AJ$130,0,MATCH(S$2,Inputs!$K$4:$AJ$4,0)))+SUMPRODUCT((Inputs!$E$5:$E$130=$B28)*Inputs!$F$5:$F$130*(((Inputs!$G$5:$G$130="moeda")+(Inputs!$G$5:$G$130="acoes"))*Inputs!$B$1+((Inputs!$G$5:$G$130&lt;&gt;"moeda")*(Inputs!$G$5:$G$130&lt;&gt;"acoes")))*INDEX(Inputs!$K$5:$AJ$130,0,MATCH(S$2,Inputs!$K$4:$AJ$4,0)))))</f>
        <v>0</v>
      </c>
      <c r="T28" s="6">
        <f>IF(ISNA(MATCH(T$2,Inputs!$K$4:$AJ$4,0)),NA(),IF(SUMPRODUCT((Inputs!$A$5:$A$130=$B28)*ISNUMBER(INDEX(Inputs!$K$5:$AJ$130,0,MATCH(T$2,Inputs!$K$4:$AJ$4,0))))+SUMPRODUCT((Inputs!$C$5:$C$130=$B28)*ISNUMBER(INDEX(Inputs!$K$5:$AJ$130,0,MATCH(T$2,Inputs!$K$4:$AJ$4,0))))+SUMPRODUCT((Inputs!$E$5:$E$130=$B28)*ISNUMBER(INDEX(Inputs!$K$5:$AJ$130,0,MATCH(T$2,Inputs!$K$4:$AJ$4,0))))=0,NA(),SUMPRODUCT((Inputs!$A$5:$A$130=$B28)*Inputs!$B$5:$B$130*(((Inputs!$G$5:$G$130="moeda")+(Inputs!$G$5:$G$130="acoes"))*Inputs!$B$1+((Inputs!$G$5:$G$130&lt;&gt;"moeda")*(Inputs!$G$5:$G$130&lt;&gt;"acoes")))*INDEX(Inputs!$K$5:$AJ$130,0,MATCH(T$2,Inputs!$K$4:$AJ$4,0)))+SUMPRODUCT((Inputs!$C$5:$C$130=$B28)*Inputs!$D$5:$D$130*(((Inputs!$G$5:$G$130="moeda")+(Inputs!$G$5:$G$130="acoes"))*Inputs!$B$1+((Inputs!$G$5:$G$130&lt;&gt;"moeda")*(Inputs!$G$5:$G$130&lt;&gt;"acoes")))*INDEX(Inputs!$K$5:$AJ$130,0,MATCH(T$2,Inputs!$K$4:$AJ$4,0)))+SUMPRODUCT((Inputs!$E$5:$E$130=$B28)*Inputs!$F$5:$F$130*(((Inputs!$G$5:$G$130="moeda")+(Inputs!$G$5:$G$130="acoes"))*Inputs!$B$1+((Inputs!$G$5:$G$130&lt;&gt;"moeda")*(Inputs!$G$5:$G$130&lt;&gt;"acoes")))*INDEX(Inputs!$K$5:$AJ$130,0,MATCH(T$2,Inputs!$K$4:$AJ$4,0)))))</f>
        <v>0</v>
      </c>
      <c r="U28" s="6">
        <f>IF(ISNA(MATCH(U$2,Inputs!$K$4:$AJ$4,0)),NA(),IF(SUMPRODUCT((Inputs!$A$5:$A$130=$B28)*ISNUMBER(INDEX(Inputs!$K$5:$AJ$130,0,MATCH(U$2,Inputs!$K$4:$AJ$4,0))))+SUMPRODUCT((Inputs!$C$5:$C$130=$B28)*ISNUMBER(INDEX(Inputs!$K$5:$AJ$130,0,MATCH(U$2,Inputs!$K$4:$AJ$4,0))))+SUMPRODUCT((Inputs!$E$5:$E$130=$B28)*ISNUMBER(INDEX(Inputs!$K$5:$AJ$130,0,MATCH(U$2,Inputs!$K$4:$AJ$4,0))))=0,NA(),SUMPRODUCT((Inputs!$A$5:$A$130=$B28)*Inputs!$B$5:$B$130*(((Inputs!$G$5:$G$130="moeda")+(Inputs!$G$5:$G$130="acoes"))*Inputs!$B$1+((Inputs!$G$5:$G$130&lt;&gt;"moeda")*(Inputs!$G$5:$G$130&lt;&gt;"acoes")))*INDEX(Inputs!$K$5:$AJ$130,0,MATCH(U$2,Inputs!$K$4:$AJ$4,0)))+SUMPRODUCT((Inputs!$C$5:$C$130=$B28)*Inputs!$D$5:$D$130*(((Inputs!$G$5:$G$130="moeda")+(Inputs!$G$5:$G$130="acoes"))*Inputs!$B$1+((Inputs!$G$5:$G$130&lt;&gt;"moeda")*(Inputs!$G$5:$G$130&lt;&gt;"acoes")))*INDEX(Inputs!$K$5:$AJ$130,0,MATCH(U$2,Inputs!$K$4:$AJ$4,0)))+SUMPRODUCT((Inputs!$E$5:$E$130=$B28)*Inputs!$F$5:$F$130*(((Inputs!$G$5:$G$130="moeda")+(Inputs!$G$5:$G$130="acoes"))*Inputs!$B$1+((Inputs!$G$5:$G$130&lt;&gt;"moeda")*(Inputs!$G$5:$G$130&lt;&gt;"acoes")))*INDEX(Inputs!$K$5:$AJ$130,0,MATCH(U$2,Inputs!$K$4:$AJ$4,0)))))</f>
        <v>0</v>
      </c>
      <c r="V28" s="6">
        <f>IF(ISNA(MATCH(V$2,Inputs!$K$4:$AJ$4,0)),NA(),IF(SUMPRODUCT((Inputs!$A$5:$A$130=$B28)*ISNUMBER(INDEX(Inputs!$K$5:$AJ$130,0,MATCH(V$2,Inputs!$K$4:$AJ$4,0))))+SUMPRODUCT((Inputs!$C$5:$C$130=$B28)*ISNUMBER(INDEX(Inputs!$K$5:$AJ$130,0,MATCH(V$2,Inputs!$K$4:$AJ$4,0))))+SUMPRODUCT((Inputs!$E$5:$E$130=$B28)*ISNUMBER(INDEX(Inputs!$K$5:$AJ$130,0,MATCH(V$2,Inputs!$K$4:$AJ$4,0))))=0,NA(),SUMPRODUCT((Inputs!$A$5:$A$130=$B28)*Inputs!$B$5:$B$130*(((Inputs!$G$5:$G$130="moeda")+(Inputs!$G$5:$G$130="acoes"))*Inputs!$B$1+((Inputs!$G$5:$G$130&lt;&gt;"moeda")*(Inputs!$G$5:$G$130&lt;&gt;"acoes")))*INDEX(Inputs!$K$5:$AJ$130,0,MATCH(V$2,Inputs!$K$4:$AJ$4,0)))+SUMPRODUCT((Inputs!$C$5:$C$130=$B28)*Inputs!$D$5:$D$130*(((Inputs!$G$5:$G$130="moeda")+(Inputs!$G$5:$G$130="acoes"))*Inputs!$B$1+((Inputs!$G$5:$G$130&lt;&gt;"moeda")*(Inputs!$G$5:$G$130&lt;&gt;"acoes")))*INDEX(Inputs!$K$5:$AJ$130,0,MATCH(V$2,Inputs!$K$4:$AJ$4,0)))+SUMPRODUCT((Inputs!$E$5:$E$130=$B28)*Inputs!$F$5:$F$130*(((Inputs!$G$5:$G$130="moeda")+(Inputs!$G$5:$G$130="acoes"))*Inputs!$B$1+((Inputs!$G$5:$G$130&lt;&gt;"moeda")*(Inputs!$G$5:$G$130&lt;&gt;"acoes")))*INDEX(Inputs!$K$5:$AJ$130,0,MATCH(V$2,Inputs!$K$4:$AJ$4,0)))))</f>
        <v>0</v>
      </c>
      <c r="W28" s="3">
        <f>V28</f>
        <v>0</v>
      </c>
      <c r="X28" s="6">
        <f>IF(ISNA(MATCH(X$2,Inputs!$K$4:$AJ$4,0)),NA(),IF(SUMPRODUCT((Inputs!$A$5:$A$130=$B28)*ISNUMBER(INDEX(Inputs!$K$5:$AJ$130,0,MATCH(X$2,Inputs!$K$4:$AJ$4,0))))+SUMPRODUCT((Inputs!$C$5:$C$130=$B28)*ISNUMBER(INDEX(Inputs!$K$5:$AJ$130,0,MATCH(X$2,Inputs!$K$4:$AJ$4,0))))+SUMPRODUCT((Inputs!$E$5:$E$130=$B28)*ISNUMBER(INDEX(Inputs!$K$5:$AJ$130,0,MATCH(X$2,Inputs!$K$4:$AJ$4,0))))=0,NA(),SUMPRODUCT((Inputs!$A$5:$A$130=$B28)*Inputs!$B$5:$B$130*(((Inputs!$G$5:$G$130="moeda")+(Inputs!$G$5:$G$130="acoes"))*Inputs!$B$1+((Inputs!$G$5:$G$130&lt;&gt;"moeda")*(Inputs!$G$5:$G$130&lt;&gt;"acoes")))*INDEX(Inputs!$K$5:$AJ$130,0,MATCH(X$2,Inputs!$K$4:$AJ$4,0)))+SUMPRODUCT((Inputs!$C$5:$C$130=$B28)*Inputs!$D$5:$D$130*(((Inputs!$G$5:$G$130="moeda")+(Inputs!$G$5:$G$130="acoes"))*Inputs!$B$1+((Inputs!$G$5:$G$130&lt;&gt;"moeda")*(Inputs!$G$5:$G$130&lt;&gt;"acoes")))*INDEX(Inputs!$K$5:$AJ$130,0,MATCH(X$2,Inputs!$K$4:$AJ$4,0)))+SUMPRODUCT((Inputs!$E$5:$E$130=$B28)*Inputs!$F$5:$F$130*(((Inputs!$G$5:$G$130="moeda")+(Inputs!$G$5:$G$130="acoes"))*Inputs!$B$1+((Inputs!$G$5:$G$130&lt;&gt;"moeda")*(Inputs!$G$5:$G$130&lt;&gt;"acoes")))*INDEX(Inputs!$K$5:$AJ$130,0,MATCH(X$2,Inputs!$K$4:$AJ$4,0)))))</f>
        <v>0</v>
      </c>
      <c r="Y28" s="6">
        <f>IF(ISNA(MATCH(Y$2,Inputs!$K$4:$AJ$4,0)),NA(),IF(SUMPRODUCT((Inputs!$A$5:$A$130=$B28)*ISNUMBER(INDEX(Inputs!$K$5:$AJ$130,0,MATCH(Y$2,Inputs!$K$4:$AJ$4,0))))+SUMPRODUCT((Inputs!$C$5:$C$130=$B28)*ISNUMBER(INDEX(Inputs!$K$5:$AJ$130,0,MATCH(Y$2,Inputs!$K$4:$AJ$4,0))))+SUMPRODUCT((Inputs!$E$5:$E$130=$B28)*ISNUMBER(INDEX(Inputs!$K$5:$AJ$130,0,MATCH(Y$2,Inputs!$K$4:$AJ$4,0))))=0,NA(),SUMPRODUCT((Inputs!$A$5:$A$130=$B28)*Inputs!$B$5:$B$130*(((Inputs!$G$5:$G$130="moeda")+(Inputs!$G$5:$G$130="acoes"))*Inputs!$B$1+((Inputs!$G$5:$G$130&lt;&gt;"moeda")*(Inputs!$G$5:$G$130&lt;&gt;"acoes")))*INDEX(Inputs!$K$5:$AJ$130,0,MATCH(Y$2,Inputs!$K$4:$AJ$4,0)))+SUMPRODUCT((Inputs!$C$5:$C$130=$B28)*Inputs!$D$5:$D$130*(((Inputs!$G$5:$G$130="moeda")+(Inputs!$G$5:$G$130="acoes"))*Inputs!$B$1+((Inputs!$G$5:$G$130&lt;&gt;"moeda")*(Inputs!$G$5:$G$130&lt;&gt;"acoes")))*INDEX(Inputs!$K$5:$AJ$130,0,MATCH(Y$2,Inputs!$K$4:$AJ$4,0)))+SUMPRODUCT((Inputs!$E$5:$E$130=$B28)*Inputs!$F$5:$F$130*(((Inputs!$G$5:$G$130="moeda")+(Inputs!$G$5:$G$130="acoes"))*Inputs!$B$1+((Inputs!$G$5:$G$130&lt;&gt;"moeda")*(Inputs!$G$5:$G$130&lt;&gt;"acoes")))*INDEX(Inputs!$K$5:$AJ$130,0,MATCH(Y$2,Inputs!$K$4:$AJ$4,0)))))</f>
        <v>0</v>
      </c>
      <c r="Z28" s="6">
        <f>IF(ISNA(MATCH(Z$2,Inputs!$K$4:$AJ$4,0)),NA(),IF(SUMPRODUCT((Inputs!$A$5:$A$130=$B28)*ISNUMBER(INDEX(Inputs!$K$5:$AJ$130,0,MATCH(Z$2,Inputs!$K$4:$AJ$4,0))))+SUMPRODUCT((Inputs!$C$5:$C$130=$B28)*ISNUMBER(INDEX(Inputs!$K$5:$AJ$130,0,MATCH(Z$2,Inputs!$K$4:$AJ$4,0))))+SUMPRODUCT((Inputs!$E$5:$E$130=$B28)*ISNUMBER(INDEX(Inputs!$K$5:$AJ$130,0,MATCH(Z$2,Inputs!$K$4:$AJ$4,0))))=0,NA(),SUMPRODUCT((Inputs!$A$5:$A$130=$B28)*Inputs!$B$5:$B$130*(((Inputs!$G$5:$G$130="moeda")+(Inputs!$G$5:$G$130="acoes"))*Inputs!$B$1+((Inputs!$G$5:$G$130&lt;&gt;"moeda")*(Inputs!$G$5:$G$130&lt;&gt;"acoes")))*INDEX(Inputs!$K$5:$AJ$130,0,MATCH(Z$2,Inputs!$K$4:$AJ$4,0)))+SUMPRODUCT((Inputs!$C$5:$C$130=$B28)*Inputs!$D$5:$D$130*(((Inputs!$G$5:$G$130="moeda")+(Inputs!$G$5:$G$130="acoes"))*Inputs!$B$1+((Inputs!$G$5:$G$130&lt;&gt;"moeda")*(Inputs!$G$5:$G$130&lt;&gt;"acoes")))*INDEX(Inputs!$K$5:$AJ$130,0,MATCH(Z$2,Inputs!$K$4:$AJ$4,0)))+SUMPRODUCT((Inputs!$E$5:$E$130=$B28)*Inputs!$F$5:$F$130*(((Inputs!$G$5:$G$130="moeda")+(Inputs!$G$5:$G$130="acoes"))*Inputs!$B$1+((Inputs!$G$5:$G$130&lt;&gt;"moeda")*(Inputs!$G$5:$G$130&lt;&gt;"acoes")))*INDEX(Inputs!$K$5:$AJ$130,0,MATCH(Z$2,Inputs!$K$4:$AJ$4,0)))))</f>
        <v>0</v>
      </c>
      <c r="AA28" s="6">
        <f>IF(ISNA(MATCH(AA$2,Inputs!$K$4:$AJ$4,0)),NA(),IF(SUMPRODUCT((Inputs!$A$5:$A$130=$B28)*ISNUMBER(INDEX(Inputs!$K$5:$AJ$130,0,MATCH(AA$2,Inputs!$K$4:$AJ$4,0))))+SUMPRODUCT((Inputs!$C$5:$C$130=$B28)*ISNUMBER(INDEX(Inputs!$K$5:$AJ$130,0,MATCH(AA$2,Inputs!$K$4:$AJ$4,0))))+SUMPRODUCT((Inputs!$E$5:$E$130=$B28)*ISNUMBER(INDEX(Inputs!$K$5:$AJ$130,0,MATCH(AA$2,Inputs!$K$4:$AJ$4,0))))=0,NA(),SUMPRODUCT((Inputs!$A$5:$A$130=$B28)*Inputs!$B$5:$B$130*(((Inputs!$G$5:$G$130="moeda")+(Inputs!$G$5:$G$130="acoes"))*Inputs!$B$1+((Inputs!$G$5:$G$130&lt;&gt;"moeda")*(Inputs!$G$5:$G$130&lt;&gt;"acoes")))*INDEX(Inputs!$K$5:$AJ$130,0,MATCH(AA$2,Inputs!$K$4:$AJ$4,0)))+SUMPRODUCT((Inputs!$C$5:$C$130=$B28)*Inputs!$D$5:$D$130*(((Inputs!$G$5:$G$130="moeda")+(Inputs!$G$5:$G$130="acoes"))*Inputs!$B$1+((Inputs!$G$5:$G$130&lt;&gt;"moeda")*(Inputs!$G$5:$G$130&lt;&gt;"acoes")))*INDEX(Inputs!$K$5:$AJ$130,0,MATCH(AA$2,Inputs!$K$4:$AJ$4,0)))+SUMPRODUCT((Inputs!$E$5:$E$130=$B28)*Inputs!$F$5:$F$130*(((Inputs!$G$5:$G$130="moeda")+(Inputs!$G$5:$G$130="acoes"))*Inputs!$B$1+((Inputs!$G$5:$G$130&lt;&gt;"moeda")*(Inputs!$G$5:$G$130&lt;&gt;"acoes")))*INDEX(Inputs!$K$5:$AJ$130,0,MATCH(AA$2,Inputs!$K$4:$AJ$4,0)))))</f>
        <v>0</v>
      </c>
      <c r="AB28" s="3">
        <f>AA28</f>
        <v>0</v>
      </c>
      <c r="AC28" s="6">
        <f>IF(ISNA(MATCH(AC$2,Inputs!$K$4:$AJ$4,0)),NA(),IF(SUMPRODUCT((Inputs!$A$5:$A$130=$B28)*ISNUMBER(INDEX(Inputs!$K$5:$AJ$130,0,MATCH(AC$2,Inputs!$K$4:$AJ$4,0))))+SUMPRODUCT((Inputs!$C$5:$C$130=$B28)*ISNUMBER(INDEX(Inputs!$K$5:$AJ$130,0,MATCH(AC$2,Inputs!$K$4:$AJ$4,0))))+SUMPRODUCT((Inputs!$E$5:$E$130=$B28)*ISNUMBER(INDEX(Inputs!$K$5:$AJ$130,0,MATCH(AC$2,Inputs!$K$4:$AJ$4,0))))=0,NA(),SUMPRODUCT((Inputs!$A$5:$A$130=$B28)*Inputs!$B$5:$B$130*(((Inputs!$G$5:$G$130="moeda")+(Inputs!$G$5:$G$130="acoes"))*Inputs!$B$1+((Inputs!$G$5:$G$130&lt;&gt;"moeda")*(Inputs!$G$5:$G$130&lt;&gt;"acoes")))*INDEX(Inputs!$K$5:$AJ$130,0,MATCH(AC$2,Inputs!$K$4:$AJ$4,0)))+SUMPRODUCT((Inputs!$C$5:$C$130=$B28)*Inputs!$D$5:$D$130*(((Inputs!$G$5:$G$130="moeda")+(Inputs!$G$5:$G$130="acoes"))*Inputs!$B$1+((Inputs!$G$5:$G$130&lt;&gt;"moeda")*(Inputs!$G$5:$G$130&lt;&gt;"acoes")))*INDEX(Inputs!$K$5:$AJ$130,0,MATCH(AC$2,Inputs!$K$4:$AJ$4,0)))+SUMPRODUCT((Inputs!$E$5:$E$130=$B28)*Inputs!$F$5:$F$130*(((Inputs!$G$5:$G$130="moeda")+(Inputs!$G$5:$G$130="acoes"))*Inputs!$B$1+((Inputs!$G$5:$G$130&lt;&gt;"moeda")*(Inputs!$G$5:$G$130&lt;&gt;"acoes")))*INDEX(Inputs!$K$5:$AJ$130,0,MATCH(AC$2,Inputs!$K$4:$AJ$4,0)))))</f>
        <v>0</v>
      </c>
      <c r="AD28" s="6">
        <f>IF(ISNA(MATCH(AD$2,Inputs!$K$4:$AJ$4,0)),NA(),IF(SUMPRODUCT((Inputs!$A$5:$A$130=$B28)*ISNUMBER(INDEX(Inputs!$K$5:$AJ$130,0,MATCH(AD$2,Inputs!$K$4:$AJ$4,0))))+SUMPRODUCT((Inputs!$C$5:$C$130=$B28)*ISNUMBER(INDEX(Inputs!$K$5:$AJ$130,0,MATCH(AD$2,Inputs!$K$4:$AJ$4,0))))+SUMPRODUCT((Inputs!$E$5:$E$130=$B28)*ISNUMBER(INDEX(Inputs!$K$5:$AJ$130,0,MATCH(AD$2,Inputs!$K$4:$AJ$4,0))))=0,NA(),SUMPRODUCT((Inputs!$A$5:$A$130=$B28)*Inputs!$B$5:$B$130*(((Inputs!$G$5:$G$130="moeda")+(Inputs!$G$5:$G$130="acoes"))*Inputs!$B$1+((Inputs!$G$5:$G$130&lt;&gt;"moeda")*(Inputs!$G$5:$G$130&lt;&gt;"acoes")))*INDEX(Inputs!$K$5:$AJ$130,0,MATCH(AD$2,Inputs!$K$4:$AJ$4,0)))+SUMPRODUCT((Inputs!$C$5:$C$130=$B28)*Inputs!$D$5:$D$130*(((Inputs!$G$5:$G$130="moeda")+(Inputs!$G$5:$G$130="acoes"))*Inputs!$B$1+((Inputs!$G$5:$G$130&lt;&gt;"moeda")*(Inputs!$G$5:$G$130&lt;&gt;"acoes")))*INDEX(Inputs!$K$5:$AJ$130,0,MATCH(AD$2,Inputs!$K$4:$AJ$4,0)))+SUMPRODUCT((Inputs!$E$5:$E$130=$B28)*Inputs!$F$5:$F$130*(((Inputs!$G$5:$G$130="moeda")+(Inputs!$G$5:$G$130="acoes"))*Inputs!$B$1+((Inputs!$G$5:$G$130&lt;&gt;"moeda")*(Inputs!$G$5:$G$130&lt;&gt;"acoes")))*INDEX(Inputs!$K$5:$AJ$130,0,MATCH(AD$2,Inputs!$K$4:$AJ$4,0)))))</f>
        <v>0</v>
      </c>
      <c r="AE28" s="6" t="e">
        <f>IF(ISNA(MATCH(AE$2,Inputs!$K$4:$AJ$4,0)),NA(),IF(SUMPRODUCT((Inputs!$A$5:$A$130=$B28)*ISNUMBER(INDEX(Inputs!$K$5:$AJ$130,0,MATCH(AE$2,Inputs!$K$4:$AJ$4,0))))+SUMPRODUCT((Inputs!$C$5:$C$130=$B28)*ISNUMBER(INDEX(Inputs!$K$5:$AJ$130,0,MATCH(AE$2,Inputs!$K$4:$AJ$4,0))))+SUMPRODUCT((Inputs!$E$5:$E$130=$B28)*ISNUMBER(INDEX(Inputs!$K$5:$AJ$130,0,MATCH(AE$2,Inputs!$K$4:$AJ$4,0))))=0,NA(),SUMPRODUCT((Inputs!$A$5:$A$130=$B28)*Inputs!$B$5:$B$130*(((Inputs!$G$5:$G$130="moeda")+(Inputs!$G$5:$G$130="acoes"))*Inputs!$B$1+((Inputs!$G$5:$G$130&lt;&gt;"moeda")*(Inputs!$G$5:$G$130&lt;&gt;"acoes")))*INDEX(Inputs!$K$5:$AJ$130,0,MATCH(AE$2,Inputs!$K$4:$AJ$4,0)))+SUMPRODUCT((Inputs!$C$5:$C$130=$B28)*Inputs!$D$5:$D$130*(((Inputs!$G$5:$G$130="moeda")+(Inputs!$G$5:$G$130="acoes"))*Inputs!$B$1+((Inputs!$G$5:$G$130&lt;&gt;"moeda")*(Inputs!$G$5:$G$130&lt;&gt;"acoes")))*INDEX(Inputs!$K$5:$AJ$130,0,MATCH(AE$2,Inputs!$K$4:$AJ$4,0)))+SUMPRODUCT((Inputs!$E$5:$E$130=$B28)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8" s="6" t="e">
        <f>IF(ISNA(MATCH(AF$2,Inputs!$K$4:$AJ$4,0)),NA(),IF(SUMPRODUCT((Inputs!$A$5:$A$130=$B28)*ISNUMBER(INDEX(Inputs!$K$5:$AJ$130,0,MATCH(AF$2,Inputs!$K$4:$AJ$4,0))))+SUMPRODUCT((Inputs!$C$5:$C$130=$B28)*ISNUMBER(INDEX(Inputs!$K$5:$AJ$130,0,MATCH(AF$2,Inputs!$K$4:$AJ$4,0))))+SUMPRODUCT((Inputs!$E$5:$E$130=$B28)*ISNUMBER(INDEX(Inputs!$K$5:$AJ$130,0,MATCH(AF$2,Inputs!$K$4:$AJ$4,0))))=0,NA(),SUMPRODUCT((Inputs!$A$5:$A$130=$B28)*Inputs!$B$5:$B$130*(((Inputs!$G$5:$G$130="moeda")+(Inputs!$G$5:$G$130="acoes"))*Inputs!$B$1+((Inputs!$G$5:$G$130&lt;&gt;"moeda")*(Inputs!$G$5:$G$130&lt;&gt;"acoes")))*INDEX(Inputs!$K$5:$AJ$130,0,MATCH(AF$2,Inputs!$K$4:$AJ$4,0)))+SUMPRODUCT((Inputs!$C$5:$C$130=$B28)*Inputs!$D$5:$D$130*(((Inputs!$G$5:$G$130="moeda")+(Inputs!$G$5:$G$130="acoes"))*Inputs!$B$1+((Inputs!$G$5:$G$130&lt;&gt;"moeda")*(Inputs!$G$5:$G$130&lt;&gt;"acoes")))*INDEX(Inputs!$K$5:$AJ$130,0,MATCH(AF$2,Inputs!$K$4:$AJ$4,0)))+SUMPRODUCT((Inputs!$E$5:$E$130=$B28)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8" s="3" t="e">
        <f>AF28</f>
        <v>#N/A</v>
      </c>
      <c r="AH28" s="6">
        <f>IF(ISNA(MATCH(AH$2,Inputs!$K$4:$AJ$4,0)),NA(),IF(SUMPRODUCT((Inputs!$A$5:$A$130=$B28)*ISNUMBER(INDEX(Inputs!$K$5:$AJ$130,0,MATCH(AH$2,Inputs!$K$4:$AJ$4,0))))+SUMPRODUCT((Inputs!$C$5:$C$130=$B28)*ISNUMBER(INDEX(Inputs!$K$5:$AJ$130,0,MATCH(AH$2,Inputs!$K$4:$AJ$4,0))))+SUMPRODUCT((Inputs!$E$5:$E$130=$B28)*ISNUMBER(INDEX(Inputs!$K$5:$AJ$130,0,MATCH(AH$2,Inputs!$K$4:$AJ$4,0))))=0,NA(),SUMPRODUCT((Inputs!$A$5:$A$130=$B28)*Inputs!$B$5:$B$130*(((Inputs!$G$5:$G$130="moeda")+(Inputs!$G$5:$G$130="acoes"))*Inputs!$B$1+((Inputs!$G$5:$G$130&lt;&gt;"moeda")*(Inputs!$G$5:$G$130&lt;&gt;"acoes")))*INDEX(Inputs!$K$5:$AJ$130,0,MATCH(AH$2,Inputs!$K$4:$AJ$4,0)))+SUMPRODUCT((Inputs!$C$5:$C$130=$B28)*Inputs!$D$5:$D$130*(((Inputs!$G$5:$G$130="moeda")+(Inputs!$G$5:$G$130="acoes"))*Inputs!$B$1+((Inputs!$G$5:$G$130&lt;&gt;"moeda")*(Inputs!$G$5:$G$130&lt;&gt;"acoes")))*INDEX(Inputs!$K$5:$AJ$130,0,MATCH(AH$2,Inputs!$K$4:$AJ$4,0)))+SUMPRODUCT((Inputs!$E$5:$E$130=$B28)*Inputs!$F$5:$F$130*(((Inputs!$G$5:$G$130="moeda")+(Inputs!$G$5:$G$130="acoes"))*Inputs!$B$1+((Inputs!$G$5:$G$130&lt;&gt;"moeda")*(Inputs!$G$5:$G$130&lt;&gt;"acoes")))*INDEX(Inputs!$K$5:$AJ$130,0,MATCH(AH$2,Inputs!$K$4:$AJ$4,0)))))</f>
        <v>0</v>
      </c>
      <c r="AI28" s="6">
        <f>IF(ISNA(MATCH(AI$2,Inputs!$K$4:$AJ$4,0)),NA(),IF(SUMPRODUCT((Inputs!$A$5:$A$130=$B28)*ISNUMBER(INDEX(Inputs!$K$5:$AJ$130,0,MATCH(AI$2,Inputs!$K$4:$AJ$4,0))))+SUMPRODUCT((Inputs!$C$5:$C$130=$B28)*ISNUMBER(INDEX(Inputs!$K$5:$AJ$130,0,MATCH(AI$2,Inputs!$K$4:$AJ$4,0))))+SUMPRODUCT((Inputs!$E$5:$E$130=$B28)*ISNUMBER(INDEX(Inputs!$K$5:$AJ$130,0,MATCH(AI$2,Inputs!$K$4:$AJ$4,0))))=0,NA(),SUMPRODUCT((Inputs!$A$5:$A$130=$B28)*Inputs!$B$5:$B$130*(((Inputs!$G$5:$G$130="moeda")+(Inputs!$G$5:$G$130="acoes"))*Inputs!$B$1+((Inputs!$G$5:$G$130&lt;&gt;"moeda")*(Inputs!$G$5:$G$130&lt;&gt;"acoes")))*INDEX(Inputs!$K$5:$AJ$130,0,MATCH(AI$2,Inputs!$K$4:$AJ$4,0)))+SUMPRODUCT((Inputs!$C$5:$C$130=$B28)*Inputs!$D$5:$D$130*(((Inputs!$G$5:$G$130="moeda")+(Inputs!$G$5:$G$130="acoes"))*Inputs!$B$1+((Inputs!$G$5:$G$130&lt;&gt;"moeda")*(Inputs!$G$5:$G$130&lt;&gt;"acoes")))*INDEX(Inputs!$K$5:$AJ$130,0,MATCH(AI$2,Inputs!$K$4:$AJ$4,0)))+SUMPRODUCT((Inputs!$E$5:$E$130=$B28)*Inputs!$F$5:$F$130*(((Inputs!$G$5:$G$130="moeda")+(Inputs!$G$5:$G$130="acoes"))*Inputs!$B$1+((Inputs!$G$5:$G$130&lt;&gt;"moeda")*(Inputs!$G$5:$G$130&lt;&gt;"acoes")))*INDEX(Inputs!$K$5:$AJ$130,0,MATCH(AI$2,Inputs!$K$4:$AJ$4,0)))))</f>
        <v>0</v>
      </c>
      <c r="AJ28" s="6">
        <f>IF(ISNA(MATCH(AJ$2,Inputs!$K$4:$AJ$4,0)),NA(),IF(SUMPRODUCT((Inputs!$A$5:$A$130=$B28)*ISNUMBER(INDEX(Inputs!$K$5:$AJ$130,0,MATCH(AJ$2,Inputs!$K$4:$AJ$4,0))))+SUMPRODUCT((Inputs!$C$5:$C$130=$B28)*ISNUMBER(INDEX(Inputs!$K$5:$AJ$130,0,MATCH(AJ$2,Inputs!$K$4:$AJ$4,0))))+SUMPRODUCT((Inputs!$E$5:$E$130=$B28)*ISNUMBER(INDEX(Inputs!$K$5:$AJ$130,0,MATCH(AJ$2,Inputs!$K$4:$AJ$4,0))))=0,NA(),SUMPRODUCT((Inputs!$A$5:$A$130=$B28)*Inputs!$B$5:$B$130*(((Inputs!$G$5:$G$130="moeda")+(Inputs!$G$5:$G$130="acoes"))*Inputs!$B$1+((Inputs!$G$5:$G$130&lt;&gt;"moeda")*(Inputs!$G$5:$G$130&lt;&gt;"acoes")))*INDEX(Inputs!$K$5:$AJ$130,0,MATCH(AJ$2,Inputs!$K$4:$AJ$4,0)))+SUMPRODUCT((Inputs!$C$5:$C$130=$B28)*Inputs!$D$5:$D$130*(((Inputs!$G$5:$G$130="moeda")+(Inputs!$G$5:$G$130="acoes"))*Inputs!$B$1+((Inputs!$G$5:$G$130&lt;&gt;"moeda")*(Inputs!$G$5:$G$130&lt;&gt;"acoes")))*INDEX(Inputs!$K$5:$AJ$130,0,MATCH(AJ$2,Inputs!$K$4:$AJ$4,0)))+SUMPRODUCT((Inputs!$E$5:$E$130=$B28)*Inputs!$F$5:$F$130*(((Inputs!$G$5:$G$130="moeda")+(Inputs!$G$5:$G$130="acoes"))*Inputs!$B$1+((Inputs!$G$5:$G$130&lt;&gt;"moeda")*(Inputs!$G$5:$G$130&lt;&gt;"acoes")))*INDEX(Inputs!$K$5:$AJ$130,0,MATCH(AJ$2,Inputs!$K$4:$AJ$4,0)))))</f>
        <v>0</v>
      </c>
      <c r="AK28" s="6">
        <f>IF(ISNA(MATCH(AK$2,Inputs!$K$4:$AJ$4,0)),NA(),IF(SUMPRODUCT((Inputs!$A$5:$A$130=$B28)*ISNUMBER(INDEX(Inputs!$K$5:$AJ$130,0,MATCH(AK$2,Inputs!$K$4:$AJ$4,0))))+SUMPRODUCT((Inputs!$C$5:$C$130=$B28)*ISNUMBER(INDEX(Inputs!$K$5:$AJ$130,0,MATCH(AK$2,Inputs!$K$4:$AJ$4,0))))+SUMPRODUCT((Inputs!$E$5:$E$130=$B28)*ISNUMBER(INDEX(Inputs!$K$5:$AJ$130,0,MATCH(AK$2,Inputs!$K$4:$AJ$4,0))))=0,NA(),SUMPRODUCT((Inputs!$A$5:$A$130=$B28)*Inputs!$B$5:$B$130*(((Inputs!$G$5:$G$130="moeda")+(Inputs!$G$5:$G$130="acoes"))*Inputs!$B$1+((Inputs!$G$5:$G$130&lt;&gt;"moeda")*(Inputs!$G$5:$G$130&lt;&gt;"acoes")))*INDEX(Inputs!$K$5:$AJ$130,0,MATCH(AK$2,Inputs!$K$4:$AJ$4,0)))+SUMPRODUCT((Inputs!$C$5:$C$130=$B28)*Inputs!$D$5:$D$130*(((Inputs!$G$5:$G$130="moeda")+(Inputs!$G$5:$G$130="acoes"))*Inputs!$B$1+((Inputs!$G$5:$G$130&lt;&gt;"moeda")*(Inputs!$G$5:$G$130&lt;&gt;"acoes")))*INDEX(Inputs!$K$5:$AJ$130,0,MATCH(AK$2,Inputs!$K$4:$AJ$4,0)))+SUMPRODUCT((Inputs!$E$5:$E$130=$B28)*Inputs!$F$5:$F$130*(((Inputs!$G$5:$G$130="moeda")+(Inputs!$G$5:$G$130="acoes"))*Inputs!$B$1+((Inputs!$G$5:$G$130&lt;&gt;"moeda")*(Inputs!$G$5:$G$130&lt;&gt;"acoes")))*INDEX(Inputs!$K$5:$AJ$130,0,MATCH(AK$2,Inputs!$K$4:$AJ$4,0)))))</f>
        <v>0</v>
      </c>
      <c r="AL28" s="3">
        <f>AK28</f>
        <v>0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$130=$B29)*ISNUMBER(INDEX(Inputs!$K$5:$AJ$130,0,MATCH(D$2,Inputs!$K$4:$AJ$4,0))))+SUMPRODUCT((Inputs!$C$5:$C$130=$B29)*ISNUMBER(INDEX(Inputs!$K$5:$AJ$130,0,MATCH(D$2,Inputs!$K$4:$AJ$4,0))))+SUMPRODUCT((Inputs!$E$5:$E$130=$B29)*ISNUMBER(INDEX(Inputs!$K$5:$AJ$130,0,MATCH(D$2,Inputs!$K$4:$AJ$4,0))))=0,NA(),SUMPRODUCT((Inputs!$A$5:$A$130=$B29)*Inputs!$B$5:$B$130*(((Inputs!$G$5:$G$130="moeda")+(Inputs!$G$5:$G$130="acoes"))*Inputs!$B$1+((Inputs!$G$5:$G$130&lt;&gt;"moeda")*(Inputs!$G$5:$G$130&lt;&gt;"acoes")))*INDEX(Inputs!$K$5:$AJ$130,0,MATCH(D$2,Inputs!$K$4:$AJ$4,0)))+SUMPRODUCT((Inputs!$C$5:$C$130=$B29)*Inputs!$D$5:$D$130*(((Inputs!$G$5:$G$130="moeda")+(Inputs!$G$5:$G$130="acoes"))*Inputs!$B$1+((Inputs!$G$5:$G$130&lt;&gt;"moeda")*(Inputs!$G$5:$G$130&lt;&gt;"acoes")))*INDEX(Inputs!$K$5:$AJ$130,0,MATCH(D$2,Inputs!$K$4:$AJ$4,0)))+SUMPRODUCT((Inputs!$E$5:$E$130=$B29)*Inputs!$F$5:$F$130*(((Inputs!$G$5:$G$130="moeda")+(Inputs!$G$5:$G$130="acoes"))*Inputs!$B$1+((Inputs!$G$5:$G$130&lt;&gt;"moeda")*(Inputs!$G$5:$G$130&lt;&gt;"acoes")))*INDEX(Inputs!$K$5:$AJ$130,0,MATCH(D$2,Inputs!$K$4:$AJ$4,0)))))</f>
        <v>0</v>
      </c>
      <c r="E29" s="6">
        <f>IF(ISNA(MATCH(E$2,Inputs!$K$4:$AJ$4,0)),NA(),IF(SUMPRODUCT((Inputs!$A$5:$A$130=$B29)*ISNUMBER(INDEX(Inputs!$K$5:$AJ$130,0,MATCH(E$2,Inputs!$K$4:$AJ$4,0))))+SUMPRODUCT((Inputs!$C$5:$C$130=$B29)*ISNUMBER(INDEX(Inputs!$K$5:$AJ$130,0,MATCH(E$2,Inputs!$K$4:$AJ$4,0))))+SUMPRODUCT((Inputs!$E$5:$E$130=$B29)*ISNUMBER(INDEX(Inputs!$K$5:$AJ$130,0,MATCH(E$2,Inputs!$K$4:$AJ$4,0))))=0,NA(),SUMPRODUCT((Inputs!$A$5:$A$130=$B29)*Inputs!$B$5:$B$130*(((Inputs!$G$5:$G$130="moeda")+(Inputs!$G$5:$G$130="acoes"))*Inputs!$B$1+((Inputs!$G$5:$G$130&lt;&gt;"moeda")*(Inputs!$G$5:$G$130&lt;&gt;"acoes")))*INDEX(Inputs!$K$5:$AJ$130,0,MATCH(E$2,Inputs!$K$4:$AJ$4,0)))+SUMPRODUCT((Inputs!$C$5:$C$130=$B29)*Inputs!$D$5:$D$130*(((Inputs!$G$5:$G$130="moeda")+(Inputs!$G$5:$G$130="acoes"))*Inputs!$B$1+((Inputs!$G$5:$G$130&lt;&gt;"moeda")*(Inputs!$G$5:$G$130&lt;&gt;"acoes")))*INDEX(Inputs!$K$5:$AJ$130,0,MATCH(E$2,Inputs!$K$4:$AJ$4,0)))+SUMPRODUCT((Inputs!$E$5:$E$130=$B29)*Inputs!$F$5:$F$130*(((Inputs!$G$5:$G$130="moeda")+(Inputs!$G$5:$G$130="acoes"))*Inputs!$B$1+((Inputs!$G$5:$G$130&lt;&gt;"moeda")*(Inputs!$G$5:$G$130&lt;&gt;"acoes")))*INDEX(Inputs!$K$5:$AJ$130,0,MATCH(E$2,Inputs!$K$4:$AJ$4,0)))))</f>
        <v>0</v>
      </c>
      <c r="F29" s="6">
        <f>IF(ISNA(MATCH(F$2,Inputs!$K$4:$AJ$4,0)),NA(),IF(SUMPRODUCT((Inputs!$A$5:$A$130=$B29)*ISNUMBER(INDEX(Inputs!$K$5:$AJ$130,0,MATCH(F$2,Inputs!$K$4:$AJ$4,0))))+SUMPRODUCT((Inputs!$C$5:$C$130=$B29)*ISNUMBER(INDEX(Inputs!$K$5:$AJ$130,0,MATCH(F$2,Inputs!$K$4:$AJ$4,0))))+SUMPRODUCT((Inputs!$E$5:$E$130=$B29)*ISNUMBER(INDEX(Inputs!$K$5:$AJ$130,0,MATCH(F$2,Inputs!$K$4:$AJ$4,0))))=0,NA(),SUMPRODUCT((Inputs!$A$5:$A$130=$B29)*Inputs!$B$5:$B$130*(((Inputs!$G$5:$G$130="moeda")+(Inputs!$G$5:$G$130="acoes"))*Inputs!$B$1+((Inputs!$G$5:$G$130&lt;&gt;"moeda")*(Inputs!$G$5:$G$130&lt;&gt;"acoes")))*INDEX(Inputs!$K$5:$AJ$130,0,MATCH(F$2,Inputs!$K$4:$AJ$4,0)))+SUMPRODUCT((Inputs!$C$5:$C$130=$B29)*Inputs!$D$5:$D$130*(((Inputs!$G$5:$G$130="moeda")+(Inputs!$G$5:$G$130="acoes"))*Inputs!$B$1+((Inputs!$G$5:$G$130&lt;&gt;"moeda")*(Inputs!$G$5:$G$130&lt;&gt;"acoes")))*INDEX(Inputs!$K$5:$AJ$130,0,MATCH(F$2,Inputs!$K$4:$AJ$4,0)))+SUMPRODUCT((Inputs!$E$5:$E$130=$B29)*Inputs!$F$5:$F$130*(((Inputs!$G$5:$G$130="moeda")+(Inputs!$G$5:$G$130="acoes"))*Inputs!$B$1+((Inputs!$G$5:$G$130&lt;&gt;"moeda")*(Inputs!$G$5:$G$130&lt;&gt;"acoes")))*INDEX(Inputs!$K$5:$AJ$130,0,MATCH(F$2,Inputs!$K$4:$AJ$4,0)))))</f>
        <v>0</v>
      </c>
      <c r="G29" s="6">
        <f>IF(ISNA(MATCH(G$2,Inputs!$K$4:$AJ$4,0)),NA(),IF(SUMPRODUCT((Inputs!$A$5:$A$130=$B29)*ISNUMBER(INDEX(Inputs!$K$5:$AJ$130,0,MATCH(G$2,Inputs!$K$4:$AJ$4,0))))+SUMPRODUCT((Inputs!$C$5:$C$130=$B29)*ISNUMBER(INDEX(Inputs!$K$5:$AJ$130,0,MATCH(G$2,Inputs!$K$4:$AJ$4,0))))+SUMPRODUCT((Inputs!$E$5:$E$130=$B29)*ISNUMBER(INDEX(Inputs!$K$5:$AJ$130,0,MATCH(G$2,Inputs!$K$4:$AJ$4,0))))=0,NA(),SUMPRODUCT((Inputs!$A$5:$A$130=$B29)*Inputs!$B$5:$B$130*(((Inputs!$G$5:$G$130="moeda")+(Inputs!$G$5:$G$130="acoes"))*Inputs!$B$1+((Inputs!$G$5:$G$130&lt;&gt;"moeda")*(Inputs!$G$5:$G$130&lt;&gt;"acoes")))*INDEX(Inputs!$K$5:$AJ$130,0,MATCH(G$2,Inputs!$K$4:$AJ$4,0)))+SUMPRODUCT((Inputs!$C$5:$C$130=$B29)*Inputs!$D$5:$D$130*(((Inputs!$G$5:$G$130="moeda")+(Inputs!$G$5:$G$130="acoes"))*Inputs!$B$1+((Inputs!$G$5:$G$130&lt;&gt;"moeda")*(Inputs!$G$5:$G$130&lt;&gt;"acoes")))*INDEX(Inputs!$K$5:$AJ$130,0,MATCH(G$2,Inputs!$K$4:$AJ$4,0)))+SUMPRODUCT((Inputs!$E$5:$E$130=$B29)*Inputs!$F$5:$F$130*(((Inputs!$G$5:$G$130="moeda")+(Inputs!$G$5:$G$130="acoes"))*Inputs!$B$1+((Inputs!$G$5:$G$130&lt;&gt;"moeda")*(Inputs!$G$5:$G$130&lt;&gt;"acoes")))*INDEX(Inputs!$K$5:$AJ$130,0,MATCH(G$2,Inputs!$K$4:$AJ$4,0)))))</f>
        <v>0</v>
      </c>
      <c r="H29" s="3">
        <f>G29</f>
        <v>0</v>
      </c>
      <c r="I29" s="6">
        <f>IF(ISNA(MATCH(I$2,Inputs!$K$4:$AJ$4,0)),NA(),IF(SUMPRODUCT((Inputs!$A$5:$A$130=$B29)*ISNUMBER(INDEX(Inputs!$K$5:$AJ$130,0,MATCH(I$2,Inputs!$K$4:$AJ$4,0))))+SUMPRODUCT((Inputs!$C$5:$C$130=$B29)*ISNUMBER(INDEX(Inputs!$K$5:$AJ$130,0,MATCH(I$2,Inputs!$K$4:$AJ$4,0))))+SUMPRODUCT((Inputs!$E$5:$E$130=$B29)*ISNUMBER(INDEX(Inputs!$K$5:$AJ$130,0,MATCH(I$2,Inputs!$K$4:$AJ$4,0))))=0,NA(),SUMPRODUCT((Inputs!$A$5:$A$130=$B29)*Inputs!$B$5:$B$130*(((Inputs!$G$5:$G$130="moeda")+(Inputs!$G$5:$G$130="acoes"))*Inputs!$B$1+((Inputs!$G$5:$G$130&lt;&gt;"moeda")*(Inputs!$G$5:$G$130&lt;&gt;"acoes")))*INDEX(Inputs!$K$5:$AJ$130,0,MATCH(I$2,Inputs!$K$4:$AJ$4,0)))+SUMPRODUCT((Inputs!$C$5:$C$130=$B29)*Inputs!$D$5:$D$130*(((Inputs!$G$5:$G$130="moeda")+(Inputs!$G$5:$G$130="acoes"))*Inputs!$B$1+((Inputs!$G$5:$G$130&lt;&gt;"moeda")*(Inputs!$G$5:$G$130&lt;&gt;"acoes")))*INDEX(Inputs!$K$5:$AJ$130,0,MATCH(I$2,Inputs!$K$4:$AJ$4,0)))+SUMPRODUCT((Inputs!$E$5:$E$130=$B29)*Inputs!$F$5:$F$130*(((Inputs!$G$5:$G$130="moeda")+(Inputs!$G$5:$G$130="acoes"))*Inputs!$B$1+((Inputs!$G$5:$G$130&lt;&gt;"moeda")*(Inputs!$G$5:$G$130&lt;&gt;"acoes")))*INDEX(Inputs!$K$5:$AJ$130,0,MATCH(I$2,Inputs!$K$4:$AJ$4,0)))))</f>
        <v>0</v>
      </c>
      <c r="J29" s="6">
        <f>IF(ISNA(MATCH(J$2,Inputs!$K$4:$AJ$4,0)),NA(),IF(SUMPRODUCT((Inputs!$A$5:$A$130=$B29)*ISNUMBER(INDEX(Inputs!$K$5:$AJ$130,0,MATCH(J$2,Inputs!$K$4:$AJ$4,0))))+SUMPRODUCT((Inputs!$C$5:$C$130=$B29)*ISNUMBER(INDEX(Inputs!$K$5:$AJ$130,0,MATCH(J$2,Inputs!$K$4:$AJ$4,0))))+SUMPRODUCT((Inputs!$E$5:$E$130=$B29)*ISNUMBER(INDEX(Inputs!$K$5:$AJ$130,0,MATCH(J$2,Inputs!$K$4:$AJ$4,0))))=0,NA(),SUMPRODUCT((Inputs!$A$5:$A$130=$B29)*Inputs!$B$5:$B$130*(((Inputs!$G$5:$G$130="moeda")+(Inputs!$G$5:$G$130="acoes"))*Inputs!$B$1+((Inputs!$G$5:$G$130&lt;&gt;"moeda")*(Inputs!$G$5:$G$130&lt;&gt;"acoes")))*INDEX(Inputs!$K$5:$AJ$130,0,MATCH(J$2,Inputs!$K$4:$AJ$4,0)))+SUMPRODUCT((Inputs!$C$5:$C$130=$B29)*Inputs!$D$5:$D$130*(((Inputs!$G$5:$G$130="moeda")+(Inputs!$G$5:$G$130="acoes"))*Inputs!$B$1+((Inputs!$G$5:$G$130&lt;&gt;"moeda")*(Inputs!$G$5:$G$130&lt;&gt;"acoes")))*INDEX(Inputs!$K$5:$AJ$130,0,MATCH(J$2,Inputs!$K$4:$AJ$4,0)))+SUMPRODUCT((Inputs!$E$5:$E$130=$B29)*Inputs!$F$5:$F$130*(((Inputs!$G$5:$G$130="moeda")+(Inputs!$G$5:$G$130="acoes"))*Inputs!$B$1+((Inputs!$G$5:$G$130&lt;&gt;"moeda")*(Inputs!$G$5:$G$130&lt;&gt;"acoes")))*INDEX(Inputs!$K$5:$AJ$130,0,MATCH(J$2,Inputs!$K$4:$AJ$4,0)))))</f>
        <v>0</v>
      </c>
      <c r="K29" s="6">
        <f>IF(ISNA(MATCH(K$2,Inputs!$K$4:$AJ$4,0)),NA(),IF(SUMPRODUCT((Inputs!$A$5:$A$130=$B29)*ISNUMBER(INDEX(Inputs!$K$5:$AJ$130,0,MATCH(K$2,Inputs!$K$4:$AJ$4,0))))+SUMPRODUCT((Inputs!$C$5:$C$130=$B29)*ISNUMBER(INDEX(Inputs!$K$5:$AJ$130,0,MATCH(K$2,Inputs!$K$4:$AJ$4,0))))+SUMPRODUCT((Inputs!$E$5:$E$130=$B29)*ISNUMBER(INDEX(Inputs!$K$5:$AJ$130,0,MATCH(K$2,Inputs!$K$4:$AJ$4,0))))=0,NA(),SUMPRODUCT((Inputs!$A$5:$A$130=$B29)*Inputs!$B$5:$B$130*(((Inputs!$G$5:$G$130="moeda")+(Inputs!$G$5:$G$130="acoes"))*Inputs!$B$1+((Inputs!$G$5:$G$130&lt;&gt;"moeda")*(Inputs!$G$5:$G$130&lt;&gt;"acoes")))*INDEX(Inputs!$K$5:$AJ$130,0,MATCH(K$2,Inputs!$K$4:$AJ$4,0)))+SUMPRODUCT((Inputs!$C$5:$C$130=$B29)*Inputs!$D$5:$D$130*(((Inputs!$G$5:$G$130="moeda")+(Inputs!$G$5:$G$130="acoes"))*Inputs!$B$1+((Inputs!$G$5:$G$130&lt;&gt;"moeda")*(Inputs!$G$5:$G$130&lt;&gt;"acoes")))*INDEX(Inputs!$K$5:$AJ$130,0,MATCH(K$2,Inputs!$K$4:$AJ$4,0)))+SUMPRODUCT((Inputs!$E$5:$E$130=$B29)*Inputs!$F$5:$F$130*(((Inputs!$G$5:$G$130="moeda")+(Inputs!$G$5:$G$130="acoes"))*Inputs!$B$1+((Inputs!$G$5:$G$130&lt;&gt;"moeda")*(Inputs!$G$5:$G$130&lt;&gt;"acoes")))*INDEX(Inputs!$K$5:$AJ$130,0,MATCH(K$2,Inputs!$K$4:$AJ$4,0)))))</f>
        <v>0</v>
      </c>
      <c r="L29" s="6">
        <f>IF(ISNA(MATCH(L$2,Inputs!$K$4:$AJ$4,0)),NA(),IF(SUMPRODUCT((Inputs!$A$5:$A$130=$B29)*ISNUMBER(INDEX(Inputs!$K$5:$AJ$130,0,MATCH(L$2,Inputs!$K$4:$AJ$4,0))))+SUMPRODUCT((Inputs!$C$5:$C$130=$B29)*ISNUMBER(INDEX(Inputs!$K$5:$AJ$130,0,MATCH(L$2,Inputs!$K$4:$AJ$4,0))))+SUMPRODUCT((Inputs!$E$5:$E$130=$B29)*ISNUMBER(INDEX(Inputs!$K$5:$AJ$130,0,MATCH(L$2,Inputs!$K$4:$AJ$4,0))))=0,NA(),SUMPRODUCT((Inputs!$A$5:$A$130=$B29)*Inputs!$B$5:$B$130*(((Inputs!$G$5:$G$130="moeda")+(Inputs!$G$5:$G$130="acoes"))*Inputs!$B$1+((Inputs!$G$5:$G$130&lt;&gt;"moeda")*(Inputs!$G$5:$G$130&lt;&gt;"acoes")))*INDEX(Inputs!$K$5:$AJ$130,0,MATCH(L$2,Inputs!$K$4:$AJ$4,0)))+SUMPRODUCT((Inputs!$C$5:$C$130=$B29)*Inputs!$D$5:$D$130*(((Inputs!$G$5:$G$130="moeda")+(Inputs!$G$5:$G$130="acoes"))*Inputs!$B$1+((Inputs!$G$5:$G$130&lt;&gt;"moeda")*(Inputs!$G$5:$G$130&lt;&gt;"acoes")))*INDEX(Inputs!$K$5:$AJ$130,0,MATCH(L$2,Inputs!$K$4:$AJ$4,0)))+SUMPRODUCT((Inputs!$E$5:$E$130=$B29)*Inputs!$F$5:$F$130*(((Inputs!$G$5:$G$130="moeda")+(Inputs!$G$5:$G$130="acoes"))*Inputs!$B$1+((Inputs!$G$5:$G$130&lt;&gt;"moeda")*(Inputs!$G$5:$G$130&lt;&gt;"acoes")))*INDEX(Inputs!$K$5:$AJ$130,0,MATCH(L$2,Inputs!$K$4:$AJ$4,0)))))</f>
        <v>0</v>
      </c>
      <c r="M29" s="3">
        <f>L29</f>
        <v>0</v>
      </c>
      <c r="N29" s="6">
        <f>IF(ISNA(MATCH(N$2,Inputs!$K$4:$AJ$4,0)),NA(),IF(SUMPRODUCT((Inputs!$A$5:$A$130=$B29)*ISNUMBER(INDEX(Inputs!$K$5:$AJ$130,0,MATCH(N$2,Inputs!$K$4:$AJ$4,0))))+SUMPRODUCT((Inputs!$C$5:$C$130=$B29)*ISNUMBER(INDEX(Inputs!$K$5:$AJ$130,0,MATCH(N$2,Inputs!$K$4:$AJ$4,0))))+SUMPRODUCT((Inputs!$E$5:$E$130=$B29)*ISNUMBER(INDEX(Inputs!$K$5:$AJ$130,0,MATCH(N$2,Inputs!$K$4:$AJ$4,0))))=0,NA(),SUMPRODUCT((Inputs!$A$5:$A$130=$B29)*Inputs!$B$5:$B$130*(((Inputs!$G$5:$G$130="moeda")+(Inputs!$G$5:$G$130="acoes"))*Inputs!$B$1+((Inputs!$G$5:$G$130&lt;&gt;"moeda")*(Inputs!$G$5:$G$130&lt;&gt;"acoes")))*INDEX(Inputs!$K$5:$AJ$130,0,MATCH(N$2,Inputs!$K$4:$AJ$4,0)))+SUMPRODUCT((Inputs!$C$5:$C$130=$B29)*Inputs!$D$5:$D$130*(((Inputs!$G$5:$G$130="moeda")+(Inputs!$G$5:$G$130="acoes"))*Inputs!$B$1+((Inputs!$G$5:$G$130&lt;&gt;"moeda")*(Inputs!$G$5:$G$130&lt;&gt;"acoes")))*INDEX(Inputs!$K$5:$AJ$130,0,MATCH(N$2,Inputs!$K$4:$AJ$4,0)))+SUMPRODUCT((Inputs!$E$5:$E$130=$B29)*Inputs!$F$5:$F$130*(((Inputs!$G$5:$G$130="moeda")+(Inputs!$G$5:$G$130="acoes"))*Inputs!$B$1+((Inputs!$G$5:$G$130&lt;&gt;"moeda")*(Inputs!$G$5:$G$130&lt;&gt;"acoes")))*INDEX(Inputs!$K$5:$AJ$130,0,MATCH(N$2,Inputs!$K$4:$AJ$4,0)))))</f>
        <v>0</v>
      </c>
      <c r="O29" s="6">
        <f>IF(ISNA(MATCH(O$2,Inputs!$K$4:$AJ$4,0)),NA(),IF(SUMPRODUCT((Inputs!$A$5:$A$130=$B29)*ISNUMBER(INDEX(Inputs!$K$5:$AJ$130,0,MATCH(O$2,Inputs!$K$4:$AJ$4,0))))+SUMPRODUCT((Inputs!$C$5:$C$130=$B29)*ISNUMBER(INDEX(Inputs!$K$5:$AJ$130,0,MATCH(O$2,Inputs!$K$4:$AJ$4,0))))+SUMPRODUCT((Inputs!$E$5:$E$130=$B29)*ISNUMBER(INDEX(Inputs!$K$5:$AJ$130,0,MATCH(O$2,Inputs!$K$4:$AJ$4,0))))=0,NA(),SUMPRODUCT((Inputs!$A$5:$A$130=$B29)*Inputs!$B$5:$B$130*(((Inputs!$G$5:$G$130="moeda")+(Inputs!$G$5:$G$130="acoes"))*Inputs!$B$1+((Inputs!$G$5:$G$130&lt;&gt;"moeda")*(Inputs!$G$5:$G$130&lt;&gt;"acoes")))*INDEX(Inputs!$K$5:$AJ$130,0,MATCH(O$2,Inputs!$K$4:$AJ$4,0)))+SUMPRODUCT((Inputs!$C$5:$C$130=$B29)*Inputs!$D$5:$D$130*(((Inputs!$G$5:$G$130="moeda")+(Inputs!$G$5:$G$130="acoes"))*Inputs!$B$1+((Inputs!$G$5:$G$130&lt;&gt;"moeda")*(Inputs!$G$5:$G$130&lt;&gt;"acoes")))*INDEX(Inputs!$K$5:$AJ$130,0,MATCH(O$2,Inputs!$K$4:$AJ$4,0)))+SUMPRODUCT((Inputs!$E$5:$E$130=$B29)*Inputs!$F$5:$F$130*(((Inputs!$G$5:$G$130="moeda")+(Inputs!$G$5:$G$130="acoes"))*Inputs!$B$1+((Inputs!$G$5:$G$130&lt;&gt;"moeda")*(Inputs!$G$5:$G$130&lt;&gt;"acoes")))*INDEX(Inputs!$K$5:$AJ$130,0,MATCH(O$2,Inputs!$K$4:$AJ$4,0)))))</f>
        <v>0</v>
      </c>
      <c r="P29" s="6">
        <f>IF(ISNA(MATCH(P$2,Inputs!$K$4:$AJ$4,0)),NA(),IF(SUMPRODUCT((Inputs!$A$5:$A$130=$B29)*ISNUMBER(INDEX(Inputs!$K$5:$AJ$130,0,MATCH(P$2,Inputs!$K$4:$AJ$4,0))))+SUMPRODUCT((Inputs!$C$5:$C$130=$B29)*ISNUMBER(INDEX(Inputs!$K$5:$AJ$130,0,MATCH(P$2,Inputs!$K$4:$AJ$4,0))))+SUMPRODUCT((Inputs!$E$5:$E$130=$B29)*ISNUMBER(INDEX(Inputs!$K$5:$AJ$130,0,MATCH(P$2,Inputs!$K$4:$AJ$4,0))))=0,NA(),SUMPRODUCT((Inputs!$A$5:$A$130=$B29)*Inputs!$B$5:$B$130*(((Inputs!$G$5:$G$130="moeda")+(Inputs!$G$5:$G$130="acoes"))*Inputs!$B$1+((Inputs!$G$5:$G$130&lt;&gt;"moeda")*(Inputs!$G$5:$G$130&lt;&gt;"acoes")))*INDEX(Inputs!$K$5:$AJ$130,0,MATCH(P$2,Inputs!$K$4:$AJ$4,0)))+SUMPRODUCT((Inputs!$C$5:$C$130=$B29)*Inputs!$D$5:$D$130*(((Inputs!$G$5:$G$130="moeda")+(Inputs!$G$5:$G$130="acoes"))*Inputs!$B$1+((Inputs!$G$5:$G$130&lt;&gt;"moeda")*(Inputs!$G$5:$G$130&lt;&gt;"acoes")))*INDEX(Inputs!$K$5:$AJ$130,0,MATCH(P$2,Inputs!$K$4:$AJ$4,0)))+SUMPRODUCT((Inputs!$E$5:$E$130=$B29)*Inputs!$F$5:$F$130*(((Inputs!$G$5:$G$130="moeda")+(Inputs!$G$5:$G$130="acoes"))*Inputs!$B$1+((Inputs!$G$5:$G$130&lt;&gt;"moeda")*(Inputs!$G$5:$G$130&lt;&gt;"acoes")))*INDEX(Inputs!$K$5:$AJ$130,0,MATCH(P$2,Inputs!$K$4:$AJ$4,0)))))</f>
        <v>0</v>
      </c>
      <c r="Q29" s="6">
        <f>IF(ISNA(MATCH(Q$2,Inputs!$K$4:$AJ$4,0)),NA(),IF(SUMPRODUCT((Inputs!$A$5:$A$130=$B29)*ISNUMBER(INDEX(Inputs!$K$5:$AJ$130,0,MATCH(Q$2,Inputs!$K$4:$AJ$4,0))))+SUMPRODUCT((Inputs!$C$5:$C$130=$B29)*ISNUMBER(INDEX(Inputs!$K$5:$AJ$130,0,MATCH(Q$2,Inputs!$K$4:$AJ$4,0))))+SUMPRODUCT((Inputs!$E$5:$E$130=$B29)*ISNUMBER(INDEX(Inputs!$K$5:$AJ$130,0,MATCH(Q$2,Inputs!$K$4:$AJ$4,0))))=0,NA(),SUMPRODUCT((Inputs!$A$5:$A$130=$B29)*Inputs!$B$5:$B$130*(((Inputs!$G$5:$G$130="moeda")+(Inputs!$G$5:$G$130="acoes"))*Inputs!$B$1+((Inputs!$G$5:$G$130&lt;&gt;"moeda")*(Inputs!$G$5:$G$130&lt;&gt;"acoes")))*INDEX(Inputs!$K$5:$AJ$130,0,MATCH(Q$2,Inputs!$K$4:$AJ$4,0)))+SUMPRODUCT((Inputs!$C$5:$C$130=$B29)*Inputs!$D$5:$D$130*(((Inputs!$G$5:$G$130="moeda")+(Inputs!$G$5:$G$130="acoes"))*Inputs!$B$1+((Inputs!$G$5:$G$130&lt;&gt;"moeda")*(Inputs!$G$5:$G$130&lt;&gt;"acoes")))*INDEX(Inputs!$K$5:$AJ$130,0,MATCH(Q$2,Inputs!$K$4:$AJ$4,0)))+SUMPRODUCT((Inputs!$E$5:$E$130=$B29)*Inputs!$F$5:$F$130*(((Inputs!$G$5:$G$130="moeda")+(Inputs!$G$5:$G$130="acoes"))*Inputs!$B$1+((Inputs!$G$5:$G$130&lt;&gt;"moeda")*(Inputs!$G$5:$G$130&lt;&gt;"acoes")))*INDEX(Inputs!$K$5:$AJ$130,0,MATCH(Q$2,Inputs!$K$4:$AJ$4,0)))))</f>
        <v>0</v>
      </c>
      <c r="R29" s="3">
        <f>Q29</f>
        <v>0</v>
      </c>
      <c r="S29" s="6">
        <f>IF(ISNA(MATCH(S$2,Inputs!$K$4:$AJ$4,0)),NA(),IF(SUMPRODUCT((Inputs!$A$5:$A$130=$B29)*ISNUMBER(INDEX(Inputs!$K$5:$AJ$130,0,MATCH(S$2,Inputs!$K$4:$AJ$4,0))))+SUMPRODUCT((Inputs!$C$5:$C$130=$B29)*ISNUMBER(INDEX(Inputs!$K$5:$AJ$130,0,MATCH(S$2,Inputs!$K$4:$AJ$4,0))))+SUMPRODUCT((Inputs!$E$5:$E$130=$B29)*ISNUMBER(INDEX(Inputs!$K$5:$AJ$130,0,MATCH(S$2,Inputs!$K$4:$AJ$4,0))))=0,NA(),SUMPRODUCT((Inputs!$A$5:$A$130=$B29)*Inputs!$B$5:$B$130*(((Inputs!$G$5:$G$130="moeda")+(Inputs!$G$5:$G$130="acoes"))*Inputs!$B$1+((Inputs!$G$5:$G$130&lt;&gt;"moeda")*(Inputs!$G$5:$G$130&lt;&gt;"acoes")))*INDEX(Inputs!$K$5:$AJ$130,0,MATCH(S$2,Inputs!$K$4:$AJ$4,0)))+SUMPRODUCT((Inputs!$C$5:$C$130=$B29)*Inputs!$D$5:$D$130*(((Inputs!$G$5:$G$130="moeda")+(Inputs!$G$5:$G$130="acoes"))*Inputs!$B$1+((Inputs!$G$5:$G$130&lt;&gt;"moeda")*(Inputs!$G$5:$G$130&lt;&gt;"acoes")))*INDEX(Inputs!$K$5:$AJ$130,0,MATCH(S$2,Inputs!$K$4:$AJ$4,0)))+SUMPRODUCT((Inputs!$E$5:$E$130=$B29)*Inputs!$F$5:$F$130*(((Inputs!$G$5:$G$130="moeda")+(Inputs!$G$5:$G$130="acoes"))*Inputs!$B$1+((Inputs!$G$5:$G$130&lt;&gt;"moeda")*(Inputs!$G$5:$G$130&lt;&gt;"acoes")))*INDEX(Inputs!$K$5:$AJ$130,0,MATCH(S$2,Inputs!$K$4:$AJ$4,0)))))</f>
        <v>0</v>
      </c>
      <c r="T29" s="6">
        <f>IF(ISNA(MATCH(T$2,Inputs!$K$4:$AJ$4,0)),NA(),IF(SUMPRODUCT((Inputs!$A$5:$A$130=$B29)*ISNUMBER(INDEX(Inputs!$K$5:$AJ$130,0,MATCH(T$2,Inputs!$K$4:$AJ$4,0))))+SUMPRODUCT((Inputs!$C$5:$C$130=$B29)*ISNUMBER(INDEX(Inputs!$K$5:$AJ$130,0,MATCH(T$2,Inputs!$K$4:$AJ$4,0))))+SUMPRODUCT((Inputs!$E$5:$E$130=$B29)*ISNUMBER(INDEX(Inputs!$K$5:$AJ$130,0,MATCH(T$2,Inputs!$K$4:$AJ$4,0))))=0,NA(),SUMPRODUCT((Inputs!$A$5:$A$130=$B29)*Inputs!$B$5:$B$130*(((Inputs!$G$5:$G$130="moeda")+(Inputs!$G$5:$G$130="acoes"))*Inputs!$B$1+((Inputs!$G$5:$G$130&lt;&gt;"moeda")*(Inputs!$G$5:$G$130&lt;&gt;"acoes")))*INDEX(Inputs!$K$5:$AJ$130,0,MATCH(T$2,Inputs!$K$4:$AJ$4,0)))+SUMPRODUCT((Inputs!$C$5:$C$130=$B29)*Inputs!$D$5:$D$130*(((Inputs!$G$5:$G$130="moeda")+(Inputs!$G$5:$G$130="acoes"))*Inputs!$B$1+((Inputs!$G$5:$G$130&lt;&gt;"moeda")*(Inputs!$G$5:$G$130&lt;&gt;"acoes")))*INDEX(Inputs!$K$5:$AJ$130,0,MATCH(T$2,Inputs!$K$4:$AJ$4,0)))+SUMPRODUCT((Inputs!$E$5:$E$130=$B29)*Inputs!$F$5:$F$130*(((Inputs!$G$5:$G$130="moeda")+(Inputs!$G$5:$G$130="acoes"))*Inputs!$B$1+((Inputs!$G$5:$G$130&lt;&gt;"moeda")*(Inputs!$G$5:$G$130&lt;&gt;"acoes")))*INDEX(Inputs!$K$5:$AJ$130,0,MATCH(T$2,Inputs!$K$4:$AJ$4,0)))))</f>
        <v>0</v>
      </c>
      <c r="U29" s="6">
        <f>IF(ISNA(MATCH(U$2,Inputs!$K$4:$AJ$4,0)),NA(),IF(SUMPRODUCT((Inputs!$A$5:$A$130=$B29)*ISNUMBER(INDEX(Inputs!$K$5:$AJ$130,0,MATCH(U$2,Inputs!$K$4:$AJ$4,0))))+SUMPRODUCT((Inputs!$C$5:$C$130=$B29)*ISNUMBER(INDEX(Inputs!$K$5:$AJ$130,0,MATCH(U$2,Inputs!$K$4:$AJ$4,0))))+SUMPRODUCT((Inputs!$E$5:$E$130=$B29)*ISNUMBER(INDEX(Inputs!$K$5:$AJ$130,0,MATCH(U$2,Inputs!$K$4:$AJ$4,0))))=0,NA(),SUMPRODUCT((Inputs!$A$5:$A$130=$B29)*Inputs!$B$5:$B$130*(((Inputs!$G$5:$G$130="moeda")+(Inputs!$G$5:$G$130="acoes"))*Inputs!$B$1+((Inputs!$G$5:$G$130&lt;&gt;"moeda")*(Inputs!$G$5:$G$130&lt;&gt;"acoes")))*INDEX(Inputs!$K$5:$AJ$130,0,MATCH(U$2,Inputs!$K$4:$AJ$4,0)))+SUMPRODUCT((Inputs!$C$5:$C$130=$B29)*Inputs!$D$5:$D$130*(((Inputs!$G$5:$G$130="moeda")+(Inputs!$G$5:$G$130="acoes"))*Inputs!$B$1+((Inputs!$G$5:$G$130&lt;&gt;"moeda")*(Inputs!$G$5:$G$130&lt;&gt;"acoes")))*INDEX(Inputs!$K$5:$AJ$130,0,MATCH(U$2,Inputs!$K$4:$AJ$4,0)))+SUMPRODUCT((Inputs!$E$5:$E$130=$B29)*Inputs!$F$5:$F$130*(((Inputs!$G$5:$G$130="moeda")+(Inputs!$G$5:$G$130="acoes"))*Inputs!$B$1+((Inputs!$G$5:$G$130&lt;&gt;"moeda")*(Inputs!$G$5:$G$130&lt;&gt;"acoes")))*INDEX(Inputs!$K$5:$AJ$130,0,MATCH(U$2,Inputs!$K$4:$AJ$4,0)))))</f>
        <v>0</v>
      </c>
      <c r="V29" s="6">
        <f>IF(ISNA(MATCH(V$2,Inputs!$K$4:$AJ$4,0)),NA(),IF(SUMPRODUCT((Inputs!$A$5:$A$130=$B29)*ISNUMBER(INDEX(Inputs!$K$5:$AJ$130,0,MATCH(V$2,Inputs!$K$4:$AJ$4,0))))+SUMPRODUCT((Inputs!$C$5:$C$130=$B29)*ISNUMBER(INDEX(Inputs!$K$5:$AJ$130,0,MATCH(V$2,Inputs!$K$4:$AJ$4,0))))+SUMPRODUCT((Inputs!$E$5:$E$130=$B29)*ISNUMBER(INDEX(Inputs!$K$5:$AJ$130,0,MATCH(V$2,Inputs!$K$4:$AJ$4,0))))=0,NA(),SUMPRODUCT((Inputs!$A$5:$A$130=$B29)*Inputs!$B$5:$B$130*(((Inputs!$G$5:$G$130="moeda")+(Inputs!$G$5:$G$130="acoes"))*Inputs!$B$1+((Inputs!$G$5:$G$130&lt;&gt;"moeda")*(Inputs!$G$5:$G$130&lt;&gt;"acoes")))*INDEX(Inputs!$K$5:$AJ$130,0,MATCH(V$2,Inputs!$K$4:$AJ$4,0)))+SUMPRODUCT((Inputs!$C$5:$C$130=$B29)*Inputs!$D$5:$D$130*(((Inputs!$G$5:$G$130="moeda")+(Inputs!$G$5:$G$130="acoes"))*Inputs!$B$1+((Inputs!$G$5:$G$130&lt;&gt;"moeda")*(Inputs!$G$5:$G$130&lt;&gt;"acoes")))*INDEX(Inputs!$K$5:$AJ$130,0,MATCH(V$2,Inputs!$K$4:$AJ$4,0)))+SUMPRODUCT((Inputs!$E$5:$E$130=$B29)*Inputs!$F$5:$F$130*(((Inputs!$G$5:$G$130="moeda")+(Inputs!$G$5:$G$130="acoes"))*Inputs!$B$1+((Inputs!$G$5:$G$130&lt;&gt;"moeda")*(Inputs!$G$5:$G$130&lt;&gt;"acoes")))*INDEX(Inputs!$K$5:$AJ$130,0,MATCH(V$2,Inputs!$K$4:$AJ$4,0)))))</f>
        <v>0</v>
      </c>
      <c r="W29" s="3">
        <f>V29</f>
        <v>0</v>
      </c>
      <c r="X29" s="6">
        <f>IF(ISNA(MATCH(X$2,Inputs!$K$4:$AJ$4,0)),NA(),IF(SUMPRODUCT((Inputs!$A$5:$A$130=$B29)*ISNUMBER(INDEX(Inputs!$K$5:$AJ$130,0,MATCH(X$2,Inputs!$K$4:$AJ$4,0))))+SUMPRODUCT((Inputs!$C$5:$C$130=$B29)*ISNUMBER(INDEX(Inputs!$K$5:$AJ$130,0,MATCH(X$2,Inputs!$K$4:$AJ$4,0))))+SUMPRODUCT((Inputs!$E$5:$E$130=$B29)*ISNUMBER(INDEX(Inputs!$K$5:$AJ$130,0,MATCH(X$2,Inputs!$K$4:$AJ$4,0))))=0,NA(),SUMPRODUCT((Inputs!$A$5:$A$130=$B29)*Inputs!$B$5:$B$130*(((Inputs!$G$5:$G$130="moeda")+(Inputs!$G$5:$G$130="acoes"))*Inputs!$B$1+((Inputs!$G$5:$G$130&lt;&gt;"moeda")*(Inputs!$G$5:$G$130&lt;&gt;"acoes")))*INDEX(Inputs!$K$5:$AJ$130,0,MATCH(X$2,Inputs!$K$4:$AJ$4,0)))+SUMPRODUCT((Inputs!$C$5:$C$130=$B29)*Inputs!$D$5:$D$130*(((Inputs!$G$5:$G$130="moeda")+(Inputs!$G$5:$G$130="acoes"))*Inputs!$B$1+((Inputs!$G$5:$G$130&lt;&gt;"moeda")*(Inputs!$G$5:$G$130&lt;&gt;"acoes")))*INDEX(Inputs!$K$5:$AJ$130,0,MATCH(X$2,Inputs!$K$4:$AJ$4,0)))+SUMPRODUCT((Inputs!$E$5:$E$130=$B29)*Inputs!$F$5:$F$130*(((Inputs!$G$5:$G$130="moeda")+(Inputs!$G$5:$G$130="acoes"))*Inputs!$B$1+((Inputs!$G$5:$G$130&lt;&gt;"moeda")*(Inputs!$G$5:$G$130&lt;&gt;"acoes")))*INDEX(Inputs!$K$5:$AJ$130,0,MATCH(X$2,Inputs!$K$4:$AJ$4,0)))))</f>
        <v>0</v>
      </c>
      <c r="Y29" s="6">
        <f>IF(ISNA(MATCH(Y$2,Inputs!$K$4:$AJ$4,0)),NA(),IF(SUMPRODUCT((Inputs!$A$5:$A$130=$B29)*ISNUMBER(INDEX(Inputs!$K$5:$AJ$130,0,MATCH(Y$2,Inputs!$K$4:$AJ$4,0))))+SUMPRODUCT((Inputs!$C$5:$C$130=$B29)*ISNUMBER(INDEX(Inputs!$K$5:$AJ$130,0,MATCH(Y$2,Inputs!$K$4:$AJ$4,0))))+SUMPRODUCT((Inputs!$E$5:$E$130=$B29)*ISNUMBER(INDEX(Inputs!$K$5:$AJ$130,0,MATCH(Y$2,Inputs!$K$4:$AJ$4,0))))=0,NA(),SUMPRODUCT((Inputs!$A$5:$A$130=$B29)*Inputs!$B$5:$B$130*(((Inputs!$G$5:$G$130="moeda")+(Inputs!$G$5:$G$130="acoes"))*Inputs!$B$1+((Inputs!$G$5:$G$130&lt;&gt;"moeda")*(Inputs!$G$5:$G$130&lt;&gt;"acoes")))*INDEX(Inputs!$K$5:$AJ$130,0,MATCH(Y$2,Inputs!$K$4:$AJ$4,0)))+SUMPRODUCT((Inputs!$C$5:$C$130=$B29)*Inputs!$D$5:$D$130*(((Inputs!$G$5:$G$130="moeda")+(Inputs!$G$5:$G$130="acoes"))*Inputs!$B$1+((Inputs!$G$5:$G$130&lt;&gt;"moeda")*(Inputs!$G$5:$G$130&lt;&gt;"acoes")))*INDEX(Inputs!$K$5:$AJ$130,0,MATCH(Y$2,Inputs!$K$4:$AJ$4,0)))+SUMPRODUCT((Inputs!$E$5:$E$130=$B29)*Inputs!$F$5:$F$130*(((Inputs!$G$5:$G$130="moeda")+(Inputs!$G$5:$G$130="acoes"))*Inputs!$B$1+((Inputs!$G$5:$G$130&lt;&gt;"moeda")*(Inputs!$G$5:$G$130&lt;&gt;"acoes")))*INDEX(Inputs!$K$5:$AJ$130,0,MATCH(Y$2,Inputs!$K$4:$AJ$4,0)))))</f>
        <v>0</v>
      </c>
      <c r="Z29" s="6">
        <f>IF(ISNA(MATCH(Z$2,Inputs!$K$4:$AJ$4,0)),NA(),IF(SUMPRODUCT((Inputs!$A$5:$A$130=$B29)*ISNUMBER(INDEX(Inputs!$K$5:$AJ$130,0,MATCH(Z$2,Inputs!$K$4:$AJ$4,0))))+SUMPRODUCT((Inputs!$C$5:$C$130=$B29)*ISNUMBER(INDEX(Inputs!$K$5:$AJ$130,0,MATCH(Z$2,Inputs!$K$4:$AJ$4,0))))+SUMPRODUCT((Inputs!$E$5:$E$130=$B29)*ISNUMBER(INDEX(Inputs!$K$5:$AJ$130,0,MATCH(Z$2,Inputs!$K$4:$AJ$4,0))))=0,NA(),SUMPRODUCT((Inputs!$A$5:$A$130=$B29)*Inputs!$B$5:$B$130*(((Inputs!$G$5:$G$130="moeda")+(Inputs!$G$5:$G$130="acoes"))*Inputs!$B$1+((Inputs!$G$5:$G$130&lt;&gt;"moeda")*(Inputs!$G$5:$G$130&lt;&gt;"acoes")))*INDEX(Inputs!$K$5:$AJ$130,0,MATCH(Z$2,Inputs!$K$4:$AJ$4,0)))+SUMPRODUCT((Inputs!$C$5:$C$130=$B29)*Inputs!$D$5:$D$130*(((Inputs!$G$5:$G$130="moeda")+(Inputs!$G$5:$G$130="acoes"))*Inputs!$B$1+((Inputs!$G$5:$G$130&lt;&gt;"moeda")*(Inputs!$G$5:$G$130&lt;&gt;"acoes")))*INDEX(Inputs!$K$5:$AJ$130,0,MATCH(Z$2,Inputs!$K$4:$AJ$4,0)))+SUMPRODUCT((Inputs!$E$5:$E$130=$B29)*Inputs!$F$5:$F$130*(((Inputs!$G$5:$G$130="moeda")+(Inputs!$G$5:$G$130="acoes"))*Inputs!$B$1+((Inputs!$G$5:$G$130&lt;&gt;"moeda")*(Inputs!$G$5:$G$130&lt;&gt;"acoes")))*INDEX(Inputs!$K$5:$AJ$130,0,MATCH(Z$2,Inputs!$K$4:$AJ$4,0)))))</f>
        <v>0</v>
      </c>
      <c r="AA29" s="6">
        <f>IF(ISNA(MATCH(AA$2,Inputs!$K$4:$AJ$4,0)),NA(),IF(SUMPRODUCT((Inputs!$A$5:$A$130=$B29)*ISNUMBER(INDEX(Inputs!$K$5:$AJ$130,0,MATCH(AA$2,Inputs!$K$4:$AJ$4,0))))+SUMPRODUCT((Inputs!$C$5:$C$130=$B29)*ISNUMBER(INDEX(Inputs!$K$5:$AJ$130,0,MATCH(AA$2,Inputs!$K$4:$AJ$4,0))))+SUMPRODUCT((Inputs!$E$5:$E$130=$B29)*ISNUMBER(INDEX(Inputs!$K$5:$AJ$130,0,MATCH(AA$2,Inputs!$K$4:$AJ$4,0))))=0,NA(),SUMPRODUCT((Inputs!$A$5:$A$130=$B29)*Inputs!$B$5:$B$130*(((Inputs!$G$5:$G$130="moeda")+(Inputs!$G$5:$G$130="acoes"))*Inputs!$B$1+((Inputs!$G$5:$G$130&lt;&gt;"moeda")*(Inputs!$G$5:$G$130&lt;&gt;"acoes")))*INDEX(Inputs!$K$5:$AJ$130,0,MATCH(AA$2,Inputs!$K$4:$AJ$4,0)))+SUMPRODUCT((Inputs!$C$5:$C$130=$B29)*Inputs!$D$5:$D$130*(((Inputs!$G$5:$G$130="moeda")+(Inputs!$G$5:$G$130="acoes"))*Inputs!$B$1+((Inputs!$G$5:$G$130&lt;&gt;"moeda")*(Inputs!$G$5:$G$130&lt;&gt;"acoes")))*INDEX(Inputs!$K$5:$AJ$130,0,MATCH(AA$2,Inputs!$K$4:$AJ$4,0)))+SUMPRODUCT((Inputs!$E$5:$E$130=$B29)*Inputs!$F$5:$F$130*(((Inputs!$G$5:$G$130="moeda")+(Inputs!$G$5:$G$130="acoes"))*Inputs!$B$1+((Inputs!$G$5:$G$130&lt;&gt;"moeda")*(Inputs!$G$5:$G$130&lt;&gt;"acoes")))*INDEX(Inputs!$K$5:$AJ$130,0,MATCH(AA$2,Inputs!$K$4:$AJ$4,0)))))</f>
        <v>0</v>
      </c>
      <c r="AB29" s="3">
        <f>AA29</f>
        <v>0</v>
      </c>
      <c r="AC29" s="6">
        <f>IF(ISNA(MATCH(AC$2,Inputs!$K$4:$AJ$4,0)),NA(),IF(SUMPRODUCT((Inputs!$A$5:$A$130=$B29)*ISNUMBER(INDEX(Inputs!$K$5:$AJ$130,0,MATCH(AC$2,Inputs!$K$4:$AJ$4,0))))+SUMPRODUCT((Inputs!$C$5:$C$130=$B29)*ISNUMBER(INDEX(Inputs!$K$5:$AJ$130,0,MATCH(AC$2,Inputs!$K$4:$AJ$4,0))))+SUMPRODUCT((Inputs!$E$5:$E$130=$B29)*ISNUMBER(INDEX(Inputs!$K$5:$AJ$130,0,MATCH(AC$2,Inputs!$K$4:$AJ$4,0))))=0,NA(),SUMPRODUCT((Inputs!$A$5:$A$130=$B29)*Inputs!$B$5:$B$130*(((Inputs!$G$5:$G$130="moeda")+(Inputs!$G$5:$G$130="acoes"))*Inputs!$B$1+((Inputs!$G$5:$G$130&lt;&gt;"moeda")*(Inputs!$G$5:$G$130&lt;&gt;"acoes")))*INDEX(Inputs!$K$5:$AJ$130,0,MATCH(AC$2,Inputs!$K$4:$AJ$4,0)))+SUMPRODUCT((Inputs!$C$5:$C$130=$B29)*Inputs!$D$5:$D$130*(((Inputs!$G$5:$G$130="moeda")+(Inputs!$G$5:$G$130="acoes"))*Inputs!$B$1+((Inputs!$G$5:$G$130&lt;&gt;"moeda")*(Inputs!$G$5:$G$130&lt;&gt;"acoes")))*INDEX(Inputs!$K$5:$AJ$130,0,MATCH(AC$2,Inputs!$K$4:$AJ$4,0)))+SUMPRODUCT((Inputs!$E$5:$E$130=$B29)*Inputs!$F$5:$F$130*(((Inputs!$G$5:$G$130="moeda")+(Inputs!$G$5:$G$130="acoes"))*Inputs!$B$1+((Inputs!$G$5:$G$130&lt;&gt;"moeda")*(Inputs!$G$5:$G$130&lt;&gt;"acoes")))*INDEX(Inputs!$K$5:$AJ$130,0,MATCH(AC$2,Inputs!$K$4:$AJ$4,0)))))</f>
        <v>0</v>
      </c>
      <c r="AD29" s="6">
        <f>IF(ISNA(MATCH(AD$2,Inputs!$K$4:$AJ$4,0)),NA(),IF(SUMPRODUCT((Inputs!$A$5:$A$130=$B29)*ISNUMBER(INDEX(Inputs!$K$5:$AJ$130,0,MATCH(AD$2,Inputs!$K$4:$AJ$4,0))))+SUMPRODUCT((Inputs!$C$5:$C$130=$B29)*ISNUMBER(INDEX(Inputs!$K$5:$AJ$130,0,MATCH(AD$2,Inputs!$K$4:$AJ$4,0))))+SUMPRODUCT((Inputs!$E$5:$E$130=$B29)*ISNUMBER(INDEX(Inputs!$K$5:$AJ$130,0,MATCH(AD$2,Inputs!$K$4:$AJ$4,0))))=0,NA(),SUMPRODUCT((Inputs!$A$5:$A$130=$B29)*Inputs!$B$5:$B$130*(((Inputs!$G$5:$G$130="moeda")+(Inputs!$G$5:$G$130="acoes"))*Inputs!$B$1+((Inputs!$G$5:$G$130&lt;&gt;"moeda")*(Inputs!$G$5:$G$130&lt;&gt;"acoes")))*INDEX(Inputs!$K$5:$AJ$130,0,MATCH(AD$2,Inputs!$K$4:$AJ$4,0)))+SUMPRODUCT((Inputs!$C$5:$C$130=$B29)*Inputs!$D$5:$D$130*(((Inputs!$G$5:$G$130="moeda")+(Inputs!$G$5:$G$130="acoes"))*Inputs!$B$1+((Inputs!$G$5:$G$130&lt;&gt;"moeda")*(Inputs!$G$5:$G$130&lt;&gt;"acoes")))*INDEX(Inputs!$K$5:$AJ$130,0,MATCH(AD$2,Inputs!$K$4:$AJ$4,0)))+SUMPRODUCT((Inputs!$E$5:$E$130=$B29)*Inputs!$F$5:$F$130*(((Inputs!$G$5:$G$130="moeda")+(Inputs!$G$5:$G$130="acoes"))*Inputs!$B$1+((Inputs!$G$5:$G$130&lt;&gt;"moeda")*(Inputs!$G$5:$G$130&lt;&gt;"acoes")))*INDEX(Inputs!$K$5:$AJ$130,0,MATCH(AD$2,Inputs!$K$4:$AJ$4,0)))))</f>
        <v>0</v>
      </c>
      <c r="AE29" s="6" t="e">
        <f>IF(ISNA(MATCH(AE$2,Inputs!$K$4:$AJ$4,0)),NA(),IF(SUMPRODUCT((Inputs!$A$5:$A$130=$B29)*ISNUMBER(INDEX(Inputs!$K$5:$AJ$130,0,MATCH(AE$2,Inputs!$K$4:$AJ$4,0))))+SUMPRODUCT((Inputs!$C$5:$C$130=$B29)*ISNUMBER(INDEX(Inputs!$K$5:$AJ$130,0,MATCH(AE$2,Inputs!$K$4:$AJ$4,0))))+SUMPRODUCT((Inputs!$E$5:$E$130=$B29)*ISNUMBER(INDEX(Inputs!$K$5:$AJ$130,0,MATCH(AE$2,Inputs!$K$4:$AJ$4,0))))=0,NA(),SUMPRODUCT((Inputs!$A$5:$A$130=$B29)*Inputs!$B$5:$B$130*(((Inputs!$G$5:$G$130="moeda")+(Inputs!$G$5:$G$130="acoes"))*Inputs!$B$1+((Inputs!$G$5:$G$130&lt;&gt;"moeda")*(Inputs!$G$5:$G$130&lt;&gt;"acoes")))*INDEX(Inputs!$K$5:$AJ$130,0,MATCH(AE$2,Inputs!$K$4:$AJ$4,0)))+SUMPRODUCT((Inputs!$C$5:$C$130=$B29)*Inputs!$D$5:$D$130*(((Inputs!$G$5:$G$130="moeda")+(Inputs!$G$5:$G$130="acoes"))*Inputs!$B$1+((Inputs!$G$5:$G$130&lt;&gt;"moeda")*(Inputs!$G$5:$G$130&lt;&gt;"acoes")))*INDEX(Inputs!$K$5:$AJ$130,0,MATCH(AE$2,Inputs!$K$4:$AJ$4,0)))+SUMPRODUCT((Inputs!$E$5:$E$130=$B29)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9" s="6" t="e">
        <f>IF(ISNA(MATCH(AF$2,Inputs!$K$4:$AJ$4,0)),NA(),IF(SUMPRODUCT((Inputs!$A$5:$A$130=$B29)*ISNUMBER(INDEX(Inputs!$K$5:$AJ$130,0,MATCH(AF$2,Inputs!$K$4:$AJ$4,0))))+SUMPRODUCT((Inputs!$C$5:$C$130=$B29)*ISNUMBER(INDEX(Inputs!$K$5:$AJ$130,0,MATCH(AF$2,Inputs!$K$4:$AJ$4,0))))+SUMPRODUCT((Inputs!$E$5:$E$130=$B29)*ISNUMBER(INDEX(Inputs!$K$5:$AJ$130,0,MATCH(AF$2,Inputs!$K$4:$AJ$4,0))))=0,NA(),SUMPRODUCT((Inputs!$A$5:$A$130=$B29)*Inputs!$B$5:$B$130*(((Inputs!$G$5:$G$130="moeda")+(Inputs!$G$5:$G$130="acoes"))*Inputs!$B$1+((Inputs!$G$5:$G$130&lt;&gt;"moeda")*(Inputs!$G$5:$G$130&lt;&gt;"acoes")))*INDEX(Inputs!$K$5:$AJ$130,0,MATCH(AF$2,Inputs!$K$4:$AJ$4,0)))+SUMPRODUCT((Inputs!$C$5:$C$130=$B29)*Inputs!$D$5:$D$130*(((Inputs!$G$5:$G$130="moeda")+(Inputs!$G$5:$G$130="acoes"))*Inputs!$B$1+((Inputs!$G$5:$G$130&lt;&gt;"moeda")*(Inputs!$G$5:$G$130&lt;&gt;"acoes")))*INDEX(Inputs!$K$5:$AJ$130,0,MATCH(AF$2,Inputs!$K$4:$AJ$4,0)))+SUMPRODUCT((Inputs!$E$5:$E$130=$B29)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9" s="3" t="e">
        <f>AF29</f>
        <v>#N/A</v>
      </c>
      <c r="AH29" s="6">
        <f>IF(ISNA(MATCH(AH$2,Inputs!$K$4:$AJ$4,0)),NA(),IF(SUMPRODUCT((Inputs!$A$5:$A$130=$B29)*ISNUMBER(INDEX(Inputs!$K$5:$AJ$130,0,MATCH(AH$2,Inputs!$K$4:$AJ$4,0))))+SUMPRODUCT((Inputs!$C$5:$C$130=$B29)*ISNUMBER(INDEX(Inputs!$K$5:$AJ$130,0,MATCH(AH$2,Inputs!$K$4:$AJ$4,0))))+SUMPRODUCT((Inputs!$E$5:$E$130=$B29)*ISNUMBER(INDEX(Inputs!$K$5:$AJ$130,0,MATCH(AH$2,Inputs!$K$4:$AJ$4,0))))=0,NA(),SUMPRODUCT((Inputs!$A$5:$A$130=$B29)*Inputs!$B$5:$B$130*(((Inputs!$G$5:$G$130="moeda")+(Inputs!$G$5:$G$130="acoes"))*Inputs!$B$1+((Inputs!$G$5:$G$130&lt;&gt;"moeda")*(Inputs!$G$5:$G$130&lt;&gt;"acoes")))*INDEX(Inputs!$K$5:$AJ$130,0,MATCH(AH$2,Inputs!$K$4:$AJ$4,0)))+SUMPRODUCT((Inputs!$C$5:$C$130=$B29)*Inputs!$D$5:$D$130*(((Inputs!$G$5:$G$130="moeda")+(Inputs!$G$5:$G$130="acoes"))*Inputs!$B$1+((Inputs!$G$5:$G$130&lt;&gt;"moeda")*(Inputs!$G$5:$G$130&lt;&gt;"acoes")))*INDEX(Inputs!$K$5:$AJ$130,0,MATCH(AH$2,Inputs!$K$4:$AJ$4,0)))+SUMPRODUCT((Inputs!$E$5:$E$130=$B29)*Inputs!$F$5:$F$130*(((Inputs!$G$5:$G$130="moeda")+(Inputs!$G$5:$G$130="acoes"))*Inputs!$B$1+((Inputs!$G$5:$G$130&lt;&gt;"moeda")*(Inputs!$G$5:$G$130&lt;&gt;"acoes")))*INDEX(Inputs!$K$5:$AJ$130,0,MATCH(AH$2,Inputs!$K$4:$AJ$4,0)))))</f>
        <v>0</v>
      </c>
      <c r="AI29" s="6">
        <f>IF(ISNA(MATCH(AI$2,Inputs!$K$4:$AJ$4,0)),NA(),IF(SUMPRODUCT((Inputs!$A$5:$A$130=$B29)*ISNUMBER(INDEX(Inputs!$K$5:$AJ$130,0,MATCH(AI$2,Inputs!$K$4:$AJ$4,0))))+SUMPRODUCT((Inputs!$C$5:$C$130=$B29)*ISNUMBER(INDEX(Inputs!$K$5:$AJ$130,0,MATCH(AI$2,Inputs!$K$4:$AJ$4,0))))+SUMPRODUCT((Inputs!$E$5:$E$130=$B29)*ISNUMBER(INDEX(Inputs!$K$5:$AJ$130,0,MATCH(AI$2,Inputs!$K$4:$AJ$4,0))))=0,NA(),SUMPRODUCT((Inputs!$A$5:$A$130=$B29)*Inputs!$B$5:$B$130*(((Inputs!$G$5:$G$130="moeda")+(Inputs!$G$5:$G$130="acoes"))*Inputs!$B$1+((Inputs!$G$5:$G$130&lt;&gt;"moeda")*(Inputs!$G$5:$G$130&lt;&gt;"acoes")))*INDEX(Inputs!$K$5:$AJ$130,0,MATCH(AI$2,Inputs!$K$4:$AJ$4,0)))+SUMPRODUCT((Inputs!$C$5:$C$130=$B29)*Inputs!$D$5:$D$130*(((Inputs!$G$5:$G$130="moeda")+(Inputs!$G$5:$G$130="acoes"))*Inputs!$B$1+((Inputs!$G$5:$G$130&lt;&gt;"moeda")*(Inputs!$G$5:$G$130&lt;&gt;"acoes")))*INDEX(Inputs!$K$5:$AJ$130,0,MATCH(AI$2,Inputs!$K$4:$AJ$4,0)))+SUMPRODUCT((Inputs!$E$5:$E$130=$B29)*Inputs!$F$5:$F$130*(((Inputs!$G$5:$G$130="moeda")+(Inputs!$G$5:$G$130="acoes"))*Inputs!$B$1+((Inputs!$G$5:$G$130&lt;&gt;"moeda")*(Inputs!$G$5:$G$130&lt;&gt;"acoes")))*INDEX(Inputs!$K$5:$AJ$130,0,MATCH(AI$2,Inputs!$K$4:$AJ$4,0)))))</f>
        <v>0</v>
      </c>
      <c r="AJ29" s="6">
        <f>IF(ISNA(MATCH(AJ$2,Inputs!$K$4:$AJ$4,0)),NA(),IF(SUMPRODUCT((Inputs!$A$5:$A$130=$B29)*ISNUMBER(INDEX(Inputs!$K$5:$AJ$130,0,MATCH(AJ$2,Inputs!$K$4:$AJ$4,0))))+SUMPRODUCT((Inputs!$C$5:$C$130=$B29)*ISNUMBER(INDEX(Inputs!$K$5:$AJ$130,0,MATCH(AJ$2,Inputs!$K$4:$AJ$4,0))))+SUMPRODUCT((Inputs!$E$5:$E$130=$B29)*ISNUMBER(INDEX(Inputs!$K$5:$AJ$130,0,MATCH(AJ$2,Inputs!$K$4:$AJ$4,0))))=0,NA(),SUMPRODUCT((Inputs!$A$5:$A$130=$B29)*Inputs!$B$5:$B$130*(((Inputs!$G$5:$G$130="moeda")+(Inputs!$G$5:$G$130="acoes"))*Inputs!$B$1+((Inputs!$G$5:$G$130&lt;&gt;"moeda")*(Inputs!$G$5:$G$130&lt;&gt;"acoes")))*INDEX(Inputs!$K$5:$AJ$130,0,MATCH(AJ$2,Inputs!$K$4:$AJ$4,0)))+SUMPRODUCT((Inputs!$C$5:$C$130=$B29)*Inputs!$D$5:$D$130*(((Inputs!$G$5:$G$130="moeda")+(Inputs!$G$5:$G$130="acoes"))*Inputs!$B$1+((Inputs!$G$5:$G$130&lt;&gt;"moeda")*(Inputs!$G$5:$G$130&lt;&gt;"acoes")))*INDEX(Inputs!$K$5:$AJ$130,0,MATCH(AJ$2,Inputs!$K$4:$AJ$4,0)))+SUMPRODUCT((Inputs!$E$5:$E$130=$B29)*Inputs!$F$5:$F$130*(((Inputs!$G$5:$G$130="moeda")+(Inputs!$G$5:$G$130="acoes"))*Inputs!$B$1+((Inputs!$G$5:$G$130&lt;&gt;"moeda")*(Inputs!$G$5:$G$130&lt;&gt;"acoes")))*INDEX(Inputs!$K$5:$AJ$130,0,MATCH(AJ$2,Inputs!$K$4:$AJ$4,0)))))</f>
        <v>0</v>
      </c>
      <c r="AK29" s="6">
        <f>IF(ISNA(MATCH(AK$2,Inputs!$K$4:$AJ$4,0)),NA(),IF(SUMPRODUCT((Inputs!$A$5:$A$130=$B29)*ISNUMBER(INDEX(Inputs!$K$5:$AJ$130,0,MATCH(AK$2,Inputs!$K$4:$AJ$4,0))))+SUMPRODUCT((Inputs!$C$5:$C$130=$B29)*ISNUMBER(INDEX(Inputs!$K$5:$AJ$130,0,MATCH(AK$2,Inputs!$K$4:$AJ$4,0))))+SUMPRODUCT((Inputs!$E$5:$E$130=$B29)*ISNUMBER(INDEX(Inputs!$K$5:$AJ$130,0,MATCH(AK$2,Inputs!$K$4:$AJ$4,0))))=0,NA(),SUMPRODUCT((Inputs!$A$5:$A$130=$B29)*Inputs!$B$5:$B$130*(((Inputs!$G$5:$G$130="moeda")+(Inputs!$G$5:$G$130="acoes"))*Inputs!$B$1+((Inputs!$G$5:$G$130&lt;&gt;"moeda")*(Inputs!$G$5:$G$130&lt;&gt;"acoes")))*INDEX(Inputs!$K$5:$AJ$130,0,MATCH(AK$2,Inputs!$K$4:$AJ$4,0)))+SUMPRODUCT((Inputs!$C$5:$C$130=$B29)*Inputs!$D$5:$D$130*(((Inputs!$G$5:$G$130="moeda")+(Inputs!$G$5:$G$130="acoes"))*Inputs!$B$1+((Inputs!$G$5:$G$130&lt;&gt;"moeda")*(Inputs!$G$5:$G$130&lt;&gt;"acoes")))*INDEX(Inputs!$K$5:$AJ$130,0,MATCH(AK$2,Inputs!$K$4:$AJ$4,0)))+SUMPRODUCT((Inputs!$E$5:$E$130=$B29)*Inputs!$F$5:$F$130*(((Inputs!$G$5:$G$130="moeda")+(Inputs!$G$5:$G$130="acoes"))*Inputs!$B$1+((Inputs!$G$5:$G$130&lt;&gt;"moeda")*(Inputs!$G$5:$G$130&lt;&gt;"acoes")))*INDEX(Inputs!$K$5:$AJ$130,0,MATCH(AK$2,Inputs!$K$4:$AJ$4,0)))))</f>
        <v>0</v>
      </c>
      <c r="AL29" s="3">
        <f>AK29</f>
        <v>0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$130=$B30)*ISNUMBER(INDEX(Inputs!$K$5:$AJ$130,0,MATCH(D$2,Inputs!$K$4:$AJ$4,0))))+SUMPRODUCT((Inputs!$C$5:$C$130=$B30)*ISNUMBER(INDEX(Inputs!$K$5:$AJ$130,0,MATCH(D$2,Inputs!$K$4:$AJ$4,0))))+SUMPRODUCT((Inputs!$E$5:$E$130=$B30)*ISNUMBER(INDEX(Inputs!$K$5:$AJ$130,0,MATCH(D$2,Inputs!$K$4:$AJ$4,0))))=0,NA(),SUMPRODUCT((Inputs!$A$5:$A$130=$B30)*Inputs!$B$5:$B$130*(((Inputs!$G$5:$G$130="moeda")+(Inputs!$G$5:$G$130="acoes"))*Inputs!$B$1+((Inputs!$G$5:$G$130&lt;&gt;"moeda")*(Inputs!$G$5:$G$130&lt;&gt;"acoes")))*INDEX(Inputs!$K$5:$AJ$130,0,MATCH(D$2,Inputs!$K$4:$AJ$4,0)))+SUMPRODUCT((Inputs!$C$5:$C$130=$B30)*Inputs!$D$5:$D$130*(((Inputs!$G$5:$G$130="moeda")+(Inputs!$G$5:$G$130="acoes"))*Inputs!$B$1+((Inputs!$G$5:$G$130&lt;&gt;"moeda")*(Inputs!$G$5:$G$130&lt;&gt;"acoes")))*INDEX(Inputs!$K$5:$AJ$130,0,MATCH(D$2,Inputs!$K$4:$AJ$4,0)))+SUMPRODUCT((Inputs!$E$5:$E$130=$B30)*Inputs!$F$5:$F$130*(((Inputs!$G$5:$G$130="moeda")+(Inputs!$G$5:$G$130="acoes"))*Inputs!$B$1+((Inputs!$G$5:$G$130&lt;&gt;"moeda")*(Inputs!$G$5:$G$130&lt;&gt;"acoes")))*INDEX(Inputs!$K$5:$AJ$130,0,MATCH(D$2,Inputs!$K$4:$AJ$4,0)))))</f>
        <v>0</v>
      </c>
      <c r="E30" s="6">
        <f>IF(ISNA(MATCH(E$2,Inputs!$K$4:$AJ$4,0)),NA(),IF(SUMPRODUCT((Inputs!$A$5:$A$130=$B30)*ISNUMBER(INDEX(Inputs!$K$5:$AJ$130,0,MATCH(E$2,Inputs!$K$4:$AJ$4,0))))+SUMPRODUCT((Inputs!$C$5:$C$130=$B30)*ISNUMBER(INDEX(Inputs!$K$5:$AJ$130,0,MATCH(E$2,Inputs!$K$4:$AJ$4,0))))+SUMPRODUCT((Inputs!$E$5:$E$130=$B30)*ISNUMBER(INDEX(Inputs!$K$5:$AJ$130,0,MATCH(E$2,Inputs!$K$4:$AJ$4,0))))=0,NA(),SUMPRODUCT((Inputs!$A$5:$A$130=$B30)*Inputs!$B$5:$B$130*(((Inputs!$G$5:$G$130="moeda")+(Inputs!$G$5:$G$130="acoes"))*Inputs!$B$1+((Inputs!$G$5:$G$130&lt;&gt;"moeda")*(Inputs!$G$5:$G$130&lt;&gt;"acoes")))*INDEX(Inputs!$K$5:$AJ$130,0,MATCH(E$2,Inputs!$K$4:$AJ$4,0)))+SUMPRODUCT((Inputs!$C$5:$C$130=$B30)*Inputs!$D$5:$D$130*(((Inputs!$G$5:$G$130="moeda")+(Inputs!$G$5:$G$130="acoes"))*Inputs!$B$1+((Inputs!$G$5:$G$130&lt;&gt;"moeda")*(Inputs!$G$5:$G$130&lt;&gt;"acoes")))*INDEX(Inputs!$K$5:$AJ$130,0,MATCH(E$2,Inputs!$K$4:$AJ$4,0)))+SUMPRODUCT((Inputs!$E$5:$E$130=$B30)*Inputs!$F$5:$F$130*(((Inputs!$G$5:$G$130="moeda")+(Inputs!$G$5:$G$130="acoes"))*Inputs!$B$1+((Inputs!$G$5:$G$130&lt;&gt;"moeda")*(Inputs!$G$5:$G$130&lt;&gt;"acoes")))*INDEX(Inputs!$K$5:$AJ$130,0,MATCH(E$2,Inputs!$K$4:$AJ$4,0)))))</f>
        <v>0</v>
      </c>
      <c r="F30" s="6">
        <f>IF(ISNA(MATCH(F$2,Inputs!$K$4:$AJ$4,0)),NA(),IF(SUMPRODUCT((Inputs!$A$5:$A$130=$B30)*ISNUMBER(INDEX(Inputs!$K$5:$AJ$130,0,MATCH(F$2,Inputs!$K$4:$AJ$4,0))))+SUMPRODUCT((Inputs!$C$5:$C$130=$B30)*ISNUMBER(INDEX(Inputs!$K$5:$AJ$130,0,MATCH(F$2,Inputs!$K$4:$AJ$4,0))))+SUMPRODUCT((Inputs!$E$5:$E$130=$B30)*ISNUMBER(INDEX(Inputs!$K$5:$AJ$130,0,MATCH(F$2,Inputs!$K$4:$AJ$4,0))))=0,NA(),SUMPRODUCT((Inputs!$A$5:$A$130=$B30)*Inputs!$B$5:$B$130*(((Inputs!$G$5:$G$130="moeda")+(Inputs!$G$5:$G$130="acoes"))*Inputs!$B$1+((Inputs!$G$5:$G$130&lt;&gt;"moeda")*(Inputs!$G$5:$G$130&lt;&gt;"acoes")))*INDEX(Inputs!$K$5:$AJ$130,0,MATCH(F$2,Inputs!$K$4:$AJ$4,0)))+SUMPRODUCT((Inputs!$C$5:$C$130=$B30)*Inputs!$D$5:$D$130*(((Inputs!$G$5:$G$130="moeda")+(Inputs!$G$5:$G$130="acoes"))*Inputs!$B$1+((Inputs!$G$5:$G$130&lt;&gt;"moeda")*(Inputs!$G$5:$G$130&lt;&gt;"acoes")))*INDEX(Inputs!$K$5:$AJ$130,0,MATCH(F$2,Inputs!$K$4:$AJ$4,0)))+SUMPRODUCT((Inputs!$E$5:$E$130=$B30)*Inputs!$F$5:$F$130*(((Inputs!$G$5:$G$130="moeda")+(Inputs!$G$5:$G$130="acoes"))*Inputs!$B$1+((Inputs!$G$5:$G$130&lt;&gt;"moeda")*(Inputs!$G$5:$G$130&lt;&gt;"acoes")))*INDEX(Inputs!$K$5:$AJ$130,0,MATCH(F$2,Inputs!$K$4:$AJ$4,0)))))</f>
        <v>0</v>
      </c>
      <c r="G30" s="6">
        <f>IF(ISNA(MATCH(G$2,Inputs!$K$4:$AJ$4,0)),NA(),IF(SUMPRODUCT((Inputs!$A$5:$A$130=$B30)*ISNUMBER(INDEX(Inputs!$K$5:$AJ$130,0,MATCH(G$2,Inputs!$K$4:$AJ$4,0))))+SUMPRODUCT((Inputs!$C$5:$C$130=$B30)*ISNUMBER(INDEX(Inputs!$K$5:$AJ$130,0,MATCH(G$2,Inputs!$K$4:$AJ$4,0))))+SUMPRODUCT((Inputs!$E$5:$E$130=$B30)*ISNUMBER(INDEX(Inputs!$K$5:$AJ$130,0,MATCH(G$2,Inputs!$K$4:$AJ$4,0))))=0,NA(),SUMPRODUCT((Inputs!$A$5:$A$130=$B30)*Inputs!$B$5:$B$130*(((Inputs!$G$5:$G$130="moeda")+(Inputs!$G$5:$G$130="acoes"))*Inputs!$B$1+((Inputs!$G$5:$G$130&lt;&gt;"moeda")*(Inputs!$G$5:$G$130&lt;&gt;"acoes")))*INDEX(Inputs!$K$5:$AJ$130,0,MATCH(G$2,Inputs!$K$4:$AJ$4,0)))+SUMPRODUCT((Inputs!$C$5:$C$130=$B30)*Inputs!$D$5:$D$130*(((Inputs!$G$5:$G$130="moeda")+(Inputs!$G$5:$G$130="acoes"))*Inputs!$B$1+((Inputs!$G$5:$G$130&lt;&gt;"moeda")*(Inputs!$G$5:$G$130&lt;&gt;"acoes")))*INDEX(Inputs!$K$5:$AJ$130,0,MATCH(G$2,Inputs!$K$4:$AJ$4,0)))+SUMPRODUCT((Inputs!$E$5:$E$130=$B30)*Inputs!$F$5:$F$130*(((Inputs!$G$5:$G$130="moeda")+(Inputs!$G$5:$G$130="acoes"))*Inputs!$B$1+((Inputs!$G$5:$G$130&lt;&gt;"moeda")*(Inputs!$G$5:$G$130&lt;&gt;"acoes")))*INDEX(Inputs!$K$5:$AJ$130,0,MATCH(G$2,Inputs!$K$4:$AJ$4,0)))))</f>
        <v>0</v>
      </c>
      <c r="H30" s="3">
        <f>G30</f>
        <v>0</v>
      </c>
      <c r="I30" s="6">
        <f>IF(ISNA(MATCH(I$2,Inputs!$K$4:$AJ$4,0)),NA(),IF(SUMPRODUCT((Inputs!$A$5:$A$130=$B30)*ISNUMBER(INDEX(Inputs!$K$5:$AJ$130,0,MATCH(I$2,Inputs!$K$4:$AJ$4,0))))+SUMPRODUCT((Inputs!$C$5:$C$130=$B30)*ISNUMBER(INDEX(Inputs!$K$5:$AJ$130,0,MATCH(I$2,Inputs!$K$4:$AJ$4,0))))+SUMPRODUCT((Inputs!$E$5:$E$130=$B30)*ISNUMBER(INDEX(Inputs!$K$5:$AJ$130,0,MATCH(I$2,Inputs!$K$4:$AJ$4,0))))=0,NA(),SUMPRODUCT((Inputs!$A$5:$A$130=$B30)*Inputs!$B$5:$B$130*(((Inputs!$G$5:$G$130="moeda")+(Inputs!$G$5:$G$130="acoes"))*Inputs!$B$1+((Inputs!$G$5:$G$130&lt;&gt;"moeda")*(Inputs!$G$5:$G$130&lt;&gt;"acoes")))*INDEX(Inputs!$K$5:$AJ$130,0,MATCH(I$2,Inputs!$K$4:$AJ$4,0)))+SUMPRODUCT((Inputs!$C$5:$C$130=$B30)*Inputs!$D$5:$D$130*(((Inputs!$G$5:$G$130="moeda")+(Inputs!$G$5:$G$130="acoes"))*Inputs!$B$1+((Inputs!$G$5:$G$130&lt;&gt;"moeda")*(Inputs!$G$5:$G$130&lt;&gt;"acoes")))*INDEX(Inputs!$K$5:$AJ$130,0,MATCH(I$2,Inputs!$K$4:$AJ$4,0)))+SUMPRODUCT((Inputs!$E$5:$E$130=$B30)*Inputs!$F$5:$F$130*(((Inputs!$G$5:$G$130="moeda")+(Inputs!$G$5:$G$130="acoes"))*Inputs!$B$1+((Inputs!$G$5:$G$130&lt;&gt;"moeda")*(Inputs!$G$5:$G$130&lt;&gt;"acoes")))*INDEX(Inputs!$K$5:$AJ$130,0,MATCH(I$2,Inputs!$K$4:$AJ$4,0)))))</f>
        <v>0</v>
      </c>
      <c r="J30" s="6">
        <f>IF(ISNA(MATCH(J$2,Inputs!$K$4:$AJ$4,0)),NA(),IF(SUMPRODUCT((Inputs!$A$5:$A$130=$B30)*ISNUMBER(INDEX(Inputs!$K$5:$AJ$130,0,MATCH(J$2,Inputs!$K$4:$AJ$4,0))))+SUMPRODUCT((Inputs!$C$5:$C$130=$B30)*ISNUMBER(INDEX(Inputs!$K$5:$AJ$130,0,MATCH(J$2,Inputs!$K$4:$AJ$4,0))))+SUMPRODUCT((Inputs!$E$5:$E$130=$B30)*ISNUMBER(INDEX(Inputs!$K$5:$AJ$130,0,MATCH(J$2,Inputs!$K$4:$AJ$4,0))))=0,NA(),SUMPRODUCT((Inputs!$A$5:$A$130=$B30)*Inputs!$B$5:$B$130*(((Inputs!$G$5:$G$130="moeda")+(Inputs!$G$5:$G$130="acoes"))*Inputs!$B$1+((Inputs!$G$5:$G$130&lt;&gt;"moeda")*(Inputs!$G$5:$G$130&lt;&gt;"acoes")))*INDEX(Inputs!$K$5:$AJ$130,0,MATCH(J$2,Inputs!$K$4:$AJ$4,0)))+SUMPRODUCT((Inputs!$C$5:$C$130=$B30)*Inputs!$D$5:$D$130*(((Inputs!$G$5:$G$130="moeda")+(Inputs!$G$5:$G$130="acoes"))*Inputs!$B$1+((Inputs!$G$5:$G$130&lt;&gt;"moeda")*(Inputs!$G$5:$G$130&lt;&gt;"acoes")))*INDEX(Inputs!$K$5:$AJ$130,0,MATCH(J$2,Inputs!$K$4:$AJ$4,0)))+SUMPRODUCT((Inputs!$E$5:$E$130=$B30)*Inputs!$F$5:$F$130*(((Inputs!$G$5:$G$130="moeda")+(Inputs!$G$5:$G$130="acoes"))*Inputs!$B$1+((Inputs!$G$5:$G$130&lt;&gt;"moeda")*(Inputs!$G$5:$G$130&lt;&gt;"acoes")))*INDEX(Inputs!$K$5:$AJ$130,0,MATCH(J$2,Inputs!$K$4:$AJ$4,0)))))</f>
        <v>0</v>
      </c>
      <c r="K30" s="6">
        <f>IF(ISNA(MATCH(K$2,Inputs!$K$4:$AJ$4,0)),NA(),IF(SUMPRODUCT((Inputs!$A$5:$A$130=$B30)*ISNUMBER(INDEX(Inputs!$K$5:$AJ$130,0,MATCH(K$2,Inputs!$K$4:$AJ$4,0))))+SUMPRODUCT((Inputs!$C$5:$C$130=$B30)*ISNUMBER(INDEX(Inputs!$K$5:$AJ$130,0,MATCH(K$2,Inputs!$K$4:$AJ$4,0))))+SUMPRODUCT((Inputs!$E$5:$E$130=$B30)*ISNUMBER(INDEX(Inputs!$K$5:$AJ$130,0,MATCH(K$2,Inputs!$K$4:$AJ$4,0))))=0,NA(),SUMPRODUCT((Inputs!$A$5:$A$130=$B30)*Inputs!$B$5:$B$130*(((Inputs!$G$5:$G$130="moeda")+(Inputs!$G$5:$G$130="acoes"))*Inputs!$B$1+((Inputs!$G$5:$G$130&lt;&gt;"moeda")*(Inputs!$G$5:$G$130&lt;&gt;"acoes")))*INDEX(Inputs!$K$5:$AJ$130,0,MATCH(K$2,Inputs!$K$4:$AJ$4,0)))+SUMPRODUCT((Inputs!$C$5:$C$130=$B30)*Inputs!$D$5:$D$130*(((Inputs!$G$5:$G$130="moeda")+(Inputs!$G$5:$G$130="acoes"))*Inputs!$B$1+((Inputs!$G$5:$G$130&lt;&gt;"moeda")*(Inputs!$G$5:$G$130&lt;&gt;"acoes")))*INDEX(Inputs!$K$5:$AJ$130,0,MATCH(K$2,Inputs!$K$4:$AJ$4,0)))+SUMPRODUCT((Inputs!$E$5:$E$130=$B30)*Inputs!$F$5:$F$130*(((Inputs!$G$5:$G$130="moeda")+(Inputs!$G$5:$G$130="acoes"))*Inputs!$B$1+((Inputs!$G$5:$G$130&lt;&gt;"moeda")*(Inputs!$G$5:$G$130&lt;&gt;"acoes")))*INDEX(Inputs!$K$5:$AJ$130,0,MATCH(K$2,Inputs!$K$4:$AJ$4,0)))))</f>
        <v>0</v>
      </c>
      <c r="L30" s="6">
        <f>IF(ISNA(MATCH(L$2,Inputs!$K$4:$AJ$4,0)),NA(),IF(SUMPRODUCT((Inputs!$A$5:$A$130=$B30)*ISNUMBER(INDEX(Inputs!$K$5:$AJ$130,0,MATCH(L$2,Inputs!$K$4:$AJ$4,0))))+SUMPRODUCT((Inputs!$C$5:$C$130=$B30)*ISNUMBER(INDEX(Inputs!$K$5:$AJ$130,0,MATCH(L$2,Inputs!$K$4:$AJ$4,0))))+SUMPRODUCT((Inputs!$E$5:$E$130=$B30)*ISNUMBER(INDEX(Inputs!$K$5:$AJ$130,0,MATCH(L$2,Inputs!$K$4:$AJ$4,0))))=0,NA(),SUMPRODUCT((Inputs!$A$5:$A$130=$B30)*Inputs!$B$5:$B$130*(((Inputs!$G$5:$G$130="moeda")+(Inputs!$G$5:$G$130="acoes"))*Inputs!$B$1+((Inputs!$G$5:$G$130&lt;&gt;"moeda")*(Inputs!$G$5:$G$130&lt;&gt;"acoes")))*INDEX(Inputs!$K$5:$AJ$130,0,MATCH(L$2,Inputs!$K$4:$AJ$4,0)))+SUMPRODUCT((Inputs!$C$5:$C$130=$B30)*Inputs!$D$5:$D$130*(((Inputs!$G$5:$G$130="moeda")+(Inputs!$G$5:$G$130="acoes"))*Inputs!$B$1+((Inputs!$G$5:$G$130&lt;&gt;"moeda")*(Inputs!$G$5:$G$130&lt;&gt;"acoes")))*INDEX(Inputs!$K$5:$AJ$130,0,MATCH(L$2,Inputs!$K$4:$AJ$4,0)))+SUMPRODUCT((Inputs!$E$5:$E$130=$B30)*Inputs!$F$5:$F$130*(((Inputs!$G$5:$G$130="moeda")+(Inputs!$G$5:$G$130="acoes"))*Inputs!$B$1+((Inputs!$G$5:$G$130&lt;&gt;"moeda")*(Inputs!$G$5:$G$130&lt;&gt;"acoes")))*INDEX(Inputs!$K$5:$AJ$130,0,MATCH(L$2,Inputs!$K$4:$AJ$4,0)))))</f>
        <v>0</v>
      </c>
      <c r="M30" s="3">
        <f>L30</f>
        <v>0</v>
      </c>
      <c r="N30" s="6">
        <f>IF(ISNA(MATCH(N$2,Inputs!$K$4:$AJ$4,0)),NA(),IF(SUMPRODUCT((Inputs!$A$5:$A$130=$B30)*ISNUMBER(INDEX(Inputs!$K$5:$AJ$130,0,MATCH(N$2,Inputs!$K$4:$AJ$4,0))))+SUMPRODUCT((Inputs!$C$5:$C$130=$B30)*ISNUMBER(INDEX(Inputs!$K$5:$AJ$130,0,MATCH(N$2,Inputs!$K$4:$AJ$4,0))))+SUMPRODUCT((Inputs!$E$5:$E$130=$B30)*ISNUMBER(INDEX(Inputs!$K$5:$AJ$130,0,MATCH(N$2,Inputs!$K$4:$AJ$4,0))))=0,NA(),SUMPRODUCT((Inputs!$A$5:$A$130=$B30)*Inputs!$B$5:$B$130*(((Inputs!$G$5:$G$130="moeda")+(Inputs!$G$5:$G$130="acoes"))*Inputs!$B$1+((Inputs!$G$5:$G$130&lt;&gt;"moeda")*(Inputs!$G$5:$G$130&lt;&gt;"acoes")))*INDEX(Inputs!$K$5:$AJ$130,0,MATCH(N$2,Inputs!$K$4:$AJ$4,0)))+SUMPRODUCT((Inputs!$C$5:$C$130=$B30)*Inputs!$D$5:$D$130*(((Inputs!$G$5:$G$130="moeda")+(Inputs!$G$5:$G$130="acoes"))*Inputs!$B$1+((Inputs!$G$5:$G$130&lt;&gt;"moeda")*(Inputs!$G$5:$G$130&lt;&gt;"acoes")))*INDEX(Inputs!$K$5:$AJ$130,0,MATCH(N$2,Inputs!$K$4:$AJ$4,0)))+SUMPRODUCT((Inputs!$E$5:$E$130=$B30)*Inputs!$F$5:$F$130*(((Inputs!$G$5:$G$130="moeda")+(Inputs!$G$5:$G$130="acoes"))*Inputs!$B$1+((Inputs!$G$5:$G$130&lt;&gt;"moeda")*(Inputs!$G$5:$G$130&lt;&gt;"acoes")))*INDEX(Inputs!$K$5:$AJ$130,0,MATCH(N$2,Inputs!$K$4:$AJ$4,0)))))</f>
        <v>0</v>
      </c>
      <c r="O30" s="6">
        <f>IF(ISNA(MATCH(O$2,Inputs!$K$4:$AJ$4,0)),NA(),IF(SUMPRODUCT((Inputs!$A$5:$A$130=$B30)*ISNUMBER(INDEX(Inputs!$K$5:$AJ$130,0,MATCH(O$2,Inputs!$K$4:$AJ$4,0))))+SUMPRODUCT((Inputs!$C$5:$C$130=$B30)*ISNUMBER(INDEX(Inputs!$K$5:$AJ$130,0,MATCH(O$2,Inputs!$K$4:$AJ$4,0))))+SUMPRODUCT((Inputs!$E$5:$E$130=$B30)*ISNUMBER(INDEX(Inputs!$K$5:$AJ$130,0,MATCH(O$2,Inputs!$K$4:$AJ$4,0))))=0,NA(),SUMPRODUCT((Inputs!$A$5:$A$130=$B30)*Inputs!$B$5:$B$130*(((Inputs!$G$5:$G$130="moeda")+(Inputs!$G$5:$G$130="acoes"))*Inputs!$B$1+((Inputs!$G$5:$G$130&lt;&gt;"moeda")*(Inputs!$G$5:$G$130&lt;&gt;"acoes")))*INDEX(Inputs!$K$5:$AJ$130,0,MATCH(O$2,Inputs!$K$4:$AJ$4,0)))+SUMPRODUCT((Inputs!$C$5:$C$130=$B30)*Inputs!$D$5:$D$130*(((Inputs!$G$5:$G$130="moeda")+(Inputs!$G$5:$G$130="acoes"))*Inputs!$B$1+((Inputs!$G$5:$G$130&lt;&gt;"moeda")*(Inputs!$G$5:$G$130&lt;&gt;"acoes")))*INDEX(Inputs!$K$5:$AJ$130,0,MATCH(O$2,Inputs!$K$4:$AJ$4,0)))+SUMPRODUCT((Inputs!$E$5:$E$130=$B30)*Inputs!$F$5:$F$130*(((Inputs!$G$5:$G$130="moeda")+(Inputs!$G$5:$G$130="acoes"))*Inputs!$B$1+((Inputs!$G$5:$G$130&lt;&gt;"moeda")*(Inputs!$G$5:$G$130&lt;&gt;"acoes")))*INDEX(Inputs!$K$5:$AJ$130,0,MATCH(O$2,Inputs!$K$4:$AJ$4,0)))))</f>
        <v>0</v>
      </c>
      <c r="P30" s="6">
        <f>IF(ISNA(MATCH(P$2,Inputs!$K$4:$AJ$4,0)),NA(),IF(SUMPRODUCT((Inputs!$A$5:$A$130=$B30)*ISNUMBER(INDEX(Inputs!$K$5:$AJ$130,0,MATCH(P$2,Inputs!$K$4:$AJ$4,0))))+SUMPRODUCT((Inputs!$C$5:$C$130=$B30)*ISNUMBER(INDEX(Inputs!$K$5:$AJ$130,0,MATCH(P$2,Inputs!$K$4:$AJ$4,0))))+SUMPRODUCT((Inputs!$E$5:$E$130=$B30)*ISNUMBER(INDEX(Inputs!$K$5:$AJ$130,0,MATCH(P$2,Inputs!$K$4:$AJ$4,0))))=0,NA(),SUMPRODUCT((Inputs!$A$5:$A$130=$B30)*Inputs!$B$5:$B$130*(((Inputs!$G$5:$G$130="moeda")+(Inputs!$G$5:$G$130="acoes"))*Inputs!$B$1+((Inputs!$G$5:$G$130&lt;&gt;"moeda")*(Inputs!$G$5:$G$130&lt;&gt;"acoes")))*INDEX(Inputs!$K$5:$AJ$130,0,MATCH(P$2,Inputs!$K$4:$AJ$4,0)))+SUMPRODUCT((Inputs!$C$5:$C$130=$B30)*Inputs!$D$5:$D$130*(((Inputs!$G$5:$G$130="moeda")+(Inputs!$G$5:$G$130="acoes"))*Inputs!$B$1+((Inputs!$G$5:$G$130&lt;&gt;"moeda")*(Inputs!$G$5:$G$130&lt;&gt;"acoes")))*INDEX(Inputs!$K$5:$AJ$130,0,MATCH(P$2,Inputs!$K$4:$AJ$4,0)))+SUMPRODUCT((Inputs!$E$5:$E$130=$B30)*Inputs!$F$5:$F$130*(((Inputs!$G$5:$G$130="moeda")+(Inputs!$G$5:$G$130="acoes"))*Inputs!$B$1+((Inputs!$G$5:$G$130&lt;&gt;"moeda")*(Inputs!$G$5:$G$130&lt;&gt;"acoes")))*INDEX(Inputs!$K$5:$AJ$130,0,MATCH(P$2,Inputs!$K$4:$AJ$4,0)))))</f>
        <v>0</v>
      </c>
      <c r="Q30" s="6">
        <f>IF(ISNA(MATCH(Q$2,Inputs!$K$4:$AJ$4,0)),NA(),IF(SUMPRODUCT((Inputs!$A$5:$A$130=$B30)*ISNUMBER(INDEX(Inputs!$K$5:$AJ$130,0,MATCH(Q$2,Inputs!$K$4:$AJ$4,0))))+SUMPRODUCT((Inputs!$C$5:$C$130=$B30)*ISNUMBER(INDEX(Inputs!$K$5:$AJ$130,0,MATCH(Q$2,Inputs!$K$4:$AJ$4,0))))+SUMPRODUCT((Inputs!$E$5:$E$130=$B30)*ISNUMBER(INDEX(Inputs!$K$5:$AJ$130,0,MATCH(Q$2,Inputs!$K$4:$AJ$4,0))))=0,NA(),SUMPRODUCT((Inputs!$A$5:$A$130=$B30)*Inputs!$B$5:$B$130*(((Inputs!$G$5:$G$130="moeda")+(Inputs!$G$5:$G$130="acoes"))*Inputs!$B$1+((Inputs!$G$5:$G$130&lt;&gt;"moeda")*(Inputs!$G$5:$G$130&lt;&gt;"acoes")))*INDEX(Inputs!$K$5:$AJ$130,0,MATCH(Q$2,Inputs!$K$4:$AJ$4,0)))+SUMPRODUCT((Inputs!$C$5:$C$130=$B30)*Inputs!$D$5:$D$130*(((Inputs!$G$5:$G$130="moeda")+(Inputs!$G$5:$G$130="acoes"))*Inputs!$B$1+((Inputs!$G$5:$G$130&lt;&gt;"moeda")*(Inputs!$G$5:$G$130&lt;&gt;"acoes")))*INDEX(Inputs!$K$5:$AJ$130,0,MATCH(Q$2,Inputs!$K$4:$AJ$4,0)))+SUMPRODUCT((Inputs!$E$5:$E$130=$B30)*Inputs!$F$5:$F$130*(((Inputs!$G$5:$G$130="moeda")+(Inputs!$G$5:$G$130="acoes"))*Inputs!$B$1+((Inputs!$G$5:$G$130&lt;&gt;"moeda")*(Inputs!$G$5:$G$130&lt;&gt;"acoes")))*INDEX(Inputs!$K$5:$AJ$130,0,MATCH(Q$2,Inputs!$K$4:$AJ$4,0)))))</f>
        <v>0</v>
      </c>
      <c r="R30" s="3">
        <f>Q30</f>
        <v>0</v>
      </c>
      <c r="S30" s="6">
        <f>IF(ISNA(MATCH(S$2,Inputs!$K$4:$AJ$4,0)),NA(),IF(SUMPRODUCT((Inputs!$A$5:$A$130=$B30)*ISNUMBER(INDEX(Inputs!$K$5:$AJ$130,0,MATCH(S$2,Inputs!$K$4:$AJ$4,0))))+SUMPRODUCT((Inputs!$C$5:$C$130=$B30)*ISNUMBER(INDEX(Inputs!$K$5:$AJ$130,0,MATCH(S$2,Inputs!$K$4:$AJ$4,0))))+SUMPRODUCT((Inputs!$E$5:$E$130=$B30)*ISNUMBER(INDEX(Inputs!$K$5:$AJ$130,0,MATCH(S$2,Inputs!$K$4:$AJ$4,0))))=0,NA(),SUMPRODUCT((Inputs!$A$5:$A$130=$B30)*Inputs!$B$5:$B$130*(((Inputs!$G$5:$G$130="moeda")+(Inputs!$G$5:$G$130="acoes"))*Inputs!$B$1+((Inputs!$G$5:$G$130&lt;&gt;"moeda")*(Inputs!$G$5:$G$130&lt;&gt;"acoes")))*INDEX(Inputs!$K$5:$AJ$130,0,MATCH(S$2,Inputs!$K$4:$AJ$4,0)))+SUMPRODUCT((Inputs!$C$5:$C$130=$B30)*Inputs!$D$5:$D$130*(((Inputs!$G$5:$G$130="moeda")+(Inputs!$G$5:$G$130="acoes"))*Inputs!$B$1+((Inputs!$G$5:$G$130&lt;&gt;"moeda")*(Inputs!$G$5:$G$130&lt;&gt;"acoes")))*INDEX(Inputs!$K$5:$AJ$130,0,MATCH(S$2,Inputs!$K$4:$AJ$4,0)))+SUMPRODUCT((Inputs!$E$5:$E$130=$B30)*Inputs!$F$5:$F$130*(((Inputs!$G$5:$G$130="moeda")+(Inputs!$G$5:$G$130="acoes"))*Inputs!$B$1+((Inputs!$G$5:$G$130&lt;&gt;"moeda")*(Inputs!$G$5:$G$130&lt;&gt;"acoes")))*INDEX(Inputs!$K$5:$AJ$130,0,MATCH(S$2,Inputs!$K$4:$AJ$4,0)))))</f>
        <v>0</v>
      </c>
      <c r="T30" s="6">
        <f>IF(ISNA(MATCH(T$2,Inputs!$K$4:$AJ$4,0)),NA(),IF(SUMPRODUCT((Inputs!$A$5:$A$130=$B30)*ISNUMBER(INDEX(Inputs!$K$5:$AJ$130,0,MATCH(T$2,Inputs!$K$4:$AJ$4,0))))+SUMPRODUCT((Inputs!$C$5:$C$130=$B30)*ISNUMBER(INDEX(Inputs!$K$5:$AJ$130,0,MATCH(T$2,Inputs!$K$4:$AJ$4,0))))+SUMPRODUCT((Inputs!$E$5:$E$130=$B30)*ISNUMBER(INDEX(Inputs!$K$5:$AJ$130,0,MATCH(T$2,Inputs!$K$4:$AJ$4,0))))=0,NA(),SUMPRODUCT((Inputs!$A$5:$A$130=$B30)*Inputs!$B$5:$B$130*(((Inputs!$G$5:$G$130="moeda")+(Inputs!$G$5:$G$130="acoes"))*Inputs!$B$1+((Inputs!$G$5:$G$130&lt;&gt;"moeda")*(Inputs!$G$5:$G$130&lt;&gt;"acoes")))*INDEX(Inputs!$K$5:$AJ$130,0,MATCH(T$2,Inputs!$K$4:$AJ$4,0)))+SUMPRODUCT((Inputs!$C$5:$C$130=$B30)*Inputs!$D$5:$D$130*(((Inputs!$G$5:$G$130="moeda")+(Inputs!$G$5:$G$130="acoes"))*Inputs!$B$1+((Inputs!$G$5:$G$130&lt;&gt;"moeda")*(Inputs!$G$5:$G$130&lt;&gt;"acoes")))*INDEX(Inputs!$K$5:$AJ$130,0,MATCH(T$2,Inputs!$K$4:$AJ$4,0)))+SUMPRODUCT((Inputs!$E$5:$E$130=$B30)*Inputs!$F$5:$F$130*(((Inputs!$G$5:$G$130="moeda")+(Inputs!$G$5:$G$130="acoes"))*Inputs!$B$1+((Inputs!$G$5:$G$130&lt;&gt;"moeda")*(Inputs!$G$5:$G$130&lt;&gt;"acoes")))*INDEX(Inputs!$K$5:$AJ$130,0,MATCH(T$2,Inputs!$K$4:$AJ$4,0)))))</f>
        <v>0</v>
      </c>
      <c r="U30" s="6">
        <f>IF(ISNA(MATCH(U$2,Inputs!$K$4:$AJ$4,0)),NA(),IF(SUMPRODUCT((Inputs!$A$5:$A$130=$B30)*ISNUMBER(INDEX(Inputs!$K$5:$AJ$130,0,MATCH(U$2,Inputs!$K$4:$AJ$4,0))))+SUMPRODUCT((Inputs!$C$5:$C$130=$B30)*ISNUMBER(INDEX(Inputs!$K$5:$AJ$130,0,MATCH(U$2,Inputs!$K$4:$AJ$4,0))))+SUMPRODUCT((Inputs!$E$5:$E$130=$B30)*ISNUMBER(INDEX(Inputs!$K$5:$AJ$130,0,MATCH(U$2,Inputs!$K$4:$AJ$4,0))))=0,NA(),SUMPRODUCT((Inputs!$A$5:$A$130=$B30)*Inputs!$B$5:$B$130*(((Inputs!$G$5:$G$130="moeda")+(Inputs!$G$5:$G$130="acoes"))*Inputs!$B$1+((Inputs!$G$5:$G$130&lt;&gt;"moeda")*(Inputs!$G$5:$G$130&lt;&gt;"acoes")))*INDEX(Inputs!$K$5:$AJ$130,0,MATCH(U$2,Inputs!$K$4:$AJ$4,0)))+SUMPRODUCT((Inputs!$C$5:$C$130=$B30)*Inputs!$D$5:$D$130*(((Inputs!$G$5:$G$130="moeda")+(Inputs!$G$5:$G$130="acoes"))*Inputs!$B$1+((Inputs!$G$5:$G$130&lt;&gt;"moeda")*(Inputs!$G$5:$G$130&lt;&gt;"acoes")))*INDEX(Inputs!$K$5:$AJ$130,0,MATCH(U$2,Inputs!$K$4:$AJ$4,0)))+SUMPRODUCT((Inputs!$E$5:$E$130=$B30)*Inputs!$F$5:$F$130*(((Inputs!$G$5:$G$130="moeda")+(Inputs!$G$5:$G$130="acoes"))*Inputs!$B$1+((Inputs!$G$5:$G$130&lt;&gt;"moeda")*(Inputs!$G$5:$G$130&lt;&gt;"acoes")))*INDEX(Inputs!$K$5:$AJ$130,0,MATCH(U$2,Inputs!$K$4:$AJ$4,0)))))</f>
        <v>0</v>
      </c>
      <c r="V30" s="6">
        <f>IF(ISNA(MATCH(V$2,Inputs!$K$4:$AJ$4,0)),NA(),IF(SUMPRODUCT((Inputs!$A$5:$A$130=$B30)*ISNUMBER(INDEX(Inputs!$K$5:$AJ$130,0,MATCH(V$2,Inputs!$K$4:$AJ$4,0))))+SUMPRODUCT((Inputs!$C$5:$C$130=$B30)*ISNUMBER(INDEX(Inputs!$K$5:$AJ$130,0,MATCH(V$2,Inputs!$K$4:$AJ$4,0))))+SUMPRODUCT((Inputs!$E$5:$E$130=$B30)*ISNUMBER(INDEX(Inputs!$K$5:$AJ$130,0,MATCH(V$2,Inputs!$K$4:$AJ$4,0))))=0,NA(),SUMPRODUCT((Inputs!$A$5:$A$130=$B30)*Inputs!$B$5:$B$130*(((Inputs!$G$5:$G$130="moeda")+(Inputs!$G$5:$G$130="acoes"))*Inputs!$B$1+((Inputs!$G$5:$G$130&lt;&gt;"moeda")*(Inputs!$G$5:$G$130&lt;&gt;"acoes")))*INDEX(Inputs!$K$5:$AJ$130,0,MATCH(V$2,Inputs!$K$4:$AJ$4,0)))+SUMPRODUCT((Inputs!$C$5:$C$130=$B30)*Inputs!$D$5:$D$130*(((Inputs!$G$5:$G$130="moeda")+(Inputs!$G$5:$G$130="acoes"))*Inputs!$B$1+((Inputs!$G$5:$G$130&lt;&gt;"moeda")*(Inputs!$G$5:$G$130&lt;&gt;"acoes")))*INDEX(Inputs!$K$5:$AJ$130,0,MATCH(V$2,Inputs!$K$4:$AJ$4,0)))+SUMPRODUCT((Inputs!$E$5:$E$130=$B30)*Inputs!$F$5:$F$130*(((Inputs!$G$5:$G$130="moeda")+(Inputs!$G$5:$G$130="acoes"))*Inputs!$B$1+((Inputs!$G$5:$G$130&lt;&gt;"moeda")*(Inputs!$G$5:$G$130&lt;&gt;"acoes")))*INDEX(Inputs!$K$5:$AJ$130,0,MATCH(V$2,Inputs!$K$4:$AJ$4,0)))))</f>
        <v>0</v>
      </c>
      <c r="W30" s="3">
        <f>V30</f>
        <v>0</v>
      </c>
      <c r="X30" s="6">
        <f>IF(ISNA(MATCH(X$2,Inputs!$K$4:$AJ$4,0)),NA(),IF(SUMPRODUCT((Inputs!$A$5:$A$130=$B30)*ISNUMBER(INDEX(Inputs!$K$5:$AJ$130,0,MATCH(X$2,Inputs!$K$4:$AJ$4,0))))+SUMPRODUCT((Inputs!$C$5:$C$130=$B30)*ISNUMBER(INDEX(Inputs!$K$5:$AJ$130,0,MATCH(X$2,Inputs!$K$4:$AJ$4,0))))+SUMPRODUCT((Inputs!$E$5:$E$130=$B30)*ISNUMBER(INDEX(Inputs!$K$5:$AJ$130,0,MATCH(X$2,Inputs!$K$4:$AJ$4,0))))=0,NA(),SUMPRODUCT((Inputs!$A$5:$A$130=$B30)*Inputs!$B$5:$B$130*(((Inputs!$G$5:$G$130="moeda")+(Inputs!$G$5:$G$130="acoes"))*Inputs!$B$1+((Inputs!$G$5:$G$130&lt;&gt;"moeda")*(Inputs!$G$5:$G$130&lt;&gt;"acoes")))*INDEX(Inputs!$K$5:$AJ$130,0,MATCH(X$2,Inputs!$K$4:$AJ$4,0)))+SUMPRODUCT((Inputs!$C$5:$C$130=$B30)*Inputs!$D$5:$D$130*(((Inputs!$G$5:$G$130="moeda")+(Inputs!$G$5:$G$130="acoes"))*Inputs!$B$1+((Inputs!$G$5:$G$130&lt;&gt;"moeda")*(Inputs!$G$5:$G$130&lt;&gt;"acoes")))*INDEX(Inputs!$K$5:$AJ$130,0,MATCH(X$2,Inputs!$K$4:$AJ$4,0)))+SUMPRODUCT((Inputs!$E$5:$E$130=$B30)*Inputs!$F$5:$F$130*(((Inputs!$G$5:$G$130="moeda")+(Inputs!$G$5:$G$130="acoes"))*Inputs!$B$1+((Inputs!$G$5:$G$130&lt;&gt;"moeda")*(Inputs!$G$5:$G$130&lt;&gt;"acoes")))*INDEX(Inputs!$K$5:$AJ$130,0,MATCH(X$2,Inputs!$K$4:$AJ$4,0)))))</f>
        <v>0</v>
      </c>
      <c r="Y30" s="6">
        <f>IF(ISNA(MATCH(Y$2,Inputs!$K$4:$AJ$4,0)),NA(),IF(SUMPRODUCT((Inputs!$A$5:$A$130=$B30)*ISNUMBER(INDEX(Inputs!$K$5:$AJ$130,0,MATCH(Y$2,Inputs!$K$4:$AJ$4,0))))+SUMPRODUCT((Inputs!$C$5:$C$130=$B30)*ISNUMBER(INDEX(Inputs!$K$5:$AJ$130,0,MATCH(Y$2,Inputs!$K$4:$AJ$4,0))))+SUMPRODUCT((Inputs!$E$5:$E$130=$B30)*ISNUMBER(INDEX(Inputs!$K$5:$AJ$130,0,MATCH(Y$2,Inputs!$K$4:$AJ$4,0))))=0,NA(),SUMPRODUCT((Inputs!$A$5:$A$130=$B30)*Inputs!$B$5:$B$130*(((Inputs!$G$5:$G$130="moeda")+(Inputs!$G$5:$G$130="acoes"))*Inputs!$B$1+((Inputs!$G$5:$G$130&lt;&gt;"moeda")*(Inputs!$G$5:$G$130&lt;&gt;"acoes")))*INDEX(Inputs!$K$5:$AJ$130,0,MATCH(Y$2,Inputs!$K$4:$AJ$4,0)))+SUMPRODUCT((Inputs!$C$5:$C$130=$B30)*Inputs!$D$5:$D$130*(((Inputs!$G$5:$G$130="moeda")+(Inputs!$G$5:$G$130="acoes"))*Inputs!$B$1+((Inputs!$G$5:$G$130&lt;&gt;"moeda")*(Inputs!$G$5:$G$130&lt;&gt;"acoes")))*INDEX(Inputs!$K$5:$AJ$130,0,MATCH(Y$2,Inputs!$K$4:$AJ$4,0)))+SUMPRODUCT((Inputs!$E$5:$E$130=$B30)*Inputs!$F$5:$F$130*(((Inputs!$G$5:$G$130="moeda")+(Inputs!$G$5:$G$130="acoes"))*Inputs!$B$1+((Inputs!$G$5:$G$130&lt;&gt;"moeda")*(Inputs!$G$5:$G$130&lt;&gt;"acoes")))*INDEX(Inputs!$K$5:$AJ$130,0,MATCH(Y$2,Inputs!$K$4:$AJ$4,0)))))</f>
        <v>0</v>
      </c>
      <c r="Z30" s="6">
        <f>IF(ISNA(MATCH(Z$2,Inputs!$K$4:$AJ$4,0)),NA(),IF(SUMPRODUCT((Inputs!$A$5:$A$130=$B30)*ISNUMBER(INDEX(Inputs!$K$5:$AJ$130,0,MATCH(Z$2,Inputs!$K$4:$AJ$4,0))))+SUMPRODUCT((Inputs!$C$5:$C$130=$B30)*ISNUMBER(INDEX(Inputs!$K$5:$AJ$130,0,MATCH(Z$2,Inputs!$K$4:$AJ$4,0))))+SUMPRODUCT((Inputs!$E$5:$E$130=$B30)*ISNUMBER(INDEX(Inputs!$K$5:$AJ$130,0,MATCH(Z$2,Inputs!$K$4:$AJ$4,0))))=0,NA(),SUMPRODUCT((Inputs!$A$5:$A$130=$B30)*Inputs!$B$5:$B$130*(((Inputs!$G$5:$G$130="moeda")+(Inputs!$G$5:$G$130="acoes"))*Inputs!$B$1+((Inputs!$G$5:$G$130&lt;&gt;"moeda")*(Inputs!$G$5:$G$130&lt;&gt;"acoes")))*INDEX(Inputs!$K$5:$AJ$130,0,MATCH(Z$2,Inputs!$K$4:$AJ$4,0)))+SUMPRODUCT((Inputs!$C$5:$C$130=$B30)*Inputs!$D$5:$D$130*(((Inputs!$G$5:$G$130="moeda")+(Inputs!$G$5:$G$130="acoes"))*Inputs!$B$1+((Inputs!$G$5:$G$130&lt;&gt;"moeda")*(Inputs!$G$5:$G$130&lt;&gt;"acoes")))*INDEX(Inputs!$K$5:$AJ$130,0,MATCH(Z$2,Inputs!$K$4:$AJ$4,0)))+SUMPRODUCT((Inputs!$E$5:$E$130=$B30)*Inputs!$F$5:$F$130*(((Inputs!$G$5:$G$130="moeda")+(Inputs!$G$5:$G$130="acoes"))*Inputs!$B$1+((Inputs!$G$5:$G$130&lt;&gt;"moeda")*(Inputs!$G$5:$G$130&lt;&gt;"acoes")))*INDEX(Inputs!$K$5:$AJ$130,0,MATCH(Z$2,Inputs!$K$4:$AJ$4,0)))))</f>
        <v>0</v>
      </c>
      <c r="AA30" s="6">
        <f>IF(ISNA(MATCH(AA$2,Inputs!$K$4:$AJ$4,0)),NA(),IF(SUMPRODUCT((Inputs!$A$5:$A$130=$B30)*ISNUMBER(INDEX(Inputs!$K$5:$AJ$130,0,MATCH(AA$2,Inputs!$K$4:$AJ$4,0))))+SUMPRODUCT((Inputs!$C$5:$C$130=$B30)*ISNUMBER(INDEX(Inputs!$K$5:$AJ$130,0,MATCH(AA$2,Inputs!$K$4:$AJ$4,0))))+SUMPRODUCT((Inputs!$E$5:$E$130=$B30)*ISNUMBER(INDEX(Inputs!$K$5:$AJ$130,0,MATCH(AA$2,Inputs!$K$4:$AJ$4,0))))=0,NA(),SUMPRODUCT((Inputs!$A$5:$A$130=$B30)*Inputs!$B$5:$B$130*(((Inputs!$G$5:$G$130="moeda")+(Inputs!$G$5:$G$130="acoes"))*Inputs!$B$1+((Inputs!$G$5:$G$130&lt;&gt;"moeda")*(Inputs!$G$5:$G$130&lt;&gt;"acoes")))*INDEX(Inputs!$K$5:$AJ$130,0,MATCH(AA$2,Inputs!$K$4:$AJ$4,0)))+SUMPRODUCT((Inputs!$C$5:$C$130=$B30)*Inputs!$D$5:$D$130*(((Inputs!$G$5:$G$130="moeda")+(Inputs!$G$5:$G$130="acoes"))*Inputs!$B$1+((Inputs!$G$5:$G$130&lt;&gt;"moeda")*(Inputs!$G$5:$G$130&lt;&gt;"acoes")))*INDEX(Inputs!$K$5:$AJ$130,0,MATCH(AA$2,Inputs!$K$4:$AJ$4,0)))+SUMPRODUCT((Inputs!$E$5:$E$130=$B30)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0" s="3">
        <f>AA30</f>
        <v>0</v>
      </c>
      <c r="AC30" s="6">
        <f>IF(ISNA(MATCH(AC$2,Inputs!$K$4:$AJ$4,0)),NA(),IF(SUMPRODUCT((Inputs!$A$5:$A$130=$B30)*ISNUMBER(INDEX(Inputs!$K$5:$AJ$130,0,MATCH(AC$2,Inputs!$K$4:$AJ$4,0))))+SUMPRODUCT((Inputs!$C$5:$C$130=$B30)*ISNUMBER(INDEX(Inputs!$K$5:$AJ$130,0,MATCH(AC$2,Inputs!$K$4:$AJ$4,0))))+SUMPRODUCT((Inputs!$E$5:$E$130=$B30)*ISNUMBER(INDEX(Inputs!$K$5:$AJ$130,0,MATCH(AC$2,Inputs!$K$4:$AJ$4,0))))=0,NA(),SUMPRODUCT((Inputs!$A$5:$A$130=$B30)*Inputs!$B$5:$B$130*(((Inputs!$G$5:$G$130="moeda")+(Inputs!$G$5:$G$130="acoes"))*Inputs!$B$1+((Inputs!$G$5:$G$130&lt;&gt;"moeda")*(Inputs!$G$5:$G$130&lt;&gt;"acoes")))*INDEX(Inputs!$K$5:$AJ$130,0,MATCH(AC$2,Inputs!$K$4:$AJ$4,0)))+SUMPRODUCT((Inputs!$C$5:$C$130=$B30)*Inputs!$D$5:$D$130*(((Inputs!$G$5:$G$130="moeda")+(Inputs!$G$5:$G$130="acoes"))*Inputs!$B$1+((Inputs!$G$5:$G$130&lt;&gt;"moeda")*(Inputs!$G$5:$G$130&lt;&gt;"acoes")))*INDEX(Inputs!$K$5:$AJ$130,0,MATCH(AC$2,Inputs!$K$4:$AJ$4,0)))+SUMPRODUCT((Inputs!$E$5:$E$130=$B30)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0" s="6">
        <f>IF(ISNA(MATCH(AD$2,Inputs!$K$4:$AJ$4,0)),NA(),IF(SUMPRODUCT((Inputs!$A$5:$A$130=$B30)*ISNUMBER(INDEX(Inputs!$K$5:$AJ$130,0,MATCH(AD$2,Inputs!$K$4:$AJ$4,0))))+SUMPRODUCT((Inputs!$C$5:$C$130=$B30)*ISNUMBER(INDEX(Inputs!$K$5:$AJ$130,0,MATCH(AD$2,Inputs!$K$4:$AJ$4,0))))+SUMPRODUCT((Inputs!$E$5:$E$130=$B30)*ISNUMBER(INDEX(Inputs!$K$5:$AJ$130,0,MATCH(AD$2,Inputs!$K$4:$AJ$4,0))))=0,NA(),SUMPRODUCT((Inputs!$A$5:$A$130=$B30)*Inputs!$B$5:$B$130*(((Inputs!$G$5:$G$130="moeda")+(Inputs!$G$5:$G$130="acoes"))*Inputs!$B$1+((Inputs!$G$5:$G$130&lt;&gt;"moeda")*(Inputs!$G$5:$G$130&lt;&gt;"acoes")))*INDEX(Inputs!$K$5:$AJ$130,0,MATCH(AD$2,Inputs!$K$4:$AJ$4,0)))+SUMPRODUCT((Inputs!$C$5:$C$130=$B30)*Inputs!$D$5:$D$130*(((Inputs!$G$5:$G$130="moeda")+(Inputs!$G$5:$G$130="acoes"))*Inputs!$B$1+((Inputs!$G$5:$G$130&lt;&gt;"moeda")*(Inputs!$G$5:$G$130&lt;&gt;"acoes")))*INDEX(Inputs!$K$5:$AJ$130,0,MATCH(AD$2,Inputs!$K$4:$AJ$4,0)))+SUMPRODUCT((Inputs!$E$5:$E$130=$B30)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0" s="6" t="e">
        <f>IF(ISNA(MATCH(AE$2,Inputs!$K$4:$AJ$4,0)),NA(),IF(SUMPRODUCT((Inputs!$A$5:$A$130=$B30)*ISNUMBER(INDEX(Inputs!$K$5:$AJ$130,0,MATCH(AE$2,Inputs!$K$4:$AJ$4,0))))+SUMPRODUCT((Inputs!$C$5:$C$130=$B30)*ISNUMBER(INDEX(Inputs!$K$5:$AJ$130,0,MATCH(AE$2,Inputs!$K$4:$AJ$4,0))))+SUMPRODUCT((Inputs!$E$5:$E$130=$B30)*ISNUMBER(INDEX(Inputs!$K$5:$AJ$130,0,MATCH(AE$2,Inputs!$K$4:$AJ$4,0))))=0,NA(),SUMPRODUCT((Inputs!$A$5:$A$130=$B30)*Inputs!$B$5:$B$130*(((Inputs!$G$5:$G$130="moeda")+(Inputs!$G$5:$G$130="acoes"))*Inputs!$B$1+((Inputs!$G$5:$G$130&lt;&gt;"moeda")*(Inputs!$G$5:$G$130&lt;&gt;"acoes")))*INDEX(Inputs!$K$5:$AJ$130,0,MATCH(AE$2,Inputs!$K$4:$AJ$4,0)))+SUMPRODUCT((Inputs!$C$5:$C$130=$B30)*Inputs!$D$5:$D$130*(((Inputs!$G$5:$G$130="moeda")+(Inputs!$G$5:$G$130="acoes"))*Inputs!$B$1+((Inputs!$G$5:$G$130&lt;&gt;"moeda")*(Inputs!$G$5:$G$130&lt;&gt;"acoes")))*INDEX(Inputs!$K$5:$AJ$130,0,MATCH(AE$2,Inputs!$K$4:$AJ$4,0)))+SUMPRODUCT((Inputs!$E$5:$E$130=$B30)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0" s="6" t="e">
        <f>IF(ISNA(MATCH(AF$2,Inputs!$K$4:$AJ$4,0)),NA(),IF(SUMPRODUCT((Inputs!$A$5:$A$130=$B30)*ISNUMBER(INDEX(Inputs!$K$5:$AJ$130,0,MATCH(AF$2,Inputs!$K$4:$AJ$4,0))))+SUMPRODUCT((Inputs!$C$5:$C$130=$B30)*ISNUMBER(INDEX(Inputs!$K$5:$AJ$130,0,MATCH(AF$2,Inputs!$K$4:$AJ$4,0))))+SUMPRODUCT((Inputs!$E$5:$E$130=$B30)*ISNUMBER(INDEX(Inputs!$K$5:$AJ$130,0,MATCH(AF$2,Inputs!$K$4:$AJ$4,0))))=0,NA(),SUMPRODUCT((Inputs!$A$5:$A$130=$B30)*Inputs!$B$5:$B$130*(((Inputs!$G$5:$G$130="moeda")+(Inputs!$G$5:$G$130="acoes"))*Inputs!$B$1+((Inputs!$G$5:$G$130&lt;&gt;"moeda")*(Inputs!$G$5:$G$130&lt;&gt;"acoes")))*INDEX(Inputs!$K$5:$AJ$130,0,MATCH(AF$2,Inputs!$K$4:$AJ$4,0)))+SUMPRODUCT((Inputs!$C$5:$C$130=$B30)*Inputs!$D$5:$D$130*(((Inputs!$G$5:$G$130="moeda")+(Inputs!$G$5:$G$130="acoes"))*Inputs!$B$1+((Inputs!$G$5:$G$130&lt;&gt;"moeda")*(Inputs!$G$5:$G$130&lt;&gt;"acoes")))*INDEX(Inputs!$K$5:$AJ$130,0,MATCH(AF$2,Inputs!$K$4:$AJ$4,0)))+SUMPRODUCT((Inputs!$E$5:$E$130=$B30)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0" s="3" t="e">
        <f>AF30</f>
        <v>#N/A</v>
      </c>
      <c r="AH30" s="6">
        <f>IF(ISNA(MATCH(AH$2,Inputs!$K$4:$AJ$4,0)),NA(),IF(SUMPRODUCT((Inputs!$A$5:$A$130=$B30)*ISNUMBER(INDEX(Inputs!$K$5:$AJ$130,0,MATCH(AH$2,Inputs!$K$4:$AJ$4,0))))+SUMPRODUCT((Inputs!$C$5:$C$130=$B30)*ISNUMBER(INDEX(Inputs!$K$5:$AJ$130,0,MATCH(AH$2,Inputs!$K$4:$AJ$4,0))))+SUMPRODUCT((Inputs!$E$5:$E$130=$B30)*ISNUMBER(INDEX(Inputs!$K$5:$AJ$130,0,MATCH(AH$2,Inputs!$K$4:$AJ$4,0))))=0,NA(),SUMPRODUCT((Inputs!$A$5:$A$130=$B30)*Inputs!$B$5:$B$130*(((Inputs!$G$5:$G$130="moeda")+(Inputs!$G$5:$G$130="acoes"))*Inputs!$B$1+((Inputs!$G$5:$G$130&lt;&gt;"moeda")*(Inputs!$G$5:$G$130&lt;&gt;"acoes")))*INDEX(Inputs!$K$5:$AJ$130,0,MATCH(AH$2,Inputs!$K$4:$AJ$4,0)))+SUMPRODUCT((Inputs!$C$5:$C$130=$B30)*Inputs!$D$5:$D$130*(((Inputs!$G$5:$G$130="moeda")+(Inputs!$G$5:$G$130="acoes"))*Inputs!$B$1+((Inputs!$G$5:$G$130&lt;&gt;"moeda")*(Inputs!$G$5:$G$130&lt;&gt;"acoes")))*INDEX(Inputs!$K$5:$AJ$130,0,MATCH(AH$2,Inputs!$K$4:$AJ$4,0)))+SUMPRODUCT((Inputs!$E$5:$E$130=$B30)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0" s="6">
        <f>IF(ISNA(MATCH(AI$2,Inputs!$K$4:$AJ$4,0)),NA(),IF(SUMPRODUCT((Inputs!$A$5:$A$130=$B30)*ISNUMBER(INDEX(Inputs!$K$5:$AJ$130,0,MATCH(AI$2,Inputs!$K$4:$AJ$4,0))))+SUMPRODUCT((Inputs!$C$5:$C$130=$B30)*ISNUMBER(INDEX(Inputs!$K$5:$AJ$130,0,MATCH(AI$2,Inputs!$K$4:$AJ$4,0))))+SUMPRODUCT((Inputs!$E$5:$E$130=$B30)*ISNUMBER(INDEX(Inputs!$K$5:$AJ$130,0,MATCH(AI$2,Inputs!$K$4:$AJ$4,0))))=0,NA(),SUMPRODUCT((Inputs!$A$5:$A$130=$B30)*Inputs!$B$5:$B$130*(((Inputs!$G$5:$G$130="moeda")+(Inputs!$G$5:$G$130="acoes"))*Inputs!$B$1+((Inputs!$G$5:$G$130&lt;&gt;"moeda")*(Inputs!$G$5:$G$130&lt;&gt;"acoes")))*INDEX(Inputs!$K$5:$AJ$130,0,MATCH(AI$2,Inputs!$K$4:$AJ$4,0)))+SUMPRODUCT((Inputs!$C$5:$C$130=$B30)*Inputs!$D$5:$D$130*(((Inputs!$G$5:$G$130="moeda")+(Inputs!$G$5:$G$130="acoes"))*Inputs!$B$1+((Inputs!$G$5:$G$130&lt;&gt;"moeda")*(Inputs!$G$5:$G$130&lt;&gt;"acoes")))*INDEX(Inputs!$K$5:$AJ$130,0,MATCH(AI$2,Inputs!$K$4:$AJ$4,0)))+SUMPRODUCT((Inputs!$E$5:$E$130=$B30)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0" s="6">
        <f>IF(ISNA(MATCH(AJ$2,Inputs!$K$4:$AJ$4,0)),NA(),IF(SUMPRODUCT((Inputs!$A$5:$A$130=$B30)*ISNUMBER(INDEX(Inputs!$K$5:$AJ$130,0,MATCH(AJ$2,Inputs!$K$4:$AJ$4,0))))+SUMPRODUCT((Inputs!$C$5:$C$130=$B30)*ISNUMBER(INDEX(Inputs!$K$5:$AJ$130,0,MATCH(AJ$2,Inputs!$K$4:$AJ$4,0))))+SUMPRODUCT((Inputs!$E$5:$E$130=$B30)*ISNUMBER(INDEX(Inputs!$K$5:$AJ$130,0,MATCH(AJ$2,Inputs!$K$4:$AJ$4,0))))=0,NA(),SUMPRODUCT((Inputs!$A$5:$A$130=$B30)*Inputs!$B$5:$B$130*(((Inputs!$G$5:$G$130="moeda")+(Inputs!$G$5:$G$130="acoes"))*Inputs!$B$1+((Inputs!$G$5:$G$130&lt;&gt;"moeda")*(Inputs!$G$5:$G$130&lt;&gt;"acoes")))*INDEX(Inputs!$K$5:$AJ$130,0,MATCH(AJ$2,Inputs!$K$4:$AJ$4,0)))+SUMPRODUCT((Inputs!$C$5:$C$130=$B30)*Inputs!$D$5:$D$130*(((Inputs!$G$5:$G$130="moeda")+(Inputs!$G$5:$G$130="acoes"))*Inputs!$B$1+((Inputs!$G$5:$G$130&lt;&gt;"moeda")*(Inputs!$G$5:$G$130&lt;&gt;"acoes")))*INDEX(Inputs!$K$5:$AJ$130,0,MATCH(AJ$2,Inputs!$K$4:$AJ$4,0)))+SUMPRODUCT((Inputs!$E$5:$E$130=$B30)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0" s="6">
        <f>IF(ISNA(MATCH(AK$2,Inputs!$K$4:$AJ$4,0)),NA(),IF(SUMPRODUCT((Inputs!$A$5:$A$130=$B30)*ISNUMBER(INDEX(Inputs!$K$5:$AJ$130,0,MATCH(AK$2,Inputs!$K$4:$AJ$4,0))))+SUMPRODUCT((Inputs!$C$5:$C$130=$B30)*ISNUMBER(INDEX(Inputs!$K$5:$AJ$130,0,MATCH(AK$2,Inputs!$K$4:$AJ$4,0))))+SUMPRODUCT((Inputs!$E$5:$E$130=$B30)*ISNUMBER(INDEX(Inputs!$K$5:$AJ$130,0,MATCH(AK$2,Inputs!$K$4:$AJ$4,0))))=0,NA(),SUMPRODUCT((Inputs!$A$5:$A$130=$B30)*Inputs!$B$5:$B$130*(((Inputs!$G$5:$G$130="moeda")+(Inputs!$G$5:$G$130="acoes"))*Inputs!$B$1+((Inputs!$G$5:$G$130&lt;&gt;"moeda")*(Inputs!$G$5:$G$130&lt;&gt;"acoes")))*INDEX(Inputs!$K$5:$AJ$130,0,MATCH(AK$2,Inputs!$K$4:$AJ$4,0)))+SUMPRODUCT((Inputs!$C$5:$C$130=$B30)*Inputs!$D$5:$D$130*(((Inputs!$G$5:$G$130="moeda")+(Inputs!$G$5:$G$130="acoes"))*Inputs!$B$1+((Inputs!$G$5:$G$130&lt;&gt;"moeda")*(Inputs!$G$5:$G$130&lt;&gt;"acoes")))*INDEX(Inputs!$K$5:$AJ$130,0,MATCH(AK$2,Inputs!$K$4:$AJ$4,0)))+SUMPRODUCT((Inputs!$E$5:$E$130=$B30)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$130=$B31)*ISNUMBER(INDEX(Inputs!$K$5:$AJ$130,0,MATCH(D$2,Inputs!$K$4:$AJ$4,0))))+SUMPRODUCT((Inputs!$C$5:$C$130=$B31)*ISNUMBER(INDEX(Inputs!$K$5:$AJ$130,0,MATCH(D$2,Inputs!$K$4:$AJ$4,0))))+SUMPRODUCT((Inputs!$E$5:$E$130=$B31)*ISNUMBER(INDEX(Inputs!$K$5:$AJ$130,0,MATCH(D$2,Inputs!$K$4:$AJ$4,0))))=0,NA(),SUMPRODUCT((Inputs!$A$5:$A$130=$B31)*Inputs!$B$5:$B$130*(((Inputs!$G$5:$G$130="moeda")+(Inputs!$G$5:$G$130="acoes"))*Inputs!$B$1+((Inputs!$G$5:$G$130&lt;&gt;"moeda")*(Inputs!$G$5:$G$130&lt;&gt;"acoes")))*INDEX(Inputs!$K$5:$AJ$130,0,MATCH(D$2,Inputs!$K$4:$AJ$4,0)))+SUMPRODUCT((Inputs!$C$5:$C$130=$B31)*Inputs!$D$5:$D$130*(((Inputs!$G$5:$G$130="moeda")+(Inputs!$G$5:$G$130="acoes"))*Inputs!$B$1+((Inputs!$G$5:$G$130&lt;&gt;"moeda")*(Inputs!$G$5:$G$130&lt;&gt;"acoes")))*INDEX(Inputs!$K$5:$AJ$130,0,MATCH(D$2,Inputs!$K$4:$AJ$4,0)))+SUMPRODUCT((Inputs!$E$5:$E$130=$B31)*Inputs!$F$5:$F$130*(((Inputs!$G$5:$G$130="moeda")+(Inputs!$G$5:$G$130="acoes"))*Inputs!$B$1+((Inputs!$G$5:$G$130&lt;&gt;"moeda")*(Inputs!$G$5:$G$130&lt;&gt;"acoes")))*INDEX(Inputs!$K$5:$AJ$130,0,MATCH(D$2,Inputs!$K$4:$AJ$4,0)))))</f>
        <v>30004</v>
      </c>
      <c r="E31" s="6">
        <f>IF(ISNA(MATCH(E$2,Inputs!$K$4:$AJ$4,0)),NA(),IF(SUMPRODUCT((Inputs!$A$5:$A$130=$B31)*ISNUMBER(INDEX(Inputs!$K$5:$AJ$130,0,MATCH(E$2,Inputs!$K$4:$AJ$4,0))))+SUMPRODUCT((Inputs!$C$5:$C$130=$B31)*ISNUMBER(INDEX(Inputs!$K$5:$AJ$130,0,MATCH(E$2,Inputs!$K$4:$AJ$4,0))))+SUMPRODUCT((Inputs!$E$5:$E$130=$B31)*ISNUMBER(INDEX(Inputs!$K$5:$AJ$130,0,MATCH(E$2,Inputs!$K$4:$AJ$4,0))))=0,NA(),SUMPRODUCT((Inputs!$A$5:$A$130=$B31)*Inputs!$B$5:$B$130*(((Inputs!$G$5:$G$130="moeda")+(Inputs!$G$5:$G$130="acoes"))*Inputs!$B$1+((Inputs!$G$5:$G$130&lt;&gt;"moeda")*(Inputs!$G$5:$G$130&lt;&gt;"acoes")))*INDEX(Inputs!$K$5:$AJ$130,0,MATCH(E$2,Inputs!$K$4:$AJ$4,0)))+SUMPRODUCT((Inputs!$C$5:$C$130=$B31)*Inputs!$D$5:$D$130*(((Inputs!$G$5:$G$130="moeda")+(Inputs!$G$5:$G$130="acoes"))*Inputs!$B$1+((Inputs!$G$5:$G$130&lt;&gt;"moeda")*(Inputs!$G$5:$G$130&lt;&gt;"acoes")))*INDEX(Inputs!$K$5:$AJ$130,0,MATCH(E$2,Inputs!$K$4:$AJ$4,0)))+SUMPRODUCT((Inputs!$E$5:$E$130=$B31)*Inputs!$F$5:$F$130*(((Inputs!$G$5:$G$130="moeda")+(Inputs!$G$5:$G$130="acoes"))*Inputs!$B$1+((Inputs!$G$5:$G$130&lt;&gt;"moeda")*(Inputs!$G$5:$G$130&lt;&gt;"acoes")))*INDEX(Inputs!$K$5:$AJ$130,0,MATCH(E$2,Inputs!$K$4:$AJ$4,0)))))</f>
        <v>21756</v>
      </c>
      <c r="F31" s="6">
        <f>IF(ISNA(MATCH(F$2,Inputs!$K$4:$AJ$4,0)),NA(),IF(SUMPRODUCT((Inputs!$A$5:$A$130=$B31)*ISNUMBER(INDEX(Inputs!$K$5:$AJ$130,0,MATCH(F$2,Inputs!$K$4:$AJ$4,0))))+SUMPRODUCT((Inputs!$C$5:$C$130=$B31)*ISNUMBER(INDEX(Inputs!$K$5:$AJ$130,0,MATCH(F$2,Inputs!$K$4:$AJ$4,0))))+SUMPRODUCT((Inputs!$E$5:$E$130=$B31)*ISNUMBER(INDEX(Inputs!$K$5:$AJ$130,0,MATCH(F$2,Inputs!$K$4:$AJ$4,0))))=0,NA(),SUMPRODUCT((Inputs!$A$5:$A$130=$B31)*Inputs!$B$5:$B$130*(((Inputs!$G$5:$G$130="moeda")+(Inputs!$G$5:$G$130="acoes"))*Inputs!$B$1+((Inputs!$G$5:$G$130&lt;&gt;"moeda")*(Inputs!$G$5:$G$130&lt;&gt;"acoes")))*INDEX(Inputs!$K$5:$AJ$130,0,MATCH(F$2,Inputs!$K$4:$AJ$4,0)))+SUMPRODUCT((Inputs!$C$5:$C$130=$B31)*Inputs!$D$5:$D$130*(((Inputs!$G$5:$G$130="moeda")+(Inputs!$G$5:$G$130="acoes"))*Inputs!$B$1+((Inputs!$G$5:$G$130&lt;&gt;"moeda")*(Inputs!$G$5:$G$130&lt;&gt;"acoes")))*INDEX(Inputs!$K$5:$AJ$130,0,MATCH(F$2,Inputs!$K$4:$AJ$4,0)))+SUMPRODUCT((Inputs!$E$5:$E$130=$B31)*Inputs!$F$5:$F$130*(((Inputs!$G$5:$G$130="moeda")+(Inputs!$G$5:$G$130="acoes"))*Inputs!$B$1+((Inputs!$G$5:$G$130&lt;&gt;"moeda")*(Inputs!$G$5:$G$130&lt;&gt;"acoes")))*INDEX(Inputs!$K$5:$AJ$130,0,MATCH(F$2,Inputs!$K$4:$AJ$4,0)))))</f>
        <v>21297</v>
      </c>
      <c r="G31" s="6">
        <f>IF(ISNA(MATCH(G$2,Inputs!$K$4:$AJ$4,0)),NA(),IF(SUMPRODUCT((Inputs!$A$5:$A$130=$B31)*ISNUMBER(INDEX(Inputs!$K$5:$AJ$130,0,MATCH(G$2,Inputs!$K$4:$AJ$4,0))))+SUMPRODUCT((Inputs!$C$5:$C$130=$B31)*ISNUMBER(INDEX(Inputs!$K$5:$AJ$130,0,MATCH(G$2,Inputs!$K$4:$AJ$4,0))))+SUMPRODUCT((Inputs!$E$5:$E$130=$B31)*ISNUMBER(INDEX(Inputs!$K$5:$AJ$130,0,MATCH(G$2,Inputs!$K$4:$AJ$4,0))))=0,NA(),SUMPRODUCT((Inputs!$A$5:$A$130=$B31)*Inputs!$B$5:$B$130*(((Inputs!$G$5:$G$130="moeda")+(Inputs!$G$5:$G$130="acoes"))*Inputs!$B$1+((Inputs!$G$5:$G$130&lt;&gt;"moeda")*(Inputs!$G$5:$G$130&lt;&gt;"acoes")))*INDEX(Inputs!$K$5:$AJ$130,0,MATCH(G$2,Inputs!$K$4:$AJ$4,0)))+SUMPRODUCT((Inputs!$C$5:$C$130=$B31)*Inputs!$D$5:$D$130*(((Inputs!$G$5:$G$130="moeda")+(Inputs!$G$5:$G$130="acoes"))*Inputs!$B$1+((Inputs!$G$5:$G$130&lt;&gt;"moeda")*(Inputs!$G$5:$G$130&lt;&gt;"acoes")))*INDEX(Inputs!$K$5:$AJ$130,0,MATCH(G$2,Inputs!$K$4:$AJ$4,0)))+SUMPRODUCT((Inputs!$E$5:$E$130=$B31)*Inputs!$F$5:$F$130*(((Inputs!$G$5:$G$130="moeda")+(Inputs!$G$5:$G$130="acoes"))*Inputs!$B$1+((Inputs!$G$5:$G$130&lt;&gt;"moeda")*(Inputs!$G$5:$G$130&lt;&gt;"acoes")))*INDEX(Inputs!$K$5:$AJ$130,0,MATCH(G$2,Inputs!$K$4:$AJ$4,0)))))</f>
        <v>17422</v>
      </c>
      <c r="H31" s="3">
        <f>G31</f>
        <v>17422</v>
      </c>
      <c r="I31" s="6">
        <f>IF(ISNA(MATCH(I$2,Inputs!$K$4:$AJ$4,0)),NA(),IF(SUMPRODUCT((Inputs!$A$5:$A$130=$B31)*ISNUMBER(INDEX(Inputs!$K$5:$AJ$130,0,MATCH(I$2,Inputs!$K$4:$AJ$4,0))))+SUMPRODUCT((Inputs!$C$5:$C$130=$B31)*ISNUMBER(INDEX(Inputs!$K$5:$AJ$130,0,MATCH(I$2,Inputs!$K$4:$AJ$4,0))))+SUMPRODUCT((Inputs!$E$5:$E$130=$B31)*ISNUMBER(INDEX(Inputs!$K$5:$AJ$130,0,MATCH(I$2,Inputs!$K$4:$AJ$4,0))))=0,NA(),SUMPRODUCT((Inputs!$A$5:$A$130=$B31)*Inputs!$B$5:$B$130*(((Inputs!$G$5:$G$130="moeda")+(Inputs!$G$5:$G$130="acoes"))*Inputs!$B$1+((Inputs!$G$5:$G$130&lt;&gt;"moeda")*(Inputs!$G$5:$G$130&lt;&gt;"acoes")))*INDEX(Inputs!$K$5:$AJ$130,0,MATCH(I$2,Inputs!$K$4:$AJ$4,0)))+SUMPRODUCT((Inputs!$C$5:$C$130=$B31)*Inputs!$D$5:$D$130*(((Inputs!$G$5:$G$130="moeda")+(Inputs!$G$5:$G$130="acoes"))*Inputs!$B$1+((Inputs!$G$5:$G$130&lt;&gt;"moeda")*(Inputs!$G$5:$G$130&lt;&gt;"acoes")))*INDEX(Inputs!$K$5:$AJ$130,0,MATCH(I$2,Inputs!$K$4:$AJ$4,0)))+SUMPRODUCT((Inputs!$E$5:$E$130=$B31)*Inputs!$F$5:$F$130*(((Inputs!$G$5:$G$130="moeda")+(Inputs!$G$5:$G$130="acoes"))*Inputs!$B$1+((Inputs!$G$5:$G$130&lt;&gt;"moeda")*(Inputs!$G$5:$G$130&lt;&gt;"acoes")))*INDEX(Inputs!$K$5:$AJ$130,0,MATCH(I$2,Inputs!$K$4:$AJ$4,0)))))</f>
        <v>19649</v>
      </c>
      <c r="J31" s="6">
        <f>IF(ISNA(MATCH(J$2,Inputs!$K$4:$AJ$4,0)),NA(),IF(SUMPRODUCT((Inputs!$A$5:$A$130=$B31)*ISNUMBER(INDEX(Inputs!$K$5:$AJ$130,0,MATCH(J$2,Inputs!$K$4:$AJ$4,0))))+SUMPRODUCT((Inputs!$C$5:$C$130=$B31)*ISNUMBER(INDEX(Inputs!$K$5:$AJ$130,0,MATCH(J$2,Inputs!$K$4:$AJ$4,0))))+SUMPRODUCT((Inputs!$E$5:$E$130=$B31)*ISNUMBER(INDEX(Inputs!$K$5:$AJ$130,0,MATCH(J$2,Inputs!$K$4:$AJ$4,0))))=0,NA(),SUMPRODUCT((Inputs!$A$5:$A$130=$B31)*Inputs!$B$5:$B$130*(((Inputs!$G$5:$G$130="moeda")+(Inputs!$G$5:$G$130="acoes"))*Inputs!$B$1+((Inputs!$G$5:$G$130&lt;&gt;"moeda")*(Inputs!$G$5:$G$130&lt;&gt;"acoes")))*INDEX(Inputs!$K$5:$AJ$130,0,MATCH(J$2,Inputs!$K$4:$AJ$4,0)))+SUMPRODUCT((Inputs!$C$5:$C$130=$B31)*Inputs!$D$5:$D$130*(((Inputs!$G$5:$G$130="moeda")+(Inputs!$G$5:$G$130="acoes"))*Inputs!$B$1+((Inputs!$G$5:$G$130&lt;&gt;"moeda")*(Inputs!$G$5:$G$130&lt;&gt;"acoes")))*INDEX(Inputs!$K$5:$AJ$130,0,MATCH(J$2,Inputs!$K$4:$AJ$4,0)))+SUMPRODUCT((Inputs!$E$5:$E$130=$B31)*Inputs!$F$5:$F$130*(((Inputs!$G$5:$G$130="moeda")+(Inputs!$G$5:$G$130="acoes"))*Inputs!$B$1+((Inputs!$G$5:$G$130&lt;&gt;"moeda")*(Inputs!$G$5:$G$130&lt;&gt;"acoes")))*INDEX(Inputs!$K$5:$AJ$130,0,MATCH(J$2,Inputs!$K$4:$AJ$4,0)))))</f>
        <v>52949</v>
      </c>
      <c r="K31" s="6">
        <f>IF(ISNA(MATCH(K$2,Inputs!$K$4:$AJ$4,0)),NA(),IF(SUMPRODUCT((Inputs!$A$5:$A$130=$B31)*ISNUMBER(INDEX(Inputs!$K$5:$AJ$130,0,MATCH(K$2,Inputs!$K$4:$AJ$4,0))))+SUMPRODUCT((Inputs!$C$5:$C$130=$B31)*ISNUMBER(INDEX(Inputs!$K$5:$AJ$130,0,MATCH(K$2,Inputs!$K$4:$AJ$4,0))))+SUMPRODUCT((Inputs!$E$5:$E$130=$B31)*ISNUMBER(INDEX(Inputs!$K$5:$AJ$130,0,MATCH(K$2,Inputs!$K$4:$AJ$4,0))))=0,NA(),SUMPRODUCT((Inputs!$A$5:$A$130=$B31)*Inputs!$B$5:$B$130*(((Inputs!$G$5:$G$130="moeda")+(Inputs!$G$5:$G$130="acoes"))*Inputs!$B$1+((Inputs!$G$5:$G$130&lt;&gt;"moeda")*(Inputs!$G$5:$G$130&lt;&gt;"acoes")))*INDEX(Inputs!$K$5:$AJ$130,0,MATCH(K$2,Inputs!$K$4:$AJ$4,0)))+SUMPRODUCT((Inputs!$C$5:$C$130=$B31)*Inputs!$D$5:$D$130*(((Inputs!$G$5:$G$130="moeda")+(Inputs!$G$5:$G$130="acoes"))*Inputs!$B$1+((Inputs!$G$5:$G$130&lt;&gt;"moeda")*(Inputs!$G$5:$G$130&lt;&gt;"acoes")))*INDEX(Inputs!$K$5:$AJ$130,0,MATCH(K$2,Inputs!$K$4:$AJ$4,0)))+SUMPRODUCT((Inputs!$E$5:$E$130=$B31)*Inputs!$F$5:$F$130*(((Inputs!$G$5:$G$130="moeda")+(Inputs!$G$5:$G$130="acoes"))*Inputs!$B$1+((Inputs!$G$5:$G$130&lt;&gt;"moeda")*(Inputs!$G$5:$G$130&lt;&gt;"acoes")))*INDEX(Inputs!$K$5:$AJ$130,0,MATCH(K$2,Inputs!$K$4:$AJ$4,0)))))</f>
        <v>56586</v>
      </c>
      <c r="L31" s="6">
        <f>IF(ISNA(MATCH(L$2,Inputs!$K$4:$AJ$4,0)),NA(),IF(SUMPRODUCT((Inputs!$A$5:$A$130=$B31)*ISNUMBER(INDEX(Inputs!$K$5:$AJ$130,0,MATCH(L$2,Inputs!$K$4:$AJ$4,0))))+SUMPRODUCT((Inputs!$C$5:$C$130=$B31)*ISNUMBER(INDEX(Inputs!$K$5:$AJ$130,0,MATCH(L$2,Inputs!$K$4:$AJ$4,0))))+SUMPRODUCT((Inputs!$E$5:$E$130=$B31)*ISNUMBER(INDEX(Inputs!$K$5:$AJ$130,0,MATCH(L$2,Inputs!$K$4:$AJ$4,0))))=0,NA(),SUMPRODUCT((Inputs!$A$5:$A$130=$B31)*Inputs!$B$5:$B$130*(((Inputs!$G$5:$G$130="moeda")+(Inputs!$G$5:$G$130="acoes"))*Inputs!$B$1+((Inputs!$G$5:$G$130&lt;&gt;"moeda")*(Inputs!$G$5:$G$130&lt;&gt;"acoes")))*INDEX(Inputs!$K$5:$AJ$130,0,MATCH(L$2,Inputs!$K$4:$AJ$4,0)))+SUMPRODUCT((Inputs!$C$5:$C$130=$B31)*Inputs!$D$5:$D$130*(((Inputs!$G$5:$G$130="moeda")+(Inputs!$G$5:$G$130="acoes"))*Inputs!$B$1+((Inputs!$G$5:$G$130&lt;&gt;"moeda")*(Inputs!$G$5:$G$130&lt;&gt;"acoes")))*INDEX(Inputs!$K$5:$AJ$130,0,MATCH(L$2,Inputs!$K$4:$AJ$4,0)))+SUMPRODUCT((Inputs!$E$5:$E$130=$B31)*Inputs!$F$5:$F$130*(((Inputs!$G$5:$G$130="moeda")+(Inputs!$G$5:$G$130="acoes"))*Inputs!$B$1+((Inputs!$G$5:$G$130&lt;&gt;"moeda")*(Inputs!$G$5:$G$130&lt;&gt;"acoes")))*INDEX(Inputs!$K$5:$AJ$130,0,MATCH(L$2,Inputs!$K$4:$AJ$4,0)))))</f>
        <v>55536</v>
      </c>
      <c r="M31" s="3">
        <f>L31</f>
        <v>55536</v>
      </c>
      <c r="N31" s="6">
        <f>IF(ISNA(MATCH(N$2,Inputs!$K$4:$AJ$4,0)),NA(),IF(SUMPRODUCT((Inputs!$A$5:$A$130=$B31)*ISNUMBER(INDEX(Inputs!$K$5:$AJ$130,0,MATCH(N$2,Inputs!$K$4:$AJ$4,0))))+SUMPRODUCT((Inputs!$C$5:$C$130=$B31)*ISNUMBER(INDEX(Inputs!$K$5:$AJ$130,0,MATCH(N$2,Inputs!$K$4:$AJ$4,0))))+SUMPRODUCT((Inputs!$E$5:$E$130=$B31)*ISNUMBER(INDEX(Inputs!$K$5:$AJ$130,0,MATCH(N$2,Inputs!$K$4:$AJ$4,0))))=0,NA(),SUMPRODUCT((Inputs!$A$5:$A$130=$B31)*Inputs!$B$5:$B$130*(((Inputs!$G$5:$G$130="moeda")+(Inputs!$G$5:$G$130="acoes"))*Inputs!$B$1+((Inputs!$G$5:$G$130&lt;&gt;"moeda")*(Inputs!$G$5:$G$130&lt;&gt;"acoes")))*INDEX(Inputs!$K$5:$AJ$130,0,MATCH(N$2,Inputs!$K$4:$AJ$4,0)))+SUMPRODUCT((Inputs!$C$5:$C$130=$B31)*Inputs!$D$5:$D$130*(((Inputs!$G$5:$G$130="moeda")+(Inputs!$G$5:$G$130="acoes"))*Inputs!$B$1+((Inputs!$G$5:$G$130&lt;&gt;"moeda")*(Inputs!$G$5:$G$130&lt;&gt;"acoes")))*INDEX(Inputs!$K$5:$AJ$130,0,MATCH(N$2,Inputs!$K$4:$AJ$4,0)))+SUMPRODUCT((Inputs!$E$5:$E$130=$B31)*Inputs!$F$5:$F$130*(((Inputs!$G$5:$G$130="moeda")+(Inputs!$G$5:$G$130="acoes"))*Inputs!$B$1+((Inputs!$G$5:$G$130&lt;&gt;"moeda")*(Inputs!$G$5:$G$130&lt;&gt;"acoes")))*INDEX(Inputs!$K$5:$AJ$130,0,MATCH(N$2,Inputs!$K$4:$AJ$4,0)))))</f>
        <v>58226</v>
      </c>
      <c r="O31" s="6">
        <f>IF(ISNA(MATCH(O$2,Inputs!$K$4:$AJ$4,0)),NA(),IF(SUMPRODUCT((Inputs!$A$5:$A$130=$B31)*ISNUMBER(INDEX(Inputs!$K$5:$AJ$130,0,MATCH(O$2,Inputs!$K$4:$AJ$4,0))))+SUMPRODUCT((Inputs!$C$5:$C$130=$B31)*ISNUMBER(INDEX(Inputs!$K$5:$AJ$130,0,MATCH(O$2,Inputs!$K$4:$AJ$4,0))))+SUMPRODUCT((Inputs!$E$5:$E$130=$B31)*ISNUMBER(INDEX(Inputs!$K$5:$AJ$130,0,MATCH(O$2,Inputs!$K$4:$AJ$4,0))))=0,NA(),SUMPRODUCT((Inputs!$A$5:$A$130=$B31)*Inputs!$B$5:$B$130*(((Inputs!$G$5:$G$130="moeda")+(Inputs!$G$5:$G$130="acoes"))*Inputs!$B$1+((Inputs!$G$5:$G$130&lt;&gt;"moeda")*(Inputs!$G$5:$G$130&lt;&gt;"acoes")))*INDEX(Inputs!$K$5:$AJ$130,0,MATCH(O$2,Inputs!$K$4:$AJ$4,0)))+SUMPRODUCT((Inputs!$C$5:$C$130=$B31)*Inputs!$D$5:$D$130*(((Inputs!$G$5:$G$130="moeda")+(Inputs!$G$5:$G$130="acoes"))*Inputs!$B$1+((Inputs!$G$5:$G$130&lt;&gt;"moeda")*(Inputs!$G$5:$G$130&lt;&gt;"acoes")))*INDEX(Inputs!$K$5:$AJ$130,0,MATCH(O$2,Inputs!$K$4:$AJ$4,0)))+SUMPRODUCT((Inputs!$E$5:$E$130=$B31)*Inputs!$F$5:$F$130*(((Inputs!$G$5:$G$130="moeda")+(Inputs!$G$5:$G$130="acoes"))*Inputs!$B$1+((Inputs!$G$5:$G$130&lt;&gt;"moeda")*(Inputs!$G$5:$G$130&lt;&gt;"acoes")))*INDEX(Inputs!$K$5:$AJ$130,0,MATCH(O$2,Inputs!$K$4:$AJ$4,0)))))</f>
        <v>62596</v>
      </c>
      <c r="P31" s="6">
        <f>IF(ISNA(MATCH(P$2,Inputs!$K$4:$AJ$4,0)),NA(),IF(SUMPRODUCT((Inputs!$A$5:$A$130=$B31)*ISNUMBER(INDEX(Inputs!$K$5:$AJ$130,0,MATCH(P$2,Inputs!$K$4:$AJ$4,0))))+SUMPRODUCT((Inputs!$C$5:$C$130=$B31)*ISNUMBER(INDEX(Inputs!$K$5:$AJ$130,0,MATCH(P$2,Inputs!$K$4:$AJ$4,0))))+SUMPRODUCT((Inputs!$E$5:$E$130=$B31)*ISNUMBER(INDEX(Inputs!$K$5:$AJ$130,0,MATCH(P$2,Inputs!$K$4:$AJ$4,0))))=0,NA(),SUMPRODUCT((Inputs!$A$5:$A$130=$B31)*Inputs!$B$5:$B$130*(((Inputs!$G$5:$G$130="moeda")+(Inputs!$G$5:$G$130="acoes"))*Inputs!$B$1+((Inputs!$G$5:$G$130&lt;&gt;"moeda")*(Inputs!$G$5:$G$130&lt;&gt;"acoes")))*INDEX(Inputs!$K$5:$AJ$130,0,MATCH(P$2,Inputs!$K$4:$AJ$4,0)))+SUMPRODUCT((Inputs!$C$5:$C$130=$B31)*Inputs!$D$5:$D$130*(((Inputs!$G$5:$G$130="moeda")+(Inputs!$G$5:$G$130="acoes"))*Inputs!$B$1+((Inputs!$G$5:$G$130&lt;&gt;"moeda")*(Inputs!$G$5:$G$130&lt;&gt;"acoes")))*INDEX(Inputs!$K$5:$AJ$130,0,MATCH(P$2,Inputs!$K$4:$AJ$4,0)))+SUMPRODUCT((Inputs!$E$5:$E$130=$B31)*Inputs!$F$5:$F$130*(((Inputs!$G$5:$G$130="moeda")+(Inputs!$G$5:$G$130="acoes"))*Inputs!$B$1+((Inputs!$G$5:$G$130&lt;&gt;"moeda")*(Inputs!$G$5:$G$130&lt;&gt;"acoes")))*INDEX(Inputs!$K$5:$AJ$130,0,MATCH(P$2,Inputs!$K$4:$AJ$4,0)))))</f>
        <v>63742</v>
      </c>
      <c r="Q31" s="6">
        <f>IF(ISNA(MATCH(Q$2,Inputs!$K$4:$AJ$4,0)),NA(),IF(SUMPRODUCT((Inputs!$A$5:$A$130=$B31)*ISNUMBER(INDEX(Inputs!$K$5:$AJ$130,0,MATCH(Q$2,Inputs!$K$4:$AJ$4,0))))+SUMPRODUCT((Inputs!$C$5:$C$130=$B31)*ISNUMBER(INDEX(Inputs!$K$5:$AJ$130,0,MATCH(Q$2,Inputs!$K$4:$AJ$4,0))))+SUMPRODUCT((Inputs!$E$5:$E$130=$B31)*ISNUMBER(INDEX(Inputs!$K$5:$AJ$130,0,MATCH(Q$2,Inputs!$K$4:$AJ$4,0))))=0,NA(),SUMPRODUCT((Inputs!$A$5:$A$130=$B31)*Inputs!$B$5:$B$130*(((Inputs!$G$5:$G$130="moeda")+(Inputs!$G$5:$G$130="acoes"))*Inputs!$B$1+((Inputs!$G$5:$G$130&lt;&gt;"moeda")*(Inputs!$G$5:$G$130&lt;&gt;"acoes")))*INDEX(Inputs!$K$5:$AJ$130,0,MATCH(Q$2,Inputs!$K$4:$AJ$4,0)))+SUMPRODUCT((Inputs!$C$5:$C$130=$B31)*Inputs!$D$5:$D$130*(((Inputs!$G$5:$G$130="moeda")+(Inputs!$G$5:$G$130="acoes"))*Inputs!$B$1+((Inputs!$G$5:$G$130&lt;&gt;"moeda")*(Inputs!$G$5:$G$130&lt;&gt;"acoes")))*INDEX(Inputs!$K$5:$AJ$130,0,MATCH(Q$2,Inputs!$K$4:$AJ$4,0)))+SUMPRODUCT((Inputs!$E$5:$E$130=$B31)*Inputs!$F$5:$F$130*(((Inputs!$G$5:$G$130="moeda")+(Inputs!$G$5:$G$130="acoes"))*Inputs!$B$1+((Inputs!$G$5:$G$130&lt;&gt;"moeda")*(Inputs!$G$5:$G$130&lt;&gt;"acoes")))*INDEX(Inputs!$K$5:$AJ$130,0,MATCH(Q$2,Inputs!$K$4:$AJ$4,0)))))</f>
        <v>61525</v>
      </c>
      <c r="R31" s="3">
        <f>Q31</f>
        <v>61525</v>
      </c>
      <c r="S31" s="6">
        <f>IF(ISNA(MATCH(S$2,Inputs!$K$4:$AJ$4,0)),NA(),IF(SUMPRODUCT((Inputs!$A$5:$A$130=$B31)*ISNUMBER(INDEX(Inputs!$K$5:$AJ$130,0,MATCH(S$2,Inputs!$K$4:$AJ$4,0))))+SUMPRODUCT((Inputs!$C$5:$C$130=$B31)*ISNUMBER(INDEX(Inputs!$K$5:$AJ$130,0,MATCH(S$2,Inputs!$K$4:$AJ$4,0))))+SUMPRODUCT((Inputs!$E$5:$E$130=$B31)*ISNUMBER(INDEX(Inputs!$K$5:$AJ$130,0,MATCH(S$2,Inputs!$K$4:$AJ$4,0))))=0,NA(),SUMPRODUCT((Inputs!$A$5:$A$130=$B31)*Inputs!$B$5:$B$130*(((Inputs!$G$5:$G$130="moeda")+(Inputs!$G$5:$G$130="acoes"))*Inputs!$B$1+((Inputs!$G$5:$G$130&lt;&gt;"moeda")*(Inputs!$G$5:$G$130&lt;&gt;"acoes")))*INDEX(Inputs!$K$5:$AJ$130,0,MATCH(S$2,Inputs!$K$4:$AJ$4,0)))+SUMPRODUCT((Inputs!$C$5:$C$130=$B31)*Inputs!$D$5:$D$130*(((Inputs!$G$5:$G$130="moeda")+(Inputs!$G$5:$G$130="acoes"))*Inputs!$B$1+((Inputs!$G$5:$G$130&lt;&gt;"moeda")*(Inputs!$G$5:$G$130&lt;&gt;"acoes")))*INDEX(Inputs!$K$5:$AJ$130,0,MATCH(S$2,Inputs!$K$4:$AJ$4,0)))+SUMPRODUCT((Inputs!$E$5:$E$130=$B31)*Inputs!$F$5:$F$130*(((Inputs!$G$5:$G$130="moeda")+(Inputs!$G$5:$G$130="acoes"))*Inputs!$B$1+((Inputs!$G$5:$G$130&lt;&gt;"moeda")*(Inputs!$G$5:$G$130&lt;&gt;"acoes")))*INDEX(Inputs!$K$5:$AJ$130,0,MATCH(S$2,Inputs!$K$4:$AJ$4,0)))))</f>
        <v>64652</v>
      </c>
      <c r="T31" s="6">
        <f>IF(ISNA(MATCH(T$2,Inputs!$K$4:$AJ$4,0)),NA(),IF(SUMPRODUCT((Inputs!$A$5:$A$130=$B31)*ISNUMBER(INDEX(Inputs!$K$5:$AJ$130,0,MATCH(T$2,Inputs!$K$4:$AJ$4,0))))+SUMPRODUCT((Inputs!$C$5:$C$130=$B31)*ISNUMBER(INDEX(Inputs!$K$5:$AJ$130,0,MATCH(T$2,Inputs!$K$4:$AJ$4,0))))+SUMPRODUCT((Inputs!$E$5:$E$130=$B31)*ISNUMBER(INDEX(Inputs!$K$5:$AJ$130,0,MATCH(T$2,Inputs!$K$4:$AJ$4,0))))=0,NA(),SUMPRODUCT((Inputs!$A$5:$A$130=$B31)*Inputs!$B$5:$B$130*(((Inputs!$G$5:$G$130="moeda")+(Inputs!$G$5:$G$130="acoes"))*Inputs!$B$1+((Inputs!$G$5:$G$130&lt;&gt;"moeda")*(Inputs!$G$5:$G$130&lt;&gt;"acoes")))*INDEX(Inputs!$K$5:$AJ$130,0,MATCH(T$2,Inputs!$K$4:$AJ$4,0)))+SUMPRODUCT((Inputs!$C$5:$C$130=$B31)*Inputs!$D$5:$D$130*(((Inputs!$G$5:$G$130="moeda")+(Inputs!$G$5:$G$130="acoes"))*Inputs!$B$1+((Inputs!$G$5:$G$130&lt;&gt;"moeda")*(Inputs!$G$5:$G$130&lt;&gt;"acoes")))*INDEX(Inputs!$K$5:$AJ$130,0,MATCH(T$2,Inputs!$K$4:$AJ$4,0)))+SUMPRODUCT((Inputs!$E$5:$E$130=$B31)*Inputs!$F$5:$F$130*(((Inputs!$G$5:$G$130="moeda")+(Inputs!$G$5:$G$130="acoes"))*Inputs!$B$1+((Inputs!$G$5:$G$130&lt;&gt;"moeda")*(Inputs!$G$5:$G$130&lt;&gt;"acoes")))*INDEX(Inputs!$K$5:$AJ$130,0,MATCH(T$2,Inputs!$K$4:$AJ$4,0)))))</f>
        <v>68917</v>
      </c>
      <c r="U31" s="6">
        <f>IF(ISNA(MATCH(U$2,Inputs!$K$4:$AJ$4,0)),NA(),IF(SUMPRODUCT((Inputs!$A$5:$A$130=$B31)*ISNUMBER(INDEX(Inputs!$K$5:$AJ$130,0,MATCH(U$2,Inputs!$K$4:$AJ$4,0))))+SUMPRODUCT((Inputs!$C$5:$C$130=$B31)*ISNUMBER(INDEX(Inputs!$K$5:$AJ$130,0,MATCH(U$2,Inputs!$K$4:$AJ$4,0))))+SUMPRODUCT((Inputs!$E$5:$E$130=$B31)*ISNUMBER(INDEX(Inputs!$K$5:$AJ$130,0,MATCH(U$2,Inputs!$K$4:$AJ$4,0))))=0,NA(),SUMPRODUCT((Inputs!$A$5:$A$130=$B31)*Inputs!$B$5:$B$130*(((Inputs!$G$5:$G$130="moeda")+(Inputs!$G$5:$G$130="acoes"))*Inputs!$B$1+((Inputs!$G$5:$G$130&lt;&gt;"moeda")*(Inputs!$G$5:$G$130&lt;&gt;"acoes")))*INDEX(Inputs!$K$5:$AJ$130,0,MATCH(U$2,Inputs!$K$4:$AJ$4,0)))+SUMPRODUCT((Inputs!$C$5:$C$130=$B31)*Inputs!$D$5:$D$130*(((Inputs!$G$5:$G$130="moeda")+(Inputs!$G$5:$G$130="acoes"))*Inputs!$B$1+((Inputs!$G$5:$G$130&lt;&gt;"moeda")*(Inputs!$G$5:$G$130&lt;&gt;"acoes")))*INDEX(Inputs!$K$5:$AJ$130,0,MATCH(U$2,Inputs!$K$4:$AJ$4,0)))+SUMPRODUCT((Inputs!$E$5:$E$130=$B31)*Inputs!$F$5:$F$130*(((Inputs!$G$5:$G$130="moeda")+(Inputs!$G$5:$G$130="acoes"))*Inputs!$B$1+((Inputs!$G$5:$G$130&lt;&gt;"moeda")*(Inputs!$G$5:$G$130&lt;&gt;"acoes")))*INDEX(Inputs!$K$5:$AJ$130,0,MATCH(U$2,Inputs!$K$4:$AJ$4,0)))))</f>
        <v>70384</v>
      </c>
      <c r="V31" s="6">
        <f>IF(ISNA(MATCH(V$2,Inputs!$K$4:$AJ$4,0)),NA(),IF(SUMPRODUCT((Inputs!$A$5:$A$130=$B31)*ISNUMBER(INDEX(Inputs!$K$5:$AJ$130,0,MATCH(V$2,Inputs!$K$4:$AJ$4,0))))+SUMPRODUCT((Inputs!$C$5:$C$130=$B31)*ISNUMBER(INDEX(Inputs!$K$5:$AJ$130,0,MATCH(V$2,Inputs!$K$4:$AJ$4,0))))+SUMPRODUCT((Inputs!$E$5:$E$130=$B31)*ISNUMBER(INDEX(Inputs!$K$5:$AJ$130,0,MATCH(V$2,Inputs!$K$4:$AJ$4,0))))=0,NA(),SUMPRODUCT((Inputs!$A$5:$A$130=$B31)*Inputs!$B$5:$B$130*(((Inputs!$G$5:$G$130="moeda")+(Inputs!$G$5:$G$130="acoes"))*Inputs!$B$1+((Inputs!$G$5:$G$130&lt;&gt;"moeda")*(Inputs!$G$5:$G$130&lt;&gt;"acoes")))*INDEX(Inputs!$K$5:$AJ$130,0,MATCH(V$2,Inputs!$K$4:$AJ$4,0)))+SUMPRODUCT((Inputs!$C$5:$C$130=$B31)*Inputs!$D$5:$D$130*(((Inputs!$G$5:$G$130="moeda")+(Inputs!$G$5:$G$130="acoes"))*Inputs!$B$1+((Inputs!$G$5:$G$130&lt;&gt;"moeda")*(Inputs!$G$5:$G$130&lt;&gt;"acoes")))*INDEX(Inputs!$K$5:$AJ$130,0,MATCH(V$2,Inputs!$K$4:$AJ$4,0)))+SUMPRODUCT((Inputs!$E$5:$E$130=$B31)*Inputs!$F$5:$F$130*(((Inputs!$G$5:$G$130="moeda")+(Inputs!$G$5:$G$130="acoes"))*Inputs!$B$1+((Inputs!$G$5:$G$130&lt;&gt;"moeda")*(Inputs!$G$5:$G$130&lt;&gt;"acoes")))*INDEX(Inputs!$K$5:$AJ$130,0,MATCH(V$2,Inputs!$K$4:$AJ$4,0)))))</f>
        <v>67296</v>
      </c>
      <c r="W31" s="3">
        <f>V31</f>
        <v>67296</v>
      </c>
      <c r="X31" s="6">
        <f>IF(ISNA(MATCH(X$2,Inputs!$K$4:$AJ$4,0)),NA(),IF(SUMPRODUCT((Inputs!$A$5:$A$130=$B31)*ISNUMBER(INDEX(Inputs!$K$5:$AJ$130,0,MATCH(X$2,Inputs!$K$4:$AJ$4,0))))+SUMPRODUCT((Inputs!$C$5:$C$130=$B31)*ISNUMBER(INDEX(Inputs!$K$5:$AJ$130,0,MATCH(X$2,Inputs!$K$4:$AJ$4,0))))+SUMPRODUCT((Inputs!$E$5:$E$130=$B31)*ISNUMBER(INDEX(Inputs!$K$5:$AJ$130,0,MATCH(X$2,Inputs!$K$4:$AJ$4,0))))=0,NA(),SUMPRODUCT((Inputs!$A$5:$A$130=$B31)*Inputs!$B$5:$B$130*(((Inputs!$G$5:$G$130="moeda")+(Inputs!$G$5:$G$130="acoes"))*Inputs!$B$1+((Inputs!$G$5:$G$130&lt;&gt;"moeda")*(Inputs!$G$5:$G$130&lt;&gt;"acoes")))*INDEX(Inputs!$K$5:$AJ$130,0,MATCH(X$2,Inputs!$K$4:$AJ$4,0)))+SUMPRODUCT((Inputs!$C$5:$C$130=$B31)*Inputs!$D$5:$D$130*(((Inputs!$G$5:$G$130="moeda")+(Inputs!$G$5:$G$130="acoes"))*Inputs!$B$1+((Inputs!$G$5:$G$130&lt;&gt;"moeda")*(Inputs!$G$5:$G$130&lt;&gt;"acoes")))*INDEX(Inputs!$K$5:$AJ$130,0,MATCH(X$2,Inputs!$K$4:$AJ$4,0)))+SUMPRODUCT((Inputs!$E$5:$E$130=$B31)*Inputs!$F$5:$F$130*(((Inputs!$G$5:$G$130="moeda")+(Inputs!$G$5:$G$130="acoes"))*Inputs!$B$1+((Inputs!$G$5:$G$130&lt;&gt;"moeda")*(Inputs!$G$5:$G$130&lt;&gt;"acoes")))*INDEX(Inputs!$K$5:$AJ$130,0,MATCH(X$2,Inputs!$K$4:$AJ$4,0)))))</f>
        <v>65481</v>
      </c>
      <c r="Y31" s="6">
        <f>IF(ISNA(MATCH(Y$2,Inputs!$K$4:$AJ$4,0)),NA(),IF(SUMPRODUCT((Inputs!$A$5:$A$130=$B31)*ISNUMBER(INDEX(Inputs!$K$5:$AJ$130,0,MATCH(Y$2,Inputs!$K$4:$AJ$4,0))))+SUMPRODUCT((Inputs!$C$5:$C$130=$B31)*ISNUMBER(INDEX(Inputs!$K$5:$AJ$130,0,MATCH(Y$2,Inputs!$K$4:$AJ$4,0))))+SUMPRODUCT((Inputs!$E$5:$E$130=$B31)*ISNUMBER(INDEX(Inputs!$K$5:$AJ$130,0,MATCH(Y$2,Inputs!$K$4:$AJ$4,0))))=0,NA(),SUMPRODUCT((Inputs!$A$5:$A$130=$B31)*Inputs!$B$5:$B$130*(((Inputs!$G$5:$G$130="moeda")+(Inputs!$G$5:$G$130="acoes"))*Inputs!$B$1+((Inputs!$G$5:$G$130&lt;&gt;"moeda")*(Inputs!$G$5:$G$130&lt;&gt;"acoes")))*INDEX(Inputs!$K$5:$AJ$130,0,MATCH(Y$2,Inputs!$K$4:$AJ$4,0)))+SUMPRODUCT((Inputs!$C$5:$C$130=$B31)*Inputs!$D$5:$D$130*(((Inputs!$G$5:$G$130="moeda")+(Inputs!$G$5:$G$130="acoes"))*Inputs!$B$1+((Inputs!$G$5:$G$130&lt;&gt;"moeda")*(Inputs!$G$5:$G$130&lt;&gt;"acoes")))*INDEX(Inputs!$K$5:$AJ$130,0,MATCH(Y$2,Inputs!$K$4:$AJ$4,0)))+SUMPRODUCT((Inputs!$E$5:$E$130=$B31)*Inputs!$F$5:$F$130*(((Inputs!$G$5:$G$130="moeda")+(Inputs!$G$5:$G$130="acoes"))*Inputs!$B$1+((Inputs!$G$5:$G$130&lt;&gt;"moeda")*(Inputs!$G$5:$G$130&lt;&gt;"acoes")))*INDEX(Inputs!$K$5:$AJ$130,0,MATCH(Y$2,Inputs!$K$4:$AJ$4,0)))))</f>
        <v>67457</v>
      </c>
      <c r="Z31" s="6">
        <f>IF(ISNA(MATCH(Z$2,Inputs!$K$4:$AJ$4,0)),NA(),IF(SUMPRODUCT((Inputs!$A$5:$A$130=$B31)*ISNUMBER(INDEX(Inputs!$K$5:$AJ$130,0,MATCH(Z$2,Inputs!$K$4:$AJ$4,0))))+SUMPRODUCT((Inputs!$C$5:$C$130=$B31)*ISNUMBER(INDEX(Inputs!$K$5:$AJ$130,0,MATCH(Z$2,Inputs!$K$4:$AJ$4,0))))+SUMPRODUCT((Inputs!$E$5:$E$130=$B31)*ISNUMBER(INDEX(Inputs!$K$5:$AJ$130,0,MATCH(Z$2,Inputs!$K$4:$AJ$4,0))))=0,NA(),SUMPRODUCT((Inputs!$A$5:$A$130=$B31)*Inputs!$B$5:$B$130*(((Inputs!$G$5:$G$130="moeda")+(Inputs!$G$5:$G$130="acoes"))*Inputs!$B$1+((Inputs!$G$5:$G$130&lt;&gt;"moeda")*(Inputs!$G$5:$G$130&lt;&gt;"acoes")))*INDEX(Inputs!$K$5:$AJ$130,0,MATCH(Z$2,Inputs!$K$4:$AJ$4,0)))+SUMPRODUCT((Inputs!$C$5:$C$130=$B31)*Inputs!$D$5:$D$130*(((Inputs!$G$5:$G$130="moeda")+(Inputs!$G$5:$G$130="acoes"))*Inputs!$B$1+((Inputs!$G$5:$G$130&lt;&gt;"moeda")*(Inputs!$G$5:$G$130&lt;&gt;"acoes")))*INDEX(Inputs!$K$5:$AJ$130,0,MATCH(Z$2,Inputs!$K$4:$AJ$4,0)))+SUMPRODUCT((Inputs!$E$5:$E$130=$B31)*Inputs!$F$5:$F$130*(((Inputs!$G$5:$G$130="moeda")+(Inputs!$G$5:$G$130="acoes"))*Inputs!$B$1+((Inputs!$G$5:$G$130&lt;&gt;"moeda")*(Inputs!$G$5:$G$130&lt;&gt;"acoes")))*INDEX(Inputs!$K$5:$AJ$130,0,MATCH(Z$2,Inputs!$K$4:$AJ$4,0)))))</f>
        <v>65759</v>
      </c>
      <c r="AA31" s="6">
        <f>IF(ISNA(MATCH(AA$2,Inputs!$K$4:$AJ$4,0)),NA(),IF(SUMPRODUCT((Inputs!$A$5:$A$130=$B31)*ISNUMBER(INDEX(Inputs!$K$5:$AJ$130,0,MATCH(AA$2,Inputs!$K$4:$AJ$4,0))))+SUMPRODUCT((Inputs!$C$5:$C$130=$B31)*ISNUMBER(INDEX(Inputs!$K$5:$AJ$130,0,MATCH(AA$2,Inputs!$K$4:$AJ$4,0))))+SUMPRODUCT((Inputs!$E$5:$E$130=$B31)*ISNUMBER(INDEX(Inputs!$K$5:$AJ$130,0,MATCH(AA$2,Inputs!$K$4:$AJ$4,0))))=0,NA(),SUMPRODUCT((Inputs!$A$5:$A$130=$B31)*Inputs!$B$5:$B$130*(((Inputs!$G$5:$G$130="moeda")+(Inputs!$G$5:$G$130="acoes"))*Inputs!$B$1+((Inputs!$G$5:$G$130&lt;&gt;"moeda")*(Inputs!$G$5:$G$130&lt;&gt;"acoes")))*INDEX(Inputs!$K$5:$AJ$130,0,MATCH(AA$2,Inputs!$K$4:$AJ$4,0)))+SUMPRODUCT((Inputs!$C$5:$C$130=$B31)*Inputs!$D$5:$D$130*(((Inputs!$G$5:$G$130="moeda")+(Inputs!$G$5:$G$130="acoes"))*Inputs!$B$1+((Inputs!$G$5:$G$130&lt;&gt;"moeda")*(Inputs!$G$5:$G$130&lt;&gt;"acoes")))*INDEX(Inputs!$K$5:$AJ$130,0,MATCH(AA$2,Inputs!$K$4:$AJ$4,0)))+SUMPRODUCT((Inputs!$E$5:$E$130=$B31)*Inputs!$F$5:$F$130*(((Inputs!$G$5:$G$130="moeda")+(Inputs!$G$5:$G$130="acoes"))*Inputs!$B$1+((Inputs!$G$5:$G$130&lt;&gt;"moeda")*(Inputs!$G$5:$G$130&lt;&gt;"acoes")))*INDEX(Inputs!$K$5:$AJ$130,0,MATCH(AA$2,Inputs!$K$4:$AJ$4,0)))))</f>
        <v>62253</v>
      </c>
      <c r="AB31" s="3">
        <f>AA31</f>
        <v>62253</v>
      </c>
      <c r="AC31" s="6">
        <f>IF(ISNA(MATCH(AC$2,Inputs!$K$4:$AJ$4,0)),NA(),IF(SUMPRODUCT((Inputs!$A$5:$A$130=$B31)*ISNUMBER(INDEX(Inputs!$K$5:$AJ$130,0,MATCH(AC$2,Inputs!$K$4:$AJ$4,0))))+SUMPRODUCT((Inputs!$C$5:$C$130=$B31)*ISNUMBER(INDEX(Inputs!$K$5:$AJ$130,0,MATCH(AC$2,Inputs!$K$4:$AJ$4,0))))+SUMPRODUCT((Inputs!$E$5:$E$130=$B31)*ISNUMBER(INDEX(Inputs!$K$5:$AJ$130,0,MATCH(AC$2,Inputs!$K$4:$AJ$4,0))))=0,NA(),SUMPRODUCT((Inputs!$A$5:$A$130=$B31)*Inputs!$B$5:$B$130*(((Inputs!$G$5:$G$130="moeda")+(Inputs!$G$5:$G$130="acoes"))*Inputs!$B$1+((Inputs!$G$5:$G$130&lt;&gt;"moeda")*(Inputs!$G$5:$G$130&lt;&gt;"acoes")))*INDEX(Inputs!$K$5:$AJ$130,0,MATCH(AC$2,Inputs!$K$4:$AJ$4,0)))+SUMPRODUCT((Inputs!$C$5:$C$130=$B31)*Inputs!$D$5:$D$130*(((Inputs!$G$5:$G$130="moeda")+(Inputs!$G$5:$G$130="acoes"))*Inputs!$B$1+((Inputs!$G$5:$G$130&lt;&gt;"moeda")*(Inputs!$G$5:$G$130&lt;&gt;"acoes")))*INDEX(Inputs!$K$5:$AJ$130,0,MATCH(AC$2,Inputs!$K$4:$AJ$4,0)))+SUMPRODUCT((Inputs!$E$5:$E$130=$B31)*Inputs!$F$5:$F$130*(((Inputs!$G$5:$G$130="moeda")+(Inputs!$G$5:$G$130="acoes"))*Inputs!$B$1+((Inputs!$G$5:$G$130&lt;&gt;"moeda")*(Inputs!$G$5:$G$130&lt;&gt;"acoes")))*INDEX(Inputs!$K$5:$AJ$130,0,MATCH(AC$2,Inputs!$K$4:$AJ$4,0)))))</f>
        <v>63487</v>
      </c>
      <c r="AD31" s="6">
        <f>IF(ISNA(MATCH(AD$2,Inputs!$K$4:$AJ$4,0)),NA(),IF(SUMPRODUCT((Inputs!$A$5:$A$130=$B31)*ISNUMBER(INDEX(Inputs!$K$5:$AJ$130,0,MATCH(AD$2,Inputs!$K$4:$AJ$4,0))))+SUMPRODUCT((Inputs!$C$5:$C$130=$B31)*ISNUMBER(INDEX(Inputs!$K$5:$AJ$130,0,MATCH(AD$2,Inputs!$K$4:$AJ$4,0))))+SUMPRODUCT((Inputs!$E$5:$E$130=$B31)*ISNUMBER(INDEX(Inputs!$K$5:$AJ$130,0,MATCH(AD$2,Inputs!$K$4:$AJ$4,0))))=0,NA(),SUMPRODUCT((Inputs!$A$5:$A$130=$B31)*Inputs!$B$5:$B$130*(((Inputs!$G$5:$G$130="moeda")+(Inputs!$G$5:$G$130="acoes"))*Inputs!$B$1+((Inputs!$G$5:$G$130&lt;&gt;"moeda")*(Inputs!$G$5:$G$130&lt;&gt;"acoes")))*INDEX(Inputs!$K$5:$AJ$130,0,MATCH(AD$2,Inputs!$K$4:$AJ$4,0)))+SUMPRODUCT((Inputs!$C$5:$C$130=$B31)*Inputs!$D$5:$D$130*(((Inputs!$G$5:$G$130="moeda")+(Inputs!$G$5:$G$130="acoes"))*Inputs!$B$1+((Inputs!$G$5:$G$130&lt;&gt;"moeda")*(Inputs!$G$5:$G$130&lt;&gt;"acoes")))*INDEX(Inputs!$K$5:$AJ$130,0,MATCH(AD$2,Inputs!$K$4:$AJ$4,0)))+SUMPRODUCT((Inputs!$E$5:$E$130=$B31)*Inputs!$F$5:$F$130*(((Inputs!$G$5:$G$130="moeda")+(Inputs!$G$5:$G$130="acoes"))*Inputs!$B$1+((Inputs!$G$5:$G$130&lt;&gt;"moeda")*(Inputs!$G$5:$G$130&lt;&gt;"acoes")))*INDEX(Inputs!$K$5:$AJ$130,0,MATCH(AD$2,Inputs!$K$4:$AJ$4,0)))))</f>
        <v>62040</v>
      </c>
      <c r="AE31" s="6" t="e">
        <f>IF(ISNA(MATCH(AE$2,Inputs!$K$4:$AJ$4,0)),NA(),IF(SUMPRODUCT((Inputs!$A$5:$A$130=$B31)*ISNUMBER(INDEX(Inputs!$K$5:$AJ$130,0,MATCH(AE$2,Inputs!$K$4:$AJ$4,0))))+SUMPRODUCT((Inputs!$C$5:$C$130=$B31)*ISNUMBER(INDEX(Inputs!$K$5:$AJ$130,0,MATCH(AE$2,Inputs!$K$4:$AJ$4,0))))+SUMPRODUCT((Inputs!$E$5:$E$130=$B31)*ISNUMBER(INDEX(Inputs!$K$5:$AJ$130,0,MATCH(AE$2,Inputs!$K$4:$AJ$4,0))))=0,NA(),SUMPRODUCT((Inputs!$A$5:$A$130=$B31)*Inputs!$B$5:$B$130*(((Inputs!$G$5:$G$130="moeda")+(Inputs!$G$5:$G$130="acoes"))*Inputs!$B$1+((Inputs!$G$5:$G$130&lt;&gt;"moeda")*(Inputs!$G$5:$G$130&lt;&gt;"acoes")))*INDEX(Inputs!$K$5:$AJ$130,0,MATCH(AE$2,Inputs!$K$4:$AJ$4,0)))+SUMPRODUCT((Inputs!$C$5:$C$130=$B31)*Inputs!$D$5:$D$130*(((Inputs!$G$5:$G$130="moeda")+(Inputs!$G$5:$G$130="acoes"))*Inputs!$B$1+((Inputs!$G$5:$G$130&lt;&gt;"moeda")*(Inputs!$G$5:$G$130&lt;&gt;"acoes")))*INDEX(Inputs!$K$5:$AJ$130,0,MATCH(AE$2,Inputs!$K$4:$AJ$4,0)))+SUMPRODUCT((Inputs!$E$5:$E$130=$B31)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1" s="6" t="e">
        <f>IF(ISNA(MATCH(AF$2,Inputs!$K$4:$AJ$4,0)),NA(),IF(SUMPRODUCT((Inputs!$A$5:$A$130=$B31)*ISNUMBER(INDEX(Inputs!$K$5:$AJ$130,0,MATCH(AF$2,Inputs!$K$4:$AJ$4,0))))+SUMPRODUCT((Inputs!$C$5:$C$130=$B31)*ISNUMBER(INDEX(Inputs!$K$5:$AJ$130,0,MATCH(AF$2,Inputs!$K$4:$AJ$4,0))))+SUMPRODUCT((Inputs!$E$5:$E$130=$B31)*ISNUMBER(INDEX(Inputs!$K$5:$AJ$130,0,MATCH(AF$2,Inputs!$K$4:$AJ$4,0))))=0,NA(),SUMPRODUCT((Inputs!$A$5:$A$130=$B31)*Inputs!$B$5:$B$130*(((Inputs!$G$5:$G$130="moeda")+(Inputs!$G$5:$G$130="acoes"))*Inputs!$B$1+((Inputs!$G$5:$G$130&lt;&gt;"moeda")*(Inputs!$G$5:$G$130&lt;&gt;"acoes")))*INDEX(Inputs!$K$5:$AJ$130,0,MATCH(AF$2,Inputs!$K$4:$AJ$4,0)))+SUMPRODUCT((Inputs!$C$5:$C$130=$B31)*Inputs!$D$5:$D$130*(((Inputs!$G$5:$G$130="moeda")+(Inputs!$G$5:$G$130="acoes"))*Inputs!$B$1+((Inputs!$G$5:$G$130&lt;&gt;"moeda")*(Inputs!$G$5:$G$130&lt;&gt;"acoes")))*INDEX(Inputs!$K$5:$AJ$130,0,MATCH(AF$2,Inputs!$K$4:$AJ$4,0)))+SUMPRODUCT((Inputs!$E$5:$E$130=$B31)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1" s="3" t="e">
        <f>AF31</f>
        <v>#N/A</v>
      </c>
      <c r="AH31" s="6">
        <f>IF(ISNA(MATCH(AH$2,Inputs!$K$4:$AJ$4,0)),NA(),IF(SUMPRODUCT((Inputs!$A$5:$A$130=$B31)*ISNUMBER(INDEX(Inputs!$K$5:$AJ$130,0,MATCH(AH$2,Inputs!$K$4:$AJ$4,0))))+SUMPRODUCT((Inputs!$C$5:$C$130=$B31)*ISNUMBER(INDEX(Inputs!$K$5:$AJ$130,0,MATCH(AH$2,Inputs!$K$4:$AJ$4,0))))+SUMPRODUCT((Inputs!$E$5:$E$130=$B31)*ISNUMBER(INDEX(Inputs!$K$5:$AJ$130,0,MATCH(AH$2,Inputs!$K$4:$AJ$4,0))))=0,NA(),SUMPRODUCT((Inputs!$A$5:$A$130=$B31)*Inputs!$B$5:$B$130*(((Inputs!$G$5:$G$130="moeda")+(Inputs!$G$5:$G$130="acoes"))*Inputs!$B$1+((Inputs!$G$5:$G$130&lt;&gt;"moeda")*(Inputs!$G$5:$G$130&lt;&gt;"acoes")))*INDEX(Inputs!$K$5:$AJ$130,0,MATCH(AH$2,Inputs!$K$4:$AJ$4,0)))+SUMPRODUCT((Inputs!$C$5:$C$130=$B31)*Inputs!$D$5:$D$130*(((Inputs!$G$5:$G$130="moeda")+(Inputs!$G$5:$G$130="acoes"))*Inputs!$B$1+((Inputs!$G$5:$G$130&lt;&gt;"moeda")*(Inputs!$G$5:$G$130&lt;&gt;"acoes")))*INDEX(Inputs!$K$5:$AJ$130,0,MATCH(AH$2,Inputs!$K$4:$AJ$4,0)))+SUMPRODUCT((Inputs!$E$5:$E$130=$B31)*Inputs!$F$5:$F$130*(((Inputs!$G$5:$G$130="moeda")+(Inputs!$G$5:$G$130="acoes"))*Inputs!$B$1+((Inputs!$G$5:$G$130&lt;&gt;"moeda")*(Inputs!$G$5:$G$130&lt;&gt;"acoes")))*INDEX(Inputs!$K$5:$AJ$130,0,MATCH(AH$2,Inputs!$K$4:$AJ$4,0)))))</f>
        <v>30662</v>
      </c>
      <c r="AI31" s="6">
        <f>IF(ISNA(MATCH(AI$2,Inputs!$K$4:$AJ$4,0)),NA(),IF(SUMPRODUCT((Inputs!$A$5:$A$130=$B31)*ISNUMBER(INDEX(Inputs!$K$5:$AJ$130,0,MATCH(AI$2,Inputs!$K$4:$AJ$4,0))))+SUMPRODUCT((Inputs!$C$5:$C$130=$B31)*ISNUMBER(INDEX(Inputs!$K$5:$AJ$130,0,MATCH(AI$2,Inputs!$K$4:$AJ$4,0))))+SUMPRODUCT((Inputs!$E$5:$E$130=$B31)*ISNUMBER(INDEX(Inputs!$K$5:$AJ$130,0,MATCH(AI$2,Inputs!$K$4:$AJ$4,0))))=0,NA(),SUMPRODUCT((Inputs!$A$5:$A$130=$B31)*Inputs!$B$5:$B$130*(((Inputs!$G$5:$G$130="moeda")+(Inputs!$G$5:$G$130="acoes"))*Inputs!$B$1+((Inputs!$G$5:$G$130&lt;&gt;"moeda")*(Inputs!$G$5:$G$130&lt;&gt;"acoes")))*INDEX(Inputs!$K$5:$AJ$130,0,MATCH(AI$2,Inputs!$K$4:$AJ$4,0)))+SUMPRODUCT((Inputs!$C$5:$C$130=$B31)*Inputs!$D$5:$D$130*(((Inputs!$G$5:$G$130="moeda")+(Inputs!$G$5:$G$130="acoes"))*Inputs!$B$1+((Inputs!$G$5:$G$130&lt;&gt;"moeda")*(Inputs!$G$5:$G$130&lt;&gt;"acoes")))*INDEX(Inputs!$K$5:$AJ$130,0,MATCH(AI$2,Inputs!$K$4:$AJ$4,0)))+SUMPRODUCT((Inputs!$E$5:$E$130=$B31)*Inputs!$F$5:$F$130*(((Inputs!$G$5:$G$130="moeda")+(Inputs!$G$5:$G$130="acoes"))*Inputs!$B$1+((Inputs!$G$5:$G$130&lt;&gt;"moeda")*(Inputs!$G$5:$G$130&lt;&gt;"acoes")))*INDEX(Inputs!$K$5:$AJ$130,0,MATCH(AI$2,Inputs!$K$4:$AJ$4,0)))))</f>
        <v>29857</v>
      </c>
      <c r="AJ31" s="6">
        <f>IF(ISNA(MATCH(AJ$2,Inputs!$K$4:$AJ$4,0)),NA(),IF(SUMPRODUCT((Inputs!$A$5:$A$130=$B31)*ISNUMBER(INDEX(Inputs!$K$5:$AJ$130,0,MATCH(AJ$2,Inputs!$K$4:$AJ$4,0))))+SUMPRODUCT((Inputs!$C$5:$C$130=$B31)*ISNUMBER(INDEX(Inputs!$K$5:$AJ$130,0,MATCH(AJ$2,Inputs!$K$4:$AJ$4,0))))+SUMPRODUCT((Inputs!$E$5:$E$130=$B31)*ISNUMBER(INDEX(Inputs!$K$5:$AJ$130,0,MATCH(AJ$2,Inputs!$K$4:$AJ$4,0))))=0,NA(),SUMPRODUCT((Inputs!$A$5:$A$130=$B31)*Inputs!$B$5:$B$130*(((Inputs!$G$5:$G$130="moeda")+(Inputs!$G$5:$G$130="acoes"))*Inputs!$B$1+((Inputs!$G$5:$G$130&lt;&gt;"moeda")*(Inputs!$G$5:$G$130&lt;&gt;"acoes")))*INDEX(Inputs!$K$5:$AJ$130,0,MATCH(AJ$2,Inputs!$K$4:$AJ$4,0)))+SUMPRODUCT((Inputs!$C$5:$C$130=$B31)*Inputs!$D$5:$D$130*(((Inputs!$G$5:$G$130="moeda")+(Inputs!$G$5:$G$130="acoes"))*Inputs!$B$1+((Inputs!$G$5:$G$130&lt;&gt;"moeda")*(Inputs!$G$5:$G$130&lt;&gt;"acoes")))*INDEX(Inputs!$K$5:$AJ$130,0,MATCH(AJ$2,Inputs!$K$4:$AJ$4,0)))+SUMPRODUCT((Inputs!$E$5:$E$130=$B31)*Inputs!$F$5:$F$130*(((Inputs!$G$5:$G$130="moeda")+(Inputs!$G$5:$G$130="acoes"))*Inputs!$B$1+((Inputs!$G$5:$G$130&lt;&gt;"moeda")*(Inputs!$G$5:$G$130&lt;&gt;"acoes")))*INDEX(Inputs!$K$5:$AJ$130,0,MATCH(AJ$2,Inputs!$K$4:$AJ$4,0)))))</f>
        <v>28894</v>
      </c>
      <c r="AK31" s="6">
        <f>IF(ISNA(MATCH(AK$2,Inputs!$K$4:$AJ$4,0)),NA(),IF(SUMPRODUCT((Inputs!$A$5:$A$130=$B31)*ISNUMBER(INDEX(Inputs!$K$5:$AJ$130,0,MATCH(AK$2,Inputs!$K$4:$AJ$4,0))))+SUMPRODUCT((Inputs!$C$5:$C$130=$B31)*ISNUMBER(INDEX(Inputs!$K$5:$AJ$130,0,MATCH(AK$2,Inputs!$K$4:$AJ$4,0))))+SUMPRODUCT((Inputs!$E$5:$E$130=$B31)*ISNUMBER(INDEX(Inputs!$K$5:$AJ$130,0,MATCH(AK$2,Inputs!$K$4:$AJ$4,0))))=0,NA(),SUMPRODUCT((Inputs!$A$5:$A$130=$B31)*Inputs!$B$5:$B$130*(((Inputs!$G$5:$G$130="moeda")+(Inputs!$G$5:$G$130="acoes"))*Inputs!$B$1+((Inputs!$G$5:$G$130&lt;&gt;"moeda")*(Inputs!$G$5:$G$130&lt;&gt;"acoes")))*INDEX(Inputs!$K$5:$AJ$130,0,MATCH(AK$2,Inputs!$K$4:$AJ$4,0)))+SUMPRODUCT((Inputs!$C$5:$C$130=$B31)*Inputs!$D$5:$D$130*(((Inputs!$G$5:$G$130="moeda")+(Inputs!$G$5:$G$130="acoes"))*Inputs!$B$1+((Inputs!$G$5:$G$130&lt;&gt;"moeda")*(Inputs!$G$5:$G$130&lt;&gt;"acoes")))*INDEX(Inputs!$K$5:$AJ$130,0,MATCH(AK$2,Inputs!$K$4:$AJ$4,0)))+SUMPRODUCT((Inputs!$E$5:$E$130=$B31)*Inputs!$F$5:$F$130*(((Inputs!$G$5:$G$130="moeda")+(Inputs!$G$5:$G$130="acoes"))*Inputs!$B$1+((Inputs!$G$5:$G$130&lt;&gt;"moeda")*(Inputs!$G$5:$G$130&lt;&gt;"acoes")))*INDEX(Inputs!$K$5:$AJ$130,0,MATCH(AK$2,Inputs!$K$4:$AJ$4,0)))))</f>
        <v>28090</v>
      </c>
      <c r="AL31" s="3">
        <f>AK31</f>
        <v>28090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$130=$B32)*ISNUMBER(INDEX(Inputs!$K$5:$AJ$130,0,MATCH(D$2,Inputs!$K$4:$AJ$4,0))))+SUMPRODUCT((Inputs!$C$5:$C$130=$B32)*ISNUMBER(INDEX(Inputs!$K$5:$AJ$130,0,MATCH(D$2,Inputs!$K$4:$AJ$4,0))))+SUMPRODUCT((Inputs!$E$5:$E$130=$B32)*ISNUMBER(INDEX(Inputs!$K$5:$AJ$130,0,MATCH(D$2,Inputs!$K$4:$AJ$4,0))))=0,NA(),SUMPRODUCT((Inputs!$A$5:$A$130=$B32)*Inputs!$B$5:$B$130*(((Inputs!$G$5:$G$130="moeda")+(Inputs!$G$5:$G$130="acoes"))*Inputs!$B$1+((Inputs!$G$5:$G$130&lt;&gt;"moeda")*(Inputs!$G$5:$G$130&lt;&gt;"acoes")))*INDEX(Inputs!$K$5:$AJ$130,0,MATCH(D$2,Inputs!$K$4:$AJ$4,0)))+SUMPRODUCT((Inputs!$C$5:$C$130=$B32)*Inputs!$D$5:$D$130*(((Inputs!$G$5:$G$130="moeda")+(Inputs!$G$5:$G$130="acoes"))*Inputs!$B$1+((Inputs!$G$5:$G$130&lt;&gt;"moeda")*(Inputs!$G$5:$G$130&lt;&gt;"acoes")))*INDEX(Inputs!$K$5:$AJ$130,0,MATCH(D$2,Inputs!$K$4:$AJ$4,0)))+SUMPRODUCT((Inputs!$E$5:$E$130=$B32)*Inputs!$F$5:$F$130*(((Inputs!$G$5:$G$130="moeda")+(Inputs!$G$5:$G$130="acoes"))*Inputs!$B$1+((Inputs!$G$5:$G$130&lt;&gt;"moeda")*(Inputs!$G$5:$G$130&lt;&gt;"acoes")))*INDEX(Inputs!$K$5:$AJ$130,0,MATCH(D$2,Inputs!$K$4:$AJ$4,0)))))</f>
        <v>33346</v>
      </c>
      <c r="E32" s="6">
        <f>IF(ISNA(MATCH(E$2,Inputs!$K$4:$AJ$4,0)),NA(),IF(SUMPRODUCT((Inputs!$A$5:$A$130=$B32)*ISNUMBER(INDEX(Inputs!$K$5:$AJ$130,0,MATCH(E$2,Inputs!$K$4:$AJ$4,0))))+SUMPRODUCT((Inputs!$C$5:$C$130=$B32)*ISNUMBER(INDEX(Inputs!$K$5:$AJ$130,0,MATCH(E$2,Inputs!$K$4:$AJ$4,0))))+SUMPRODUCT((Inputs!$E$5:$E$130=$B32)*ISNUMBER(INDEX(Inputs!$K$5:$AJ$130,0,MATCH(E$2,Inputs!$K$4:$AJ$4,0))))=0,NA(),SUMPRODUCT((Inputs!$A$5:$A$130=$B32)*Inputs!$B$5:$B$130*(((Inputs!$G$5:$G$130="moeda")+(Inputs!$G$5:$G$130="acoes"))*Inputs!$B$1+((Inputs!$G$5:$G$130&lt;&gt;"moeda")*(Inputs!$G$5:$G$130&lt;&gt;"acoes")))*INDEX(Inputs!$K$5:$AJ$130,0,MATCH(E$2,Inputs!$K$4:$AJ$4,0)))+SUMPRODUCT((Inputs!$C$5:$C$130=$B32)*Inputs!$D$5:$D$130*(((Inputs!$G$5:$G$130="moeda")+(Inputs!$G$5:$G$130="acoes"))*Inputs!$B$1+((Inputs!$G$5:$G$130&lt;&gt;"moeda")*(Inputs!$G$5:$G$130&lt;&gt;"acoes")))*INDEX(Inputs!$K$5:$AJ$130,0,MATCH(E$2,Inputs!$K$4:$AJ$4,0)))+SUMPRODUCT((Inputs!$E$5:$E$130=$B32)*Inputs!$F$5:$F$130*(((Inputs!$G$5:$G$130="moeda")+(Inputs!$G$5:$G$130="acoes"))*Inputs!$B$1+((Inputs!$G$5:$G$130&lt;&gt;"moeda")*(Inputs!$G$5:$G$130&lt;&gt;"acoes")))*INDEX(Inputs!$K$5:$AJ$130,0,MATCH(E$2,Inputs!$K$4:$AJ$4,0)))))</f>
        <v>42684</v>
      </c>
      <c r="F32" s="6">
        <f>IF(ISNA(MATCH(F$2,Inputs!$K$4:$AJ$4,0)),NA(),IF(SUMPRODUCT((Inputs!$A$5:$A$130=$B32)*ISNUMBER(INDEX(Inputs!$K$5:$AJ$130,0,MATCH(F$2,Inputs!$K$4:$AJ$4,0))))+SUMPRODUCT((Inputs!$C$5:$C$130=$B32)*ISNUMBER(INDEX(Inputs!$K$5:$AJ$130,0,MATCH(F$2,Inputs!$K$4:$AJ$4,0))))+SUMPRODUCT((Inputs!$E$5:$E$130=$B32)*ISNUMBER(INDEX(Inputs!$K$5:$AJ$130,0,MATCH(F$2,Inputs!$K$4:$AJ$4,0))))=0,NA(),SUMPRODUCT((Inputs!$A$5:$A$130=$B32)*Inputs!$B$5:$B$130*(((Inputs!$G$5:$G$130="moeda")+(Inputs!$G$5:$G$130="acoes"))*Inputs!$B$1+((Inputs!$G$5:$G$130&lt;&gt;"moeda")*(Inputs!$G$5:$G$130&lt;&gt;"acoes")))*INDEX(Inputs!$K$5:$AJ$130,0,MATCH(F$2,Inputs!$K$4:$AJ$4,0)))+SUMPRODUCT((Inputs!$C$5:$C$130=$B32)*Inputs!$D$5:$D$130*(((Inputs!$G$5:$G$130="moeda")+(Inputs!$G$5:$G$130="acoes"))*Inputs!$B$1+((Inputs!$G$5:$G$130&lt;&gt;"moeda")*(Inputs!$G$5:$G$130&lt;&gt;"acoes")))*INDEX(Inputs!$K$5:$AJ$130,0,MATCH(F$2,Inputs!$K$4:$AJ$4,0)))+SUMPRODUCT((Inputs!$E$5:$E$130=$B32)*Inputs!$F$5:$F$130*(((Inputs!$G$5:$G$130="moeda")+(Inputs!$G$5:$G$130="acoes"))*Inputs!$B$1+((Inputs!$G$5:$G$130&lt;&gt;"moeda")*(Inputs!$G$5:$G$130&lt;&gt;"acoes")))*INDEX(Inputs!$K$5:$AJ$130,0,MATCH(F$2,Inputs!$K$4:$AJ$4,0)))))</f>
        <v>43807</v>
      </c>
      <c r="G32" s="6">
        <f>IF(ISNA(MATCH(G$2,Inputs!$K$4:$AJ$4,0)),NA(),IF(SUMPRODUCT((Inputs!$A$5:$A$130=$B32)*ISNUMBER(INDEX(Inputs!$K$5:$AJ$130,0,MATCH(G$2,Inputs!$K$4:$AJ$4,0))))+SUMPRODUCT((Inputs!$C$5:$C$130=$B32)*ISNUMBER(INDEX(Inputs!$K$5:$AJ$130,0,MATCH(G$2,Inputs!$K$4:$AJ$4,0))))+SUMPRODUCT((Inputs!$E$5:$E$130=$B32)*ISNUMBER(INDEX(Inputs!$K$5:$AJ$130,0,MATCH(G$2,Inputs!$K$4:$AJ$4,0))))=0,NA(),SUMPRODUCT((Inputs!$A$5:$A$130=$B32)*Inputs!$B$5:$B$130*(((Inputs!$G$5:$G$130="moeda")+(Inputs!$G$5:$G$130="acoes"))*Inputs!$B$1+((Inputs!$G$5:$G$130&lt;&gt;"moeda")*(Inputs!$G$5:$G$130&lt;&gt;"acoes")))*INDEX(Inputs!$K$5:$AJ$130,0,MATCH(G$2,Inputs!$K$4:$AJ$4,0)))+SUMPRODUCT((Inputs!$C$5:$C$130=$B32)*Inputs!$D$5:$D$130*(((Inputs!$G$5:$G$130="moeda")+(Inputs!$G$5:$G$130="acoes"))*Inputs!$B$1+((Inputs!$G$5:$G$130&lt;&gt;"moeda")*(Inputs!$G$5:$G$130&lt;&gt;"acoes")))*INDEX(Inputs!$K$5:$AJ$130,0,MATCH(G$2,Inputs!$K$4:$AJ$4,0)))+SUMPRODUCT((Inputs!$E$5:$E$130=$B32)*Inputs!$F$5:$F$130*(((Inputs!$G$5:$G$130="moeda")+(Inputs!$G$5:$G$130="acoes"))*Inputs!$B$1+((Inputs!$G$5:$G$130&lt;&gt;"moeda")*(Inputs!$G$5:$G$130&lt;&gt;"acoes")))*INDEX(Inputs!$K$5:$AJ$130,0,MATCH(G$2,Inputs!$K$4:$AJ$4,0)))))</f>
        <v>43828</v>
      </c>
      <c r="H32" s="3">
        <f>G32</f>
        <v>43828</v>
      </c>
      <c r="I32" s="6">
        <f>IF(ISNA(MATCH(I$2,Inputs!$K$4:$AJ$4,0)),NA(),IF(SUMPRODUCT((Inputs!$A$5:$A$130=$B32)*ISNUMBER(INDEX(Inputs!$K$5:$AJ$130,0,MATCH(I$2,Inputs!$K$4:$AJ$4,0))))+SUMPRODUCT((Inputs!$C$5:$C$130=$B32)*ISNUMBER(INDEX(Inputs!$K$5:$AJ$130,0,MATCH(I$2,Inputs!$K$4:$AJ$4,0))))+SUMPRODUCT((Inputs!$E$5:$E$130=$B32)*ISNUMBER(INDEX(Inputs!$K$5:$AJ$130,0,MATCH(I$2,Inputs!$K$4:$AJ$4,0))))=0,NA(),SUMPRODUCT((Inputs!$A$5:$A$130=$B32)*Inputs!$B$5:$B$130*(((Inputs!$G$5:$G$130="moeda")+(Inputs!$G$5:$G$130="acoes"))*Inputs!$B$1+((Inputs!$G$5:$G$130&lt;&gt;"moeda")*(Inputs!$G$5:$G$130&lt;&gt;"acoes")))*INDEX(Inputs!$K$5:$AJ$130,0,MATCH(I$2,Inputs!$K$4:$AJ$4,0)))+SUMPRODUCT((Inputs!$C$5:$C$130=$B32)*Inputs!$D$5:$D$130*(((Inputs!$G$5:$G$130="moeda")+(Inputs!$G$5:$G$130="acoes"))*Inputs!$B$1+((Inputs!$G$5:$G$130&lt;&gt;"moeda")*(Inputs!$G$5:$G$130&lt;&gt;"acoes")))*INDEX(Inputs!$K$5:$AJ$130,0,MATCH(I$2,Inputs!$K$4:$AJ$4,0)))+SUMPRODUCT((Inputs!$E$5:$E$130=$B32)*Inputs!$F$5:$F$130*(((Inputs!$G$5:$G$130="moeda")+(Inputs!$G$5:$G$130="acoes"))*Inputs!$B$1+((Inputs!$G$5:$G$130&lt;&gt;"moeda")*(Inputs!$G$5:$G$130&lt;&gt;"acoes")))*INDEX(Inputs!$K$5:$AJ$130,0,MATCH(I$2,Inputs!$K$4:$AJ$4,0)))))</f>
        <v>44860</v>
      </c>
      <c r="J32" s="6">
        <f>IF(ISNA(MATCH(J$2,Inputs!$K$4:$AJ$4,0)),NA(),IF(SUMPRODUCT((Inputs!$A$5:$A$130=$B32)*ISNUMBER(INDEX(Inputs!$K$5:$AJ$130,0,MATCH(J$2,Inputs!$K$4:$AJ$4,0))))+SUMPRODUCT((Inputs!$C$5:$C$130=$B32)*ISNUMBER(INDEX(Inputs!$K$5:$AJ$130,0,MATCH(J$2,Inputs!$K$4:$AJ$4,0))))+SUMPRODUCT((Inputs!$E$5:$E$130=$B32)*ISNUMBER(INDEX(Inputs!$K$5:$AJ$130,0,MATCH(J$2,Inputs!$K$4:$AJ$4,0))))=0,NA(),SUMPRODUCT((Inputs!$A$5:$A$130=$B32)*Inputs!$B$5:$B$130*(((Inputs!$G$5:$G$130="moeda")+(Inputs!$G$5:$G$130="acoes"))*Inputs!$B$1+((Inputs!$G$5:$G$130&lt;&gt;"moeda")*(Inputs!$G$5:$G$130&lt;&gt;"acoes")))*INDEX(Inputs!$K$5:$AJ$130,0,MATCH(J$2,Inputs!$K$4:$AJ$4,0)))+SUMPRODUCT((Inputs!$C$5:$C$130=$B32)*Inputs!$D$5:$D$130*(((Inputs!$G$5:$G$130="moeda")+(Inputs!$G$5:$G$130="acoes"))*Inputs!$B$1+((Inputs!$G$5:$G$130&lt;&gt;"moeda")*(Inputs!$G$5:$G$130&lt;&gt;"acoes")))*INDEX(Inputs!$K$5:$AJ$130,0,MATCH(J$2,Inputs!$K$4:$AJ$4,0)))+SUMPRODUCT((Inputs!$E$5:$E$130=$B32)*Inputs!$F$5:$F$130*(((Inputs!$G$5:$G$130="moeda")+(Inputs!$G$5:$G$130="acoes"))*Inputs!$B$1+((Inputs!$G$5:$G$130&lt;&gt;"moeda")*(Inputs!$G$5:$G$130&lt;&gt;"acoes")))*INDEX(Inputs!$K$5:$AJ$130,0,MATCH(J$2,Inputs!$K$4:$AJ$4,0)))))</f>
        <v>14176</v>
      </c>
      <c r="K32" s="6">
        <f>IF(ISNA(MATCH(K$2,Inputs!$K$4:$AJ$4,0)),NA(),IF(SUMPRODUCT((Inputs!$A$5:$A$130=$B32)*ISNUMBER(INDEX(Inputs!$K$5:$AJ$130,0,MATCH(K$2,Inputs!$K$4:$AJ$4,0))))+SUMPRODUCT((Inputs!$C$5:$C$130=$B32)*ISNUMBER(INDEX(Inputs!$K$5:$AJ$130,0,MATCH(K$2,Inputs!$K$4:$AJ$4,0))))+SUMPRODUCT((Inputs!$E$5:$E$130=$B32)*ISNUMBER(INDEX(Inputs!$K$5:$AJ$130,0,MATCH(K$2,Inputs!$K$4:$AJ$4,0))))=0,NA(),SUMPRODUCT((Inputs!$A$5:$A$130=$B32)*Inputs!$B$5:$B$130*(((Inputs!$G$5:$G$130="moeda")+(Inputs!$G$5:$G$130="acoes"))*Inputs!$B$1+((Inputs!$G$5:$G$130&lt;&gt;"moeda")*(Inputs!$G$5:$G$130&lt;&gt;"acoes")))*INDEX(Inputs!$K$5:$AJ$130,0,MATCH(K$2,Inputs!$K$4:$AJ$4,0)))+SUMPRODUCT((Inputs!$C$5:$C$130=$B32)*Inputs!$D$5:$D$130*(((Inputs!$G$5:$G$130="moeda")+(Inputs!$G$5:$G$130="acoes"))*Inputs!$B$1+((Inputs!$G$5:$G$130&lt;&gt;"moeda")*(Inputs!$G$5:$G$130&lt;&gt;"acoes")))*INDEX(Inputs!$K$5:$AJ$130,0,MATCH(K$2,Inputs!$K$4:$AJ$4,0)))+SUMPRODUCT((Inputs!$E$5:$E$130=$B32)*Inputs!$F$5:$F$130*(((Inputs!$G$5:$G$130="moeda")+(Inputs!$G$5:$G$130="acoes"))*Inputs!$B$1+((Inputs!$G$5:$G$130&lt;&gt;"moeda")*(Inputs!$G$5:$G$130&lt;&gt;"acoes")))*INDEX(Inputs!$K$5:$AJ$130,0,MATCH(K$2,Inputs!$K$4:$AJ$4,0)))))</f>
        <v>12592</v>
      </c>
      <c r="L32" s="6">
        <f>IF(ISNA(MATCH(L$2,Inputs!$K$4:$AJ$4,0)),NA(),IF(SUMPRODUCT((Inputs!$A$5:$A$130=$B32)*ISNUMBER(INDEX(Inputs!$K$5:$AJ$130,0,MATCH(L$2,Inputs!$K$4:$AJ$4,0))))+SUMPRODUCT((Inputs!$C$5:$C$130=$B32)*ISNUMBER(INDEX(Inputs!$K$5:$AJ$130,0,MATCH(L$2,Inputs!$K$4:$AJ$4,0))))+SUMPRODUCT((Inputs!$E$5:$E$130=$B32)*ISNUMBER(INDEX(Inputs!$K$5:$AJ$130,0,MATCH(L$2,Inputs!$K$4:$AJ$4,0))))=0,NA(),SUMPRODUCT((Inputs!$A$5:$A$130=$B32)*Inputs!$B$5:$B$130*(((Inputs!$G$5:$G$130="moeda")+(Inputs!$G$5:$G$130="acoes"))*Inputs!$B$1+((Inputs!$G$5:$G$130&lt;&gt;"moeda")*(Inputs!$G$5:$G$130&lt;&gt;"acoes")))*INDEX(Inputs!$K$5:$AJ$130,0,MATCH(L$2,Inputs!$K$4:$AJ$4,0)))+SUMPRODUCT((Inputs!$C$5:$C$130=$B32)*Inputs!$D$5:$D$130*(((Inputs!$G$5:$G$130="moeda")+(Inputs!$G$5:$G$130="acoes"))*Inputs!$B$1+((Inputs!$G$5:$G$130&lt;&gt;"moeda")*(Inputs!$G$5:$G$130&lt;&gt;"acoes")))*INDEX(Inputs!$K$5:$AJ$130,0,MATCH(L$2,Inputs!$K$4:$AJ$4,0)))+SUMPRODUCT((Inputs!$E$5:$E$130=$B32)*Inputs!$F$5:$F$130*(((Inputs!$G$5:$G$130="moeda")+(Inputs!$G$5:$G$130="acoes"))*Inputs!$B$1+((Inputs!$G$5:$G$130&lt;&gt;"moeda")*(Inputs!$G$5:$G$130&lt;&gt;"acoes")))*INDEX(Inputs!$K$5:$AJ$130,0,MATCH(L$2,Inputs!$K$4:$AJ$4,0)))))</f>
        <v>14129</v>
      </c>
      <c r="M32" s="3">
        <f>L32</f>
        <v>14129</v>
      </c>
      <c r="N32" s="6">
        <f>IF(ISNA(MATCH(N$2,Inputs!$K$4:$AJ$4,0)),NA(),IF(SUMPRODUCT((Inputs!$A$5:$A$130=$B32)*ISNUMBER(INDEX(Inputs!$K$5:$AJ$130,0,MATCH(N$2,Inputs!$K$4:$AJ$4,0))))+SUMPRODUCT((Inputs!$C$5:$C$130=$B32)*ISNUMBER(INDEX(Inputs!$K$5:$AJ$130,0,MATCH(N$2,Inputs!$K$4:$AJ$4,0))))+SUMPRODUCT((Inputs!$E$5:$E$130=$B32)*ISNUMBER(INDEX(Inputs!$K$5:$AJ$130,0,MATCH(N$2,Inputs!$K$4:$AJ$4,0))))=0,NA(),SUMPRODUCT((Inputs!$A$5:$A$130=$B32)*Inputs!$B$5:$B$130*(((Inputs!$G$5:$G$130="moeda")+(Inputs!$G$5:$G$130="acoes"))*Inputs!$B$1+((Inputs!$G$5:$G$130&lt;&gt;"moeda")*(Inputs!$G$5:$G$130&lt;&gt;"acoes")))*INDEX(Inputs!$K$5:$AJ$130,0,MATCH(N$2,Inputs!$K$4:$AJ$4,0)))+SUMPRODUCT((Inputs!$C$5:$C$130=$B32)*Inputs!$D$5:$D$130*(((Inputs!$G$5:$G$130="moeda")+(Inputs!$G$5:$G$130="acoes"))*Inputs!$B$1+((Inputs!$G$5:$G$130&lt;&gt;"moeda")*(Inputs!$G$5:$G$130&lt;&gt;"acoes")))*INDEX(Inputs!$K$5:$AJ$130,0,MATCH(N$2,Inputs!$K$4:$AJ$4,0)))+SUMPRODUCT((Inputs!$E$5:$E$130=$B32)*Inputs!$F$5:$F$130*(((Inputs!$G$5:$G$130="moeda")+(Inputs!$G$5:$G$130="acoes"))*Inputs!$B$1+((Inputs!$G$5:$G$130&lt;&gt;"moeda")*(Inputs!$G$5:$G$130&lt;&gt;"acoes")))*INDEX(Inputs!$K$5:$AJ$130,0,MATCH(N$2,Inputs!$K$4:$AJ$4,0)))))</f>
        <v>17109</v>
      </c>
      <c r="O32" s="6">
        <f>IF(ISNA(MATCH(O$2,Inputs!$K$4:$AJ$4,0)),NA(),IF(SUMPRODUCT((Inputs!$A$5:$A$130=$B32)*ISNUMBER(INDEX(Inputs!$K$5:$AJ$130,0,MATCH(O$2,Inputs!$K$4:$AJ$4,0))))+SUMPRODUCT((Inputs!$C$5:$C$130=$B32)*ISNUMBER(INDEX(Inputs!$K$5:$AJ$130,0,MATCH(O$2,Inputs!$K$4:$AJ$4,0))))+SUMPRODUCT((Inputs!$E$5:$E$130=$B32)*ISNUMBER(INDEX(Inputs!$K$5:$AJ$130,0,MATCH(O$2,Inputs!$K$4:$AJ$4,0))))=0,NA(),SUMPRODUCT((Inputs!$A$5:$A$130=$B32)*Inputs!$B$5:$B$130*(((Inputs!$G$5:$G$130="moeda")+(Inputs!$G$5:$G$130="acoes"))*Inputs!$B$1+((Inputs!$G$5:$G$130&lt;&gt;"moeda")*(Inputs!$G$5:$G$130&lt;&gt;"acoes")))*INDEX(Inputs!$K$5:$AJ$130,0,MATCH(O$2,Inputs!$K$4:$AJ$4,0)))+SUMPRODUCT((Inputs!$C$5:$C$130=$B32)*Inputs!$D$5:$D$130*(((Inputs!$G$5:$G$130="moeda")+(Inputs!$G$5:$G$130="acoes"))*Inputs!$B$1+((Inputs!$G$5:$G$130&lt;&gt;"moeda")*(Inputs!$G$5:$G$130&lt;&gt;"acoes")))*INDEX(Inputs!$K$5:$AJ$130,0,MATCH(O$2,Inputs!$K$4:$AJ$4,0)))+SUMPRODUCT((Inputs!$E$5:$E$130=$B32)*Inputs!$F$5:$F$130*(((Inputs!$G$5:$G$130="moeda")+(Inputs!$G$5:$G$130="acoes"))*Inputs!$B$1+((Inputs!$G$5:$G$130&lt;&gt;"moeda")*(Inputs!$G$5:$G$130&lt;&gt;"acoes")))*INDEX(Inputs!$K$5:$AJ$130,0,MATCH(O$2,Inputs!$K$4:$AJ$4,0)))))</f>
        <v>17143</v>
      </c>
      <c r="P32" s="6">
        <f>IF(ISNA(MATCH(P$2,Inputs!$K$4:$AJ$4,0)),NA(),IF(SUMPRODUCT((Inputs!$A$5:$A$130=$B32)*ISNUMBER(INDEX(Inputs!$K$5:$AJ$130,0,MATCH(P$2,Inputs!$K$4:$AJ$4,0))))+SUMPRODUCT((Inputs!$C$5:$C$130=$B32)*ISNUMBER(INDEX(Inputs!$K$5:$AJ$130,0,MATCH(P$2,Inputs!$K$4:$AJ$4,0))))+SUMPRODUCT((Inputs!$E$5:$E$130=$B32)*ISNUMBER(INDEX(Inputs!$K$5:$AJ$130,0,MATCH(P$2,Inputs!$K$4:$AJ$4,0))))=0,NA(),SUMPRODUCT((Inputs!$A$5:$A$130=$B32)*Inputs!$B$5:$B$130*(((Inputs!$G$5:$G$130="moeda")+(Inputs!$G$5:$G$130="acoes"))*Inputs!$B$1+((Inputs!$G$5:$G$130&lt;&gt;"moeda")*(Inputs!$G$5:$G$130&lt;&gt;"acoes")))*INDEX(Inputs!$K$5:$AJ$130,0,MATCH(P$2,Inputs!$K$4:$AJ$4,0)))+SUMPRODUCT((Inputs!$C$5:$C$130=$B32)*Inputs!$D$5:$D$130*(((Inputs!$G$5:$G$130="moeda")+(Inputs!$G$5:$G$130="acoes"))*Inputs!$B$1+((Inputs!$G$5:$G$130&lt;&gt;"moeda")*(Inputs!$G$5:$G$130&lt;&gt;"acoes")))*INDEX(Inputs!$K$5:$AJ$130,0,MATCH(P$2,Inputs!$K$4:$AJ$4,0)))+SUMPRODUCT((Inputs!$E$5:$E$130=$B32)*Inputs!$F$5:$F$130*(((Inputs!$G$5:$G$130="moeda")+(Inputs!$G$5:$G$130="acoes"))*Inputs!$B$1+((Inputs!$G$5:$G$130&lt;&gt;"moeda")*(Inputs!$G$5:$G$130&lt;&gt;"acoes")))*INDEX(Inputs!$K$5:$AJ$130,0,MATCH(P$2,Inputs!$K$4:$AJ$4,0)))))</f>
        <v>17939</v>
      </c>
      <c r="Q32" s="6">
        <f>IF(ISNA(MATCH(Q$2,Inputs!$K$4:$AJ$4,0)),NA(),IF(SUMPRODUCT((Inputs!$A$5:$A$130=$B32)*ISNUMBER(INDEX(Inputs!$K$5:$AJ$130,0,MATCH(Q$2,Inputs!$K$4:$AJ$4,0))))+SUMPRODUCT((Inputs!$C$5:$C$130=$B32)*ISNUMBER(INDEX(Inputs!$K$5:$AJ$130,0,MATCH(Q$2,Inputs!$K$4:$AJ$4,0))))+SUMPRODUCT((Inputs!$E$5:$E$130=$B32)*ISNUMBER(INDEX(Inputs!$K$5:$AJ$130,0,MATCH(Q$2,Inputs!$K$4:$AJ$4,0))))=0,NA(),SUMPRODUCT((Inputs!$A$5:$A$130=$B32)*Inputs!$B$5:$B$130*(((Inputs!$G$5:$G$130="moeda")+(Inputs!$G$5:$G$130="acoes"))*Inputs!$B$1+((Inputs!$G$5:$G$130&lt;&gt;"moeda")*(Inputs!$G$5:$G$130&lt;&gt;"acoes")))*INDEX(Inputs!$K$5:$AJ$130,0,MATCH(Q$2,Inputs!$K$4:$AJ$4,0)))+SUMPRODUCT((Inputs!$C$5:$C$130=$B32)*Inputs!$D$5:$D$130*(((Inputs!$G$5:$G$130="moeda")+(Inputs!$G$5:$G$130="acoes"))*Inputs!$B$1+((Inputs!$G$5:$G$130&lt;&gt;"moeda")*(Inputs!$G$5:$G$130&lt;&gt;"acoes")))*INDEX(Inputs!$K$5:$AJ$130,0,MATCH(Q$2,Inputs!$K$4:$AJ$4,0)))+SUMPRODUCT((Inputs!$E$5:$E$130=$B32)*Inputs!$F$5:$F$130*(((Inputs!$G$5:$G$130="moeda")+(Inputs!$G$5:$G$130="acoes"))*Inputs!$B$1+((Inputs!$G$5:$G$130&lt;&gt;"moeda")*(Inputs!$G$5:$G$130&lt;&gt;"acoes")))*INDEX(Inputs!$K$5:$AJ$130,0,MATCH(Q$2,Inputs!$K$4:$AJ$4,0)))))</f>
        <v>17117</v>
      </c>
      <c r="R32" s="3">
        <f>Q32</f>
        <v>17117</v>
      </c>
      <c r="S32" s="6">
        <f>IF(ISNA(MATCH(S$2,Inputs!$K$4:$AJ$4,0)),NA(),IF(SUMPRODUCT((Inputs!$A$5:$A$130=$B32)*ISNUMBER(INDEX(Inputs!$K$5:$AJ$130,0,MATCH(S$2,Inputs!$K$4:$AJ$4,0))))+SUMPRODUCT((Inputs!$C$5:$C$130=$B32)*ISNUMBER(INDEX(Inputs!$K$5:$AJ$130,0,MATCH(S$2,Inputs!$K$4:$AJ$4,0))))+SUMPRODUCT((Inputs!$E$5:$E$130=$B32)*ISNUMBER(INDEX(Inputs!$K$5:$AJ$130,0,MATCH(S$2,Inputs!$K$4:$AJ$4,0))))=0,NA(),SUMPRODUCT((Inputs!$A$5:$A$130=$B32)*Inputs!$B$5:$B$130*(((Inputs!$G$5:$G$130="moeda")+(Inputs!$G$5:$G$130="acoes"))*Inputs!$B$1+((Inputs!$G$5:$G$130&lt;&gt;"moeda")*(Inputs!$G$5:$G$130&lt;&gt;"acoes")))*INDEX(Inputs!$K$5:$AJ$130,0,MATCH(S$2,Inputs!$K$4:$AJ$4,0)))+SUMPRODUCT((Inputs!$C$5:$C$130=$B32)*Inputs!$D$5:$D$130*(((Inputs!$G$5:$G$130="moeda")+(Inputs!$G$5:$G$130="acoes"))*Inputs!$B$1+((Inputs!$G$5:$G$130&lt;&gt;"moeda")*(Inputs!$G$5:$G$130&lt;&gt;"acoes")))*INDEX(Inputs!$K$5:$AJ$130,0,MATCH(S$2,Inputs!$K$4:$AJ$4,0)))+SUMPRODUCT((Inputs!$E$5:$E$130=$B32)*Inputs!$F$5:$F$130*(((Inputs!$G$5:$G$130="moeda")+(Inputs!$G$5:$G$130="acoes"))*Inputs!$B$1+((Inputs!$G$5:$G$130&lt;&gt;"moeda")*(Inputs!$G$5:$G$130&lt;&gt;"acoes")))*INDEX(Inputs!$K$5:$AJ$130,0,MATCH(S$2,Inputs!$K$4:$AJ$4,0)))))</f>
        <v>17699</v>
      </c>
      <c r="T32" s="6">
        <f>IF(ISNA(MATCH(T$2,Inputs!$K$4:$AJ$4,0)),NA(),IF(SUMPRODUCT((Inputs!$A$5:$A$130=$B32)*ISNUMBER(INDEX(Inputs!$K$5:$AJ$130,0,MATCH(T$2,Inputs!$K$4:$AJ$4,0))))+SUMPRODUCT((Inputs!$C$5:$C$130=$B32)*ISNUMBER(INDEX(Inputs!$K$5:$AJ$130,0,MATCH(T$2,Inputs!$K$4:$AJ$4,0))))+SUMPRODUCT((Inputs!$E$5:$E$130=$B32)*ISNUMBER(INDEX(Inputs!$K$5:$AJ$130,0,MATCH(T$2,Inputs!$K$4:$AJ$4,0))))=0,NA(),SUMPRODUCT((Inputs!$A$5:$A$130=$B32)*Inputs!$B$5:$B$130*(((Inputs!$G$5:$G$130="moeda")+(Inputs!$G$5:$G$130="acoes"))*Inputs!$B$1+((Inputs!$G$5:$G$130&lt;&gt;"moeda")*(Inputs!$G$5:$G$130&lt;&gt;"acoes")))*INDEX(Inputs!$K$5:$AJ$130,0,MATCH(T$2,Inputs!$K$4:$AJ$4,0)))+SUMPRODUCT((Inputs!$C$5:$C$130=$B32)*Inputs!$D$5:$D$130*(((Inputs!$G$5:$G$130="moeda")+(Inputs!$G$5:$G$130="acoes"))*Inputs!$B$1+((Inputs!$G$5:$G$130&lt;&gt;"moeda")*(Inputs!$G$5:$G$130&lt;&gt;"acoes")))*INDEX(Inputs!$K$5:$AJ$130,0,MATCH(T$2,Inputs!$K$4:$AJ$4,0)))+SUMPRODUCT((Inputs!$E$5:$E$130=$B32)*Inputs!$F$5:$F$130*(((Inputs!$G$5:$G$130="moeda")+(Inputs!$G$5:$G$130="acoes"))*Inputs!$B$1+((Inputs!$G$5:$G$130&lt;&gt;"moeda")*(Inputs!$G$5:$G$130&lt;&gt;"acoes")))*INDEX(Inputs!$K$5:$AJ$130,0,MATCH(T$2,Inputs!$K$4:$AJ$4,0)))))</f>
        <v>15294</v>
      </c>
      <c r="U32" s="6">
        <f>IF(ISNA(MATCH(U$2,Inputs!$K$4:$AJ$4,0)),NA(),IF(SUMPRODUCT((Inputs!$A$5:$A$130=$B32)*ISNUMBER(INDEX(Inputs!$K$5:$AJ$130,0,MATCH(U$2,Inputs!$K$4:$AJ$4,0))))+SUMPRODUCT((Inputs!$C$5:$C$130=$B32)*ISNUMBER(INDEX(Inputs!$K$5:$AJ$130,0,MATCH(U$2,Inputs!$K$4:$AJ$4,0))))+SUMPRODUCT((Inputs!$E$5:$E$130=$B32)*ISNUMBER(INDEX(Inputs!$K$5:$AJ$130,0,MATCH(U$2,Inputs!$K$4:$AJ$4,0))))=0,NA(),SUMPRODUCT((Inputs!$A$5:$A$130=$B32)*Inputs!$B$5:$B$130*(((Inputs!$G$5:$G$130="moeda")+(Inputs!$G$5:$G$130="acoes"))*Inputs!$B$1+((Inputs!$G$5:$G$130&lt;&gt;"moeda")*(Inputs!$G$5:$G$130&lt;&gt;"acoes")))*INDEX(Inputs!$K$5:$AJ$130,0,MATCH(U$2,Inputs!$K$4:$AJ$4,0)))+SUMPRODUCT((Inputs!$C$5:$C$130=$B32)*Inputs!$D$5:$D$130*(((Inputs!$G$5:$G$130="moeda")+(Inputs!$G$5:$G$130="acoes"))*Inputs!$B$1+((Inputs!$G$5:$G$130&lt;&gt;"moeda")*(Inputs!$G$5:$G$130&lt;&gt;"acoes")))*INDEX(Inputs!$K$5:$AJ$130,0,MATCH(U$2,Inputs!$K$4:$AJ$4,0)))+SUMPRODUCT((Inputs!$E$5:$E$130=$B32)*Inputs!$F$5:$F$130*(((Inputs!$G$5:$G$130="moeda")+(Inputs!$G$5:$G$130="acoes"))*Inputs!$B$1+((Inputs!$G$5:$G$130&lt;&gt;"moeda")*(Inputs!$G$5:$G$130&lt;&gt;"acoes")))*INDEX(Inputs!$K$5:$AJ$130,0,MATCH(U$2,Inputs!$K$4:$AJ$4,0)))))</f>
        <v>13533</v>
      </c>
      <c r="V32" s="6">
        <f>IF(ISNA(MATCH(V$2,Inputs!$K$4:$AJ$4,0)),NA(),IF(SUMPRODUCT((Inputs!$A$5:$A$130=$B32)*ISNUMBER(INDEX(Inputs!$K$5:$AJ$130,0,MATCH(V$2,Inputs!$K$4:$AJ$4,0))))+SUMPRODUCT((Inputs!$C$5:$C$130=$B32)*ISNUMBER(INDEX(Inputs!$K$5:$AJ$130,0,MATCH(V$2,Inputs!$K$4:$AJ$4,0))))+SUMPRODUCT((Inputs!$E$5:$E$130=$B32)*ISNUMBER(INDEX(Inputs!$K$5:$AJ$130,0,MATCH(V$2,Inputs!$K$4:$AJ$4,0))))=0,NA(),SUMPRODUCT((Inputs!$A$5:$A$130=$B32)*Inputs!$B$5:$B$130*(((Inputs!$G$5:$G$130="moeda")+(Inputs!$G$5:$G$130="acoes"))*Inputs!$B$1+((Inputs!$G$5:$G$130&lt;&gt;"moeda")*(Inputs!$G$5:$G$130&lt;&gt;"acoes")))*INDEX(Inputs!$K$5:$AJ$130,0,MATCH(V$2,Inputs!$K$4:$AJ$4,0)))+SUMPRODUCT((Inputs!$C$5:$C$130=$B32)*Inputs!$D$5:$D$130*(((Inputs!$G$5:$G$130="moeda")+(Inputs!$G$5:$G$130="acoes"))*Inputs!$B$1+((Inputs!$G$5:$G$130&lt;&gt;"moeda")*(Inputs!$G$5:$G$130&lt;&gt;"acoes")))*INDEX(Inputs!$K$5:$AJ$130,0,MATCH(V$2,Inputs!$K$4:$AJ$4,0)))+SUMPRODUCT((Inputs!$E$5:$E$130=$B32)*Inputs!$F$5:$F$130*(((Inputs!$G$5:$G$130="moeda")+(Inputs!$G$5:$G$130="acoes"))*Inputs!$B$1+((Inputs!$G$5:$G$130&lt;&gt;"moeda")*(Inputs!$G$5:$G$130&lt;&gt;"acoes")))*INDEX(Inputs!$K$5:$AJ$130,0,MATCH(V$2,Inputs!$K$4:$AJ$4,0)))))</f>
        <v>12811</v>
      </c>
      <c r="W32" s="3">
        <f>V32</f>
        <v>12811</v>
      </c>
      <c r="X32" s="6">
        <f>IF(ISNA(MATCH(X$2,Inputs!$K$4:$AJ$4,0)),NA(),IF(SUMPRODUCT((Inputs!$A$5:$A$130=$B32)*ISNUMBER(INDEX(Inputs!$K$5:$AJ$130,0,MATCH(X$2,Inputs!$K$4:$AJ$4,0))))+SUMPRODUCT((Inputs!$C$5:$C$130=$B32)*ISNUMBER(INDEX(Inputs!$K$5:$AJ$130,0,MATCH(X$2,Inputs!$K$4:$AJ$4,0))))+SUMPRODUCT((Inputs!$E$5:$E$130=$B32)*ISNUMBER(INDEX(Inputs!$K$5:$AJ$130,0,MATCH(X$2,Inputs!$K$4:$AJ$4,0))))=0,NA(),SUMPRODUCT((Inputs!$A$5:$A$130=$B32)*Inputs!$B$5:$B$130*(((Inputs!$G$5:$G$130="moeda")+(Inputs!$G$5:$G$130="acoes"))*Inputs!$B$1+((Inputs!$G$5:$G$130&lt;&gt;"moeda")*(Inputs!$G$5:$G$130&lt;&gt;"acoes")))*INDEX(Inputs!$K$5:$AJ$130,0,MATCH(X$2,Inputs!$K$4:$AJ$4,0)))+SUMPRODUCT((Inputs!$C$5:$C$130=$B32)*Inputs!$D$5:$D$130*(((Inputs!$G$5:$G$130="moeda")+(Inputs!$G$5:$G$130="acoes"))*Inputs!$B$1+((Inputs!$G$5:$G$130&lt;&gt;"moeda")*(Inputs!$G$5:$G$130&lt;&gt;"acoes")))*INDEX(Inputs!$K$5:$AJ$130,0,MATCH(X$2,Inputs!$K$4:$AJ$4,0)))+SUMPRODUCT((Inputs!$E$5:$E$130=$B32)*Inputs!$F$5:$F$130*(((Inputs!$G$5:$G$130="moeda")+(Inputs!$G$5:$G$130="acoes"))*Inputs!$B$1+((Inputs!$G$5:$G$130&lt;&gt;"moeda")*(Inputs!$G$5:$G$130&lt;&gt;"acoes")))*INDEX(Inputs!$K$5:$AJ$130,0,MATCH(X$2,Inputs!$K$4:$AJ$4,0)))))</f>
        <v>15948</v>
      </c>
      <c r="Y32" s="6">
        <f>IF(ISNA(MATCH(Y$2,Inputs!$K$4:$AJ$4,0)),NA(),IF(SUMPRODUCT((Inputs!$A$5:$A$130=$B32)*ISNUMBER(INDEX(Inputs!$K$5:$AJ$130,0,MATCH(Y$2,Inputs!$K$4:$AJ$4,0))))+SUMPRODUCT((Inputs!$C$5:$C$130=$B32)*ISNUMBER(INDEX(Inputs!$K$5:$AJ$130,0,MATCH(Y$2,Inputs!$K$4:$AJ$4,0))))+SUMPRODUCT((Inputs!$E$5:$E$130=$B32)*ISNUMBER(INDEX(Inputs!$K$5:$AJ$130,0,MATCH(Y$2,Inputs!$K$4:$AJ$4,0))))=0,NA(),SUMPRODUCT((Inputs!$A$5:$A$130=$B32)*Inputs!$B$5:$B$130*(((Inputs!$G$5:$G$130="moeda")+(Inputs!$G$5:$G$130="acoes"))*Inputs!$B$1+((Inputs!$G$5:$G$130&lt;&gt;"moeda")*(Inputs!$G$5:$G$130&lt;&gt;"acoes")))*INDEX(Inputs!$K$5:$AJ$130,0,MATCH(Y$2,Inputs!$K$4:$AJ$4,0)))+SUMPRODUCT((Inputs!$C$5:$C$130=$B32)*Inputs!$D$5:$D$130*(((Inputs!$G$5:$G$130="moeda")+(Inputs!$G$5:$G$130="acoes"))*Inputs!$B$1+((Inputs!$G$5:$G$130&lt;&gt;"moeda")*(Inputs!$G$5:$G$130&lt;&gt;"acoes")))*INDEX(Inputs!$K$5:$AJ$130,0,MATCH(Y$2,Inputs!$K$4:$AJ$4,0)))+SUMPRODUCT((Inputs!$E$5:$E$130=$B32)*Inputs!$F$5:$F$130*(((Inputs!$G$5:$G$130="moeda")+(Inputs!$G$5:$G$130="acoes"))*Inputs!$B$1+((Inputs!$G$5:$G$130&lt;&gt;"moeda")*(Inputs!$G$5:$G$130&lt;&gt;"acoes")))*INDEX(Inputs!$K$5:$AJ$130,0,MATCH(Y$2,Inputs!$K$4:$AJ$4,0)))))</f>
        <v>14607</v>
      </c>
      <c r="Z32" s="6">
        <f>IF(ISNA(MATCH(Z$2,Inputs!$K$4:$AJ$4,0)),NA(),IF(SUMPRODUCT((Inputs!$A$5:$A$130=$B32)*ISNUMBER(INDEX(Inputs!$K$5:$AJ$130,0,MATCH(Z$2,Inputs!$K$4:$AJ$4,0))))+SUMPRODUCT((Inputs!$C$5:$C$130=$B32)*ISNUMBER(INDEX(Inputs!$K$5:$AJ$130,0,MATCH(Z$2,Inputs!$K$4:$AJ$4,0))))+SUMPRODUCT((Inputs!$E$5:$E$130=$B32)*ISNUMBER(INDEX(Inputs!$K$5:$AJ$130,0,MATCH(Z$2,Inputs!$K$4:$AJ$4,0))))=0,NA(),SUMPRODUCT((Inputs!$A$5:$A$130=$B32)*Inputs!$B$5:$B$130*(((Inputs!$G$5:$G$130="moeda")+(Inputs!$G$5:$G$130="acoes"))*Inputs!$B$1+((Inputs!$G$5:$G$130&lt;&gt;"moeda")*(Inputs!$G$5:$G$130&lt;&gt;"acoes")))*INDEX(Inputs!$K$5:$AJ$130,0,MATCH(Z$2,Inputs!$K$4:$AJ$4,0)))+SUMPRODUCT((Inputs!$C$5:$C$130=$B32)*Inputs!$D$5:$D$130*(((Inputs!$G$5:$G$130="moeda")+(Inputs!$G$5:$G$130="acoes"))*Inputs!$B$1+((Inputs!$G$5:$G$130&lt;&gt;"moeda")*(Inputs!$G$5:$G$130&lt;&gt;"acoes")))*INDEX(Inputs!$K$5:$AJ$130,0,MATCH(Z$2,Inputs!$K$4:$AJ$4,0)))+SUMPRODUCT((Inputs!$E$5:$E$130=$B32)*Inputs!$F$5:$F$130*(((Inputs!$G$5:$G$130="moeda")+(Inputs!$G$5:$G$130="acoes"))*Inputs!$B$1+((Inputs!$G$5:$G$130&lt;&gt;"moeda")*(Inputs!$G$5:$G$130&lt;&gt;"acoes")))*INDEX(Inputs!$K$5:$AJ$130,0,MATCH(Z$2,Inputs!$K$4:$AJ$4,0)))))</f>
        <v>13796</v>
      </c>
      <c r="AA32" s="6">
        <f>IF(ISNA(MATCH(AA$2,Inputs!$K$4:$AJ$4,0)),NA(),IF(SUMPRODUCT((Inputs!$A$5:$A$130=$B32)*ISNUMBER(INDEX(Inputs!$K$5:$AJ$130,0,MATCH(AA$2,Inputs!$K$4:$AJ$4,0))))+SUMPRODUCT((Inputs!$C$5:$C$130=$B32)*ISNUMBER(INDEX(Inputs!$K$5:$AJ$130,0,MATCH(AA$2,Inputs!$K$4:$AJ$4,0))))+SUMPRODUCT((Inputs!$E$5:$E$130=$B32)*ISNUMBER(INDEX(Inputs!$K$5:$AJ$130,0,MATCH(AA$2,Inputs!$K$4:$AJ$4,0))))=0,NA(),SUMPRODUCT((Inputs!$A$5:$A$130=$B32)*Inputs!$B$5:$B$130*(((Inputs!$G$5:$G$130="moeda")+(Inputs!$G$5:$G$130="acoes"))*Inputs!$B$1+((Inputs!$G$5:$G$130&lt;&gt;"moeda")*(Inputs!$G$5:$G$130&lt;&gt;"acoes")))*INDEX(Inputs!$K$5:$AJ$130,0,MATCH(AA$2,Inputs!$K$4:$AJ$4,0)))+SUMPRODUCT((Inputs!$C$5:$C$130=$B32)*Inputs!$D$5:$D$130*(((Inputs!$G$5:$G$130="moeda")+(Inputs!$G$5:$G$130="acoes"))*Inputs!$B$1+((Inputs!$G$5:$G$130&lt;&gt;"moeda")*(Inputs!$G$5:$G$130&lt;&gt;"acoes")))*INDEX(Inputs!$K$5:$AJ$130,0,MATCH(AA$2,Inputs!$K$4:$AJ$4,0)))+SUMPRODUCT((Inputs!$E$5:$E$130=$B32)*Inputs!$F$5:$F$130*(((Inputs!$G$5:$G$130="moeda")+(Inputs!$G$5:$G$130="acoes"))*Inputs!$B$1+((Inputs!$G$5:$G$130&lt;&gt;"moeda")*(Inputs!$G$5:$G$130&lt;&gt;"acoes")))*INDEX(Inputs!$K$5:$AJ$130,0,MATCH(AA$2,Inputs!$K$4:$AJ$4,0)))))</f>
        <v>14392</v>
      </c>
      <c r="AB32" s="3">
        <f>AA32</f>
        <v>14392</v>
      </c>
      <c r="AC32" s="6">
        <f>IF(ISNA(MATCH(AC$2,Inputs!$K$4:$AJ$4,0)),NA(),IF(SUMPRODUCT((Inputs!$A$5:$A$130=$B32)*ISNUMBER(INDEX(Inputs!$K$5:$AJ$130,0,MATCH(AC$2,Inputs!$K$4:$AJ$4,0))))+SUMPRODUCT((Inputs!$C$5:$C$130=$B32)*ISNUMBER(INDEX(Inputs!$K$5:$AJ$130,0,MATCH(AC$2,Inputs!$K$4:$AJ$4,0))))+SUMPRODUCT((Inputs!$E$5:$E$130=$B32)*ISNUMBER(INDEX(Inputs!$K$5:$AJ$130,0,MATCH(AC$2,Inputs!$K$4:$AJ$4,0))))=0,NA(),SUMPRODUCT((Inputs!$A$5:$A$130=$B32)*Inputs!$B$5:$B$130*(((Inputs!$G$5:$G$130="moeda")+(Inputs!$G$5:$G$130="acoes"))*Inputs!$B$1+((Inputs!$G$5:$G$130&lt;&gt;"moeda")*(Inputs!$G$5:$G$130&lt;&gt;"acoes")))*INDEX(Inputs!$K$5:$AJ$130,0,MATCH(AC$2,Inputs!$K$4:$AJ$4,0)))+SUMPRODUCT((Inputs!$C$5:$C$130=$B32)*Inputs!$D$5:$D$130*(((Inputs!$G$5:$G$130="moeda")+(Inputs!$G$5:$G$130="acoes"))*Inputs!$B$1+((Inputs!$G$5:$G$130&lt;&gt;"moeda")*(Inputs!$G$5:$G$130&lt;&gt;"acoes")))*INDEX(Inputs!$K$5:$AJ$130,0,MATCH(AC$2,Inputs!$K$4:$AJ$4,0)))+SUMPRODUCT((Inputs!$E$5:$E$130=$B32)*Inputs!$F$5:$F$130*(((Inputs!$G$5:$G$130="moeda")+(Inputs!$G$5:$G$130="acoes"))*Inputs!$B$1+((Inputs!$G$5:$G$130&lt;&gt;"moeda")*(Inputs!$G$5:$G$130&lt;&gt;"acoes")))*INDEX(Inputs!$K$5:$AJ$130,0,MATCH(AC$2,Inputs!$K$4:$AJ$4,0)))))</f>
        <v>15632</v>
      </c>
      <c r="AD32" s="6">
        <f>IF(ISNA(MATCH(AD$2,Inputs!$K$4:$AJ$4,0)),NA(),IF(SUMPRODUCT((Inputs!$A$5:$A$130=$B32)*ISNUMBER(INDEX(Inputs!$K$5:$AJ$130,0,MATCH(AD$2,Inputs!$K$4:$AJ$4,0))))+SUMPRODUCT((Inputs!$C$5:$C$130=$B32)*ISNUMBER(INDEX(Inputs!$K$5:$AJ$130,0,MATCH(AD$2,Inputs!$K$4:$AJ$4,0))))+SUMPRODUCT((Inputs!$E$5:$E$130=$B32)*ISNUMBER(INDEX(Inputs!$K$5:$AJ$130,0,MATCH(AD$2,Inputs!$K$4:$AJ$4,0))))=0,NA(),SUMPRODUCT((Inputs!$A$5:$A$130=$B32)*Inputs!$B$5:$B$130*(((Inputs!$G$5:$G$130="moeda")+(Inputs!$G$5:$G$130="acoes"))*Inputs!$B$1+((Inputs!$G$5:$G$130&lt;&gt;"moeda")*(Inputs!$G$5:$G$130&lt;&gt;"acoes")))*INDEX(Inputs!$K$5:$AJ$130,0,MATCH(AD$2,Inputs!$K$4:$AJ$4,0)))+SUMPRODUCT((Inputs!$C$5:$C$130=$B32)*Inputs!$D$5:$D$130*(((Inputs!$G$5:$G$130="moeda")+(Inputs!$G$5:$G$130="acoes"))*Inputs!$B$1+((Inputs!$G$5:$G$130&lt;&gt;"moeda")*(Inputs!$G$5:$G$130&lt;&gt;"acoes")))*INDEX(Inputs!$K$5:$AJ$130,0,MATCH(AD$2,Inputs!$K$4:$AJ$4,0)))+SUMPRODUCT((Inputs!$E$5:$E$130=$B32)*Inputs!$F$5:$F$130*(((Inputs!$G$5:$G$130="moeda")+(Inputs!$G$5:$G$130="acoes"))*Inputs!$B$1+((Inputs!$G$5:$G$130&lt;&gt;"moeda")*(Inputs!$G$5:$G$130&lt;&gt;"acoes")))*INDEX(Inputs!$K$5:$AJ$130,0,MATCH(AD$2,Inputs!$K$4:$AJ$4,0)))))</f>
        <v>17115</v>
      </c>
      <c r="AE32" s="6" t="e">
        <f>IF(ISNA(MATCH(AE$2,Inputs!$K$4:$AJ$4,0)),NA(),IF(SUMPRODUCT((Inputs!$A$5:$A$130=$B32)*ISNUMBER(INDEX(Inputs!$K$5:$AJ$130,0,MATCH(AE$2,Inputs!$K$4:$AJ$4,0))))+SUMPRODUCT((Inputs!$C$5:$C$130=$B32)*ISNUMBER(INDEX(Inputs!$K$5:$AJ$130,0,MATCH(AE$2,Inputs!$K$4:$AJ$4,0))))+SUMPRODUCT((Inputs!$E$5:$E$130=$B32)*ISNUMBER(INDEX(Inputs!$K$5:$AJ$130,0,MATCH(AE$2,Inputs!$K$4:$AJ$4,0))))=0,NA(),SUMPRODUCT((Inputs!$A$5:$A$130=$B32)*Inputs!$B$5:$B$130*(((Inputs!$G$5:$G$130="moeda")+(Inputs!$G$5:$G$130="acoes"))*Inputs!$B$1+((Inputs!$G$5:$G$130&lt;&gt;"moeda")*(Inputs!$G$5:$G$130&lt;&gt;"acoes")))*INDEX(Inputs!$K$5:$AJ$130,0,MATCH(AE$2,Inputs!$K$4:$AJ$4,0)))+SUMPRODUCT((Inputs!$C$5:$C$130=$B32)*Inputs!$D$5:$D$130*(((Inputs!$G$5:$G$130="moeda")+(Inputs!$G$5:$G$130="acoes"))*Inputs!$B$1+((Inputs!$G$5:$G$130&lt;&gt;"moeda")*(Inputs!$G$5:$G$130&lt;&gt;"acoes")))*INDEX(Inputs!$K$5:$AJ$130,0,MATCH(AE$2,Inputs!$K$4:$AJ$4,0)))+SUMPRODUCT((Inputs!$E$5:$E$130=$B32)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2" s="6" t="e">
        <f>IF(ISNA(MATCH(AF$2,Inputs!$K$4:$AJ$4,0)),NA(),IF(SUMPRODUCT((Inputs!$A$5:$A$130=$B32)*ISNUMBER(INDEX(Inputs!$K$5:$AJ$130,0,MATCH(AF$2,Inputs!$K$4:$AJ$4,0))))+SUMPRODUCT((Inputs!$C$5:$C$130=$B32)*ISNUMBER(INDEX(Inputs!$K$5:$AJ$130,0,MATCH(AF$2,Inputs!$K$4:$AJ$4,0))))+SUMPRODUCT((Inputs!$E$5:$E$130=$B32)*ISNUMBER(INDEX(Inputs!$K$5:$AJ$130,0,MATCH(AF$2,Inputs!$K$4:$AJ$4,0))))=0,NA(),SUMPRODUCT((Inputs!$A$5:$A$130=$B32)*Inputs!$B$5:$B$130*(((Inputs!$G$5:$G$130="moeda")+(Inputs!$G$5:$G$130="acoes"))*Inputs!$B$1+((Inputs!$G$5:$G$130&lt;&gt;"moeda")*(Inputs!$G$5:$G$130&lt;&gt;"acoes")))*INDEX(Inputs!$K$5:$AJ$130,0,MATCH(AF$2,Inputs!$K$4:$AJ$4,0)))+SUMPRODUCT((Inputs!$C$5:$C$130=$B32)*Inputs!$D$5:$D$130*(((Inputs!$G$5:$G$130="moeda")+(Inputs!$G$5:$G$130="acoes"))*Inputs!$B$1+((Inputs!$G$5:$G$130&lt;&gt;"moeda")*(Inputs!$G$5:$G$130&lt;&gt;"acoes")))*INDEX(Inputs!$K$5:$AJ$130,0,MATCH(AF$2,Inputs!$K$4:$AJ$4,0)))+SUMPRODUCT((Inputs!$E$5:$E$130=$B32)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2" s="3" t="e">
        <f>AF32</f>
        <v>#N/A</v>
      </c>
      <c r="AH32" s="6">
        <f>IF(ISNA(MATCH(AH$2,Inputs!$K$4:$AJ$4,0)),NA(),IF(SUMPRODUCT((Inputs!$A$5:$A$130=$B32)*ISNUMBER(INDEX(Inputs!$K$5:$AJ$130,0,MATCH(AH$2,Inputs!$K$4:$AJ$4,0))))+SUMPRODUCT((Inputs!$C$5:$C$130=$B32)*ISNUMBER(INDEX(Inputs!$K$5:$AJ$130,0,MATCH(AH$2,Inputs!$K$4:$AJ$4,0))))+SUMPRODUCT((Inputs!$E$5:$E$130=$B32)*ISNUMBER(INDEX(Inputs!$K$5:$AJ$130,0,MATCH(AH$2,Inputs!$K$4:$AJ$4,0))))=0,NA(),SUMPRODUCT((Inputs!$A$5:$A$130=$B32)*Inputs!$B$5:$B$130*(((Inputs!$G$5:$G$130="moeda")+(Inputs!$G$5:$G$130="acoes"))*Inputs!$B$1+((Inputs!$G$5:$G$130&lt;&gt;"moeda")*(Inputs!$G$5:$G$130&lt;&gt;"acoes")))*INDEX(Inputs!$K$5:$AJ$130,0,MATCH(AH$2,Inputs!$K$4:$AJ$4,0)))+SUMPRODUCT((Inputs!$C$5:$C$130=$B32)*Inputs!$D$5:$D$130*(((Inputs!$G$5:$G$130="moeda")+(Inputs!$G$5:$G$130="acoes"))*Inputs!$B$1+((Inputs!$G$5:$G$130&lt;&gt;"moeda")*(Inputs!$G$5:$G$130&lt;&gt;"acoes")))*INDEX(Inputs!$K$5:$AJ$130,0,MATCH(AH$2,Inputs!$K$4:$AJ$4,0)))+SUMPRODUCT((Inputs!$E$5:$E$130=$B32)*Inputs!$F$5:$F$130*(((Inputs!$G$5:$G$130="moeda")+(Inputs!$G$5:$G$130="acoes"))*Inputs!$B$1+((Inputs!$G$5:$G$130&lt;&gt;"moeda")*(Inputs!$G$5:$G$130&lt;&gt;"acoes")))*INDEX(Inputs!$K$5:$AJ$130,0,MATCH(AH$2,Inputs!$K$4:$AJ$4,0)))))</f>
        <v>34324</v>
      </c>
      <c r="AI32" s="6">
        <f>IF(ISNA(MATCH(AI$2,Inputs!$K$4:$AJ$4,0)),NA(),IF(SUMPRODUCT((Inputs!$A$5:$A$130=$B32)*ISNUMBER(INDEX(Inputs!$K$5:$AJ$130,0,MATCH(AI$2,Inputs!$K$4:$AJ$4,0))))+SUMPRODUCT((Inputs!$C$5:$C$130=$B32)*ISNUMBER(INDEX(Inputs!$K$5:$AJ$130,0,MATCH(AI$2,Inputs!$K$4:$AJ$4,0))))+SUMPRODUCT((Inputs!$E$5:$E$130=$B32)*ISNUMBER(INDEX(Inputs!$K$5:$AJ$130,0,MATCH(AI$2,Inputs!$K$4:$AJ$4,0))))=0,NA(),SUMPRODUCT((Inputs!$A$5:$A$130=$B32)*Inputs!$B$5:$B$130*(((Inputs!$G$5:$G$130="moeda")+(Inputs!$G$5:$G$130="acoes"))*Inputs!$B$1+((Inputs!$G$5:$G$130&lt;&gt;"moeda")*(Inputs!$G$5:$G$130&lt;&gt;"acoes")))*INDEX(Inputs!$K$5:$AJ$130,0,MATCH(AI$2,Inputs!$K$4:$AJ$4,0)))+SUMPRODUCT((Inputs!$C$5:$C$130=$B32)*Inputs!$D$5:$D$130*(((Inputs!$G$5:$G$130="moeda")+(Inputs!$G$5:$G$130="acoes"))*Inputs!$B$1+((Inputs!$G$5:$G$130&lt;&gt;"moeda")*(Inputs!$G$5:$G$130&lt;&gt;"acoes")))*INDEX(Inputs!$K$5:$AJ$130,0,MATCH(AI$2,Inputs!$K$4:$AJ$4,0)))+SUMPRODUCT((Inputs!$E$5:$E$130=$B32)*Inputs!$F$5:$F$130*(((Inputs!$G$5:$G$130="moeda")+(Inputs!$G$5:$G$130="acoes"))*Inputs!$B$1+((Inputs!$G$5:$G$130&lt;&gt;"moeda")*(Inputs!$G$5:$G$130&lt;&gt;"acoes")))*INDEX(Inputs!$K$5:$AJ$130,0,MATCH(AI$2,Inputs!$K$4:$AJ$4,0)))))</f>
        <v>34037</v>
      </c>
      <c r="AJ32" s="6">
        <f>IF(ISNA(MATCH(AJ$2,Inputs!$K$4:$AJ$4,0)),NA(),IF(SUMPRODUCT((Inputs!$A$5:$A$130=$B32)*ISNUMBER(INDEX(Inputs!$K$5:$AJ$130,0,MATCH(AJ$2,Inputs!$K$4:$AJ$4,0))))+SUMPRODUCT((Inputs!$C$5:$C$130=$B32)*ISNUMBER(INDEX(Inputs!$K$5:$AJ$130,0,MATCH(AJ$2,Inputs!$K$4:$AJ$4,0))))+SUMPRODUCT((Inputs!$E$5:$E$130=$B32)*ISNUMBER(INDEX(Inputs!$K$5:$AJ$130,0,MATCH(AJ$2,Inputs!$K$4:$AJ$4,0))))=0,NA(),SUMPRODUCT((Inputs!$A$5:$A$130=$B32)*Inputs!$B$5:$B$130*(((Inputs!$G$5:$G$130="moeda")+(Inputs!$G$5:$G$130="acoes"))*Inputs!$B$1+((Inputs!$G$5:$G$130&lt;&gt;"moeda")*(Inputs!$G$5:$G$130&lt;&gt;"acoes")))*INDEX(Inputs!$K$5:$AJ$130,0,MATCH(AJ$2,Inputs!$K$4:$AJ$4,0)))+SUMPRODUCT((Inputs!$C$5:$C$130=$B32)*Inputs!$D$5:$D$130*(((Inputs!$G$5:$G$130="moeda")+(Inputs!$G$5:$G$130="acoes"))*Inputs!$B$1+((Inputs!$G$5:$G$130&lt;&gt;"moeda")*(Inputs!$G$5:$G$130&lt;&gt;"acoes")))*INDEX(Inputs!$K$5:$AJ$130,0,MATCH(AJ$2,Inputs!$K$4:$AJ$4,0)))+SUMPRODUCT((Inputs!$E$5:$E$130=$B32)*Inputs!$F$5:$F$130*(((Inputs!$G$5:$G$130="moeda")+(Inputs!$G$5:$G$130="acoes"))*Inputs!$B$1+((Inputs!$G$5:$G$130&lt;&gt;"moeda")*(Inputs!$G$5:$G$130&lt;&gt;"acoes")))*INDEX(Inputs!$K$5:$AJ$130,0,MATCH(AJ$2,Inputs!$K$4:$AJ$4,0)))))</f>
        <v>32734</v>
      </c>
      <c r="AK32" s="6">
        <f>IF(ISNA(MATCH(AK$2,Inputs!$K$4:$AJ$4,0)),NA(),IF(SUMPRODUCT((Inputs!$A$5:$A$130=$B32)*ISNUMBER(INDEX(Inputs!$K$5:$AJ$130,0,MATCH(AK$2,Inputs!$K$4:$AJ$4,0))))+SUMPRODUCT((Inputs!$C$5:$C$130=$B32)*ISNUMBER(INDEX(Inputs!$K$5:$AJ$130,0,MATCH(AK$2,Inputs!$K$4:$AJ$4,0))))+SUMPRODUCT((Inputs!$E$5:$E$130=$B32)*ISNUMBER(INDEX(Inputs!$K$5:$AJ$130,0,MATCH(AK$2,Inputs!$K$4:$AJ$4,0))))=0,NA(),SUMPRODUCT((Inputs!$A$5:$A$130=$B32)*Inputs!$B$5:$B$130*(((Inputs!$G$5:$G$130="moeda")+(Inputs!$G$5:$G$130="acoes"))*Inputs!$B$1+((Inputs!$G$5:$G$130&lt;&gt;"moeda")*(Inputs!$G$5:$G$130&lt;&gt;"acoes")))*INDEX(Inputs!$K$5:$AJ$130,0,MATCH(AK$2,Inputs!$K$4:$AJ$4,0)))+SUMPRODUCT((Inputs!$C$5:$C$130=$B32)*Inputs!$D$5:$D$130*(((Inputs!$G$5:$G$130="moeda")+(Inputs!$G$5:$G$130="acoes"))*Inputs!$B$1+((Inputs!$G$5:$G$130&lt;&gt;"moeda")*(Inputs!$G$5:$G$130&lt;&gt;"acoes")))*INDEX(Inputs!$K$5:$AJ$130,0,MATCH(AK$2,Inputs!$K$4:$AJ$4,0)))+SUMPRODUCT((Inputs!$E$5:$E$130=$B32)*Inputs!$F$5:$F$130*(((Inputs!$G$5:$G$130="moeda")+(Inputs!$G$5:$G$130="acoes"))*Inputs!$B$1+((Inputs!$G$5:$G$130&lt;&gt;"moeda")*(Inputs!$G$5:$G$130&lt;&gt;"acoes")))*INDEX(Inputs!$K$5:$AJ$130,0,MATCH(AK$2,Inputs!$K$4:$AJ$4,0)))))</f>
        <v>32772</v>
      </c>
      <c r="AL32" s="3">
        <f>AK32</f>
        <v>32772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$130=$B33)*ISNUMBER(INDEX(Inputs!$K$5:$AJ$130,0,MATCH(D$2,Inputs!$K$4:$AJ$4,0))))+SUMPRODUCT((Inputs!$C$5:$C$130=$B33)*ISNUMBER(INDEX(Inputs!$K$5:$AJ$130,0,MATCH(D$2,Inputs!$K$4:$AJ$4,0))))+SUMPRODUCT((Inputs!$E$5:$E$130=$B33)*ISNUMBER(INDEX(Inputs!$K$5:$AJ$130,0,MATCH(D$2,Inputs!$K$4:$AJ$4,0))))=0,NA(),SUMPRODUCT((Inputs!$A$5:$A$130=$B33)*Inputs!$B$5:$B$130*(((Inputs!$G$5:$G$130="moeda")+(Inputs!$G$5:$G$130="acoes"))*Inputs!$B$1+((Inputs!$G$5:$G$130&lt;&gt;"moeda")*(Inputs!$G$5:$G$130&lt;&gt;"acoes")))*INDEX(Inputs!$K$5:$AJ$130,0,MATCH(D$2,Inputs!$K$4:$AJ$4,0)))+SUMPRODUCT((Inputs!$C$5:$C$130=$B33)*Inputs!$D$5:$D$130*(((Inputs!$G$5:$G$130="moeda")+(Inputs!$G$5:$G$130="acoes"))*Inputs!$B$1+((Inputs!$G$5:$G$130&lt;&gt;"moeda")*(Inputs!$G$5:$G$130&lt;&gt;"acoes")))*INDEX(Inputs!$K$5:$AJ$130,0,MATCH(D$2,Inputs!$K$4:$AJ$4,0)))+SUMPRODUCT((Inputs!$E$5:$E$130=$B33)*Inputs!$F$5:$F$130*(((Inputs!$G$5:$G$130="moeda")+(Inputs!$G$5:$G$130="acoes"))*Inputs!$B$1+((Inputs!$G$5:$G$130&lt;&gt;"moeda")*(Inputs!$G$5:$G$130&lt;&gt;"acoes")))*INDEX(Inputs!$K$5:$AJ$130,0,MATCH(D$2,Inputs!$K$4:$AJ$4,0)))))</f>
        <v>0</v>
      </c>
      <c r="E33" s="6">
        <f>IF(ISNA(MATCH(E$2,Inputs!$K$4:$AJ$4,0)),NA(),IF(SUMPRODUCT((Inputs!$A$5:$A$130=$B33)*ISNUMBER(INDEX(Inputs!$K$5:$AJ$130,0,MATCH(E$2,Inputs!$K$4:$AJ$4,0))))+SUMPRODUCT((Inputs!$C$5:$C$130=$B33)*ISNUMBER(INDEX(Inputs!$K$5:$AJ$130,0,MATCH(E$2,Inputs!$K$4:$AJ$4,0))))+SUMPRODUCT((Inputs!$E$5:$E$130=$B33)*ISNUMBER(INDEX(Inputs!$K$5:$AJ$130,0,MATCH(E$2,Inputs!$K$4:$AJ$4,0))))=0,NA(),SUMPRODUCT((Inputs!$A$5:$A$130=$B33)*Inputs!$B$5:$B$130*(((Inputs!$G$5:$G$130="moeda")+(Inputs!$G$5:$G$130="acoes"))*Inputs!$B$1+((Inputs!$G$5:$G$130&lt;&gt;"moeda")*(Inputs!$G$5:$G$130&lt;&gt;"acoes")))*INDEX(Inputs!$K$5:$AJ$130,0,MATCH(E$2,Inputs!$K$4:$AJ$4,0)))+SUMPRODUCT((Inputs!$C$5:$C$130=$B33)*Inputs!$D$5:$D$130*(((Inputs!$G$5:$G$130="moeda")+(Inputs!$G$5:$G$130="acoes"))*Inputs!$B$1+((Inputs!$G$5:$G$130&lt;&gt;"moeda")*(Inputs!$G$5:$G$130&lt;&gt;"acoes")))*INDEX(Inputs!$K$5:$AJ$130,0,MATCH(E$2,Inputs!$K$4:$AJ$4,0)))+SUMPRODUCT((Inputs!$E$5:$E$130=$B33)*Inputs!$F$5:$F$130*(((Inputs!$G$5:$G$130="moeda")+(Inputs!$G$5:$G$130="acoes"))*Inputs!$B$1+((Inputs!$G$5:$G$130&lt;&gt;"moeda")*(Inputs!$G$5:$G$130&lt;&gt;"acoes")))*INDEX(Inputs!$K$5:$AJ$130,0,MATCH(E$2,Inputs!$K$4:$AJ$4,0)))))</f>
        <v>0</v>
      </c>
      <c r="F33" s="6">
        <f>IF(ISNA(MATCH(F$2,Inputs!$K$4:$AJ$4,0)),NA(),IF(SUMPRODUCT((Inputs!$A$5:$A$130=$B33)*ISNUMBER(INDEX(Inputs!$K$5:$AJ$130,0,MATCH(F$2,Inputs!$K$4:$AJ$4,0))))+SUMPRODUCT((Inputs!$C$5:$C$130=$B33)*ISNUMBER(INDEX(Inputs!$K$5:$AJ$130,0,MATCH(F$2,Inputs!$K$4:$AJ$4,0))))+SUMPRODUCT((Inputs!$E$5:$E$130=$B33)*ISNUMBER(INDEX(Inputs!$K$5:$AJ$130,0,MATCH(F$2,Inputs!$K$4:$AJ$4,0))))=0,NA(),SUMPRODUCT((Inputs!$A$5:$A$130=$B33)*Inputs!$B$5:$B$130*(((Inputs!$G$5:$G$130="moeda")+(Inputs!$G$5:$G$130="acoes"))*Inputs!$B$1+((Inputs!$G$5:$G$130&lt;&gt;"moeda")*(Inputs!$G$5:$G$130&lt;&gt;"acoes")))*INDEX(Inputs!$K$5:$AJ$130,0,MATCH(F$2,Inputs!$K$4:$AJ$4,0)))+SUMPRODUCT((Inputs!$C$5:$C$130=$B33)*Inputs!$D$5:$D$130*(((Inputs!$G$5:$G$130="moeda")+(Inputs!$G$5:$G$130="acoes"))*Inputs!$B$1+((Inputs!$G$5:$G$130&lt;&gt;"moeda")*(Inputs!$G$5:$G$130&lt;&gt;"acoes")))*INDEX(Inputs!$K$5:$AJ$130,0,MATCH(F$2,Inputs!$K$4:$AJ$4,0)))+SUMPRODUCT((Inputs!$E$5:$E$130=$B33)*Inputs!$F$5:$F$130*(((Inputs!$G$5:$G$130="moeda")+(Inputs!$G$5:$G$130="acoes"))*Inputs!$B$1+((Inputs!$G$5:$G$130&lt;&gt;"moeda")*(Inputs!$G$5:$G$130&lt;&gt;"acoes")))*INDEX(Inputs!$K$5:$AJ$130,0,MATCH(F$2,Inputs!$K$4:$AJ$4,0)))))</f>
        <v>0</v>
      </c>
      <c r="G33" s="6">
        <f>IF(ISNA(MATCH(G$2,Inputs!$K$4:$AJ$4,0)),NA(),IF(SUMPRODUCT((Inputs!$A$5:$A$130=$B33)*ISNUMBER(INDEX(Inputs!$K$5:$AJ$130,0,MATCH(G$2,Inputs!$K$4:$AJ$4,0))))+SUMPRODUCT((Inputs!$C$5:$C$130=$B33)*ISNUMBER(INDEX(Inputs!$K$5:$AJ$130,0,MATCH(G$2,Inputs!$K$4:$AJ$4,0))))+SUMPRODUCT((Inputs!$E$5:$E$130=$B33)*ISNUMBER(INDEX(Inputs!$K$5:$AJ$130,0,MATCH(G$2,Inputs!$K$4:$AJ$4,0))))=0,NA(),SUMPRODUCT((Inputs!$A$5:$A$130=$B33)*Inputs!$B$5:$B$130*(((Inputs!$G$5:$G$130="moeda")+(Inputs!$G$5:$G$130="acoes"))*Inputs!$B$1+((Inputs!$G$5:$G$130&lt;&gt;"moeda")*(Inputs!$G$5:$G$130&lt;&gt;"acoes")))*INDEX(Inputs!$K$5:$AJ$130,0,MATCH(G$2,Inputs!$K$4:$AJ$4,0)))+SUMPRODUCT((Inputs!$C$5:$C$130=$B33)*Inputs!$D$5:$D$130*(((Inputs!$G$5:$G$130="moeda")+(Inputs!$G$5:$G$130="acoes"))*Inputs!$B$1+((Inputs!$G$5:$G$130&lt;&gt;"moeda")*(Inputs!$G$5:$G$130&lt;&gt;"acoes")))*INDEX(Inputs!$K$5:$AJ$130,0,MATCH(G$2,Inputs!$K$4:$AJ$4,0)))+SUMPRODUCT((Inputs!$E$5:$E$130=$B33)*Inputs!$F$5:$F$130*(((Inputs!$G$5:$G$130="moeda")+(Inputs!$G$5:$G$130="acoes"))*Inputs!$B$1+((Inputs!$G$5:$G$130&lt;&gt;"moeda")*(Inputs!$G$5:$G$130&lt;&gt;"acoes")))*INDEX(Inputs!$K$5:$AJ$130,0,MATCH(G$2,Inputs!$K$4:$AJ$4,0)))))</f>
        <v>0</v>
      </c>
      <c r="H33" s="3">
        <f>G33</f>
        <v>0</v>
      </c>
      <c r="I33" s="6">
        <f>IF(ISNA(MATCH(I$2,Inputs!$K$4:$AJ$4,0)),NA(),IF(SUMPRODUCT((Inputs!$A$5:$A$130=$B33)*ISNUMBER(INDEX(Inputs!$K$5:$AJ$130,0,MATCH(I$2,Inputs!$K$4:$AJ$4,0))))+SUMPRODUCT((Inputs!$C$5:$C$130=$B33)*ISNUMBER(INDEX(Inputs!$K$5:$AJ$130,0,MATCH(I$2,Inputs!$K$4:$AJ$4,0))))+SUMPRODUCT((Inputs!$E$5:$E$130=$B33)*ISNUMBER(INDEX(Inputs!$K$5:$AJ$130,0,MATCH(I$2,Inputs!$K$4:$AJ$4,0))))=0,NA(),SUMPRODUCT((Inputs!$A$5:$A$130=$B33)*Inputs!$B$5:$B$130*(((Inputs!$G$5:$G$130="moeda")+(Inputs!$G$5:$G$130="acoes"))*Inputs!$B$1+((Inputs!$G$5:$G$130&lt;&gt;"moeda")*(Inputs!$G$5:$G$130&lt;&gt;"acoes")))*INDEX(Inputs!$K$5:$AJ$130,0,MATCH(I$2,Inputs!$K$4:$AJ$4,0)))+SUMPRODUCT((Inputs!$C$5:$C$130=$B33)*Inputs!$D$5:$D$130*(((Inputs!$G$5:$G$130="moeda")+(Inputs!$G$5:$G$130="acoes"))*Inputs!$B$1+((Inputs!$G$5:$G$130&lt;&gt;"moeda")*(Inputs!$G$5:$G$130&lt;&gt;"acoes")))*INDEX(Inputs!$K$5:$AJ$130,0,MATCH(I$2,Inputs!$K$4:$AJ$4,0)))+SUMPRODUCT((Inputs!$E$5:$E$130=$B33)*Inputs!$F$5:$F$130*(((Inputs!$G$5:$G$130="moeda")+(Inputs!$G$5:$G$130="acoes"))*Inputs!$B$1+((Inputs!$G$5:$G$130&lt;&gt;"moeda")*(Inputs!$G$5:$G$130&lt;&gt;"acoes")))*INDEX(Inputs!$K$5:$AJ$130,0,MATCH(I$2,Inputs!$K$4:$AJ$4,0)))))</f>
        <v>0</v>
      </c>
      <c r="J33" s="6">
        <f>IF(ISNA(MATCH(J$2,Inputs!$K$4:$AJ$4,0)),NA(),IF(SUMPRODUCT((Inputs!$A$5:$A$130=$B33)*ISNUMBER(INDEX(Inputs!$K$5:$AJ$130,0,MATCH(J$2,Inputs!$K$4:$AJ$4,0))))+SUMPRODUCT((Inputs!$C$5:$C$130=$B33)*ISNUMBER(INDEX(Inputs!$K$5:$AJ$130,0,MATCH(J$2,Inputs!$K$4:$AJ$4,0))))+SUMPRODUCT((Inputs!$E$5:$E$130=$B33)*ISNUMBER(INDEX(Inputs!$K$5:$AJ$130,0,MATCH(J$2,Inputs!$K$4:$AJ$4,0))))=0,NA(),SUMPRODUCT((Inputs!$A$5:$A$130=$B33)*Inputs!$B$5:$B$130*(((Inputs!$G$5:$G$130="moeda")+(Inputs!$G$5:$G$130="acoes"))*Inputs!$B$1+((Inputs!$G$5:$G$130&lt;&gt;"moeda")*(Inputs!$G$5:$G$130&lt;&gt;"acoes")))*INDEX(Inputs!$K$5:$AJ$130,0,MATCH(J$2,Inputs!$K$4:$AJ$4,0)))+SUMPRODUCT((Inputs!$C$5:$C$130=$B33)*Inputs!$D$5:$D$130*(((Inputs!$G$5:$G$130="moeda")+(Inputs!$G$5:$G$130="acoes"))*Inputs!$B$1+((Inputs!$G$5:$G$130&lt;&gt;"moeda")*(Inputs!$G$5:$G$130&lt;&gt;"acoes")))*INDEX(Inputs!$K$5:$AJ$130,0,MATCH(J$2,Inputs!$K$4:$AJ$4,0)))+SUMPRODUCT((Inputs!$E$5:$E$130=$B33)*Inputs!$F$5:$F$130*(((Inputs!$G$5:$G$130="moeda")+(Inputs!$G$5:$G$130="acoes"))*Inputs!$B$1+((Inputs!$G$5:$G$130&lt;&gt;"moeda")*(Inputs!$G$5:$G$130&lt;&gt;"acoes")))*INDEX(Inputs!$K$5:$AJ$130,0,MATCH(J$2,Inputs!$K$4:$AJ$4,0)))))</f>
        <v>0</v>
      </c>
      <c r="K33" s="6">
        <f>IF(ISNA(MATCH(K$2,Inputs!$K$4:$AJ$4,0)),NA(),IF(SUMPRODUCT((Inputs!$A$5:$A$130=$B33)*ISNUMBER(INDEX(Inputs!$K$5:$AJ$130,0,MATCH(K$2,Inputs!$K$4:$AJ$4,0))))+SUMPRODUCT((Inputs!$C$5:$C$130=$B33)*ISNUMBER(INDEX(Inputs!$K$5:$AJ$130,0,MATCH(K$2,Inputs!$K$4:$AJ$4,0))))+SUMPRODUCT((Inputs!$E$5:$E$130=$B33)*ISNUMBER(INDEX(Inputs!$K$5:$AJ$130,0,MATCH(K$2,Inputs!$K$4:$AJ$4,0))))=0,NA(),SUMPRODUCT((Inputs!$A$5:$A$130=$B33)*Inputs!$B$5:$B$130*(((Inputs!$G$5:$G$130="moeda")+(Inputs!$G$5:$G$130="acoes"))*Inputs!$B$1+((Inputs!$G$5:$G$130&lt;&gt;"moeda")*(Inputs!$G$5:$G$130&lt;&gt;"acoes")))*INDEX(Inputs!$K$5:$AJ$130,0,MATCH(K$2,Inputs!$K$4:$AJ$4,0)))+SUMPRODUCT((Inputs!$C$5:$C$130=$B33)*Inputs!$D$5:$D$130*(((Inputs!$G$5:$G$130="moeda")+(Inputs!$G$5:$G$130="acoes"))*Inputs!$B$1+((Inputs!$G$5:$G$130&lt;&gt;"moeda")*(Inputs!$G$5:$G$130&lt;&gt;"acoes")))*INDEX(Inputs!$K$5:$AJ$130,0,MATCH(K$2,Inputs!$K$4:$AJ$4,0)))+SUMPRODUCT((Inputs!$E$5:$E$130=$B33)*Inputs!$F$5:$F$130*(((Inputs!$G$5:$G$130="moeda")+(Inputs!$G$5:$G$130="acoes"))*Inputs!$B$1+((Inputs!$G$5:$G$130&lt;&gt;"moeda")*(Inputs!$G$5:$G$130&lt;&gt;"acoes")))*INDEX(Inputs!$K$5:$AJ$130,0,MATCH(K$2,Inputs!$K$4:$AJ$4,0)))))</f>
        <v>0</v>
      </c>
      <c r="L33" s="6">
        <f>IF(ISNA(MATCH(L$2,Inputs!$K$4:$AJ$4,0)),NA(),IF(SUMPRODUCT((Inputs!$A$5:$A$130=$B33)*ISNUMBER(INDEX(Inputs!$K$5:$AJ$130,0,MATCH(L$2,Inputs!$K$4:$AJ$4,0))))+SUMPRODUCT((Inputs!$C$5:$C$130=$B33)*ISNUMBER(INDEX(Inputs!$K$5:$AJ$130,0,MATCH(L$2,Inputs!$K$4:$AJ$4,0))))+SUMPRODUCT((Inputs!$E$5:$E$130=$B33)*ISNUMBER(INDEX(Inputs!$K$5:$AJ$130,0,MATCH(L$2,Inputs!$K$4:$AJ$4,0))))=0,NA(),SUMPRODUCT((Inputs!$A$5:$A$130=$B33)*Inputs!$B$5:$B$130*(((Inputs!$G$5:$G$130="moeda")+(Inputs!$G$5:$G$130="acoes"))*Inputs!$B$1+((Inputs!$G$5:$G$130&lt;&gt;"moeda")*(Inputs!$G$5:$G$130&lt;&gt;"acoes")))*INDEX(Inputs!$K$5:$AJ$130,0,MATCH(L$2,Inputs!$K$4:$AJ$4,0)))+SUMPRODUCT((Inputs!$C$5:$C$130=$B33)*Inputs!$D$5:$D$130*(((Inputs!$G$5:$G$130="moeda")+(Inputs!$G$5:$G$130="acoes"))*Inputs!$B$1+((Inputs!$G$5:$G$130&lt;&gt;"moeda")*(Inputs!$G$5:$G$130&lt;&gt;"acoes")))*INDEX(Inputs!$K$5:$AJ$130,0,MATCH(L$2,Inputs!$K$4:$AJ$4,0)))+SUMPRODUCT((Inputs!$E$5:$E$130=$B33)*Inputs!$F$5:$F$130*(((Inputs!$G$5:$G$130="moeda")+(Inputs!$G$5:$G$130="acoes"))*Inputs!$B$1+((Inputs!$G$5:$G$130&lt;&gt;"moeda")*(Inputs!$G$5:$G$130&lt;&gt;"acoes")))*INDEX(Inputs!$K$5:$AJ$130,0,MATCH(L$2,Inputs!$K$4:$AJ$4,0)))))</f>
        <v>0</v>
      </c>
      <c r="M33" s="3">
        <f>L33</f>
        <v>0</v>
      </c>
      <c r="N33" s="6">
        <f>IF(ISNA(MATCH(N$2,Inputs!$K$4:$AJ$4,0)),NA(),IF(SUMPRODUCT((Inputs!$A$5:$A$130=$B33)*ISNUMBER(INDEX(Inputs!$K$5:$AJ$130,0,MATCH(N$2,Inputs!$K$4:$AJ$4,0))))+SUMPRODUCT((Inputs!$C$5:$C$130=$B33)*ISNUMBER(INDEX(Inputs!$K$5:$AJ$130,0,MATCH(N$2,Inputs!$K$4:$AJ$4,0))))+SUMPRODUCT((Inputs!$E$5:$E$130=$B33)*ISNUMBER(INDEX(Inputs!$K$5:$AJ$130,0,MATCH(N$2,Inputs!$K$4:$AJ$4,0))))=0,NA(),SUMPRODUCT((Inputs!$A$5:$A$130=$B33)*Inputs!$B$5:$B$130*(((Inputs!$G$5:$G$130="moeda")+(Inputs!$G$5:$G$130="acoes"))*Inputs!$B$1+((Inputs!$G$5:$G$130&lt;&gt;"moeda")*(Inputs!$G$5:$G$130&lt;&gt;"acoes")))*INDEX(Inputs!$K$5:$AJ$130,0,MATCH(N$2,Inputs!$K$4:$AJ$4,0)))+SUMPRODUCT((Inputs!$C$5:$C$130=$B33)*Inputs!$D$5:$D$130*(((Inputs!$G$5:$G$130="moeda")+(Inputs!$G$5:$G$130="acoes"))*Inputs!$B$1+((Inputs!$G$5:$G$130&lt;&gt;"moeda")*(Inputs!$G$5:$G$130&lt;&gt;"acoes")))*INDEX(Inputs!$K$5:$AJ$130,0,MATCH(N$2,Inputs!$K$4:$AJ$4,0)))+SUMPRODUCT((Inputs!$E$5:$E$130=$B33)*Inputs!$F$5:$F$130*(((Inputs!$G$5:$G$130="moeda")+(Inputs!$G$5:$G$130="acoes"))*Inputs!$B$1+((Inputs!$G$5:$G$130&lt;&gt;"moeda")*(Inputs!$G$5:$G$130&lt;&gt;"acoes")))*INDEX(Inputs!$K$5:$AJ$130,0,MATCH(N$2,Inputs!$K$4:$AJ$4,0)))))</f>
        <v>0</v>
      </c>
      <c r="O33" s="6">
        <f>IF(ISNA(MATCH(O$2,Inputs!$K$4:$AJ$4,0)),NA(),IF(SUMPRODUCT((Inputs!$A$5:$A$130=$B33)*ISNUMBER(INDEX(Inputs!$K$5:$AJ$130,0,MATCH(O$2,Inputs!$K$4:$AJ$4,0))))+SUMPRODUCT((Inputs!$C$5:$C$130=$B33)*ISNUMBER(INDEX(Inputs!$K$5:$AJ$130,0,MATCH(O$2,Inputs!$K$4:$AJ$4,0))))+SUMPRODUCT((Inputs!$E$5:$E$130=$B33)*ISNUMBER(INDEX(Inputs!$K$5:$AJ$130,0,MATCH(O$2,Inputs!$K$4:$AJ$4,0))))=0,NA(),SUMPRODUCT((Inputs!$A$5:$A$130=$B33)*Inputs!$B$5:$B$130*(((Inputs!$G$5:$G$130="moeda")+(Inputs!$G$5:$G$130="acoes"))*Inputs!$B$1+((Inputs!$G$5:$G$130&lt;&gt;"moeda")*(Inputs!$G$5:$G$130&lt;&gt;"acoes")))*INDEX(Inputs!$K$5:$AJ$130,0,MATCH(O$2,Inputs!$K$4:$AJ$4,0)))+SUMPRODUCT((Inputs!$C$5:$C$130=$B33)*Inputs!$D$5:$D$130*(((Inputs!$G$5:$G$130="moeda")+(Inputs!$G$5:$G$130="acoes"))*Inputs!$B$1+((Inputs!$G$5:$G$130&lt;&gt;"moeda")*(Inputs!$G$5:$G$130&lt;&gt;"acoes")))*INDEX(Inputs!$K$5:$AJ$130,0,MATCH(O$2,Inputs!$K$4:$AJ$4,0)))+SUMPRODUCT((Inputs!$E$5:$E$130=$B33)*Inputs!$F$5:$F$130*(((Inputs!$G$5:$G$130="moeda")+(Inputs!$G$5:$G$130="acoes"))*Inputs!$B$1+((Inputs!$G$5:$G$130&lt;&gt;"moeda")*(Inputs!$G$5:$G$130&lt;&gt;"acoes")))*INDEX(Inputs!$K$5:$AJ$130,0,MATCH(O$2,Inputs!$K$4:$AJ$4,0)))))</f>
        <v>0</v>
      </c>
      <c r="P33" s="6">
        <f>IF(ISNA(MATCH(P$2,Inputs!$K$4:$AJ$4,0)),NA(),IF(SUMPRODUCT((Inputs!$A$5:$A$130=$B33)*ISNUMBER(INDEX(Inputs!$K$5:$AJ$130,0,MATCH(P$2,Inputs!$K$4:$AJ$4,0))))+SUMPRODUCT((Inputs!$C$5:$C$130=$B33)*ISNUMBER(INDEX(Inputs!$K$5:$AJ$130,0,MATCH(P$2,Inputs!$K$4:$AJ$4,0))))+SUMPRODUCT((Inputs!$E$5:$E$130=$B33)*ISNUMBER(INDEX(Inputs!$K$5:$AJ$130,0,MATCH(P$2,Inputs!$K$4:$AJ$4,0))))=0,NA(),SUMPRODUCT((Inputs!$A$5:$A$130=$B33)*Inputs!$B$5:$B$130*(((Inputs!$G$5:$G$130="moeda")+(Inputs!$G$5:$G$130="acoes"))*Inputs!$B$1+((Inputs!$G$5:$G$130&lt;&gt;"moeda")*(Inputs!$G$5:$G$130&lt;&gt;"acoes")))*INDEX(Inputs!$K$5:$AJ$130,0,MATCH(P$2,Inputs!$K$4:$AJ$4,0)))+SUMPRODUCT((Inputs!$C$5:$C$130=$B33)*Inputs!$D$5:$D$130*(((Inputs!$G$5:$G$130="moeda")+(Inputs!$G$5:$G$130="acoes"))*Inputs!$B$1+((Inputs!$G$5:$G$130&lt;&gt;"moeda")*(Inputs!$G$5:$G$130&lt;&gt;"acoes")))*INDEX(Inputs!$K$5:$AJ$130,0,MATCH(P$2,Inputs!$K$4:$AJ$4,0)))+SUMPRODUCT((Inputs!$E$5:$E$130=$B33)*Inputs!$F$5:$F$130*(((Inputs!$G$5:$G$130="moeda")+(Inputs!$G$5:$G$130="acoes"))*Inputs!$B$1+((Inputs!$G$5:$G$130&lt;&gt;"moeda")*(Inputs!$G$5:$G$130&lt;&gt;"acoes")))*INDEX(Inputs!$K$5:$AJ$130,0,MATCH(P$2,Inputs!$K$4:$AJ$4,0)))))</f>
        <v>0</v>
      </c>
      <c r="Q33" s="6">
        <f>IF(ISNA(MATCH(Q$2,Inputs!$K$4:$AJ$4,0)),NA(),IF(SUMPRODUCT((Inputs!$A$5:$A$130=$B33)*ISNUMBER(INDEX(Inputs!$K$5:$AJ$130,0,MATCH(Q$2,Inputs!$K$4:$AJ$4,0))))+SUMPRODUCT((Inputs!$C$5:$C$130=$B33)*ISNUMBER(INDEX(Inputs!$K$5:$AJ$130,0,MATCH(Q$2,Inputs!$K$4:$AJ$4,0))))+SUMPRODUCT((Inputs!$E$5:$E$130=$B33)*ISNUMBER(INDEX(Inputs!$K$5:$AJ$130,0,MATCH(Q$2,Inputs!$K$4:$AJ$4,0))))=0,NA(),SUMPRODUCT((Inputs!$A$5:$A$130=$B33)*Inputs!$B$5:$B$130*(((Inputs!$G$5:$G$130="moeda")+(Inputs!$G$5:$G$130="acoes"))*Inputs!$B$1+((Inputs!$G$5:$G$130&lt;&gt;"moeda")*(Inputs!$G$5:$G$130&lt;&gt;"acoes")))*INDEX(Inputs!$K$5:$AJ$130,0,MATCH(Q$2,Inputs!$K$4:$AJ$4,0)))+SUMPRODUCT((Inputs!$C$5:$C$130=$B33)*Inputs!$D$5:$D$130*(((Inputs!$G$5:$G$130="moeda")+(Inputs!$G$5:$G$130="acoes"))*Inputs!$B$1+((Inputs!$G$5:$G$130&lt;&gt;"moeda")*(Inputs!$G$5:$G$130&lt;&gt;"acoes")))*INDEX(Inputs!$K$5:$AJ$130,0,MATCH(Q$2,Inputs!$K$4:$AJ$4,0)))+SUMPRODUCT((Inputs!$E$5:$E$130=$B33)*Inputs!$F$5:$F$130*(((Inputs!$G$5:$G$130="moeda")+(Inputs!$G$5:$G$130="acoes"))*Inputs!$B$1+((Inputs!$G$5:$G$130&lt;&gt;"moeda")*(Inputs!$G$5:$G$130&lt;&gt;"acoes")))*INDEX(Inputs!$K$5:$AJ$130,0,MATCH(Q$2,Inputs!$K$4:$AJ$4,0)))))</f>
        <v>0</v>
      </c>
      <c r="R33" s="3">
        <f>Q33</f>
        <v>0</v>
      </c>
      <c r="S33" s="6">
        <f>IF(ISNA(MATCH(S$2,Inputs!$K$4:$AJ$4,0)),NA(),IF(SUMPRODUCT((Inputs!$A$5:$A$130=$B33)*ISNUMBER(INDEX(Inputs!$K$5:$AJ$130,0,MATCH(S$2,Inputs!$K$4:$AJ$4,0))))+SUMPRODUCT((Inputs!$C$5:$C$130=$B33)*ISNUMBER(INDEX(Inputs!$K$5:$AJ$130,0,MATCH(S$2,Inputs!$K$4:$AJ$4,0))))+SUMPRODUCT((Inputs!$E$5:$E$130=$B33)*ISNUMBER(INDEX(Inputs!$K$5:$AJ$130,0,MATCH(S$2,Inputs!$K$4:$AJ$4,0))))=0,NA(),SUMPRODUCT((Inputs!$A$5:$A$130=$B33)*Inputs!$B$5:$B$130*(((Inputs!$G$5:$G$130="moeda")+(Inputs!$G$5:$G$130="acoes"))*Inputs!$B$1+((Inputs!$G$5:$G$130&lt;&gt;"moeda")*(Inputs!$G$5:$G$130&lt;&gt;"acoes")))*INDEX(Inputs!$K$5:$AJ$130,0,MATCH(S$2,Inputs!$K$4:$AJ$4,0)))+SUMPRODUCT((Inputs!$C$5:$C$130=$B33)*Inputs!$D$5:$D$130*(((Inputs!$G$5:$G$130="moeda")+(Inputs!$G$5:$G$130="acoes"))*Inputs!$B$1+((Inputs!$G$5:$G$130&lt;&gt;"moeda")*(Inputs!$G$5:$G$130&lt;&gt;"acoes")))*INDEX(Inputs!$K$5:$AJ$130,0,MATCH(S$2,Inputs!$K$4:$AJ$4,0)))+SUMPRODUCT((Inputs!$E$5:$E$130=$B33)*Inputs!$F$5:$F$130*(((Inputs!$G$5:$G$130="moeda")+(Inputs!$G$5:$G$130="acoes"))*Inputs!$B$1+((Inputs!$G$5:$G$130&lt;&gt;"moeda")*(Inputs!$G$5:$G$130&lt;&gt;"acoes")))*INDEX(Inputs!$K$5:$AJ$130,0,MATCH(S$2,Inputs!$K$4:$AJ$4,0)))))</f>
        <v>0</v>
      </c>
      <c r="T33" s="6">
        <f>IF(ISNA(MATCH(T$2,Inputs!$K$4:$AJ$4,0)),NA(),IF(SUMPRODUCT((Inputs!$A$5:$A$130=$B33)*ISNUMBER(INDEX(Inputs!$K$5:$AJ$130,0,MATCH(T$2,Inputs!$K$4:$AJ$4,0))))+SUMPRODUCT((Inputs!$C$5:$C$130=$B33)*ISNUMBER(INDEX(Inputs!$K$5:$AJ$130,0,MATCH(T$2,Inputs!$K$4:$AJ$4,0))))+SUMPRODUCT((Inputs!$E$5:$E$130=$B33)*ISNUMBER(INDEX(Inputs!$K$5:$AJ$130,0,MATCH(T$2,Inputs!$K$4:$AJ$4,0))))=0,NA(),SUMPRODUCT((Inputs!$A$5:$A$130=$B33)*Inputs!$B$5:$B$130*(((Inputs!$G$5:$G$130="moeda")+(Inputs!$G$5:$G$130="acoes"))*Inputs!$B$1+((Inputs!$G$5:$G$130&lt;&gt;"moeda")*(Inputs!$G$5:$G$130&lt;&gt;"acoes")))*INDEX(Inputs!$K$5:$AJ$130,0,MATCH(T$2,Inputs!$K$4:$AJ$4,0)))+SUMPRODUCT((Inputs!$C$5:$C$130=$B33)*Inputs!$D$5:$D$130*(((Inputs!$G$5:$G$130="moeda")+(Inputs!$G$5:$G$130="acoes"))*Inputs!$B$1+((Inputs!$G$5:$G$130&lt;&gt;"moeda")*(Inputs!$G$5:$G$130&lt;&gt;"acoes")))*INDEX(Inputs!$K$5:$AJ$130,0,MATCH(T$2,Inputs!$K$4:$AJ$4,0)))+SUMPRODUCT((Inputs!$E$5:$E$130=$B33)*Inputs!$F$5:$F$130*(((Inputs!$G$5:$G$130="moeda")+(Inputs!$G$5:$G$130="acoes"))*Inputs!$B$1+((Inputs!$G$5:$G$130&lt;&gt;"moeda")*(Inputs!$G$5:$G$130&lt;&gt;"acoes")))*INDEX(Inputs!$K$5:$AJ$130,0,MATCH(T$2,Inputs!$K$4:$AJ$4,0)))))</f>
        <v>0</v>
      </c>
      <c r="U33" s="6">
        <f>IF(ISNA(MATCH(U$2,Inputs!$K$4:$AJ$4,0)),NA(),IF(SUMPRODUCT((Inputs!$A$5:$A$130=$B33)*ISNUMBER(INDEX(Inputs!$K$5:$AJ$130,0,MATCH(U$2,Inputs!$K$4:$AJ$4,0))))+SUMPRODUCT((Inputs!$C$5:$C$130=$B33)*ISNUMBER(INDEX(Inputs!$K$5:$AJ$130,0,MATCH(U$2,Inputs!$K$4:$AJ$4,0))))+SUMPRODUCT((Inputs!$E$5:$E$130=$B33)*ISNUMBER(INDEX(Inputs!$K$5:$AJ$130,0,MATCH(U$2,Inputs!$K$4:$AJ$4,0))))=0,NA(),SUMPRODUCT((Inputs!$A$5:$A$130=$B33)*Inputs!$B$5:$B$130*(((Inputs!$G$5:$G$130="moeda")+(Inputs!$G$5:$G$130="acoes"))*Inputs!$B$1+((Inputs!$G$5:$G$130&lt;&gt;"moeda")*(Inputs!$G$5:$G$130&lt;&gt;"acoes")))*INDEX(Inputs!$K$5:$AJ$130,0,MATCH(U$2,Inputs!$K$4:$AJ$4,0)))+SUMPRODUCT((Inputs!$C$5:$C$130=$B33)*Inputs!$D$5:$D$130*(((Inputs!$G$5:$G$130="moeda")+(Inputs!$G$5:$G$130="acoes"))*Inputs!$B$1+((Inputs!$G$5:$G$130&lt;&gt;"moeda")*(Inputs!$G$5:$G$130&lt;&gt;"acoes")))*INDEX(Inputs!$K$5:$AJ$130,0,MATCH(U$2,Inputs!$K$4:$AJ$4,0)))+SUMPRODUCT((Inputs!$E$5:$E$130=$B33)*Inputs!$F$5:$F$130*(((Inputs!$G$5:$G$130="moeda")+(Inputs!$G$5:$G$130="acoes"))*Inputs!$B$1+((Inputs!$G$5:$G$130&lt;&gt;"moeda")*(Inputs!$G$5:$G$130&lt;&gt;"acoes")))*INDEX(Inputs!$K$5:$AJ$130,0,MATCH(U$2,Inputs!$K$4:$AJ$4,0)))))</f>
        <v>0</v>
      </c>
      <c r="V33" s="6">
        <f>IF(ISNA(MATCH(V$2,Inputs!$K$4:$AJ$4,0)),NA(),IF(SUMPRODUCT((Inputs!$A$5:$A$130=$B33)*ISNUMBER(INDEX(Inputs!$K$5:$AJ$130,0,MATCH(V$2,Inputs!$K$4:$AJ$4,0))))+SUMPRODUCT((Inputs!$C$5:$C$130=$B33)*ISNUMBER(INDEX(Inputs!$K$5:$AJ$130,0,MATCH(V$2,Inputs!$K$4:$AJ$4,0))))+SUMPRODUCT((Inputs!$E$5:$E$130=$B33)*ISNUMBER(INDEX(Inputs!$K$5:$AJ$130,0,MATCH(V$2,Inputs!$K$4:$AJ$4,0))))=0,NA(),SUMPRODUCT((Inputs!$A$5:$A$130=$B33)*Inputs!$B$5:$B$130*(((Inputs!$G$5:$G$130="moeda")+(Inputs!$G$5:$G$130="acoes"))*Inputs!$B$1+((Inputs!$G$5:$G$130&lt;&gt;"moeda")*(Inputs!$G$5:$G$130&lt;&gt;"acoes")))*INDEX(Inputs!$K$5:$AJ$130,0,MATCH(V$2,Inputs!$K$4:$AJ$4,0)))+SUMPRODUCT((Inputs!$C$5:$C$130=$B33)*Inputs!$D$5:$D$130*(((Inputs!$G$5:$G$130="moeda")+(Inputs!$G$5:$G$130="acoes"))*Inputs!$B$1+((Inputs!$G$5:$G$130&lt;&gt;"moeda")*(Inputs!$G$5:$G$130&lt;&gt;"acoes")))*INDEX(Inputs!$K$5:$AJ$130,0,MATCH(V$2,Inputs!$K$4:$AJ$4,0)))+SUMPRODUCT((Inputs!$E$5:$E$130=$B33)*Inputs!$F$5:$F$130*(((Inputs!$G$5:$G$130="moeda")+(Inputs!$G$5:$G$130="acoes"))*Inputs!$B$1+((Inputs!$G$5:$G$130&lt;&gt;"moeda")*(Inputs!$G$5:$G$130&lt;&gt;"acoes")))*INDEX(Inputs!$K$5:$AJ$130,0,MATCH(V$2,Inputs!$K$4:$AJ$4,0)))))</f>
        <v>0</v>
      </c>
      <c r="W33" s="3">
        <f>V33</f>
        <v>0</v>
      </c>
      <c r="X33" s="6">
        <f>IF(ISNA(MATCH(X$2,Inputs!$K$4:$AJ$4,0)),NA(),IF(SUMPRODUCT((Inputs!$A$5:$A$130=$B33)*ISNUMBER(INDEX(Inputs!$K$5:$AJ$130,0,MATCH(X$2,Inputs!$K$4:$AJ$4,0))))+SUMPRODUCT((Inputs!$C$5:$C$130=$B33)*ISNUMBER(INDEX(Inputs!$K$5:$AJ$130,0,MATCH(X$2,Inputs!$K$4:$AJ$4,0))))+SUMPRODUCT((Inputs!$E$5:$E$130=$B33)*ISNUMBER(INDEX(Inputs!$K$5:$AJ$130,0,MATCH(X$2,Inputs!$K$4:$AJ$4,0))))=0,NA(),SUMPRODUCT((Inputs!$A$5:$A$130=$B33)*Inputs!$B$5:$B$130*(((Inputs!$G$5:$G$130="moeda")+(Inputs!$G$5:$G$130="acoes"))*Inputs!$B$1+((Inputs!$G$5:$G$130&lt;&gt;"moeda")*(Inputs!$G$5:$G$130&lt;&gt;"acoes")))*INDEX(Inputs!$K$5:$AJ$130,0,MATCH(X$2,Inputs!$K$4:$AJ$4,0)))+SUMPRODUCT((Inputs!$C$5:$C$130=$B33)*Inputs!$D$5:$D$130*(((Inputs!$G$5:$G$130="moeda")+(Inputs!$G$5:$G$130="acoes"))*Inputs!$B$1+((Inputs!$G$5:$G$130&lt;&gt;"moeda")*(Inputs!$G$5:$G$130&lt;&gt;"acoes")))*INDEX(Inputs!$K$5:$AJ$130,0,MATCH(X$2,Inputs!$K$4:$AJ$4,0)))+SUMPRODUCT((Inputs!$E$5:$E$130=$B33)*Inputs!$F$5:$F$130*(((Inputs!$G$5:$G$130="moeda")+(Inputs!$G$5:$G$130="acoes"))*Inputs!$B$1+((Inputs!$G$5:$G$130&lt;&gt;"moeda")*(Inputs!$G$5:$G$130&lt;&gt;"acoes")))*INDEX(Inputs!$K$5:$AJ$130,0,MATCH(X$2,Inputs!$K$4:$AJ$4,0)))))</f>
        <v>0</v>
      </c>
      <c r="Y33" s="6">
        <f>IF(ISNA(MATCH(Y$2,Inputs!$K$4:$AJ$4,0)),NA(),IF(SUMPRODUCT((Inputs!$A$5:$A$130=$B33)*ISNUMBER(INDEX(Inputs!$K$5:$AJ$130,0,MATCH(Y$2,Inputs!$K$4:$AJ$4,0))))+SUMPRODUCT((Inputs!$C$5:$C$130=$B33)*ISNUMBER(INDEX(Inputs!$K$5:$AJ$130,0,MATCH(Y$2,Inputs!$K$4:$AJ$4,0))))+SUMPRODUCT((Inputs!$E$5:$E$130=$B33)*ISNUMBER(INDEX(Inputs!$K$5:$AJ$130,0,MATCH(Y$2,Inputs!$K$4:$AJ$4,0))))=0,NA(),SUMPRODUCT((Inputs!$A$5:$A$130=$B33)*Inputs!$B$5:$B$130*(((Inputs!$G$5:$G$130="moeda")+(Inputs!$G$5:$G$130="acoes"))*Inputs!$B$1+((Inputs!$G$5:$G$130&lt;&gt;"moeda")*(Inputs!$G$5:$G$130&lt;&gt;"acoes")))*INDEX(Inputs!$K$5:$AJ$130,0,MATCH(Y$2,Inputs!$K$4:$AJ$4,0)))+SUMPRODUCT((Inputs!$C$5:$C$130=$B33)*Inputs!$D$5:$D$130*(((Inputs!$G$5:$G$130="moeda")+(Inputs!$G$5:$G$130="acoes"))*Inputs!$B$1+((Inputs!$G$5:$G$130&lt;&gt;"moeda")*(Inputs!$G$5:$G$130&lt;&gt;"acoes")))*INDEX(Inputs!$K$5:$AJ$130,0,MATCH(Y$2,Inputs!$K$4:$AJ$4,0)))+SUMPRODUCT((Inputs!$E$5:$E$130=$B33)*Inputs!$F$5:$F$130*(((Inputs!$G$5:$G$130="moeda")+(Inputs!$G$5:$G$130="acoes"))*Inputs!$B$1+((Inputs!$G$5:$G$130&lt;&gt;"moeda")*(Inputs!$G$5:$G$130&lt;&gt;"acoes")))*INDEX(Inputs!$K$5:$AJ$130,0,MATCH(Y$2,Inputs!$K$4:$AJ$4,0)))))</f>
        <v>0</v>
      </c>
      <c r="Z33" s="6">
        <f>IF(ISNA(MATCH(Z$2,Inputs!$K$4:$AJ$4,0)),NA(),IF(SUMPRODUCT((Inputs!$A$5:$A$130=$B33)*ISNUMBER(INDEX(Inputs!$K$5:$AJ$130,0,MATCH(Z$2,Inputs!$K$4:$AJ$4,0))))+SUMPRODUCT((Inputs!$C$5:$C$130=$B33)*ISNUMBER(INDEX(Inputs!$K$5:$AJ$130,0,MATCH(Z$2,Inputs!$K$4:$AJ$4,0))))+SUMPRODUCT((Inputs!$E$5:$E$130=$B33)*ISNUMBER(INDEX(Inputs!$K$5:$AJ$130,0,MATCH(Z$2,Inputs!$K$4:$AJ$4,0))))=0,NA(),SUMPRODUCT((Inputs!$A$5:$A$130=$B33)*Inputs!$B$5:$B$130*(((Inputs!$G$5:$G$130="moeda")+(Inputs!$G$5:$G$130="acoes"))*Inputs!$B$1+((Inputs!$G$5:$G$130&lt;&gt;"moeda")*(Inputs!$G$5:$G$130&lt;&gt;"acoes")))*INDEX(Inputs!$K$5:$AJ$130,0,MATCH(Z$2,Inputs!$K$4:$AJ$4,0)))+SUMPRODUCT((Inputs!$C$5:$C$130=$B33)*Inputs!$D$5:$D$130*(((Inputs!$G$5:$G$130="moeda")+(Inputs!$G$5:$G$130="acoes"))*Inputs!$B$1+((Inputs!$G$5:$G$130&lt;&gt;"moeda")*(Inputs!$G$5:$G$130&lt;&gt;"acoes")))*INDEX(Inputs!$K$5:$AJ$130,0,MATCH(Z$2,Inputs!$K$4:$AJ$4,0)))+SUMPRODUCT((Inputs!$E$5:$E$130=$B33)*Inputs!$F$5:$F$130*(((Inputs!$G$5:$G$130="moeda")+(Inputs!$G$5:$G$130="acoes"))*Inputs!$B$1+((Inputs!$G$5:$G$130&lt;&gt;"moeda")*(Inputs!$G$5:$G$130&lt;&gt;"acoes")))*INDEX(Inputs!$K$5:$AJ$130,0,MATCH(Z$2,Inputs!$K$4:$AJ$4,0)))))</f>
        <v>0</v>
      </c>
      <c r="AA33" s="6">
        <f>IF(ISNA(MATCH(AA$2,Inputs!$K$4:$AJ$4,0)),NA(),IF(SUMPRODUCT((Inputs!$A$5:$A$130=$B33)*ISNUMBER(INDEX(Inputs!$K$5:$AJ$130,0,MATCH(AA$2,Inputs!$K$4:$AJ$4,0))))+SUMPRODUCT((Inputs!$C$5:$C$130=$B33)*ISNUMBER(INDEX(Inputs!$K$5:$AJ$130,0,MATCH(AA$2,Inputs!$K$4:$AJ$4,0))))+SUMPRODUCT((Inputs!$E$5:$E$130=$B33)*ISNUMBER(INDEX(Inputs!$K$5:$AJ$130,0,MATCH(AA$2,Inputs!$K$4:$AJ$4,0))))=0,NA(),SUMPRODUCT((Inputs!$A$5:$A$130=$B33)*Inputs!$B$5:$B$130*(((Inputs!$G$5:$G$130="moeda")+(Inputs!$G$5:$G$130="acoes"))*Inputs!$B$1+((Inputs!$G$5:$G$130&lt;&gt;"moeda")*(Inputs!$G$5:$G$130&lt;&gt;"acoes")))*INDEX(Inputs!$K$5:$AJ$130,0,MATCH(AA$2,Inputs!$K$4:$AJ$4,0)))+SUMPRODUCT((Inputs!$C$5:$C$130=$B33)*Inputs!$D$5:$D$130*(((Inputs!$G$5:$G$130="moeda")+(Inputs!$G$5:$G$130="acoes"))*Inputs!$B$1+((Inputs!$G$5:$G$130&lt;&gt;"moeda")*(Inputs!$G$5:$G$130&lt;&gt;"acoes")))*INDEX(Inputs!$K$5:$AJ$130,0,MATCH(AA$2,Inputs!$K$4:$AJ$4,0)))+SUMPRODUCT((Inputs!$E$5:$E$130=$B33)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3" s="3">
        <f>AA33</f>
        <v>0</v>
      </c>
      <c r="AC33" s="6">
        <f>IF(ISNA(MATCH(AC$2,Inputs!$K$4:$AJ$4,0)),NA(),IF(SUMPRODUCT((Inputs!$A$5:$A$130=$B33)*ISNUMBER(INDEX(Inputs!$K$5:$AJ$130,0,MATCH(AC$2,Inputs!$K$4:$AJ$4,0))))+SUMPRODUCT((Inputs!$C$5:$C$130=$B33)*ISNUMBER(INDEX(Inputs!$K$5:$AJ$130,0,MATCH(AC$2,Inputs!$K$4:$AJ$4,0))))+SUMPRODUCT((Inputs!$E$5:$E$130=$B33)*ISNUMBER(INDEX(Inputs!$K$5:$AJ$130,0,MATCH(AC$2,Inputs!$K$4:$AJ$4,0))))=0,NA(),SUMPRODUCT((Inputs!$A$5:$A$130=$B33)*Inputs!$B$5:$B$130*(((Inputs!$G$5:$G$130="moeda")+(Inputs!$G$5:$G$130="acoes"))*Inputs!$B$1+((Inputs!$G$5:$G$130&lt;&gt;"moeda")*(Inputs!$G$5:$G$130&lt;&gt;"acoes")))*INDEX(Inputs!$K$5:$AJ$130,0,MATCH(AC$2,Inputs!$K$4:$AJ$4,0)))+SUMPRODUCT((Inputs!$C$5:$C$130=$B33)*Inputs!$D$5:$D$130*(((Inputs!$G$5:$G$130="moeda")+(Inputs!$G$5:$G$130="acoes"))*Inputs!$B$1+((Inputs!$G$5:$G$130&lt;&gt;"moeda")*(Inputs!$G$5:$G$130&lt;&gt;"acoes")))*INDEX(Inputs!$K$5:$AJ$130,0,MATCH(AC$2,Inputs!$K$4:$AJ$4,0)))+SUMPRODUCT((Inputs!$E$5:$E$130=$B33)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3" s="6">
        <f>IF(ISNA(MATCH(AD$2,Inputs!$K$4:$AJ$4,0)),NA(),IF(SUMPRODUCT((Inputs!$A$5:$A$130=$B33)*ISNUMBER(INDEX(Inputs!$K$5:$AJ$130,0,MATCH(AD$2,Inputs!$K$4:$AJ$4,0))))+SUMPRODUCT((Inputs!$C$5:$C$130=$B33)*ISNUMBER(INDEX(Inputs!$K$5:$AJ$130,0,MATCH(AD$2,Inputs!$K$4:$AJ$4,0))))+SUMPRODUCT((Inputs!$E$5:$E$130=$B33)*ISNUMBER(INDEX(Inputs!$K$5:$AJ$130,0,MATCH(AD$2,Inputs!$K$4:$AJ$4,0))))=0,NA(),SUMPRODUCT((Inputs!$A$5:$A$130=$B33)*Inputs!$B$5:$B$130*(((Inputs!$G$5:$G$130="moeda")+(Inputs!$G$5:$G$130="acoes"))*Inputs!$B$1+((Inputs!$G$5:$G$130&lt;&gt;"moeda")*(Inputs!$G$5:$G$130&lt;&gt;"acoes")))*INDEX(Inputs!$K$5:$AJ$130,0,MATCH(AD$2,Inputs!$K$4:$AJ$4,0)))+SUMPRODUCT((Inputs!$C$5:$C$130=$B33)*Inputs!$D$5:$D$130*(((Inputs!$G$5:$G$130="moeda")+(Inputs!$G$5:$G$130="acoes"))*Inputs!$B$1+((Inputs!$G$5:$G$130&lt;&gt;"moeda")*(Inputs!$G$5:$G$130&lt;&gt;"acoes")))*INDEX(Inputs!$K$5:$AJ$130,0,MATCH(AD$2,Inputs!$K$4:$AJ$4,0)))+SUMPRODUCT((Inputs!$E$5:$E$130=$B33)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3" s="6" t="e">
        <f>IF(ISNA(MATCH(AE$2,Inputs!$K$4:$AJ$4,0)),NA(),IF(SUMPRODUCT((Inputs!$A$5:$A$130=$B33)*ISNUMBER(INDEX(Inputs!$K$5:$AJ$130,0,MATCH(AE$2,Inputs!$K$4:$AJ$4,0))))+SUMPRODUCT((Inputs!$C$5:$C$130=$B33)*ISNUMBER(INDEX(Inputs!$K$5:$AJ$130,0,MATCH(AE$2,Inputs!$K$4:$AJ$4,0))))+SUMPRODUCT((Inputs!$E$5:$E$130=$B33)*ISNUMBER(INDEX(Inputs!$K$5:$AJ$130,0,MATCH(AE$2,Inputs!$K$4:$AJ$4,0))))=0,NA(),SUMPRODUCT((Inputs!$A$5:$A$130=$B33)*Inputs!$B$5:$B$130*(((Inputs!$G$5:$G$130="moeda")+(Inputs!$G$5:$G$130="acoes"))*Inputs!$B$1+((Inputs!$G$5:$G$130&lt;&gt;"moeda")*(Inputs!$G$5:$G$130&lt;&gt;"acoes")))*INDEX(Inputs!$K$5:$AJ$130,0,MATCH(AE$2,Inputs!$K$4:$AJ$4,0)))+SUMPRODUCT((Inputs!$C$5:$C$130=$B33)*Inputs!$D$5:$D$130*(((Inputs!$G$5:$G$130="moeda")+(Inputs!$G$5:$G$130="acoes"))*Inputs!$B$1+((Inputs!$G$5:$G$130&lt;&gt;"moeda")*(Inputs!$G$5:$G$130&lt;&gt;"acoes")))*INDEX(Inputs!$K$5:$AJ$130,0,MATCH(AE$2,Inputs!$K$4:$AJ$4,0)))+SUMPRODUCT((Inputs!$E$5:$E$130=$B33)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3" s="6" t="e">
        <f>IF(ISNA(MATCH(AF$2,Inputs!$K$4:$AJ$4,0)),NA(),IF(SUMPRODUCT((Inputs!$A$5:$A$130=$B33)*ISNUMBER(INDEX(Inputs!$K$5:$AJ$130,0,MATCH(AF$2,Inputs!$K$4:$AJ$4,0))))+SUMPRODUCT((Inputs!$C$5:$C$130=$B33)*ISNUMBER(INDEX(Inputs!$K$5:$AJ$130,0,MATCH(AF$2,Inputs!$K$4:$AJ$4,0))))+SUMPRODUCT((Inputs!$E$5:$E$130=$B33)*ISNUMBER(INDEX(Inputs!$K$5:$AJ$130,0,MATCH(AF$2,Inputs!$K$4:$AJ$4,0))))=0,NA(),SUMPRODUCT((Inputs!$A$5:$A$130=$B33)*Inputs!$B$5:$B$130*(((Inputs!$G$5:$G$130="moeda")+(Inputs!$G$5:$G$130="acoes"))*Inputs!$B$1+((Inputs!$G$5:$G$130&lt;&gt;"moeda")*(Inputs!$G$5:$G$130&lt;&gt;"acoes")))*INDEX(Inputs!$K$5:$AJ$130,0,MATCH(AF$2,Inputs!$K$4:$AJ$4,0)))+SUMPRODUCT((Inputs!$C$5:$C$130=$B33)*Inputs!$D$5:$D$130*(((Inputs!$G$5:$G$130="moeda")+(Inputs!$G$5:$G$130="acoes"))*Inputs!$B$1+((Inputs!$G$5:$G$130&lt;&gt;"moeda")*(Inputs!$G$5:$G$130&lt;&gt;"acoes")))*INDEX(Inputs!$K$5:$AJ$130,0,MATCH(AF$2,Inputs!$K$4:$AJ$4,0)))+SUMPRODUCT((Inputs!$E$5:$E$130=$B33)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3" s="3" t="e">
        <f>AF33</f>
        <v>#N/A</v>
      </c>
      <c r="AH33" s="6">
        <f>IF(ISNA(MATCH(AH$2,Inputs!$K$4:$AJ$4,0)),NA(),IF(SUMPRODUCT((Inputs!$A$5:$A$130=$B33)*ISNUMBER(INDEX(Inputs!$K$5:$AJ$130,0,MATCH(AH$2,Inputs!$K$4:$AJ$4,0))))+SUMPRODUCT((Inputs!$C$5:$C$130=$B33)*ISNUMBER(INDEX(Inputs!$K$5:$AJ$130,0,MATCH(AH$2,Inputs!$K$4:$AJ$4,0))))+SUMPRODUCT((Inputs!$E$5:$E$130=$B33)*ISNUMBER(INDEX(Inputs!$K$5:$AJ$130,0,MATCH(AH$2,Inputs!$K$4:$AJ$4,0))))=0,NA(),SUMPRODUCT((Inputs!$A$5:$A$130=$B33)*Inputs!$B$5:$B$130*(((Inputs!$G$5:$G$130="moeda")+(Inputs!$G$5:$G$130="acoes"))*Inputs!$B$1+((Inputs!$G$5:$G$130&lt;&gt;"moeda")*(Inputs!$G$5:$G$130&lt;&gt;"acoes")))*INDEX(Inputs!$K$5:$AJ$130,0,MATCH(AH$2,Inputs!$K$4:$AJ$4,0)))+SUMPRODUCT((Inputs!$C$5:$C$130=$B33)*Inputs!$D$5:$D$130*(((Inputs!$G$5:$G$130="moeda")+(Inputs!$G$5:$G$130="acoes"))*Inputs!$B$1+((Inputs!$G$5:$G$130&lt;&gt;"moeda")*(Inputs!$G$5:$G$130&lt;&gt;"acoes")))*INDEX(Inputs!$K$5:$AJ$130,0,MATCH(AH$2,Inputs!$K$4:$AJ$4,0)))+SUMPRODUCT((Inputs!$E$5:$E$130=$B33)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3" s="6">
        <f>IF(ISNA(MATCH(AI$2,Inputs!$K$4:$AJ$4,0)),NA(),IF(SUMPRODUCT((Inputs!$A$5:$A$130=$B33)*ISNUMBER(INDEX(Inputs!$K$5:$AJ$130,0,MATCH(AI$2,Inputs!$K$4:$AJ$4,0))))+SUMPRODUCT((Inputs!$C$5:$C$130=$B33)*ISNUMBER(INDEX(Inputs!$K$5:$AJ$130,0,MATCH(AI$2,Inputs!$K$4:$AJ$4,0))))+SUMPRODUCT((Inputs!$E$5:$E$130=$B33)*ISNUMBER(INDEX(Inputs!$K$5:$AJ$130,0,MATCH(AI$2,Inputs!$K$4:$AJ$4,0))))=0,NA(),SUMPRODUCT((Inputs!$A$5:$A$130=$B33)*Inputs!$B$5:$B$130*(((Inputs!$G$5:$G$130="moeda")+(Inputs!$G$5:$G$130="acoes"))*Inputs!$B$1+((Inputs!$G$5:$G$130&lt;&gt;"moeda")*(Inputs!$G$5:$G$130&lt;&gt;"acoes")))*INDEX(Inputs!$K$5:$AJ$130,0,MATCH(AI$2,Inputs!$K$4:$AJ$4,0)))+SUMPRODUCT((Inputs!$C$5:$C$130=$B33)*Inputs!$D$5:$D$130*(((Inputs!$G$5:$G$130="moeda")+(Inputs!$G$5:$G$130="acoes"))*Inputs!$B$1+((Inputs!$G$5:$G$130&lt;&gt;"moeda")*(Inputs!$G$5:$G$130&lt;&gt;"acoes")))*INDEX(Inputs!$K$5:$AJ$130,0,MATCH(AI$2,Inputs!$K$4:$AJ$4,0)))+SUMPRODUCT((Inputs!$E$5:$E$130=$B33)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3" s="6">
        <f>IF(ISNA(MATCH(AJ$2,Inputs!$K$4:$AJ$4,0)),NA(),IF(SUMPRODUCT((Inputs!$A$5:$A$130=$B33)*ISNUMBER(INDEX(Inputs!$K$5:$AJ$130,0,MATCH(AJ$2,Inputs!$K$4:$AJ$4,0))))+SUMPRODUCT((Inputs!$C$5:$C$130=$B33)*ISNUMBER(INDEX(Inputs!$K$5:$AJ$130,0,MATCH(AJ$2,Inputs!$K$4:$AJ$4,0))))+SUMPRODUCT((Inputs!$E$5:$E$130=$B33)*ISNUMBER(INDEX(Inputs!$K$5:$AJ$130,0,MATCH(AJ$2,Inputs!$K$4:$AJ$4,0))))=0,NA(),SUMPRODUCT((Inputs!$A$5:$A$130=$B33)*Inputs!$B$5:$B$130*(((Inputs!$G$5:$G$130="moeda")+(Inputs!$G$5:$G$130="acoes"))*Inputs!$B$1+((Inputs!$G$5:$G$130&lt;&gt;"moeda")*(Inputs!$G$5:$G$130&lt;&gt;"acoes")))*INDEX(Inputs!$K$5:$AJ$130,0,MATCH(AJ$2,Inputs!$K$4:$AJ$4,0)))+SUMPRODUCT((Inputs!$C$5:$C$130=$B33)*Inputs!$D$5:$D$130*(((Inputs!$G$5:$G$130="moeda")+(Inputs!$G$5:$G$130="acoes"))*Inputs!$B$1+((Inputs!$G$5:$G$130&lt;&gt;"moeda")*(Inputs!$G$5:$G$130&lt;&gt;"acoes")))*INDEX(Inputs!$K$5:$AJ$130,0,MATCH(AJ$2,Inputs!$K$4:$AJ$4,0)))+SUMPRODUCT((Inputs!$E$5:$E$130=$B33)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3" s="6">
        <f>IF(ISNA(MATCH(AK$2,Inputs!$K$4:$AJ$4,0)),NA(),IF(SUMPRODUCT((Inputs!$A$5:$A$130=$B33)*ISNUMBER(INDEX(Inputs!$K$5:$AJ$130,0,MATCH(AK$2,Inputs!$K$4:$AJ$4,0))))+SUMPRODUCT((Inputs!$C$5:$C$130=$B33)*ISNUMBER(INDEX(Inputs!$K$5:$AJ$130,0,MATCH(AK$2,Inputs!$K$4:$AJ$4,0))))+SUMPRODUCT((Inputs!$E$5:$E$130=$B33)*ISNUMBER(INDEX(Inputs!$K$5:$AJ$130,0,MATCH(AK$2,Inputs!$K$4:$AJ$4,0))))=0,NA(),SUMPRODUCT((Inputs!$A$5:$A$130=$B33)*Inputs!$B$5:$B$130*(((Inputs!$G$5:$G$130="moeda")+(Inputs!$G$5:$G$130="acoes"))*Inputs!$B$1+((Inputs!$G$5:$G$130&lt;&gt;"moeda")*(Inputs!$G$5:$G$130&lt;&gt;"acoes")))*INDEX(Inputs!$K$5:$AJ$130,0,MATCH(AK$2,Inputs!$K$4:$AJ$4,0)))+SUMPRODUCT((Inputs!$C$5:$C$130=$B33)*Inputs!$D$5:$D$130*(((Inputs!$G$5:$G$130="moeda")+(Inputs!$G$5:$G$130="acoes"))*Inputs!$B$1+((Inputs!$G$5:$G$130&lt;&gt;"moeda")*(Inputs!$G$5:$G$130&lt;&gt;"acoes")))*INDEX(Inputs!$K$5:$AJ$130,0,MATCH(AK$2,Inputs!$K$4:$AJ$4,0)))+SUMPRODUCT((Inputs!$E$5:$E$130=$B33)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$130=$B34)*ISNUMBER(INDEX(Inputs!$K$5:$AJ$130,0,MATCH(D$2,Inputs!$K$4:$AJ$4,0))))+SUMPRODUCT((Inputs!$C$5:$C$130=$B34)*ISNUMBER(INDEX(Inputs!$K$5:$AJ$130,0,MATCH(D$2,Inputs!$K$4:$AJ$4,0))))+SUMPRODUCT((Inputs!$E$5:$E$130=$B34)*ISNUMBER(INDEX(Inputs!$K$5:$AJ$130,0,MATCH(D$2,Inputs!$K$4:$AJ$4,0))))=0,NA(),SUMPRODUCT((Inputs!$A$5:$A$130=$B34)*Inputs!$B$5:$B$130*(((Inputs!$G$5:$G$130="moeda")+(Inputs!$G$5:$G$130="acoes"))*Inputs!$B$1+((Inputs!$G$5:$G$130&lt;&gt;"moeda")*(Inputs!$G$5:$G$130&lt;&gt;"acoes")))*INDEX(Inputs!$K$5:$AJ$130,0,MATCH(D$2,Inputs!$K$4:$AJ$4,0)))+SUMPRODUCT((Inputs!$C$5:$C$130=$B34)*Inputs!$D$5:$D$130*(((Inputs!$G$5:$G$130="moeda")+(Inputs!$G$5:$G$130="acoes"))*Inputs!$B$1+((Inputs!$G$5:$G$130&lt;&gt;"moeda")*(Inputs!$G$5:$G$130&lt;&gt;"acoes")))*INDEX(Inputs!$K$5:$AJ$130,0,MATCH(D$2,Inputs!$K$4:$AJ$4,0)))+SUMPRODUCT((Inputs!$E$5:$E$130=$B34)*Inputs!$F$5:$F$130*(((Inputs!$G$5:$G$130="moeda")+(Inputs!$G$5:$G$130="acoes"))*Inputs!$B$1+((Inputs!$G$5:$G$130&lt;&gt;"moeda")*(Inputs!$G$5:$G$130&lt;&gt;"acoes")))*INDEX(Inputs!$K$5:$AJ$130,0,MATCH(D$2,Inputs!$K$4:$AJ$4,0)))))</f>
        <v>0</v>
      </c>
      <c r="E34" s="6">
        <f>IF(ISNA(MATCH(E$2,Inputs!$K$4:$AJ$4,0)),NA(),IF(SUMPRODUCT((Inputs!$A$5:$A$130=$B34)*ISNUMBER(INDEX(Inputs!$K$5:$AJ$130,0,MATCH(E$2,Inputs!$K$4:$AJ$4,0))))+SUMPRODUCT((Inputs!$C$5:$C$130=$B34)*ISNUMBER(INDEX(Inputs!$K$5:$AJ$130,0,MATCH(E$2,Inputs!$K$4:$AJ$4,0))))+SUMPRODUCT((Inputs!$E$5:$E$130=$B34)*ISNUMBER(INDEX(Inputs!$K$5:$AJ$130,0,MATCH(E$2,Inputs!$K$4:$AJ$4,0))))=0,NA(),SUMPRODUCT((Inputs!$A$5:$A$130=$B34)*Inputs!$B$5:$B$130*(((Inputs!$G$5:$G$130="moeda")+(Inputs!$G$5:$G$130="acoes"))*Inputs!$B$1+((Inputs!$G$5:$G$130&lt;&gt;"moeda")*(Inputs!$G$5:$G$130&lt;&gt;"acoes")))*INDEX(Inputs!$K$5:$AJ$130,0,MATCH(E$2,Inputs!$K$4:$AJ$4,0)))+SUMPRODUCT((Inputs!$C$5:$C$130=$B34)*Inputs!$D$5:$D$130*(((Inputs!$G$5:$G$130="moeda")+(Inputs!$G$5:$G$130="acoes"))*Inputs!$B$1+((Inputs!$G$5:$G$130&lt;&gt;"moeda")*(Inputs!$G$5:$G$130&lt;&gt;"acoes")))*INDEX(Inputs!$K$5:$AJ$130,0,MATCH(E$2,Inputs!$K$4:$AJ$4,0)))+SUMPRODUCT((Inputs!$E$5:$E$130=$B34)*Inputs!$F$5:$F$130*(((Inputs!$G$5:$G$130="moeda")+(Inputs!$G$5:$G$130="acoes"))*Inputs!$B$1+((Inputs!$G$5:$G$130&lt;&gt;"moeda")*(Inputs!$G$5:$G$130&lt;&gt;"acoes")))*INDEX(Inputs!$K$5:$AJ$130,0,MATCH(E$2,Inputs!$K$4:$AJ$4,0)))))</f>
        <v>0</v>
      </c>
      <c r="F34" s="6">
        <f>IF(ISNA(MATCH(F$2,Inputs!$K$4:$AJ$4,0)),NA(),IF(SUMPRODUCT((Inputs!$A$5:$A$130=$B34)*ISNUMBER(INDEX(Inputs!$K$5:$AJ$130,0,MATCH(F$2,Inputs!$K$4:$AJ$4,0))))+SUMPRODUCT((Inputs!$C$5:$C$130=$B34)*ISNUMBER(INDEX(Inputs!$K$5:$AJ$130,0,MATCH(F$2,Inputs!$K$4:$AJ$4,0))))+SUMPRODUCT((Inputs!$E$5:$E$130=$B34)*ISNUMBER(INDEX(Inputs!$K$5:$AJ$130,0,MATCH(F$2,Inputs!$K$4:$AJ$4,0))))=0,NA(),SUMPRODUCT((Inputs!$A$5:$A$130=$B34)*Inputs!$B$5:$B$130*(((Inputs!$G$5:$G$130="moeda")+(Inputs!$G$5:$G$130="acoes"))*Inputs!$B$1+((Inputs!$G$5:$G$130&lt;&gt;"moeda")*(Inputs!$G$5:$G$130&lt;&gt;"acoes")))*INDEX(Inputs!$K$5:$AJ$130,0,MATCH(F$2,Inputs!$K$4:$AJ$4,0)))+SUMPRODUCT((Inputs!$C$5:$C$130=$B34)*Inputs!$D$5:$D$130*(((Inputs!$G$5:$G$130="moeda")+(Inputs!$G$5:$G$130="acoes"))*Inputs!$B$1+((Inputs!$G$5:$G$130&lt;&gt;"moeda")*(Inputs!$G$5:$G$130&lt;&gt;"acoes")))*INDEX(Inputs!$K$5:$AJ$130,0,MATCH(F$2,Inputs!$K$4:$AJ$4,0)))+SUMPRODUCT((Inputs!$E$5:$E$130=$B34)*Inputs!$F$5:$F$130*(((Inputs!$G$5:$G$130="moeda")+(Inputs!$G$5:$G$130="acoes"))*Inputs!$B$1+((Inputs!$G$5:$G$130&lt;&gt;"moeda")*(Inputs!$G$5:$G$130&lt;&gt;"acoes")))*INDEX(Inputs!$K$5:$AJ$130,0,MATCH(F$2,Inputs!$K$4:$AJ$4,0)))))</f>
        <v>0</v>
      </c>
      <c r="G34" s="6">
        <f>IF(ISNA(MATCH(G$2,Inputs!$K$4:$AJ$4,0)),NA(),IF(SUMPRODUCT((Inputs!$A$5:$A$130=$B34)*ISNUMBER(INDEX(Inputs!$K$5:$AJ$130,0,MATCH(G$2,Inputs!$K$4:$AJ$4,0))))+SUMPRODUCT((Inputs!$C$5:$C$130=$B34)*ISNUMBER(INDEX(Inputs!$K$5:$AJ$130,0,MATCH(G$2,Inputs!$K$4:$AJ$4,0))))+SUMPRODUCT((Inputs!$E$5:$E$130=$B34)*ISNUMBER(INDEX(Inputs!$K$5:$AJ$130,0,MATCH(G$2,Inputs!$K$4:$AJ$4,0))))=0,NA(),SUMPRODUCT((Inputs!$A$5:$A$130=$B34)*Inputs!$B$5:$B$130*(((Inputs!$G$5:$G$130="moeda")+(Inputs!$G$5:$G$130="acoes"))*Inputs!$B$1+((Inputs!$G$5:$G$130&lt;&gt;"moeda")*(Inputs!$G$5:$G$130&lt;&gt;"acoes")))*INDEX(Inputs!$K$5:$AJ$130,0,MATCH(G$2,Inputs!$K$4:$AJ$4,0)))+SUMPRODUCT((Inputs!$C$5:$C$130=$B34)*Inputs!$D$5:$D$130*(((Inputs!$G$5:$G$130="moeda")+(Inputs!$G$5:$G$130="acoes"))*Inputs!$B$1+((Inputs!$G$5:$G$130&lt;&gt;"moeda")*(Inputs!$G$5:$G$130&lt;&gt;"acoes")))*INDEX(Inputs!$K$5:$AJ$130,0,MATCH(G$2,Inputs!$K$4:$AJ$4,0)))+SUMPRODUCT((Inputs!$E$5:$E$130=$B34)*Inputs!$F$5:$F$130*(((Inputs!$G$5:$G$130="moeda")+(Inputs!$G$5:$G$130="acoes"))*Inputs!$B$1+((Inputs!$G$5:$G$130&lt;&gt;"moeda")*(Inputs!$G$5:$G$130&lt;&gt;"acoes")))*INDEX(Inputs!$K$5:$AJ$130,0,MATCH(G$2,Inputs!$K$4:$AJ$4,0)))))</f>
        <v>0</v>
      </c>
      <c r="H34" s="3">
        <f>G34</f>
        <v>0</v>
      </c>
      <c r="I34" s="6">
        <f>IF(ISNA(MATCH(I$2,Inputs!$K$4:$AJ$4,0)),NA(),IF(SUMPRODUCT((Inputs!$A$5:$A$130=$B34)*ISNUMBER(INDEX(Inputs!$K$5:$AJ$130,0,MATCH(I$2,Inputs!$K$4:$AJ$4,0))))+SUMPRODUCT((Inputs!$C$5:$C$130=$B34)*ISNUMBER(INDEX(Inputs!$K$5:$AJ$130,0,MATCH(I$2,Inputs!$K$4:$AJ$4,0))))+SUMPRODUCT((Inputs!$E$5:$E$130=$B34)*ISNUMBER(INDEX(Inputs!$K$5:$AJ$130,0,MATCH(I$2,Inputs!$K$4:$AJ$4,0))))=0,NA(),SUMPRODUCT((Inputs!$A$5:$A$130=$B34)*Inputs!$B$5:$B$130*(((Inputs!$G$5:$G$130="moeda")+(Inputs!$G$5:$G$130="acoes"))*Inputs!$B$1+((Inputs!$G$5:$G$130&lt;&gt;"moeda")*(Inputs!$G$5:$G$130&lt;&gt;"acoes")))*INDEX(Inputs!$K$5:$AJ$130,0,MATCH(I$2,Inputs!$K$4:$AJ$4,0)))+SUMPRODUCT((Inputs!$C$5:$C$130=$B34)*Inputs!$D$5:$D$130*(((Inputs!$G$5:$G$130="moeda")+(Inputs!$G$5:$G$130="acoes"))*Inputs!$B$1+((Inputs!$G$5:$G$130&lt;&gt;"moeda")*(Inputs!$G$5:$G$130&lt;&gt;"acoes")))*INDEX(Inputs!$K$5:$AJ$130,0,MATCH(I$2,Inputs!$K$4:$AJ$4,0)))+SUMPRODUCT((Inputs!$E$5:$E$130=$B34)*Inputs!$F$5:$F$130*(((Inputs!$G$5:$G$130="moeda")+(Inputs!$G$5:$G$130="acoes"))*Inputs!$B$1+((Inputs!$G$5:$G$130&lt;&gt;"moeda")*(Inputs!$G$5:$G$130&lt;&gt;"acoes")))*INDEX(Inputs!$K$5:$AJ$130,0,MATCH(I$2,Inputs!$K$4:$AJ$4,0)))))</f>
        <v>0</v>
      </c>
      <c r="J34" s="6">
        <f>IF(ISNA(MATCH(J$2,Inputs!$K$4:$AJ$4,0)),NA(),IF(SUMPRODUCT((Inputs!$A$5:$A$130=$B34)*ISNUMBER(INDEX(Inputs!$K$5:$AJ$130,0,MATCH(J$2,Inputs!$K$4:$AJ$4,0))))+SUMPRODUCT((Inputs!$C$5:$C$130=$B34)*ISNUMBER(INDEX(Inputs!$K$5:$AJ$130,0,MATCH(J$2,Inputs!$K$4:$AJ$4,0))))+SUMPRODUCT((Inputs!$E$5:$E$130=$B34)*ISNUMBER(INDEX(Inputs!$K$5:$AJ$130,0,MATCH(J$2,Inputs!$K$4:$AJ$4,0))))=0,NA(),SUMPRODUCT((Inputs!$A$5:$A$130=$B34)*Inputs!$B$5:$B$130*(((Inputs!$G$5:$G$130="moeda")+(Inputs!$G$5:$G$130="acoes"))*Inputs!$B$1+((Inputs!$G$5:$G$130&lt;&gt;"moeda")*(Inputs!$G$5:$G$130&lt;&gt;"acoes")))*INDEX(Inputs!$K$5:$AJ$130,0,MATCH(J$2,Inputs!$K$4:$AJ$4,0)))+SUMPRODUCT((Inputs!$C$5:$C$130=$B34)*Inputs!$D$5:$D$130*(((Inputs!$G$5:$G$130="moeda")+(Inputs!$G$5:$G$130="acoes"))*Inputs!$B$1+((Inputs!$G$5:$G$130&lt;&gt;"moeda")*(Inputs!$G$5:$G$130&lt;&gt;"acoes")))*INDEX(Inputs!$K$5:$AJ$130,0,MATCH(J$2,Inputs!$K$4:$AJ$4,0)))+SUMPRODUCT((Inputs!$E$5:$E$130=$B34)*Inputs!$F$5:$F$130*(((Inputs!$G$5:$G$130="moeda")+(Inputs!$G$5:$G$130="acoes"))*Inputs!$B$1+((Inputs!$G$5:$G$130&lt;&gt;"moeda")*(Inputs!$G$5:$G$130&lt;&gt;"acoes")))*INDEX(Inputs!$K$5:$AJ$130,0,MATCH(J$2,Inputs!$K$4:$AJ$4,0)))))</f>
        <v>0</v>
      </c>
      <c r="K34" s="6">
        <f>IF(ISNA(MATCH(K$2,Inputs!$K$4:$AJ$4,0)),NA(),IF(SUMPRODUCT((Inputs!$A$5:$A$130=$B34)*ISNUMBER(INDEX(Inputs!$K$5:$AJ$130,0,MATCH(K$2,Inputs!$K$4:$AJ$4,0))))+SUMPRODUCT((Inputs!$C$5:$C$130=$B34)*ISNUMBER(INDEX(Inputs!$K$5:$AJ$130,0,MATCH(K$2,Inputs!$K$4:$AJ$4,0))))+SUMPRODUCT((Inputs!$E$5:$E$130=$B34)*ISNUMBER(INDEX(Inputs!$K$5:$AJ$130,0,MATCH(K$2,Inputs!$K$4:$AJ$4,0))))=0,NA(),SUMPRODUCT((Inputs!$A$5:$A$130=$B34)*Inputs!$B$5:$B$130*(((Inputs!$G$5:$G$130="moeda")+(Inputs!$G$5:$G$130="acoes"))*Inputs!$B$1+((Inputs!$G$5:$G$130&lt;&gt;"moeda")*(Inputs!$G$5:$G$130&lt;&gt;"acoes")))*INDEX(Inputs!$K$5:$AJ$130,0,MATCH(K$2,Inputs!$K$4:$AJ$4,0)))+SUMPRODUCT((Inputs!$C$5:$C$130=$B34)*Inputs!$D$5:$D$130*(((Inputs!$G$5:$G$130="moeda")+(Inputs!$G$5:$G$130="acoes"))*Inputs!$B$1+((Inputs!$G$5:$G$130&lt;&gt;"moeda")*(Inputs!$G$5:$G$130&lt;&gt;"acoes")))*INDEX(Inputs!$K$5:$AJ$130,0,MATCH(K$2,Inputs!$K$4:$AJ$4,0)))+SUMPRODUCT((Inputs!$E$5:$E$130=$B34)*Inputs!$F$5:$F$130*(((Inputs!$G$5:$G$130="moeda")+(Inputs!$G$5:$G$130="acoes"))*Inputs!$B$1+((Inputs!$G$5:$G$130&lt;&gt;"moeda")*(Inputs!$G$5:$G$130&lt;&gt;"acoes")))*INDEX(Inputs!$K$5:$AJ$130,0,MATCH(K$2,Inputs!$K$4:$AJ$4,0)))))</f>
        <v>0</v>
      </c>
      <c r="L34" s="6">
        <f>IF(ISNA(MATCH(L$2,Inputs!$K$4:$AJ$4,0)),NA(),IF(SUMPRODUCT((Inputs!$A$5:$A$130=$B34)*ISNUMBER(INDEX(Inputs!$K$5:$AJ$130,0,MATCH(L$2,Inputs!$K$4:$AJ$4,0))))+SUMPRODUCT((Inputs!$C$5:$C$130=$B34)*ISNUMBER(INDEX(Inputs!$K$5:$AJ$130,0,MATCH(L$2,Inputs!$K$4:$AJ$4,0))))+SUMPRODUCT((Inputs!$E$5:$E$130=$B34)*ISNUMBER(INDEX(Inputs!$K$5:$AJ$130,0,MATCH(L$2,Inputs!$K$4:$AJ$4,0))))=0,NA(),SUMPRODUCT((Inputs!$A$5:$A$130=$B34)*Inputs!$B$5:$B$130*(((Inputs!$G$5:$G$130="moeda")+(Inputs!$G$5:$G$130="acoes"))*Inputs!$B$1+((Inputs!$G$5:$G$130&lt;&gt;"moeda")*(Inputs!$G$5:$G$130&lt;&gt;"acoes")))*INDEX(Inputs!$K$5:$AJ$130,0,MATCH(L$2,Inputs!$K$4:$AJ$4,0)))+SUMPRODUCT((Inputs!$C$5:$C$130=$B34)*Inputs!$D$5:$D$130*(((Inputs!$G$5:$G$130="moeda")+(Inputs!$G$5:$G$130="acoes"))*Inputs!$B$1+((Inputs!$G$5:$G$130&lt;&gt;"moeda")*(Inputs!$G$5:$G$130&lt;&gt;"acoes")))*INDEX(Inputs!$K$5:$AJ$130,0,MATCH(L$2,Inputs!$K$4:$AJ$4,0)))+SUMPRODUCT((Inputs!$E$5:$E$130=$B34)*Inputs!$F$5:$F$130*(((Inputs!$G$5:$G$130="moeda")+(Inputs!$G$5:$G$130="acoes"))*Inputs!$B$1+((Inputs!$G$5:$G$130&lt;&gt;"moeda")*(Inputs!$G$5:$G$130&lt;&gt;"acoes")))*INDEX(Inputs!$K$5:$AJ$130,0,MATCH(L$2,Inputs!$K$4:$AJ$4,0)))))</f>
        <v>0</v>
      </c>
      <c r="M34" s="3">
        <f>L34</f>
        <v>0</v>
      </c>
      <c r="N34" s="6">
        <f>IF(ISNA(MATCH(N$2,Inputs!$K$4:$AJ$4,0)),NA(),IF(SUMPRODUCT((Inputs!$A$5:$A$130=$B34)*ISNUMBER(INDEX(Inputs!$K$5:$AJ$130,0,MATCH(N$2,Inputs!$K$4:$AJ$4,0))))+SUMPRODUCT((Inputs!$C$5:$C$130=$B34)*ISNUMBER(INDEX(Inputs!$K$5:$AJ$130,0,MATCH(N$2,Inputs!$K$4:$AJ$4,0))))+SUMPRODUCT((Inputs!$E$5:$E$130=$B34)*ISNUMBER(INDEX(Inputs!$K$5:$AJ$130,0,MATCH(N$2,Inputs!$K$4:$AJ$4,0))))=0,NA(),SUMPRODUCT((Inputs!$A$5:$A$130=$B34)*Inputs!$B$5:$B$130*(((Inputs!$G$5:$G$130="moeda")+(Inputs!$G$5:$G$130="acoes"))*Inputs!$B$1+((Inputs!$G$5:$G$130&lt;&gt;"moeda")*(Inputs!$G$5:$G$130&lt;&gt;"acoes")))*INDEX(Inputs!$K$5:$AJ$130,0,MATCH(N$2,Inputs!$K$4:$AJ$4,0)))+SUMPRODUCT((Inputs!$C$5:$C$130=$B34)*Inputs!$D$5:$D$130*(((Inputs!$G$5:$G$130="moeda")+(Inputs!$G$5:$G$130="acoes"))*Inputs!$B$1+((Inputs!$G$5:$G$130&lt;&gt;"moeda")*(Inputs!$G$5:$G$130&lt;&gt;"acoes")))*INDEX(Inputs!$K$5:$AJ$130,0,MATCH(N$2,Inputs!$K$4:$AJ$4,0)))+SUMPRODUCT((Inputs!$E$5:$E$130=$B34)*Inputs!$F$5:$F$130*(((Inputs!$G$5:$G$130="moeda")+(Inputs!$G$5:$G$130="acoes"))*Inputs!$B$1+((Inputs!$G$5:$G$130&lt;&gt;"moeda")*(Inputs!$G$5:$G$130&lt;&gt;"acoes")))*INDEX(Inputs!$K$5:$AJ$130,0,MATCH(N$2,Inputs!$K$4:$AJ$4,0)))))</f>
        <v>0</v>
      </c>
      <c r="O34" s="6">
        <f>IF(ISNA(MATCH(O$2,Inputs!$K$4:$AJ$4,0)),NA(),IF(SUMPRODUCT((Inputs!$A$5:$A$130=$B34)*ISNUMBER(INDEX(Inputs!$K$5:$AJ$130,0,MATCH(O$2,Inputs!$K$4:$AJ$4,0))))+SUMPRODUCT((Inputs!$C$5:$C$130=$B34)*ISNUMBER(INDEX(Inputs!$K$5:$AJ$130,0,MATCH(O$2,Inputs!$K$4:$AJ$4,0))))+SUMPRODUCT((Inputs!$E$5:$E$130=$B34)*ISNUMBER(INDEX(Inputs!$K$5:$AJ$130,0,MATCH(O$2,Inputs!$K$4:$AJ$4,0))))=0,NA(),SUMPRODUCT((Inputs!$A$5:$A$130=$B34)*Inputs!$B$5:$B$130*(((Inputs!$G$5:$G$130="moeda")+(Inputs!$G$5:$G$130="acoes"))*Inputs!$B$1+((Inputs!$G$5:$G$130&lt;&gt;"moeda")*(Inputs!$G$5:$G$130&lt;&gt;"acoes")))*INDEX(Inputs!$K$5:$AJ$130,0,MATCH(O$2,Inputs!$K$4:$AJ$4,0)))+SUMPRODUCT((Inputs!$C$5:$C$130=$B34)*Inputs!$D$5:$D$130*(((Inputs!$G$5:$G$130="moeda")+(Inputs!$G$5:$G$130="acoes"))*Inputs!$B$1+((Inputs!$G$5:$G$130&lt;&gt;"moeda")*(Inputs!$G$5:$G$130&lt;&gt;"acoes")))*INDEX(Inputs!$K$5:$AJ$130,0,MATCH(O$2,Inputs!$K$4:$AJ$4,0)))+SUMPRODUCT((Inputs!$E$5:$E$130=$B34)*Inputs!$F$5:$F$130*(((Inputs!$G$5:$G$130="moeda")+(Inputs!$G$5:$G$130="acoes"))*Inputs!$B$1+((Inputs!$G$5:$G$130&lt;&gt;"moeda")*(Inputs!$G$5:$G$130&lt;&gt;"acoes")))*INDEX(Inputs!$K$5:$AJ$130,0,MATCH(O$2,Inputs!$K$4:$AJ$4,0)))))</f>
        <v>0</v>
      </c>
      <c r="P34" s="6">
        <f>IF(ISNA(MATCH(P$2,Inputs!$K$4:$AJ$4,0)),NA(),IF(SUMPRODUCT((Inputs!$A$5:$A$130=$B34)*ISNUMBER(INDEX(Inputs!$K$5:$AJ$130,0,MATCH(P$2,Inputs!$K$4:$AJ$4,0))))+SUMPRODUCT((Inputs!$C$5:$C$130=$B34)*ISNUMBER(INDEX(Inputs!$K$5:$AJ$130,0,MATCH(P$2,Inputs!$K$4:$AJ$4,0))))+SUMPRODUCT((Inputs!$E$5:$E$130=$B34)*ISNUMBER(INDEX(Inputs!$K$5:$AJ$130,0,MATCH(P$2,Inputs!$K$4:$AJ$4,0))))=0,NA(),SUMPRODUCT((Inputs!$A$5:$A$130=$B34)*Inputs!$B$5:$B$130*(((Inputs!$G$5:$G$130="moeda")+(Inputs!$G$5:$G$130="acoes"))*Inputs!$B$1+((Inputs!$G$5:$G$130&lt;&gt;"moeda")*(Inputs!$G$5:$G$130&lt;&gt;"acoes")))*INDEX(Inputs!$K$5:$AJ$130,0,MATCH(P$2,Inputs!$K$4:$AJ$4,0)))+SUMPRODUCT((Inputs!$C$5:$C$130=$B34)*Inputs!$D$5:$D$130*(((Inputs!$G$5:$G$130="moeda")+(Inputs!$G$5:$G$130="acoes"))*Inputs!$B$1+((Inputs!$G$5:$G$130&lt;&gt;"moeda")*(Inputs!$G$5:$G$130&lt;&gt;"acoes")))*INDEX(Inputs!$K$5:$AJ$130,0,MATCH(P$2,Inputs!$K$4:$AJ$4,0)))+SUMPRODUCT((Inputs!$E$5:$E$130=$B34)*Inputs!$F$5:$F$130*(((Inputs!$G$5:$G$130="moeda")+(Inputs!$G$5:$G$130="acoes"))*Inputs!$B$1+((Inputs!$G$5:$G$130&lt;&gt;"moeda")*(Inputs!$G$5:$G$130&lt;&gt;"acoes")))*INDEX(Inputs!$K$5:$AJ$130,0,MATCH(P$2,Inputs!$K$4:$AJ$4,0)))))</f>
        <v>0</v>
      </c>
      <c r="Q34" s="6">
        <f>IF(ISNA(MATCH(Q$2,Inputs!$K$4:$AJ$4,0)),NA(),IF(SUMPRODUCT((Inputs!$A$5:$A$130=$B34)*ISNUMBER(INDEX(Inputs!$K$5:$AJ$130,0,MATCH(Q$2,Inputs!$K$4:$AJ$4,0))))+SUMPRODUCT((Inputs!$C$5:$C$130=$B34)*ISNUMBER(INDEX(Inputs!$K$5:$AJ$130,0,MATCH(Q$2,Inputs!$K$4:$AJ$4,0))))+SUMPRODUCT((Inputs!$E$5:$E$130=$B34)*ISNUMBER(INDEX(Inputs!$K$5:$AJ$130,0,MATCH(Q$2,Inputs!$K$4:$AJ$4,0))))=0,NA(),SUMPRODUCT((Inputs!$A$5:$A$130=$B34)*Inputs!$B$5:$B$130*(((Inputs!$G$5:$G$130="moeda")+(Inputs!$G$5:$G$130="acoes"))*Inputs!$B$1+((Inputs!$G$5:$G$130&lt;&gt;"moeda")*(Inputs!$G$5:$G$130&lt;&gt;"acoes")))*INDEX(Inputs!$K$5:$AJ$130,0,MATCH(Q$2,Inputs!$K$4:$AJ$4,0)))+SUMPRODUCT((Inputs!$C$5:$C$130=$B34)*Inputs!$D$5:$D$130*(((Inputs!$G$5:$G$130="moeda")+(Inputs!$G$5:$G$130="acoes"))*Inputs!$B$1+((Inputs!$G$5:$G$130&lt;&gt;"moeda")*(Inputs!$G$5:$G$130&lt;&gt;"acoes")))*INDEX(Inputs!$K$5:$AJ$130,0,MATCH(Q$2,Inputs!$K$4:$AJ$4,0)))+SUMPRODUCT((Inputs!$E$5:$E$130=$B34)*Inputs!$F$5:$F$130*(((Inputs!$G$5:$G$130="moeda")+(Inputs!$G$5:$G$130="acoes"))*Inputs!$B$1+((Inputs!$G$5:$G$130&lt;&gt;"moeda")*(Inputs!$G$5:$G$130&lt;&gt;"acoes")))*INDEX(Inputs!$K$5:$AJ$130,0,MATCH(Q$2,Inputs!$K$4:$AJ$4,0)))))</f>
        <v>0</v>
      </c>
      <c r="R34" s="3">
        <f>Q34</f>
        <v>0</v>
      </c>
      <c r="S34" s="6">
        <f>IF(ISNA(MATCH(S$2,Inputs!$K$4:$AJ$4,0)),NA(),IF(SUMPRODUCT((Inputs!$A$5:$A$130=$B34)*ISNUMBER(INDEX(Inputs!$K$5:$AJ$130,0,MATCH(S$2,Inputs!$K$4:$AJ$4,0))))+SUMPRODUCT((Inputs!$C$5:$C$130=$B34)*ISNUMBER(INDEX(Inputs!$K$5:$AJ$130,0,MATCH(S$2,Inputs!$K$4:$AJ$4,0))))+SUMPRODUCT((Inputs!$E$5:$E$130=$B34)*ISNUMBER(INDEX(Inputs!$K$5:$AJ$130,0,MATCH(S$2,Inputs!$K$4:$AJ$4,0))))=0,NA(),SUMPRODUCT((Inputs!$A$5:$A$130=$B34)*Inputs!$B$5:$B$130*(((Inputs!$G$5:$G$130="moeda")+(Inputs!$G$5:$G$130="acoes"))*Inputs!$B$1+((Inputs!$G$5:$G$130&lt;&gt;"moeda")*(Inputs!$G$5:$G$130&lt;&gt;"acoes")))*INDEX(Inputs!$K$5:$AJ$130,0,MATCH(S$2,Inputs!$K$4:$AJ$4,0)))+SUMPRODUCT((Inputs!$C$5:$C$130=$B34)*Inputs!$D$5:$D$130*(((Inputs!$G$5:$G$130="moeda")+(Inputs!$G$5:$G$130="acoes"))*Inputs!$B$1+((Inputs!$G$5:$G$130&lt;&gt;"moeda")*(Inputs!$G$5:$G$130&lt;&gt;"acoes")))*INDEX(Inputs!$K$5:$AJ$130,0,MATCH(S$2,Inputs!$K$4:$AJ$4,0)))+SUMPRODUCT((Inputs!$E$5:$E$130=$B34)*Inputs!$F$5:$F$130*(((Inputs!$G$5:$G$130="moeda")+(Inputs!$G$5:$G$130="acoes"))*Inputs!$B$1+((Inputs!$G$5:$G$130&lt;&gt;"moeda")*(Inputs!$G$5:$G$130&lt;&gt;"acoes")))*INDEX(Inputs!$K$5:$AJ$130,0,MATCH(S$2,Inputs!$K$4:$AJ$4,0)))))</f>
        <v>0</v>
      </c>
      <c r="T34" s="6">
        <f>IF(ISNA(MATCH(T$2,Inputs!$K$4:$AJ$4,0)),NA(),IF(SUMPRODUCT((Inputs!$A$5:$A$130=$B34)*ISNUMBER(INDEX(Inputs!$K$5:$AJ$130,0,MATCH(T$2,Inputs!$K$4:$AJ$4,0))))+SUMPRODUCT((Inputs!$C$5:$C$130=$B34)*ISNUMBER(INDEX(Inputs!$K$5:$AJ$130,0,MATCH(T$2,Inputs!$K$4:$AJ$4,0))))+SUMPRODUCT((Inputs!$E$5:$E$130=$B34)*ISNUMBER(INDEX(Inputs!$K$5:$AJ$130,0,MATCH(T$2,Inputs!$K$4:$AJ$4,0))))=0,NA(),SUMPRODUCT((Inputs!$A$5:$A$130=$B34)*Inputs!$B$5:$B$130*(((Inputs!$G$5:$G$130="moeda")+(Inputs!$G$5:$G$130="acoes"))*Inputs!$B$1+((Inputs!$G$5:$G$130&lt;&gt;"moeda")*(Inputs!$G$5:$G$130&lt;&gt;"acoes")))*INDEX(Inputs!$K$5:$AJ$130,0,MATCH(T$2,Inputs!$K$4:$AJ$4,0)))+SUMPRODUCT((Inputs!$C$5:$C$130=$B34)*Inputs!$D$5:$D$130*(((Inputs!$G$5:$G$130="moeda")+(Inputs!$G$5:$G$130="acoes"))*Inputs!$B$1+((Inputs!$G$5:$G$130&lt;&gt;"moeda")*(Inputs!$G$5:$G$130&lt;&gt;"acoes")))*INDEX(Inputs!$K$5:$AJ$130,0,MATCH(T$2,Inputs!$K$4:$AJ$4,0)))+SUMPRODUCT((Inputs!$E$5:$E$130=$B34)*Inputs!$F$5:$F$130*(((Inputs!$G$5:$G$130="moeda")+(Inputs!$G$5:$G$130="acoes"))*Inputs!$B$1+((Inputs!$G$5:$G$130&lt;&gt;"moeda")*(Inputs!$G$5:$G$130&lt;&gt;"acoes")))*INDEX(Inputs!$K$5:$AJ$130,0,MATCH(T$2,Inputs!$K$4:$AJ$4,0)))))</f>
        <v>0</v>
      </c>
      <c r="U34" s="6">
        <f>IF(ISNA(MATCH(U$2,Inputs!$K$4:$AJ$4,0)),NA(),IF(SUMPRODUCT((Inputs!$A$5:$A$130=$B34)*ISNUMBER(INDEX(Inputs!$K$5:$AJ$130,0,MATCH(U$2,Inputs!$K$4:$AJ$4,0))))+SUMPRODUCT((Inputs!$C$5:$C$130=$B34)*ISNUMBER(INDEX(Inputs!$K$5:$AJ$130,0,MATCH(U$2,Inputs!$K$4:$AJ$4,0))))+SUMPRODUCT((Inputs!$E$5:$E$130=$B34)*ISNUMBER(INDEX(Inputs!$K$5:$AJ$130,0,MATCH(U$2,Inputs!$K$4:$AJ$4,0))))=0,NA(),SUMPRODUCT((Inputs!$A$5:$A$130=$B34)*Inputs!$B$5:$B$130*(((Inputs!$G$5:$G$130="moeda")+(Inputs!$G$5:$G$130="acoes"))*Inputs!$B$1+((Inputs!$G$5:$G$130&lt;&gt;"moeda")*(Inputs!$G$5:$G$130&lt;&gt;"acoes")))*INDEX(Inputs!$K$5:$AJ$130,0,MATCH(U$2,Inputs!$K$4:$AJ$4,0)))+SUMPRODUCT((Inputs!$C$5:$C$130=$B34)*Inputs!$D$5:$D$130*(((Inputs!$G$5:$G$130="moeda")+(Inputs!$G$5:$G$130="acoes"))*Inputs!$B$1+((Inputs!$G$5:$G$130&lt;&gt;"moeda")*(Inputs!$G$5:$G$130&lt;&gt;"acoes")))*INDEX(Inputs!$K$5:$AJ$130,0,MATCH(U$2,Inputs!$K$4:$AJ$4,0)))+SUMPRODUCT((Inputs!$E$5:$E$130=$B34)*Inputs!$F$5:$F$130*(((Inputs!$G$5:$G$130="moeda")+(Inputs!$G$5:$G$130="acoes"))*Inputs!$B$1+((Inputs!$G$5:$G$130&lt;&gt;"moeda")*(Inputs!$G$5:$G$130&lt;&gt;"acoes")))*INDEX(Inputs!$K$5:$AJ$130,0,MATCH(U$2,Inputs!$K$4:$AJ$4,0)))))</f>
        <v>0</v>
      </c>
      <c r="V34" s="6">
        <f>IF(ISNA(MATCH(V$2,Inputs!$K$4:$AJ$4,0)),NA(),IF(SUMPRODUCT((Inputs!$A$5:$A$130=$B34)*ISNUMBER(INDEX(Inputs!$K$5:$AJ$130,0,MATCH(V$2,Inputs!$K$4:$AJ$4,0))))+SUMPRODUCT((Inputs!$C$5:$C$130=$B34)*ISNUMBER(INDEX(Inputs!$K$5:$AJ$130,0,MATCH(V$2,Inputs!$K$4:$AJ$4,0))))+SUMPRODUCT((Inputs!$E$5:$E$130=$B34)*ISNUMBER(INDEX(Inputs!$K$5:$AJ$130,0,MATCH(V$2,Inputs!$K$4:$AJ$4,0))))=0,NA(),SUMPRODUCT((Inputs!$A$5:$A$130=$B34)*Inputs!$B$5:$B$130*(((Inputs!$G$5:$G$130="moeda")+(Inputs!$G$5:$G$130="acoes"))*Inputs!$B$1+((Inputs!$G$5:$G$130&lt;&gt;"moeda")*(Inputs!$G$5:$G$130&lt;&gt;"acoes")))*INDEX(Inputs!$K$5:$AJ$130,0,MATCH(V$2,Inputs!$K$4:$AJ$4,0)))+SUMPRODUCT((Inputs!$C$5:$C$130=$B34)*Inputs!$D$5:$D$130*(((Inputs!$G$5:$G$130="moeda")+(Inputs!$G$5:$G$130="acoes"))*Inputs!$B$1+((Inputs!$G$5:$G$130&lt;&gt;"moeda")*(Inputs!$G$5:$G$130&lt;&gt;"acoes")))*INDEX(Inputs!$K$5:$AJ$130,0,MATCH(V$2,Inputs!$K$4:$AJ$4,0)))+SUMPRODUCT((Inputs!$E$5:$E$130=$B34)*Inputs!$F$5:$F$130*(((Inputs!$G$5:$G$130="moeda")+(Inputs!$G$5:$G$130="acoes"))*Inputs!$B$1+((Inputs!$G$5:$G$130&lt;&gt;"moeda")*(Inputs!$G$5:$G$130&lt;&gt;"acoes")))*INDEX(Inputs!$K$5:$AJ$130,0,MATCH(V$2,Inputs!$K$4:$AJ$4,0)))))</f>
        <v>0</v>
      </c>
      <c r="W34" s="3">
        <f>V34</f>
        <v>0</v>
      </c>
      <c r="X34" s="6">
        <f>IF(ISNA(MATCH(X$2,Inputs!$K$4:$AJ$4,0)),NA(),IF(SUMPRODUCT((Inputs!$A$5:$A$130=$B34)*ISNUMBER(INDEX(Inputs!$K$5:$AJ$130,0,MATCH(X$2,Inputs!$K$4:$AJ$4,0))))+SUMPRODUCT((Inputs!$C$5:$C$130=$B34)*ISNUMBER(INDEX(Inputs!$K$5:$AJ$130,0,MATCH(X$2,Inputs!$K$4:$AJ$4,0))))+SUMPRODUCT((Inputs!$E$5:$E$130=$B34)*ISNUMBER(INDEX(Inputs!$K$5:$AJ$130,0,MATCH(X$2,Inputs!$K$4:$AJ$4,0))))=0,NA(),SUMPRODUCT((Inputs!$A$5:$A$130=$B34)*Inputs!$B$5:$B$130*(((Inputs!$G$5:$G$130="moeda")+(Inputs!$G$5:$G$130="acoes"))*Inputs!$B$1+((Inputs!$G$5:$G$130&lt;&gt;"moeda")*(Inputs!$G$5:$G$130&lt;&gt;"acoes")))*INDEX(Inputs!$K$5:$AJ$130,0,MATCH(X$2,Inputs!$K$4:$AJ$4,0)))+SUMPRODUCT((Inputs!$C$5:$C$130=$B34)*Inputs!$D$5:$D$130*(((Inputs!$G$5:$G$130="moeda")+(Inputs!$G$5:$G$130="acoes"))*Inputs!$B$1+((Inputs!$G$5:$G$130&lt;&gt;"moeda")*(Inputs!$G$5:$G$130&lt;&gt;"acoes")))*INDEX(Inputs!$K$5:$AJ$130,0,MATCH(X$2,Inputs!$K$4:$AJ$4,0)))+SUMPRODUCT((Inputs!$E$5:$E$130=$B34)*Inputs!$F$5:$F$130*(((Inputs!$G$5:$G$130="moeda")+(Inputs!$G$5:$G$130="acoes"))*Inputs!$B$1+((Inputs!$G$5:$G$130&lt;&gt;"moeda")*(Inputs!$G$5:$G$130&lt;&gt;"acoes")))*INDEX(Inputs!$K$5:$AJ$130,0,MATCH(X$2,Inputs!$K$4:$AJ$4,0)))))</f>
        <v>0</v>
      </c>
      <c r="Y34" s="6">
        <f>IF(ISNA(MATCH(Y$2,Inputs!$K$4:$AJ$4,0)),NA(),IF(SUMPRODUCT((Inputs!$A$5:$A$130=$B34)*ISNUMBER(INDEX(Inputs!$K$5:$AJ$130,0,MATCH(Y$2,Inputs!$K$4:$AJ$4,0))))+SUMPRODUCT((Inputs!$C$5:$C$130=$B34)*ISNUMBER(INDEX(Inputs!$K$5:$AJ$130,0,MATCH(Y$2,Inputs!$K$4:$AJ$4,0))))+SUMPRODUCT((Inputs!$E$5:$E$130=$B34)*ISNUMBER(INDEX(Inputs!$K$5:$AJ$130,0,MATCH(Y$2,Inputs!$K$4:$AJ$4,0))))=0,NA(),SUMPRODUCT((Inputs!$A$5:$A$130=$B34)*Inputs!$B$5:$B$130*(((Inputs!$G$5:$G$130="moeda")+(Inputs!$G$5:$G$130="acoes"))*Inputs!$B$1+((Inputs!$G$5:$G$130&lt;&gt;"moeda")*(Inputs!$G$5:$G$130&lt;&gt;"acoes")))*INDEX(Inputs!$K$5:$AJ$130,0,MATCH(Y$2,Inputs!$K$4:$AJ$4,0)))+SUMPRODUCT((Inputs!$C$5:$C$130=$B34)*Inputs!$D$5:$D$130*(((Inputs!$G$5:$G$130="moeda")+(Inputs!$G$5:$G$130="acoes"))*Inputs!$B$1+((Inputs!$G$5:$G$130&lt;&gt;"moeda")*(Inputs!$G$5:$G$130&lt;&gt;"acoes")))*INDEX(Inputs!$K$5:$AJ$130,0,MATCH(Y$2,Inputs!$K$4:$AJ$4,0)))+SUMPRODUCT((Inputs!$E$5:$E$130=$B34)*Inputs!$F$5:$F$130*(((Inputs!$G$5:$G$130="moeda")+(Inputs!$G$5:$G$130="acoes"))*Inputs!$B$1+((Inputs!$G$5:$G$130&lt;&gt;"moeda")*(Inputs!$G$5:$G$130&lt;&gt;"acoes")))*INDEX(Inputs!$K$5:$AJ$130,0,MATCH(Y$2,Inputs!$K$4:$AJ$4,0)))))</f>
        <v>0</v>
      </c>
      <c r="Z34" s="6">
        <f>IF(ISNA(MATCH(Z$2,Inputs!$K$4:$AJ$4,0)),NA(),IF(SUMPRODUCT((Inputs!$A$5:$A$130=$B34)*ISNUMBER(INDEX(Inputs!$K$5:$AJ$130,0,MATCH(Z$2,Inputs!$K$4:$AJ$4,0))))+SUMPRODUCT((Inputs!$C$5:$C$130=$B34)*ISNUMBER(INDEX(Inputs!$K$5:$AJ$130,0,MATCH(Z$2,Inputs!$K$4:$AJ$4,0))))+SUMPRODUCT((Inputs!$E$5:$E$130=$B34)*ISNUMBER(INDEX(Inputs!$K$5:$AJ$130,0,MATCH(Z$2,Inputs!$K$4:$AJ$4,0))))=0,NA(),SUMPRODUCT((Inputs!$A$5:$A$130=$B34)*Inputs!$B$5:$B$130*(((Inputs!$G$5:$G$130="moeda")+(Inputs!$G$5:$G$130="acoes"))*Inputs!$B$1+((Inputs!$G$5:$G$130&lt;&gt;"moeda")*(Inputs!$G$5:$G$130&lt;&gt;"acoes")))*INDEX(Inputs!$K$5:$AJ$130,0,MATCH(Z$2,Inputs!$K$4:$AJ$4,0)))+SUMPRODUCT((Inputs!$C$5:$C$130=$B34)*Inputs!$D$5:$D$130*(((Inputs!$G$5:$G$130="moeda")+(Inputs!$G$5:$G$130="acoes"))*Inputs!$B$1+((Inputs!$G$5:$G$130&lt;&gt;"moeda")*(Inputs!$G$5:$G$130&lt;&gt;"acoes")))*INDEX(Inputs!$K$5:$AJ$130,0,MATCH(Z$2,Inputs!$K$4:$AJ$4,0)))+SUMPRODUCT((Inputs!$E$5:$E$130=$B34)*Inputs!$F$5:$F$130*(((Inputs!$G$5:$G$130="moeda")+(Inputs!$G$5:$G$130="acoes"))*Inputs!$B$1+((Inputs!$G$5:$G$130&lt;&gt;"moeda")*(Inputs!$G$5:$G$130&lt;&gt;"acoes")))*INDEX(Inputs!$K$5:$AJ$130,0,MATCH(Z$2,Inputs!$K$4:$AJ$4,0)))))</f>
        <v>0</v>
      </c>
      <c r="AA34" s="6">
        <f>IF(ISNA(MATCH(AA$2,Inputs!$K$4:$AJ$4,0)),NA(),IF(SUMPRODUCT((Inputs!$A$5:$A$130=$B34)*ISNUMBER(INDEX(Inputs!$K$5:$AJ$130,0,MATCH(AA$2,Inputs!$K$4:$AJ$4,0))))+SUMPRODUCT((Inputs!$C$5:$C$130=$B34)*ISNUMBER(INDEX(Inputs!$K$5:$AJ$130,0,MATCH(AA$2,Inputs!$K$4:$AJ$4,0))))+SUMPRODUCT((Inputs!$E$5:$E$130=$B34)*ISNUMBER(INDEX(Inputs!$K$5:$AJ$130,0,MATCH(AA$2,Inputs!$K$4:$AJ$4,0))))=0,NA(),SUMPRODUCT((Inputs!$A$5:$A$130=$B34)*Inputs!$B$5:$B$130*(((Inputs!$G$5:$G$130="moeda")+(Inputs!$G$5:$G$130="acoes"))*Inputs!$B$1+((Inputs!$G$5:$G$130&lt;&gt;"moeda")*(Inputs!$G$5:$G$130&lt;&gt;"acoes")))*INDEX(Inputs!$K$5:$AJ$130,0,MATCH(AA$2,Inputs!$K$4:$AJ$4,0)))+SUMPRODUCT((Inputs!$C$5:$C$130=$B34)*Inputs!$D$5:$D$130*(((Inputs!$G$5:$G$130="moeda")+(Inputs!$G$5:$G$130="acoes"))*Inputs!$B$1+((Inputs!$G$5:$G$130&lt;&gt;"moeda")*(Inputs!$G$5:$G$130&lt;&gt;"acoes")))*INDEX(Inputs!$K$5:$AJ$130,0,MATCH(AA$2,Inputs!$K$4:$AJ$4,0)))+SUMPRODUCT((Inputs!$E$5:$E$130=$B34)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4" s="3">
        <f>AA34</f>
        <v>0</v>
      </c>
      <c r="AC34" s="6">
        <f>IF(ISNA(MATCH(AC$2,Inputs!$K$4:$AJ$4,0)),NA(),IF(SUMPRODUCT((Inputs!$A$5:$A$130=$B34)*ISNUMBER(INDEX(Inputs!$K$5:$AJ$130,0,MATCH(AC$2,Inputs!$K$4:$AJ$4,0))))+SUMPRODUCT((Inputs!$C$5:$C$130=$B34)*ISNUMBER(INDEX(Inputs!$K$5:$AJ$130,0,MATCH(AC$2,Inputs!$K$4:$AJ$4,0))))+SUMPRODUCT((Inputs!$E$5:$E$130=$B34)*ISNUMBER(INDEX(Inputs!$K$5:$AJ$130,0,MATCH(AC$2,Inputs!$K$4:$AJ$4,0))))=0,NA(),SUMPRODUCT((Inputs!$A$5:$A$130=$B34)*Inputs!$B$5:$B$130*(((Inputs!$G$5:$G$130="moeda")+(Inputs!$G$5:$G$130="acoes"))*Inputs!$B$1+((Inputs!$G$5:$G$130&lt;&gt;"moeda")*(Inputs!$G$5:$G$130&lt;&gt;"acoes")))*INDEX(Inputs!$K$5:$AJ$130,0,MATCH(AC$2,Inputs!$K$4:$AJ$4,0)))+SUMPRODUCT((Inputs!$C$5:$C$130=$B34)*Inputs!$D$5:$D$130*(((Inputs!$G$5:$G$130="moeda")+(Inputs!$G$5:$G$130="acoes"))*Inputs!$B$1+((Inputs!$G$5:$G$130&lt;&gt;"moeda")*(Inputs!$G$5:$G$130&lt;&gt;"acoes")))*INDEX(Inputs!$K$5:$AJ$130,0,MATCH(AC$2,Inputs!$K$4:$AJ$4,0)))+SUMPRODUCT((Inputs!$E$5:$E$130=$B34)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4" s="6">
        <f>IF(ISNA(MATCH(AD$2,Inputs!$K$4:$AJ$4,0)),NA(),IF(SUMPRODUCT((Inputs!$A$5:$A$130=$B34)*ISNUMBER(INDEX(Inputs!$K$5:$AJ$130,0,MATCH(AD$2,Inputs!$K$4:$AJ$4,0))))+SUMPRODUCT((Inputs!$C$5:$C$130=$B34)*ISNUMBER(INDEX(Inputs!$K$5:$AJ$130,0,MATCH(AD$2,Inputs!$K$4:$AJ$4,0))))+SUMPRODUCT((Inputs!$E$5:$E$130=$B34)*ISNUMBER(INDEX(Inputs!$K$5:$AJ$130,0,MATCH(AD$2,Inputs!$K$4:$AJ$4,0))))=0,NA(),SUMPRODUCT((Inputs!$A$5:$A$130=$B34)*Inputs!$B$5:$B$130*(((Inputs!$G$5:$G$130="moeda")+(Inputs!$G$5:$G$130="acoes"))*Inputs!$B$1+((Inputs!$G$5:$G$130&lt;&gt;"moeda")*(Inputs!$G$5:$G$130&lt;&gt;"acoes")))*INDEX(Inputs!$K$5:$AJ$130,0,MATCH(AD$2,Inputs!$K$4:$AJ$4,0)))+SUMPRODUCT((Inputs!$C$5:$C$130=$B34)*Inputs!$D$5:$D$130*(((Inputs!$G$5:$G$130="moeda")+(Inputs!$G$5:$G$130="acoes"))*Inputs!$B$1+((Inputs!$G$5:$G$130&lt;&gt;"moeda")*(Inputs!$G$5:$G$130&lt;&gt;"acoes")))*INDEX(Inputs!$K$5:$AJ$130,0,MATCH(AD$2,Inputs!$K$4:$AJ$4,0)))+SUMPRODUCT((Inputs!$E$5:$E$130=$B34)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4" s="6" t="e">
        <f>IF(ISNA(MATCH(AE$2,Inputs!$K$4:$AJ$4,0)),NA(),IF(SUMPRODUCT((Inputs!$A$5:$A$130=$B34)*ISNUMBER(INDEX(Inputs!$K$5:$AJ$130,0,MATCH(AE$2,Inputs!$K$4:$AJ$4,0))))+SUMPRODUCT((Inputs!$C$5:$C$130=$B34)*ISNUMBER(INDEX(Inputs!$K$5:$AJ$130,0,MATCH(AE$2,Inputs!$K$4:$AJ$4,0))))+SUMPRODUCT((Inputs!$E$5:$E$130=$B34)*ISNUMBER(INDEX(Inputs!$K$5:$AJ$130,0,MATCH(AE$2,Inputs!$K$4:$AJ$4,0))))=0,NA(),SUMPRODUCT((Inputs!$A$5:$A$130=$B34)*Inputs!$B$5:$B$130*(((Inputs!$G$5:$G$130="moeda")+(Inputs!$G$5:$G$130="acoes"))*Inputs!$B$1+((Inputs!$G$5:$G$130&lt;&gt;"moeda")*(Inputs!$G$5:$G$130&lt;&gt;"acoes")))*INDEX(Inputs!$K$5:$AJ$130,0,MATCH(AE$2,Inputs!$K$4:$AJ$4,0)))+SUMPRODUCT((Inputs!$C$5:$C$130=$B34)*Inputs!$D$5:$D$130*(((Inputs!$G$5:$G$130="moeda")+(Inputs!$G$5:$G$130="acoes"))*Inputs!$B$1+((Inputs!$G$5:$G$130&lt;&gt;"moeda")*(Inputs!$G$5:$G$130&lt;&gt;"acoes")))*INDEX(Inputs!$K$5:$AJ$130,0,MATCH(AE$2,Inputs!$K$4:$AJ$4,0)))+SUMPRODUCT((Inputs!$E$5:$E$130=$B34)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4" s="6" t="e">
        <f>IF(ISNA(MATCH(AF$2,Inputs!$K$4:$AJ$4,0)),NA(),IF(SUMPRODUCT((Inputs!$A$5:$A$130=$B34)*ISNUMBER(INDEX(Inputs!$K$5:$AJ$130,0,MATCH(AF$2,Inputs!$K$4:$AJ$4,0))))+SUMPRODUCT((Inputs!$C$5:$C$130=$B34)*ISNUMBER(INDEX(Inputs!$K$5:$AJ$130,0,MATCH(AF$2,Inputs!$K$4:$AJ$4,0))))+SUMPRODUCT((Inputs!$E$5:$E$130=$B34)*ISNUMBER(INDEX(Inputs!$K$5:$AJ$130,0,MATCH(AF$2,Inputs!$K$4:$AJ$4,0))))=0,NA(),SUMPRODUCT((Inputs!$A$5:$A$130=$B34)*Inputs!$B$5:$B$130*(((Inputs!$G$5:$G$130="moeda")+(Inputs!$G$5:$G$130="acoes"))*Inputs!$B$1+((Inputs!$G$5:$G$130&lt;&gt;"moeda")*(Inputs!$G$5:$G$130&lt;&gt;"acoes")))*INDEX(Inputs!$K$5:$AJ$130,0,MATCH(AF$2,Inputs!$K$4:$AJ$4,0)))+SUMPRODUCT((Inputs!$C$5:$C$130=$B34)*Inputs!$D$5:$D$130*(((Inputs!$G$5:$G$130="moeda")+(Inputs!$G$5:$G$130="acoes"))*Inputs!$B$1+((Inputs!$G$5:$G$130&lt;&gt;"moeda")*(Inputs!$G$5:$G$130&lt;&gt;"acoes")))*INDEX(Inputs!$K$5:$AJ$130,0,MATCH(AF$2,Inputs!$K$4:$AJ$4,0)))+SUMPRODUCT((Inputs!$E$5:$E$130=$B34)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4" s="3" t="e">
        <f>AF34</f>
        <v>#N/A</v>
      </c>
      <c r="AH34" s="6">
        <f>IF(ISNA(MATCH(AH$2,Inputs!$K$4:$AJ$4,0)),NA(),IF(SUMPRODUCT((Inputs!$A$5:$A$130=$B34)*ISNUMBER(INDEX(Inputs!$K$5:$AJ$130,0,MATCH(AH$2,Inputs!$K$4:$AJ$4,0))))+SUMPRODUCT((Inputs!$C$5:$C$130=$B34)*ISNUMBER(INDEX(Inputs!$K$5:$AJ$130,0,MATCH(AH$2,Inputs!$K$4:$AJ$4,0))))+SUMPRODUCT((Inputs!$E$5:$E$130=$B34)*ISNUMBER(INDEX(Inputs!$K$5:$AJ$130,0,MATCH(AH$2,Inputs!$K$4:$AJ$4,0))))=0,NA(),SUMPRODUCT((Inputs!$A$5:$A$130=$B34)*Inputs!$B$5:$B$130*(((Inputs!$G$5:$G$130="moeda")+(Inputs!$G$5:$G$130="acoes"))*Inputs!$B$1+((Inputs!$G$5:$G$130&lt;&gt;"moeda")*(Inputs!$G$5:$G$130&lt;&gt;"acoes")))*INDEX(Inputs!$K$5:$AJ$130,0,MATCH(AH$2,Inputs!$K$4:$AJ$4,0)))+SUMPRODUCT((Inputs!$C$5:$C$130=$B34)*Inputs!$D$5:$D$130*(((Inputs!$G$5:$G$130="moeda")+(Inputs!$G$5:$G$130="acoes"))*Inputs!$B$1+((Inputs!$G$5:$G$130&lt;&gt;"moeda")*(Inputs!$G$5:$G$130&lt;&gt;"acoes")))*INDEX(Inputs!$K$5:$AJ$130,0,MATCH(AH$2,Inputs!$K$4:$AJ$4,0)))+SUMPRODUCT((Inputs!$E$5:$E$130=$B34)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4" s="6">
        <f>IF(ISNA(MATCH(AI$2,Inputs!$K$4:$AJ$4,0)),NA(),IF(SUMPRODUCT((Inputs!$A$5:$A$130=$B34)*ISNUMBER(INDEX(Inputs!$K$5:$AJ$130,0,MATCH(AI$2,Inputs!$K$4:$AJ$4,0))))+SUMPRODUCT((Inputs!$C$5:$C$130=$B34)*ISNUMBER(INDEX(Inputs!$K$5:$AJ$130,0,MATCH(AI$2,Inputs!$K$4:$AJ$4,0))))+SUMPRODUCT((Inputs!$E$5:$E$130=$B34)*ISNUMBER(INDEX(Inputs!$K$5:$AJ$130,0,MATCH(AI$2,Inputs!$K$4:$AJ$4,0))))=0,NA(),SUMPRODUCT((Inputs!$A$5:$A$130=$B34)*Inputs!$B$5:$B$130*(((Inputs!$G$5:$G$130="moeda")+(Inputs!$G$5:$G$130="acoes"))*Inputs!$B$1+((Inputs!$G$5:$G$130&lt;&gt;"moeda")*(Inputs!$G$5:$G$130&lt;&gt;"acoes")))*INDEX(Inputs!$K$5:$AJ$130,0,MATCH(AI$2,Inputs!$K$4:$AJ$4,0)))+SUMPRODUCT((Inputs!$C$5:$C$130=$B34)*Inputs!$D$5:$D$130*(((Inputs!$G$5:$G$130="moeda")+(Inputs!$G$5:$G$130="acoes"))*Inputs!$B$1+((Inputs!$G$5:$G$130&lt;&gt;"moeda")*(Inputs!$G$5:$G$130&lt;&gt;"acoes")))*INDEX(Inputs!$K$5:$AJ$130,0,MATCH(AI$2,Inputs!$K$4:$AJ$4,0)))+SUMPRODUCT((Inputs!$E$5:$E$130=$B34)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4" s="6">
        <f>IF(ISNA(MATCH(AJ$2,Inputs!$K$4:$AJ$4,0)),NA(),IF(SUMPRODUCT((Inputs!$A$5:$A$130=$B34)*ISNUMBER(INDEX(Inputs!$K$5:$AJ$130,0,MATCH(AJ$2,Inputs!$K$4:$AJ$4,0))))+SUMPRODUCT((Inputs!$C$5:$C$130=$B34)*ISNUMBER(INDEX(Inputs!$K$5:$AJ$130,0,MATCH(AJ$2,Inputs!$K$4:$AJ$4,0))))+SUMPRODUCT((Inputs!$E$5:$E$130=$B34)*ISNUMBER(INDEX(Inputs!$K$5:$AJ$130,0,MATCH(AJ$2,Inputs!$K$4:$AJ$4,0))))=0,NA(),SUMPRODUCT((Inputs!$A$5:$A$130=$B34)*Inputs!$B$5:$B$130*(((Inputs!$G$5:$G$130="moeda")+(Inputs!$G$5:$G$130="acoes"))*Inputs!$B$1+((Inputs!$G$5:$G$130&lt;&gt;"moeda")*(Inputs!$G$5:$G$130&lt;&gt;"acoes")))*INDEX(Inputs!$K$5:$AJ$130,0,MATCH(AJ$2,Inputs!$K$4:$AJ$4,0)))+SUMPRODUCT((Inputs!$C$5:$C$130=$B34)*Inputs!$D$5:$D$130*(((Inputs!$G$5:$G$130="moeda")+(Inputs!$G$5:$G$130="acoes"))*Inputs!$B$1+((Inputs!$G$5:$G$130&lt;&gt;"moeda")*(Inputs!$G$5:$G$130&lt;&gt;"acoes")))*INDEX(Inputs!$K$5:$AJ$130,0,MATCH(AJ$2,Inputs!$K$4:$AJ$4,0)))+SUMPRODUCT((Inputs!$E$5:$E$130=$B34)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4" s="6">
        <f>IF(ISNA(MATCH(AK$2,Inputs!$K$4:$AJ$4,0)),NA(),IF(SUMPRODUCT((Inputs!$A$5:$A$130=$B34)*ISNUMBER(INDEX(Inputs!$K$5:$AJ$130,0,MATCH(AK$2,Inputs!$K$4:$AJ$4,0))))+SUMPRODUCT((Inputs!$C$5:$C$130=$B34)*ISNUMBER(INDEX(Inputs!$K$5:$AJ$130,0,MATCH(AK$2,Inputs!$K$4:$AJ$4,0))))+SUMPRODUCT((Inputs!$E$5:$E$130=$B34)*ISNUMBER(INDEX(Inputs!$K$5:$AJ$130,0,MATCH(AK$2,Inputs!$K$4:$AJ$4,0))))=0,NA(),SUMPRODUCT((Inputs!$A$5:$A$130=$B34)*Inputs!$B$5:$B$130*(((Inputs!$G$5:$G$130="moeda")+(Inputs!$G$5:$G$130="acoes"))*Inputs!$B$1+((Inputs!$G$5:$G$130&lt;&gt;"moeda")*(Inputs!$G$5:$G$130&lt;&gt;"acoes")))*INDEX(Inputs!$K$5:$AJ$130,0,MATCH(AK$2,Inputs!$K$4:$AJ$4,0)))+SUMPRODUCT((Inputs!$C$5:$C$130=$B34)*Inputs!$D$5:$D$130*(((Inputs!$G$5:$G$130="moeda")+(Inputs!$G$5:$G$130="acoes"))*Inputs!$B$1+((Inputs!$G$5:$G$130&lt;&gt;"moeda")*(Inputs!$G$5:$G$130&lt;&gt;"acoes")))*INDEX(Inputs!$K$5:$AJ$130,0,MATCH(AK$2,Inputs!$K$4:$AJ$4,0)))+SUMPRODUCT((Inputs!$E$5:$E$130=$B34)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$130=$B35)*ISNUMBER(INDEX(Inputs!$K$5:$AJ$130,0,MATCH(D$2,Inputs!$K$4:$AJ$4,0))))+SUMPRODUCT((Inputs!$C$5:$C$130=$B35)*ISNUMBER(INDEX(Inputs!$K$5:$AJ$130,0,MATCH(D$2,Inputs!$K$4:$AJ$4,0))))+SUMPRODUCT((Inputs!$E$5:$E$130=$B35)*ISNUMBER(INDEX(Inputs!$K$5:$AJ$130,0,MATCH(D$2,Inputs!$K$4:$AJ$4,0))))=0,NA(),SUMPRODUCT((Inputs!$A$5:$A$130=$B35)*Inputs!$B$5:$B$130*(((Inputs!$G$5:$G$130="moeda")+(Inputs!$G$5:$G$130="acoes"))*Inputs!$B$1+((Inputs!$G$5:$G$130&lt;&gt;"moeda")*(Inputs!$G$5:$G$130&lt;&gt;"acoes")))*INDEX(Inputs!$K$5:$AJ$130,0,MATCH(D$2,Inputs!$K$4:$AJ$4,0)))+SUMPRODUCT((Inputs!$C$5:$C$130=$B35)*Inputs!$D$5:$D$130*(((Inputs!$G$5:$G$130="moeda")+(Inputs!$G$5:$G$130="acoes"))*Inputs!$B$1+((Inputs!$G$5:$G$130&lt;&gt;"moeda")*(Inputs!$G$5:$G$130&lt;&gt;"acoes")))*INDEX(Inputs!$K$5:$AJ$130,0,MATCH(D$2,Inputs!$K$4:$AJ$4,0)))+SUMPRODUCT((Inputs!$E$5:$E$130=$B35)*Inputs!$F$5:$F$130*(((Inputs!$G$5:$G$130="moeda")+(Inputs!$G$5:$G$130="acoes"))*Inputs!$B$1+((Inputs!$G$5:$G$130&lt;&gt;"moeda")*(Inputs!$G$5:$G$130&lt;&gt;"acoes")))*INDEX(Inputs!$K$5:$AJ$130,0,MATCH(D$2,Inputs!$K$4:$AJ$4,0)))))</f>
        <v>0</v>
      </c>
      <c r="E35" s="6">
        <f>IF(ISNA(MATCH(E$2,Inputs!$K$4:$AJ$4,0)),NA(),IF(SUMPRODUCT((Inputs!$A$5:$A$130=$B35)*ISNUMBER(INDEX(Inputs!$K$5:$AJ$130,0,MATCH(E$2,Inputs!$K$4:$AJ$4,0))))+SUMPRODUCT((Inputs!$C$5:$C$130=$B35)*ISNUMBER(INDEX(Inputs!$K$5:$AJ$130,0,MATCH(E$2,Inputs!$K$4:$AJ$4,0))))+SUMPRODUCT((Inputs!$E$5:$E$130=$B35)*ISNUMBER(INDEX(Inputs!$K$5:$AJ$130,0,MATCH(E$2,Inputs!$K$4:$AJ$4,0))))=0,NA(),SUMPRODUCT((Inputs!$A$5:$A$130=$B35)*Inputs!$B$5:$B$130*(((Inputs!$G$5:$G$130="moeda")+(Inputs!$G$5:$G$130="acoes"))*Inputs!$B$1+((Inputs!$G$5:$G$130&lt;&gt;"moeda")*(Inputs!$G$5:$G$130&lt;&gt;"acoes")))*INDEX(Inputs!$K$5:$AJ$130,0,MATCH(E$2,Inputs!$K$4:$AJ$4,0)))+SUMPRODUCT((Inputs!$C$5:$C$130=$B35)*Inputs!$D$5:$D$130*(((Inputs!$G$5:$G$130="moeda")+(Inputs!$G$5:$G$130="acoes"))*Inputs!$B$1+((Inputs!$G$5:$G$130&lt;&gt;"moeda")*(Inputs!$G$5:$G$130&lt;&gt;"acoes")))*INDEX(Inputs!$K$5:$AJ$130,0,MATCH(E$2,Inputs!$K$4:$AJ$4,0)))+SUMPRODUCT((Inputs!$E$5:$E$130=$B35)*Inputs!$F$5:$F$130*(((Inputs!$G$5:$G$130="moeda")+(Inputs!$G$5:$G$130="acoes"))*Inputs!$B$1+((Inputs!$G$5:$G$130&lt;&gt;"moeda")*(Inputs!$G$5:$G$130&lt;&gt;"acoes")))*INDEX(Inputs!$K$5:$AJ$130,0,MATCH(E$2,Inputs!$K$4:$AJ$4,0)))))</f>
        <v>0</v>
      </c>
      <c r="F35" s="6">
        <f>IF(ISNA(MATCH(F$2,Inputs!$K$4:$AJ$4,0)),NA(),IF(SUMPRODUCT((Inputs!$A$5:$A$130=$B35)*ISNUMBER(INDEX(Inputs!$K$5:$AJ$130,0,MATCH(F$2,Inputs!$K$4:$AJ$4,0))))+SUMPRODUCT((Inputs!$C$5:$C$130=$B35)*ISNUMBER(INDEX(Inputs!$K$5:$AJ$130,0,MATCH(F$2,Inputs!$K$4:$AJ$4,0))))+SUMPRODUCT((Inputs!$E$5:$E$130=$B35)*ISNUMBER(INDEX(Inputs!$K$5:$AJ$130,0,MATCH(F$2,Inputs!$K$4:$AJ$4,0))))=0,NA(),SUMPRODUCT((Inputs!$A$5:$A$130=$B35)*Inputs!$B$5:$B$130*(((Inputs!$G$5:$G$130="moeda")+(Inputs!$G$5:$G$130="acoes"))*Inputs!$B$1+((Inputs!$G$5:$G$130&lt;&gt;"moeda")*(Inputs!$G$5:$G$130&lt;&gt;"acoes")))*INDEX(Inputs!$K$5:$AJ$130,0,MATCH(F$2,Inputs!$K$4:$AJ$4,0)))+SUMPRODUCT((Inputs!$C$5:$C$130=$B35)*Inputs!$D$5:$D$130*(((Inputs!$G$5:$G$130="moeda")+(Inputs!$G$5:$G$130="acoes"))*Inputs!$B$1+((Inputs!$G$5:$G$130&lt;&gt;"moeda")*(Inputs!$G$5:$G$130&lt;&gt;"acoes")))*INDEX(Inputs!$K$5:$AJ$130,0,MATCH(F$2,Inputs!$K$4:$AJ$4,0)))+SUMPRODUCT((Inputs!$E$5:$E$130=$B35)*Inputs!$F$5:$F$130*(((Inputs!$G$5:$G$130="moeda")+(Inputs!$G$5:$G$130="acoes"))*Inputs!$B$1+((Inputs!$G$5:$G$130&lt;&gt;"moeda")*(Inputs!$G$5:$G$130&lt;&gt;"acoes")))*INDEX(Inputs!$K$5:$AJ$130,0,MATCH(F$2,Inputs!$K$4:$AJ$4,0)))))</f>
        <v>0</v>
      </c>
      <c r="G35" s="6">
        <f>IF(ISNA(MATCH(G$2,Inputs!$K$4:$AJ$4,0)),NA(),IF(SUMPRODUCT((Inputs!$A$5:$A$130=$B35)*ISNUMBER(INDEX(Inputs!$K$5:$AJ$130,0,MATCH(G$2,Inputs!$K$4:$AJ$4,0))))+SUMPRODUCT((Inputs!$C$5:$C$130=$B35)*ISNUMBER(INDEX(Inputs!$K$5:$AJ$130,0,MATCH(G$2,Inputs!$K$4:$AJ$4,0))))+SUMPRODUCT((Inputs!$E$5:$E$130=$B35)*ISNUMBER(INDEX(Inputs!$K$5:$AJ$130,0,MATCH(G$2,Inputs!$K$4:$AJ$4,0))))=0,NA(),SUMPRODUCT((Inputs!$A$5:$A$130=$B35)*Inputs!$B$5:$B$130*(((Inputs!$G$5:$G$130="moeda")+(Inputs!$G$5:$G$130="acoes"))*Inputs!$B$1+((Inputs!$G$5:$G$130&lt;&gt;"moeda")*(Inputs!$G$5:$G$130&lt;&gt;"acoes")))*INDEX(Inputs!$K$5:$AJ$130,0,MATCH(G$2,Inputs!$K$4:$AJ$4,0)))+SUMPRODUCT((Inputs!$C$5:$C$130=$B35)*Inputs!$D$5:$D$130*(((Inputs!$G$5:$G$130="moeda")+(Inputs!$G$5:$G$130="acoes"))*Inputs!$B$1+((Inputs!$G$5:$G$130&lt;&gt;"moeda")*(Inputs!$G$5:$G$130&lt;&gt;"acoes")))*INDEX(Inputs!$K$5:$AJ$130,0,MATCH(G$2,Inputs!$K$4:$AJ$4,0)))+SUMPRODUCT((Inputs!$E$5:$E$130=$B35)*Inputs!$F$5:$F$130*(((Inputs!$G$5:$G$130="moeda")+(Inputs!$G$5:$G$130="acoes"))*Inputs!$B$1+((Inputs!$G$5:$G$130&lt;&gt;"moeda")*(Inputs!$G$5:$G$130&lt;&gt;"acoes")))*INDEX(Inputs!$K$5:$AJ$130,0,MATCH(G$2,Inputs!$K$4:$AJ$4,0)))))</f>
        <v>0</v>
      </c>
      <c r="H35" s="3">
        <f>G35</f>
        <v>0</v>
      </c>
      <c r="I35" s="6">
        <f>IF(ISNA(MATCH(I$2,Inputs!$K$4:$AJ$4,0)),NA(),IF(SUMPRODUCT((Inputs!$A$5:$A$130=$B35)*ISNUMBER(INDEX(Inputs!$K$5:$AJ$130,0,MATCH(I$2,Inputs!$K$4:$AJ$4,0))))+SUMPRODUCT((Inputs!$C$5:$C$130=$B35)*ISNUMBER(INDEX(Inputs!$K$5:$AJ$130,0,MATCH(I$2,Inputs!$K$4:$AJ$4,0))))+SUMPRODUCT((Inputs!$E$5:$E$130=$B35)*ISNUMBER(INDEX(Inputs!$K$5:$AJ$130,0,MATCH(I$2,Inputs!$K$4:$AJ$4,0))))=0,NA(),SUMPRODUCT((Inputs!$A$5:$A$130=$B35)*Inputs!$B$5:$B$130*(((Inputs!$G$5:$G$130="moeda")+(Inputs!$G$5:$G$130="acoes"))*Inputs!$B$1+((Inputs!$G$5:$G$130&lt;&gt;"moeda")*(Inputs!$G$5:$G$130&lt;&gt;"acoes")))*INDEX(Inputs!$K$5:$AJ$130,0,MATCH(I$2,Inputs!$K$4:$AJ$4,0)))+SUMPRODUCT((Inputs!$C$5:$C$130=$B35)*Inputs!$D$5:$D$130*(((Inputs!$G$5:$G$130="moeda")+(Inputs!$G$5:$G$130="acoes"))*Inputs!$B$1+((Inputs!$G$5:$G$130&lt;&gt;"moeda")*(Inputs!$G$5:$G$130&lt;&gt;"acoes")))*INDEX(Inputs!$K$5:$AJ$130,0,MATCH(I$2,Inputs!$K$4:$AJ$4,0)))+SUMPRODUCT((Inputs!$E$5:$E$130=$B35)*Inputs!$F$5:$F$130*(((Inputs!$G$5:$G$130="moeda")+(Inputs!$G$5:$G$130="acoes"))*Inputs!$B$1+((Inputs!$G$5:$G$130&lt;&gt;"moeda")*(Inputs!$G$5:$G$130&lt;&gt;"acoes")))*INDEX(Inputs!$K$5:$AJ$130,0,MATCH(I$2,Inputs!$K$4:$AJ$4,0)))))</f>
        <v>0</v>
      </c>
      <c r="J35" s="6">
        <f>IF(ISNA(MATCH(J$2,Inputs!$K$4:$AJ$4,0)),NA(),IF(SUMPRODUCT((Inputs!$A$5:$A$130=$B35)*ISNUMBER(INDEX(Inputs!$K$5:$AJ$130,0,MATCH(J$2,Inputs!$K$4:$AJ$4,0))))+SUMPRODUCT((Inputs!$C$5:$C$130=$B35)*ISNUMBER(INDEX(Inputs!$K$5:$AJ$130,0,MATCH(J$2,Inputs!$K$4:$AJ$4,0))))+SUMPRODUCT((Inputs!$E$5:$E$130=$B35)*ISNUMBER(INDEX(Inputs!$K$5:$AJ$130,0,MATCH(J$2,Inputs!$K$4:$AJ$4,0))))=0,NA(),SUMPRODUCT((Inputs!$A$5:$A$130=$B35)*Inputs!$B$5:$B$130*(((Inputs!$G$5:$G$130="moeda")+(Inputs!$G$5:$G$130="acoes"))*Inputs!$B$1+((Inputs!$G$5:$G$130&lt;&gt;"moeda")*(Inputs!$G$5:$G$130&lt;&gt;"acoes")))*INDEX(Inputs!$K$5:$AJ$130,0,MATCH(J$2,Inputs!$K$4:$AJ$4,0)))+SUMPRODUCT((Inputs!$C$5:$C$130=$B35)*Inputs!$D$5:$D$130*(((Inputs!$G$5:$G$130="moeda")+(Inputs!$G$5:$G$130="acoes"))*Inputs!$B$1+((Inputs!$G$5:$G$130&lt;&gt;"moeda")*(Inputs!$G$5:$G$130&lt;&gt;"acoes")))*INDEX(Inputs!$K$5:$AJ$130,0,MATCH(J$2,Inputs!$K$4:$AJ$4,0)))+SUMPRODUCT((Inputs!$E$5:$E$130=$B35)*Inputs!$F$5:$F$130*(((Inputs!$G$5:$G$130="moeda")+(Inputs!$G$5:$G$130="acoes"))*Inputs!$B$1+((Inputs!$G$5:$G$130&lt;&gt;"moeda")*(Inputs!$G$5:$G$130&lt;&gt;"acoes")))*INDEX(Inputs!$K$5:$AJ$130,0,MATCH(J$2,Inputs!$K$4:$AJ$4,0)))))</f>
        <v>0</v>
      </c>
      <c r="K35" s="6">
        <f>IF(ISNA(MATCH(K$2,Inputs!$K$4:$AJ$4,0)),NA(),IF(SUMPRODUCT((Inputs!$A$5:$A$130=$B35)*ISNUMBER(INDEX(Inputs!$K$5:$AJ$130,0,MATCH(K$2,Inputs!$K$4:$AJ$4,0))))+SUMPRODUCT((Inputs!$C$5:$C$130=$B35)*ISNUMBER(INDEX(Inputs!$K$5:$AJ$130,0,MATCH(K$2,Inputs!$K$4:$AJ$4,0))))+SUMPRODUCT((Inputs!$E$5:$E$130=$B35)*ISNUMBER(INDEX(Inputs!$K$5:$AJ$130,0,MATCH(K$2,Inputs!$K$4:$AJ$4,0))))=0,NA(),SUMPRODUCT((Inputs!$A$5:$A$130=$B35)*Inputs!$B$5:$B$130*(((Inputs!$G$5:$G$130="moeda")+(Inputs!$G$5:$G$130="acoes"))*Inputs!$B$1+((Inputs!$G$5:$G$130&lt;&gt;"moeda")*(Inputs!$G$5:$G$130&lt;&gt;"acoes")))*INDEX(Inputs!$K$5:$AJ$130,0,MATCH(K$2,Inputs!$K$4:$AJ$4,0)))+SUMPRODUCT((Inputs!$C$5:$C$130=$B35)*Inputs!$D$5:$D$130*(((Inputs!$G$5:$G$130="moeda")+(Inputs!$G$5:$G$130="acoes"))*Inputs!$B$1+((Inputs!$G$5:$G$130&lt;&gt;"moeda")*(Inputs!$G$5:$G$130&lt;&gt;"acoes")))*INDEX(Inputs!$K$5:$AJ$130,0,MATCH(K$2,Inputs!$K$4:$AJ$4,0)))+SUMPRODUCT((Inputs!$E$5:$E$130=$B35)*Inputs!$F$5:$F$130*(((Inputs!$G$5:$G$130="moeda")+(Inputs!$G$5:$G$130="acoes"))*Inputs!$B$1+((Inputs!$G$5:$G$130&lt;&gt;"moeda")*(Inputs!$G$5:$G$130&lt;&gt;"acoes")))*INDEX(Inputs!$K$5:$AJ$130,0,MATCH(K$2,Inputs!$K$4:$AJ$4,0)))))</f>
        <v>0</v>
      </c>
      <c r="L35" s="6">
        <f>IF(ISNA(MATCH(L$2,Inputs!$K$4:$AJ$4,0)),NA(),IF(SUMPRODUCT((Inputs!$A$5:$A$130=$B35)*ISNUMBER(INDEX(Inputs!$K$5:$AJ$130,0,MATCH(L$2,Inputs!$K$4:$AJ$4,0))))+SUMPRODUCT((Inputs!$C$5:$C$130=$B35)*ISNUMBER(INDEX(Inputs!$K$5:$AJ$130,0,MATCH(L$2,Inputs!$K$4:$AJ$4,0))))+SUMPRODUCT((Inputs!$E$5:$E$130=$B35)*ISNUMBER(INDEX(Inputs!$K$5:$AJ$130,0,MATCH(L$2,Inputs!$K$4:$AJ$4,0))))=0,NA(),SUMPRODUCT((Inputs!$A$5:$A$130=$B35)*Inputs!$B$5:$B$130*(((Inputs!$G$5:$G$130="moeda")+(Inputs!$G$5:$G$130="acoes"))*Inputs!$B$1+((Inputs!$G$5:$G$130&lt;&gt;"moeda")*(Inputs!$G$5:$G$130&lt;&gt;"acoes")))*INDEX(Inputs!$K$5:$AJ$130,0,MATCH(L$2,Inputs!$K$4:$AJ$4,0)))+SUMPRODUCT((Inputs!$C$5:$C$130=$B35)*Inputs!$D$5:$D$130*(((Inputs!$G$5:$G$130="moeda")+(Inputs!$G$5:$G$130="acoes"))*Inputs!$B$1+((Inputs!$G$5:$G$130&lt;&gt;"moeda")*(Inputs!$G$5:$G$130&lt;&gt;"acoes")))*INDEX(Inputs!$K$5:$AJ$130,0,MATCH(L$2,Inputs!$K$4:$AJ$4,0)))+SUMPRODUCT((Inputs!$E$5:$E$130=$B35)*Inputs!$F$5:$F$130*(((Inputs!$G$5:$G$130="moeda")+(Inputs!$G$5:$G$130="acoes"))*Inputs!$B$1+((Inputs!$G$5:$G$130&lt;&gt;"moeda")*(Inputs!$G$5:$G$130&lt;&gt;"acoes")))*INDEX(Inputs!$K$5:$AJ$130,0,MATCH(L$2,Inputs!$K$4:$AJ$4,0)))))</f>
        <v>0</v>
      </c>
      <c r="M35" s="3">
        <f>L35</f>
        <v>0</v>
      </c>
      <c r="N35" s="6">
        <f>IF(ISNA(MATCH(N$2,Inputs!$K$4:$AJ$4,0)),NA(),IF(SUMPRODUCT((Inputs!$A$5:$A$130=$B35)*ISNUMBER(INDEX(Inputs!$K$5:$AJ$130,0,MATCH(N$2,Inputs!$K$4:$AJ$4,0))))+SUMPRODUCT((Inputs!$C$5:$C$130=$B35)*ISNUMBER(INDEX(Inputs!$K$5:$AJ$130,0,MATCH(N$2,Inputs!$K$4:$AJ$4,0))))+SUMPRODUCT((Inputs!$E$5:$E$130=$B35)*ISNUMBER(INDEX(Inputs!$K$5:$AJ$130,0,MATCH(N$2,Inputs!$K$4:$AJ$4,0))))=0,NA(),SUMPRODUCT((Inputs!$A$5:$A$130=$B35)*Inputs!$B$5:$B$130*(((Inputs!$G$5:$G$130="moeda")+(Inputs!$G$5:$G$130="acoes"))*Inputs!$B$1+((Inputs!$G$5:$G$130&lt;&gt;"moeda")*(Inputs!$G$5:$G$130&lt;&gt;"acoes")))*INDEX(Inputs!$K$5:$AJ$130,0,MATCH(N$2,Inputs!$K$4:$AJ$4,0)))+SUMPRODUCT((Inputs!$C$5:$C$130=$B35)*Inputs!$D$5:$D$130*(((Inputs!$G$5:$G$130="moeda")+(Inputs!$G$5:$G$130="acoes"))*Inputs!$B$1+((Inputs!$G$5:$G$130&lt;&gt;"moeda")*(Inputs!$G$5:$G$130&lt;&gt;"acoes")))*INDEX(Inputs!$K$5:$AJ$130,0,MATCH(N$2,Inputs!$K$4:$AJ$4,0)))+SUMPRODUCT((Inputs!$E$5:$E$130=$B35)*Inputs!$F$5:$F$130*(((Inputs!$G$5:$G$130="moeda")+(Inputs!$G$5:$G$130="acoes"))*Inputs!$B$1+((Inputs!$G$5:$G$130&lt;&gt;"moeda")*(Inputs!$G$5:$G$130&lt;&gt;"acoes")))*INDEX(Inputs!$K$5:$AJ$130,0,MATCH(N$2,Inputs!$K$4:$AJ$4,0)))))</f>
        <v>0</v>
      </c>
      <c r="O35" s="6">
        <f>IF(ISNA(MATCH(O$2,Inputs!$K$4:$AJ$4,0)),NA(),IF(SUMPRODUCT((Inputs!$A$5:$A$130=$B35)*ISNUMBER(INDEX(Inputs!$K$5:$AJ$130,0,MATCH(O$2,Inputs!$K$4:$AJ$4,0))))+SUMPRODUCT((Inputs!$C$5:$C$130=$B35)*ISNUMBER(INDEX(Inputs!$K$5:$AJ$130,0,MATCH(O$2,Inputs!$K$4:$AJ$4,0))))+SUMPRODUCT((Inputs!$E$5:$E$130=$B35)*ISNUMBER(INDEX(Inputs!$K$5:$AJ$130,0,MATCH(O$2,Inputs!$K$4:$AJ$4,0))))=0,NA(),SUMPRODUCT((Inputs!$A$5:$A$130=$B35)*Inputs!$B$5:$B$130*(((Inputs!$G$5:$G$130="moeda")+(Inputs!$G$5:$G$130="acoes"))*Inputs!$B$1+((Inputs!$G$5:$G$130&lt;&gt;"moeda")*(Inputs!$G$5:$G$130&lt;&gt;"acoes")))*INDEX(Inputs!$K$5:$AJ$130,0,MATCH(O$2,Inputs!$K$4:$AJ$4,0)))+SUMPRODUCT((Inputs!$C$5:$C$130=$B35)*Inputs!$D$5:$D$130*(((Inputs!$G$5:$G$130="moeda")+(Inputs!$G$5:$G$130="acoes"))*Inputs!$B$1+((Inputs!$G$5:$G$130&lt;&gt;"moeda")*(Inputs!$G$5:$G$130&lt;&gt;"acoes")))*INDEX(Inputs!$K$5:$AJ$130,0,MATCH(O$2,Inputs!$K$4:$AJ$4,0)))+SUMPRODUCT((Inputs!$E$5:$E$130=$B35)*Inputs!$F$5:$F$130*(((Inputs!$G$5:$G$130="moeda")+(Inputs!$G$5:$G$130="acoes"))*Inputs!$B$1+((Inputs!$G$5:$G$130&lt;&gt;"moeda")*(Inputs!$G$5:$G$130&lt;&gt;"acoes")))*INDEX(Inputs!$K$5:$AJ$130,0,MATCH(O$2,Inputs!$K$4:$AJ$4,0)))))</f>
        <v>0</v>
      </c>
      <c r="P35" s="6">
        <f>IF(ISNA(MATCH(P$2,Inputs!$K$4:$AJ$4,0)),NA(),IF(SUMPRODUCT((Inputs!$A$5:$A$130=$B35)*ISNUMBER(INDEX(Inputs!$K$5:$AJ$130,0,MATCH(P$2,Inputs!$K$4:$AJ$4,0))))+SUMPRODUCT((Inputs!$C$5:$C$130=$B35)*ISNUMBER(INDEX(Inputs!$K$5:$AJ$130,0,MATCH(P$2,Inputs!$K$4:$AJ$4,0))))+SUMPRODUCT((Inputs!$E$5:$E$130=$B35)*ISNUMBER(INDEX(Inputs!$K$5:$AJ$130,0,MATCH(P$2,Inputs!$K$4:$AJ$4,0))))=0,NA(),SUMPRODUCT((Inputs!$A$5:$A$130=$B35)*Inputs!$B$5:$B$130*(((Inputs!$G$5:$G$130="moeda")+(Inputs!$G$5:$G$130="acoes"))*Inputs!$B$1+((Inputs!$G$5:$G$130&lt;&gt;"moeda")*(Inputs!$G$5:$G$130&lt;&gt;"acoes")))*INDEX(Inputs!$K$5:$AJ$130,0,MATCH(P$2,Inputs!$K$4:$AJ$4,0)))+SUMPRODUCT((Inputs!$C$5:$C$130=$B35)*Inputs!$D$5:$D$130*(((Inputs!$G$5:$G$130="moeda")+(Inputs!$G$5:$G$130="acoes"))*Inputs!$B$1+((Inputs!$G$5:$G$130&lt;&gt;"moeda")*(Inputs!$G$5:$G$130&lt;&gt;"acoes")))*INDEX(Inputs!$K$5:$AJ$130,0,MATCH(P$2,Inputs!$K$4:$AJ$4,0)))+SUMPRODUCT((Inputs!$E$5:$E$130=$B35)*Inputs!$F$5:$F$130*(((Inputs!$G$5:$G$130="moeda")+(Inputs!$G$5:$G$130="acoes"))*Inputs!$B$1+((Inputs!$G$5:$G$130&lt;&gt;"moeda")*(Inputs!$G$5:$G$130&lt;&gt;"acoes")))*INDEX(Inputs!$K$5:$AJ$130,0,MATCH(P$2,Inputs!$K$4:$AJ$4,0)))))</f>
        <v>0</v>
      </c>
      <c r="Q35" s="6">
        <f>IF(ISNA(MATCH(Q$2,Inputs!$K$4:$AJ$4,0)),NA(),IF(SUMPRODUCT((Inputs!$A$5:$A$130=$B35)*ISNUMBER(INDEX(Inputs!$K$5:$AJ$130,0,MATCH(Q$2,Inputs!$K$4:$AJ$4,0))))+SUMPRODUCT((Inputs!$C$5:$C$130=$B35)*ISNUMBER(INDEX(Inputs!$K$5:$AJ$130,0,MATCH(Q$2,Inputs!$K$4:$AJ$4,0))))+SUMPRODUCT((Inputs!$E$5:$E$130=$B35)*ISNUMBER(INDEX(Inputs!$K$5:$AJ$130,0,MATCH(Q$2,Inputs!$K$4:$AJ$4,0))))=0,NA(),SUMPRODUCT((Inputs!$A$5:$A$130=$B35)*Inputs!$B$5:$B$130*(((Inputs!$G$5:$G$130="moeda")+(Inputs!$G$5:$G$130="acoes"))*Inputs!$B$1+((Inputs!$G$5:$G$130&lt;&gt;"moeda")*(Inputs!$G$5:$G$130&lt;&gt;"acoes")))*INDEX(Inputs!$K$5:$AJ$130,0,MATCH(Q$2,Inputs!$K$4:$AJ$4,0)))+SUMPRODUCT((Inputs!$C$5:$C$130=$B35)*Inputs!$D$5:$D$130*(((Inputs!$G$5:$G$130="moeda")+(Inputs!$G$5:$G$130="acoes"))*Inputs!$B$1+((Inputs!$G$5:$G$130&lt;&gt;"moeda")*(Inputs!$G$5:$G$130&lt;&gt;"acoes")))*INDEX(Inputs!$K$5:$AJ$130,0,MATCH(Q$2,Inputs!$K$4:$AJ$4,0)))+SUMPRODUCT((Inputs!$E$5:$E$130=$B35)*Inputs!$F$5:$F$130*(((Inputs!$G$5:$G$130="moeda")+(Inputs!$G$5:$G$130="acoes"))*Inputs!$B$1+((Inputs!$G$5:$G$130&lt;&gt;"moeda")*(Inputs!$G$5:$G$130&lt;&gt;"acoes")))*INDEX(Inputs!$K$5:$AJ$130,0,MATCH(Q$2,Inputs!$K$4:$AJ$4,0)))))</f>
        <v>0</v>
      </c>
      <c r="R35" s="3">
        <f>Q35</f>
        <v>0</v>
      </c>
      <c r="S35" s="6">
        <f>IF(ISNA(MATCH(S$2,Inputs!$K$4:$AJ$4,0)),NA(),IF(SUMPRODUCT((Inputs!$A$5:$A$130=$B35)*ISNUMBER(INDEX(Inputs!$K$5:$AJ$130,0,MATCH(S$2,Inputs!$K$4:$AJ$4,0))))+SUMPRODUCT((Inputs!$C$5:$C$130=$B35)*ISNUMBER(INDEX(Inputs!$K$5:$AJ$130,0,MATCH(S$2,Inputs!$K$4:$AJ$4,0))))+SUMPRODUCT((Inputs!$E$5:$E$130=$B35)*ISNUMBER(INDEX(Inputs!$K$5:$AJ$130,0,MATCH(S$2,Inputs!$K$4:$AJ$4,0))))=0,NA(),SUMPRODUCT((Inputs!$A$5:$A$130=$B35)*Inputs!$B$5:$B$130*(((Inputs!$G$5:$G$130="moeda")+(Inputs!$G$5:$G$130="acoes"))*Inputs!$B$1+((Inputs!$G$5:$G$130&lt;&gt;"moeda")*(Inputs!$G$5:$G$130&lt;&gt;"acoes")))*INDEX(Inputs!$K$5:$AJ$130,0,MATCH(S$2,Inputs!$K$4:$AJ$4,0)))+SUMPRODUCT((Inputs!$C$5:$C$130=$B35)*Inputs!$D$5:$D$130*(((Inputs!$G$5:$G$130="moeda")+(Inputs!$G$5:$G$130="acoes"))*Inputs!$B$1+((Inputs!$G$5:$G$130&lt;&gt;"moeda")*(Inputs!$G$5:$G$130&lt;&gt;"acoes")))*INDEX(Inputs!$K$5:$AJ$130,0,MATCH(S$2,Inputs!$K$4:$AJ$4,0)))+SUMPRODUCT((Inputs!$E$5:$E$130=$B35)*Inputs!$F$5:$F$130*(((Inputs!$G$5:$G$130="moeda")+(Inputs!$G$5:$G$130="acoes"))*Inputs!$B$1+((Inputs!$G$5:$G$130&lt;&gt;"moeda")*(Inputs!$G$5:$G$130&lt;&gt;"acoes")))*INDEX(Inputs!$K$5:$AJ$130,0,MATCH(S$2,Inputs!$K$4:$AJ$4,0)))))</f>
        <v>0</v>
      </c>
      <c r="T35" s="6">
        <f>IF(ISNA(MATCH(T$2,Inputs!$K$4:$AJ$4,0)),NA(),IF(SUMPRODUCT((Inputs!$A$5:$A$130=$B35)*ISNUMBER(INDEX(Inputs!$K$5:$AJ$130,0,MATCH(T$2,Inputs!$K$4:$AJ$4,0))))+SUMPRODUCT((Inputs!$C$5:$C$130=$B35)*ISNUMBER(INDEX(Inputs!$K$5:$AJ$130,0,MATCH(T$2,Inputs!$K$4:$AJ$4,0))))+SUMPRODUCT((Inputs!$E$5:$E$130=$B35)*ISNUMBER(INDEX(Inputs!$K$5:$AJ$130,0,MATCH(T$2,Inputs!$K$4:$AJ$4,0))))=0,NA(),SUMPRODUCT((Inputs!$A$5:$A$130=$B35)*Inputs!$B$5:$B$130*(((Inputs!$G$5:$G$130="moeda")+(Inputs!$G$5:$G$130="acoes"))*Inputs!$B$1+((Inputs!$G$5:$G$130&lt;&gt;"moeda")*(Inputs!$G$5:$G$130&lt;&gt;"acoes")))*INDEX(Inputs!$K$5:$AJ$130,0,MATCH(T$2,Inputs!$K$4:$AJ$4,0)))+SUMPRODUCT((Inputs!$C$5:$C$130=$B35)*Inputs!$D$5:$D$130*(((Inputs!$G$5:$G$130="moeda")+(Inputs!$G$5:$G$130="acoes"))*Inputs!$B$1+((Inputs!$G$5:$G$130&lt;&gt;"moeda")*(Inputs!$G$5:$G$130&lt;&gt;"acoes")))*INDEX(Inputs!$K$5:$AJ$130,0,MATCH(T$2,Inputs!$K$4:$AJ$4,0)))+SUMPRODUCT((Inputs!$E$5:$E$130=$B35)*Inputs!$F$5:$F$130*(((Inputs!$G$5:$G$130="moeda")+(Inputs!$G$5:$G$130="acoes"))*Inputs!$B$1+((Inputs!$G$5:$G$130&lt;&gt;"moeda")*(Inputs!$G$5:$G$130&lt;&gt;"acoes")))*INDEX(Inputs!$K$5:$AJ$130,0,MATCH(T$2,Inputs!$K$4:$AJ$4,0)))))</f>
        <v>0</v>
      </c>
      <c r="U35" s="6">
        <f>IF(ISNA(MATCH(U$2,Inputs!$K$4:$AJ$4,0)),NA(),IF(SUMPRODUCT((Inputs!$A$5:$A$130=$B35)*ISNUMBER(INDEX(Inputs!$K$5:$AJ$130,0,MATCH(U$2,Inputs!$K$4:$AJ$4,0))))+SUMPRODUCT((Inputs!$C$5:$C$130=$B35)*ISNUMBER(INDEX(Inputs!$K$5:$AJ$130,0,MATCH(U$2,Inputs!$K$4:$AJ$4,0))))+SUMPRODUCT((Inputs!$E$5:$E$130=$B35)*ISNUMBER(INDEX(Inputs!$K$5:$AJ$130,0,MATCH(U$2,Inputs!$K$4:$AJ$4,0))))=0,NA(),SUMPRODUCT((Inputs!$A$5:$A$130=$B35)*Inputs!$B$5:$B$130*(((Inputs!$G$5:$G$130="moeda")+(Inputs!$G$5:$G$130="acoes"))*Inputs!$B$1+((Inputs!$G$5:$G$130&lt;&gt;"moeda")*(Inputs!$G$5:$G$130&lt;&gt;"acoes")))*INDEX(Inputs!$K$5:$AJ$130,0,MATCH(U$2,Inputs!$K$4:$AJ$4,0)))+SUMPRODUCT((Inputs!$C$5:$C$130=$B35)*Inputs!$D$5:$D$130*(((Inputs!$G$5:$G$130="moeda")+(Inputs!$G$5:$G$130="acoes"))*Inputs!$B$1+((Inputs!$G$5:$G$130&lt;&gt;"moeda")*(Inputs!$G$5:$G$130&lt;&gt;"acoes")))*INDEX(Inputs!$K$5:$AJ$130,0,MATCH(U$2,Inputs!$K$4:$AJ$4,0)))+SUMPRODUCT((Inputs!$E$5:$E$130=$B35)*Inputs!$F$5:$F$130*(((Inputs!$G$5:$G$130="moeda")+(Inputs!$G$5:$G$130="acoes"))*Inputs!$B$1+((Inputs!$G$5:$G$130&lt;&gt;"moeda")*(Inputs!$G$5:$G$130&lt;&gt;"acoes")))*INDEX(Inputs!$K$5:$AJ$130,0,MATCH(U$2,Inputs!$K$4:$AJ$4,0)))))</f>
        <v>0</v>
      </c>
      <c r="V35" s="6">
        <f>IF(ISNA(MATCH(V$2,Inputs!$K$4:$AJ$4,0)),NA(),IF(SUMPRODUCT((Inputs!$A$5:$A$130=$B35)*ISNUMBER(INDEX(Inputs!$K$5:$AJ$130,0,MATCH(V$2,Inputs!$K$4:$AJ$4,0))))+SUMPRODUCT((Inputs!$C$5:$C$130=$B35)*ISNUMBER(INDEX(Inputs!$K$5:$AJ$130,0,MATCH(V$2,Inputs!$K$4:$AJ$4,0))))+SUMPRODUCT((Inputs!$E$5:$E$130=$B35)*ISNUMBER(INDEX(Inputs!$K$5:$AJ$130,0,MATCH(V$2,Inputs!$K$4:$AJ$4,0))))=0,NA(),SUMPRODUCT((Inputs!$A$5:$A$130=$B35)*Inputs!$B$5:$B$130*(((Inputs!$G$5:$G$130="moeda")+(Inputs!$G$5:$G$130="acoes"))*Inputs!$B$1+((Inputs!$G$5:$G$130&lt;&gt;"moeda")*(Inputs!$G$5:$G$130&lt;&gt;"acoes")))*INDEX(Inputs!$K$5:$AJ$130,0,MATCH(V$2,Inputs!$K$4:$AJ$4,0)))+SUMPRODUCT((Inputs!$C$5:$C$130=$B35)*Inputs!$D$5:$D$130*(((Inputs!$G$5:$G$130="moeda")+(Inputs!$G$5:$G$130="acoes"))*Inputs!$B$1+((Inputs!$G$5:$G$130&lt;&gt;"moeda")*(Inputs!$G$5:$G$130&lt;&gt;"acoes")))*INDEX(Inputs!$K$5:$AJ$130,0,MATCH(V$2,Inputs!$K$4:$AJ$4,0)))+SUMPRODUCT((Inputs!$E$5:$E$130=$B35)*Inputs!$F$5:$F$130*(((Inputs!$G$5:$G$130="moeda")+(Inputs!$G$5:$G$130="acoes"))*Inputs!$B$1+((Inputs!$G$5:$G$130&lt;&gt;"moeda")*(Inputs!$G$5:$G$130&lt;&gt;"acoes")))*INDEX(Inputs!$K$5:$AJ$130,0,MATCH(V$2,Inputs!$K$4:$AJ$4,0)))))</f>
        <v>0</v>
      </c>
      <c r="W35" s="3">
        <f>V35</f>
        <v>0</v>
      </c>
      <c r="X35" s="6">
        <f>IF(ISNA(MATCH(X$2,Inputs!$K$4:$AJ$4,0)),NA(),IF(SUMPRODUCT((Inputs!$A$5:$A$130=$B35)*ISNUMBER(INDEX(Inputs!$K$5:$AJ$130,0,MATCH(X$2,Inputs!$K$4:$AJ$4,0))))+SUMPRODUCT((Inputs!$C$5:$C$130=$B35)*ISNUMBER(INDEX(Inputs!$K$5:$AJ$130,0,MATCH(X$2,Inputs!$K$4:$AJ$4,0))))+SUMPRODUCT((Inputs!$E$5:$E$130=$B35)*ISNUMBER(INDEX(Inputs!$K$5:$AJ$130,0,MATCH(X$2,Inputs!$K$4:$AJ$4,0))))=0,NA(),SUMPRODUCT((Inputs!$A$5:$A$130=$B35)*Inputs!$B$5:$B$130*(((Inputs!$G$5:$G$130="moeda")+(Inputs!$G$5:$G$130="acoes"))*Inputs!$B$1+((Inputs!$G$5:$G$130&lt;&gt;"moeda")*(Inputs!$G$5:$G$130&lt;&gt;"acoes")))*INDEX(Inputs!$K$5:$AJ$130,0,MATCH(X$2,Inputs!$K$4:$AJ$4,0)))+SUMPRODUCT((Inputs!$C$5:$C$130=$B35)*Inputs!$D$5:$D$130*(((Inputs!$G$5:$G$130="moeda")+(Inputs!$G$5:$G$130="acoes"))*Inputs!$B$1+((Inputs!$G$5:$G$130&lt;&gt;"moeda")*(Inputs!$G$5:$G$130&lt;&gt;"acoes")))*INDEX(Inputs!$K$5:$AJ$130,0,MATCH(X$2,Inputs!$K$4:$AJ$4,0)))+SUMPRODUCT((Inputs!$E$5:$E$130=$B35)*Inputs!$F$5:$F$130*(((Inputs!$G$5:$G$130="moeda")+(Inputs!$G$5:$G$130="acoes"))*Inputs!$B$1+((Inputs!$G$5:$G$130&lt;&gt;"moeda")*(Inputs!$G$5:$G$130&lt;&gt;"acoes")))*INDEX(Inputs!$K$5:$AJ$130,0,MATCH(X$2,Inputs!$K$4:$AJ$4,0)))))</f>
        <v>0</v>
      </c>
      <c r="Y35" s="6">
        <f>IF(ISNA(MATCH(Y$2,Inputs!$K$4:$AJ$4,0)),NA(),IF(SUMPRODUCT((Inputs!$A$5:$A$130=$B35)*ISNUMBER(INDEX(Inputs!$K$5:$AJ$130,0,MATCH(Y$2,Inputs!$K$4:$AJ$4,0))))+SUMPRODUCT((Inputs!$C$5:$C$130=$B35)*ISNUMBER(INDEX(Inputs!$K$5:$AJ$130,0,MATCH(Y$2,Inputs!$K$4:$AJ$4,0))))+SUMPRODUCT((Inputs!$E$5:$E$130=$B35)*ISNUMBER(INDEX(Inputs!$K$5:$AJ$130,0,MATCH(Y$2,Inputs!$K$4:$AJ$4,0))))=0,NA(),SUMPRODUCT((Inputs!$A$5:$A$130=$B35)*Inputs!$B$5:$B$130*(((Inputs!$G$5:$G$130="moeda")+(Inputs!$G$5:$G$130="acoes"))*Inputs!$B$1+((Inputs!$G$5:$G$130&lt;&gt;"moeda")*(Inputs!$G$5:$G$130&lt;&gt;"acoes")))*INDEX(Inputs!$K$5:$AJ$130,0,MATCH(Y$2,Inputs!$K$4:$AJ$4,0)))+SUMPRODUCT((Inputs!$C$5:$C$130=$B35)*Inputs!$D$5:$D$130*(((Inputs!$G$5:$G$130="moeda")+(Inputs!$G$5:$G$130="acoes"))*Inputs!$B$1+((Inputs!$G$5:$G$130&lt;&gt;"moeda")*(Inputs!$G$5:$G$130&lt;&gt;"acoes")))*INDEX(Inputs!$K$5:$AJ$130,0,MATCH(Y$2,Inputs!$K$4:$AJ$4,0)))+SUMPRODUCT((Inputs!$E$5:$E$130=$B35)*Inputs!$F$5:$F$130*(((Inputs!$G$5:$G$130="moeda")+(Inputs!$G$5:$G$130="acoes"))*Inputs!$B$1+((Inputs!$G$5:$G$130&lt;&gt;"moeda")*(Inputs!$G$5:$G$130&lt;&gt;"acoes")))*INDEX(Inputs!$K$5:$AJ$130,0,MATCH(Y$2,Inputs!$K$4:$AJ$4,0)))))</f>
        <v>0</v>
      </c>
      <c r="Z35" s="6">
        <f>IF(ISNA(MATCH(Z$2,Inputs!$K$4:$AJ$4,0)),NA(),IF(SUMPRODUCT((Inputs!$A$5:$A$130=$B35)*ISNUMBER(INDEX(Inputs!$K$5:$AJ$130,0,MATCH(Z$2,Inputs!$K$4:$AJ$4,0))))+SUMPRODUCT((Inputs!$C$5:$C$130=$B35)*ISNUMBER(INDEX(Inputs!$K$5:$AJ$130,0,MATCH(Z$2,Inputs!$K$4:$AJ$4,0))))+SUMPRODUCT((Inputs!$E$5:$E$130=$B35)*ISNUMBER(INDEX(Inputs!$K$5:$AJ$130,0,MATCH(Z$2,Inputs!$K$4:$AJ$4,0))))=0,NA(),SUMPRODUCT((Inputs!$A$5:$A$130=$B35)*Inputs!$B$5:$B$130*(((Inputs!$G$5:$G$130="moeda")+(Inputs!$G$5:$G$130="acoes"))*Inputs!$B$1+((Inputs!$G$5:$G$130&lt;&gt;"moeda")*(Inputs!$G$5:$G$130&lt;&gt;"acoes")))*INDEX(Inputs!$K$5:$AJ$130,0,MATCH(Z$2,Inputs!$K$4:$AJ$4,0)))+SUMPRODUCT((Inputs!$C$5:$C$130=$B35)*Inputs!$D$5:$D$130*(((Inputs!$G$5:$G$130="moeda")+(Inputs!$G$5:$G$130="acoes"))*Inputs!$B$1+((Inputs!$G$5:$G$130&lt;&gt;"moeda")*(Inputs!$G$5:$G$130&lt;&gt;"acoes")))*INDEX(Inputs!$K$5:$AJ$130,0,MATCH(Z$2,Inputs!$K$4:$AJ$4,0)))+SUMPRODUCT((Inputs!$E$5:$E$130=$B35)*Inputs!$F$5:$F$130*(((Inputs!$G$5:$G$130="moeda")+(Inputs!$G$5:$G$130="acoes"))*Inputs!$B$1+((Inputs!$G$5:$G$130&lt;&gt;"moeda")*(Inputs!$G$5:$G$130&lt;&gt;"acoes")))*INDEX(Inputs!$K$5:$AJ$130,0,MATCH(Z$2,Inputs!$K$4:$AJ$4,0)))))</f>
        <v>0</v>
      </c>
      <c r="AA35" s="6">
        <f>IF(ISNA(MATCH(AA$2,Inputs!$K$4:$AJ$4,0)),NA(),IF(SUMPRODUCT((Inputs!$A$5:$A$130=$B35)*ISNUMBER(INDEX(Inputs!$K$5:$AJ$130,0,MATCH(AA$2,Inputs!$K$4:$AJ$4,0))))+SUMPRODUCT((Inputs!$C$5:$C$130=$B35)*ISNUMBER(INDEX(Inputs!$K$5:$AJ$130,0,MATCH(AA$2,Inputs!$K$4:$AJ$4,0))))+SUMPRODUCT((Inputs!$E$5:$E$130=$B35)*ISNUMBER(INDEX(Inputs!$K$5:$AJ$130,0,MATCH(AA$2,Inputs!$K$4:$AJ$4,0))))=0,NA(),SUMPRODUCT((Inputs!$A$5:$A$130=$B35)*Inputs!$B$5:$B$130*(((Inputs!$G$5:$G$130="moeda")+(Inputs!$G$5:$G$130="acoes"))*Inputs!$B$1+((Inputs!$G$5:$G$130&lt;&gt;"moeda")*(Inputs!$G$5:$G$130&lt;&gt;"acoes")))*INDEX(Inputs!$K$5:$AJ$130,0,MATCH(AA$2,Inputs!$K$4:$AJ$4,0)))+SUMPRODUCT((Inputs!$C$5:$C$130=$B35)*Inputs!$D$5:$D$130*(((Inputs!$G$5:$G$130="moeda")+(Inputs!$G$5:$G$130="acoes"))*Inputs!$B$1+((Inputs!$G$5:$G$130&lt;&gt;"moeda")*(Inputs!$G$5:$G$130&lt;&gt;"acoes")))*INDEX(Inputs!$K$5:$AJ$130,0,MATCH(AA$2,Inputs!$K$4:$AJ$4,0)))+SUMPRODUCT((Inputs!$E$5:$E$130=$B35)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5" s="3">
        <f>AA35</f>
        <v>0</v>
      </c>
      <c r="AC35" s="6">
        <f>IF(ISNA(MATCH(AC$2,Inputs!$K$4:$AJ$4,0)),NA(),IF(SUMPRODUCT((Inputs!$A$5:$A$130=$B35)*ISNUMBER(INDEX(Inputs!$K$5:$AJ$130,0,MATCH(AC$2,Inputs!$K$4:$AJ$4,0))))+SUMPRODUCT((Inputs!$C$5:$C$130=$B35)*ISNUMBER(INDEX(Inputs!$K$5:$AJ$130,0,MATCH(AC$2,Inputs!$K$4:$AJ$4,0))))+SUMPRODUCT((Inputs!$E$5:$E$130=$B35)*ISNUMBER(INDEX(Inputs!$K$5:$AJ$130,0,MATCH(AC$2,Inputs!$K$4:$AJ$4,0))))=0,NA(),SUMPRODUCT((Inputs!$A$5:$A$130=$B35)*Inputs!$B$5:$B$130*(((Inputs!$G$5:$G$130="moeda")+(Inputs!$G$5:$G$130="acoes"))*Inputs!$B$1+((Inputs!$G$5:$G$130&lt;&gt;"moeda")*(Inputs!$G$5:$G$130&lt;&gt;"acoes")))*INDEX(Inputs!$K$5:$AJ$130,0,MATCH(AC$2,Inputs!$K$4:$AJ$4,0)))+SUMPRODUCT((Inputs!$C$5:$C$130=$B35)*Inputs!$D$5:$D$130*(((Inputs!$G$5:$G$130="moeda")+(Inputs!$G$5:$G$130="acoes"))*Inputs!$B$1+((Inputs!$G$5:$G$130&lt;&gt;"moeda")*(Inputs!$G$5:$G$130&lt;&gt;"acoes")))*INDEX(Inputs!$K$5:$AJ$130,0,MATCH(AC$2,Inputs!$K$4:$AJ$4,0)))+SUMPRODUCT((Inputs!$E$5:$E$130=$B35)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5" s="6">
        <f>IF(ISNA(MATCH(AD$2,Inputs!$K$4:$AJ$4,0)),NA(),IF(SUMPRODUCT((Inputs!$A$5:$A$130=$B35)*ISNUMBER(INDEX(Inputs!$K$5:$AJ$130,0,MATCH(AD$2,Inputs!$K$4:$AJ$4,0))))+SUMPRODUCT((Inputs!$C$5:$C$130=$B35)*ISNUMBER(INDEX(Inputs!$K$5:$AJ$130,0,MATCH(AD$2,Inputs!$K$4:$AJ$4,0))))+SUMPRODUCT((Inputs!$E$5:$E$130=$B35)*ISNUMBER(INDEX(Inputs!$K$5:$AJ$130,0,MATCH(AD$2,Inputs!$K$4:$AJ$4,0))))=0,NA(),SUMPRODUCT((Inputs!$A$5:$A$130=$B35)*Inputs!$B$5:$B$130*(((Inputs!$G$5:$G$130="moeda")+(Inputs!$G$5:$G$130="acoes"))*Inputs!$B$1+((Inputs!$G$5:$G$130&lt;&gt;"moeda")*(Inputs!$G$5:$G$130&lt;&gt;"acoes")))*INDEX(Inputs!$K$5:$AJ$130,0,MATCH(AD$2,Inputs!$K$4:$AJ$4,0)))+SUMPRODUCT((Inputs!$C$5:$C$130=$B35)*Inputs!$D$5:$D$130*(((Inputs!$G$5:$G$130="moeda")+(Inputs!$G$5:$G$130="acoes"))*Inputs!$B$1+((Inputs!$G$5:$G$130&lt;&gt;"moeda")*(Inputs!$G$5:$G$130&lt;&gt;"acoes")))*INDEX(Inputs!$K$5:$AJ$130,0,MATCH(AD$2,Inputs!$K$4:$AJ$4,0)))+SUMPRODUCT((Inputs!$E$5:$E$130=$B35)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5" s="6" t="e">
        <f>IF(ISNA(MATCH(AE$2,Inputs!$K$4:$AJ$4,0)),NA(),IF(SUMPRODUCT((Inputs!$A$5:$A$130=$B35)*ISNUMBER(INDEX(Inputs!$K$5:$AJ$130,0,MATCH(AE$2,Inputs!$K$4:$AJ$4,0))))+SUMPRODUCT((Inputs!$C$5:$C$130=$B35)*ISNUMBER(INDEX(Inputs!$K$5:$AJ$130,0,MATCH(AE$2,Inputs!$K$4:$AJ$4,0))))+SUMPRODUCT((Inputs!$E$5:$E$130=$B35)*ISNUMBER(INDEX(Inputs!$K$5:$AJ$130,0,MATCH(AE$2,Inputs!$K$4:$AJ$4,0))))=0,NA(),SUMPRODUCT((Inputs!$A$5:$A$130=$B35)*Inputs!$B$5:$B$130*(((Inputs!$G$5:$G$130="moeda")+(Inputs!$G$5:$G$130="acoes"))*Inputs!$B$1+((Inputs!$G$5:$G$130&lt;&gt;"moeda")*(Inputs!$G$5:$G$130&lt;&gt;"acoes")))*INDEX(Inputs!$K$5:$AJ$130,0,MATCH(AE$2,Inputs!$K$4:$AJ$4,0)))+SUMPRODUCT((Inputs!$C$5:$C$130=$B35)*Inputs!$D$5:$D$130*(((Inputs!$G$5:$G$130="moeda")+(Inputs!$G$5:$G$130="acoes"))*Inputs!$B$1+((Inputs!$G$5:$G$130&lt;&gt;"moeda")*(Inputs!$G$5:$G$130&lt;&gt;"acoes")))*INDEX(Inputs!$K$5:$AJ$130,0,MATCH(AE$2,Inputs!$K$4:$AJ$4,0)))+SUMPRODUCT((Inputs!$E$5:$E$130=$B35)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5" s="6" t="e">
        <f>IF(ISNA(MATCH(AF$2,Inputs!$K$4:$AJ$4,0)),NA(),IF(SUMPRODUCT((Inputs!$A$5:$A$130=$B35)*ISNUMBER(INDEX(Inputs!$K$5:$AJ$130,0,MATCH(AF$2,Inputs!$K$4:$AJ$4,0))))+SUMPRODUCT((Inputs!$C$5:$C$130=$B35)*ISNUMBER(INDEX(Inputs!$K$5:$AJ$130,0,MATCH(AF$2,Inputs!$K$4:$AJ$4,0))))+SUMPRODUCT((Inputs!$E$5:$E$130=$B35)*ISNUMBER(INDEX(Inputs!$K$5:$AJ$130,0,MATCH(AF$2,Inputs!$K$4:$AJ$4,0))))=0,NA(),SUMPRODUCT((Inputs!$A$5:$A$130=$B35)*Inputs!$B$5:$B$130*(((Inputs!$G$5:$G$130="moeda")+(Inputs!$G$5:$G$130="acoes"))*Inputs!$B$1+((Inputs!$G$5:$G$130&lt;&gt;"moeda")*(Inputs!$G$5:$G$130&lt;&gt;"acoes")))*INDEX(Inputs!$K$5:$AJ$130,0,MATCH(AF$2,Inputs!$K$4:$AJ$4,0)))+SUMPRODUCT((Inputs!$C$5:$C$130=$B35)*Inputs!$D$5:$D$130*(((Inputs!$G$5:$G$130="moeda")+(Inputs!$G$5:$G$130="acoes"))*Inputs!$B$1+((Inputs!$G$5:$G$130&lt;&gt;"moeda")*(Inputs!$G$5:$G$130&lt;&gt;"acoes")))*INDEX(Inputs!$K$5:$AJ$130,0,MATCH(AF$2,Inputs!$K$4:$AJ$4,0)))+SUMPRODUCT((Inputs!$E$5:$E$130=$B35)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5" s="3" t="e">
        <f>AF35</f>
        <v>#N/A</v>
      </c>
      <c r="AH35" s="6">
        <f>IF(ISNA(MATCH(AH$2,Inputs!$K$4:$AJ$4,0)),NA(),IF(SUMPRODUCT((Inputs!$A$5:$A$130=$B35)*ISNUMBER(INDEX(Inputs!$K$5:$AJ$130,0,MATCH(AH$2,Inputs!$K$4:$AJ$4,0))))+SUMPRODUCT((Inputs!$C$5:$C$130=$B35)*ISNUMBER(INDEX(Inputs!$K$5:$AJ$130,0,MATCH(AH$2,Inputs!$K$4:$AJ$4,0))))+SUMPRODUCT((Inputs!$E$5:$E$130=$B35)*ISNUMBER(INDEX(Inputs!$K$5:$AJ$130,0,MATCH(AH$2,Inputs!$K$4:$AJ$4,0))))=0,NA(),SUMPRODUCT((Inputs!$A$5:$A$130=$B35)*Inputs!$B$5:$B$130*(((Inputs!$G$5:$G$130="moeda")+(Inputs!$G$5:$G$130="acoes"))*Inputs!$B$1+((Inputs!$G$5:$G$130&lt;&gt;"moeda")*(Inputs!$G$5:$G$130&lt;&gt;"acoes")))*INDEX(Inputs!$K$5:$AJ$130,0,MATCH(AH$2,Inputs!$K$4:$AJ$4,0)))+SUMPRODUCT((Inputs!$C$5:$C$130=$B35)*Inputs!$D$5:$D$130*(((Inputs!$G$5:$G$130="moeda")+(Inputs!$G$5:$G$130="acoes"))*Inputs!$B$1+((Inputs!$G$5:$G$130&lt;&gt;"moeda")*(Inputs!$G$5:$G$130&lt;&gt;"acoes")))*INDEX(Inputs!$K$5:$AJ$130,0,MATCH(AH$2,Inputs!$K$4:$AJ$4,0)))+SUMPRODUCT((Inputs!$E$5:$E$130=$B35)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5" s="6">
        <f>IF(ISNA(MATCH(AI$2,Inputs!$K$4:$AJ$4,0)),NA(),IF(SUMPRODUCT((Inputs!$A$5:$A$130=$B35)*ISNUMBER(INDEX(Inputs!$K$5:$AJ$130,0,MATCH(AI$2,Inputs!$K$4:$AJ$4,0))))+SUMPRODUCT((Inputs!$C$5:$C$130=$B35)*ISNUMBER(INDEX(Inputs!$K$5:$AJ$130,0,MATCH(AI$2,Inputs!$K$4:$AJ$4,0))))+SUMPRODUCT((Inputs!$E$5:$E$130=$B35)*ISNUMBER(INDEX(Inputs!$K$5:$AJ$130,0,MATCH(AI$2,Inputs!$K$4:$AJ$4,0))))=0,NA(),SUMPRODUCT((Inputs!$A$5:$A$130=$B35)*Inputs!$B$5:$B$130*(((Inputs!$G$5:$G$130="moeda")+(Inputs!$G$5:$G$130="acoes"))*Inputs!$B$1+((Inputs!$G$5:$G$130&lt;&gt;"moeda")*(Inputs!$G$5:$G$130&lt;&gt;"acoes")))*INDEX(Inputs!$K$5:$AJ$130,0,MATCH(AI$2,Inputs!$K$4:$AJ$4,0)))+SUMPRODUCT((Inputs!$C$5:$C$130=$B35)*Inputs!$D$5:$D$130*(((Inputs!$G$5:$G$130="moeda")+(Inputs!$G$5:$G$130="acoes"))*Inputs!$B$1+((Inputs!$G$5:$G$130&lt;&gt;"moeda")*(Inputs!$G$5:$G$130&lt;&gt;"acoes")))*INDEX(Inputs!$K$5:$AJ$130,0,MATCH(AI$2,Inputs!$K$4:$AJ$4,0)))+SUMPRODUCT((Inputs!$E$5:$E$130=$B35)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5" s="6">
        <f>IF(ISNA(MATCH(AJ$2,Inputs!$K$4:$AJ$4,0)),NA(),IF(SUMPRODUCT((Inputs!$A$5:$A$130=$B35)*ISNUMBER(INDEX(Inputs!$K$5:$AJ$130,0,MATCH(AJ$2,Inputs!$K$4:$AJ$4,0))))+SUMPRODUCT((Inputs!$C$5:$C$130=$B35)*ISNUMBER(INDEX(Inputs!$K$5:$AJ$130,0,MATCH(AJ$2,Inputs!$K$4:$AJ$4,0))))+SUMPRODUCT((Inputs!$E$5:$E$130=$B35)*ISNUMBER(INDEX(Inputs!$K$5:$AJ$130,0,MATCH(AJ$2,Inputs!$K$4:$AJ$4,0))))=0,NA(),SUMPRODUCT((Inputs!$A$5:$A$130=$B35)*Inputs!$B$5:$B$130*(((Inputs!$G$5:$G$130="moeda")+(Inputs!$G$5:$G$130="acoes"))*Inputs!$B$1+((Inputs!$G$5:$G$130&lt;&gt;"moeda")*(Inputs!$G$5:$G$130&lt;&gt;"acoes")))*INDEX(Inputs!$K$5:$AJ$130,0,MATCH(AJ$2,Inputs!$K$4:$AJ$4,0)))+SUMPRODUCT((Inputs!$C$5:$C$130=$B35)*Inputs!$D$5:$D$130*(((Inputs!$G$5:$G$130="moeda")+(Inputs!$G$5:$G$130="acoes"))*Inputs!$B$1+((Inputs!$G$5:$G$130&lt;&gt;"moeda")*(Inputs!$G$5:$G$130&lt;&gt;"acoes")))*INDEX(Inputs!$K$5:$AJ$130,0,MATCH(AJ$2,Inputs!$K$4:$AJ$4,0)))+SUMPRODUCT((Inputs!$E$5:$E$130=$B35)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5" s="6">
        <f>IF(ISNA(MATCH(AK$2,Inputs!$K$4:$AJ$4,0)),NA(),IF(SUMPRODUCT((Inputs!$A$5:$A$130=$B35)*ISNUMBER(INDEX(Inputs!$K$5:$AJ$130,0,MATCH(AK$2,Inputs!$K$4:$AJ$4,0))))+SUMPRODUCT((Inputs!$C$5:$C$130=$B35)*ISNUMBER(INDEX(Inputs!$K$5:$AJ$130,0,MATCH(AK$2,Inputs!$K$4:$AJ$4,0))))+SUMPRODUCT((Inputs!$E$5:$E$130=$B35)*ISNUMBER(INDEX(Inputs!$K$5:$AJ$130,0,MATCH(AK$2,Inputs!$K$4:$AJ$4,0))))=0,NA(),SUMPRODUCT((Inputs!$A$5:$A$130=$B35)*Inputs!$B$5:$B$130*(((Inputs!$G$5:$G$130="moeda")+(Inputs!$G$5:$G$130="acoes"))*Inputs!$B$1+((Inputs!$G$5:$G$130&lt;&gt;"moeda")*(Inputs!$G$5:$G$130&lt;&gt;"acoes")))*INDEX(Inputs!$K$5:$AJ$130,0,MATCH(AK$2,Inputs!$K$4:$AJ$4,0)))+SUMPRODUCT((Inputs!$C$5:$C$130=$B35)*Inputs!$D$5:$D$130*(((Inputs!$G$5:$G$130="moeda")+(Inputs!$G$5:$G$130="acoes"))*Inputs!$B$1+((Inputs!$G$5:$G$130&lt;&gt;"moeda")*(Inputs!$G$5:$G$130&lt;&gt;"acoes")))*INDEX(Inputs!$K$5:$AJ$130,0,MATCH(AK$2,Inputs!$K$4:$AJ$4,0)))+SUMPRODUCT((Inputs!$E$5:$E$130=$B35)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5" s="3">
        <f>AK35</f>
        <v>0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$130=$B36)*ISNUMBER(INDEX(Inputs!$K$5:$AJ$130,0,MATCH(D$2,Inputs!$K$4:$AJ$4,0))))+SUMPRODUCT((Inputs!$C$5:$C$130=$B36)*ISNUMBER(INDEX(Inputs!$K$5:$AJ$130,0,MATCH(D$2,Inputs!$K$4:$AJ$4,0))))+SUMPRODUCT((Inputs!$E$5:$E$130=$B36)*ISNUMBER(INDEX(Inputs!$K$5:$AJ$130,0,MATCH(D$2,Inputs!$K$4:$AJ$4,0))))=0,NA(),SUMPRODUCT((Inputs!$A$5:$A$130=$B36)*Inputs!$B$5:$B$130*(((Inputs!$G$5:$G$130="moeda")+(Inputs!$G$5:$G$130="acoes"))*Inputs!$B$1+((Inputs!$G$5:$G$130&lt;&gt;"moeda")*(Inputs!$G$5:$G$130&lt;&gt;"acoes")))*INDEX(Inputs!$K$5:$AJ$130,0,MATCH(D$2,Inputs!$K$4:$AJ$4,0)))+SUMPRODUCT((Inputs!$C$5:$C$130=$B36)*Inputs!$D$5:$D$130*(((Inputs!$G$5:$G$130="moeda")+(Inputs!$G$5:$G$130="acoes"))*Inputs!$B$1+((Inputs!$G$5:$G$130&lt;&gt;"moeda")*(Inputs!$G$5:$G$130&lt;&gt;"acoes")))*INDEX(Inputs!$K$5:$AJ$130,0,MATCH(D$2,Inputs!$K$4:$AJ$4,0)))+SUMPRODUCT((Inputs!$E$5:$E$130=$B36)*Inputs!$F$5:$F$130*(((Inputs!$G$5:$G$130="moeda")+(Inputs!$G$5:$G$130="acoes"))*Inputs!$B$1+((Inputs!$G$5:$G$130&lt;&gt;"moeda")*(Inputs!$G$5:$G$130&lt;&gt;"acoes")))*INDEX(Inputs!$K$5:$AJ$130,0,MATCH(D$2,Inputs!$K$4:$AJ$4,0)))))</f>
        <v>0</v>
      </c>
      <c r="E36" s="6">
        <f>IF(ISNA(MATCH(E$2,Inputs!$K$4:$AJ$4,0)),NA(),IF(SUMPRODUCT((Inputs!$A$5:$A$130=$B36)*ISNUMBER(INDEX(Inputs!$K$5:$AJ$130,0,MATCH(E$2,Inputs!$K$4:$AJ$4,0))))+SUMPRODUCT((Inputs!$C$5:$C$130=$B36)*ISNUMBER(INDEX(Inputs!$K$5:$AJ$130,0,MATCH(E$2,Inputs!$K$4:$AJ$4,0))))+SUMPRODUCT((Inputs!$E$5:$E$130=$B36)*ISNUMBER(INDEX(Inputs!$K$5:$AJ$130,0,MATCH(E$2,Inputs!$K$4:$AJ$4,0))))=0,NA(),SUMPRODUCT((Inputs!$A$5:$A$130=$B36)*Inputs!$B$5:$B$130*(((Inputs!$G$5:$G$130="moeda")+(Inputs!$G$5:$G$130="acoes"))*Inputs!$B$1+((Inputs!$G$5:$G$130&lt;&gt;"moeda")*(Inputs!$G$5:$G$130&lt;&gt;"acoes")))*INDEX(Inputs!$K$5:$AJ$130,0,MATCH(E$2,Inputs!$K$4:$AJ$4,0)))+SUMPRODUCT((Inputs!$C$5:$C$130=$B36)*Inputs!$D$5:$D$130*(((Inputs!$G$5:$G$130="moeda")+(Inputs!$G$5:$G$130="acoes"))*Inputs!$B$1+((Inputs!$G$5:$G$130&lt;&gt;"moeda")*(Inputs!$G$5:$G$130&lt;&gt;"acoes")))*INDEX(Inputs!$K$5:$AJ$130,0,MATCH(E$2,Inputs!$K$4:$AJ$4,0)))+SUMPRODUCT((Inputs!$E$5:$E$130=$B36)*Inputs!$F$5:$F$130*(((Inputs!$G$5:$G$130="moeda")+(Inputs!$G$5:$G$130="acoes"))*Inputs!$B$1+((Inputs!$G$5:$G$130&lt;&gt;"moeda")*(Inputs!$G$5:$G$130&lt;&gt;"acoes")))*INDEX(Inputs!$K$5:$AJ$130,0,MATCH(E$2,Inputs!$K$4:$AJ$4,0)))))</f>
        <v>0</v>
      </c>
      <c r="F36" s="6">
        <f>IF(ISNA(MATCH(F$2,Inputs!$K$4:$AJ$4,0)),NA(),IF(SUMPRODUCT((Inputs!$A$5:$A$130=$B36)*ISNUMBER(INDEX(Inputs!$K$5:$AJ$130,0,MATCH(F$2,Inputs!$K$4:$AJ$4,0))))+SUMPRODUCT((Inputs!$C$5:$C$130=$B36)*ISNUMBER(INDEX(Inputs!$K$5:$AJ$130,0,MATCH(F$2,Inputs!$K$4:$AJ$4,0))))+SUMPRODUCT((Inputs!$E$5:$E$130=$B36)*ISNUMBER(INDEX(Inputs!$K$5:$AJ$130,0,MATCH(F$2,Inputs!$K$4:$AJ$4,0))))=0,NA(),SUMPRODUCT((Inputs!$A$5:$A$130=$B36)*Inputs!$B$5:$B$130*(((Inputs!$G$5:$G$130="moeda")+(Inputs!$G$5:$G$130="acoes"))*Inputs!$B$1+((Inputs!$G$5:$G$130&lt;&gt;"moeda")*(Inputs!$G$5:$G$130&lt;&gt;"acoes")))*INDEX(Inputs!$K$5:$AJ$130,0,MATCH(F$2,Inputs!$K$4:$AJ$4,0)))+SUMPRODUCT((Inputs!$C$5:$C$130=$B36)*Inputs!$D$5:$D$130*(((Inputs!$G$5:$G$130="moeda")+(Inputs!$G$5:$G$130="acoes"))*Inputs!$B$1+((Inputs!$G$5:$G$130&lt;&gt;"moeda")*(Inputs!$G$5:$G$130&lt;&gt;"acoes")))*INDEX(Inputs!$K$5:$AJ$130,0,MATCH(F$2,Inputs!$K$4:$AJ$4,0)))+SUMPRODUCT((Inputs!$E$5:$E$130=$B36)*Inputs!$F$5:$F$130*(((Inputs!$G$5:$G$130="moeda")+(Inputs!$G$5:$G$130="acoes"))*Inputs!$B$1+((Inputs!$G$5:$G$130&lt;&gt;"moeda")*(Inputs!$G$5:$G$130&lt;&gt;"acoes")))*INDEX(Inputs!$K$5:$AJ$130,0,MATCH(F$2,Inputs!$K$4:$AJ$4,0)))))</f>
        <v>0</v>
      </c>
      <c r="G36" s="6">
        <f>IF(ISNA(MATCH(G$2,Inputs!$K$4:$AJ$4,0)),NA(),IF(SUMPRODUCT((Inputs!$A$5:$A$130=$B36)*ISNUMBER(INDEX(Inputs!$K$5:$AJ$130,0,MATCH(G$2,Inputs!$K$4:$AJ$4,0))))+SUMPRODUCT((Inputs!$C$5:$C$130=$B36)*ISNUMBER(INDEX(Inputs!$K$5:$AJ$130,0,MATCH(G$2,Inputs!$K$4:$AJ$4,0))))+SUMPRODUCT((Inputs!$E$5:$E$130=$B36)*ISNUMBER(INDEX(Inputs!$K$5:$AJ$130,0,MATCH(G$2,Inputs!$K$4:$AJ$4,0))))=0,NA(),SUMPRODUCT((Inputs!$A$5:$A$130=$B36)*Inputs!$B$5:$B$130*(((Inputs!$G$5:$G$130="moeda")+(Inputs!$G$5:$G$130="acoes"))*Inputs!$B$1+((Inputs!$G$5:$G$130&lt;&gt;"moeda")*(Inputs!$G$5:$G$130&lt;&gt;"acoes")))*INDEX(Inputs!$K$5:$AJ$130,0,MATCH(G$2,Inputs!$K$4:$AJ$4,0)))+SUMPRODUCT((Inputs!$C$5:$C$130=$B36)*Inputs!$D$5:$D$130*(((Inputs!$G$5:$G$130="moeda")+(Inputs!$G$5:$G$130="acoes"))*Inputs!$B$1+((Inputs!$G$5:$G$130&lt;&gt;"moeda")*(Inputs!$G$5:$G$130&lt;&gt;"acoes")))*INDEX(Inputs!$K$5:$AJ$130,0,MATCH(G$2,Inputs!$K$4:$AJ$4,0)))+SUMPRODUCT((Inputs!$E$5:$E$130=$B36)*Inputs!$F$5:$F$130*(((Inputs!$G$5:$G$130="moeda")+(Inputs!$G$5:$G$130="acoes"))*Inputs!$B$1+((Inputs!$G$5:$G$130&lt;&gt;"moeda")*(Inputs!$G$5:$G$130&lt;&gt;"acoes")))*INDEX(Inputs!$K$5:$AJ$130,0,MATCH(G$2,Inputs!$K$4:$AJ$4,0)))))</f>
        <v>0</v>
      </c>
      <c r="H36" s="3">
        <f>G36</f>
        <v>0</v>
      </c>
      <c r="I36" s="6">
        <f>IF(ISNA(MATCH(I$2,Inputs!$K$4:$AJ$4,0)),NA(),IF(SUMPRODUCT((Inputs!$A$5:$A$130=$B36)*ISNUMBER(INDEX(Inputs!$K$5:$AJ$130,0,MATCH(I$2,Inputs!$K$4:$AJ$4,0))))+SUMPRODUCT((Inputs!$C$5:$C$130=$B36)*ISNUMBER(INDEX(Inputs!$K$5:$AJ$130,0,MATCH(I$2,Inputs!$K$4:$AJ$4,0))))+SUMPRODUCT((Inputs!$E$5:$E$130=$B36)*ISNUMBER(INDEX(Inputs!$K$5:$AJ$130,0,MATCH(I$2,Inputs!$K$4:$AJ$4,0))))=0,NA(),SUMPRODUCT((Inputs!$A$5:$A$130=$B36)*Inputs!$B$5:$B$130*(((Inputs!$G$5:$G$130="moeda")+(Inputs!$G$5:$G$130="acoes"))*Inputs!$B$1+((Inputs!$G$5:$G$130&lt;&gt;"moeda")*(Inputs!$G$5:$G$130&lt;&gt;"acoes")))*INDEX(Inputs!$K$5:$AJ$130,0,MATCH(I$2,Inputs!$K$4:$AJ$4,0)))+SUMPRODUCT((Inputs!$C$5:$C$130=$B36)*Inputs!$D$5:$D$130*(((Inputs!$G$5:$G$130="moeda")+(Inputs!$G$5:$G$130="acoes"))*Inputs!$B$1+((Inputs!$G$5:$G$130&lt;&gt;"moeda")*(Inputs!$G$5:$G$130&lt;&gt;"acoes")))*INDEX(Inputs!$K$5:$AJ$130,0,MATCH(I$2,Inputs!$K$4:$AJ$4,0)))+SUMPRODUCT((Inputs!$E$5:$E$130=$B36)*Inputs!$F$5:$F$130*(((Inputs!$G$5:$G$130="moeda")+(Inputs!$G$5:$G$130="acoes"))*Inputs!$B$1+((Inputs!$G$5:$G$130&lt;&gt;"moeda")*(Inputs!$G$5:$G$130&lt;&gt;"acoes")))*INDEX(Inputs!$K$5:$AJ$130,0,MATCH(I$2,Inputs!$K$4:$AJ$4,0)))))</f>
        <v>0</v>
      </c>
      <c r="J36" s="6">
        <f>IF(ISNA(MATCH(J$2,Inputs!$K$4:$AJ$4,0)),NA(),IF(SUMPRODUCT((Inputs!$A$5:$A$130=$B36)*ISNUMBER(INDEX(Inputs!$K$5:$AJ$130,0,MATCH(J$2,Inputs!$K$4:$AJ$4,0))))+SUMPRODUCT((Inputs!$C$5:$C$130=$B36)*ISNUMBER(INDEX(Inputs!$K$5:$AJ$130,0,MATCH(J$2,Inputs!$K$4:$AJ$4,0))))+SUMPRODUCT((Inputs!$E$5:$E$130=$B36)*ISNUMBER(INDEX(Inputs!$K$5:$AJ$130,0,MATCH(J$2,Inputs!$K$4:$AJ$4,0))))=0,NA(),SUMPRODUCT((Inputs!$A$5:$A$130=$B36)*Inputs!$B$5:$B$130*(((Inputs!$G$5:$G$130="moeda")+(Inputs!$G$5:$G$130="acoes"))*Inputs!$B$1+((Inputs!$G$5:$G$130&lt;&gt;"moeda")*(Inputs!$G$5:$G$130&lt;&gt;"acoes")))*INDEX(Inputs!$K$5:$AJ$130,0,MATCH(J$2,Inputs!$K$4:$AJ$4,0)))+SUMPRODUCT((Inputs!$C$5:$C$130=$B36)*Inputs!$D$5:$D$130*(((Inputs!$G$5:$G$130="moeda")+(Inputs!$G$5:$G$130="acoes"))*Inputs!$B$1+((Inputs!$G$5:$G$130&lt;&gt;"moeda")*(Inputs!$G$5:$G$130&lt;&gt;"acoes")))*INDEX(Inputs!$K$5:$AJ$130,0,MATCH(J$2,Inputs!$K$4:$AJ$4,0)))+SUMPRODUCT((Inputs!$E$5:$E$130=$B36)*Inputs!$F$5:$F$130*(((Inputs!$G$5:$G$130="moeda")+(Inputs!$G$5:$G$130="acoes"))*Inputs!$B$1+((Inputs!$G$5:$G$130&lt;&gt;"moeda")*(Inputs!$G$5:$G$130&lt;&gt;"acoes")))*INDEX(Inputs!$K$5:$AJ$130,0,MATCH(J$2,Inputs!$K$4:$AJ$4,0)))))</f>
        <v>0</v>
      </c>
      <c r="K36" s="6">
        <f>IF(ISNA(MATCH(K$2,Inputs!$K$4:$AJ$4,0)),NA(),IF(SUMPRODUCT((Inputs!$A$5:$A$130=$B36)*ISNUMBER(INDEX(Inputs!$K$5:$AJ$130,0,MATCH(K$2,Inputs!$K$4:$AJ$4,0))))+SUMPRODUCT((Inputs!$C$5:$C$130=$B36)*ISNUMBER(INDEX(Inputs!$K$5:$AJ$130,0,MATCH(K$2,Inputs!$K$4:$AJ$4,0))))+SUMPRODUCT((Inputs!$E$5:$E$130=$B36)*ISNUMBER(INDEX(Inputs!$K$5:$AJ$130,0,MATCH(K$2,Inputs!$K$4:$AJ$4,0))))=0,NA(),SUMPRODUCT((Inputs!$A$5:$A$130=$B36)*Inputs!$B$5:$B$130*(((Inputs!$G$5:$G$130="moeda")+(Inputs!$G$5:$G$130="acoes"))*Inputs!$B$1+((Inputs!$G$5:$G$130&lt;&gt;"moeda")*(Inputs!$G$5:$G$130&lt;&gt;"acoes")))*INDEX(Inputs!$K$5:$AJ$130,0,MATCH(K$2,Inputs!$K$4:$AJ$4,0)))+SUMPRODUCT((Inputs!$C$5:$C$130=$B36)*Inputs!$D$5:$D$130*(((Inputs!$G$5:$G$130="moeda")+(Inputs!$G$5:$G$130="acoes"))*Inputs!$B$1+((Inputs!$G$5:$G$130&lt;&gt;"moeda")*(Inputs!$G$5:$G$130&lt;&gt;"acoes")))*INDEX(Inputs!$K$5:$AJ$130,0,MATCH(K$2,Inputs!$K$4:$AJ$4,0)))+SUMPRODUCT((Inputs!$E$5:$E$130=$B36)*Inputs!$F$5:$F$130*(((Inputs!$G$5:$G$130="moeda")+(Inputs!$G$5:$G$130="acoes"))*Inputs!$B$1+((Inputs!$G$5:$G$130&lt;&gt;"moeda")*(Inputs!$G$5:$G$130&lt;&gt;"acoes")))*INDEX(Inputs!$K$5:$AJ$130,0,MATCH(K$2,Inputs!$K$4:$AJ$4,0)))))</f>
        <v>0</v>
      </c>
      <c r="L36" s="6">
        <f>IF(ISNA(MATCH(L$2,Inputs!$K$4:$AJ$4,0)),NA(),IF(SUMPRODUCT((Inputs!$A$5:$A$130=$B36)*ISNUMBER(INDEX(Inputs!$K$5:$AJ$130,0,MATCH(L$2,Inputs!$K$4:$AJ$4,0))))+SUMPRODUCT((Inputs!$C$5:$C$130=$B36)*ISNUMBER(INDEX(Inputs!$K$5:$AJ$130,0,MATCH(L$2,Inputs!$K$4:$AJ$4,0))))+SUMPRODUCT((Inputs!$E$5:$E$130=$B36)*ISNUMBER(INDEX(Inputs!$K$5:$AJ$130,0,MATCH(L$2,Inputs!$K$4:$AJ$4,0))))=0,NA(),SUMPRODUCT((Inputs!$A$5:$A$130=$B36)*Inputs!$B$5:$B$130*(((Inputs!$G$5:$G$130="moeda")+(Inputs!$G$5:$G$130="acoes"))*Inputs!$B$1+((Inputs!$G$5:$G$130&lt;&gt;"moeda")*(Inputs!$G$5:$G$130&lt;&gt;"acoes")))*INDEX(Inputs!$K$5:$AJ$130,0,MATCH(L$2,Inputs!$K$4:$AJ$4,0)))+SUMPRODUCT((Inputs!$C$5:$C$130=$B36)*Inputs!$D$5:$D$130*(((Inputs!$G$5:$G$130="moeda")+(Inputs!$G$5:$G$130="acoes"))*Inputs!$B$1+((Inputs!$G$5:$G$130&lt;&gt;"moeda")*(Inputs!$G$5:$G$130&lt;&gt;"acoes")))*INDEX(Inputs!$K$5:$AJ$130,0,MATCH(L$2,Inputs!$K$4:$AJ$4,0)))+SUMPRODUCT((Inputs!$E$5:$E$130=$B36)*Inputs!$F$5:$F$130*(((Inputs!$G$5:$G$130="moeda")+(Inputs!$G$5:$G$130="acoes"))*Inputs!$B$1+((Inputs!$G$5:$G$130&lt;&gt;"moeda")*(Inputs!$G$5:$G$130&lt;&gt;"acoes")))*INDEX(Inputs!$K$5:$AJ$130,0,MATCH(L$2,Inputs!$K$4:$AJ$4,0)))))</f>
        <v>0</v>
      </c>
      <c r="M36" s="3">
        <f>L36</f>
        <v>0</v>
      </c>
      <c r="N36" s="6">
        <f>IF(ISNA(MATCH(N$2,Inputs!$K$4:$AJ$4,0)),NA(),IF(SUMPRODUCT((Inputs!$A$5:$A$130=$B36)*ISNUMBER(INDEX(Inputs!$K$5:$AJ$130,0,MATCH(N$2,Inputs!$K$4:$AJ$4,0))))+SUMPRODUCT((Inputs!$C$5:$C$130=$B36)*ISNUMBER(INDEX(Inputs!$K$5:$AJ$130,0,MATCH(N$2,Inputs!$K$4:$AJ$4,0))))+SUMPRODUCT((Inputs!$E$5:$E$130=$B36)*ISNUMBER(INDEX(Inputs!$K$5:$AJ$130,0,MATCH(N$2,Inputs!$K$4:$AJ$4,0))))=0,NA(),SUMPRODUCT((Inputs!$A$5:$A$130=$B36)*Inputs!$B$5:$B$130*(((Inputs!$G$5:$G$130="moeda")+(Inputs!$G$5:$G$130="acoes"))*Inputs!$B$1+((Inputs!$G$5:$G$130&lt;&gt;"moeda")*(Inputs!$G$5:$G$130&lt;&gt;"acoes")))*INDEX(Inputs!$K$5:$AJ$130,0,MATCH(N$2,Inputs!$K$4:$AJ$4,0)))+SUMPRODUCT((Inputs!$C$5:$C$130=$B36)*Inputs!$D$5:$D$130*(((Inputs!$G$5:$G$130="moeda")+(Inputs!$G$5:$G$130="acoes"))*Inputs!$B$1+((Inputs!$G$5:$G$130&lt;&gt;"moeda")*(Inputs!$G$5:$G$130&lt;&gt;"acoes")))*INDEX(Inputs!$K$5:$AJ$130,0,MATCH(N$2,Inputs!$K$4:$AJ$4,0)))+SUMPRODUCT((Inputs!$E$5:$E$130=$B36)*Inputs!$F$5:$F$130*(((Inputs!$G$5:$G$130="moeda")+(Inputs!$G$5:$G$130="acoes"))*Inputs!$B$1+((Inputs!$G$5:$G$130&lt;&gt;"moeda")*(Inputs!$G$5:$G$130&lt;&gt;"acoes")))*INDEX(Inputs!$K$5:$AJ$130,0,MATCH(N$2,Inputs!$K$4:$AJ$4,0)))))</f>
        <v>0</v>
      </c>
      <c r="O36" s="6">
        <f>IF(ISNA(MATCH(O$2,Inputs!$K$4:$AJ$4,0)),NA(),IF(SUMPRODUCT((Inputs!$A$5:$A$130=$B36)*ISNUMBER(INDEX(Inputs!$K$5:$AJ$130,0,MATCH(O$2,Inputs!$K$4:$AJ$4,0))))+SUMPRODUCT((Inputs!$C$5:$C$130=$B36)*ISNUMBER(INDEX(Inputs!$K$5:$AJ$130,0,MATCH(O$2,Inputs!$K$4:$AJ$4,0))))+SUMPRODUCT((Inputs!$E$5:$E$130=$B36)*ISNUMBER(INDEX(Inputs!$K$5:$AJ$130,0,MATCH(O$2,Inputs!$K$4:$AJ$4,0))))=0,NA(),SUMPRODUCT((Inputs!$A$5:$A$130=$B36)*Inputs!$B$5:$B$130*(((Inputs!$G$5:$G$130="moeda")+(Inputs!$G$5:$G$130="acoes"))*Inputs!$B$1+((Inputs!$G$5:$G$130&lt;&gt;"moeda")*(Inputs!$G$5:$G$130&lt;&gt;"acoes")))*INDEX(Inputs!$K$5:$AJ$130,0,MATCH(O$2,Inputs!$K$4:$AJ$4,0)))+SUMPRODUCT((Inputs!$C$5:$C$130=$B36)*Inputs!$D$5:$D$130*(((Inputs!$G$5:$G$130="moeda")+(Inputs!$G$5:$G$130="acoes"))*Inputs!$B$1+((Inputs!$G$5:$G$130&lt;&gt;"moeda")*(Inputs!$G$5:$G$130&lt;&gt;"acoes")))*INDEX(Inputs!$K$5:$AJ$130,0,MATCH(O$2,Inputs!$K$4:$AJ$4,0)))+SUMPRODUCT((Inputs!$E$5:$E$130=$B36)*Inputs!$F$5:$F$130*(((Inputs!$G$5:$G$130="moeda")+(Inputs!$G$5:$G$130="acoes"))*Inputs!$B$1+((Inputs!$G$5:$G$130&lt;&gt;"moeda")*(Inputs!$G$5:$G$130&lt;&gt;"acoes")))*INDEX(Inputs!$K$5:$AJ$130,0,MATCH(O$2,Inputs!$K$4:$AJ$4,0)))))</f>
        <v>0</v>
      </c>
      <c r="P36" s="6">
        <f>IF(ISNA(MATCH(P$2,Inputs!$K$4:$AJ$4,0)),NA(),IF(SUMPRODUCT((Inputs!$A$5:$A$130=$B36)*ISNUMBER(INDEX(Inputs!$K$5:$AJ$130,0,MATCH(P$2,Inputs!$K$4:$AJ$4,0))))+SUMPRODUCT((Inputs!$C$5:$C$130=$B36)*ISNUMBER(INDEX(Inputs!$K$5:$AJ$130,0,MATCH(P$2,Inputs!$K$4:$AJ$4,0))))+SUMPRODUCT((Inputs!$E$5:$E$130=$B36)*ISNUMBER(INDEX(Inputs!$K$5:$AJ$130,0,MATCH(P$2,Inputs!$K$4:$AJ$4,0))))=0,NA(),SUMPRODUCT((Inputs!$A$5:$A$130=$B36)*Inputs!$B$5:$B$130*(((Inputs!$G$5:$G$130="moeda")+(Inputs!$G$5:$G$130="acoes"))*Inputs!$B$1+((Inputs!$G$5:$G$130&lt;&gt;"moeda")*(Inputs!$G$5:$G$130&lt;&gt;"acoes")))*INDEX(Inputs!$K$5:$AJ$130,0,MATCH(P$2,Inputs!$K$4:$AJ$4,0)))+SUMPRODUCT((Inputs!$C$5:$C$130=$B36)*Inputs!$D$5:$D$130*(((Inputs!$G$5:$G$130="moeda")+(Inputs!$G$5:$G$130="acoes"))*Inputs!$B$1+((Inputs!$G$5:$G$130&lt;&gt;"moeda")*(Inputs!$G$5:$G$130&lt;&gt;"acoes")))*INDEX(Inputs!$K$5:$AJ$130,0,MATCH(P$2,Inputs!$K$4:$AJ$4,0)))+SUMPRODUCT((Inputs!$E$5:$E$130=$B36)*Inputs!$F$5:$F$130*(((Inputs!$G$5:$G$130="moeda")+(Inputs!$G$5:$G$130="acoes"))*Inputs!$B$1+((Inputs!$G$5:$G$130&lt;&gt;"moeda")*(Inputs!$G$5:$G$130&lt;&gt;"acoes")))*INDEX(Inputs!$K$5:$AJ$130,0,MATCH(P$2,Inputs!$K$4:$AJ$4,0)))))</f>
        <v>0</v>
      </c>
      <c r="Q36" s="6">
        <f>IF(ISNA(MATCH(Q$2,Inputs!$K$4:$AJ$4,0)),NA(),IF(SUMPRODUCT((Inputs!$A$5:$A$130=$B36)*ISNUMBER(INDEX(Inputs!$K$5:$AJ$130,0,MATCH(Q$2,Inputs!$K$4:$AJ$4,0))))+SUMPRODUCT((Inputs!$C$5:$C$130=$B36)*ISNUMBER(INDEX(Inputs!$K$5:$AJ$130,0,MATCH(Q$2,Inputs!$K$4:$AJ$4,0))))+SUMPRODUCT((Inputs!$E$5:$E$130=$B36)*ISNUMBER(INDEX(Inputs!$K$5:$AJ$130,0,MATCH(Q$2,Inputs!$K$4:$AJ$4,0))))=0,NA(),SUMPRODUCT((Inputs!$A$5:$A$130=$B36)*Inputs!$B$5:$B$130*(((Inputs!$G$5:$G$130="moeda")+(Inputs!$G$5:$G$130="acoes"))*Inputs!$B$1+((Inputs!$G$5:$G$130&lt;&gt;"moeda")*(Inputs!$G$5:$G$130&lt;&gt;"acoes")))*INDEX(Inputs!$K$5:$AJ$130,0,MATCH(Q$2,Inputs!$K$4:$AJ$4,0)))+SUMPRODUCT((Inputs!$C$5:$C$130=$B36)*Inputs!$D$5:$D$130*(((Inputs!$G$5:$G$130="moeda")+(Inputs!$G$5:$G$130="acoes"))*Inputs!$B$1+((Inputs!$G$5:$G$130&lt;&gt;"moeda")*(Inputs!$G$5:$G$130&lt;&gt;"acoes")))*INDEX(Inputs!$K$5:$AJ$130,0,MATCH(Q$2,Inputs!$K$4:$AJ$4,0)))+SUMPRODUCT((Inputs!$E$5:$E$130=$B36)*Inputs!$F$5:$F$130*(((Inputs!$G$5:$G$130="moeda")+(Inputs!$G$5:$G$130="acoes"))*Inputs!$B$1+((Inputs!$G$5:$G$130&lt;&gt;"moeda")*(Inputs!$G$5:$G$130&lt;&gt;"acoes")))*INDEX(Inputs!$K$5:$AJ$130,0,MATCH(Q$2,Inputs!$K$4:$AJ$4,0)))))</f>
        <v>0</v>
      </c>
      <c r="R36" s="3">
        <f>Q36</f>
        <v>0</v>
      </c>
      <c r="S36" s="6">
        <f>IF(ISNA(MATCH(S$2,Inputs!$K$4:$AJ$4,0)),NA(),IF(SUMPRODUCT((Inputs!$A$5:$A$130=$B36)*ISNUMBER(INDEX(Inputs!$K$5:$AJ$130,0,MATCH(S$2,Inputs!$K$4:$AJ$4,0))))+SUMPRODUCT((Inputs!$C$5:$C$130=$B36)*ISNUMBER(INDEX(Inputs!$K$5:$AJ$130,0,MATCH(S$2,Inputs!$K$4:$AJ$4,0))))+SUMPRODUCT((Inputs!$E$5:$E$130=$B36)*ISNUMBER(INDEX(Inputs!$K$5:$AJ$130,0,MATCH(S$2,Inputs!$K$4:$AJ$4,0))))=0,NA(),SUMPRODUCT((Inputs!$A$5:$A$130=$B36)*Inputs!$B$5:$B$130*(((Inputs!$G$5:$G$130="moeda")+(Inputs!$G$5:$G$130="acoes"))*Inputs!$B$1+((Inputs!$G$5:$G$130&lt;&gt;"moeda")*(Inputs!$G$5:$G$130&lt;&gt;"acoes")))*INDEX(Inputs!$K$5:$AJ$130,0,MATCH(S$2,Inputs!$K$4:$AJ$4,0)))+SUMPRODUCT((Inputs!$C$5:$C$130=$B36)*Inputs!$D$5:$D$130*(((Inputs!$G$5:$G$130="moeda")+(Inputs!$G$5:$G$130="acoes"))*Inputs!$B$1+((Inputs!$G$5:$G$130&lt;&gt;"moeda")*(Inputs!$G$5:$G$130&lt;&gt;"acoes")))*INDEX(Inputs!$K$5:$AJ$130,0,MATCH(S$2,Inputs!$K$4:$AJ$4,0)))+SUMPRODUCT((Inputs!$E$5:$E$130=$B36)*Inputs!$F$5:$F$130*(((Inputs!$G$5:$G$130="moeda")+(Inputs!$G$5:$G$130="acoes"))*Inputs!$B$1+((Inputs!$G$5:$G$130&lt;&gt;"moeda")*(Inputs!$G$5:$G$130&lt;&gt;"acoes")))*INDEX(Inputs!$K$5:$AJ$130,0,MATCH(S$2,Inputs!$K$4:$AJ$4,0)))))</f>
        <v>0</v>
      </c>
      <c r="T36" s="6">
        <f>IF(ISNA(MATCH(T$2,Inputs!$K$4:$AJ$4,0)),NA(),IF(SUMPRODUCT((Inputs!$A$5:$A$130=$B36)*ISNUMBER(INDEX(Inputs!$K$5:$AJ$130,0,MATCH(T$2,Inputs!$K$4:$AJ$4,0))))+SUMPRODUCT((Inputs!$C$5:$C$130=$B36)*ISNUMBER(INDEX(Inputs!$K$5:$AJ$130,0,MATCH(T$2,Inputs!$K$4:$AJ$4,0))))+SUMPRODUCT((Inputs!$E$5:$E$130=$B36)*ISNUMBER(INDEX(Inputs!$K$5:$AJ$130,0,MATCH(T$2,Inputs!$K$4:$AJ$4,0))))=0,NA(),SUMPRODUCT((Inputs!$A$5:$A$130=$B36)*Inputs!$B$5:$B$130*(((Inputs!$G$5:$G$130="moeda")+(Inputs!$G$5:$G$130="acoes"))*Inputs!$B$1+((Inputs!$G$5:$G$130&lt;&gt;"moeda")*(Inputs!$G$5:$G$130&lt;&gt;"acoes")))*INDEX(Inputs!$K$5:$AJ$130,0,MATCH(T$2,Inputs!$K$4:$AJ$4,0)))+SUMPRODUCT((Inputs!$C$5:$C$130=$B36)*Inputs!$D$5:$D$130*(((Inputs!$G$5:$G$130="moeda")+(Inputs!$G$5:$G$130="acoes"))*Inputs!$B$1+((Inputs!$G$5:$G$130&lt;&gt;"moeda")*(Inputs!$G$5:$G$130&lt;&gt;"acoes")))*INDEX(Inputs!$K$5:$AJ$130,0,MATCH(T$2,Inputs!$K$4:$AJ$4,0)))+SUMPRODUCT((Inputs!$E$5:$E$130=$B36)*Inputs!$F$5:$F$130*(((Inputs!$G$5:$G$130="moeda")+(Inputs!$G$5:$G$130="acoes"))*Inputs!$B$1+((Inputs!$G$5:$G$130&lt;&gt;"moeda")*(Inputs!$G$5:$G$130&lt;&gt;"acoes")))*INDEX(Inputs!$K$5:$AJ$130,0,MATCH(T$2,Inputs!$K$4:$AJ$4,0)))))</f>
        <v>0</v>
      </c>
      <c r="U36" s="6">
        <f>IF(ISNA(MATCH(U$2,Inputs!$K$4:$AJ$4,0)),NA(),IF(SUMPRODUCT((Inputs!$A$5:$A$130=$B36)*ISNUMBER(INDEX(Inputs!$K$5:$AJ$130,0,MATCH(U$2,Inputs!$K$4:$AJ$4,0))))+SUMPRODUCT((Inputs!$C$5:$C$130=$B36)*ISNUMBER(INDEX(Inputs!$K$5:$AJ$130,0,MATCH(U$2,Inputs!$K$4:$AJ$4,0))))+SUMPRODUCT((Inputs!$E$5:$E$130=$B36)*ISNUMBER(INDEX(Inputs!$K$5:$AJ$130,0,MATCH(U$2,Inputs!$K$4:$AJ$4,0))))=0,NA(),SUMPRODUCT((Inputs!$A$5:$A$130=$B36)*Inputs!$B$5:$B$130*(((Inputs!$G$5:$G$130="moeda")+(Inputs!$G$5:$G$130="acoes"))*Inputs!$B$1+((Inputs!$G$5:$G$130&lt;&gt;"moeda")*(Inputs!$G$5:$G$130&lt;&gt;"acoes")))*INDEX(Inputs!$K$5:$AJ$130,0,MATCH(U$2,Inputs!$K$4:$AJ$4,0)))+SUMPRODUCT((Inputs!$C$5:$C$130=$B36)*Inputs!$D$5:$D$130*(((Inputs!$G$5:$G$130="moeda")+(Inputs!$G$5:$G$130="acoes"))*Inputs!$B$1+((Inputs!$G$5:$G$130&lt;&gt;"moeda")*(Inputs!$G$5:$G$130&lt;&gt;"acoes")))*INDEX(Inputs!$K$5:$AJ$130,0,MATCH(U$2,Inputs!$K$4:$AJ$4,0)))+SUMPRODUCT((Inputs!$E$5:$E$130=$B36)*Inputs!$F$5:$F$130*(((Inputs!$G$5:$G$130="moeda")+(Inputs!$G$5:$G$130="acoes"))*Inputs!$B$1+((Inputs!$G$5:$G$130&lt;&gt;"moeda")*(Inputs!$G$5:$G$130&lt;&gt;"acoes")))*INDEX(Inputs!$K$5:$AJ$130,0,MATCH(U$2,Inputs!$K$4:$AJ$4,0)))))</f>
        <v>0</v>
      </c>
      <c r="V36" s="6">
        <f>IF(ISNA(MATCH(V$2,Inputs!$K$4:$AJ$4,0)),NA(),IF(SUMPRODUCT((Inputs!$A$5:$A$130=$B36)*ISNUMBER(INDEX(Inputs!$K$5:$AJ$130,0,MATCH(V$2,Inputs!$K$4:$AJ$4,0))))+SUMPRODUCT((Inputs!$C$5:$C$130=$B36)*ISNUMBER(INDEX(Inputs!$K$5:$AJ$130,0,MATCH(V$2,Inputs!$K$4:$AJ$4,0))))+SUMPRODUCT((Inputs!$E$5:$E$130=$B36)*ISNUMBER(INDEX(Inputs!$K$5:$AJ$130,0,MATCH(V$2,Inputs!$K$4:$AJ$4,0))))=0,NA(),SUMPRODUCT((Inputs!$A$5:$A$130=$B36)*Inputs!$B$5:$B$130*(((Inputs!$G$5:$G$130="moeda")+(Inputs!$G$5:$G$130="acoes"))*Inputs!$B$1+((Inputs!$G$5:$G$130&lt;&gt;"moeda")*(Inputs!$G$5:$G$130&lt;&gt;"acoes")))*INDEX(Inputs!$K$5:$AJ$130,0,MATCH(V$2,Inputs!$K$4:$AJ$4,0)))+SUMPRODUCT((Inputs!$C$5:$C$130=$B36)*Inputs!$D$5:$D$130*(((Inputs!$G$5:$G$130="moeda")+(Inputs!$G$5:$G$130="acoes"))*Inputs!$B$1+((Inputs!$G$5:$G$130&lt;&gt;"moeda")*(Inputs!$G$5:$G$130&lt;&gt;"acoes")))*INDEX(Inputs!$K$5:$AJ$130,0,MATCH(V$2,Inputs!$K$4:$AJ$4,0)))+SUMPRODUCT((Inputs!$E$5:$E$130=$B36)*Inputs!$F$5:$F$130*(((Inputs!$G$5:$G$130="moeda")+(Inputs!$G$5:$G$130="acoes"))*Inputs!$B$1+((Inputs!$G$5:$G$130&lt;&gt;"moeda")*(Inputs!$G$5:$G$130&lt;&gt;"acoes")))*INDEX(Inputs!$K$5:$AJ$130,0,MATCH(V$2,Inputs!$K$4:$AJ$4,0)))))</f>
        <v>0</v>
      </c>
      <c r="W36" s="3">
        <f>V36</f>
        <v>0</v>
      </c>
      <c r="X36" s="6">
        <f>IF(ISNA(MATCH(X$2,Inputs!$K$4:$AJ$4,0)),NA(),IF(SUMPRODUCT((Inputs!$A$5:$A$130=$B36)*ISNUMBER(INDEX(Inputs!$K$5:$AJ$130,0,MATCH(X$2,Inputs!$K$4:$AJ$4,0))))+SUMPRODUCT((Inputs!$C$5:$C$130=$B36)*ISNUMBER(INDEX(Inputs!$K$5:$AJ$130,0,MATCH(X$2,Inputs!$K$4:$AJ$4,0))))+SUMPRODUCT((Inputs!$E$5:$E$130=$B36)*ISNUMBER(INDEX(Inputs!$K$5:$AJ$130,0,MATCH(X$2,Inputs!$K$4:$AJ$4,0))))=0,NA(),SUMPRODUCT((Inputs!$A$5:$A$130=$B36)*Inputs!$B$5:$B$130*(((Inputs!$G$5:$G$130="moeda")+(Inputs!$G$5:$G$130="acoes"))*Inputs!$B$1+((Inputs!$G$5:$G$130&lt;&gt;"moeda")*(Inputs!$G$5:$G$130&lt;&gt;"acoes")))*INDEX(Inputs!$K$5:$AJ$130,0,MATCH(X$2,Inputs!$K$4:$AJ$4,0)))+SUMPRODUCT((Inputs!$C$5:$C$130=$B36)*Inputs!$D$5:$D$130*(((Inputs!$G$5:$G$130="moeda")+(Inputs!$G$5:$G$130="acoes"))*Inputs!$B$1+((Inputs!$G$5:$G$130&lt;&gt;"moeda")*(Inputs!$G$5:$G$130&lt;&gt;"acoes")))*INDEX(Inputs!$K$5:$AJ$130,0,MATCH(X$2,Inputs!$K$4:$AJ$4,0)))+SUMPRODUCT((Inputs!$E$5:$E$130=$B36)*Inputs!$F$5:$F$130*(((Inputs!$G$5:$G$130="moeda")+(Inputs!$G$5:$G$130="acoes"))*Inputs!$B$1+((Inputs!$G$5:$G$130&lt;&gt;"moeda")*(Inputs!$G$5:$G$130&lt;&gt;"acoes")))*INDEX(Inputs!$K$5:$AJ$130,0,MATCH(X$2,Inputs!$K$4:$AJ$4,0)))))</f>
        <v>0</v>
      </c>
      <c r="Y36" s="6">
        <f>IF(ISNA(MATCH(Y$2,Inputs!$K$4:$AJ$4,0)),NA(),IF(SUMPRODUCT((Inputs!$A$5:$A$130=$B36)*ISNUMBER(INDEX(Inputs!$K$5:$AJ$130,0,MATCH(Y$2,Inputs!$K$4:$AJ$4,0))))+SUMPRODUCT((Inputs!$C$5:$C$130=$B36)*ISNUMBER(INDEX(Inputs!$K$5:$AJ$130,0,MATCH(Y$2,Inputs!$K$4:$AJ$4,0))))+SUMPRODUCT((Inputs!$E$5:$E$130=$B36)*ISNUMBER(INDEX(Inputs!$K$5:$AJ$130,0,MATCH(Y$2,Inputs!$K$4:$AJ$4,0))))=0,NA(),SUMPRODUCT((Inputs!$A$5:$A$130=$B36)*Inputs!$B$5:$B$130*(((Inputs!$G$5:$G$130="moeda")+(Inputs!$G$5:$G$130="acoes"))*Inputs!$B$1+((Inputs!$G$5:$G$130&lt;&gt;"moeda")*(Inputs!$G$5:$G$130&lt;&gt;"acoes")))*INDEX(Inputs!$K$5:$AJ$130,0,MATCH(Y$2,Inputs!$K$4:$AJ$4,0)))+SUMPRODUCT((Inputs!$C$5:$C$130=$B36)*Inputs!$D$5:$D$130*(((Inputs!$G$5:$G$130="moeda")+(Inputs!$G$5:$G$130="acoes"))*Inputs!$B$1+((Inputs!$G$5:$G$130&lt;&gt;"moeda")*(Inputs!$G$5:$G$130&lt;&gt;"acoes")))*INDEX(Inputs!$K$5:$AJ$130,0,MATCH(Y$2,Inputs!$K$4:$AJ$4,0)))+SUMPRODUCT((Inputs!$E$5:$E$130=$B36)*Inputs!$F$5:$F$130*(((Inputs!$G$5:$G$130="moeda")+(Inputs!$G$5:$G$130="acoes"))*Inputs!$B$1+((Inputs!$G$5:$G$130&lt;&gt;"moeda")*(Inputs!$G$5:$G$130&lt;&gt;"acoes")))*INDEX(Inputs!$K$5:$AJ$130,0,MATCH(Y$2,Inputs!$K$4:$AJ$4,0)))))</f>
        <v>0</v>
      </c>
      <c r="Z36" s="6">
        <f>IF(ISNA(MATCH(Z$2,Inputs!$K$4:$AJ$4,0)),NA(),IF(SUMPRODUCT((Inputs!$A$5:$A$130=$B36)*ISNUMBER(INDEX(Inputs!$K$5:$AJ$130,0,MATCH(Z$2,Inputs!$K$4:$AJ$4,0))))+SUMPRODUCT((Inputs!$C$5:$C$130=$B36)*ISNUMBER(INDEX(Inputs!$K$5:$AJ$130,0,MATCH(Z$2,Inputs!$K$4:$AJ$4,0))))+SUMPRODUCT((Inputs!$E$5:$E$130=$B36)*ISNUMBER(INDEX(Inputs!$K$5:$AJ$130,0,MATCH(Z$2,Inputs!$K$4:$AJ$4,0))))=0,NA(),SUMPRODUCT((Inputs!$A$5:$A$130=$B36)*Inputs!$B$5:$B$130*(((Inputs!$G$5:$G$130="moeda")+(Inputs!$G$5:$G$130="acoes"))*Inputs!$B$1+((Inputs!$G$5:$G$130&lt;&gt;"moeda")*(Inputs!$G$5:$G$130&lt;&gt;"acoes")))*INDEX(Inputs!$K$5:$AJ$130,0,MATCH(Z$2,Inputs!$K$4:$AJ$4,0)))+SUMPRODUCT((Inputs!$C$5:$C$130=$B36)*Inputs!$D$5:$D$130*(((Inputs!$G$5:$G$130="moeda")+(Inputs!$G$5:$G$130="acoes"))*Inputs!$B$1+((Inputs!$G$5:$G$130&lt;&gt;"moeda")*(Inputs!$G$5:$G$130&lt;&gt;"acoes")))*INDEX(Inputs!$K$5:$AJ$130,0,MATCH(Z$2,Inputs!$K$4:$AJ$4,0)))+SUMPRODUCT((Inputs!$E$5:$E$130=$B36)*Inputs!$F$5:$F$130*(((Inputs!$G$5:$G$130="moeda")+(Inputs!$G$5:$G$130="acoes"))*Inputs!$B$1+((Inputs!$G$5:$G$130&lt;&gt;"moeda")*(Inputs!$G$5:$G$130&lt;&gt;"acoes")))*INDEX(Inputs!$K$5:$AJ$130,0,MATCH(Z$2,Inputs!$K$4:$AJ$4,0)))))</f>
        <v>0</v>
      </c>
      <c r="AA36" s="6">
        <f>IF(ISNA(MATCH(AA$2,Inputs!$K$4:$AJ$4,0)),NA(),IF(SUMPRODUCT((Inputs!$A$5:$A$130=$B36)*ISNUMBER(INDEX(Inputs!$K$5:$AJ$130,0,MATCH(AA$2,Inputs!$K$4:$AJ$4,0))))+SUMPRODUCT((Inputs!$C$5:$C$130=$B36)*ISNUMBER(INDEX(Inputs!$K$5:$AJ$130,0,MATCH(AA$2,Inputs!$K$4:$AJ$4,0))))+SUMPRODUCT((Inputs!$E$5:$E$130=$B36)*ISNUMBER(INDEX(Inputs!$K$5:$AJ$130,0,MATCH(AA$2,Inputs!$K$4:$AJ$4,0))))=0,NA(),SUMPRODUCT((Inputs!$A$5:$A$130=$B36)*Inputs!$B$5:$B$130*(((Inputs!$G$5:$G$130="moeda")+(Inputs!$G$5:$G$130="acoes"))*Inputs!$B$1+((Inputs!$G$5:$G$130&lt;&gt;"moeda")*(Inputs!$G$5:$G$130&lt;&gt;"acoes")))*INDEX(Inputs!$K$5:$AJ$130,0,MATCH(AA$2,Inputs!$K$4:$AJ$4,0)))+SUMPRODUCT((Inputs!$C$5:$C$130=$B36)*Inputs!$D$5:$D$130*(((Inputs!$G$5:$G$130="moeda")+(Inputs!$G$5:$G$130="acoes"))*Inputs!$B$1+((Inputs!$G$5:$G$130&lt;&gt;"moeda")*(Inputs!$G$5:$G$130&lt;&gt;"acoes")))*INDEX(Inputs!$K$5:$AJ$130,0,MATCH(AA$2,Inputs!$K$4:$AJ$4,0)))+SUMPRODUCT((Inputs!$E$5:$E$130=$B36)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6" s="3">
        <f>AA36</f>
        <v>0</v>
      </c>
      <c r="AC36" s="6">
        <f>IF(ISNA(MATCH(AC$2,Inputs!$K$4:$AJ$4,0)),NA(),IF(SUMPRODUCT((Inputs!$A$5:$A$130=$B36)*ISNUMBER(INDEX(Inputs!$K$5:$AJ$130,0,MATCH(AC$2,Inputs!$K$4:$AJ$4,0))))+SUMPRODUCT((Inputs!$C$5:$C$130=$B36)*ISNUMBER(INDEX(Inputs!$K$5:$AJ$130,0,MATCH(AC$2,Inputs!$K$4:$AJ$4,0))))+SUMPRODUCT((Inputs!$E$5:$E$130=$B36)*ISNUMBER(INDEX(Inputs!$K$5:$AJ$130,0,MATCH(AC$2,Inputs!$K$4:$AJ$4,0))))=0,NA(),SUMPRODUCT((Inputs!$A$5:$A$130=$B36)*Inputs!$B$5:$B$130*(((Inputs!$G$5:$G$130="moeda")+(Inputs!$G$5:$G$130="acoes"))*Inputs!$B$1+((Inputs!$G$5:$G$130&lt;&gt;"moeda")*(Inputs!$G$5:$G$130&lt;&gt;"acoes")))*INDEX(Inputs!$K$5:$AJ$130,0,MATCH(AC$2,Inputs!$K$4:$AJ$4,0)))+SUMPRODUCT((Inputs!$C$5:$C$130=$B36)*Inputs!$D$5:$D$130*(((Inputs!$G$5:$G$130="moeda")+(Inputs!$G$5:$G$130="acoes"))*Inputs!$B$1+((Inputs!$G$5:$G$130&lt;&gt;"moeda")*(Inputs!$G$5:$G$130&lt;&gt;"acoes")))*INDEX(Inputs!$K$5:$AJ$130,0,MATCH(AC$2,Inputs!$K$4:$AJ$4,0)))+SUMPRODUCT((Inputs!$E$5:$E$130=$B36)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6" s="6">
        <f>IF(ISNA(MATCH(AD$2,Inputs!$K$4:$AJ$4,0)),NA(),IF(SUMPRODUCT((Inputs!$A$5:$A$130=$B36)*ISNUMBER(INDEX(Inputs!$K$5:$AJ$130,0,MATCH(AD$2,Inputs!$K$4:$AJ$4,0))))+SUMPRODUCT((Inputs!$C$5:$C$130=$B36)*ISNUMBER(INDEX(Inputs!$K$5:$AJ$130,0,MATCH(AD$2,Inputs!$K$4:$AJ$4,0))))+SUMPRODUCT((Inputs!$E$5:$E$130=$B36)*ISNUMBER(INDEX(Inputs!$K$5:$AJ$130,0,MATCH(AD$2,Inputs!$K$4:$AJ$4,0))))=0,NA(),SUMPRODUCT((Inputs!$A$5:$A$130=$B36)*Inputs!$B$5:$B$130*(((Inputs!$G$5:$G$130="moeda")+(Inputs!$G$5:$G$130="acoes"))*Inputs!$B$1+((Inputs!$G$5:$G$130&lt;&gt;"moeda")*(Inputs!$G$5:$G$130&lt;&gt;"acoes")))*INDEX(Inputs!$K$5:$AJ$130,0,MATCH(AD$2,Inputs!$K$4:$AJ$4,0)))+SUMPRODUCT((Inputs!$C$5:$C$130=$B36)*Inputs!$D$5:$D$130*(((Inputs!$G$5:$G$130="moeda")+(Inputs!$G$5:$G$130="acoes"))*Inputs!$B$1+((Inputs!$G$5:$G$130&lt;&gt;"moeda")*(Inputs!$G$5:$G$130&lt;&gt;"acoes")))*INDEX(Inputs!$K$5:$AJ$130,0,MATCH(AD$2,Inputs!$K$4:$AJ$4,0)))+SUMPRODUCT((Inputs!$E$5:$E$130=$B36)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6" s="6" t="e">
        <f>IF(ISNA(MATCH(AE$2,Inputs!$K$4:$AJ$4,0)),NA(),IF(SUMPRODUCT((Inputs!$A$5:$A$130=$B36)*ISNUMBER(INDEX(Inputs!$K$5:$AJ$130,0,MATCH(AE$2,Inputs!$K$4:$AJ$4,0))))+SUMPRODUCT((Inputs!$C$5:$C$130=$B36)*ISNUMBER(INDEX(Inputs!$K$5:$AJ$130,0,MATCH(AE$2,Inputs!$K$4:$AJ$4,0))))+SUMPRODUCT((Inputs!$E$5:$E$130=$B36)*ISNUMBER(INDEX(Inputs!$K$5:$AJ$130,0,MATCH(AE$2,Inputs!$K$4:$AJ$4,0))))=0,NA(),SUMPRODUCT((Inputs!$A$5:$A$130=$B36)*Inputs!$B$5:$B$130*(((Inputs!$G$5:$G$130="moeda")+(Inputs!$G$5:$G$130="acoes"))*Inputs!$B$1+((Inputs!$G$5:$G$130&lt;&gt;"moeda")*(Inputs!$G$5:$G$130&lt;&gt;"acoes")))*INDEX(Inputs!$K$5:$AJ$130,0,MATCH(AE$2,Inputs!$K$4:$AJ$4,0)))+SUMPRODUCT((Inputs!$C$5:$C$130=$B36)*Inputs!$D$5:$D$130*(((Inputs!$G$5:$G$130="moeda")+(Inputs!$G$5:$G$130="acoes"))*Inputs!$B$1+((Inputs!$G$5:$G$130&lt;&gt;"moeda")*(Inputs!$G$5:$G$130&lt;&gt;"acoes")))*INDEX(Inputs!$K$5:$AJ$130,0,MATCH(AE$2,Inputs!$K$4:$AJ$4,0)))+SUMPRODUCT((Inputs!$E$5:$E$130=$B36)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6" s="6" t="e">
        <f>IF(ISNA(MATCH(AF$2,Inputs!$K$4:$AJ$4,0)),NA(),IF(SUMPRODUCT((Inputs!$A$5:$A$130=$B36)*ISNUMBER(INDEX(Inputs!$K$5:$AJ$130,0,MATCH(AF$2,Inputs!$K$4:$AJ$4,0))))+SUMPRODUCT((Inputs!$C$5:$C$130=$B36)*ISNUMBER(INDEX(Inputs!$K$5:$AJ$130,0,MATCH(AF$2,Inputs!$K$4:$AJ$4,0))))+SUMPRODUCT((Inputs!$E$5:$E$130=$B36)*ISNUMBER(INDEX(Inputs!$K$5:$AJ$130,0,MATCH(AF$2,Inputs!$K$4:$AJ$4,0))))=0,NA(),SUMPRODUCT((Inputs!$A$5:$A$130=$B36)*Inputs!$B$5:$B$130*(((Inputs!$G$5:$G$130="moeda")+(Inputs!$G$5:$G$130="acoes"))*Inputs!$B$1+((Inputs!$G$5:$G$130&lt;&gt;"moeda")*(Inputs!$G$5:$G$130&lt;&gt;"acoes")))*INDEX(Inputs!$K$5:$AJ$130,0,MATCH(AF$2,Inputs!$K$4:$AJ$4,0)))+SUMPRODUCT((Inputs!$C$5:$C$130=$B36)*Inputs!$D$5:$D$130*(((Inputs!$G$5:$G$130="moeda")+(Inputs!$G$5:$G$130="acoes"))*Inputs!$B$1+((Inputs!$G$5:$G$130&lt;&gt;"moeda")*(Inputs!$G$5:$G$130&lt;&gt;"acoes")))*INDEX(Inputs!$K$5:$AJ$130,0,MATCH(AF$2,Inputs!$K$4:$AJ$4,0)))+SUMPRODUCT((Inputs!$E$5:$E$130=$B36)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6" s="3" t="e">
        <f>AF36</f>
        <v>#N/A</v>
      </c>
      <c r="AH36" s="6">
        <f>IF(ISNA(MATCH(AH$2,Inputs!$K$4:$AJ$4,0)),NA(),IF(SUMPRODUCT((Inputs!$A$5:$A$130=$B36)*ISNUMBER(INDEX(Inputs!$K$5:$AJ$130,0,MATCH(AH$2,Inputs!$K$4:$AJ$4,0))))+SUMPRODUCT((Inputs!$C$5:$C$130=$B36)*ISNUMBER(INDEX(Inputs!$K$5:$AJ$130,0,MATCH(AH$2,Inputs!$K$4:$AJ$4,0))))+SUMPRODUCT((Inputs!$E$5:$E$130=$B36)*ISNUMBER(INDEX(Inputs!$K$5:$AJ$130,0,MATCH(AH$2,Inputs!$K$4:$AJ$4,0))))=0,NA(),SUMPRODUCT((Inputs!$A$5:$A$130=$B36)*Inputs!$B$5:$B$130*(((Inputs!$G$5:$G$130="moeda")+(Inputs!$G$5:$G$130="acoes"))*Inputs!$B$1+((Inputs!$G$5:$G$130&lt;&gt;"moeda")*(Inputs!$G$5:$G$130&lt;&gt;"acoes")))*INDEX(Inputs!$K$5:$AJ$130,0,MATCH(AH$2,Inputs!$K$4:$AJ$4,0)))+SUMPRODUCT((Inputs!$C$5:$C$130=$B36)*Inputs!$D$5:$D$130*(((Inputs!$G$5:$G$130="moeda")+(Inputs!$G$5:$G$130="acoes"))*Inputs!$B$1+((Inputs!$G$5:$G$130&lt;&gt;"moeda")*(Inputs!$G$5:$G$130&lt;&gt;"acoes")))*INDEX(Inputs!$K$5:$AJ$130,0,MATCH(AH$2,Inputs!$K$4:$AJ$4,0)))+SUMPRODUCT((Inputs!$E$5:$E$130=$B36)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6" s="6">
        <f>IF(ISNA(MATCH(AI$2,Inputs!$K$4:$AJ$4,0)),NA(),IF(SUMPRODUCT((Inputs!$A$5:$A$130=$B36)*ISNUMBER(INDEX(Inputs!$K$5:$AJ$130,0,MATCH(AI$2,Inputs!$K$4:$AJ$4,0))))+SUMPRODUCT((Inputs!$C$5:$C$130=$B36)*ISNUMBER(INDEX(Inputs!$K$5:$AJ$130,0,MATCH(AI$2,Inputs!$K$4:$AJ$4,0))))+SUMPRODUCT((Inputs!$E$5:$E$130=$B36)*ISNUMBER(INDEX(Inputs!$K$5:$AJ$130,0,MATCH(AI$2,Inputs!$K$4:$AJ$4,0))))=0,NA(),SUMPRODUCT((Inputs!$A$5:$A$130=$B36)*Inputs!$B$5:$B$130*(((Inputs!$G$5:$G$130="moeda")+(Inputs!$G$5:$G$130="acoes"))*Inputs!$B$1+((Inputs!$G$5:$G$130&lt;&gt;"moeda")*(Inputs!$G$5:$G$130&lt;&gt;"acoes")))*INDEX(Inputs!$K$5:$AJ$130,0,MATCH(AI$2,Inputs!$K$4:$AJ$4,0)))+SUMPRODUCT((Inputs!$C$5:$C$130=$B36)*Inputs!$D$5:$D$130*(((Inputs!$G$5:$G$130="moeda")+(Inputs!$G$5:$G$130="acoes"))*Inputs!$B$1+((Inputs!$G$5:$G$130&lt;&gt;"moeda")*(Inputs!$G$5:$G$130&lt;&gt;"acoes")))*INDEX(Inputs!$K$5:$AJ$130,0,MATCH(AI$2,Inputs!$K$4:$AJ$4,0)))+SUMPRODUCT((Inputs!$E$5:$E$130=$B36)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6" s="6">
        <f>IF(ISNA(MATCH(AJ$2,Inputs!$K$4:$AJ$4,0)),NA(),IF(SUMPRODUCT((Inputs!$A$5:$A$130=$B36)*ISNUMBER(INDEX(Inputs!$K$5:$AJ$130,0,MATCH(AJ$2,Inputs!$K$4:$AJ$4,0))))+SUMPRODUCT((Inputs!$C$5:$C$130=$B36)*ISNUMBER(INDEX(Inputs!$K$5:$AJ$130,0,MATCH(AJ$2,Inputs!$K$4:$AJ$4,0))))+SUMPRODUCT((Inputs!$E$5:$E$130=$B36)*ISNUMBER(INDEX(Inputs!$K$5:$AJ$130,0,MATCH(AJ$2,Inputs!$K$4:$AJ$4,0))))=0,NA(),SUMPRODUCT((Inputs!$A$5:$A$130=$B36)*Inputs!$B$5:$B$130*(((Inputs!$G$5:$G$130="moeda")+(Inputs!$G$5:$G$130="acoes"))*Inputs!$B$1+((Inputs!$G$5:$G$130&lt;&gt;"moeda")*(Inputs!$G$5:$G$130&lt;&gt;"acoes")))*INDEX(Inputs!$K$5:$AJ$130,0,MATCH(AJ$2,Inputs!$K$4:$AJ$4,0)))+SUMPRODUCT((Inputs!$C$5:$C$130=$B36)*Inputs!$D$5:$D$130*(((Inputs!$G$5:$G$130="moeda")+(Inputs!$G$5:$G$130="acoes"))*Inputs!$B$1+((Inputs!$G$5:$G$130&lt;&gt;"moeda")*(Inputs!$G$5:$G$130&lt;&gt;"acoes")))*INDEX(Inputs!$K$5:$AJ$130,0,MATCH(AJ$2,Inputs!$K$4:$AJ$4,0)))+SUMPRODUCT((Inputs!$E$5:$E$130=$B36)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6" s="6">
        <f>IF(ISNA(MATCH(AK$2,Inputs!$K$4:$AJ$4,0)),NA(),IF(SUMPRODUCT((Inputs!$A$5:$A$130=$B36)*ISNUMBER(INDEX(Inputs!$K$5:$AJ$130,0,MATCH(AK$2,Inputs!$K$4:$AJ$4,0))))+SUMPRODUCT((Inputs!$C$5:$C$130=$B36)*ISNUMBER(INDEX(Inputs!$K$5:$AJ$130,0,MATCH(AK$2,Inputs!$K$4:$AJ$4,0))))+SUMPRODUCT((Inputs!$E$5:$E$130=$B36)*ISNUMBER(INDEX(Inputs!$K$5:$AJ$130,0,MATCH(AK$2,Inputs!$K$4:$AJ$4,0))))=0,NA(),SUMPRODUCT((Inputs!$A$5:$A$130=$B36)*Inputs!$B$5:$B$130*(((Inputs!$G$5:$G$130="moeda")+(Inputs!$G$5:$G$130="acoes"))*Inputs!$B$1+((Inputs!$G$5:$G$130&lt;&gt;"moeda")*(Inputs!$G$5:$G$130&lt;&gt;"acoes")))*INDEX(Inputs!$K$5:$AJ$130,0,MATCH(AK$2,Inputs!$K$4:$AJ$4,0)))+SUMPRODUCT((Inputs!$C$5:$C$130=$B36)*Inputs!$D$5:$D$130*(((Inputs!$G$5:$G$130="moeda")+(Inputs!$G$5:$G$130="acoes"))*Inputs!$B$1+((Inputs!$G$5:$G$130&lt;&gt;"moeda")*(Inputs!$G$5:$G$130&lt;&gt;"acoes")))*INDEX(Inputs!$K$5:$AJ$130,0,MATCH(AK$2,Inputs!$K$4:$AJ$4,0)))+SUMPRODUCT((Inputs!$E$5:$E$130=$B36)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$130=$B37)*ISNUMBER(INDEX(Inputs!$K$5:$AJ$130,0,MATCH(D$2,Inputs!$K$4:$AJ$4,0))))+SUMPRODUCT((Inputs!$C$5:$C$130=$B37)*ISNUMBER(INDEX(Inputs!$K$5:$AJ$130,0,MATCH(D$2,Inputs!$K$4:$AJ$4,0))))+SUMPRODUCT((Inputs!$E$5:$E$130=$B37)*ISNUMBER(INDEX(Inputs!$K$5:$AJ$130,0,MATCH(D$2,Inputs!$K$4:$AJ$4,0))))=0,NA(),SUMPRODUCT((Inputs!$A$5:$A$130=$B37)*Inputs!$B$5:$B$130*(((Inputs!$G$5:$G$130="moeda")+(Inputs!$G$5:$G$130="acoes"))*Inputs!$B$1+((Inputs!$G$5:$G$130&lt;&gt;"moeda")*(Inputs!$G$5:$G$130&lt;&gt;"acoes")))*INDEX(Inputs!$K$5:$AJ$130,0,MATCH(D$2,Inputs!$K$4:$AJ$4,0)))+SUMPRODUCT((Inputs!$C$5:$C$130=$B37)*Inputs!$D$5:$D$130*(((Inputs!$G$5:$G$130="moeda")+(Inputs!$G$5:$G$130="acoes"))*Inputs!$B$1+((Inputs!$G$5:$G$130&lt;&gt;"moeda")*(Inputs!$G$5:$G$130&lt;&gt;"acoes")))*INDEX(Inputs!$K$5:$AJ$130,0,MATCH(D$2,Inputs!$K$4:$AJ$4,0)))+SUMPRODUCT((Inputs!$E$5:$E$130=$B37)*Inputs!$F$5:$F$130*(((Inputs!$G$5:$G$130="moeda")+(Inputs!$G$5:$G$130="acoes"))*Inputs!$B$1+((Inputs!$G$5:$G$130&lt;&gt;"moeda")*(Inputs!$G$5:$G$130&lt;&gt;"acoes")))*INDEX(Inputs!$K$5:$AJ$130,0,MATCH(D$2,Inputs!$K$4:$AJ$4,0)))))</f>
        <v>0</v>
      </c>
      <c r="E37" s="6">
        <f>IF(ISNA(MATCH(E$2,Inputs!$K$4:$AJ$4,0)),NA(),IF(SUMPRODUCT((Inputs!$A$5:$A$130=$B37)*ISNUMBER(INDEX(Inputs!$K$5:$AJ$130,0,MATCH(E$2,Inputs!$K$4:$AJ$4,0))))+SUMPRODUCT((Inputs!$C$5:$C$130=$B37)*ISNUMBER(INDEX(Inputs!$K$5:$AJ$130,0,MATCH(E$2,Inputs!$K$4:$AJ$4,0))))+SUMPRODUCT((Inputs!$E$5:$E$130=$B37)*ISNUMBER(INDEX(Inputs!$K$5:$AJ$130,0,MATCH(E$2,Inputs!$K$4:$AJ$4,0))))=0,NA(),SUMPRODUCT((Inputs!$A$5:$A$130=$B37)*Inputs!$B$5:$B$130*(((Inputs!$G$5:$G$130="moeda")+(Inputs!$G$5:$G$130="acoes"))*Inputs!$B$1+((Inputs!$G$5:$G$130&lt;&gt;"moeda")*(Inputs!$G$5:$G$130&lt;&gt;"acoes")))*INDEX(Inputs!$K$5:$AJ$130,0,MATCH(E$2,Inputs!$K$4:$AJ$4,0)))+SUMPRODUCT((Inputs!$C$5:$C$130=$B37)*Inputs!$D$5:$D$130*(((Inputs!$G$5:$G$130="moeda")+(Inputs!$G$5:$G$130="acoes"))*Inputs!$B$1+((Inputs!$G$5:$G$130&lt;&gt;"moeda")*(Inputs!$G$5:$G$130&lt;&gt;"acoes")))*INDEX(Inputs!$K$5:$AJ$130,0,MATCH(E$2,Inputs!$K$4:$AJ$4,0)))+SUMPRODUCT((Inputs!$E$5:$E$130=$B37)*Inputs!$F$5:$F$130*(((Inputs!$G$5:$G$130="moeda")+(Inputs!$G$5:$G$130="acoes"))*Inputs!$B$1+((Inputs!$G$5:$G$130&lt;&gt;"moeda")*(Inputs!$G$5:$G$130&lt;&gt;"acoes")))*INDEX(Inputs!$K$5:$AJ$130,0,MATCH(E$2,Inputs!$K$4:$AJ$4,0)))))</f>
        <v>0</v>
      </c>
      <c r="F37" s="6">
        <f>IF(ISNA(MATCH(F$2,Inputs!$K$4:$AJ$4,0)),NA(),IF(SUMPRODUCT((Inputs!$A$5:$A$130=$B37)*ISNUMBER(INDEX(Inputs!$K$5:$AJ$130,0,MATCH(F$2,Inputs!$K$4:$AJ$4,0))))+SUMPRODUCT((Inputs!$C$5:$C$130=$B37)*ISNUMBER(INDEX(Inputs!$K$5:$AJ$130,0,MATCH(F$2,Inputs!$K$4:$AJ$4,0))))+SUMPRODUCT((Inputs!$E$5:$E$130=$B37)*ISNUMBER(INDEX(Inputs!$K$5:$AJ$130,0,MATCH(F$2,Inputs!$K$4:$AJ$4,0))))=0,NA(),SUMPRODUCT((Inputs!$A$5:$A$130=$B37)*Inputs!$B$5:$B$130*(((Inputs!$G$5:$G$130="moeda")+(Inputs!$G$5:$G$130="acoes"))*Inputs!$B$1+((Inputs!$G$5:$G$130&lt;&gt;"moeda")*(Inputs!$G$5:$G$130&lt;&gt;"acoes")))*INDEX(Inputs!$K$5:$AJ$130,0,MATCH(F$2,Inputs!$K$4:$AJ$4,0)))+SUMPRODUCT((Inputs!$C$5:$C$130=$B37)*Inputs!$D$5:$D$130*(((Inputs!$G$5:$G$130="moeda")+(Inputs!$G$5:$G$130="acoes"))*Inputs!$B$1+((Inputs!$G$5:$G$130&lt;&gt;"moeda")*(Inputs!$G$5:$G$130&lt;&gt;"acoes")))*INDEX(Inputs!$K$5:$AJ$130,0,MATCH(F$2,Inputs!$K$4:$AJ$4,0)))+SUMPRODUCT((Inputs!$E$5:$E$130=$B37)*Inputs!$F$5:$F$130*(((Inputs!$G$5:$G$130="moeda")+(Inputs!$G$5:$G$130="acoes"))*Inputs!$B$1+((Inputs!$G$5:$G$130&lt;&gt;"moeda")*(Inputs!$G$5:$G$130&lt;&gt;"acoes")))*INDEX(Inputs!$K$5:$AJ$130,0,MATCH(F$2,Inputs!$K$4:$AJ$4,0)))))</f>
        <v>0</v>
      </c>
      <c r="G37" s="6">
        <f>IF(ISNA(MATCH(G$2,Inputs!$K$4:$AJ$4,0)),NA(),IF(SUMPRODUCT((Inputs!$A$5:$A$130=$B37)*ISNUMBER(INDEX(Inputs!$K$5:$AJ$130,0,MATCH(G$2,Inputs!$K$4:$AJ$4,0))))+SUMPRODUCT((Inputs!$C$5:$C$130=$B37)*ISNUMBER(INDEX(Inputs!$K$5:$AJ$130,0,MATCH(G$2,Inputs!$K$4:$AJ$4,0))))+SUMPRODUCT((Inputs!$E$5:$E$130=$B37)*ISNUMBER(INDEX(Inputs!$K$5:$AJ$130,0,MATCH(G$2,Inputs!$K$4:$AJ$4,0))))=0,NA(),SUMPRODUCT((Inputs!$A$5:$A$130=$B37)*Inputs!$B$5:$B$130*(((Inputs!$G$5:$G$130="moeda")+(Inputs!$G$5:$G$130="acoes"))*Inputs!$B$1+((Inputs!$G$5:$G$130&lt;&gt;"moeda")*(Inputs!$G$5:$G$130&lt;&gt;"acoes")))*INDEX(Inputs!$K$5:$AJ$130,0,MATCH(G$2,Inputs!$K$4:$AJ$4,0)))+SUMPRODUCT((Inputs!$C$5:$C$130=$B37)*Inputs!$D$5:$D$130*(((Inputs!$G$5:$G$130="moeda")+(Inputs!$G$5:$G$130="acoes"))*Inputs!$B$1+((Inputs!$G$5:$G$130&lt;&gt;"moeda")*(Inputs!$G$5:$G$130&lt;&gt;"acoes")))*INDEX(Inputs!$K$5:$AJ$130,0,MATCH(G$2,Inputs!$K$4:$AJ$4,0)))+SUMPRODUCT((Inputs!$E$5:$E$130=$B37)*Inputs!$F$5:$F$130*(((Inputs!$G$5:$G$130="moeda")+(Inputs!$G$5:$G$130="acoes"))*Inputs!$B$1+((Inputs!$G$5:$G$130&lt;&gt;"moeda")*(Inputs!$G$5:$G$130&lt;&gt;"acoes")))*INDEX(Inputs!$K$5:$AJ$130,0,MATCH(G$2,Inputs!$K$4:$AJ$4,0)))))</f>
        <v>0</v>
      </c>
      <c r="H37" s="3">
        <f>G37</f>
        <v>0</v>
      </c>
      <c r="I37" s="6">
        <f>IF(ISNA(MATCH(I$2,Inputs!$K$4:$AJ$4,0)),NA(),IF(SUMPRODUCT((Inputs!$A$5:$A$130=$B37)*ISNUMBER(INDEX(Inputs!$K$5:$AJ$130,0,MATCH(I$2,Inputs!$K$4:$AJ$4,0))))+SUMPRODUCT((Inputs!$C$5:$C$130=$B37)*ISNUMBER(INDEX(Inputs!$K$5:$AJ$130,0,MATCH(I$2,Inputs!$K$4:$AJ$4,0))))+SUMPRODUCT((Inputs!$E$5:$E$130=$B37)*ISNUMBER(INDEX(Inputs!$K$5:$AJ$130,0,MATCH(I$2,Inputs!$K$4:$AJ$4,0))))=0,NA(),SUMPRODUCT((Inputs!$A$5:$A$130=$B37)*Inputs!$B$5:$B$130*(((Inputs!$G$5:$G$130="moeda")+(Inputs!$G$5:$G$130="acoes"))*Inputs!$B$1+((Inputs!$G$5:$G$130&lt;&gt;"moeda")*(Inputs!$G$5:$G$130&lt;&gt;"acoes")))*INDEX(Inputs!$K$5:$AJ$130,0,MATCH(I$2,Inputs!$K$4:$AJ$4,0)))+SUMPRODUCT((Inputs!$C$5:$C$130=$B37)*Inputs!$D$5:$D$130*(((Inputs!$G$5:$G$130="moeda")+(Inputs!$G$5:$G$130="acoes"))*Inputs!$B$1+((Inputs!$G$5:$G$130&lt;&gt;"moeda")*(Inputs!$G$5:$G$130&lt;&gt;"acoes")))*INDEX(Inputs!$K$5:$AJ$130,0,MATCH(I$2,Inputs!$K$4:$AJ$4,0)))+SUMPRODUCT((Inputs!$E$5:$E$130=$B37)*Inputs!$F$5:$F$130*(((Inputs!$G$5:$G$130="moeda")+(Inputs!$G$5:$G$130="acoes"))*Inputs!$B$1+((Inputs!$G$5:$G$130&lt;&gt;"moeda")*(Inputs!$G$5:$G$130&lt;&gt;"acoes")))*INDEX(Inputs!$K$5:$AJ$130,0,MATCH(I$2,Inputs!$K$4:$AJ$4,0)))))</f>
        <v>0</v>
      </c>
      <c r="J37" s="6">
        <f>IF(ISNA(MATCH(J$2,Inputs!$K$4:$AJ$4,0)),NA(),IF(SUMPRODUCT((Inputs!$A$5:$A$130=$B37)*ISNUMBER(INDEX(Inputs!$K$5:$AJ$130,0,MATCH(J$2,Inputs!$K$4:$AJ$4,0))))+SUMPRODUCT((Inputs!$C$5:$C$130=$B37)*ISNUMBER(INDEX(Inputs!$K$5:$AJ$130,0,MATCH(J$2,Inputs!$K$4:$AJ$4,0))))+SUMPRODUCT((Inputs!$E$5:$E$130=$B37)*ISNUMBER(INDEX(Inputs!$K$5:$AJ$130,0,MATCH(J$2,Inputs!$K$4:$AJ$4,0))))=0,NA(),SUMPRODUCT((Inputs!$A$5:$A$130=$B37)*Inputs!$B$5:$B$130*(((Inputs!$G$5:$G$130="moeda")+(Inputs!$G$5:$G$130="acoes"))*Inputs!$B$1+((Inputs!$G$5:$G$130&lt;&gt;"moeda")*(Inputs!$G$5:$G$130&lt;&gt;"acoes")))*INDEX(Inputs!$K$5:$AJ$130,0,MATCH(J$2,Inputs!$K$4:$AJ$4,0)))+SUMPRODUCT((Inputs!$C$5:$C$130=$B37)*Inputs!$D$5:$D$130*(((Inputs!$G$5:$G$130="moeda")+(Inputs!$G$5:$G$130="acoes"))*Inputs!$B$1+((Inputs!$G$5:$G$130&lt;&gt;"moeda")*(Inputs!$G$5:$G$130&lt;&gt;"acoes")))*INDEX(Inputs!$K$5:$AJ$130,0,MATCH(J$2,Inputs!$K$4:$AJ$4,0)))+SUMPRODUCT((Inputs!$E$5:$E$130=$B37)*Inputs!$F$5:$F$130*(((Inputs!$G$5:$G$130="moeda")+(Inputs!$G$5:$G$130="acoes"))*Inputs!$B$1+((Inputs!$G$5:$G$130&lt;&gt;"moeda")*(Inputs!$G$5:$G$130&lt;&gt;"acoes")))*INDEX(Inputs!$K$5:$AJ$130,0,MATCH(J$2,Inputs!$K$4:$AJ$4,0)))))</f>
        <v>0</v>
      </c>
      <c r="K37" s="6">
        <f>IF(ISNA(MATCH(K$2,Inputs!$K$4:$AJ$4,0)),NA(),IF(SUMPRODUCT((Inputs!$A$5:$A$130=$B37)*ISNUMBER(INDEX(Inputs!$K$5:$AJ$130,0,MATCH(K$2,Inputs!$K$4:$AJ$4,0))))+SUMPRODUCT((Inputs!$C$5:$C$130=$B37)*ISNUMBER(INDEX(Inputs!$K$5:$AJ$130,0,MATCH(K$2,Inputs!$K$4:$AJ$4,0))))+SUMPRODUCT((Inputs!$E$5:$E$130=$B37)*ISNUMBER(INDEX(Inputs!$K$5:$AJ$130,0,MATCH(K$2,Inputs!$K$4:$AJ$4,0))))=0,NA(),SUMPRODUCT((Inputs!$A$5:$A$130=$B37)*Inputs!$B$5:$B$130*(((Inputs!$G$5:$G$130="moeda")+(Inputs!$G$5:$G$130="acoes"))*Inputs!$B$1+((Inputs!$G$5:$G$130&lt;&gt;"moeda")*(Inputs!$G$5:$G$130&lt;&gt;"acoes")))*INDEX(Inputs!$K$5:$AJ$130,0,MATCH(K$2,Inputs!$K$4:$AJ$4,0)))+SUMPRODUCT((Inputs!$C$5:$C$130=$B37)*Inputs!$D$5:$D$130*(((Inputs!$G$5:$G$130="moeda")+(Inputs!$G$5:$G$130="acoes"))*Inputs!$B$1+((Inputs!$G$5:$G$130&lt;&gt;"moeda")*(Inputs!$G$5:$G$130&lt;&gt;"acoes")))*INDEX(Inputs!$K$5:$AJ$130,0,MATCH(K$2,Inputs!$K$4:$AJ$4,0)))+SUMPRODUCT((Inputs!$E$5:$E$130=$B37)*Inputs!$F$5:$F$130*(((Inputs!$G$5:$G$130="moeda")+(Inputs!$G$5:$G$130="acoes"))*Inputs!$B$1+((Inputs!$G$5:$G$130&lt;&gt;"moeda")*(Inputs!$G$5:$G$130&lt;&gt;"acoes")))*INDEX(Inputs!$K$5:$AJ$130,0,MATCH(K$2,Inputs!$K$4:$AJ$4,0)))))</f>
        <v>0</v>
      </c>
      <c r="L37" s="6">
        <f>IF(ISNA(MATCH(L$2,Inputs!$K$4:$AJ$4,0)),NA(),IF(SUMPRODUCT((Inputs!$A$5:$A$130=$B37)*ISNUMBER(INDEX(Inputs!$K$5:$AJ$130,0,MATCH(L$2,Inputs!$K$4:$AJ$4,0))))+SUMPRODUCT((Inputs!$C$5:$C$130=$B37)*ISNUMBER(INDEX(Inputs!$K$5:$AJ$130,0,MATCH(L$2,Inputs!$K$4:$AJ$4,0))))+SUMPRODUCT((Inputs!$E$5:$E$130=$B37)*ISNUMBER(INDEX(Inputs!$K$5:$AJ$130,0,MATCH(L$2,Inputs!$K$4:$AJ$4,0))))=0,NA(),SUMPRODUCT((Inputs!$A$5:$A$130=$B37)*Inputs!$B$5:$B$130*(((Inputs!$G$5:$G$130="moeda")+(Inputs!$G$5:$G$130="acoes"))*Inputs!$B$1+((Inputs!$G$5:$G$130&lt;&gt;"moeda")*(Inputs!$G$5:$G$130&lt;&gt;"acoes")))*INDEX(Inputs!$K$5:$AJ$130,0,MATCH(L$2,Inputs!$K$4:$AJ$4,0)))+SUMPRODUCT((Inputs!$C$5:$C$130=$B37)*Inputs!$D$5:$D$130*(((Inputs!$G$5:$G$130="moeda")+(Inputs!$G$5:$G$130="acoes"))*Inputs!$B$1+((Inputs!$G$5:$G$130&lt;&gt;"moeda")*(Inputs!$G$5:$G$130&lt;&gt;"acoes")))*INDEX(Inputs!$K$5:$AJ$130,0,MATCH(L$2,Inputs!$K$4:$AJ$4,0)))+SUMPRODUCT((Inputs!$E$5:$E$130=$B37)*Inputs!$F$5:$F$130*(((Inputs!$G$5:$G$130="moeda")+(Inputs!$G$5:$G$130="acoes"))*Inputs!$B$1+((Inputs!$G$5:$G$130&lt;&gt;"moeda")*(Inputs!$G$5:$G$130&lt;&gt;"acoes")))*INDEX(Inputs!$K$5:$AJ$130,0,MATCH(L$2,Inputs!$K$4:$AJ$4,0)))))</f>
        <v>0</v>
      </c>
      <c r="M37" s="3">
        <f>L37</f>
        <v>0</v>
      </c>
      <c r="N37" s="6">
        <f>IF(ISNA(MATCH(N$2,Inputs!$K$4:$AJ$4,0)),NA(),IF(SUMPRODUCT((Inputs!$A$5:$A$130=$B37)*ISNUMBER(INDEX(Inputs!$K$5:$AJ$130,0,MATCH(N$2,Inputs!$K$4:$AJ$4,0))))+SUMPRODUCT((Inputs!$C$5:$C$130=$B37)*ISNUMBER(INDEX(Inputs!$K$5:$AJ$130,0,MATCH(N$2,Inputs!$K$4:$AJ$4,0))))+SUMPRODUCT((Inputs!$E$5:$E$130=$B37)*ISNUMBER(INDEX(Inputs!$K$5:$AJ$130,0,MATCH(N$2,Inputs!$K$4:$AJ$4,0))))=0,NA(),SUMPRODUCT((Inputs!$A$5:$A$130=$B37)*Inputs!$B$5:$B$130*(((Inputs!$G$5:$G$130="moeda")+(Inputs!$G$5:$G$130="acoes"))*Inputs!$B$1+((Inputs!$G$5:$G$130&lt;&gt;"moeda")*(Inputs!$G$5:$G$130&lt;&gt;"acoes")))*INDEX(Inputs!$K$5:$AJ$130,0,MATCH(N$2,Inputs!$K$4:$AJ$4,0)))+SUMPRODUCT((Inputs!$C$5:$C$130=$B37)*Inputs!$D$5:$D$130*(((Inputs!$G$5:$G$130="moeda")+(Inputs!$G$5:$G$130="acoes"))*Inputs!$B$1+((Inputs!$G$5:$G$130&lt;&gt;"moeda")*(Inputs!$G$5:$G$130&lt;&gt;"acoes")))*INDEX(Inputs!$K$5:$AJ$130,0,MATCH(N$2,Inputs!$K$4:$AJ$4,0)))+SUMPRODUCT((Inputs!$E$5:$E$130=$B37)*Inputs!$F$5:$F$130*(((Inputs!$G$5:$G$130="moeda")+(Inputs!$G$5:$G$130="acoes"))*Inputs!$B$1+((Inputs!$G$5:$G$130&lt;&gt;"moeda")*(Inputs!$G$5:$G$130&lt;&gt;"acoes")))*INDEX(Inputs!$K$5:$AJ$130,0,MATCH(N$2,Inputs!$K$4:$AJ$4,0)))))</f>
        <v>0</v>
      </c>
      <c r="O37" s="6">
        <f>IF(ISNA(MATCH(O$2,Inputs!$K$4:$AJ$4,0)),NA(),IF(SUMPRODUCT((Inputs!$A$5:$A$130=$B37)*ISNUMBER(INDEX(Inputs!$K$5:$AJ$130,0,MATCH(O$2,Inputs!$K$4:$AJ$4,0))))+SUMPRODUCT((Inputs!$C$5:$C$130=$B37)*ISNUMBER(INDEX(Inputs!$K$5:$AJ$130,0,MATCH(O$2,Inputs!$K$4:$AJ$4,0))))+SUMPRODUCT((Inputs!$E$5:$E$130=$B37)*ISNUMBER(INDEX(Inputs!$K$5:$AJ$130,0,MATCH(O$2,Inputs!$K$4:$AJ$4,0))))=0,NA(),SUMPRODUCT((Inputs!$A$5:$A$130=$B37)*Inputs!$B$5:$B$130*(((Inputs!$G$5:$G$130="moeda")+(Inputs!$G$5:$G$130="acoes"))*Inputs!$B$1+((Inputs!$G$5:$G$130&lt;&gt;"moeda")*(Inputs!$G$5:$G$130&lt;&gt;"acoes")))*INDEX(Inputs!$K$5:$AJ$130,0,MATCH(O$2,Inputs!$K$4:$AJ$4,0)))+SUMPRODUCT((Inputs!$C$5:$C$130=$B37)*Inputs!$D$5:$D$130*(((Inputs!$G$5:$G$130="moeda")+(Inputs!$G$5:$G$130="acoes"))*Inputs!$B$1+((Inputs!$G$5:$G$130&lt;&gt;"moeda")*(Inputs!$G$5:$G$130&lt;&gt;"acoes")))*INDEX(Inputs!$K$5:$AJ$130,0,MATCH(O$2,Inputs!$K$4:$AJ$4,0)))+SUMPRODUCT((Inputs!$E$5:$E$130=$B37)*Inputs!$F$5:$F$130*(((Inputs!$G$5:$G$130="moeda")+(Inputs!$G$5:$G$130="acoes"))*Inputs!$B$1+((Inputs!$G$5:$G$130&lt;&gt;"moeda")*(Inputs!$G$5:$G$130&lt;&gt;"acoes")))*INDEX(Inputs!$K$5:$AJ$130,0,MATCH(O$2,Inputs!$K$4:$AJ$4,0)))))</f>
        <v>0</v>
      </c>
      <c r="P37" s="6">
        <f>IF(ISNA(MATCH(P$2,Inputs!$K$4:$AJ$4,0)),NA(),IF(SUMPRODUCT((Inputs!$A$5:$A$130=$B37)*ISNUMBER(INDEX(Inputs!$K$5:$AJ$130,0,MATCH(P$2,Inputs!$K$4:$AJ$4,0))))+SUMPRODUCT((Inputs!$C$5:$C$130=$B37)*ISNUMBER(INDEX(Inputs!$K$5:$AJ$130,0,MATCH(P$2,Inputs!$K$4:$AJ$4,0))))+SUMPRODUCT((Inputs!$E$5:$E$130=$B37)*ISNUMBER(INDEX(Inputs!$K$5:$AJ$130,0,MATCH(P$2,Inputs!$K$4:$AJ$4,0))))=0,NA(),SUMPRODUCT((Inputs!$A$5:$A$130=$B37)*Inputs!$B$5:$B$130*(((Inputs!$G$5:$G$130="moeda")+(Inputs!$G$5:$G$130="acoes"))*Inputs!$B$1+((Inputs!$G$5:$G$130&lt;&gt;"moeda")*(Inputs!$G$5:$G$130&lt;&gt;"acoes")))*INDEX(Inputs!$K$5:$AJ$130,0,MATCH(P$2,Inputs!$K$4:$AJ$4,0)))+SUMPRODUCT((Inputs!$C$5:$C$130=$B37)*Inputs!$D$5:$D$130*(((Inputs!$G$5:$G$130="moeda")+(Inputs!$G$5:$G$130="acoes"))*Inputs!$B$1+((Inputs!$G$5:$G$130&lt;&gt;"moeda")*(Inputs!$G$5:$G$130&lt;&gt;"acoes")))*INDEX(Inputs!$K$5:$AJ$130,0,MATCH(P$2,Inputs!$K$4:$AJ$4,0)))+SUMPRODUCT((Inputs!$E$5:$E$130=$B37)*Inputs!$F$5:$F$130*(((Inputs!$G$5:$G$130="moeda")+(Inputs!$G$5:$G$130="acoes"))*Inputs!$B$1+((Inputs!$G$5:$G$130&lt;&gt;"moeda")*(Inputs!$G$5:$G$130&lt;&gt;"acoes")))*INDEX(Inputs!$K$5:$AJ$130,0,MATCH(P$2,Inputs!$K$4:$AJ$4,0)))))</f>
        <v>0</v>
      </c>
      <c r="Q37" s="6">
        <f>IF(ISNA(MATCH(Q$2,Inputs!$K$4:$AJ$4,0)),NA(),IF(SUMPRODUCT((Inputs!$A$5:$A$130=$B37)*ISNUMBER(INDEX(Inputs!$K$5:$AJ$130,0,MATCH(Q$2,Inputs!$K$4:$AJ$4,0))))+SUMPRODUCT((Inputs!$C$5:$C$130=$B37)*ISNUMBER(INDEX(Inputs!$K$5:$AJ$130,0,MATCH(Q$2,Inputs!$K$4:$AJ$4,0))))+SUMPRODUCT((Inputs!$E$5:$E$130=$B37)*ISNUMBER(INDEX(Inputs!$K$5:$AJ$130,0,MATCH(Q$2,Inputs!$K$4:$AJ$4,0))))=0,NA(),SUMPRODUCT((Inputs!$A$5:$A$130=$B37)*Inputs!$B$5:$B$130*(((Inputs!$G$5:$G$130="moeda")+(Inputs!$G$5:$G$130="acoes"))*Inputs!$B$1+((Inputs!$G$5:$G$130&lt;&gt;"moeda")*(Inputs!$G$5:$G$130&lt;&gt;"acoes")))*INDEX(Inputs!$K$5:$AJ$130,0,MATCH(Q$2,Inputs!$K$4:$AJ$4,0)))+SUMPRODUCT((Inputs!$C$5:$C$130=$B37)*Inputs!$D$5:$D$130*(((Inputs!$G$5:$G$130="moeda")+(Inputs!$G$5:$G$130="acoes"))*Inputs!$B$1+((Inputs!$G$5:$G$130&lt;&gt;"moeda")*(Inputs!$G$5:$G$130&lt;&gt;"acoes")))*INDEX(Inputs!$K$5:$AJ$130,0,MATCH(Q$2,Inputs!$K$4:$AJ$4,0)))+SUMPRODUCT((Inputs!$E$5:$E$130=$B37)*Inputs!$F$5:$F$130*(((Inputs!$G$5:$G$130="moeda")+(Inputs!$G$5:$G$130="acoes"))*Inputs!$B$1+((Inputs!$G$5:$G$130&lt;&gt;"moeda")*(Inputs!$G$5:$G$130&lt;&gt;"acoes")))*INDEX(Inputs!$K$5:$AJ$130,0,MATCH(Q$2,Inputs!$K$4:$AJ$4,0)))))</f>
        <v>0</v>
      </c>
      <c r="R37" s="3">
        <f>Q37</f>
        <v>0</v>
      </c>
      <c r="S37" s="6">
        <f>IF(ISNA(MATCH(S$2,Inputs!$K$4:$AJ$4,0)),NA(),IF(SUMPRODUCT((Inputs!$A$5:$A$130=$B37)*ISNUMBER(INDEX(Inputs!$K$5:$AJ$130,0,MATCH(S$2,Inputs!$K$4:$AJ$4,0))))+SUMPRODUCT((Inputs!$C$5:$C$130=$B37)*ISNUMBER(INDEX(Inputs!$K$5:$AJ$130,0,MATCH(S$2,Inputs!$K$4:$AJ$4,0))))+SUMPRODUCT((Inputs!$E$5:$E$130=$B37)*ISNUMBER(INDEX(Inputs!$K$5:$AJ$130,0,MATCH(S$2,Inputs!$K$4:$AJ$4,0))))=0,NA(),SUMPRODUCT((Inputs!$A$5:$A$130=$B37)*Inputs!$B$5:$B$130*(((Inputs!$G$5:$G$130="moeda")+(Inputs!$G$5:$G$130="acoes"))*Inputs!$B$1+((Inputs!$G$5:$G$130&lt;&gt;"moeda")*(Inputs!$G$5:$G$130&lt;&gt;"acoes")))*INDEX(Inputs!$K$5:$AJ$130,0,MATCH(S$2,Inputs!$K$4:$AJ$4,0)))+SUMPRODUCT((Inputs!$C$5:$C$130=$B37)*Inputs!$D$5:$D$130*(((Inputs!$G$5:$G$130="moeda")+(Inputs!$G$5:$G$130="acoes"))*Inputs!$B$1+((Inputs!$G$5:$G$130&lt;&gt;"moeda")*(Inputs!$G$5:$G$130&lt;&gt;"acoes")))*INDEX(Inputs!$K$5:$AJ$130,0,MATCH(S$2,Inputs!$K$4:$AJ$4,0)))+SUMPRODUCT((Inputs!$E$5:$E$130=$B37)*Inputs!$F$5:$F$130*(((Inputs!$G$5:$G$130="moeda")+(Inputs!$G$5:$G$130="acoes"))*Inputs!$B$1+((Inputs!$G$5:$G$130&lt;&gt;"moeda")*(Inputs!$G$5:$G$130&lt;&gt;"acoes")))*INDEX(Inputs!$K$5:$AJ$130,0,MATCH(S$2,Inputs!$K$4:$AJ$4,0)))))</f>
        <v>0</v>
      </c>
      <c r="T37" s="6">
        <f>IF(ISNA(MATCH(T$2,Inputs!$K$4:$AJ$4,0)),NA(),IF(SUMPRODUCT((Inputs!$A$5:$A$130=$B37)*ISNUMBER(INDEX(Inputs!$K$5:$AJ$130,0,MATCH(T$2,Inputs!$K$4:$AJ$4,0))))+SUMPRODUCT((Inputs!$C$5:$C$130=$B37)*ISNUMBER(INDEX(Inputs!$K$5:$AJ$130,0,MATCH(T$2,Inputs!$K$4:$AJ$4,0))))+SUMPRODUCT((Inputs!$E$5:$E$130=$B37)*ISNUMBER(INDEX(Inputs!$K$5:$AJ$130,0,MATCH(T$2,Inputs!$K$4:$AJ$4,0))))=0,NA(),SUMPRODUCT((Inputs!$A$5:$A$130=$B37)*Inputs!$B$5:$B$130*(((Inputs!$G$5:$G$130="moeda")+(Inputs!$G$5:$G$130="acoes"))*Inputs!$B$1+((Inputs!$G$5:$G$130&lt;&gt;"moeda")*(Inputs!$G$5:$G$130&lt;&gt;"acoes")))*INDEX(Inputs!$K$5:$AJ$130,0,MATCH(T$2,Inputs!$K$4:$AJ$4,0)))+SUMPRODUCT((Inputs!$C$5:$C$130=$B37)*Inputs!$D$5:$D$130*(((Inputs!$G$5:$G$130="moeda")+(Inputs!$G$5:$G$130="acoes"))*Inputs!$B$1+((Inputs!$G$5:$G$130&lt;&gt;"moeda")*(Inputs!$G$5:$G$130&lt;&gt;"acoes")))*INDEX(Inputs!$K$5:$AJ$130,0,MATCH(T$2,Inputs!$K$4:$AJ$4,0)))+SUMPRODUCT((Inputs!$E$5:$E$130=$B37)*Inputs!$F$5:$F$130*(((Inputs!$G$5:$G$130="moeda")+(Inputs!$G$5:$G$130="acoes"))*Inputs!$B$1+((Inputs!$G$5:$G$130&lt;&gt;"moeda")*(Inputs!$G$5:$G$130&lt;&gt;"acoes")))*INDEX(Inputs!$K$5:$AJ$130,0,MATCH(T$2,Inputs!$K$4:$AJ$4,0)))))</f>
        <v>0</v>
      </c>
      <c r="U37" s="6">
        <f>IF(ISNA(MATCH(U$2,Inputs!$K$4:$AJ$4,0)),NA(),IF(SUMPRODUCT((Inputs!$A$5:$A$130=$B37)*ISNUMBER(INDEX(Inputs!$K$5:$AJ$130,0,MATCH(U$2,Inputs!$K$4:$AJ$4,0))))+SUMPRODUCT((Inputs!$C$5:$C$130=$B37)*ISNUMBER(INDEX(Inputs!$K$5:$AJ$130,0,MATCH(U$2,Inputs!$K$4:$AJ$4,0))))+SUMPRODUCT((Inputs!$E$5:$E$130=$B37)*ISNUMBER(INDEX(Inputs!$K$5:$AJ$130,0,MATCH(U$2,Inputs!$K$4:$AJ$4,0))))=0,NA(),SUMPRODUCT((Inputs!$A$5:$A$130=$B37)*Inputs!$B$5:$B$130*(((Inputs!$G$5:$G$130="moeda")+(Inputs!$G$5:$G$130="acoes"))*Inputs!$B$1+((Inputs!$G$5:$G$130&lt;&gt;"moeda")*(Inputs!$G$5:$G$130&lt;&gt;"acoes")))*INDEX(Inputs!$K$5:$AJ$130,0,MATCH(U$2,Inputs!$K$4:$AJ$4,0)))+SUMPRODUCT((Inputs!$C$5:$C$130=$B37)*Inputs!$D$5:$D$130*(((Inputs!$G$5:$G$130="moeda")+(Inputs!$G$5:$G$130="acoes"))*Inputs!$B$1+((Inputs!$G$5:$G$130&lt;&gt;"moeda")*(Inputs!$G$5:$G$130&lt;&gt;"acoes")))*INDEX(Inputs!$K$5:$AJ$130,0,MATCH(U$2,Inputs!$K$4:$AJ$4,0)))+SUMPRODUCT((Inputs!$E$5:$E$130=$B37)*Inputs!$F$5:$F$130*(((Inputs!$G$5:$G$130="moeda")+(Inputs!$G$5:$G$130="acoes"))*Inputs!$B$1+((Inputs!$G$5:$G$130&lt;&gt;"moeda")*(Inputs!$G$5:$G$130&lt;&gt;"acoes")))*INDEX(Inputs!$K$5:$AJ$130,0,MATCH(U$2,Inputs!$K$4:$AJ$4,0)))))</f>
        <v>0</v>
      </c>
      <c r="V37" s="6">
        <f>IF(ISNA(MATCH(V$2,Inputs!$K$4:$AJ$4,0)),NA(),IF(SUMPRODUCT((Inputs!$A$5:$A$130=$B37)*ISNUMBER(INDEX(Inputs!$K$5:$AJ$130,0,MATCH(V$2,Inputs!$K$4:$AJ$4,0))))+SUMPRODUCT((Inputs!$C$5:$C$130=$B37)*ISNUMBER(INDEX(Inputs!$K$5:$AJ$130,0,MATCH(V$2,Inputs!$K$4:$AJ$4,0))))+SUMPRODUCT((Inputs!$E$5:$E$130=$B37)*ISNUMBER(INDEX(Inputs!$K$5:$AJ$130,0,MATCH(V$2,Inputs!$K$4:$AJ$4,0))))=0,NA(),SUMPRODUCT((Inputs!$A$5:$A$130=$B37)*Inputs!$B$5:$B$130*(((Inputs!$G$5:$G$130="moeda")+(Inputs!$G$5:$G$130="acoes"))*Inputs!$B$1+((Inputs!$G$5:$G$130&lt;&gt;"moeda")*(Inputs!$G$5:$G$130&lt;&gt;"acoes")))*INDEX(Inputs!$K$5:$AJ$130,0,MATCH(V$2,Inputs!$K$4:$AJ$4,0)))+SUMPRODUCT((Inputs!$C$5:$C$130=$B37)*Inputs!$D$5:$D$130*(((Inputs!$G$5:$G$130="moeda")+(Inputs!$G$5:$G$130="acoes"))*Inputs!$B$1+((Inputs!$G$5:$G$130&lt;&gt;"moeda")*(Inputs!$G$5:$G$130&lt;&gt;"acoes")))*INDEX(Inputs!$K$5:$AJ$130,0,MATCH(V$2,Inputs!$K$4:$AJ$4,0)))+SUMPRODUCT((Inputs!$E$5:$E$130=$B37)*Inputs!$F$5:$F$130*(((Inputs!$G$5:$G$130="moeda")+(Inputs!$G$5:$G$130="acoes"))*Inputs!$B$1+((Inputs!$G$5:$G$130&lt;&gt;"moeda")*(Inputs!$G$5:$G$130&lt;&gt;"acoes")))*INDEX(Inputs!$K$5:$AJ$130,0,MATCH(V$2,Inputs!$K$4:$AJ$4,0)))))</f>
        <v>0</v>
      </c>
      <c r="W37" s="3">
        <f>V37</f>
        <v>0</v>
      </c>
      <c r="X37" s="6">
        <f>IF(ISNA(MATCH(X$2,Inputs!$K$4:$AJ$4,0)),NA(),IF(SUMPRODUCT((Inputs!$A$5:$A$130=$B37)*ISNUMBER(INDEX(Inputs!$K$5:$AJ$130,0,MATCH(X$2,Inputs!$K$4:$AJ$4,0))))+SUMPRODUCT((Inputs!$C$5:$C$130=$B37)*ISNUMBER(INDEX(Inputs!$K$5:$AJ$130,0,MATCH(X$2,Inputs!$K$4:$AJ$4,0))))+SUMPRODUCT((Inputs!$E$5:$E$130=$B37)*ISNUMBER(INDEX(Inputs!$K$5:$AJ$130,0,MATCH(X$2,Inputs!$K$4:$AJ$4,0))))=0,NA(),SUMPRODUCT((Inputs!$A$5:$A$130=$B37)*Inputs!$B$5:$B$130*(((Inputs!$G$5:$G$130="moeda")+(Inputs!$G$5:$G$130="acoes"))*Inputs!$B$1+((Inputs!$G$5:$G$130&lt;&gt;"moeda")*(Inputs!$G$5:$G$130&lt;&gt;"acoes")))*INDEX(Inputs!$K$5:$AJ$130,0,MATCH(X$2,Inputs!$K$4:$AJ$4,0)))+SUMPRODUCT((Inputs!$C$5:$C$130=$B37)*Inputs!$D$5:$D$130*(((Inputs!$G$5:$G$130="moeda")+(Inputs!$G$5:$G$130="acoes"))*Inputs!$B$1+((Inputs!$G$5:$G$130&lt;&gt;"moeda")*(Inputs!$G$5:$G$130&lt;&gt;"acoes")))*INDEX(Inputs!$K$5:$AJ$130,0,MATCH(X$2,Inputs!$K$4:$AJ$4,0)))+SUMPRODUCT((Inputs!$E$5:$E$130=$B37)*Inputs!$F$5:$F$130*(((Inputs!$G$5:$G$130="moeda")+(Inputs!$G$5:$G$130="acoes"))*Inputs!$B$1+((Inputs!$G$5:$G$130&lt;&gt;"moeda")*(Inputs!$G$5:$G$130&lt;&gt;"acoes")))*INDEX(Inputs!$K$5:$AJ$130,0,MATCH(X$2,Inputs!$K$4:$AJ$4,0)))))</f>
        <v>0</v>
      </c>
      <c r="Y37" s="6">
        <f>IF(ISNA(MATCH(Y$2,Inputs!$K$4:$AJ$4,0)),NA(),IF(SUMPRODUCT((Inputs!$A$5:$A$130=$B37)*ISNUMBER(INDEX(Inputs!$K$5:$AJ$130,0,MATCH(Y$2,Inputs!$K$4:$AJ$4,0))))+SUMPRODUCT((Inputs!$C$5:$C$130=$B37)*ISNUMBER(INDEX(Inputs!$K$5:$AJ$130,0,MATCH(Y$2,Inputs!$K$4:$AJ$4,0))))+SUMPRODUCT((Inputs!$E$5:$E$130=$B37)*ISNUMBER(INDEX(Inputs!$K$5:$AJ$130,0,MATCH(Y$2,Inputs!$K$4:$AJ$4,0))))=0,NA(),SUMPRODUCT((Inputs!$A$5:$A$130=$B37)*Inputs!$B$5:$B$130*(((Inputs!$G$5:$G$130="moeda")+(Inputs!$G$5:$G$130="acoes"))*Inputs!$B$1+((Inputs!$G$5:$G$130&lt;&gt;"moeda")*(Inputs!$G$5:$G$130&lt;&gt;"acoes")))*INDEX(Inputs!$K$5:$AJ$130,0,MATCH(Y$2,Inputs!$K$4:$AJ$4,0)))+SUMPRODUCT((Inputs!$C$5:$C$130=$B37)*Inputs!$D$5:$D$130*(((Inputs!$G$5:$G$130="moeda")+(Inputs!$G$5:$G$130="acoes"))*Inputs!$B$1+((Inputs!$G$5:$G$130&lt;&gt;"moeda")*(Inputs!$G$5:$G$130&lt;&gt;"acoes")))*INDEX(Inputs!$K$5:$AJ$130,0,MATCH(Y$2,Inputs!$K$4:$AJ$4,0)))+SUMPRODUCT((Inputs!$E$5:$E$130=$B37)*Inputs!$F$5:$F$130*(((Inputs!$G$5:$G$130="moeda")+(Inputs!$G$5:$G$130="acoes"))*Inputs!$B$1+((Inputs!$G$5:$G$130&lt;&gt;"moeda")*(Inputs!$G$5:$G$130&lt;&gt;"acoes")))*INDEX(Inputs!$K$5:$AJ$130,0,MATCH(Y$2,Inputs!$K$4:$AJ$4,0)))))</f>
        <v>0</v>
      </c>
      <c r="Z37" s="6">
        <f>IF(ISNA(MATCH(Z$2,Inputs!$K$4:$AJ$4,0)),NA(),IF(SUMPRODUCT((Inputs!$A$5:$A$130=$B37)*ISNUMBER(INDEX(Inputs!$K$5:$AJ$130,0,MATCH(Z$2,Inputs!$K$4:$AJ$4,0))))+SUMPRODUCT((Inputs!$C$5:$C$130=$B37)*ISNUMBER(INDEX(Inputs!$K$5:$AJ$130,0,MATCH(Z$2,Inputs!$K$4:$AJ$4,0))))+SUMPRODUCT((Inputs!$E$5:$E$130=$B37)*ISNUMBER(INDEX(Inputs!$K$5:$AJ$130,0,MATCH(Z$2,Inputs!$K$4:$AJ$4,0))))=0,NA(),SUMPRODUCT((Inputs!$A$5:$A$130=$B37)*Inputs!$B$5:$B$130*(((Inputs!$G$5:$G$130="moeda")+(Inputs!$G$5:$G$130="acoes"))*Inputs!$B$1+((Inputs!$G$5:$G$130&lt;&gt;"moeda")*(Inputs!$G$5:$G$130&lt;&gt;"acoes")))*INDEX(Inputs!$K$5:$AJ$130,0,MATCH(Z$2,Inputs!$K$4:$AJ$4,0)))+SUMPRODUCT((Inputs!$C$5:$C$130=$B37)*Inputs!$D$5:$D$130*(((Inputs!$G$5:$G$130="moeda")+(Inputs!$G$5:$G$130="acoes"))*Inputs!$B$1+((Inputs!$G$5:$G$130&lt;&gt;"moeda")*(Inputs!$G$5:$G$130&lt;&gt;"acoes")))*INDEX(Inputs!$K$5:$AJ$130,0,MATCH(Z$2,Inputs!$K$4:$AJ$4,0)))+SUMPRODUCT((Inputs!$E$5:$E$130=$B37)*Inputs!$F$5:$F$130*(((Inputs!$G$5:$G$130="moeda")+(Inputs!$G$5:$G$130="acoes"))*Inputs!$B$1+((Inputs!$G$5:$G$130&lt;&gt;"moeda")*(Inputs!$G$5:$G$130&lt;&gt;"acoes")))*INDEX(Inputs!$K$5:$AJ$130,0,MATCH(Z$2,Inputs!$K$4:$AJ$4,0)))))</f>
        <v>0</v>
      </c>
      <c r="AA37" s="6">
        <f>IF(ISNA(MATCH(AA$2,Inputs!$K$4:$AJ$4,0)),NA(),IF(SUMPRODUCT((Inputs!$A$5:$A$130=$B37)*ISNUMBER(INDEX(Inputs!$K$5:$AJ$130,0,MATCH(AA$2,Inputs!$K$4:$AJ$4,0))))+SUMPRODUCT((Inputs!$C$5:$C$130=$B37)*ISNUMBER(INDEX(Inputs!$K$5:$AJ$130,0,MATCH(AA$2,Inputs!$K$4:$AJ$4,0))))+SUMPRODUCT((Inputs!$E$5:$E$130=$B37)*ISNUMBER(INDEX(Inputs!$K$5:$AJ$130,0,MATCH(AA$2,Inputs!$K$4:$AJ$4,0))))=0,NA(),SUMPRODUCT((Inputs!$A$5:$A$130=$B37)*Inputs!$B$5:$B$130*(((Inputs!$G$5:$G$130="moeda")+(Inputs!$G$5:$G$130="acoes"))*Inputs!$B$1+((Inputs!$G$5:$G$130&lt;&gt;"moeda")*(Inputs!$G$5:$G$130&lt;&gt;"acoes")))*INDEX(Inputs!$K$5:$AJ$130,0,MATCH(AA$2,Inputs!$K$4:$AJ$4,0)))+SUMPRODUCT((Inputs!$C$5:$C$130=$B37)*Inputs!$D$5:$D$130*(((Inputs!$G$5:$G$130="moeda")+(Inputs!$G$5:$G$130="acoes"))*Inputs!$B$1+((Inputs!$G$5:$G$130&lt;&gt;"moeda")*(Inputs!$G$5:$G$130&lt;&gt;"acoes")))*INDEX(Inputs!$K$5:$AJ$130,0,MATCH(AA$2,Inputs!$K$4:$AJ$4,0)))+SUMPRODUCT((Inputs!$E$5:$E$130=$B37)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7" s="3">
        <f>AA37</f>
        <v>0</v>
      </c>
      <c r="AC37" s="6">
        <f>IF(ISNA(MATCH(AC$2,Inputs!$K$4:$AJ$4,0)),NA(),IF(SUMPRODUCT((Inputs!$A$5:$A$130=$B37)*ISNUMBER(INDEX(Inputs!$K$5:$AJ$130,0,MATCH(AC$2,Inputs!$K$4:$AJ$4,0))))+SUMPRODUCT((Inputs!$C$5:$C$130=$B37)*ISNUMBER(INDEX(Inputs!$K$5:$AJ$130,0,MATCH(AC$2,Inputs!$K$4:$AJ$4,0))))+SUMPRODUCT((Inputs!$E$5:$E$130=$B37)*ISNUMBER(INDEX(Inputs!$K$5:$AJ$130,0,MATCH(AC$2,Inputs!$K$4:$AJ$4,0))))=0,NA(),SUMPRODUCT((Inputs!$A$5:$A$130=$B37)*Inputs!$B$5:$B$130*(((Inputs!$G$5:$G$130="moeda")+(Inputs!$G$5:$G$130="acoes"))*Inputs!$B$1+((Inputs!$G$5:$G$130&lt;&gt;"moeda")*(Inputs!$G$5:$G$130&lt;&gt;"acoes")))*INDEX(Inputs!$K$5:$AJ$130,0,MATCH(AC$2,Inputs!$K$4:$AJ$4,0)))+SUMPRODUCT((Inputs!$C$5:$C$130=$B37)*Inputs!$D$5:$D$130*(((Inputs!$G$5:$G$130="moeda")+(Inputs!$G$5:$G$130="acoes"))*Inputs!$B$1+((Inputs!$G$5:$G$130&lt;&gt;"moeda")*(Inputs!$G$5:$G$130&lt;&gt;"acoes")))*INDEX(Inputs!$K$5:$AJ$130,0,MATCH(AC$2,Inputs!$K$4:$AJ$4,0)))+SUMPRODUCT((Inputs!$E$5:$E$130=$B37)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7" s="6">
        <f>IF(ISNA(MATCH(AD$2,Inputs!$K$4:$AJ$4,0)),NA(),IF(SUMPRODUCT((Inputs!$A$5:$A$130=$B37)*ISNUMBER(INDEX(Inputs!$K$5:$AJ$130,0,MATCH(AD$2,Inputs!$K$4:$AJ$4,0))))+SUMPRODUCT((Inputs!$C$5:$C$130=$B37)*ISNUMBER(INDEX(Inputs!$K$5:$AJ$130,0,MATCH(AD$2,Inputs!$K$4:$AJ$4,0))))+SUMPRODUCT((Inputs!$E$5:$E$130=$B37)*ISNUMBER(INDEX(Inputs!$K$5:$AJ$130,0,MATCH(AD$2,Inputs!$K$4:$AJ$4,0))))=0,NA(),SUMPRODUCT((Inputs!$A$5:$A$130=$B37)*Inputs!$B$5:$B$130*(((Inputs!$G$5:$G$130="moeda")+(Inputs!$G$5:$G$130="acoes"))*Inputs!$B$1+((Inputs!$G$5:$G$130&lt;&gt;"moeda")*(Inputs!$G$5:$G$130&lt;&gt;"acoes")))*INDEX(Inputs!$K$5:$AJ$130,0,MATCH(AD$2,Inputs!$K$4:$AJ$4,0)))+SUMPRODUCT((Inputs!$C$5:$C$130=$B37)*Inputs!$D$5:$D$130*(((Inputs!$G$5:$G$130="moeda")+(Inputs!$G$5:$G$130="acoes"))*Inputs!$B$1+((Inputs!$G$5:$G$130&lt;&gt;"moeda")*(Inputs!$G$5:$G$130&lt;&gt;"acoes")))*INDEX(Inputs!$K$5:$AJ$130,0,MATCH(AD$2,Inputs!$K$4:$AJ$4,0)))+SUMPRODUCT((Inputs!$E$5:$E$130=$B37)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7" s="6" t="e">
        <f>IF(ISNA(MATCH(AE$2,Inputs!$K$4:$AJ$4,0)),NA(),IF(SUMPRODUCT((Inputs!$A$5:$A$130=$B37)*ISNUMBER(INDEX(Inputs!$K$5:$AJ$130,0,MATCH(AE$2,Inputs!$K$4:$AJ$4,0))))+SUMPRODUCT((Inputs!$C$5:$C$130=$B37)*ISNUMBER(INDEX(Inputs!$K$5:$AJ$130,0,MATCH(AE$2,Inputs!$K$4:$AJ$4,0))))+SUMPRODUCT((Inputs!$E$5:$E$130=$B37)*ISNUMBER(INDEX(Inputs!$K$5:$AJ$130,0,MATCH(AE$2,Inputs!$K$4:$AJ$4,0))))=0,NA(),SUMPRODUCT((Inputs!$A$5:$A$130=$B37)*Inputs!$B$5:$B$130*(((Inputs!$G$5:$G$130="moeda")+(Inputs!$G$5:$G$130="acoes"))*Inputs!$B$1+((Inputs!$G$5:$G$130&lt;&gt;"moeda")*(Inputs!$G$5:$G$130&lt;&gt;"acoes")))*INDEX(Inputs!$K$5:$AJ$130,0,MATCH(AE$2,Inputs!$K$4:$AJ$4,0)))+SUMPRODUCT((Inputs!$C$5:$C$130=$B37)*Inputs!$D$5:$D$130*(((Inputs!$G$5:$G$130="moeda")+(Inputs!$G$5:$G$130="acoes"))*Inputs!$B$1+((Inputs!$G$5:$G$130&lt;&gt;"moeda")*(Inputs!$G$5:$G$130&lt;&gt;"acoes")))*INDEX(Inputs!$K$5:$AJ$130,0,MATCH(AE$2,Inputs!$K$4:$AJ$4,0)))+SUMPRODUCT((Inputs!$E$5:$E$130=$B37)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7" s="6" t="e">
        <f>IF(ISNA(MATCH(AF$2,Inputs!$K$4:$AJ$4,0)),NA(),IF(SUMPRODUCT((Inputs!$A$5:$A$130=$B37)*ISNUMBER(INDEX(Inputs!$K$5:$AJ$130,0,MATCH(AF$2,Inputs!$K$4:$AJ$4,0))))+SUMPRODUCT((Inputs!$C$5:$C$130=$B37)*ISNUMBER(INDEX(Inputs!$K$5:$AJ$130,0,MATCH(AF$2,Inputs!$K$4:$AJ$4,0))))+SUMPRODUCT((Inputs!$E$5:$E$130=$B37)*ISNUMBER(INDEX(Inputs!$K$5:$AJ$130,0,MATCH(AF$2,Inputs!$K$4:$AJ$4,0))))=0,NA(),SUMPRODUCT((Inputs!$A$5:$A$130=$B37)*Inputs!$B$5:$B$130*(((Inputs!$G$5:$G$130="moeda")+(Inputs!$G$5:$G$130="acoes"))*Inputs!$B$1+((Inputs!$G$5:$G$130&lt;&gt;"moeda")*(Inputs!$G$5:$G$130&lt;&gt;"acoes")))*INDEX(Inputs!$K$5:$AJ$130,0,MATCH(AF$2,Inputs!$K$4:$AJ$4,0)))+SUMPRODUCT((Inputs!$C$5:$C$130=$B37)*Inputs!$D$5:$D$130*(((Inputs!$G$5:$G$130="moeda")+(Inputs!$G$5:$G$130="acoes"))*Inputs!$B$1+((Inputs!$G$5:$G$130&lt;&gt;"moeda")*(Inputs!$G$5:$G$130&lt;&gt;"acoes")))*INDEX(Inputs!$K$5:$AJ$130,0,MATCH(AF$2,Inputs!$K$4:$AJ$4,0)))+SUMPRODUCT((Inputs!$E$5:$E$130=$B37)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7" s="3" t="e">
        <f>AF37</f>
        <v>#N/A</v>
      </c>
      <c r="AH37" s="6">
        <f>IF(ISNA(MATCH(AH$2,Inputs!$K$4:$AJ$4,0)),NA(),IF(SUMPRODUCT((Inputs!$A$5:$A$130=$B37)*ISNUMBER(INDEX(Inputs!$K$5:$AJ$130,0,MATCH(AH$2,Inputs!$K$4:$AJ$4,0))))+SUMPRODUCT((Inputs!$C$5:$C$130=$B37)*ISNUMBER(INDEX(Inputs!$K$5:$AJ$130,0,MATCH(AH$2,Inputs!$K$4:$AJ$4,0))))+SUMPRODUCT((Inputs!$E$5:$E$130=$B37)*ISNUMBER(INDEX(Inputs!$K$5:$AJ$130,0,MATCH(AH$2,Inputs!$K$4:$AJ$4,0))))=0,NA(),SUMPRODUCT((Inputs!$A$5:$A$130=$B37)*Inputs!$B$5:$B$130*(((Inputs!$G$5:$G$130="moeda")+(Inputs!$G$5:$G$130="acoes"))*Inputs!$B$1+((Inputs!$G$5:$G$130&lt;&gt;"moeda")*(Inputs!$G$5:$G$130&lt;&gt;"acoes")))*INDEX(Inputs!$K$5:$AJ$130,0,MATCH(AH$2,Inputs!$K$4:$AJ$4,0)))+SUMPRODUCT((Inputs!$C$5:$C$130=$B37)*Inputs!$D$5:$D$130*(((Inputs!$G$5:$G$130="moeda")+(Inputs!$G$5:$G$130="acoes"))*Inputs!$B$1+((Inputs!$G$5:$G$130&lt;&gt;"moeda")*(Inputs!$G$5:$G$130&lt;&gt;"acoes")))*INDEX(Inputs!$K$5:$AJ$130,0,MATCH(AH$2,Inputs!$K$4:$AJ$4,0)))+SUMPRODUCT((Inputs!$E$5:$E$130=$B37)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7" s="6">
        <f>IF(ISNA(MATCH(AI$2,Inputs!$K$4:$AJ$4,0)),NA(),IF(SUMPRODUCT((Inputs!$A$5:$A$130=$B37)*ISNUMBER(INDEX(Inputs!$K$5:$AJ$130,0,MATCH(AI$2,Inputs!$K$4:$AJ$4,0))))+SUMPRODUCT((Inputs!$C$5:$C$130=$B37)*ISNUMBER(INDEX(Inputs!$K$5:$AJ$130,0,MATCH(AI$2,Inputs!$K$4:$AJ$4,0))))+SUMPRODUCT((Inputs!$E$5:$E$130=$B37)*ISNUMBER(INDEX(Inputs!$K$5:$AJ$130,0,MATCH(AI$2,Inputs!$K$4:$AJ$4,0))))=0,NA(),SUMPRODUCT((Inputs!$A$5:$A$130=$B37)*Inputs!$B$5:$B$130*(((Inputs!$G$5:$G$130="moeda")+(Inputs!$G$5:$G$130="acoes"))*Inputs!$B$1+((Inputs!$G$5:$G$130&lt;&gt;"moeda")*(Inputs!$G$5:$G$130&lt;&gt;"acoes")))*INDEX(Inputs!$K$5:$AJ$130,0,MATCH(AI$2,Inputs!$K$4:$AJ$4,0)))+SUMPRODUCT((Inputs!$C$5:$C$130=$B37)*Inputs!$D$5:$D$130*(((Inputs!$G$5:$G$130="moeda")+(Inputs!$G$5:$G$130="acoes"))*Inputs!$B$1+((Inputs!$G$5:$G$130&lt;&gt;"moeda")*(Inputs!$G$5:$G$130&lt;&gt;"acoes")))*INDEX(Inputs!$K$5:$AJ$130,0,MATCH(AI$2,Inputs!$K$4:$AJ$4,0)))+SUMPRODUCT((Inputs!$E$5:$E$130=$B37)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7" s="6">
        <f>IF(ISNA(MATCH(AJ$2,Inputs!$K$4:$AJ$4,0)),NA(),IF(SUMPRODUCT((Inputs!$A$5:$A$130=$B37)*ISNUMBER(INDEX(Inputs!$K$5:$AJ$130,0,MATCH(AJ$2,Inputs!$K$4:$AJ$4,0))))+SUMPRODUCT((Inputs!$C$5:$C$130=$B37)*ISNUMBER(INDEX(Inputs!$K$5:$AJ$130,0,MATCH(AJ$2,Inputs!$K$4:$AJ$4,0))))+SUMPRODUCT((Inputs!$E$5:$E$130=$B37)*ISNUMBER(INDEX(Inputs!$K$5:$AJ$130,0,MATCH(AJ$2,Inputs!$K$4:$AJ$4,0))))=0,NA(),SUMPRODUCT((Inputs!$A$5:$A$130=$B37)*Inputs!$B$5:$B$130*(((Inputs!$G$5:$G$130="moeda")+(Inputs!$G$5:$G$130="acoes"))*Inputs!$B$1+((Inputs!$G$5:$G$130&lt;&gt;"moeda")*(Inputs!$G$5:$G$130&lt;&gt;"acoes")))*INDEX(Inputs!$K$5:$AJ$130,0,MATCH(AJ$2,Inputs!$K$4:$AJ$4,0)))+SUMPRODUCT((Inputs!$C$5:$C$130=$B37)*Inputs!$D$5:$D$130*(((Inputs!$G$5:$G$130="moeda")+(Inputs!$G$5:$G$130="acoes"))*Inputs!$B$1+((Inputs!$G$5:$G$130&lt;&gt;"moeda")*(Inputs!$G$5:$G$130&lt;&gt;"acoes")))*INDEX(Inputs!$K$5:$AJ$130,0,MATCH(AJ$2,Inputs!$K$4:$AJ$4,0)))+SUMPRODUCT((Inputs!$E$5:$E$130=$B37)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7" s="6">
        <f>IF(ISNA(MATCH(AK$2,Inputs!$K$4:$AJ$4,0)),NA(),IF(SUMPRODUCT((Inputs!$A$5:$A$130=$B37)*ISNUMBER(INDEX(Inputs!$K$5:$AJ$130,0,MATCH(AK$2,Inputs!$K$4:$AJ$4,0))))+SUMPRODUCT((Inputs!$C$5:$C$130=$B37)*ISNUMBER(INDEX(Inputs!$K$5:$AJ$130,0,MATCH(AK$2,Inputs!$K$4:$AJ$4,0))))+SUMPRODUCT((Inputs!$E$5:$E$130=$B37)*ISNUMBER(INDEX(Inputs!$K$5:$AJ$130,0,MATCH(AK$2,Inputs!$K$4:$AJ$4,0))))=0,NA(),SUMPRODUCT((Inputs!$A$5:$A$130=$B37)*Inputs!$B$5:$B$130*(((Inputs!$G$5:$G$130="moeda")+(Inputs!$G$5:$G$130="acoes"))*Inputs!$B$1+((Inputs!$G$5:$G$130&lt;&gt;"moeda")*(Inputs!$G$5:$G$130&lt;&gt;"acoes")))*INDEX(Inputs!$K$5:$AJ$130,0,MATCH(AK$2,Inputs!$K$4:$AJ$4,0)))+SUMPRODUCT((Inputs!$C$5:$C$130=$B37)*Inputs!$D$5:$D$130*(((Inputs!$G$5:$G$130="moeda")+(Inputs!$G$5:$G$130="acoes"))*Inputs!$B$1+((Inputs!$G$5:$G$130&lt;&gt;"moeda")*(Inputs!$G$5:$G$130&lt;&gt;"acoes")))*INDEX(Inputs!$K$5:$AJ$130,0,MATCH(AK$2,Inputs!$K$4:$AJ$4,0)))+SUMPRODUCT((Inputs!$E$5:$E$130=$B37)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$130=$B38)*ISNUMBER(INDEX(Inputs!$K$5:$AJ$130,0,MATCH(D$2,Inputs!$K$4:$AJ$4,0))))+SUMPRODUCT((Inputs!$C$5:$C$130=$B38)*ISNUMBER(INDEX(Inputs!$K$5:$AJ$130,0,MATCH(D$2,Inputs!$K$4:$AJ$4,0))))+SUMPRODUCT((Inputs!$E$5:$E$130=$B38)*ISNUMBER(INDEX(Inputs!$K$5:$AJ$130,0,MATCH(D$2,Inputs!$K$4:$AJ$4,0))))=0,NA(),SUMPRODUCT((Inputs!$A$5:$A$130=$B38)*Inputs!$B$5:$B$130*(((Inputs!$G$5:$G$130="moeda")+(Inputs!$G$5:$G$130="acoes"))*Inputs!$B$1+((Inputs!$G$5:$G$130&lt;&gt;"moeda")*(Inputs!$G$5:$G$130&lt;&gt;"acoes")))*INDEX(Inputs!$K$5:$AJ$130,0,MATCH(D$2,Inputs!$K$4:$AJ$4,0)))+SUMPRODUCT((Inputs!$C$5:$C$130=$B38)*Inputs!$D$5:$D$130*(((Inputs!$G$5:$G$130="moeda")+(Inputs!$G$5:$G$130="acoes"))*Inputs!$B$1+((Inputs!$G$5:$G$130&lt;&gt;"moeda")*(Inputs!$G$5:$G$130&lt;&gt;"acoes")))*INDEX(Inputs!$K$5:$AJ$130,0,MATCH(D$2,Inputs!$K$4:$AJ$4,0)))+SUMPRODUCT((Inputs!$E$5:$E$130=$B38)*Inputs!$F$5:$F$130*(((Inputs!$G$5:$G$130="moeda")+(Inputs!$G$5:$G$130="acoes"))*Inputs!$B$1+((Inputs!$G$5:$G$130&lt;&gt;"moeda")*(Inputs!$G$5:$G$130&lt;&gt;"acoes")))*INDEX(Inputs!$K$5:$AJ$130,0,MATCH(D$2,Inputs!$K$4:$AJ$4,0)))))</f>
        <v>533</v>
      </c>
      <c r="E38" s="6">
        <f>IF(ISNA(MATCH(E$2,Inputs!$K$4:$AJ$4,0)),NA(),IF(SUMPRODUCT((Inputs!$A$5:$A$130=$B38)*ISNUMBER(INDEX(Inputs!$K$5:$AJ$130,0,MATCH(E$2,Inputs!$K$4:$AJ$4,0))))+SUMPRODUCT((Inputs!$C$5:$C$130=$B38)*ISNUMBER(INDEX(Inputs!$K$5:$AJ$130,0,MATCH(E$2,Inputs!$K$4:$AJ$4,0))))+SUMPRODUCT((Inputs!$E$5:$E$130=$B38)*ISNUMBER(INDEX(Inputs!$K$5:$AJ$130,0,MATCH(E$2,Inputs!$K$4:$AJ$4,0))))=0,NA(),SUMPRODUCT((Inputs!$A$5:$A$130=$B38)*Inputs!$B$5:$B$130*(((Inputs!$G$5:$G$130="moeda")+(Inputs!$G$5:$G$130="acoes"))*Inputs!$B$1+((Inputs!$G$5:$G$130&lt;&gt;"moeda")*(Inputs!$G$5:$G$130&lt;&gt;"acoes")))*INDEX(Inputs!$K$5:$AJ$130,0,MATCH(E$2,Inputs!$K$4:$AJ$4,0)))+SUMPRODUCT((Inputs!$C$5:$C$130=$B38)*Inputs!$D$5:$D$130*(((Inputs!$G$5:$G$130="moeda")+(Inputs!$G$5:$G$130="acoes"))*Inputs!$B$1+((Inputs!$G$5:$G$130&lt;&gt;"moeda")*(Inputs!$G$5:$G$130&lt;&gt;"acoes")))*INDEX(Inputs!$K$5:$AJ$130,0,MATCH(E$2,Inputs!$K$4:$AJ$4,0)))+SUMPRODUCT((Inputs!$E$5:$E$130=$B38)*Inputs!$F$5:$F$130*(((Inputs!$G$5:$G$130="moeda")+(Inputs!$G$5:$G$130="acoes"))*Inputs!$B$1+((Inputs!$G$5:$G$130&lt;&gt;"moeda")*(Inputs!$G$5:$G$130&lt;&gt;"acoes")))*INDEX(Inputs!$K$5:$AJ$130,0,MATCH(E$2,Inputs!$K$4:$AJ$4,0)))))</f>
        <v>515</v>
      </c>
      <c r="F38" s="6">
        <f>IF(ISNA(MATCH(F$2,Inputs!$K$4:$AJ$4,0)),NA(),IF(SUMPRODUCT((Inputs!$A$5:$A$130=$B38)*ISNUMBER(INDEX(Inputs!$K$5:$AJ$130,0,MATCH(F$2,Inputs!$K$4:$AJ$4,0))))+SUMPRODUCT((Inputs!$C$5:$C$130=$B38)*ISNUMBER(INDEX(Inputs!$K$5:$AJ$130,0,MATCH(F$2,Inputs!$K$4:$AJ$4,0))))+SUMPRODUCT((Inputs!$E$5:$E$130=$B38)*ISNUMBER(INDEX(Inputs!$K$5:$AJ$130,0,MATCH(F$2,Inputs!$K$4:$AJ$4,0))))=0,NA(),SUMPRODUCT((Inputs!$A$5:$A$130=$B38)*Inputs!$B$5:$B$130*(((Inputs!$G$5:$G$130="moeda")+(Inputs!$G$5:$G$130="acoes"))*Inputs!$B$1+((Inputs!$G$5:$G$130&lt;&gt;"moeda")*(Inputs!$G$5:$G$130&lt;&gt;"acoes")))*INDEX(Inputs!$K$5:$AJ$130,0,MATCH(F$2,Inputs!$K$4:$AJ$4,0)))+SUMPRODUCT((Inputs!$C$5:$C$130=$B38)*Inputs!$D$5:$D$130*(((Inputs!$G$5:$G$130="moeda")+(Inputs!$G$5:$G$130="acoes"))*Inputs!$B$1+((Inputs!$G$5:$G$130&lt;&gt;"moeda")*(Inputs!$G$5:$G$130&lt;&gt;"acoes")))*INDEX(Inputs!$K$5:$AJ$130,0,MATCH(F$2,Inputs!$K$4:$AJ$4,0)))+SUMPRODUCT((Inputs!$E$5:$E$130=$B38)*Inputs!$F$5:$F$130*(((Inputs!$G$5:$G$130="moeda")+(Inputs!$G$5:$G$130="acoes"))*Inputs!$B$1+((Inputs!$G$5:$G$130&lt;&gt;"moeda")*(Inputs!$G$5:$G$130&lt;&gt;"acoes")))*INDEX(Inputs!$K$5:$AJ$130,0,MATCH(F$2,Inputs!$K$4:$AJ$4,0)))))</f>
        <v>576</v>
      </c>
      <c r="G38" s="6">
        <f>IF(ISNA(MATCH(G$2,Inputs!$K$4:$AJ$4,0)),NA(),IF(SUMPRODUCT((Inputs!$A$5:$A$130=$B38)*ISNUMBER(INDEX(Inputs!$K$5:$AJ$130,0,MATCH(G$2,Inputs!$K$4:$AJ$4,0))))+SUMPRODUCT((Inputs!$C$5:$C$130=$B38)*ISNUMBER(INDEX(Inputs!$K$5:$AJ$130,0,MATCH(G$2,Inputs!$K$4:$AJ$4,0))))+SUMPRODUCT((Inputs!$E$5:$E$130=$B38)*ISNUMBER(INDEX(Inputs!$K$5:$AJ$130,0,MATCH(G$2,Inputs!$K$4:$AJ$4,0))))=0,NA(),SUMPRODUCT((Inputs!$A$5:$A$130=$B38)*Inputs!$B$5:$B$130*(((Inputs!$G$5:$G$130="moeda")+(Inputs!$G$5:$G$130="acoes"))*Inputs!$B$1+((Inputs!$G$5:$G$130&lt;&gt;"moeda")*(Inputs!$G$5:$G$130&lt;&gt;"acoes")))*INDEX(Inputs!$K$5:$AJ$130,0,MATCH(G$2,Inputs!$K$4:$AJ$4,0)))+SUMPRODUCT((Inputs!$C$5:$C$130=$B38)*Inputs!$D$5:$D$130*(((Inputs!$G$5:$G$130="moeda")+(Inputs!$G$5:$G$130="acoes"))*Inputs!$B$1+((Inputs!$G$5:$G$130&lt;&gt;"moeda")*(Inputs!$G$5:$G$130&lt;&gt;"acoes")))*INDEX(Inputs!$K$5:$AJ$130,0,MATCH(G$2,Inputs!$K$4:$AJ$4,0)))+SUMPRODUCT((Inputs!$E$5:$E$130=$B38)*Inputs!$F$5:$F$130*(((Inputs!$G$5:$G$130="moeda")+(Inputs!$G$5:$G$130="acoes"))*Inputs!$B$1+((Inputs!$G$5:$G$130&lt;&gt;"moeda")*(Inputs!$G$5:$G$130&lt;&gt;"acoes")))*INDEX(Inputs!$K$5:$AJ$130,0,MATCH(G$2,Inputs!$K$4:$AJ$4,0)))))</f>
        <v>556</v>
      </c>
      <c r="H38" s="3">
        <f>G38</f>
        <v>556</v>
      </c>
      <c r="I38" s="6">
        <f>IF(ISNA(MATCH(I$2,Inputs!$K$4:$AJ$4,0)),NA(),IF(SUMPRODUCT((Inputs!$A$5:$A$130=$B38)*ISNUMBER(INDEX(Inputs!$K$5:$AJ$130,0,MATCH(I$2,Inputs!$K$4:$AJ$4,0))))+SUMPRODUCT((Inputs!$C$5:$C$130=$B38)*ISNUMBER(INDEX(Inputs!$K$5:$AJ$130,0,MATCH(I$2,Inputs!$K$4:$AJ$4,0))))+SUMPRODUCT((Inputs!$E$5:$E$130=$B38)*ISNUMBER(INDEX(Inputs!$K$5:$AJ$130,0,MATCH(I$2,Inputs!$K$4:$AJ$4,0))))=0,NA(),SUMPRODUCT((Inputs!$A$5:$A$130=$B38)*Inputs!$B$5:$B$130*(((Inputs!$G$5:$G$130="moeda")+(Inputs!$G$5:$G$130="acoes"))*Inputs!$B$1+((Inputs!$G$5:$G$130&lt;&gt;"moeda")*(Inputs!$G$5:$G$130&lt;&gt;"acoes")))*INDEX(Inputs!$K$5:$AJ$130,0,MATCH(I$2,Inputs!$K$4:$AJ$4,0)))+SUMPRODUCT((Inputs!$C$5:$C$130=$B38)*Inputs!$D$5:$D$130*(((Inputs!$G$5:$G$130="moeda")+(Inputs!$G$5:$G$130="acoes"))*Inputs!$B$1+((Inputs!$G$5:$G$130&lt;&gt;"moeda")*(Inputs!$G$5:$G$130&lt;&gt;"acoes")))*INDEX(Inputs!$K$5:$AJ$130,0,MATCH(I$2,Inputs!$K$4:$AJ$4,0)))+SUMPRODUCT((Inputs!$E$5:$E$130=$B38)*Inputs!$F$5:$F$130*(((Inputs!$G$5:$G$130="moeda")+(Inputs!$G$5:$G$130="acoes"))*Inputs!$B$1+((Inputs!$G$5:$G$130&lt;&gt;"moeda")*(Inputs!$G$5:$G$130&lt;&gt;"acoes")))*INDEX(Inputs!$K$5:$AJ$130,0,MATCH(I$2,Inputs!$K$4:$AJ$4,0)))))</f>
        <v>584</v>
      </c>
      <c r="J38" s="6">
        <f>IF(ISNA(MATCH(J$2,Inputs!$K$4:$AJ$4,0)),NA(),IF(SUMPRODUCT((Inputs!$A$5:$A$130=$B38)*ISNUMBER(INDEX(Inputs!$K$5:$AJ$130,0,MATCH(J$2,Inputs!$K$4:$AJ$4,0))))+SUMPRODUCT((Inputs!$C$5:$C$130=$B38)*ISNUMBER(INDEX(Inputs!$K$5:$AJ$130,0,MATCH(J$2,Inputs!$K$4:$AJ$4,0))))+SUMPRODUCT((Inputs!$E$5:$E$130=$B38)*ISNUMBER(INDEX(Inputs!$K$5:$AJ$130,0,MATCH(J$2,Inputs!$K$4:$AJ$4,0))))=0,NA(),SUMPRODUCT((Inputs!$A$5:$A$130=$B38)*Inputs!$B$5:$B$130*(((Inputs!$G$5:$G$130="moeda")+(Inputs!$G$5:$G$130="acoes"))*Inputs!$B$1+((Inputs!$G$5:$G$130&lt;&gt;"moeda")*(Inputs!$G$5:$G$130&lt;&gt;"acoes")))*INDEX(Inputs!$K$5:$AJ$130,0,MATCH(J$2,Inputs!$K$4:$AJ$4,0)))+SUMPRODUCT((Inputs!$C$5:$C$130=$B38)*Inputs!$D$5:$D$130*(((Inputs!$G$5:$G$130="moeda")+(Inputs!$G$5:$G$130="acoes"))*Inputs!$B$1+((Inputs!$G$5:$G$130&lt;&gt;"moeda")*(Inputs!$G$5:$G$130&lt;&gt;"acoes")))*INDEX(Inputs!$K$5:$AJ$130,0,MATCH(J$2,Inputs!$K$4:$AJ$4,0)))+SUMPRODUCT((Inputs!$E$5:$E$130=$B38)*Inputs!$F$5:$F$130*(((Inputs!$G$5:$G$130="moeda")+(Inputs!$G$5:$G$130="acoes"))*Inputs!$B$1+((Inputs!$G$5:$G$130&lt;&gt;"moeda")*(Inputs!$G$5:$G$130&lt;&gt;"acoes")))*INDEX(Inputs!$K$5:$AJ$130,0,MATCH(J$2,Inputs!$K$4:$AJ$4,0)))))</f>
        <v>561</v>
      </c>
      <c r="K38" s="6">
        <f>IF(ISNA(MATCH(K$2,Inputs!$K$4:$AJ$4,0)),NA(),IF(SUMPRODUCT((Inputs!$A$5:$A$130=$B38)*ISNUMBER(INDEX(Inputs!$K$5:$AJ$130,0,MATCH(K$2,Inputs!$K$4:$AJ$4,0))))+SUMPRODUCT((Inputs!$C$5:$C$130=$B38)*ISNUMBER(INDEX(Inputs!$K$5:$AJ$130,0,MATCH(K$2,Inputs!$K$4:$AJ$4,0))))+SUMPRODUCT((Inputs!$E$5:$E$130=$B38)*ISNUMBER(INDEX(Inputs!$K$5:$AJ$130,0,MATCH(K$2,Inputs!$K$4:$AJ$4,0))))=0,NA(),SUMPRODUCT((Inputs!$A$5:$A$130=$B38)*Inputs!$B$5:$B$130*(((Inputs!$G$5:$G$130="moeda")+(Inputs!$G$5:$G$130="acoes"))*Inputs!$B$1+((Inputs!$G$5:$G$130&lt;&gt;"moeda")*(Inputs!$G$5:$G$130&lt;&gt;"acoes")))*INDEX(Inputs!$K$5:$AJ$130,0,MATCH(K$2,Inputs!$K$4:$AJ$4,0)))+SUMPRODUCT((Inputs!$C$5:$C$130=$B38)*Inputs!$D$5:$D$130*(((Inputs!$G$5:$G$130="moeda")+(Inputs!$G$5:$G$130="acoes"))*Inputs!$B$1+((Inputs!$G$5:$G$130&lt;&gt;"moeda")*(Inputs!$G$5:$G$130&lt;&gt;"acoes")))*INDEX(Inputs!$K$5:$AJ$130,0,MATCH(K$2,Inputs!$K$4:$AJ$4,0)))+SUMPRODUCT((Inputs!$E$5:$E$130=$B38)*Inputs!$F$5:$F$130*(((Inputs!$G$5:$G$130="moeda")+(Inputs!$G$5:$G$130="acoes"))*Inputs!$B$1+((Inputs!$G$5:$G$130&lt;&gt;"moeda")*(Inputs!$G$5:$G$130&lt;&gt;"acoes")))*INDEX(Inputs!$K$5:$AJ$130,0,MATCH(K$2,Inputs!$K$4:$AJ$4,0)))))</f>
        <v>495</v>
      </c>
      <c r="L38" s="6">
        <f>IF(ISNA(MATCH(L$2,Inputs!$K$4:$AJ$4,0)),NA(),IF(SUMPRODUCT((Inputs!$A$5:$A$130=$B38)*ISNUMBER(INDEX(Inputs!$K$5:$AJ$130,0,MATCH(L$2,Inputs!$K$4:$AJ$4,0))))+SUMPRODUCT((Inputs!$C$5:$C$130=$B38)*ISNUMBER(INDEX(Inputs!$K$5:$AJ$130,0,MATCH(L$2,Inputs!$K$4:$AJ$4,0))))+SUMPRODUCT((Inputs!$E$5:$E$130=$B38)*ISNUMBER(INDEX(Inputs!$K$5:$AJ$130,0,MATCH(L$2,Inputs!$K$4:$AJ$4,0))))=0,NA(),SUMPRODUCT((Inputs!$A$5:$A$130=$B38)*Inputs!$B$5:$B$130*(((Inputs!$G$5:$G$130="moeda")+(Inputs!$G$5:$G$130="acoes"))*Inputs!$B$1+((Inputs!$G$5:$G$130&lt;&gt;"moeda")*(Inputs!$G$5:$G$130&lt;&gt;"acoes")))*INDEX(Inputs!$K$5:$AJ$130,0,MATCH(L$2,Inputs!$K$4:$AJ$4,0)))+SUMPRODUCT((Inputs!$C$5:$C$130=$B38)*Inputs!$D$5:$D$130*(((Inputs!$G$5:$G$130="moeda")+(Inputs!$G$5:$G$130="acoes"))*Inputs!$B$1+((Inputs!$G$5:$G$130&lt;&gt;"moeda")*(Inputs!$G$5:$G$130&lt;&gt;"acoes")))*INDEX(Inputs!$K$5:$AJ$130,0,MATCH(L$2,Inputs!$K$4:$AJ$4,0)))+SUMPRODUCT((Inputs!$E$5:$E$130=$B38)*Inputs!$F$5:$F$130*(((Inputs!$G$5:$G$130="moeda")+(Inputs!$G$5:$G$130="acoes"))*Inputs!$B$1+((Inputs!$G$5:$G$130&lt;&gt;"moeda")*(Inputs!$G$5:$G$130&lt;&gt;"acoes")))*INDEX(Inputs!$K$5:$AJ$130,0,MATCH(L$2,Inputs!$K$4:$AJ$4,0)))))</f>
        <v>519</v>
      </c>
      <c r="M38" s="3">
        <f>L38</f>
        <v>519</v>
      </c>
      <c r="N38" s="6">
        <f>IF(ISNA(MATCH(N$2,Inputs!$K$4:$AJ$4,0)),NA(),IF(SUMPRODUCT((Inputs!$A$5:$A$130=$B38)*ISNUMBER(INDEX(Inputs!$K$5:$AJ$130,0,MATCH(N$2,Inputs!$K$4:$AJ$4,0))))+SUMPRODUCT((Inputs!$C$5:$C$130=$B38)*ISNUMBER(INDEX(Inputs!$K$5:$AJ$130,0,MATCH(N$2,Inputs!$K$4:$AJ$4,0))))+SUMPRODUCT((Inputs!$E$5:$E$130=$B38)*ISNUMBER(INDEX(Inputs!$K$5:$AJ$130,0,MATCH(N$2,Inputs!$K$4:$AJ$4,0))))=0,NA(),SUMPRODUCT((Inputs!$A$5:$A$130=$B38)*Inputs!$B$5:$B$130*(((Inputs!$G$5:$G$130="moeda")+(Inputs!$G$5:$G$130="acoes"))*Inputs!$B$1+((Inputs!$G$5:$G$130&lt;&gt;"moeda")*(Inputs!$G$5:$G$130&lt;&gt;"acoes")))*INDEX(Inputs!$K$5:$AJ$130,0,MATCH(N$2,Inputs!$K$4:$AJ$4,0)))+SUMPRODUCT((Inputs!$C$5:$C$130=$B38)*Inputs!$D$5:$D$130*(((Inputs!$G$5:$G$130="moeda")+(Inputs!$G$5:$G$130="acoes"))*Inputs!$B$1+((Inputs!$G$5:$G$130&lt;&gt;"moeda")*(Inputs!$G$5:$G$130&lt;&gt;"acoes")))*INDEX(Inputs!$K$5:$AJ$130,0,MATCH(N$2,Inputs!$K$4:$AJ$4,0)))+SUMPRODUCT((Inputs!$E$5:$E$130=$B38)*Inputs!$F$5:$F$130*(((Inputs!$G$5:$G$130="moeda")+(Inputs!$G$5:$G$130="acoes"))*Inputs!$B$1+((Inputs!$G$5:$G$130&lt;&gt;"moeda")*(Inputs!$G$5:$G$130&lt;&gt;"acoes")))*INDEX(Inputs!$K$5:$AJ$130,0,MATCH(N$2,Inputs!$K$4:$AJ$4,0)))))</f>
        <v>511</v>
      </c>
      <c r="O38" s="6">
        <f>IF(ISNA(MATCH(O$2,Inputs!$K$4:$AJ$4,0)),NA(),IF(SUMPRODUCT((Inputs!$A$5:$A$130=$B38)*ISNUMBER(INDEX(Inputs!$K$5:$AJ$130,0,MATCH(O$2,Inputs!$K$4:$AJ$4,0))))+SUMPRODUCT((Inputs!$C$5:$C$130=$B38)*ISNUMBER(INDEX(Inputs!$K$5:$AJ$130,0,MATCH(O$2,Inputs!$K$4:$AJ$4,0))))+SUMPRODUCT((Inputs!$E$5:$E$130=$B38)*ISNUMBER(INDEX(Inputs!$K$5:$AJ$130,0,MATCH(O$2,Inputs!$K$4:$AJ$4,0))))=0,NA(),SUMPRODUCT((Inputs!$A$5:$A$130=$B38)*Inputs!$B$5:$B$130*(((Inputs!$G$5:$G$130="moeda")+(Inputs!$G$5:$G$130="acoes"))*Inputs!$B$1+((Inputs!$G$5:$G$130&lt;&gt;"moeda")*(Inputs!$G$5:$G$130&lt;&gt;"acoes")))*INDEX(Inputs!$K$5:$AJ$130,0,MATCH(O$2,Inputs!$K$4:$AJ$4,0)))+SUMPRODUCT((Inputs!$C$5:$C$130=$B38)*Inputs!$D$5:$D$130*(((Inputs!$G$5:$G$130="moeda")+(Inputs!$G$5:$G$130="acoes"))*Inputs!$B$1+((Inputs!$G$5:$G$130&lt;&gt;"moeda")*(Inputs!$G$5:$G$130&lt;&gt;"acoes")))*INDEX(Inputs!$K$5:$AJ$130,0,MATCH(O$2,Inputs!$K$4:$AJ$4,0)))+SUMPRODUCT((Inputs!$E$5:$E$130=$B38)*Inputs!$F$5:$F$130*(((Inputs!$G$5:$G$130="moeda")+(Inputs!$G$5:$G$130="acoes"))*Inputs!$B$1+((Inputs!$G$5:$G$130&lt;&gt;"moeda")*(Inputs!$G$5:$G$130&lt;&gt;"acoes")))*INDEX(Inputs!$K$5:$AJ$130,0,MATCH(O$2,Inputs!$K$4:$AJ$4,0)))))</f>
        <v>506</v>
      </c>
      <c r="P38" s="6">
        <f>IF(ISNA(MATCH(P$2,Inputs!$K$4:$AJ$4,0)),NA(),IF(SUMPRODUCT((Inputs!$A$5:$A$130=$B38)*ISNUMBER(INDEX(Inputs!$K$5:$AJ$130,0,MATCH(P$2,Inputs!$K$4:$AJ$4,0))))+SUMPRODUCT((Inputs!$C$5:$C$130=$B38)*ISNUMBER(INDEX(Inputs!$K$5:$AJ$130,0,MATCH(P$2,Inputs!$K$4:$AJ$4,0))))+SUMPRODUCT((Inputs!$E$5:$E$130=$B38)*ISNUMBER(INDEX(Inputs!$K$5:$AJ$130,0,MATCH(P$2,Inputs!$K$4:$AJ$4,0))))=0,NA(),SUMPRODUCT((Inputs!$A$5:$A$130=$B38)*Inputs!$B$5:$B$130*(((Inputs!$G$5:$G$130="moeda")+(Inputs!$G$5:$G$130="acoes"))*Inputs!$B$1+((Inputs!$G$5:$G$130&lt;&gt;"moeda")*(Inputs!$G$5:$G$130&lt;&gt;"acoes")))*INDEX(Inputs!$K$5:$AJ$130,0,MATCH(P$2,Inputs!$K$4:$AJ$4,0)))+SUMPRODUCT((Inputs!$C$5:$C$130=$B38)*Inputs!$D$5:$D$130*(((Inputs!$G$5:$G$130="moeda")+(Inputs!$G$5:$G$130="acoes"))*Inputs!$B$1+((Inputs!$G$5:$G$130&lt;&gt;"moeda")*(Inputs!$G$5:$G$130&lt;&gt;"acoes")))*INDEX(Inputs!$K$5:$AJ$130,0,MATCH(P$2,Inputs!$K$4:$AJ$4,0)))+SUMPRODUCT((Inputs!$E$5:$E$130=$B38)*Inputs!$F$5:$F$130*(((Inputs!$G$5:$G$130="moeda")+(Inputs!$G$5:$G$130="acoes"))*Inputs!$B$1+((Inputs!$G$5:$G$130&lt;&gt;"moeda")*(Inputs!$G$5:$G$130&lt;&gt;"acoes")))*INDEX(Inputs!$K$5:$AJ$130,0,MATCH(P$2,Inputs!$K$4:$AJ$4,0)))))</f>
        <v>520</v>
      </c>
      <c r="Q38" s="6">
        <f>IF(ISNA(MATCH(Q$2,Inputs!$K$4:$AJ$4,0)),NA(),IF(SUMPRODUCT((Inputs!$A$5:$A$130=$B38)*ISNUMBER(INDEX(Inputs!$K$5:$AJ$130,0,MATCH(Q$2,Inputs!$K$4:$AJ$4,0))))+SUMPRODUCT((Inputs!$C$5:$C$130=$B38)*ISNUMBER(INDEX(Inputs!$K$5:$AJ$130,0,MATCH(Q$2,Inputs!$K$4:$AJ$4,0))))+SUMPRODUCT((Inputs!$E$5:$E$130=$B38)*ISNUMBER(INDEX(Inputs!$K$5:$AJ$130,0,MATCH(Q$2,Inputs!$K$4:$AJ$4,0))))=0,NA(),SUMPRODUCT((Inputs!$A$5:$A$130=$B38)*Inputs!$B$5:$B$130*(((Inputs!$G$5:$G$130="moeda")+(Inputs!$G$5:$G$130="acoes"))*Inputs!$B$1+((Inputs!$G$5:$G$130&lt;&gt;"moeda")*(Inputs!$G$5:$G$130&lt;&gt;"acoes")))*INDEX(Inputs!$K$5:$AJ$130,0,MATCH(Q$2,Inputs!$K$4:$AJ$4,0)))+SUMPRODUCT((Inputs!$C$5:$C$130=$B38)*Inputs!$D$5:$D$130*(((Inputs!$G$5:$G$130="moeda")+(Inputs!$G$5:$G$130="acoes"))*Inputs!$B$1+((Inputs!$G$5:$G$130&lt;&gt;"moeda")*(Inputs!$G$5:$G$130&lt;&gt;"acoes")))*INDEX(Inputs!$K$5:$AJ$130,0,MATCH(Q$2,Inputs!$K$4:$AJ$4,0)))+SUMPRODUCT((Inputs!$E$5:$E$130=$B38)*Inputs!$F$5:$F$130*(((Inputs!$G$5:$G$130="moeda")+(Inputs!$G$5:$G$130="acoes"))*Inputs!$B$1+((Inputs!$G$5:$G$130&lt;&gt;"moeda")*(Inputs!$G$5:$G$130&lt;&gt;"acoes")))*INDEX(Inputs!$K$5:$AJ$130,0,MATCH(Q$2,Inputs!$K$4:$AJ$4,0)))))</f>
        <v>550</v>
      </c>
      <c r="R38" s="3">
        <f>Q38</f>
        <v>550</v>
      </c>
      <c r="S38" s="6">
        <f>IF(ISNA(MATCH(S$2,Inputs!$K$4:$AJ$4,0)),NA(),IF(SUMPRODUCT((Inputs!$A$5:$A$130=$B38)*ISNUMBER(INDEX(Inputs!$K$5:$AJ$130,0,MATCH(S$2,Inputs!$K$4:$AJ$4,0))))+SUMPRODUCT((Inputs!$C$5:$C$130=$B38)*ISNUMBER(INDEX(Inputs!$K$5:$AJ$130,0,MATCH(S$2,Inputs!$K$4:$AJ$4,0))))+SUMPRODUCT((Inputs!$E$5:$E$130=$B38)*ISNUMBER(INDEX(Inputs!$K$5:$AJ$130,0,MATCH(S$2,Inputs!$K$4:$AJ$4,0))))=0,NA(),SUMPRODUCT((Inputs!$A$5:$A$130=$B38)*Inputs!$B$5:$B$130*(((Inputs!$G$5:$G$130="moeda")+(Inputs!$G$5:$G$130="acoes"))*Inputs!$B$1+((Inputs!$G$5:$G$130&lt;&gt;"moeda")*(Inputs!$G$5:$G$130&lt;&gt;"acoes")))*INDEX(Inputs!$K$5:$AJ$130,0,MATCH(S$2,Inputs!$K$4:$AJ$4,0)))+SUMPRODUCT((Inputs!$C$5:$C$130=$B38)*Inputs!$D$5:$D$130*(((Inputs!$G$5:$G$130="moeda")+(Inputs!$G$5:$G$130="acoes"))*Inputs!$B$1+((Inputs!$G$5:$G$130&lt;&gt;"moeda")*(Inputs!$G$5:$G$130&lt;&gt;"acoes")))*INDEX(Inputs!$K$5:$AJ$130,0,MATCH(S$2,Inputs!$K$4:$AJ$4,0)))+SUMPRODUCT((Inputs!$E$5:$E$130=$B38)*Inputs!$F$5:$F$130*(((Inputs!$G$5:$G$130="moeda")+(Inputs!$G$5:$G$130="acoes"))*Inputs!$B$1+((Inputs!$G$5:$G$130&lt;&gt;"moeda")*(Inputs!$G$5:$G$130&lt;&gt;"acoes")))*INDEX(Inputs!$K$5:$AJ$130,0,MATCH(S$2,Inputs!$K$4:$AJ$4,0)))))</f>
        <v>491</v>
      </c>
      <c r="T38" s="6">
        <f>IF(ISNA(MATCH(T$2,Inputs!$K$4:$AJ$4,0)),NA(),IF(SUMPRODUCT((Inputs!$A$5:$A$130=$B38)*ISNUMBER(INDEX(Inputs!$K$5:$AJ$130,0,MATCH(T$2,Inputs!$K$4:$AJ$4,0))))+SUMPRODUCT((Inputs!$C$5:$C$130=$B38)*ISNUMBER(INDEX(Inputs!$K$5:$AJ$130,0,MATCH(T$2,Inputs!$K$4:$AJ$4,0))))+SUMPRODUCT((Inputs!$E$5:$E$130=$B38)*ISNUMBER(INDEX(Inputs!$K$5:$AJ$130,0,MATCH(T$2,Inputs!$K$4:$AJ$4,0))))=0,NA(),SUMPRODUCT((Inputs!$A$5:$A$130=$B38)*Inputs!$B$5:$B$130*(((Inputs!$G$5:$G$130="moeda")+(Inputs!$G$5:$G$130="acoes"))*Inputs!$B$1+((Inputs!$G$5:$G$130&lt;&gt;"moeda")*(Inputs!$G$5:$G$130&lt;&gt;"acoes")))*INDEX(Inputs!$K$5:$AJ$130,0,MATCH(T$2,Inputs!$K$4:$AJ$4,0)))+SUMPRODUCT((Inputs!$C$5:$C$130=$B38)*Inputs!$D$5:$D$130*(((Inputs!$G$5:$G$130="moeda")+(Inputs!$G$5:$G$130="acoes"))*Inputs!$B$1+((Inputs!$G$5:$G$130&lt;&gt;"moeda")*(Inputs!$G$5:$G$130&lt;&gt;"acoes")))*INDEX(Inputs!$K$5:$AJ$130,0,MATCH(T$2,Inputs!$K$4:$AJ$4,0)))+SUMPRODUCT((Inputs!$E$5:$E$130=$B38)*Inputs!$F$5:$F$130*(((Inputs!$G$5:$G$130="moeda")+(Inputs!$G$5:$G$130="acoes"))*Inputs!$B$1+((Inputs!$G$5:$G$130&lt;&gt;"moeda")*(Inputs!$G$5:$G$130&lt;&gt;"acoes")))*INDEX(Inputs!$K$5:$AJ$130,0,MATCH(T$2,Inputs!$K$4:$AJ$4,0)))))</f>
        <v>481</v>
      </c>
      <c r="U38" s="6">
        <f>IF(ISNA(MATCH(U$2,Inputs!$K$4:$AJ$4,0)),NA(),IF(SUMPRODUCT((Inputs!$A$5:$A$130=$B38)*ISNUMBER(INDEX(Inputs!$K$5:$AJ$130,0,MATCH(U$2,Inputs!$K$4:$AJ$4,0))))+SUMPRODUCT((Inputs!$C$5:$C$130=$B38)*ISNUMBER(INDEX(Inputs!$K$5:$AJ$130,0,MATCH(U$2,Inputs!$K$4:$AJ$4,0))))+SUMPRODUCT((Inputs!$E$5:$E$130=$B38)*ISNUMBER(INDEX(Inputs!$K$5:$AJ$130,0,MATCH(U$2,Inputs!$K$4:$AJ$4,0))))=0,NA(),SUMPRODUCT((Inputs!$A$5:$A$130=$B38)*Inputs!$B$5:$B$130*(((Inputs!$G$5:$G$130="moeda")+(Inputs!$G$5:$G$130="acoes"))*Inputs!$B$1+((Inputs!$G$5:$G$130&lt;&gt;"moeda")*(Inputs!$G$5:$G$130&lt;&gt;"acoes")))*INDEX(Inputs!$K$5:$AJ$130,0,MATCH(U$2,Inputs!$K$4:$AJ$4,0)))+SUMPRODUCT((Inputs!$C$5:$C$130=$B38)*Inputs!$D$5:$D$130*(((Inputs!$G$5:$G$130="moeda")+(Inputs!$G$5:$G$130="acoes"))*Inputs!$B$1+((Inputs!$G$5:$G$130&lt;&gt;"moeda")*(Inputs!$G$5:$G$130&lt;&gt;"acoes")))*INDEX(Inputs!$K$5:$AJ$130,0,MATCH(U$2,Inputs!$K$4:$AJ$4,0)))+SUMPRODUCT((Inputs!$E$5:$E$130=$B38)*Inputs!$F$5:$F$130*(((Inputs!$G$5:$G$130="moeda")+(Inputs!$G$5:$G$130="acoes"))*Inputs!$B$1+((Inputs!$G$5:$G$130&lt;&gt;"moeda")*(Inputs!$G$5:$G$130&lt;&gt;"acoes")))*INDEX(Inputs!$K$5:$AJ$130,0,MATCH(U$2,Inputs!$K$4:$AJ$4,0)))))</f>
        <v>478</v>
      </c>
      <c r="V38" s="6">
        <f>IF(ISNA(MATCH(V$2,Inputs!$K$4:$AJ$4,0)),NA(),IF(SUMPRODUCT((Inputs!$A$5:$A$130=$B38)*ISNUMBER(INDEX(Inputs!$K$5:$AJ$130,0,MATCH(V$2,Inputs!$K$4:$AJ$4,0))))+SUMPRODUCT((Inputs!$C$5:$C$130=$B38)*ISNUMBER(INDEX(Inputs!$K$5:$AJ$130,0,MATCH(V$2,Inputs!$K$4:$AJ$4,0))))+SUMPRODUCT((Inputs!$E$5:$E$130=$B38)*ISNUMBER(INDEX(Inputs!$K$5:$AJ$130,0,MATCH(V$2,Inputs!$K$4:$AJ$4,0))))=0,NA(),SUMPRODUCT((Inputs!$A$5:$A$130=$B38)*Inputs!$B$5:$B$130*(((Inputs!$G$5:$G$130="moeda")+(Inputs!$G$5:$G$130="acoes"))*Inputs!$B$1+((Inputs!$G$5:$G$130&lt;&gt;"moeda")*(Inputs!$G$5:$G$130&lt;&gt;"acoes")))*INDEX(Inputs!$K$5:$AJ$130,0,MATCH(V$2,Inputs!$K$4:$AJ$4,0)))+SUMPRODUCT((Inputs!$C$5:$C$130=$B38)*Inputs!$D$5:$D$130*(((Inputs!$G$5:$G$130="moeda")+(Inputs!$G$5:$G$130="acoes"))*Inputs!$B$1+((Inputs!$G$5:$G$130&lt;&gt;"moeda")*(Inputs!$G$5:$G$130&lt;&gt;"acoes")))*INDEX(Inputs!$K$5:$AJ$130,0,MATCH(V$2,Inputs!$K$4:$AJ$4,0)))+SUMPRODUCT((Inputs!$E$5:$E$130=$B38)*Inputs!$F$5:$F$130*(((Inputs!$G$5:$G$130="moeda")+(Inputs!$G$5:$G$130="acoes"))*Inputs!$B$1+((Inputs!$G$5:$G$130&lt;&gt;"moeda")*(Inputs!$G$5:$G$130&lt;&gt;"acoes")))*INDEX(Inputs!$K$5:$AJ$130,0,MATCH(V$2,Inputs!$K$4:$AJ$4,0)))))</f>
        <v>448</v>
      </c>
      <c r="W38" s="3">
        <f>V38</f>
        <v>448</v>
      </c>
      <c r="X38" s="6">
        <f>IF(ISNA(MATCH(X$2,Inputs!$K$4:$AJ$4,0)),NA(),IF(SUMPRODUCT((Inputs!$A$5:$A$130=$B38)*ISNUMBER(INDEX(Inputs!$K$5:$AJ$130,0,MATCH(X$2,Inputs!$K$4:$AJ$4,0))))+SUMPRODUCT((Inputs!$C$5:$C$130=$B38)*ISNUMBER(INDEX(Inputs!$K$5:$AJ$130,0,MATCH(X$2,Inputs!$K$4:$AJ$4,0))))+SUMPRODUCT((Inputs!$E$5:$E$130=$B38)*ISNUMBER(INDEX(Inputs!$K$5:$AJ$130,0,MATCH(X$2,Inputs!$K$4:$AJ$4,0))))=0,NA(),SUMPRODUCT((Inputs!$A$5:$A$130=$B38)*Inputs!$B$5:$B$130*(((Inputs!$G$5:$G$130="moeda")+(Inputs!$G$5:$G$130="acoes"))*Inputs!$B$1+((Inputs!$G$5:$G$130&lt;&gt;"moeda")*(Inputs!$G$5:$G$130&lt;&gt;"acoes")))*INDEX(Inputs!$K$5:$AJ$130,0,MATCH(X$2,Inputs!$K$4:$AJ$4,0)))+SUMPRODUCT((Inputs!$C$5:$C$130=$B38)*Inputs!$D$5:$D$130*(((Inputs!$G$5:$G$130="moeda")+(Inputs!$G$5:$G$130="acoes"))*Inputs!$B$1+((Inputs!$G$5:$G$130&lt;&gt;"moeda")*(Inputs!$G$5:$G$130&lt;&gt;"acoes")))*INDEX(Inputs!$K$5:$AJ$130,0,MATCH(X$2,Inputs!$K$4:$AJ$4,0)))+SUMPRODUCT((Inputs!$E$5:$E$130=$B38)*Inputs!$F$5:$F$130*(((Inputs!$G$5:$G$130="moeda")+(Inputs!$G$5:$G$130="acoes"))*Inputs!$B$1+((Inputs!$G$5:$G$130&lt;&gt;"moeda")*(Inputs!$G$5:$G$130&lt;&gt;"acoes")))*INDEX(Inputs!$K$5:$AJ$130,0,MATCH(X$2,Inputs!$K$4:$AJ$4,0)))))</f>
        <v>496</v>
      </c>
      <c r="Y38" s="6">
        <f>IF(ISNA(MATCH(Y$2,Inputs!$K$4:$AJ$4,0)),NA(),IF(SUMPRODUCT((Inputs!$A$5:$A$130=$B38)*ISNUMBER(INDEX(Inputs!$K$5:$AJ$130,0,MATCH(Y$2,Inputs!$K$4:$AJ$4,0))))+SUMPRODUCT((Inputs!$C$5:$C$130=$B38)*ISNUMBER(INDEX(Inputs!$K$5:$AJ$130,0,MATCH(Y$2,Inputs!$K$4:$AJ$4,0))))+SUMPRODUCT((Inputs!$E$5:$E$130=$B38)*ISNUMBER(INDEX(Inputs!$K$5:$AJ$130,0,MATCH(Y$2,Inputs!$K$4:$AJ$4,0))))=0,NA(),SUMPRODUCT((Inputs!$A$5:$A$130=$B38)*Inputs!$B$5:$B$130*(((Inputs!$G$5:$G$130="moeda")+(Inputs!$G$5:$G$130="acoes"))*Inputs!$B$1+((Inputs!$G$5:$G$130&lt;&gt;"moeda")*(Inputs!$G$5:$G$130&lt;&gt;"acoes")))*INDEX(Inputs!$K$5:$AJ$130,0,MATCH(Y$2,Inputs!$K$4:$AJ$4,0)))+SUMPRODUCT((Inputs!$C$5:$C$130=$B38)*Inputs!$D$5:$D$130*(((Inputs!$G$5:$G$130="moeda")+(Inputs!$G$5:$G$130="acoes"))*Inputs!$B$1+((Inputs!$G$5:$G$130&lt;&gt;"moeda")*(Inputs!$G$5:$G$130&lt;&gt;"acoes")))*INDEX(Inputs!$K$5:$AJ$130,0,MATCH(Y$2,Inputs!$K$4:$AJ$4,0)))+SUMPRODUCT((Inputs!$E$5:$E$130=$B38)*Inputs!$F$5:$F$130*(((Inputs!$G$5:$G$130="moeda")+(Inputs!$G$5:$G$130="acoes"))*Inputs!$B$1+((Inputs!$G$5:$G$130&lt;&gt;"moeda")*(Inputs!$G$5:$G$130&lt;&gt;"acoes")))*INDEX(Inputs!$K$5:$AJ$130,0,MATCH(Y$2,Inputs!$K$4:$AJ$4,0)))))</f>
        <v>489</v>
      </c>
      <c r="Z38" s="6">
        <f>IF(ISNA(MATCH(Z$2,Inputs!$K$4:$AJ$4,0)),NA(),IF(SUMPRODUCT((Inputs!$A$5:$A$130=$B38)*ISNUMBER(INDEX(Inputs!$K$5:$AJ$130,0,MATCH(Z$2,Inputs!$K$4:$AJ$4,0))))+SUMPRODUCT((Inputs!$C$5:$C$130=$B38)*ISNUMBER(INDEX(Inputs!$K$5:$AJ$130,0,MATCH(Z$2,Inputs!$K$4:$AJ$4,0))))+SUMPRODUCT((Inputs!$E$5:$E$130=$B38)*ISNUMBER(INDEX(Inputs!$K$5:$AJ$130,0,MATCH(Z$2,Inputs!$K$4:$AJ$4,0))))=0,NA(),SUMPRODUCT((Inputs!$A$5:$A$130=$B38)*Inputs!$B$5:$B$130*(((Inputs!$G$5:$G$130="moeda")+(Inputs!$G$5:$G$130="acoes"))*Inputs!$B$1+((Inputs!$G$5:$G$130&lt;&gt;"moeda")*(Inputs!$G$5:$G$130&lt;&gt;"acoes")))*INDEX(Inputs!$K$5:$AJ$130,0,MATCH(Z$2,Inputs!$K$4:$AJ$4,0)))+SUMPRODUCT((Inputs!$C$5:$C$130=$B38)*Inputs!$D$5:$D$130*(((Inputs!$G$5:$G$130="moeda")+(Inputs!$G$5:$G$130="acoes"))*Inputs!$B$1+((Inputs!$G$5:$G$130&lt;&gt;"moeda")*(Inputs!$G$5:$G$130&lt;&gt;"acoes")))*INDEX(Inputs!$K$5:$AJ$130,0,MATCH(Z$2,Inputs!$K$4:$AJ$4,0)))+SUMPRODUCT((Inputs!$E$5:$E$130=$B38)*Inputs!$F$5:$F$130*(((Inputs!$G$5:$G$130="moeda")+(Inputs!$G$5:$G$130="acoes"))*Inputs!$B$1+((Inputs!$G$5:$G$130&lt;&gt;"moeda")*(Inputs!$G$5:$G$130&lt;&gt;"acoes")))*INDEX(Inputs!$K$5:$AJ$130,0,MATCH(Z$2,Inputs!$K$4:$AJ$4,0)))))</f>
        <v>434</v>
      </c>
      <c r="AA38" s="6">
        <f>IF(ISNA(MATCH(AA$2,Inputs!$K$4:$AJ$4,0)),NA(),IF(SUMPRODUCT((Inputs!$A$5:$A$130=$B38)*ISNUMBER(INDEX(Inputs!$K$5:$AJ$130,0,MATCH(AA$2,Inputs!$K$4:$AJ$4,0))))+SUMPRODUCT((Inputs!$C$5:$C$130=$B38)*ISNUMBER(INDEX(Inputs!$K$5:$AJ$130,0,MATCH(AA$2,Inputs!$K$4:$AJ$4,0))))+SUMPRODUCT((Inputs!$E$5:$E$130=$B38)*ISNUMBER(INDEX(Inputs!$K$5:$AJ$130,0,MATCH(AA$2,Inputs!$K$4:$AJ$4,0))))=0,NA(),SUMPRODUCT((Inputs!$A$5:$A$130=$B38)*Inputs!$B$5:$B$130*(((Inputs!$G$5:$G$130="moeda")+(Inputs!$G$5:$G$130="acoes"))*Inputs!$B$1+((Inputs!$G$5:$G$130&lt;&gt;"moeda")*(Inputs!$G$5:$G$130&lt;&gt;"acoes")))*INDEX(Inputs!$K$5:$AJ$130,0,MATCH(AA$2,Inputs!$K$4:$AJ$4,0)))+SUMPRODUCT((Inputs!$C$5:$C$130=$B38)*Inputs!$D$5:$D$130*(((Inputs!$G$5:$G$130="moeda")+(Inputs!$G$5:$G$130="acoes"))*Inputs!$B$1+((Inputs!$G$5:$G$130&lt;&gt;"moeda")*(Inputs!$G$5:$G$130&lt;&gt;"acoes")))*INDEX(Inputs!$K$5:$AJ$130,0,MATCH(AA$2,Inputs!$K$4:$AJ$4,0)))+SUMPRODUCT((Inputs!$E$5:$E$130=$B38)*Inputs!$F$5:$F$130*(((Inputs!$G$5:$G$130="moeda")+(Inputs!$G$5:$G$130="acoes"))*Inputs!$B$1+((Inputs!$G$5:$G$130&lt;&gt;"moeda")*(Inputs!$G$5:$G$130&lt;&gt;"acoes")))*INDEX(Inputs!$K$5:$AJ$130,0,MATCH(AA$2,Inputs!$K$4:$AJ$4,0)))))</f>
        <v>434</v>
      </c>
      <c r="AB38" s="3">
        <f>AA38</f>
        <v>434</v>
      </c>
      <c r="AC38" s="6">
        <f>IF(ISNA(MATCH(AC$2,Inputs!$K$4:$AJ$4,0)),NA(),IF(SUMPRODUCT((Inputs!$A$5:$A$130=$B38)*ISNUMBER(INDEX(Inputs!$K$5:$AJ$130,0,MATCH(AC$2,Inputs!$K$4:$AJ$4,0))))+SUMPRODUCT((Inputs!$C$5:$C$130=$B38)*ISNUMBER(INDEX(Inputs!$K$5:$AJ$130,0,MATCH(AC$2,Inputs!$K$4:$AJ$4,0))))+SUMPRODUCT((Inputs!$E$5:$E$130=$B38)*ISNUMBER(INDEX(Inputs!$K$5:$AJ$130,0,MATCH(AC$2,Inputs!$K$4:$AJ$4,0))))=0,NA(),SUMPRODUCT((Inputs!$A$5:$A$130=$B38)*Inputs!$B$5:$B$130*(((Inputs!$G$5:$G$130="moeda")+(Inputs!$G$5:$G$130="acoes"))*Inputs!$B$1+((Inputs!$G$5:$G$130&lt;&gt;"moeda")*(Inputs!$G$5:$G$130&lt;&gt;"acoes")))*INDEX(Inputs!$K$5:$AJ$130,0,MATCH(AC$2,Inputs!$K$4:$AJ$4,0)))+SUMPRODUCT((Inputs!$C$5:$C$130=$B38)*Inputs!$D$5:$D$130*(((Inputs!$G$5:$G$130="moeda")+(Inputs!$G$5:$G$130="acoes"))*Inputs!$B$1+((Inputs!$G$5:$G$130&lt;&gt;"moeda")*(Inputs!$G$5:$G$130&lt;&gt;"acoes")))*INDEX(Inputs!$K$5:$AJ$130,0,MATCH(AC$2,Inputs!$K$4:$AJ$4,0)))+SUMPRODUCT((Inputs!$E$5:$E$130=$B38)*Inputs!$F$5:$F$130*(((Inputs!$G$5:$G$130="moeda")+(Inputs!$G$5:$G$130="acoes"))*Inputs!$B$1+((Inputs!$G$5:$G$130&lt;&gt;"moeda")*(Inputs!$G$5:$G$130&lt;&gt;"acoes")))*INDEX(Inputs!$K$5:$AJ$130,0,MATCH(AC$2,Inputs!$K$4:$AJ$4,0)))))</f>
        <v>422</v>
      </c>
      <c r="AD38" s="6">
        <f>IF(ISNA(MATCH(AD$2,Inputs!$K$4:$AJ$4,0)),NA(),IF(SUMPRODUCT((Inputs!$A$5:$A$130=$B38)*ISNUMBER(INDEX(Inputs!$K$5:$AJ$130,0,MATCH(AD$2,Inputs!$K$4:$AJ$4,0))))+SUMPRODUCT((Inputs!$C$5:$C$130=$B38)*ISNUMBER(INDEX(Inputs!$K$5:$AJ$130,0,MATCH(AD$2,Inputs!$K$4:$AJ$4,0))))+SUMPRODUCT((Inputs!$E$5:$E$130=$B38)*ISNUMBER(INDEX(Inputs!$K$5:$AJ$130,0,MATCH(AD$2,Inputs!$K$4:$AJ$4,0))))=0,NA(),SUMPRODUCT((Inputs!$A$5:$A$130=$B38)*Inputs!$B$5:$B$130*(((Inputs!$G$5:$G$130="moeda")+(Inputs!$G$5:$G$130="acoes"))*Inputs!$B$1+((Inputs!$G$5:$G$130&lt;&gt;"moeda")*(Inputs!$G$5:$G$130&lt;&gt;"acoes")))*INDEX(Inputs!$K$5:$AJ$130,0,MATCH(AD$2,Inputs!$K$4:$AJ$4,0)))+SUMPRODUCT((Inputs!$C$5:$C$130=$B38)*Inputs!$D$5:$D$130*(((Inputs!$G$5:$G$130="moeda")+(Inputs!$G$5:$G$130="acoes"))*Inputs!$B$1+((Inputs!$G$5:$G$130&lt;&gt;"moeda")*(Inputs!$G$5:$G$130&lt;&gt;"acoes")))*INDEX(Inputs!$K$5:$AJ$130,0,MATCH(AD$2,Inputs!$K$4:$AJ$4,0)))+SUMPRODUCT((Inputs!$E$5:$E$130=$B38)*Inputs!$F$5:$F$130*(((Inputs!$G$5:$G$130="moeda")+(Inputs!$G$5:$G$130="acoes"))*Inputs!$B$1+((Inputs!$G$5:$G$130&lt;&gt;"moeda")*(Inputs!$G$5:$G$130&lt;&gt;"acoes")))*INDEX(Inputs!$K$5:$AJ$130,0,MATCH(AD$2,Inputs!$K$4:$AJ$4,0)))))</f>
        <v>411</v>
      </c>
      <c r="AE38" s="6" t="e">
        <f>IF(ISNA(MATCH(AE$2,Inputs!$K$4:$AJ$4,0)),NA(),IF(SUMPRODUCT((Inputs!$A$5:$A$130=$B38)*ISNUMBER(INDEX(Inputs!$K$5:$AJ$130,0,MATCH(AE$2,Inputs!$K$4:$AJ$4,0))))+SUMPRODUCT((Inputs!$C$5:$C$130=$B38)*ISNUMBER(INDEX(Inputs!$K$5:$AJ$130,0,MATCH(AE$2,Inputs!$K$4:$AJ$4,0))))+SUMPRODUCT((Inputs!$E$5:$E$130=$B38)*ISNUMBER(INDEX(Inputs!$K$5:$AJ$130,0,MATCH(AE$2,Inputs!$K$4:$AJ$4,0))))=0,NA(),SUMPRODUCT((Inputs!$A$5:$A$130=$B38)*Inputs!$B$5:$B$130*(((Inputs!$G$5:$G$130="moeda")+(Inputs!$G$5:$G$130="acoes"))*Inputs!$B$1+((Inputs!$G$5:$G$130&lt;&gt;"moeda")*(Inputs!$G$5:$G$130&lt;&gt;"acoes")))*INDEX(Inputs!$K$5:$AJ$130,0,MATCH(AE$2,Inputs!$K$4:$AJ$4,0)))+SUMPRODUCT((Inputs!$C$5:$C$130=$B38)*Inputs!$D$5:$D$130*(((Inputs!$G$5:$G$130="moeda")+(Inputs!$G$5:$G$130="acoes"))*Inputs!$B$1+((Inputs!$G$5:$G$130&lt;&gt;"moeda")*(Inputs!$G$5:$G$130&lt;&gt;"acoes")))*INDEX(Inputs!$K$5:$AJ$130,0,MATCH(AE$2,Inputs!$K$4:$AJ$4,0)))+SUMPRODUCT((Inputs!$E$5:$E$130=$B38)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8" s="6" t="e">
        <f>IF(ISNA(MATCH(AF$2,Inputs!$K$4:$AJ$4,0)),NA(),IF(SUMPRODUCT((Inputs!$A$5:$A$130=$B38)*ISNUMBER(INDEX(Inputs!$K$5:$AJ$130,0,MATCH(AF$2,Inputs!$K$4:$AJ$4,0))))+SUMPRODUCT((Inputs!$C$5:$C$130=$B38)*ISNUMBER(INDEX(Inputs!$K$5:$AJ$130,0,MATCH(AF$2,Inputs!$K$4:$AJ$4,0))))+SUMPRODUCT((Inputs!$E$5:$E$130=$B38)*ISNUMBER(INDEX(Inputs!$K$5:$AJ$130,0,MATCH(AF$2,Inputs!$K$4:$AJ$4,0))))=0,NA(),SUMPRODUCT((Inputs!$A$5:$A$130=$B38)*Inputs!$B$5:$B$130*(((Inputs!$G$5:$G$130="moeda")+(Inputs!$G$5:$G$130="acoes"))*Inputs!$B$1+((Inputs!$G$5:$G$130&lt;&gt;"moeda")*(Inputs!$G$5:$G$130&lt;&gt;"acoes")))*INDEX(Inputs!$K$5:$AJ$130,0,MATCH(AF$2,Inputs!$K$4:$AJ$4,0)))+SUMPRODUCT((Inputs!$C$5:$C$130=$B38)*Inputs!$D$5:$D$130*(((Inputs!$G$5:$G$130="moeda")+(Inputs!$G$5:$G$130="acoes"))*Inputs!$B$1+((Inputs!$G$5:$G$130&lt;&gt;"moeda")*(Inputs!$G$5:$G$130&lt;&gt;"acoes")))*INDEX(Inputs!$K$5:$AJ$130,0,MATCH(AF$2,Inputs!$K$4:$AJ$4,0)))+SUMPRODUCT((Inputs!$E$5:$E$130=$B38)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8" s="3" t="e">
        <f>AF38</f>
        <v>#N/A</v>
      </c>
      <c r="AH38" s="6">
        <f>IF(ISNA(MATCH(AH$2,Inputs!$K$4:$AJ$4,0)),NA(),IF(SUMPRODUCT((Inputs!$A$5:$A$130=$B38)*ISNUMBER(INDEX(Inputs!$K$5:$AJ$130,0,MATCH(AH$2,Inputs!$K$4:$AJ$4,0))))+SUMPRODUCT((Inputs!$C$5:$C$130=$B38)*ISNUMBER(INDEX(Inputs!$K$5:$AJ$130,0,MATCH(AH$2,Inputs!$K$4:$AJ$4,0))))+SUMPRODUCT((Inputs!$E$5:$E$130=$B38)*ISNUMBER(INDEX(Inputs!$K$5:$AJ$130,0,MATCH(AH$2,Inputs!$K$4:$AJ$4,0))))=0,NA(),SUMPRODUCT((Inputs!$A$5:$A$130=$B38)*Inputs!$B$5:$B$130*(((Inputs!$G$5:$G$130="moeda")+(Inputs!$G$5:$G$130="acoes"))*Inputs!$B$1+((Inputs!$G$5:$G$130&lt;&gt;"moeda")*(Inputs!$G$5:$G$130&lt;&gt;"acoes")))*INDEX(Inputs!$K$5:$AJ$130,0,MATCH(AH$2,Inputs!$K$4:$AJ$4,0)))+SUMPRODUCT((Inputs!$C$5:$C$130=$B38)*Inputs!$D$5:$D$130*(((Inputs!$G$5:$G$130="moeda")+(Inputs!$G$5:$G$130="acoes"))*Inputs!$B$1+((Inputs!$G$5:$G$130&lt;&gt;"moeda")*(Inputs!$G$5:$G$130&lt;&gt;"acoes")))*INDEX(Inputs!$K$5:$AJ$130,0,MATCH(AH$2,Inputs!$K$4:$AJ$4,0)))+SUMPRODUCT((Inputs!$E$5:$E$130=$B38)*Inputs!$F$5:$F$130*(((Inputs!$G$5:$G$130="moeda")+(Inputs!$G$5:$G$130="acoes"))*Inputs!$B$1+((Inputs!$G$5:$G$130&lt;&gt;"moeda")*(Inputs!$G$5:$G$130&lt;&gt;"acoes")))*INDEX(Inputs!$K$5:$AJ$130,0,MATCH(AH$2,Inputs!$K$4:$AJ$4,0)))))</f>
        <v>475</v>
      </c>
      <c r="AI38" s="6">
        <f>IF(ISNA(MATCH(AI$2,Inputs!$K$4:$AJ$4,0)),NA(),IF(SUMPRODUCT((Inputs!$A$5:$A$130=$B38)*ISNUMBER(INDEX(Inputs!$K$5:$AJ$130,0,MATCH(AI$2,Inputs!$K$4:$AJ$4,0))))+SUMPRODUCT((Inputs!$C$5:$C$130=$B38)*ISNUMBER(INDEX(Inputs!$K$5:$AJ$130,0,MATCH(AI$2,Inputs!$K$4:$AJ$4,0))))+SUMPRODUCT((Inputs!$E$5:$E$130=$B38)*ISNUMBER(INDEX(Inputs!$K$5:$AJ$130,0,MATCH(AI$2,Inputs!$K$4:$AJ$4,0))))=0,NA(),SUMPRODUCT((Inputs!$A$5:$A$130=$B38)*Inputs!$B$5:$B$130*(((Inputs!$G$5:$G$130="moeda")+(Inputs!$G$5:$G$130="acoes"))*Inputs!$B$1+((Inputs!$G$5:$G$130&lt;&gt;"moeda")*(Inputs!$G$5:$G$130&lt;&gt;"acoes")))*INDEX(Inputs!$K$5:$AJ$130,0,MATCH(AI$2,Inputs!$K$4:$AJ$4,0)))+SUMPRODUCT((Inputs!$C$5:$C$130=$B38)*Inputs!$D$5:$D$130*(((Inputs!$G$5:$G$130="moeda")+(Inputs!$G$5:$G$130="acoes"))*Inputs!$B$1+((Inputs!$G$5:$G$130&lt;&gt;"moeda")*(Inputs!$G$5:$G$130&lt;&gt;"acoes")))*INDEX(Inputs!$K$5:$AJ$130,0,MATCH(AI$2,Inputs!$K$4:$AJ$4,0)))+SUMPRODUCT((Inputs!$E$5:$E$130=$B38)*Inputs!$F$5:$F$130*(((Inputs!$G$5:$G$130="moeda")+(Inputs!$G$5:$G$130="acoes"))*Inputs!$B$1+((Inputs!$G$5:$G$130&lt;&gt;"moeda")*(Inputs!$G$5:$G$130&lt;&gt;"acoes")))*INDEX(Inputs!$K$5:$AJ$130,0,MATCH(AI$2,Inputs!$K$4:$AJ$4,0)))))</f>
        <v>479</v>
      </c>
      <c r="AJ38" s="6">
        <f>IF(ISNA(MATCH(AJ$2,Inputs!$K$4:$AJ$4,0)),NA(),IF(SUMPRODUCT((Inputs!$A$5:$A$130=$B38)*ISNUMBER(INDEX(Inputs!$K$5:$AJ$130,0,MATCH(AJ$2,Inputs!$K$4:$AJ$4,0))))+SUMPRODUCT((Inputs!$C$5:$C$130=$B38)*ISNUMBER(INDEX(Inputs!$K$5:$AJ$130,0,MATCH(AJ$2,Inputs!$K$4:$AJ$4,0))))+SUMPRODUCT((Inputs!$E$5:$E$130=$B38)*ISNUMBER(INDEX(Inputs!$K$5:$AJ$130,0,MATCH(AJ$2,Inputs!$K$4:$AJ$4,0))))=0,NA(),SUMPRODUCT((Inputs!$A$5:$A$130=$B38)*Inputs!$B$5:$B$130*(((Inputs!$G$5:$G$130="moeda")+(Inputs!$G$5:$G$130="acoes"))*Inputs!$B$1+((Inputs!$G$5:$G$130&lt;&gt;"moeda")*(Inputs!$G$5:$G$130&lt;&gt;"acoes")))*INDEX(Inputs!$K$5:$AJ$130,0,MATCH(AJ$2,Inputs!$K$4:$AJ$4,0)))+SUMPRODUCT((Inputs!$C$5:$C$130=$B38)*Inputs!$D$5:$D$130*(((Inputs!$G$5:$G$130="moeda")+(Inputs!$G$5:$G$130="acoes"))*Inputs!$B$1+((Inputs!$G$5:$G$130&lt;&gt;"moeda")*(Inputs!$G$5:$G$130&lt;&gt;"acoes")))*INDEX(Inputs!$K$5:$AJ$130,0,MATCH(AJ$2,Inputs!$K$4:$AJ$4,0)))+SUMPRODUCT((Inputs!$E$5:$E$130=$B38)*Inputs!$F$5:$F$130*(((Inputs!$G$5:$G$130="moeda")+(Inputs!$G$5:$G$130="acoes"))*Inputs!$B$1+((Inputs!$G$5:$G$130&lt;&gt;"moeda")*(Inputs!$G$5:$G$130&lt;&gt;"acoes")))*INDEX(Inputs!$K$5:$AJ$130,0,MATCH(AJ$2,Inputs!$K$4:$AJ$4,0)))))</f>
        <v>519</v>
      </c>
      <c r="AK38" s="6">
        <f>IF(ISNA(MATCH(AK$2,Inputs!$K$4:$AJ$4,0)),NA(),IF(SUMPRODUCT((Inputs!$A$5:$A$130=$B38)*ISNUMBER(INDEX(Inputs!$K$5:$AJ$130,0,MATCH(AK$2,Inputs!$K$4:$AJ$4,0))))+SUMPRODUCT((Inputs!$C$5:$C$130=$B38)*ISNUMBER(INDEX(Inputs!$K$5:$AJ$130,0,MATCH(AK$2,Inputs!$K$4:$AJ$4,0))))+SUMPRODUCT((Inputs!$E$5:$E$130=$B38)*ISNUMBER(INDEX(Inputs!$K$5:$AJ$130,0,MATCH(AK$2,Inputs!$K$4:$AJ$4,0))))=0,NA(),SUMPRODUCT((Inputs!$A$5:$A$130=$B38)*Inputs!$B$5:$B$130*(((Inputs!$G$5:$G$130="moeda")+(Inputs!$G$5:$G$130="acoes"))*Inputs!$B$1+((Inputs!$G$5:$G$130&lt;&gt;"moeda")*(Inputs!$G$5:$G$130&lt;&gt;"acoes")))*INDEX(Inputs!$K$5:$AJ$130,0,MATCH(AK$2,Inputs!$K$4:$AJ$4,0)))+SUMPRODUCT((Inputs!$C$5:$C$130=$B38)*Inputs!$D$5:$D$130*(((Inputs!$G$5:$G$130="moeda")+(Inputs!$G$5:$G$130="acoes"))*Inputs!$B$1+((Inputs!$G$5:$G$130&lt;&gt;"moeda")*(Inputs!$G$5:$G$130&lt;&gt;"acoes")))*INDEX(Inputs!$K$5:$AJ$130,0,MATCH(AK$2,Inputs!$K$4:$AJ$4,0)))+SUMPRODUCT((Inputs!$E$5:$E$130=$B38)*Inputs!$F$5:$F$130*(((Inputs!$G$5:$G$130="moeda")+(Inputs!$G$5:$G$130="acoes"))*Inputs!$B$1+((Inputs!$G$5:$G$130&lt;&gt;"moeda")*(Inputs!$G$5:$G$130&lt;&gt;"acoes")))*INDEX(Inputs!$K$5:$AJ$130,0,MATCH(AK$2,Inputs!$K$4:$AJ$4,0)))))</f>
        <v>532</v>
      </c>
      <c r="AL38" s="3">
        <f>AK38</f>
        <v>532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$130=$B39)*ISNUMBER(INDEX(Inputs!$K$5:$AJ$130,0,MATCH(D$2,Inputs!$K$4:$AJ$4,0))))+SUMPRODUCT((Inputs!$C$5:$C$130=$B39)*ISNUMBER(INDEX(Inputs!$K$5:$AJ$130,0,MATCH(D$2,Inputs!$K$4:$AJ$4,0))))+SUMPRODUCT((Inputs!$E$5:$E$130=$B39)*ISNUMBER(INDEX(Inputs!$K$5:$AJ$130,0,MATCH(D$2,Inputs!$K$4:$AJ$4,0))))=0,NA(),SUMPRODUCT((Inputs!$A$5:$A$130=$B39)*Inputs!$B$5:$B$130*(((Inputs!$G$5:$G$130="moeda")+(Inputs!$G$5:$G$130="acoes"))*Inputs!$B$1+((Inputs!$G$5:$G$130&lt;&gt;"moeda")*(Inputs!$G$5:$G$130&lt;&gt;"acoes")))*INDEX(Inputs!$K$5:$AJ$130,0,MATCH(D$2,Inputs!$K$4:$AJ$4,0)))+SUMPRODUCT((Inputs!$C$5:$C$130=$B39)*Inputs!$D$5:$D$130*(((Inputs!$G$5:$G$130="moeda")+(Inputs!$G$5:$G$130="acoes"))*Inputs!$B$1+((Inputs!$G$5:$G$130&lt;&gt;"moeda")*(Inputs!$G$5:$G$130&lt;&gt;"acoes")))*INDEX(Inputs!$K$5:$AJ$130,0,MATCH(D$2,Inputs!$K$4:$AJ$4,0)))+SUMPRODUCT((Inputs!$E$5:$E$130=$B39)*Inputs!$F$5:$F$130*(((Inputs!$G$5:$G$130="moeda")+(Inputs!$G$5:$G$130="acoes"))*Inputs!$B$1+((Inputs!$G$5:$G$130&lt;&gt;"moeda")*(Inputs!$G$5:$G$130&lt;&gt;"acoes")))*INDEX(Inputs!$K$5:$AJ$130,0,MATCH(D$2,Inputs!$K$4:$AJ$4,0)))))</f>
        <v>0</v>
      </c>
      <c r="E39" s="6">
        <f>IF(ISNA(MATCH(E$2,Inputs!$K$4:$AJ$4,0)),NA(),IF(SUMPRODUCT((Inputs!$A$5:$A$130=$B39)*ISNUMBER(INDEX(Inputs!$K$5:$AJ$130,0,MATCH(E$2,Inputs!$K$4:$AJ$4,0))))+SUMPRODUCT((Inputs!$C$5:$C$130=$B39)*ISNUMBER(INDEX(Inputs!$K$5:$AJ$130,0,MATCH(E$2,Inputs!$K$4:$AJ$4,0))))+SUMPRODUCT((Inputs!$E$5:$E$130=$B39)*ISNUMBER(INDEX(Inputs!$K$5:$AJ$130,0,MATCH(E$2,Inputs!$K$4:$AJ$4,0))))=0,NA(),SUMPRODUCT((Inputs!$A$5:$A$130=$B39)*Inputs!$B$5:$B$130*(((Inputs!$G$5:$G$130="moeda")+(Inputs!$G$5:$G$130="acoes"))*Inputs!$B$1+((Inputs!$G$5:$G$130&lt;&gt;"moeda")*(Inputs!$G$5:$G$130&lt;&gt;"acoes")))*INDEX(Inputs!$K$5:$AJ$130,0,MATCH(E$2,Inputs!$K$4:$AJ$4,0)))+SUMPRODUCT((Inputs!$C$5:$C$130=$B39)*Inputs!$D$5:$D$130*(((Inputs!$G$5:$G$130="moeda")+(Inputs!$G$5:$G$130="acoes"))*Inputs!$B$1+((Inputs!$G$5:$G$130&lt;&gt;"moeda")*(Inputs!$G$5:$G$130&lt;&gt;"acoes")))*INDEX(Inputs!$K$5:$AJ$130,0,MATCH(E$2,Inputs!$K$4:$AJ$4,0)))+SUMPRODUCT((Inputs!$E$5:$E$130=$B39)*Inputs!$F$5:$F$130*(((Inputs!$G$5:$G$130="moeda")+(Inputs!$G$5:$G$130="acoes"))*Inputs!$B$1+((Inputs!$G$5:$G$130&lt;&gt;"moeda")*(Inputs!$G$5:$G$130&lt;&gt;"acoes")))*INDEX(Inputs!$K$5:$AJ$130,0,MATCH(E$2,Inputs!$K$4:$AJ$4,0)))))</f>
        <v>0</v>
      </c>
      <c r="F39" s="6">
        <f>IF(ISNA(MATCH(F$2,Inputs!$K$4:$AJ$4,0)),NA(),IF(SUMPRODUCT((Inputs!$A$5:$A$130=$B39)*ISNUMBER(INDEX(Inputs!$K$5:$AJ$130,0,MATCH(F$2,Inputs!$K$4:$AJ$4,0))))+SUMPRODUCT((Inputs!$C$5:$C$130=$B39)*ISNUMBER(INDEX(Inputs!$K$5:$AJ$130,0,MATCH(F$2,Inputs!$K$4:$AJ$4,0))))+SUMPRODUCT((Inputs!$E$5:$E$130=$B39)*ISNUMBER(INDEX(Inputs!$K$5:$AJ$130,0,MATCH(F$2,Inputs!$K$4:$AJ$4,0))))=0,NA(),SUMPRODUCT((Inputs!$A$5:$A$130=$B39)*Inputs!$B$5:$B$130*(((Inputs!$G$5:$G$130="moeda")+(Inputs!$G$5:$G$130="acoes"))*Inputs!$B$1+((Inputs!$G$5:$G$130&lt;&gt;"moeda")*(Inputs!$G$5:$G$130&lt;&gt;"acoes")))*INDEX(Inputs!$K$5:$AJ$130,0,MATCH(F$2,Inputs!$K$4:$AJ$4,0)))+SUMPRODUCT((Inputs!$C$5:$C$130=$B39)*Inputs!$D$5:$D$130*(((Inputs!$G$5:$G$130="moeda")+(Inputs!$G$5:$G$130="acoes"))*Inputs!$B$1+((Inputs!$G$5:$G$130&lt;&gt;"moeda")*(Inputs!$G$5:$G$130&lt;&gt;"acoes")))*INDEX(Inputs!$K$5:$AJ$130,0,MATCH(F$2,Inputs!$K$4:$AJ$4,0)))+SUMPRODUCT((Inputs!$E$5:$E$130=$B39)*Inputs!$F$5:$F$130*(((Inputs!$G$5:$G$130="moeda")+(Inputs!$G$5:$G$130="acoes"))*Inputs!$B$1+((Inputs!$G$5:$G$130&lt;&gt;"moeda")*(Inputs!$G$5:$G$130&lt;&gt;"acoes")))*INDEX(Inputs!$K$5:$AJ$130,0,MATCH(F$2,Inputs!$K$4:$AJ$4,0)))))</f>
        <v>0</v>
      </c>
      <c r="G39" s="6">
        <f>IF(ISNA(MATCH(G$2,Inputs!$K$4:$AJ$4,0)),NA(),IF(SUMPRODUCT((Inputs!$A$5:$A$130=$B39)*ISNUMBER(INDEX(Inputs!$K$5:$AJ$130,0,MATCH(G$2,Inputs!$K$4:$AJ$4,0))))+SUMPRODUCT((Inputs!$C$5:$C$130=$B39)*ISNUMBER(INDEX(Inputs!$K$5:$AJ$130,0,MATCH(G$2,Inputs!$K$4:$AJ$4,0))))+SUMPRODUCT((Inputs!$E$5:$E$130=$B39)*ISNUMBER(INDEX(Inputs!$K$5:$AJ$130,0,MATCH(G$2,Inputs!$K$4:$AJ$4,0))))=0,NA(),SUMPRODUCT((Inputs!$A$5:$A$130=$B39)*Inputs!$B$5:$B$130*(((Inputs!$G$5:$G$130="moeda")+(Inputs!$G$5:$G$130="acoes"))*Inputs!$B$1+((Inputs!$G$5:$G$130&lt;&gt;"moeda")*(Inputs!$G$5:$G$130&lt;&gt;"acoes")))*INDEX(Inputs!$K$5:$AJ$130,0,MATCH(G$2,Inputs!$K$4:$AJ$4,0)))+SUMPRODUCT((Inputs!$C$5:$C$130=$B39)*Inputs!$D$5:$D$130*(((Inputs!$G$5:$G$130="moeda")+(Inputs!$G$5:$G$130="acoes"))*Inputs!$B$1+((Inputs!$G$5:$G$130&lt;&gt;"moeda")*(Inputs!$G$5:$G$130&lt;&gt;"acoes")))*INDEX(Inputs!$K$5:$AJ$130,0,MATCH(G$2,Inputs!$K$4:$AJ$4,0)))+SUMPRODUCT((Inputs!$E$5:$E$130=$B39)*Inputs!$F$5:$F$130*(((Inputs!$G$5:$G$130="moeda")+(Inputs!$G$5:$G$130="acoes"))*Inputs!$B$1+((Inputs!$G$5:$G$130&lt;&gt;"moeda")*(Inputs!$G$5:$G$130&lt;&gt;"acoes")))*INDEX(Inputs!$K$5:$AJ$130,0,MATCH(G$2,Inputs!$K$4:$AJ$4,0)))))</f>
        <v>0</v>
      </c>
      <c r="H39" s="3">
        <f>G39</f>
        <v>0</v>
      </c>
      <c r="I39" s="6">
        <f>IF(ISNA(MATCH(I$2,Inputs!$K$4:$AJ$4,0)),NA(),IF(SUMPRODUCT((Inputs!$A$5:$A$130=$B39)*ISNUMBER(INDEX(Inputs!$K$5:$AJ$130,0,MATCH(I$2,Inputs!$K$4:$AJ$4,0))))+SUMPRODUCT((Inputs!$C$5:$C$130=$B39)*ISNUMBER(INDEX(Inputs!$K$5:$AJ$130,0,MATCH(I$2,Inputs!$K$4:$AJ$4,0))))+SUMPRODUCT((Inputs!$E$5:$E$130=$B39)*ISNUMBER(INDEX(Inputs!$K$5:$AJ$130,0,MATCH(I$2,Inputs!$K$4:$AJ$4,0))))=0,NA(),SUMPRODUCT((Inputs!$A$5:$A$130=$B39)*Inputs!$B$5:$B$130*(((Inputs!$G$5:$G$130="moeda")+(Inputs!$G$5:$G$130="acoes"))*Inputs!$B$1+((Inputs!$G$5:$G$130&lt;&gt;"moeda")*(Inputs!$G$5:$G$130&lt;&gt;"acoes")))*INDEX(Inputs!$K$5:$AJ$130,0,MATCH(I$2,Inputs!$K$4:$AJ$4,0)))+SUMPRODUCT((Inputs!$C$5:$C$130=$B39)*Inputs!$D$5:$D$130*(((Inputs!$G$5:$G$130="moeda")+(Inputs!$G$5:$G$130="acoes"))*Inputs!$B$1+((Inputs!$G$5:$G$130&lt;&gt;"moeda")*(Inputs!$G$5:$G$130&lt;&gt;"acoes")))*INDEX(Inputs!$K$5:$AJ$130,0,MATCH(I$2,Inputs!$K$4:$AJ$4,0)))+SUMPRODUCT((Inputs!$E$5:$E$130=$B39)*Inputs!$F$5:$F$130*(((Inputs!$G$5:$G$130="moeda")+(Inputs!$G$5:$G$130="acoes"))*Inputs!$B$1+((Inputs!$G$5:$G$130&lt;&gt;"moeda")*(Inputs!$G$5:$G$130&lt;&gt;"acoes")))*INDEX(Inputs!$K$5:$AJ$130,0,MATCH(I$2,Inputs!$K$4:$AJ$4,0)))))</f>
        <v>0</v>
      </c>
      <c r="J39" s="6">
        <f>IF(ISNA(MATCH(J$2,Inputs!$K$4:$AJ$4,0)),NA(),IF(SUMPRODUCT((Inputs!$A$5:$A$130=$B39)*ISNUMBER(INDEX(Inputs!$K$5:$AJ$130,0,MATCH(J$2,Inputs!$K$4:$AJ$4,0))))+SUMPRODUCT((Inputs!$C$5:$C$130=$B39)*ISNUMBER(INDEX(Inputs!$K$5:$AJ$130,0,MATCH(J$2,Inputs!$K$4:$AJ$4,0))))+SUMPRODUCT((Inputs!$E$5:$E$130=$B39)*ISNUMBER(INDEX(Inputs!$K$5:$AJ$130,0,MATCH(J$2,Inputs!$K$4:$AJ$4,0))))=0,NA(),SUMPRODUCT((Inputs!$A$5:$A$130=$B39)*Inputs!$B$5:$B$130*(((Inputs!$G$5:$G$130="moeda")+(Inputs!$G$5:$G$130="acoes"))*Inputs!$B$1+((Inputs!$G$5:$G$130&lt;&gt;"moeda")*(Inputs!$G$5:$G$130&lt;&gt;"acoes")))*INDEX(Inputs!$K$5:$AJ$130,0,MATCH(J$2,Inputs!$K$4:$AJ$4,0)))+SUMPRODUCT((Inputs!$C$5:$C$130=$B39)*Inputs!$D$5:$D$130*(((Inputs!$G$5:$G$130="moeda")+(Inputs!$G$5:$G$130="acoes"))*Inputs!$B$1+((Inputs!$G$5:$G$130&lt;&gt;"moeda")*(Inputs!$G$5:$G$130&lt;&gt;"acoes")))*INDEX(Inputs!$K$5:$AJ$130,0,MATCH(J$2,Inputs!$K$4:$AJ$4,0)))+SUMPRODUCT((Inputs!$E$5:$E$130=$B39)*Inputs!$F$5:$F$130*(((Inputs!$G$5:$G$130="moeda")+(Inputs!$G$5:$G$130="acoes"))*Inputs!$B$1+((Inputs!$G$5:$G$130&lt;&gt;"moeda")*(Inputs!$G$5:$G$130&lt;&gt;"acoes")))*INDEX(Inputs!$K$5:$AJ$130,0,MATCH(J$2,Inputs!$K$4:$AJ$4,0)))))</f>
        <v>0</v>
      </c>
      <c r="K39" s="6">
        <f>IF(ISNA(MATCH(K$2,Inputs!$K$4:$AJ$4,0)),NA(),IF(SUMPRODUCT((Inputs!$A$5:$A$130=$B39)*ISNUMBER(INDEX(Inputs!$K$5:$AJ$130,0,MATCH(K$2,Inputs!$K$4:$AJ$4,0))))+SUMPRODUCT((Inputs!$C$5:$C$130=$B39)*ISNUMBER(INDEX(Inputs!$K$5:$AJ$130,0,MATCH(K$2,Inputs!$K$4:$AJ$4,0))))+SUMPRODUCT((Inputs!$E$5:$E$130=$B39)*ISNUMBER(INDEX(Inputs!$K$5:$AJ$130,0,MATCH(K$2,Inputs!$K$4:$AJ$4,0))))=0,NA(),SUMPRODUCT((Inputs!$A$5:$A$130=$B39)*Inputs!$B$5:$B$130*(((Inputs!$G$5:$G$130="moeda")+(Inputs!$G$5:$G$130="acoes"))*Inputs!$B$1+((Inputs!$G$5:$G$130&lt;&gt;"moeda")*(Inputs!$G$5:$G$130&lt;&gt;"acoes")))*INDEX(Inputs!$K$5:$AJ$130,0,MATCH(K$2,Inputs!$K$4:$AJ$4,0)))+SUMPRODUCT((Inputs!$C$5:$C$130=$B39)*Inputs!$D$5:$D$130*(((Inputs!$G$5:$G$130="moeda")+(Inputs!$G$5:$G$130="acoes"))*Inputs!$B$1+((Inputs!$G$5:$G$130&lt;&gt;"moeda")*(Inputs!$G$5:$G$130&lt;&gt;"acoes")))*INDEX(Inputs!$K$5:$AJ$130,0,MATCH(K$2,Inputs!$K$4:$AJ$4,0)))+SUMPRODUCT((Inputs!$E$5:$E$130=$B39)*Inputs!$F$5:$F$130*(((Inputs!$G$5:$G$130="moeda")+(Inputs!$G$5:$G$130="acoes"))*Inputs!$B$1+((Inputs!$G$5:$G$130&lt;&gt;"moeda")*(Inputs!$G$5:$G$130&lt;&gt;"acoes")))*INDEX(Inputs!$K$5:$AJ$130,0,MATCH(K$2,Inputs!$K$4:$AJ$4,0)))))</f>
        <v>0</v>
      </c>
      <c r="L39" s="6">
        <f>IF(ISNA(MATCH(L$2,Inputs!$K$4:$AJ$4,0)),NA(),IF(SUMPRODUCT((Inputs!$A$5:$A$130=$B39)*ISNUMBER(INDEX(Inputs!$K$5:$AJ$130,0,MATCH(L$2,Inputs!$K$4:$AJ$4,0))))+SUMPRODUCT((Inputs!$C$5:$C$130=$B39)*ISNUMBER(INDEX(Inputs!$K$5:$AJ$130,0,MATCH(L$2,Inputs!$K$4:$AJ$4,0))))+SUMPRODUCT((Inputs!$E$5:$E$130=$B39)*ISNUMBER(INDEX(Inputs!$K$5:$AJ$130,0,MATCH(L$2,Inputs!$K$4:$AJ$4,0))))=0,NA(),SUMPRODUCT((Inputs!$A$5:$A$130=$B39)*Inputs!$B$5:$B$130*(((Inputs!$G$5:$G$130="moeda")+(Inputs!$G$5:$G$130="acoes"))*Inputs!$B$1+((Inputs!$G$5:$G$130&lt;&gt;"moeda")*(Inputs!$G$5:$G$130&lt;&gt;"acoes")))*INDEX(Inputs!$K$5:$AJ$130,0,MATCH(L$2,Inputs!$K$4:$AJ$4,0)))+SUMPRODUCT((Inputs!$C$5:$C$130=$B39)*Inputs!$D$5:$D$130*(((Inputs!$G$5:$G$130="moeda")+(Inputs!$G$5:$G$130="acoes"))*Inputs!$B$1+((Inputs!$G$5:$G$130&lt;&gt;"moeda")*(Inputs!$G$5:$G$130&lt;&gt;"acoes")))*INDEX(Inputs!$K$5:$AJ$130,0,MATCH(L$2,Inputs!$K$4:$AJ$4,0)))+SUMPRODUCT((Inputs!$E$5:$E$130=$B39)*Inputs!$F$5:$F$130*(((Inputs!$G$5:$G$130="moeda")+(Inputs!$G$5:$G$130="acoes"))*Inputs!$B$1+((Inputs!$G$5:$G$130&lt;&gt;"moeda")*(Inputs!$G$5:$G$130&lt;&gt;"acoes")))*INDEX(Inputs!$K$5:$AJ$130,0,MATCH(L$2,Inputs!$K$4:$AJ$4,0)))))</f>
        <v>0</v>
      </c>
      <c r="M39" s="3">
        <f>L39</f>
        <v>0</v>
      </c>
      <c r="N39" s="6">
        <f>IF(ISNA(MATCH(N$2,Inputs!$K$4:$AJ$4,0)),NA(),IF(SUMPRODUCT((Inputs!$A$5:$A$130=$B39)*ISNUMBER(INDEX(Inputs!$K$5:$AJ$130,0,MATCH(N$2,Inputs!$K$4:$AJ$4,0))))+SUMPRODUCT((Inputs!$C$5:$C$130=$B39)*ISNUMBER(INDEX(Inputs!$K$5:$AJ$130,0,MATCH(N$2,Inputs!$K$4:$AJ$4,0))))+SUMPRODUCT((Inputs!$E$5:$E$130=$B39)*ISNUMBER(INDEX(Inputs!$K$5:$AJ$130,0,MATCH(N$2,Inputs!$K$4:$AJ$4,0))))=0,NA(),SUMPRODUCT((Inputs!$A$5:$A$130=$B39)*Inputs!$B$5:$B$130*(((Inputs!$G$5:$G$130="moeda")+(Inputs!$G$5:$G$130="acoes"))*Inputs!$B$1+((Inputs!$G$5:$G$130&lt;&gt;"moeda")*(Inputs!$G$5:$G$130&lt;&gt;"acoes")))*INDEX(Inputs!$K$5:$AJ$130,0,MATCH(N$2,Inputs!$K$4:$AJ$4,0)))+SUMPRODUCT((Inputs!$C$5:$C$130=$B39)*Inputs!$D$5:$D$130*(((Inputs!$G$5:$G$130="moeda")+(Inputs!$G$5:$G$130="acoes"))*Inputs!$B$1+((Inputs!$G$5:$G$130&lt;&gt;"moeda")*(Inputs!$G$5:$G$130&lt;&gt;"acoes")))*INDEX(Inputs!$K$5:$AJ$130,0,MATCH(N$2,Inputs!$K$4:$AJ$4,0)))+SUMPRODUCT((Inputs!$E$5:$E$130=$B39)*Inputs!$F$5:$F$130*(((Inputs!$G$5:$G$130="moeda")+(Inputs!$G$5:$G$130="acoes"))*Inputs!$B$1+((Inputs!$G$5:$G$130&lt;&gt;"moeda")*(Inputs!$G$5:$G$130&lt;&gt;"acoes")))*INDEX(Inputs!$K$5:$AJ$130,0,MATCH(N$2,Inputs!$K$4:$AJ$4,0)))))</f>
        <v>0</v>
      </c>
      <c r="O39" s="6">
        <f>IF(ISNA(MATCH(O$2,Inputs!$K$4:$AJ$4,0)),NA(),IF(SUMPRODUCT((Inputs!$A$5:$A$130=$B39)*ISNUMBER(INDEX(Inputs!$K$5:$AJ$130,0,MATCH(O$2,Inputs!$K$4:$AJ$4,0))))+SUMPRODUCT((Inputs!$C$5:$C$130=$B39)*ISNUMBER(INDEX(Inputs!$K$5:$AJ$130,0,MATCH(O$2,Inputs!$K$4:$AJ$4,0))))+SUMPRODUCT((Inputs!$E$5:$E$130=$B39)*ISNUMBER(INDEX(Inputs!$K$5:$AJ$130,0,MATCH(O$2,Inputs!$K$4:$AJ$4,0))))=0,NA(),SUMPRODUCT((Inputs!$A$5:$A$130=$B39)*Inputs!$B$5:$B$130*(((Inputs!$G$5:$G$130="moeda")+(Inputs!$G$5:$G$130="acoes"))*Inputs!$B$1+((Inputs!$G$5:$G$130&lt;&gt;"moeda")*(Inputs!$G$5:$G$130&lt;&gt;"acoes")))*INDEX(Inputs!$K$5:$AJ$130,0,MATCH(O$2,Inputs!$K$4:$AJ$4,0)))+SUMPRODUCT((Inputs!$C$5:$C$130=$B39)*Inputs!$D$5:$D$130*(((Inputs!$G$5:$G$130="moeda")+(Inputs!$G$5:$G$130="acoes"))*Inputs!$B$1+((Inputs!$G$5:$G$130&lt;&gt;"moeda")*(Inputs!$G$5:$G$130&lt;&gt;"acoes")))*INDEX(Inputs!$K$5:$AJ$130,0,MATCH(O$2,Inputs!$K$4:$AJ$4,0)))+SUMPRODUCT((Inputs!$E$5:$E$130=$B39)*Inputs!$F$5:$F$130*(((Inputs!$G$5:$G$130="moeda")+(Inputs!$G$5:$G$130="acoes"))*Inputs!$B$1+((Inputs!$G$5:$G$130&lt;&gt;"moeda")*(Inputs!$G$5:$G$130&lt;&gt;"acoes")))*INDEX(Inputs!$K$5:$AJ$130,0,MATCH(O$2,Inputs!$K$4:$AJ$4,0)))))</f>
        <v>0</v>
      </c>
      <c r="P39" s="6">
        <f>IF(ISNA(MATCH(P$2,Inputs!$K$4:$AJ$4,0)),NA(),IF(SUMPRODUCT((Inputs!$A$5:$A$130=$B39)*ISNUMBER(INDEX(Inputs!$K$5:$AJ$130,0,MATCH(P$2,Inputs!$K$4:$AJ$4,0))))+SUMPRODUCT((Inputs!$C$5:$C$130=$B39)*ISNUMBER(INDEX(Inputs!$K$5:$AJ$130,0,MATCH(P$2,Inputs!$K$4:$AJ$4,0))))+SUMPRODUCT((Inputs!$E$5:$E$130=$B39)*ISNUMBER(INDEX(Inputs!$K$5:$AJ$130,0,MATCH(P$2,Inputs!$K$4:$AJ$4,0))))=0,NA(),SUMPRODUCT((Inputs!$A$5:$A$130=$B39)*Inputs!$B$5:$B$130*(((Inputs!$G$5:$G$130="moeda")+(Inputs!$G$5:$G$130="acoes"))*Inputs!$B$1+((Inputs!$G$5:$G$130&lt;&gt;"moeda")*(Inputs!$G$5:$G$130&lt;&gt;"acoes")))*INDEX(Inputs!$K$5:$AJ$130,0,MATCH(P$2,Inputs!$K$4:$AJ$4,0)))+SUMPRODUCT((Inputs!$C$5:$C$130=$B39)*Inputs!$D$5:$D$130*(((Inputs!$G$5:$G$130="moeda")+(Inputs!$G$5:$G$130="acoes"))*Inputs!$B$1+((Inputs!$G$5:$G$130&lt;&gt;"moeda")*(Inputs!$G$5:$G$130&lt;&gt;"acoes")))*INDEX(Inputs!$K$5:$AJ$130,0,MATCH(P$2,Inputs!$K$4:$AJ$4,0)))+SUMPRODUCT((Inputs!$E$5:$E$130=$B39)*Inputs!$F$5:$F$130*(((Inputs!$G$5:$G$130="moeda")+(Inputs!$G$5:$G$130="acoes"))*Inputs!$B$1+((Inputs!$G$5:$G$130&lt;&gt;"moeda")*(Inputs!$G$5:$G$130&lt;&gt;"acoes")))*INDEX(Inputs!$K$5:$AJ$130,0,MATCH(P$2,Inputs!$K$4:$AJ$4,0)))))</f>
        <v>0</v>
      </c>
      <c r="Q39" s="6">
        <f>IF(ISNA(MATCH(Q$2,Inputs!$K$4:$AJ$4,0)),NA(),IF(SUMPRODUCT((Inputs!$A$5:$A$130=$B39)*ISNUMBER(INDEX(Inputs!$K$5:$AJ$130,0,MATCH(Q$2,Inputs!$K$4:$AJ$4,0))))+SUMPRODUCT((Inputs!$C$5:$C$130=$B39)*ISNUMBER(INDEX(Inputs!$K$5:$AJ$130,0,MATCH(Q$2,Inputs!$K$4:$AJ$4,0))))+SUMPRODUCT((Inputs!$E$5:$E$130=$B39)*ISNUMBER(INDEX(Inputs!$K$5:$AJ$130,0,MATCH(Q$2,Inputs!$K$4:$AJ$4,0))))=0,NA(),SUMPRODUCT((Inputs!$A$5:$A$130=$B39)*Inputs!$B$5:$B$130*(((Inputs!$G$5:$G$130="moeda")+(Inputs!$G$5:$G$130="acoes"))*Inputs!$B$1+((Inputs!$G$5:$G$130&lt;&gt;"moeda")*(Inputs!$G$5:$G$130&lt;&gt;"acoes")))*INDEX(Inputs!$K$5:$AJ$130,0,MATCH(Q$2,Inputs!$K$4:$AJ$4,0)))+SUMPRODUCT((Inputs!$C$5:$C$130=$B39)*Inputs!$D$5:$D$130*(((Inputs!$G$5:$G$130="moeda")+(Inputs!$G$5:$G$130="acoes"))*Inputs!$B$1+((Inputs!$G$5:$G$130&lt;&gt;"moeda")*(Inputs!$G$5:$G$130&lt;&gt;"acoes")))*INDEX(Inputs!$K$5:$AJ$130,0,MATCH(Q$2,Inputs!$K$4:$AJ$4,0)))+SUMPRODUCT((Inputs!$E$5:$E$130=$B39)*Inputs!$F$5:$F$130*(((Inputs!$G$5:$G$130="moeda")+(Inputs!$G$5:$G$130="acoes"))*Inputs!$B$1+((Inputs!$G$5:$G$130&lt;&gt;"moeda")*(Inputs!$G$5:$G$130&lt;&gt;"acoes")))*INDEX(Inputs!$K$5:$AJ$130,0,MATCH(Q$2,Inputs!$K$4:$AJ$4,0)))))</f>
        <v>0</v>
      </c>
      <c r="R39" s="3">
        <f>Q39</f>
        <v>0</v>
      </c>
      <c r="S39" s="6">
        <f>IF(ISNA(MATCH(S$2,Inputs!$K$4:$AJ$4,0)),NA(),IF(SUMPRODUCT((Inputs!$A$5:$A$130=$B39)*ISNUMBER(INDEX(Inputs!$K$5:$AJ$130,0,MATCH(S$2,Inputs!$K$4:$AJ$4,0))))+SUMPRODUCT((Inputs!$C$5:$C$130=$B39)*ISNUMBER(INDEX(Inputs!$K$5:$AJ$130,0,MATCH(S$2,Inputs!$K$4:$AJ$4,0))))+SUMPRODUCT((Inputs!$E$5:$E$130=$B39)*ISNUMBER(INDEX(Inputs!$K$5:$AJ$130,0,MATCH(S$2,Inputs!$K$4:$AJ$4,0))))=0,NA(),SUMPRODUCT((Inputs!$A$5:$A$130=$B39)*Inputs!$B$5:$B$130*(((Inputs!$G$5:$G$130="moeda")+(Inputs!$G$5:$G$130="acoes"))*Inputs!$B$1+((Inputs!$G$5:$G$130&lt;&gt;"moeda")*(Inputs!$G$5:$G$130&lt;&gt;"acoes")))*INDEX(Inputs!$K$5:$AJ$130,0,MATCH(S$2,Inputs!$K$4:$AJ$4,0)))+SUMPRODUCT((Inputs!$C$5:$C$130=$B39)*Inputs!$D$5:$D$130*(((Inputs!$G$5:$G$130="moeda")+(Inputs!$G$5:$G$130="acoes"))*Inputs!$B$1+((Inputs!$G$5:$G$130&lt;&gt;"moeda")*(Inputs!$G$5:$G$130&lt;&gt;"acoes")))*INDEX(Inputs!$K$5:$AJ$130,0,MATCH(S$2,Inputs!$K$4:$AJ$4,0)))+SUMPRODUCT((Inputs!$E$5:$E$130=$B39)*Inputs!$F$5:$F$130*(((Inputs!$G$5:$G$130="moeda")+(Inputs!$G$5:$G$130="acoes"))*Inputs!$B$1+((Inputs!$G$5:$G$130&lt;&gt;"moeda")*(Inputs!$G$5:$G$130&lt;&gt;"acoes")))*INDEX(Inputs!$K$5:$AJ$130,0,MATCH(S$2,Inputs!$K$4:$AJ$4,0)))))</f>
        <v>0</v>
      </c>
      <c r="T39" s="6">
        <f>IF(ISNA(MATCH(T$2,Inputs!$K$4:$AJ$4,0)),NA(),IF(SUMPRODUCT((Inputs!$A$5:$A$130=$B39)*ISNUMBER(INDEX(Inputs!$K$5:$AJ$130,0,MATCH(T$2,Inputs!$K$4:$AJ$4,0))))+SUMPRODUCT((Inputs!$C$5:$C$130=$B39)*ISNUMBER(INDEX(Inputs!$K$5:$AJ$130,0,MATCH(T$2,Inputs!$K$4:$AJ$4,0))))+SUMPRODUCT((Inputs!$E$5:$E$130=$B39)*ISNUMBER(INDEX(Inputs!$K$5:$AJ$130,0,MATCH(T$2,Inputs!$K$4:$AJ$4,0))))=0,NA(),SUMPRODUCT((Inputs!$A$5:$A$130=$B39)*Inputs!$B$5:$B$130*(((Inputs!$G$5:$G$130="moeda")+(Inputs!$G$5:$G$130="acoes"))*Inputs!$B$1+((Inputs!$G$5:$G$130&lt;&gt;"moeda")*(Inputs!$G$5:$G$130&lt;&gt;"acoes")))*INDEX(Inputs!$K$5:$AJ$130,0,MATCH(T$2,Inputs!$K$4:$AJ$4,0)))+SUMPRODUCT((Inputs!$C$5:$C$130=$B39)*Inputs!$D$5:$D$130*(((Inputs!$G$5:$G$130="moeda")+(Inputs!$G$5:$G$130="acoes"))*Inputs!$B$1+((Inputs!$G$5:$G$130&lt;&gt;"moeda")*(Inputs!$G$5:$G$130&lt;&gt;"acoes")))*INDEX(Inputs!$K$5:$AJ$130,0,MATCH(T$2,Inputs!$K$4:$AJ$4,0)))+SUMPRODUCT((Inputs!$E$5:$E$130=$B39)*Inputs!$F$5:$F$130*(((Inputs!$G$5:$G$130="moeda")+(Inputs!$G$5:$G$130="acoes"))*Inputs!$B$1+((Inputs!$G$5:$G$130&lt;&gt;"moeda")*(Inputs!$G$5:$G$130&lt;&gt;"acoes")))*INDEX(Inputs!$K$5:$AJ$130,0,MATCH(T$2,Inputs!$K$4:$AJ$4,0)))))</f>
        <v>0</v>
      </c>
      <c r="U39" s="6">
        <f>IF(ISNA(MATCH(U$2,Inputs!$K$4:$AJ$4,0)),NA(),IF(SUMPRODUCT((Inputs!$A$5:$A$130=$B39)*ISNUMBER(INDEX(Inputs!$K$5:$AJ$130,0,MATCH(U$2,Inputs!$K$4:$AJ$4,0))))+SUMPRODUCT((Inputs!$C$5:$C$130=$B39)*ISNUMBER(INDEX(Inputs!$K$5:$AJ$130,0,MATCH(U$2,Inputs!$K$4:$AJ$4,0))))+SUMPRODUCT((Inputs!$E$5:$E$130=$B39)*ISNUMBER(INDEX(Inputs!$K$5:$AJ$130,0,MATCH(U$2,Inputs!$K$4:$AJ$4,0))))=0,NA(),SUMPRODUCT((Inputs!$A$5:$A$130=$B39)*Inputs!$B$5:$B$130*(((Inputs!$G$5:$G$130="moeda")+(Inputs!$G$5:$G$130="acoes"))*Inputs!$B$1+((Inputs!$G$5:$G$130&lt;&gt;"moeda")*(Inputs!$G$5:$G$130&lt;&gt;"acoes")))*INDEX(Inputs!$K$5:$AJ$130,0,MATCH(U$2,Inputs!$K$4:$AJ$4,0)))+SUMPRODUCT((Inputs!$C$5:$C$130=$B39)*Inputs!$D$5:$D$130*(((Inputs!$G$5:$G$130="moeda")+(Inputs!$G$5:$G$130="acoes"))*Inputs!$B$1+((Inputs!$G$5:$G$130&lt;&gt;"moeda")*(Inputs!$G$5:$G$130&lt;&gt;"acoes")))*INDEX(Inputs!$K$5:$AJ$130,0,MATCH(U$2,Inputs!$K$4:$AJ$4,0)))+SUMPRODUCT((Inputs!$E$5:$E$130=$B39)*Inputs!$F$5:$F$130*(((Inputs!$G$5:$G$130="moeda")+(Inputs!$G$5:$G$130="acoes"))*Inputs!$B$1+((Inputs!$G$5:$G$130&lt;&gt;"moeda")*(Inputs!$G$5:$G$130&lt;&gt;"acoes")))*INDEX(Inputs!$K$5:$AJ$130,0,MATCH(U$2,Inputs!$K$4:$AJ$4,0)))))</f>
        <v>0</v>
      </c>
      <c r="V39" s="6">
        <f>IF(ISNA(MATCH(V$2,Inputs!$K$4:$AJ$4,0)),NA(),IF(SUMPRODUCT((Inputs!$A$5:$A$130=$B39)*ISNUMBER(INDEX(Inputs!$K$5:$AJ$130,0,MATCH(V$2,Inputs!$K$4:$AJ$4,0))))+SUMPRODUCT((Inputs!$C$5:$C$130=$B39)*ISNUMBER(INDEX(Inputs!$K$5:$AJ$130,0,MATCH(V$2,Inputs!$K$4:$AJ$4,0))))+SUMPRODUCT((Inputs!$E$5:$E$130=$B39)*ISNUMBER(INDEX(Inputs!$K$5:$AJ$130,0,MATCH(V$2,Inputs!$K$4:$AJ$4,0))))=0,NA(),SUMPRODUCT((Inputs!$A$5:$A$130=$B39)*Inputs!$B$5:$B$130*(((Inputs!$G$5:$G$130="moeda")+(Inputs!$G$5:$G$130="acoes"))*Inputs!$B$1+((Inputs!$G$5:$G$130&lt;&gt;"moeda")*(Inputs!$G$5:$G$130&lt;&gt;"acoes")))*INDEX(Inputs!$K$5:$AJ$130,0,MATCH(V$2,Inputs!$K$4:$AJ$4,0)))+SUMPRODUCT((Inputs!$C$5:$C$130=$B39)*Inputs!$D$5:$D$130*(((Inputs!$G$5:$G$130="moeda")+(Inputs!$G$5:$G$130="acoes"))*Inputs!$B$1+((Inputs!$G$5:$G$130&lt;&gt;"moeda")*(Inputs!$G$5:$G$130&lt;&gt;"acoes")))*INDEX(Inputs!$K$5:$AJ$130,0,MATCH(V$2,Inputs!$K$4:$AJ$4,0)))+SUMPRODUCT((Inputs!$E$5:$E$130=$B39)*Inputs!$F$5:$F$130*(((Inputs!$G$5:$G$130="moeda")+(Inputs!$G$5:$G$130="acoes"))*Inputs!$B$1+((Inputs!$G$5:$G$130&lt;&gt;"moeda")*(Inputs!$G$5:$G$130&lt;&gt;"acoes")))*INDEX(Inputs!$K$5:$AJ$130,0,MATCH(V$2,Inputs!$K$4:$AJ$4,0)))))</f>
        <v>0</v>
      </c>
      <c r="W39" s="3">
        <f>V39</f>
        <v>0</v>
      </c>
      <c r="X39" s="6">
        <f>IF(ISNA(MATCH(X$2,Inputs!$K$4:$AJ$4,0)),NA(),IF(SUMPRODUCT((Inputs!$A$5:$A$130=$B39)*ISNUMBER(INDEX(Inputs!$K$5:$AJ$130,0,MATCH(X$2,Inputs!$K$4:$AJ$4,0))))+SUMPRODUCT((Inputs!$C$5:$C$130=$B39)*ISNUMBER(INDEX(Inputs!$K$5:$AJ$130,0,MATCH(X$2,Inputs!$K$4:$AJ$4,0))))+SUMPRODUCT((Inputs!$E$5:$E$130=$B39)*ISNUMBER(INDEX(Inputs!$K$5:$AJ$130,0,MATCH(X$2,Inputs!$K$4:$AJ$4,0))))=0,NA(),SUMPRODUCT((Inputs!$A$5:$A$130=$B39)*Inputs!$B$5:$B$130*(((Inputs!$G$5:$G$130="moeda")+(Inputs!$G$5:$G$130="acoes"))*Inputs!$B$1+((Inputs!$G$5:$G$130&lt;&gt;"moeda")*(Inputs!$G$5:$G$130&lt;&gt;"acoes")))*INDEX(Inputs!$K$5:$AJ$130,0,MATCH(X$2,Inputs!$K$4:$AJ$4,0)))+SUMPRODUCT((Inputs!$C$5:$C$130=$B39)*Inputs!$D$5:$D$130*(((Inputs!$G$5:$G$130="moeda")+(Inputs!$G$5:$G$130="acoes"))*Inputs!$B$1+((Inputs!$G$5:$G$130&lt;&gt;"moeda")*(Inputs!$G$5:$G$130&lt;&gt;"acoes")))*INDEX(Inputs!$K$5:$AJ$130,0,MATCH(X$2,Inputs!$K$4:$AJ$4,0)))+SUMPRODUCT((Inputs!$E$5:$E$130=$B39)*Inputs!$F$5:$F$130*(((Inputs!$G$5:$G$130="moeda")+(Inputs!$G$5:$G$130="acoes"))*Inputs!$B$1+((Inputs!$G$5:$G$130&lt;&gt;"moeda")*(Inputs!$G$5:$G$130&lt;&gt;"acoes")))*INDEX(Inputs!$K$5:$AJ$130,0,MATCH(X$2,Inputs!$K$4:$AJ$4,0)))))</f>
        <v>0</v>
      </c>
      <c r="Y39" s="6">
        <f>IF(ISNA(MATCH(Y$2,Inputs!$K$4:$AJ$4,0)),NA(),IF(SUMPRODUCT((Inputs!$A$5:$A$130=$B39)*ISNUMBER(INDEX(Inputs!$K$5:$AJ$130,0,MATCH(Y$2,Inputs!$K$4:$AJ$4,0))))+SUMPRODUCT((Inputs!$C$5:$C$130=$B39)*ISNUMBER(INDEX(Inputs!$K$5:$AJ$130,0,MATCH(Y$2,Inputs!$K$4:$AJ$4,0))))+SUMPRODUCT((Inputs!$E$5:$E$130=$B39)*ISNUMBER(INDEX(Inputs!$K$5:$AJ$130,0,MATCH(Y$2,Inputs!$K$4:$AJ$4,0))))=0,NA(),SUMPRODUCT((Inputs!$A$5:$A$130=$B39)*Inputs!$B$5:$B$130*(((Inputs!$G$5:$G$130="moeda")+(Inputs!$G$5:$G$130="acoes"))*Inputs!$B$1+((Inputs!$G$5:$G$130&lt;&gt;"moeda")*(Inputs!$G$5:$G$130&lt;&gt;"acoes")))*INDEX(Inputs!$K$5:$AJ$130,0,MATCH(Y$2,Inputs!$K$4:$AJ$4,0)))+SUMPRODUCT((Inputs!$C$5:$C$130=$B39)*Inputs!$D$5:$D$130*(((Inputs!$G$5:$G$130="moeda")+(Inputs!$G$5:$G$130="acoes"))*Inputs!$B$1+((Inputs!$G$5:$G$130&lt;&gt;"moeda")*(Inputs!$G$5:$G$130&lt;&gt;"acoes")))*INDEX(Inputs!$K$5:$AJ$130,0,MATCH(Y$2,Inputs!$K$4:$AJ$4,0)))+SUMPRODUCT((Inputs!$E$5:$E$130=$B39)*Inputs!$F$5:$F$130*(((Inputs!$G$5:$G$130="moeda")+(Inputs!$G$5:$G$130="acoes"))*Inputs!$B$1+((Inputs!$G$5:$G$130&lt;&gt;"moeda")*(Inputs!$G$5:$G$130&lt;&gt;"acoes")))*INDEX(Inputs!$K$5:$AJ$130,0,MATCH(Y$2,Inputs!$K$4:$AJ$4,0)))))</f>
        <v>0</v>
      </c>
      <c r="Z39" s="6">
        <f>IF(ISNA(MATCH(Z$2,Inputs!$K$4:$AJ$4,0)),NA(),IF(SUMPRODUCT((Inputs!$A$5:$A$130=$B39)*ISNUMBER(INDEX(Inputs!$K$5:$AJ$130,0,MATCH(Z$2,Inputs!$K$4:$AJ$4,0))))+SUMPRODUCT((Inputs!$C$5:$C$130=$B39)*ISNUMBER(INDEX(Inputs!$K$5:$AJ$130,0,MATCH(Z$2,Inputs!$K$4:$AJ$4,0))))+SUMPRODUCT((Inputs!$E$5:$E$130=$B39)*ISNUMBER(INDEX(Inputs!$K$5:$AJ$130,0,MATCH(Z$2,Inputs!$K$4:$AJ$4,0))))=0,NA(),SUMPRODUCT((Inputs!$A$5:$A$130=$B39)*Inputs!$B$5:$B$130*(((Inputs!$G$5:$G$130="moeda")+(Inputs!$G$5:$G$130="acoes"))*Inputs!$B$1+((Inputs!$G$5:$G$130&lt;&gt;"moeda")*(Inputs!$G$5:$G$130&lt;&gt;"acoes")))*INDEX(Inputs!$K$5:$AJ$130,0,MATCH(Z$2,Inputs!$K$4:$AJ$4,0)))+SUMPRODUCT((Inputs!$C$5:$C$130=$B39)*Inputs!$D$5:$D$130*(((Inputs!$G$5:$G$130="moeda")+(Inputs!$G$5:$G$130="acoes"))*Inputs!$B$1+((Inputs!$G$5:$G$130&lt;&gt;"moeda")*(Inputs!$G$5:$G$130&lt;&gt;"acoes")))*INDEX(Inputs!$K$5:$AJ$130,0,MATCH(Z$2,Inputs!$K$4:$AJ$4,0)))+SUMPRODUCT((Inputs!$E$5:$E$130=$B39)*Inputs!$F$5:$F$130*(((Inputs!$G$5:$G$130="moeda")+(Inputs!$G$5:$G$130="acoes"))*Inputs!$B$1+((Inputs!$G$5:$G$130&lt;&gt;"moeda")*(Inputs!$G$5:$G$130&lt;&gt;"acoes")))*INDEX(Inputs!$K$5:$AJ$130,0,MATCH(Z$2,Inputs!$K$4:$AJ$4,0)))))</f>
        <v>0</v>
      </c>
      <c r="AA39" s="6">
        <f>IF(ISNA(MATCH(AA$2,Inputs!$K$4:$AJ$4,0)),NA(),IF(SUMPRODUCT((Inputs!$A$5:$A$130=$B39)*ISNUMBER(INDEX(Inputs!$K$5:$AJ$130,0,MATCH(AA$2,Inputs!$K$4:$AJ$4,0))))+SUMPRODUCT((Inputs!$C$5:$C$130=$B39)*ISNUMBER(INDEX(Inputs!$K$5:$AJ$130,0,MATCH(AA$2,Inputs!$K$4:$AJ$4,0))))+SUMPRODUCT((Inputs!$E$5:$E$130=$B39)*ISNUMBER(INDEX(Inputs!$K$5:$AJ$130,0,MATCH(AA$2,Inputs!$K$4:$AJ$4,0))))=0,NA(),SUMPRODUCT((Inputs!$A$5:$A$130=$B39)*Inputs!$B$5:$B$130*(((Inputs!$G$5:$G$130="moeda")+(Inputs!$G$5:$G$130="acoes"))*Inputs!$B$1+((Inputs!$G$5:$G$130&lt;&gt;"moeda")*(Inputs!$G$5:$G$130&lt;&gt;"acoes")))*INDEX(Inputs!$K$5:$AJ$130,0,MATCH(AA$2,Inputs!$K$4:$AJ$4,0)))+SUMPRODUCT((Inputs!$C$5:$C$130=$B39)*Inputs!$D$5:$D$130*(((Inputs!$G$5:$G$130="moeda")+(Inputs!$G$5:$G$130="acoes"))*Inputs!$B$1+((Inputs!$G$5:$G$130&lt;&gt;"moeda")*(Inputs!$G$5:$G$130&lt;&gt;"acoes")))*INDEX(Inputs!$K$5:$AJ$130,0,MATCH(AA$2,Inputs!$K$4:$AJ$4,0)))+SUMPRODUCT((Inputs!$E$5:$E$130=$B39)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9" s="3">
        <f>AA39</f>
        <v>0</v>
      </c>
      <c r="AC39" s="6">
        <f>IF(ISNA(MATCH(AC$2,Inputs!$K$4:$AJ$4,0)),NA(),IF(SUMPRODUCT((Inputs!$A$5:$A$130=$B39)*ISNUMBER(INDEX(Inputs!$K$5:$AJ$130,0,MATCH(AC$2,Inputs!$K$4:$AJ$4,0))))+SUMPRODUCT((Inputs!$C$5:$C$130=$B39)*ISNUMBER(INDEX(Inputs!$K$5:$AJ$130,0,MATCH(AC$2,Inputs!$K$4:$AJ$4,0))))+SUMPRODUCT((Inputs!$E$5:$E$130=$B39)*ISNUMBER(INDEX(Inputs!$K$5:$AJ$130,0,MATCH(AC$2,Inputs!$K$4:$AJ$4,0))))=0,NA(),SUMPRODUCT((Inputs!$A$5:$A$130=$B39)*Inputs!$B$5:$B$130*(((Inputs!$G$5:$G$130="moeda")+(Inputs!$G$5:$G$130="acoes"))*Inputs!$B$1+((Inputs!$G$5:$G$130&lt;&gt;"moeda")*(Inputs!$G$5:$G$130&lt;&gt;"acoes")))*INDEX(Inputs!$K$5:$AJ$130,0,MATCH(AC$2,Inputs!$K$4:$AJ$4,0)))+SUMPRODUCT((Inputs!$C$5:$C$130=$B39)*Inputs!$D$5:$D$130*(((Inputs!$G$5:$G$130="moeda")+(Inputs!$G$5:$G$130="acoes"))*Inputs!$B$1+((Inputs!$G$5:$G$130&lt;&gt;"moeda")*(Inputs!$G$5:$G$130&lt;&gt;"acoes")))*INDEX(Inputs!$K$5:$AJ$130,0,MATCH(AC$2,Inputs!$K$4:$AJ$4,0)))+SUMPRODUCT((Inputs!$E$5:$E$130=$B39)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9" s="6">
        <f>IF(ISNA(MATCH(AD$2,Inputs!$K$4:$AJ$4,0)),NA(),IF(SUMPRODUCT((Inputs!$A$5:$A$130=$B39)*ISNUMBER(INDEX(Inputs!$K$5:$AJ$130,0,MATCH(AD$2,Inputs!$K$4:$AJ$4,0))))+SUMPRODUCT((Inputs!$C$5:$C$130=$B39)*ISNUMBER(INDEX(Inputs!$K$5:$AJ$130,0,MATCH(AD$2,Inputs!$K$4:$AJ$4,0))))+SUMPRODUCT((Inputs!$E$5:$E$130=$B39)*ISNUMBER(INDEX(Inputs!$K$5:$AJ$130,0,MATCH(AD$2,Inputs!$K$4:$AJ$4,0))))=0,NA(),SUMPRODUCT((Inputs!$A$5:$A$130=$B39)*Inputs!$B$5:$B$130*(((Inputs!$G$5:$G$130="moeda")+(Inputs!$G$5:$G$130="acoes"))*Inputs!$B$1+((Inputs!$G$5:$G$130&lt;&gt;"moeda")*(Inputs!$G$5:$G$130&lt;&gt;"acoes")))*INDEX(Inputs!$K$5:$AJ$130,0,MATCH(AD$2,Inputs!$K$4:$AJ$4,0)))+SUMPRODUCT((Inputs!$C$5:$C$130=$B39)*Inputs!$D$5:$D$130*(((Inputs!$G$5:$G$130="moeda")+(Inputs!$G$5:$G$130="acoes"))*Inputs!$B$1+((Inputs!$G$5:$G$130&lt;&gt;"moeda")*(Inputs!$G$5:$G$130&lt;&gt;"acoes")))*INDEX(Inputs!$K$5:$AJ$130,0,MATCH(AD$2,Inputs!$K$4:$AJ$4,0)))+SUMPRODUCT((Inputs!$E$5:$E$130=$B39)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9" s="6" t="e">
        <f>IF(ISNA(MATCH(AE$2,Inputs!$K$4:$AJ$4,0)),NA(),IF(SUMPRODUCT((Inputs!$A$5:$A$130=$B39)*ISNUMBER(INDEX(Inputs!$K$5:$AJ$130,0,MATCH(AE$2,Inputs!$K$4:$AJ$4,0))))+SUMPRODUCT((Inputs!$C$5:$C$130=$B39)*ISNUMBER(INDEX(Inputs!$K$5:$AJ$130,0,MATCH(AE$2,Inputs!$K$4:$AJ$4,0))))+SUMPRODUCT((Inputs!$E$5:$E$130=$B39)*ISNUMBER(INDEX(Inputs!$K$5:$AJ$130,0,MATCH(AE$2,Inputs!$K$4:$AJ$4,0))))=0,NA(),SUMPRODUCT((Inputs!$A$5:$A$130=$B39)*Inputs!$B$5:$B$130*(((Inputs!$G$5:$G$130="moeda")+(Inputs!$G$5:$G$130="acoes"))*Inputs!$B$1+((Inputs!$G$5:$G$130&lt;&gt;"moeda")*(Inputs!$G$5:$G$130&lt;&gt;"acoes")))*INDEX(Inputs!$K$5:$AJ$130,0,MATCH(AE$2,Inputs!$K$4:$AJ$4,0)))+SUMPRODUCT((Inputs!$C$5:$C$130=$B39)*Inputs!$D$5:$D$130*(((Inputs!$G$5:$G$130="moeda")+(Inputs!$G$5:$G$130="acoes"))*Inputs!$B$1+((Inputs!$G$5:$G$130&lt;&gt;"moeda")*(Inputs!$G$5:$G$130&lt;&gt;"acoes")))*INDEX(Inputs!$K$5:$AJ$130,0,MATCH(AE$2,Inputs!$K$4:$AJ$4,0)))+SUMPRODUCT((Inputs!$E$5:$E$130=$B39)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9" s="6" t="e">
        <f>IF(ISNA(MATCH(AF$2,Inputs!$K$4:$AJ$4,0)),NA(),IF(SUMPRODUCT((Inputs!$A$5:$A$130=$B39)*ISNUMBER(INDEX(Inputs!$K$5:$AJ$130,0,MATCH(AF$2,Inputs!$K$4:$AJ$4,0))))+SUMPRODUCT((Inputs!$C$5:$C$130=$B39)*ISNUMBER(INDEX(Inputs!$K$5:$AJ$130,0,MATCH(AF$2,Inputs!$K$4:$AJ$4,0))))+SUMPRODUCT((Inputs!$E$5:$E$130=$B39)*ISNUMBER(INDEX(Inputs!$K$5:$AJ$130,0,MATCH(AF$2,Inputs!$K$4:$AJ$4,0))))=0,NA(),SUMPRODUCT((Inputs!$A$5:$A$130=$B39)*Inputs!$B$5:$B$130*(((Inputs!$G$5:$G$130="moeda")+(Inputs!$G$5:$G$130="acoes"))*Inputs!$B$1+((Inputs!$G$5:$G$130&lt;&gt;"moeda")*(Inputs!$G$5:$G$130&lt;&gt;"acoes")))*INDEX(Inputs!$K$5:$AJ$130,0,MATCH(AF$2,Inputs!$K$4:$AJ$4,0)))+SUMPRODUCT((Inputs!$C$5:$C$130=$B39)*Inputs!$D$5:$D$130*(((Inputs!$G$5:$G$130="moeda")+(Inputs!$G$5:$G$130="acoes"))*Inputs!$B$1+((Inputs!$G$5:$G$130&lt;&gt;"moeda")*(Inputs!$G$5:$G$130&lt;&gt;"acoes")))*INDEX(Inputs!$K$5:$AJ$130,0,MATCH(AF$2,Inputs!$K$4:$AJ$4,0)))+SUMPRODUCT((Inputs!$E$5:$E$130=$B39)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9" s="3" t="e">
        <f>AF39</f>
        <v>#N/A</v>
      </c>
      <c r="AH39" s="6">
        <f>IF(ISNA(MATCH(AH$2,Inputs!$K$4:$AJ$4,0)),NA(),IF(SUMPRODUCT((Inputs!$A$5:$A$130=$B39)*ISNUMBER(INDEX(Inputs!$K$5:$AJ$130,0,MATCH(AH$2,Inputs!$K$4:$AJ$4,0))))+SUMPRODUCT((Inputs!$C$5:$C$130=$B39)*ISNUMBER(INDEX(Inputs!$K$5:$AJ$130,0,MATCH(AH$2,Inputs!$K$4:$AJ$4,0))))+SUMPRODUCT((Inputs!$E$5:$E$130=$B39)*ISNUMBER(INDEX(Inputs!$K$5:$AJ$130,0,MATCH(AH$2,Inputs!$K$4:$AJ$4,0))))=0,NA(),SUMPRODUCT((Inputs!$A$5:$A$130=$B39)*Inputs!$B$5:$B$130*(((Inputs!$G$5:$G$130="moeda")+(Inputs!$G$5:$G$130="acoes"))*Inputs!$B$1+((Inputs!$G$5:$G$130&lt;&gt;"moeda")*(Inputs!$G$5:$G$130&lt;&gt;"acoes")))*INDEX(Inputs!$K$5:$AJ$130,0,MATCH(AH$2,Inputs!$K$4:$AJ$4,0)))+SUMPRODUCT((Inputs!$C$5:$C$130=$B39)*Inputs!$D$5:$D$130*(((Inputs!$G$5:$G$130="moeda")+(Inputs!$G$5:$G$130="acoes"))*Inputs!$B$1+((Inputs!$G$5:$G$130&lt;&gt;"moeda")*(Inputs!$G$5:$G$130&lt;&gt;"acoes")))*INDEX(Inputs!$K$5:$AJ$130,0,MATCH(AH$2,Inputs!$K$4:$AJ$4,0)))+SUMPRODUCT((Inputs!$E$5:$E$130=$B39)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9" s="6">
        <f>IF(ISNA(MATCH(AI$2,Inputs!$K$4:$AJ$4,0)),NA(),IF(SUMPRODUCT((Inputs!$A$5:$A$130=$B39)*ISNUMBER(INDEX(Inputs!$K$5:$AJ$130,0,MATCH(AI$2,Inputs!$K$4:$AJ$4,0))))+SUMPRODUCT((Inputs!$C$5:$C$130=$B39)*ISNUMBER(INDEX(Inputs!$K$5:$AJ$130,0,MATCH(AI$2,Inputs!$K$4:$AJ$4,0))))+SUMPRODUCT((Inputs!$E$5:$E$130=$B39)*ISNUMBER(INDEX(Inputs!$K$5:$AJ$130,0,MATCH(AI$2,Inputs!$K$4:$AJ$4,0))))=0,NA(),SUMPRODUCT((Inputs!$A$5:$A$130=$B39)*Inputs!$B$5:$B$130*(((Inputs!$G$5:$G$130="moeda")+(Inputs!$G$5:$G$130="acoes"))*Inputs!$B$1+((Inputs!$G$5:$G$130&lt;&gt;"moeda")*(Inputs!$G$5:$G$130&lt;&gt;"acoes")))*INDEX(Inputs!$K$5:$AJ$130,0,MATCH(AI$2,Inputs!$K$4:$AJ$4,0)))+SUMPRODUCT((Inputs!$C$5:$C$130=$B39)*Inputs!$D$5:$D$130*(((Inputs!$G$5:$G$130="moeda")+(Inputs!$G$5:$G$130="acoes"))*Inputs!$B$1+((Inputs!$G$5:$G$130&lt;&gt;"moeda")*(Inputs!$G$5:$G$130&lt;&gt;"acoes")))*INDEX(Inputs!$K$5:$AJ$130,0,MATCH(AI$2,Inputs!$K$4:$AJ$4,0)))+SUMPRODUCT((Inputs!$E$5:$E$130=$B39)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9" s="6">
        <f>IF(ISNA(MATCH(AJ$2,Inputs!$K$4:$AJ$4,0)),NA(),IF(SUMPRODUCT((Inputs!$A$5:$A$130=$B39)*ISNUMBER(INDEX(Inputs!$K$5:$AJ$130,0,MATCH(AJ$2,Inputs!$K$4:$AJ$4,0))))+SUMPRODUCT((Inputs!$C$5:$C$130=$B39)*ISNUMBER(INDEX(Inputs!$K$5:$AJ$130,0,MATCH(AJ$2,Inputs!$K$4:$AJ$4,0))))+SUMPRODUCT((Inputs!$E$5:$E$130=$B39)*ISNUMBER(INDEX(Inputs!$K$5:$AJ$130,0,MATCH(AJ$2,Inputs!$K$4:$AJ$4,0))))=0,NA(),SUMPRODUCT((Inputs!$A$5:$A$130=$B39)*Inputs!$B$5:$B$130*(((Inputs!$G$5:$G$130="moeda")+(Inputs!$G$5:$G$130="acoes"))*Inputs!$B$1+((Inputs!$G$5:$G$130&lt;&gt;"moeda")*(Inputs!$G$5:$G$130&lt;&gt;"acoes")))*INDEX(Inputs!$K$5:$AJ$130,0,MATCH(AJ$2,Inputs!$K$4:$AJ$4,0)))+SUMPRODUCT((Inputs!$C$5:$C$130=$B39)*Inputs!$D$5:$D$130*(((Inputs!$G$5:$G$130="moeda")+(Inputs!$G$5:$G$130="acoes"))*Inputs!$B$1+((Inputs!$G$5:$G$130&lt;&gt;"moeda")*(Inputs!$G$5:$G$130&lt;&gt;"acoes")))*INDEX(Inputs!$K$5:$AJ$130,0,MATCH(AJ$2,Inputs!$K$4:$AJ$4,0)))+SUMPRODUCT((Inputs!$E$5:$E$130=$B39)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9" s="6">
        <f>IF(ISNA(MATCH(AK$2,Inputs!$K$4:$AJ$4,0)),NA(),IF(SUMPRODUCT((Inputs!$A$5:$A$130=$B39)*ISNUMBER(INDEX(Inputs!$K$5:$AJ$130,0,MATCH(AK$2,Inputs!$K$4:$AJ$4,0))))+SUMPRODUCT((Inputs!$C$5:$C$130=$B39)*ISNUMBER(INDEX(Inputs!$K$5:$AJ$130,0,MATCH(AK$2,Inputs!$K$4:$AJ$4,0))))+SUMPRODUCT((Inputs!$E$5:$E$130=$B39)*ISNUMBER(INDEX(Inputs!$K$5:$AJ$130,0,MATCH(AK$2,Inputs!$K$4:$AJ$4,0))))=0,NA(),SUMPRODUCT((Inputs!$A$5:$A$130=$B39)*Inputs!$B$5:$B$130*(((Inputs!$G$5:$G$130="moeda")+(Inputs!$G$5:$G$130="acoes"))*Inputs!$B$1+((Inputs!$G$5:$G$130&lt;&gt;"moeda")*(Inputs!$G$5:$G$130&lt;&gt;"acoes")))*INDEX(Inputs!$K$5:$AJ$130,0,MATCH(AK$2,Inputs!$K$4:$AJ$4,0)))+SUMPRODUCT((Inputs!$C$5:$C$130=$B39)*Inputs!$D$5:$D$130*(((Inputs!$G$5:$G$130="moeda")+(Inputs!$G$5:$G$130="acoes"))*Inputs!$B$1+((Inputs!$G$5:$G$130&lt;&gt;"moeda")*(Inputs!$G$5:$G$130&lt;&gt;"acoes")))*INDEX(Inputs!$K$5:$AJ$130,0,MATCH(AK$2,Inputs!$K$4:$AJ$4,0)))+SUMPRODUCT((Inputs!$E$5:$E$130=$B39)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9" s="3">
        <f>AK39</f>
        <v>0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$130=$B41)*ISNUMBER(INDEX(Inputs!$K$5:$AJ$130,0,MATCH(D$2,Inputs!$K$4:$AJ$4,0))))+SUMPRODUCT((Inputs!$C$5:$C$130=$B41)*ISNUMBER(INDEX(Inputs!$K$5:$AJ$130,0,MATCH(D$2,Inputs!$K$4:$AJ$4,0))))+SUMPRODUCT((Inputs!$E$5:$E$130=$B41)*ISNUMBER(INDEX(Inputs!$K$5:$AJ$130,0,MATCH(D$2,Inputs!$K$4:$AJ$4,0))))=0,NA(),SUMPRODUCT((Inputs!$A$5:$A$130=$B41)*Inputs!$B$5:$B$130*(((Inputs!$G$5:$G$130="moeda")+(Inputs!$G$5:$G$130="acoes"))*Inputs!$B$1+((Inputs!$G$5:$G$130&lt;&gt;"moeda")*(Inputs!$G$5:$G$130&lt;&gt;"acoes")))*INDEX(Inputs!$K$5:$AJ$130,0,MATCH(D$2,Inputs!$K$4:$AJ$4,0)))+SUMPRODUCT((Inputs!$C$5:$C$130=$B41)*Inputs!$D$5:$D$130*(((Inputs!$G$5:$G$130="moeda")+(Inputs!$G$5:$G$130="acoes"))*Inputs!$B$1+((Inputs!$G$5:$G$130&lt;&gt;"moeda")*(Inputs!$G$5:$G$130&lt;&gt;"acoes")))*INDEX(Inputs!$K$5:$AJ$130,0,MATCH(D$2,Inputs!$K$4:$AJ$4,0)))+SUMPRODUCT((Inputs!$E$5:$E$130=$B41)*Inputs!$F$5:$F$130*(((Inputs!$G$5:$G$130="moeda")+(Inputs!$G$5:$G$130="acoes"))*Inputs!$B$1+((Inputs!$G$5:$G$130&lt;&gt;"moeda")*(Inputs!$G$5:$G$130&lt;&gt;"acoes")))*INDEX(Inputs!$K$5:$AJ$130,0,MATCH(D$2,Inputs!$K$4:$AJ$4,0)))))</f>
        <v>4</v>
      </c>
      <c r="E41" s="6">
        <f>IF(ISNA(MATCH(E$2,Inputs!$K$4:$AJ$4,0)),NA(),IF(SUMPRODUCT((Inputs!$A$5:$A$130=$B41)*ISNUMBER(INDEX(Inputs!$K$5:$AJ$130,0,MATCH(E$2,Inputs!$K$4:$AJ$4,0))))+SUMPRODUCT((Inputs!$C$5:$C$130=$B41)*ISNUMBER(INDEX(Inputs!$K$5:$AJ$130,0,MATCH(E$2,Inputs!$K$4:$AJ$4,0))))+SUMPRODUCT((Inputs!$E$5:$E$130=$B41)*ISNUMBER(INDEX(Inputs!$K$5:$AJ$130,0,MATCH(E$2,Inputs!$K$4:$AJ$4,0))))=0,NA(),SUMPRODUCT((Inputs!$A$5:$A$130=$B41)*Inputs!$B$5:$B$130*(((Inputs!$G$5:$G$130="moeda")+(Inputs!$G$5:$G$130="acoes"))*Inputs!$B$1+((Inputs!$G$5:$G$130&lt;&gt;"moeda")*(Inputs!$G$5:$G$130&lt;&gt;"acoes")))*INDEX(Inputs!$K$5:$AJ$130,0,MATCH(E$2,Inputs!$K$4:$AJ$4,0)))+SUMPRODUCT((Inputs!$C$5:$C$130=$B41)*Inputs!$D$5:$D$130*(((Inputs!$G$5:$G$130="moeda")+(Inputs!$G$5:$G$130="acoes"))*Inputs!$B$1+((Inputs!$G$5:$G$130&lt;&gt;"moeda")*(Inputs!$G$5:$G$130&lt;&gt;"acoes")))*INDEX(Inputs!$K$5:$AJ$130,0,MATCH(E$2,Inputs!$K$4:$AJ$4,0)))+SUMPRODUCT((Inputs!$E$5:$E$130=$B41)*Inputs!$F$5:$F$130*(((Inputs!$G$5:$G$130="moeda")+(Inputs!$G$5:$G$130="acoes"))*Inputs!$B$1+((Inputs!$G$5:$G$130&lt;&gt;"moeda")*(Inputs!$G$5:$G$130&lt;&gt;"acoes")))*INDEX(Inputs!$K$5:$AJ$130,0,MATCH(E$2,Inputs!$K$4:$AJ$4,0)))))</f>
        <v>2</v>
      </c>
      <c r="F41" s="6">
        <f>IF(ISNA(MATCH(F$2,Inputs!$K$4:$AJ$4,0)),NA(),IF(SUMPRODUCT((Inputs!$A$5:$A$130=$B41)*ISNUMBER(INDEX(Inputs!$K$5:$AJ$130,0,MATCH(F$2,Inputs!$K$4:$AJ$4,0))))+SUMPRODUCT((Inputs!$C$5:$C$130=$B41)*ISNUMBER(INDEX(Inputs!$K$5:$AJ$130,0,MATCH(F$2,Inputs!$K$4:$AJ$4,0))))+SUMPRODUCT((Inputs!$E$5:$E$130=$B41)*ISNUMBER(INDEX(Inputs!$K$5:$AJ$130,0,MATCH(F$2,Inputs!$K$4:$AJ$4,0))))=0,NA(),SUMPRODUCT((Inputs!$A$5:$A$130=$B41)*Inputs!$B$5:$B$130*(((Inputs!$G$5:$G$130="moeda")+(Inputs!$G$5:$G$130="acoes"))*Inputs!$B$1+((Inputs!$G$5:$G$130&lt;&gt;"moeda")*(Inputs!$G$5:$G$130&lt;&gt;"acoes")))*INDEX(Inputs!$K$5:$AJ$130,0,MATCH(F$2,Inputs!$K$4:$AJ$4,0)))+SUMPRODUCT((Inputs!$C$5:$C$130=$B41)*Inputs!$D$5:$D$130*(((Inputs!$G$5:$G$130="moeda")+(Inputs!$G$5:$G$130="acoes"))*Inputs!$B$1+((Inputs!$G$5:$G$130&lt;&gt;"moeda")*(Inputs!$G$5:$G$130&lt;&gt;"acoes")))*INDEX(Inputs!$K$5:$AJ$130,0,MATCH(F$2,Inputs!$K$4:$AJ$4,0)))+SUMPRODUCT((Inputs!$E$5:$E$130=$B41)*Inputs!$F$5:$F$130*(((Inputs!$G$5:$G$130="moeda")+(Inputs!$G$5:$G$130="acoes"))*Inputs!$B$1+((Inputs!$G$5:$G$130&lt;&gt;"moeda")*(Inputs!$G$5:$G$130&lt;&gt;"acoes")))*INDEX(Inputs!$K$5:$AJ$130,0,MATCH(F$2,Inputs!$K$4:$AJ$4,0)))))</f>
        <v>3</v>
      </c>
      <c r="G41" s="6">
        <f>IF(ISNA(MATCH(G$2,Inputs!$K$4:$AJ$4,0)),NA(),IF(SUMPRODUCT((Inputs!$A$5:$A$130=$B41)*ISNUMBER(INDEX(Inputs!$K$5:$AJ$130,0,MATCH(G$2,Inputs!$K$4:$AJ$4,0))))+SUMPRODUCT((Inputs!$C$5:$C$130=$B41)*ISNUMBER(INDEX(Inputs!$K$5:$AJ$130,0,MATCH(G$2,Inputs!$K$4:$AJ$4,0))))+SUMPRODUCT((Inputs!$E$5:$E$130=$B41)*ISNUMBER(INDEX(Inputs!$K$5:$AJ$130,0,MATCH(G$2,Inputs!$K$4:$AJ$4,0))))=0,NA(),SUMPRODUCT((Inputs!$A$5:$A$130=$B41)*Inputs!$B$5:$B$130*(((Inputs!$G$5:$G$130="moeda")+(Inputs!$G$5:$G$130="acoes"))*Inputs!$B$1+((Inputs!$G$5:$G$130&lt;&gt;"moeda")*(Inputs!$G$5:$G$130&lt;&gt;"acoes")))*INDEX(Inputs!$K$5:$AJ$130,0,MATCH(G$2,Inputs!$K$4:$AJ$4,0)))+SUMPRODUCT((Inputs!$C$5:$C$130=$B41)*Inputs!$D$5:$D$130*(((Inputs!$G$5:$G$130="moeda")+(Inputs!$G$5:$G$130="acoes"))*Inputs!$B$1+((Inputs!$G$5:$G$130&lt;&gt;"moeda")*(Inputs!$G$5:$G$130&lt;&gt;"acoes")))*INDEX(Inputs!$K$5:$AJ$130,0,MATCH(G$2,Inputs!$K$4:$AJ$4,0)))+SUMPRODUCT((Inputs!$E$5:$E$130=$B41)*Inputs!$F$5:$F$130*(((Inputs!$G$5:$G$130="moeda")+(Inputs!$G$5:$G$130="acoes"))*Inputs!$B$1+((Inputs!$G$5:$G$130&lt;&gt;"moeda")*(Inputs!$G$5:$G$130&lt;&gt;"acoes")))*INDEX(Inputs!$K$5:$AJ$130,0,MATCH(G$2,Inputs!$K$4:$AJ$4,0)))))</f>
        <v>4</v>
      </c>
      <c r="H41" s="3">
        <f>G41</f>
        <v>4</v>
      </c>
      <c r="I41" s="6">
        <f>IF(ISNA(MATCH(I$2,Inputs!$K$4:$AJ$4,0)),NA(),IF(SUMPRODUCT((Inputs!$A$5:$A$130=$B41)*ISNUMBER(INDEX(Inputs!$K$5:$AJ$130,0,MATCH(I$2,Inputs!$K$4:$AJ$4,0))))+SUMPRODUCT((Inputs!$C$5:$C$130=$B41)*ISNUMBER(INDEX(Inputs!$K$5:$AJ$130,0,MATCH(I$2,Inputs!$K$4:$AJ$4,0))))+SUMPRODUCT((Inputs!$E$5:$E$130=$B41)*ISNUMBER(INDEX(Inputs!$K$5:$AJ$130,0,MATCH(I$2,Inputs!$K$4:$AJ$4,0))))=0,NA(),SUMPRODUCT((Inputs!$A$5:$A$130=$B41)*Inputs!$B$5:$B$130*(((Inputs!$G$5:$G$130="moeda")+(Inputs!$G$5:$G$130="acoes"))*Inputs!$B$1+((Inputs!$G$5:$G$130&lt;&gt;"moeda")*(Inputs!$G$5:$G$130&lt;&gt;"acoes")))*INDEX(Inputs!$K$5:$AJ$130,0,MATCH(I$2,Inputs!$K$4:$AJ$4,0)))+SUMPRODUCT((Inputs!$C$5:$C$130=$B41)*Inputs!$D$5:$D$130*(((Inputs!$G$5:$G$130="moeda")+(Inputs!$G$5:$G$130="acoes"))*Inputs!$B$1+((Inputs!$G$5:$G$130&lt;&gt;"moeda")*(Inputs!$G$5:$G$130&lt;&gt;"acoes")))*INDEX(Inputs!$K$5:$AJ$130,0,MATCH(I$2,Inputs!$K$4:$AJ$4,0)))+SUMPRODUCT((Inputs!$E$5:$E$130=$B41)*Inputs!$F$5:$F$130*(((Inputs!$G$5:$G$130="moeda")+(Inputs!$G$5:$G$130="acoes"))*Inputs!$B$1+((Inputs!$G$5:$G$130&lt;&gt;"moeda")*(Inputs!$G$5:$G$130&lt;&gt;"acoes")))*INDEX(Inputs!$K$5:$AJ$130,0,MATCH(I$2,Inputs!$K$4:$AJ$4,0)))))</f>
        <v>102</v>
      </c>
      <c r="J41" s="6">
        <f>IF(ISNA(MATCH(J$2,Inputs!$K$4:$AJ$4,0)),NA(),IF(SUMPRODUCT((Inputs!$A$5:$A$130=$B41)*ISNUMBER(INDEX(Inputs!$K$5:$AJ$130,0,MATCH(J$2,Inputs!$K$4:$AJ$4,0))))+SUMPRODUCT((Inputs!$C$5:$C$130=$B41)*ISNUMBER(INDEX(Inputs!$K$5:$AJ$130,0,MATCH(J$2,Inputs!$K$4:$AJ$4,0))))+SUMPRODUCT((Inputs!$E$5:$E$130=$B41)*ISNUMBER(INDEX(Inputs!$K$5:$AJ$130,0,MATCH(J$2,Inputs!$K$4:$AJ$4,0))))=0,NA(),SUMPRODUCT((Inputs!$A$5:$A$130=$B41)*Inputs!$B$5:$B$130*(((Inputs!$G$5:$G$130="moeda")+(Inputs!$G$5:$G$130="acoes"))*Inputs!$B$1+((Inputs!$G$5:$G$130&lt;&gt;"moeda")*(Inputs!$G$5:$G$130&lt;&gt;"acoes")))*INDEX(Inputs!$K$5:$AJ$130,0,MATCH(J$2,Inputs!$K$4:$AJ$4,0)))+SUMPRODUCT((Inputs!$C$5:$C$130=$B41)*Inputs!$D$5:$D$130*(((Inputs!$G$5:$G$130="moeda")+(Inputs!$G$5:$G$130="acoes"))*Inputs!$B$1+((Inputs!$G$5:$G$130&lt;&gt;"moeda")*(Inputs!$G$5:$G$130&lt;&gt;"acoes")))*INDEX(Inputs!$K$5:$AJ$130,0,MATCH(J$2,Inputs!$K$4:$AJ$4,0)))+SUMPRODUCT((Inputs!$E$5:$E$130=$B41)*Inputs!$F$5:$F$130*(((Inputs!$G$5:$G$130="moeda")+(Inputs!$G$5:$G$130="acoes"))*Inputs!$B$1+((Inputs!$G$5:$G$130&lt;&gt;"moeda")*(Inputs!$G$5:$G$130&lt;&gt;"acoes")))*INDEX(Inputs!$K$5:$AJ$130,0,MATCH(J$2,Inputs!$K$4:$AJ$4,0)))))</f>
        <v>98</v>
      </c>
      <c r="K41" s="6">
        <f>IF(ISNA(MATCH(K$2,Inputs!$K$4:$AJ$4,0)),NA(),IF(SUMPRODUCT((Inputs!$A$5:$A$130=$B41)*ISNUMBER(INDEX(Inputs!$K$5:$AJ$130,0,MATCH(K$2,Inputs!$K$4:$AJ$4,0))))+SUMPRODUCT((Inputs!$C$5:$C$130=$B41)*ISNUMBER(INDEX(Inputs!$K$5:$AJ$130,0,MATCH(K$2,Inputs!$K$4:$AJ$4,0))))+SUMPRODUCT((Inputs!$E$5:$E$130=$B41)*ISNUMBER(INDEX(Inputs!$K$5:$AJ$130,0,MATCH(K$2,Inputs!$K$4:$AJ$4,0))))=0,NA(),SUMPRODUCT((Inputs!$A$5:$A$130=$B41)*Inputs!$B$5:$B$130*(((Inputs!$G$5:$G$130="moeda")+(Inputs!$G$5:$G$130="acoes"))*Inputs!$B$1+((Inputs!$G$5:$G$130&lt;&gt;"moeda")*(Inputs!$G$5:$G$130&lt;&gt;"acoes")))*INDEX(Inputs!$K$5:$AJ$130,0,MATCH(K$2,Inputs!$K$4:$AJ$4,0)))+SUMPRODUCT((Inputs!$C$5:$C$130=$B41)*Inputs!$D$5:$D$130*(((Inputs!$G$5:$G$130="moeda")+(Inputs!$G$5:$G$130="acoes"))*Inputs!$B$1+((Inputs!$G$5:$G$130&lt;&gt;"moeda")*(Inputs!$G$5:$G$130&lt;&gt;"acoes")))*INDEX(Inputs!$K$5:$AJ$130,0,MATCH(K$2,Inputs!$K$4:$AJ$4,0)))+SUMPRODUCT((Inputs!$E$5:$E$130=$B41)*Inputs!$F$5:$F$130*(((Inputs!$G$5:$G$130="moeda")+(Inputs!$G$5:$G$130="acoes"))*Inputs!$B$1+((Inputs!$G$5:$G$130&lt;&gt;"moeda")*(Inputs!$G$5:$G$130&lt;&gt;"acoes")))*INDEX(Inputs!$K$5:$AJ$130,0,MATCH(K$2,Inputs!$K$4:$AJ$4,0)))))</f>
        <v>95</v>
      </c>
      <c r="L41" s="6">
        <f>IF(ISNA(MATCH(L$2,Inputs!$K$4:$AJ$4,0)),NA(),IF(SUMPRODUCT((Inputs!$A$5:$A$130=$B41)*ISNUMBER(INDEX(Inputs!$K$5:$AJ$130,0,MATCH(L$2,Inputs!$K$4:$AJ$4,0))))+SUMPRODUCT((Inputs!$C$5:$C$130=$B41)*ISNUMBER(INDEX(Inputs!$K$5:$AJ$130,0,MATCH(L$2,Inputs!$K$4:$AJ$4,0))))+SUMPRODUCT((Inputs!$E$5:$E$130=$B41)*ISNUMBER(INDEX(Inputs!$K$5:$AJ$130,0,MATCH(L$2,Inputs!$K$4:$AJ$4,0))))=0,NA(),SUMPRODUCT((Inputs!$A$5:$A$130=$B41)*Inputs!$B$5:$B$130*(((Inputs!$G$5:$G$130="moeda")+(Inputs!$G$5:$G$130="acoes"))*Inputs!$B$1+((Inputs!$G$5:$G$130&lt;&gt;"moeda")*(Inputs!$G$5:$G$130&lt;&gt;"acoes")))*INDEX(Inputs!$K$5:$AJ$130,0,MATCH(L$2,Inputs!$K$4:$AJ$4,0)))+SUMPRODUCT((Inputs!$C$5:$C$130=$B41)*Inputs!$D$5:$D$130*(((Inputs!$G$5:$G$130="moeda")+(Inputs!$G$5:$G$130="acoes"))*Inputs!$B$1+((Inputs!$G$5:$G$130&lt;&gt;"moeda")*(Inputs!$G$5:$G$130&lt;&gt;"acoes")))*INDEX(Inputs!$K$5:$AJ$130,0,MATCH(L$2,Inputs!$K$4:$AJ$4,0)))+SUMPRODUCT((Inputs!$E$5:$E$130=$B41)*Inputs!$F$5:$F$130*(((Inputs!$G$5:$G$130="moeda")+(Inputs!$G$5:$G$130="acoes"))*Inputs!$B$1+((Inputs!$G$5:$G$130&lt;&gt;"moeda")*(Inputs!$G$5:$G$130&lt;&gt;"acoes")))*INDEX(Inputs!$K$5:$AJ$130,0,MATCH(L$2,Inputs!$K$4:$AJ$4,0)))))</f>
        <v>104</v>
      </c>
      <c r="M41" s="3">
        <f>L41</f>
        <v>104</v>
      </c>
      <c r="N41" s="6">
        <f>IF(ISNA(MATCH(N$2,Inputs!$K$4:$AJ$4,0)),NA(),IF(SUMPRODUCT((Inputs!$A$5:$A$130=$B41)*ISNUMBER(INDEX(Inputs!$K$5:$AJ$130,0,MATCH(N$2,Inputs!$K$4:$AJ$4,0))))+SUMPRODUCT((Inputs!$C$5:$C$130=$B41)*ISNUMBER(INDEX(Inputs!$K$5:$AJ$130,0,MATCH(N$2,Inputs!$K$4:$AJ$4,0))))+SUMPRODUCT((Inputs!$E$5:$E$130=$B41)*ISNUMBER(INDEX(Inputs!$K$5:$AJ$130,0,MATCH(N$2,Inputs!$K$4:$AJ$4,0))))=0,NA(),SUMPRODUCT((Inputs!$A$5:$A$130=$B41)*Inputs!$B$5:$B$130*(((Inputs!$G$5:$G$130="moeda")+(Inputs!$G$5:$G$130="acoes"))*Inputs!$B$1+((Inputs!$G$5:$G$130&lt;&gt;"moeda")*(Inputs!$G$5:$G$130&lt;&gt;"acoes")))*INDEX(Inputs!$K$5:$AJ$130,0,MATCH(N$2,Inputs!$K$4:$AJ$4,0)))+SUMPRODUCT((Inputs!$C$5:$C$130=$B41)*Inputs!$D$5:$D$130*(((Inputs!$G$5:$G$130="moeda")+(Inputs!$G$5:$G$130="acoes"))*Inputs!$B$1+((Inputs!$G$5:$G$130&lt;&gt;"moeda")*(Inputs!$G$5:$G$130&lt;&gt;"acoes")))*INDEX(Inputs!$K$5:$AJ$130,0,MATCH(N$2,Inputs!$K$4:$AJ$4,0)))+SUMPRODUCT((Inputs!$E$5:$E$130=$B41)*Inputs!$F$5:$F$130*(((Inputs!$G$5:$G$130="moeda")+(Inputs!$G$5:$G$130="acoes"))*Inputs!$B$1+((Inputs!$G$5:$G$130&lt;&gt;"moeda")*(Inputs!$G$5:$G$130&lt;&gt;"acoes")))*INDEX(Inputs!$K$5:$AJ$130,0,MATCH(N$2,Inputs!$K$4:$AJ$4,0)))))</f>
        <v>106</v>
      </c>
      <c r="O41" s="6">
        <f>IF(ISNA(MATCH(O$2,Inputs!$K$4:$AJ$4,0)),NA(),IF(SUMPRODUCT((Inputs!$A$5:$A$130=$B41)*ISNUMBER(INDEX(Inputs!$K$5:$AJ$130,0,MATCH(O$2,Inputs!$K$4:$AJ$4,0))))+SUMPRODUCT((Inputs!$C$5:$C$130=$B41)*ISNUMBER(INDEX(Inputs!$K$5:$AJ$130,0,MATCH(O$2,Inputs!$K$4:$AJ$4,0))))+SUMPRODUCT((Inputs!$E$5:$E$130=$B41)*ISNUMBER(INDEX(Inputs!$K$5:$AJ$130,0,MATCH(O$2,Inputs!$K$4:$AJ$4,0))))=0,NA(),SUMPRODUCT((Inputs!$A$5:$A$130=$B41)*Inputs!$B$5:$B$130*(((Inputs!$G$5:$G$130="moeda")+(Inputs!$G$5:$G$130="acoes"))*Inputs!$B$1+((Inputs!$G$5:$G$130&lt;&gt;"moeda")*(Inputs!$G$5:$G$130&lt;&gt;"acoes")))*INDEX(Inputs!$K$5:$AJ$130,0,MATCH(O$2,Inputs!$K$4:$AJ$4,0)))+SUMPRODUCT((Inputs!$C$5:$C$130=$B41)*Inputs!$D$5:$D$130*(((Inputs!$G$5:$G$130="moeda")+(Inputs!$G$5:$G$130="acoes"))*Inputs!$B$1+((Inputs!$G$5:$G$130&lt;&gt;"moeda")*(Inputs!$G$5:$G$130&lt;&gt;"acoes")))*INDEX(Inputs!$K$5:$AJ$130,0,MATCH(O$2,Inputs!$K$4:$AJ$4,0)))+SUMPRODUCT((Inputs!$E$5:$E$130=$B41)*Inputs!$F$5:$F$130*(((Inputs!$G$5:$G$130="moeda")+(Inputs!$G$5:$G$130="acoes"))*Inputs!$B$1+((Inputs!$G$5:$G$130&lt;&gt;"moeda")*(Inputs!$G$5:$G$130&lt;&gt;"acoes")))*INDEX(Inputs!$K$5:$AJ$130,0,MATCH(O$2,Inputs!$K$4:$AJ$4,0)))))</f>
        <v>104</v>
      </c>
      <c r="P41" s="6">
        <f>IF(ISNA(MATCH(P$2,Inputs!$K$4:$AJ$4,0)),NA(),IF(SUMPRODUCT((Inputs!$A$5:$A$130=$B41)*ISNUMBER(INDEX(Inputs!$K$5:$AJ$130,0,MATCH(P$2,Inputs!$K$4:$AJ$4,0))))+SUMPRODUCT((Inputs!$C$5:$C$130=$B41)*ISNUMBER(INDEX(Inputs!$K$5:$AJ$130,0,MATCH(P$2,Inputs!$K$4:$AJ$4,0))))+SUMPRODUCT((Inputs!$E$5:$E$130=$B41)*ISNUMBER(INDEX(Inputs!$K$5:$AJ$130,0,MATCH(P$2,Inputs!$K$4:$AJ$4,0))))=0,NA(),SUMPRODUCT((Inputs!$A$5:$A$130=$B41)*Inputs!$B$5:$B$130*(((Inputs!$G$5:$G$130="moeda")+(Inputs!$G$5:$G$130="acoes"))*Inputs!$B$1+((Inputs!$G$5:$G$130&lt;&gt;"moeda")*(Inputs!$G$5:$G$130&lt;&gt;"acoes")))*INDEX(Inputs!$K$5:$AJ$130,0,MATCH(P$2,Inputs!$K$4:$AJ$4,0)))+SUMPRODUCT((Inputs!$C$5:$C$130=$B41)*Inputs!$D$5:$D$130*(((Inputs!$G$5:$G$130="moeda")+(Inputs!$G$5:$G$130="acoes"))*Inputs!$B$1+((Inputs!$G$5:$G$130&lt;&gt;"moeda")*(Inputs!$G$5:$G$130&lt;&gt;"acoes")))*INDEX(Inputs!$K$5:$AJ$130,0,MATCH(P$2,Inputs!$K$4:$AJ$4,0)))+SUMPRODUCT((Inputs!$E$5:$E$130=$B41)*Inputs!$F$5:$F$130*(((Inputs!$G$5:$G$130="moeda")+(Inputs!$G$5:$G$130="acoes"))*Inputs!$B$1+((Inputs!$G$5:$G$130&lt;&gt;"moeda")*(Inputs!$G$5:$G$130&lt;&gt;"acoes")))*INDEX(Inputs!$K$5:$AJ$130,0,MATCH(P$2,Inputs!$K$4:$AJ$4,0)))))</f>
        <v>101</v>
      </c>
      <c r="Q41" s="6">
        <f>IF(ISNA(MATCH(Q$2,Inputs!$K$4:$AJ$4,0)),NA(),IF(SUMPRODUCT((Inputs!$A$5:$A$130=$B41)*ISNUMBER(INDEX(Inputs!$K$5:$AJ$130,0,MATCH(Q$2,Inputs!$K$4:$AJ$4,0))))+SUMPRODUCT((Inputs!$C$5:$C$130=$B41)*ISNUMBER(INDEX(Inputs!$K$5:$AJ$130,0,MATCH(Q$2,Inputs!$K$4:$AJ$4,0))))+SUMPRODUCT((Inputs!$E$5:$E$130=$B41)*ISNUMBER(INDEX(Inputs!$K$5:$AJ$130,0,MATCH(Q$2,Inputs!$K$4:$AJ$4,0))))=0,NA(),SUMPRODUCT((Inputs!$A$5:$A$130=$B41)*Inputs!$B$5:$B$130*(((Inputs!$G$5:$G$130="moeda")+(Inputs!$G$5:$G$130="acoes"))*Inputs!$B$1+((Inputs!$G$5:$G$130&lt;&gt;"moeda")*(Inputs!$G$5:$G$130&lt;&gt;"acoes")))*INDEX(Inputs!$K$5:$AJ$130,0,MATCH(Q$2,Inputs!$K$4:$AJ$4,0)))+SUMPRODUCT((Inputs!$C$5:$C$130=$B41)*Inputs!$D$5:$D$130*(((Inputs!$G$5:$G$130="moeda")+(Inputs!$G$5:$G$130="acoes"))*Inputs!$B$1+((Inputs!$G$5:$G$130&lt;&gt;"moeda")*(Inputs!$G$5:$G$130&lt;&gt;"acoes")))*INDEX(Inputs!$K$5:$AJ$130,0,MATCH(Q$2,Inputs!$K$4:$AJ$4,0)))+SUMPRODUCT((Inputs!$E$5:$E$130=$B41)*Inputs!$F$5:$F$130*(((Inputs!$G$5:$G$130="moeda")+(Inputs!$G$5:$G$130="acoes"))*Inputs!$B$1+((Inputs!$G$5:$G$130&lt;&gt;"moeda")*(Inputs!$G$5:$G$130&lt;&gt;"acoes")))*INDEX(Inputs!$K$5:$AJ$130,0,MATCH(Q$2,Inputs!$K$4:$AJ$4,0)))))</f>
        <v>104</v>
      </c>
      <c r="R41" s="3">
        <f>Q41</f>
        <v>104</v>
      </c>
      <c r="S41" s="6">
        <f>IF(ISNA(MATCH(S$2,Inputs!$K$4:$AJ$4,0)),NA(),IF(SUMPRODUCT((Inputs!$A$5:$A$130=$B41)*ISNUMBER(INDEX(Inputs!$K$5:$AJ$130,0,MATCH(S$2,Inputs!$K$4:$AJ$4,0))))+SUMPRODUCT((Inputs!$C$5:$C$130=$B41)*ISNUMBER(INDEX(Inputs!$K$5:$AJ$130,0,MATCH(S$2,Inputs!$K$4:$AJ$4,0))))+SUMPRODUCT((Inputs!$E$5:$E$130=$B41)*ISNUMBER(INDEX(Inputs!$K$5:$AJ$130,0,MATCH(S$2,Inputs!$K$4:$AJ$4,0))))=0,NA(),SUMPRODUCT((Inputs!$A$5:$A$130=$B41)*Inputs!$B$5:$B$130*(((Inputs!$G$5:$G$130="moeda")+(Inputs!$G$5:$G$130="acoes"))*Inputs!$B$1+((Inputs!$G$5:$G$130&lt;&gt;"moeda")*(Inputs!$G$5:$G$130&lt;&gt;"acoes")))*INDEX(Inputs!$K$5:$AJ$130,0,MATCH(S$2,Inputs!$K$4:$AJ$4,0)))+SUMPRODUCT((Inputs!$C$5:$C$130=$B41)*Inputs!$D$5:$D$130*(((Inputs!$G$5:$G$130="moeda")+(Inputs!$G$5:$G$130="acoes"))*Inputs!$B$1+((Inputs!$G$5:$G$130&lt;&gt;"moeda")*(Inputs!$G$5:$G$130&lt;&gt;"acoes")))*INDEX(Inputs!$K$5:$AJ$130,0,MATCH(S$2,Inputs!$K$4:$AJ$4,0)))+SUMPRODUCT((Inputs!$E$5:$E$130=$B41)*Inputs!$F$5:$F$130*(((Inputs!$G$5:$G$130="moeda")+(Inputs!$G$5:$G$130="acoes"))*Inputs!$B$1+((Inputs!$G$5:$G$130&lt;&gt;"moeda")*(Inputs!$G$5:$G$130&lt;&gt;"acoes")))*INDEX(Inputs!$K$5:$AJ$130,0,MATCH(S$2,Inputs!$K$4:$AJ$4,0)))))</f>
        <v>102</v>
      </c>
      <c r="T41" s="6">
        <f>IF(ISNA(MATCH(T$2,Inputs!$K$4:$AJ$4,0)),NA(),IF(SUMPRODUCT((Inputs!$A$5:$A$130=$B41)*ISNUMBER(INDEX(Inputs!$K$5:$AJ$130,0,MATCH(T$2,Inputs!$K$4:$AJ$4,0))))+SUMPRODUCT((Inputs!$C$5:$C$130=$B41)*ISNUMBER(INDEX(Inputs!$K$5:$AJ$130,0,MATCH(T$2,Inputs!$K$4:$AJ$4,0))))+SUMPRODUCT((Inputs!$E$5:$E$130=$B41)*ISNUMBER(INDEX(Inputs!$K$5:$AJ$130,0,MATCH(T$2,Inputs!$K$4:$AJ$4,0))))=0,NA(),SUMPRODUCT((Inputs!$A$5:$A$130=$B41)*Inputs!$B$5:$B$130*(((Inputs!$G$5:$G$130="moeda")+(Inputs!$G$5:$G$130="acoes"))*Inputs!$B$1+((Inputs!$G$5:$G$130&lt;&gt;"moeda")*(Inputs!$G$5:$G$130&lt;&gt;"acoes")))*INDEX(Inputs!$K$5:$AJ$130,0,MATCH(T$2,Inputs!$K$4:$AJ$4,0)))+SUMPRODUCT((Inputs!$C$5:$C$130=$B41)*Inputs!$D$5:$D$130*(((Inputs!$G$5:$G$130="moeda")+(Inputs!$G$5:$G$130="acoes"))*Inputs!$B$1+((Inputs!$G$5:$G$130&lt;&gt;"moeda")*(Inputs!$G$5:$G$130&lt;&gt;"acoes")))*INDEX(Inputs!$K$5:$AJ$130,0,MATCH(T$2,Inputs!$K$4:$AJ$4,0)))+SUMPRODUCT((Inputs!$E$5:$E$130=$B41)*Inputs!$F$5:$F$130*(((Inputs!$G$5:$G$130="moeda")+(Inputs!$G$5:$G$130="acoes"))*Inputs!$B$1+((Inputs!$G$5:$G$130&lt;&gt;"moeda")*(Inputs!$G$5:$G$130&lt;&gt;"acoes")))*INDEX(Inputs!$K$5:$AJ$130,0,MATCH(T$2,Inputs!$K$4:$AJ$4,0)))))</f>
        <v>87</v>
      </c>
      <c r="U41" s="6">
        <f>IF(ISNA(MATCH(U$2,Inputs!$K$4:$AJ$4,0)),NA(),IF(SUMPRODUCT((Inputs!$A$5:$A$130=$B41)*ISNUMBER(INDEX(Inputs!$K$5:$AJ$130,0,MATCH(U$2,Inputs!$K$4:$AJ$4,0))))+SUMPRODUCT((Inputs!$C$5:$C$130=$B41)*ISNUMBER(INDEX(Inputs!$K$5:$AJ$130,0,MATCH(U$2,Inputs!$K$4:$AJ$4,0))))+SUMPRODUCT((Inputs!$E$5:$E$130=$B41)*ISNUMBER(INDEX(Inputs!$K$5:$AJ$130,0,MATCH(U$2,Inputs!$K$4:$AJ$4,0))))=0,NA(),SUMPRODUCT((Inputs!$A$5:$A$130=$B41)*Inputs!$B$5:$B$130*(((Inputs!$G$5:$G$130="moeda")+(Inputs!$G$5:$G$130="acoes"))*Inputs!$B$1+((Inputs!$G$5:$G$130&lt;&gt;"moeda")*(Inputs!$G$5:$G$130&lt;&gt;"acoes")))*INDEX(Inputs!$K$5:$AJ$130,0,MATCH(U$2,Inputs!$K$4:$AJ$4,0)))+SUMPRODUCT((Inputs!$C$5:$C$130=$B41)*Inputs!$D$5:$D$130*(((Inputs!$G$5:$G$130="moeda")+(Inputs!$G$5:$G$130="acoes"))*Inputs!$B$1+((Inputs!$G$5:$G$130&lt;&gt;"moeda")*(Inputs!$G$5:$G$130&lt;&gt;"acoes")))*INDEX(Inputs!$K$5:$AJ$130,0,MATCH(U$2,Inputs!$K$4:$AJ$4,0)))+SUMPRODUCT((Inputs!$E$5:$E$130=$B41)*Inputs!$F$5:$F$130*(((Inputs!$G$5:$G$130="moeda")+(Inputs!$G$5:$G$130="acoes"))*Inputs!$B$1+((Inputs!$G$5:$G$130&lt;&gt;"moeda")*(Inputs!$G$5:$G$130&lt;&gt;"acoes")))*INDEX(Inputs!$K$5:$AJ$130,0,MATCH(U$2,Inputs!$K$4:$AJ$4,0)))))</f>
        <v>89</v>
      </c>
      <c r="V41" s="6">
        <f>IF(ISNA(MATCH(V$2,Inputs!$K$4:$AJ$4,0)),NA(),IF(SUMPRODUCT((Inputs!$A$5:$A$130=$B41)*ISNUMBER(INDEX(Inputs!$K$5:$AJ$130,0,MATCH(V$2,Inputs!$K$4:$AJ$4,0))))+SUMPRODUCT((Inputs!$C$5:$C$130=$B41)*ISNUMBER(INDEX(Inputs!$K$5:$AJ$130,0,MATCH(V$2,Inputs!$K$4:$AJ$4,0))))+SUMPRODUCT((Inputs!$E$5:$E$130=$B41)*ISNUMBER(INDEX(Inputs!$K$5:$AJ$130,0,MATCH(V$2,Inputs!$K$4:$AJ$4,0))))=0,NA(),SUMPRODUCT((Inputs!$A$5:$A$130=$B41)*Inputs!$B$5:$B$130*(((Inputs!$G$5:$G$130="moeda")+(Inputs!$G$5:$G$130="acoes"))*Inputs!$B$1+((Inputs!$G$5:$G$130&lt;&gt;"moeda")*(Inputs!$G$5:$G$130&lt;&gt;"acoes")))*INDEX(Inputs!$K$5:$AJ$130,0,MATCH(V$2,Inputs!$K$4:$AJ$4,0)))+SUMPRODUCT((Inputs!$C$5:$C$130=$B41)*Inputs!$D$5:$D$130*(((Inputs!$G$5:$G$130="moeda")+(Inputs!$G$5:$G$130="acoes"))*Inputs!$B$1+((Inputs!$G$5:$G$130&lt;&gt;"moeda")*(Inputs!$G$5:$G$130&lt;&gt;"acoes")))*INDEX(Inputs!$K$5:$AJ$130,0,MATCH(V$2,Inputs!$K$4:$AJ$4,0)))+SUMPRODUCT((Inputs!$E$5:$E$130=$B41)*Inputs!$F$5:$F$130*(((Inputs!$G$5:$G$130="moeda")+(Inputs!$G$5:$G$130="acoes"))*Inputs!$B$1+((Inputs!$G$5:$G$130&lt;&gt;"moeda")*(Inputs!$G$5:$G$130&lt;&gt;"acoes")))*INDEX(Inputs!$K$5:$AJ$130,0,MATCH(V$2,Inputs!$K$4:$AJ$4,0)))))</f>
        <v>85</v>
      </c>
      <c r="W41" s="3">
        <f>V41</f>
        <v>85</v>
      </c>
      <c r="X41" s="6">
        <f>IF(ISNA(MATCH(X$2,Inputs!$K$4:$AJ$4,0)),NA(),IF(SUMPRODUCT((Inputs!$A$5:$A$130=$B41)*ISNUMBER(INDEX(Inputs!$K$5:$AJ$130,0,MATCH(X$2,Inputs!$K$4:$AJ$4,0))))+SUMPRODUCT((Inputs!$C$5:$C$130=$B41)*ISNUMBER(INDEX(Inputs!$K$5:$AJ$130,0,MATCH(X$2,Inputs!$K$4:$AJ$4,0))))+SUMPRODUCT((Inputs!$E$5:$E$130=$B41)*ISNUMBER(INDEX(Inputs!$K$5:$AJ$130,0,MATCH(X$2,Inputs!$K$4:$AJ$4,0))))=0,NA(),SUMPRODUCT((Inputs!$A$5:$A$130=$B41)*Inputs!$B$5:$B$130*(((Inputs!$G$5:$G$130="moeda")+(Inputs!$G$5:$G$130="acoes"))*Inputs!$B$1+((Inputs!$G$5:$G$130&lt;&gt;"moeda")*(Inputs!$G$5:$G$130&lt;&gt;"acoes")))*INDEX(Inputs!$K$5:$AJ$130,0,MATCH(X$2,Inputs!$K$4:$AJ$4,0)))+SUMPRODUCT((Inputs!$C$5:$C$130=$B41)*Inputs!$D$5:$D$130*(((Inputs!$G$5:$G$130="moeda")+(Inputs!$G$5:$G$130="acoes"))*Inputs!$B$1+((Inputs!$G$5:$G$130&lt;&gt;"moeda")*(Inputs!$G$5:$G$130&lt;&gt;"acoes")))*INDEX(Inputs!$K$5:$AJ$130,0,MATCH(X$2,Inputs!$K$4:$AJ$4,0)))+SUMPRODUCT((Inputs!$E$5:$E$130=$B41)*Inputs!$F$5:$F$130*(((Inputs!$G$5:$G$130="moeda")+(Inputs!$G$5:$G$130="acoes"))*Inputs!$B$1+((Inputs!$G$5:$G$130&lt;&gt;"moeda")*(Inputs!$G$5:$G$130&lt;&gt;"acoes")))*INDEX(Inputs!$K$5:$AJ$130,0,MATCH(X$2,Inputs!$K$4:$AJ$4,0)))))</f>
        <v>91</v>
      </c>
      <c r="Y41" s="6">
        <f>IF(ISNA(MATCH(Y$2,Inputs!$K$4:$AJ$4,0)),NA(),IF(SUMPRODUCT((Inputs!$A$5:$A$130=$B41)*ISNUMBER(INDEX(Inputs!$K$5:$AJ$130,0,MATCH(Y$2,Inputs!$K$4:$AJ$4,0))))+SUMPRODUCT((Inputs!$C$5:$C$130=$B41)*ISNUMBER(INDEX(Inputs!$K$5:$AJ$130,0,MATCH(Y$2,Inputs!$K$4:$AJ$4,0))))+SUMPRODUCT((Inputs!$E$5:$E$130=$B41)*ISNUMBER(INDEX(Inputs!$K$5:$AJ$130,0,MATCH(Y$2,Inputs!$K$4:$AJ$4,0))))=0,NA(),SUMPRODUCT((Inputs!$A$5:$A$130=$B41)*Inputs!$B$5:$B$130*(((Inputs!$G$5:$G$130="moeda")+(Inputs!$G$5:$G$130="acoes"))*Inputs!$B$1+((Inputs!$G$5:$G$130&lt;&gt;"moeda")*(Inputs!$G$5:$G$130&lt;&gt;"acoes")))*INDEX(Inputs!$K$5:$AJ$130,0,MATCH(Y$2,Inputs!$K$4:$AJ$4,0)))+SUMPRODUCT((Inputs!$C$5:$C$130=$B41)*Inputs!$D$5:$D$130*(((Inputs!$G$5:$G$130="moeda")+(Inputs!$G$5:$G$130="acoes"))*Inputs!$B$1+((Inputs!$G$5:$G$130&lt;&gt;"moeda")*(Inputs!$G$5:$G$130&lt;&gt;"acoes")))*INDEX(Inputs!$K$5:$AJ$130,0,MATCH(Y$2,Inputs!$K$4:$AJ$4,0)))+SUMPRODUCT((Inputs!$E$5:$E$130=$B41)*Inputs!$F$5:$F$130*(((Inputs!$G$5:$G$130="moeda")+(Inputs!$G$5:$G$130="acoes"))*Inputs!$B$1+((Inputs!$G$5:$G$130&lt;&gt;"moeda")*(Inputs!$G$5:$G$130&lt;&gt;"acoes")))*INDEX(Inputs!$K$5:$AJ$130,0,MATCH(Y$2,Inputs!$K$4:$AJ$4,0)))))</f>
        <v>89</v>
      </c>
      <c r="Z41" s="6">
        <f>IF(ISNA(MATCH(Z$2,Inputs!$K$4:$AJ$4,0)),NA(),IF(SUMPRODUCT((Inputs!$A$5:$A$130=$B41)*ISNUMBER(INDEX(Inputs!$K$5:$AJ$130,0,MATCH(Z$2,Inputs!$K$4:$AJ$4,0))))+SUMPRODUCT((Inputs!$C$5:$C$130=$B41)*ISNUMBER(INDEX(Inputs!$K$5:$AJ$130,0,MATCH(Z$2,Inputs!$K$4:$AJ$4,0))))+SUMPRODUCT((Inputs!$E$5:$E$130=$B41)*ISNUMBER(INDEX(Inputs!$K$5:$AJ$130,0,MATCH(Z$2,Inputs!$K$4:$AJ$4,0))))=0,NA(),SUMPRODUCT((Inputs!$A$5:$A$130=$B41)*Inputs!$B$5:$B$130*(((Inputs!$G$5:$G$130="moeda")+(Inputs!$G$5:$G$130="acoes"))*Inputs!$B$1+((Inputs!$G$5:$G$130&lt;&gt;"moeda")*(Inputs!$G$5:$G$130&lt;&gt;"acoes")))*INDEX(Inputs!$K$5:$AJ$130,0,MATCH(Z$2,Inputs!$K$4:$AJ$4,0)))+SUMPRODUCT((Inputs!$C$5:$C$130=$B41)*Inputs!$D$5:$D$130*(((Inputs!$G$5:$G$130="moeda")+(Inputs!$G$5:$G$130="acoes"))*Inputs!$B$1+((Inputs!$G$5:$G$130&lt;&gt;"moeda")*(Inputs!$G$5:$G$130&lt;&gt;"acoes")))*INDEX(Inputs!$K$5:$AJ$130,0,MATCH(Z$2,Inputs!$K$4:$AJ$4,0)))+SUMPRODUCT((Inputs!$E$5:$E$130=$B41)*Inputs!$F$5:$F$130*(((Inputs!$G$5:$G$130="moeda")+(Inputs!$G$5:$G$130="acoes"))*Inputs!$B$1+((Inputs!$G$5:$G$130&lt;&gt;"moeda")*(Inputs!$G$5:$G$130&lt;&gt;"acoes")))*INDEX(Inputs!$K$5:$AJ$130,0,MATCH(Z$2,Inputs!$K$4:$AJ$4,0)))))</f>
        <v>57</v>
      </c>
      <c r="AA41" s="6">
        <f>IF(ISNA(MATCH(AA$2,Inputs!$K$4:$AJ$4,0)),NA(),IF(SUMPRODUCT((Inputs!$A$5:$A$130=$B41)*ISNUMBER(INDEX(Inputs!$K$5:$AJ$130,0,MATCH(AA$2,Inputs!$K$4:$AJ$4,0))))+SUMPRODUCT((Inputs!$C$5:$C$130=$B41)*ISNUMBER(INDEX(Inputs!$K$5:$AJ$130,0,MATCH(AA$2,Inputs!$K$4:$AJ$4,0))))+SUMPRODUCT((Inputs!$E$5:$E$130=$B41)*ISNUMBER(INDEX(Inputs!$K$5:$AJ$130,0,MATCH(AA$2,Inputs!$K$4:$AJ$4,0))))=0,NA(),SUMPRODUCT((Inputs!$A$5:$A$130=$B41)*Inputs!$B$5:$B$130*(((Inputs!$G$5:$G$130="moeda")+(Inputs!$G$5:$G$130="acoes"))*Inputs!$B$1+((Inputs!$G$5:$G$130&lt;&gt;"moeda")*(Inputs!$G$5:$G$130&lt;&gt;"acoes")))*INDEX(Inputs!$K$5:$AJ$130,0,MATCH(AA$2,Inputs!$K$4:$AJ$4,0)))+SUMPRODUCT((Inputs!$C$5:$C$130=$B41)*Inputs!$D$5:$D$130*(((Inputs!$G$5:$G$130="moeda")+(Inputs!$G$5:$G$130="acoes"))*Inputs!$B$1+((Inputs!$G$5:$G$130&lt;&gt;"moeda")*(Inputs!$G$5:$G$130&lt;&gt;"acoes")))*INDEX(Inputs!$K$5:$AJ$130,0,MATCH(AA$2,Inputs!$K$4:$AJ$4,0)))+SUMPRODUCT((Inputs!$E$5:$E$130=$B41)*Inputs!$F$5:$F$130*(((Inputs!$G$5:$G$130="moeda")+(Inputs!$G$5:$G$130="acoes"))*Inputs!$B$1+((Inputs!$G$5:$G$130&lt;&gt;"moeda")*(Inputs!$G$5:$G$130&lt;&gt;"acoes")))*INDEX(Inputs!$K$5:$AJ$130,0,MATCH(AA$2,Inputs!$K$4:$AJ$4,0)))))</f>
        <v>57</v>
      </c>
      <c r="AB41" s="3">
        <f>AA41</f>
        <v>57</v>
      </c>
      <c r="AC41" s="6">
        <f>IF(ISNA(MATCH(AC$2,Inputs!$K$4:$AJ$4,0)),NA(),IF(SUMPRODUCT((Inputs!$A$5:$A$130=$B41)*ISNUMBER(INDEX(Inputs!$K$5:$AJ$130,0,MATCH(AC$2,Inputs!$K$4:$AJ$4,0))))+SUMPRODUCT((Inputs!$C$5:$C$130=$B41)*ISNUMBER(INDEX(Inputs!$K$5:$AJ$130,0,MATCH(AC$2,Inputs!$K$4:$AJ$4,0))))+SUMPRODUCT((Inputs!$E$5:$E$130=$B41)*ISNUMBER(INDEX(Inputs!$K$5:$AJ$130,0,MATCH(AC$2,Inputs!$K$4:$AJ$4,0))))=0,NA(),SUMPRODUCT((Inputs!$A$5:$A$130=$B41)*Inputs!$B$5:$B$130*(((Inputs!$G$5:$G$130="moeda")+(Inputs!$G$5:$G$130="acoes"))*Inputs!$B$1+((Inputs!$G$5:$G$130&lt;&gt;"moeda")*(Inputs!$G$5:$G$130&lt;&gt;"acoes")))*INDEX(Inputs!$K$5:$AJ$130,0,MATCH(AC$2,Inputs!$K$4:$AJ$4,0)))+SUMPRODUCT((Inputs!$C$5:$C$130=$B41)*Inputs!$D$5:$D$130*(((Inputs!$G$5:$G$130="moeda")+(Inputs!$G$5:$G$130="acoes"))*Inputs!$B$1+((Inputs!$G$5:$G$130&lt;&gt;"moeda")*(Inputs!$G$5:$G$130&lt;&gt;"acoes")))*INDEX(Inputs!$K$5:$AJ$130,0,MATCH(AC$2,Inputs!$K$4:$AJ$4,0)))+SUMPRODUCT((Inputs!$E$5:$E$130=$B41)*Inputs!$F$5:$F$130*(((Inputs!$G$5:$G$130="moeda")+(Inputs!$G$5:$G$130="acoes"))*Inputs!$B$1+((Inputs!$G$5:$G$130&lt;&gt;"moeda")*(Inputs!$G$5:$G$130&lt;&gt;"acoes")))*INDEX(Inputs!$K$5:$AJ$130,0,MATCH(AC$2,Inputs!$K$4:$AJ$4,0)))))</f>
        <v>54</v>
      </c>
      <c r="AD41" s="6">
        <f>IF(ISNA(MATCH(AD$2,Inputs!$K$4:$AJ$4,0)),NA(),IF(SUMPRODUCT((Inputs!$A$5:$A$130=$B41)*ISNUMBER(INDEX(Inputs!$K$5:$AJ$130,0,MATCH(AD$2,Inputs!$K$4:$AJ$4,0))))+SUMPRODUCT((Inputs!$C$5:$C$130=$B41)*ISNUMBER(INDEX(Inputs!$K$5:$AJ$130,0,MATCH(AD$2,Inputs!$K$4:$AJ$4,0))))+SUMPRODUCT((Inputs!$E$5:$E$130=$B41)*ISNUMBER(INDEX(Inputs!$K$5:$AJ$130,0,MATCH(AD$2,Inputs!$K$4:$AJ$4,0))))=0,NA(),SUMPRODUCT((Inputs!$A$5:$A$130=$B41)*Inputs!$B$5:$B$130*(((Inputs!$G$5:$G$130="moeda")+(Inputs!$G$5:$G$130="acoes"))*Inputs!$B$1+((Inputs!$G$5:$G$130&lt;&gt;"moeda")*(Inputs!$G$5:$G$130&lt;&gt;"acoes")))*INDEX(Inputs!$K$5:$AJ$130,0,MATCH(AD$2,Inputs!$K$4:$AJ$4,0)))+SUMPRODUCT((Inputs!$C$5:$C$130=$B41)*Inputs!$D$5:$D$130*(((Inputs!$G$5:$G$130="moeda")+(Inputs!$G$5:$G$130="acoes"))*Inputs!$B$1+((Inputs!$G$5:$G$130&lt;&gt;"moeda")*(Inputs!$G$5:$G$130&lt;&gt;"acoes")))*INDEX(Inputs!$K$5:$AJ$130,0,MATCH(AD$2,Inputs!$K$4:$AJ$4,0)))+SUMPRODUCT((Inputs!$E$5:$E$130=$B41)*Inputs!$F$5:$F$130*(((Inputs!$G$5:$G$130="moeda")+(Inputs!$G$5:$G$130="acoes"))*Inputs!$B$1+((Inputs!$G$5:$G$130&lt;&gt;"moeda")*(Inputs!$G$5:$G$130&lt;&gt;"acoes")))*INDEX(Inputs!$K$5:$AJ$130,0,MATCH(AD$2,Inputs!$K$4:$AJ$4,0)))))</f>
        <v>51</v>
      </c>
      <c r="AE41" s="6" t="e">
        <f>IF(ISNA(MATCH(AE$2,Inputs!$K$4:$AJ$4,0)),NA(),IF(SUMPRODUCT((Inputs!$A$5:$A$130=$B41)*ISNUMBER(INDEX(Inputs!$K$5:$AJ$130,0,MATCH(AE$2,Inputs!$K$4:$AJ$4,0))))+SUMPRODUCT((Inputs!$C$5:$C$130=$B41)*ISNUMBER(INDEX(Inputs!$K$5:$AJ$130,0,MATCH(AE$2,Inputs!$K$4:$AJ$4,0))))+SUMPRODUCT((Inputs!$E$5:$E$130=$B41)*ISNUMBER(INDEX(Inputs!$K$5:$AJ$130,0,MATCH(AE$2,Inputs!$K$4:$AJ$4,0))))=0,NA(),SUMPRODUCT((Inputs!$A$5:$A$130=$B41)*Inputs!$B$5:$B$130*(((Inputs!$G$5:$G$130="moeda")+(Inputs!$G$5:$G$130="acoes"))*Inputs!$B$1+((Inputs!$G$5:$G$130&lt;&gt;"moeda")*(Inputs!$G$5:$G$130&lt;&gt;"acoes")))*INDEX(Inputs!$K$5:$AJ$130,0,MATCH(AE$2,Inputs!$K$4:$AJ$4,0)))+SUMPRODUCT((Inputs!$C$5:$C$130=$B41)*Inputs!$D$5:$D$130*(((Inputs!$G$5:$G$130="moeda")+(Inputs!$G$5:$G$130="acoes"))*Inputs!$B$1+((Inputs!$G$5:$G$130&lt;&gt;"moeda")*(Inputs!$G$5:$G$130&lt;&gt;"acoes")))*INDEX(Inputs!$K$5:$AJ$130,0,MATCH(AE$2,Inputs!$K$4:$AJ$4,0)))+SUMPRODUCT((Inputs!$E$5:$E$130=$B41)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1" s="6" t="e">
        <f>IF(ISNA(MATCH(AF$2,Inputs!$K$4:$AJ$4,0)),NA(),IF(SUMPRODUCT((Inputs!$A$5:$A$130=$B41)*ISNUMBER(INDEX(Inputs!$K$5:$AJ$130,0,MATCH(AF$2,Inputs!$K$4:$AJ$4,0))))+SUMPRODUCT((Inputs!$C$5:$C$130=$B41)*ISNUMBER(INDEX(Inputs!$K$5:$AJ$130,0,MATCH(AF$2,Inputs!$K$4:$AJ$4,0))))+SUMPRODUCT((Inputs!$E$5:$E$130=$B41)*ISNUMBER(INDEX(Inputs!$K$5:$AJ$130,0,MATCH(AF$2,Inputs!$K$4:$AJ$4,0))))=0,NA(),SUMPRODUCT((Inputs!$A$5:$A$130=$B41)*Inputs!$B$5:$B$130*(((Inputs!$G$5:$G$130="moeda")+(Inputs!$G$5:$G$130="acoes"))*Inputs!$B$1+((Inputs!$G$5:$G$130&lt;&gt;"moeda")*(Inputs!$G$5:$G$130&lt;&gt;"acoes")))*INDEX(Inputs!$K$5:$AJ$130,0,MATCH(AF$2,Inputs!$K$4:$AJ$4,0)))+SUMPRODUCT((Inputs!$C$5:$C$130=$B41)*Inputs!$D$5:$D$130*(((Inputs!$G$5:$G$130="moeda")+(Inputs!$G$5:$G$130="acoes"))*Inputs!$B$1+((Inputs!$G$5:$G$130&lt;&gt;"moeda")*(Inputs!$G$5:$G$130&lt;&gt;"acoes")))*INDEX(Inputs!$K$5:$AJ$130,0,MATCH(AF$2,Inputs!$K$4:$AJ$4,0)))+SUMPRODUCT((Inputs!$E$5:$E$130=$B41)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1" s="3" t="e">
        <f>AF41</f>
        <v>#N/A</v>
      </c>
      <c r="AH41" s="6">
        <f>IF(ISNA(MATCH(AH$2,Inputs!$K$4:$AJ$4,0)),NA(),IF(SUMPRODUCT((Inputs!$A$5:$A$130=$B41)*ISNUMBER(INDEX(Inputs!$K$5:$AJ$130,0,MATCH(AH$2,Inputs!$K$4:$AJ$4,0))))+SUMPRODUCT((Inputs!$C$5:$C$130=$B41)*ISNUMBER(INDEX(Inputs!$K$5:$AJ$130,0,MATCH(AH$2,Inputs!$K$4:$AJ$4,0))))+SUMPRODUCT((Inputs!$E$5:$E$130=$B41)*ISNUMBER(INDEX(Inputs!$K$5:$AJ$130,0,MATCH(AH$2,Inputs!$K$4:$AJ$4,0))))=0,NA(),SUMPRODUCT((Inputs!$A$5:$A$130=$B41)*Inputs!$B$5:$B$130*(((Inputs!$G$5:$G$130="moeda")+(Inputs!$G$5:$G$130="acoes"))*Inputs!$B$1+((Inputs!$G$5:$G$130&lt;&gt;"moeda")*(Inputs!$G$5:$G$130&lt;&gt;"acoes")))*INDEX(Inputs!$K$5:$AJ$130,0,MATCH(AH$2,Inputs!$K$4:$AJ$4,0)))+SUMPRODUCT((Inputs!$C$5:$C$130=$B41)*Inputs!$D$5:$D$130*(((Inputs!$G$5:$G$130="moeda")+(Inputs!$G$5:$G$130="acoes"))*Inputs!$B$1+((Inputs!$G$5:$G$130&lt;&gt;"moeda")*(Inputs!$G$5:$G$130&lt;&gt;"acoes")))*INDEX(Inputs!$K$5:$AJ$130,0,MATCH(AH$2,Inputs!$K$4:$AJ$4,0)))+SUMPRODUCT((Inputs!$E$5:$E$130=$B41)*Inputs!$F$5:$F$130*(((Inputs!$G$5:$G$130="moeda")+(Inputs!$G$5:$G$130="acoes"))*Inputs!$B$1+((Inputs!$G$5:$G$130&lt;&gt;"moeda")*(Inputs!$G$5:$G$130&lt;&gt;"acoes")))*INDEX(Inputs!$K$5:$AJ$130,0,MATCH(AH$2,Inputs!$K$4:$AJ$4,0)))))</f>
        <v>1</v>
      </c>
      <c r="AI41" s="6">
        <f>IF(ISNA(MATCH(AI$2,Inputs!$K$4:$AJ$4,0)),NA(),IF(SUMPRODUCT((Inputs!$A$5:$A$130=$B41)*ISNUMBER(INDEX(Inputs!$K$5:$AJ$130,0,MATCH(AI$2,Inputs!$K$4:$AJ$4,0))))+SUMPRODUCT((Inputs!$C$5:$C$130=$B41)*ISNUMBER(INDEX(Inputs!$K$5:$AJ$130,0,MATCH(AI$2,Inputs!$K$4:$AJ$4,0))))+SUMPRODUCT((Inputs!$E$5:$E$130=$B41)*ISNUMBER(INDEX(Inputs!$K$5:$AJ$130,0,MATCH(AI$2,Inputs!$K$4:$AJ$4,0))))=0,NA(),SUMPRODUCT((Inputs!$A$5:$A$130=$B41)*Inputs!$B$5:$B$130*(((Inputs!$G$5:$G$130="moeda")+(Inputs!$G$5:$G$130="acoes"))*Inputs!$B$1+((Inputs!$G$5:$G$130&lt;&gt;"moeda")*(Inputs!$G$5:$G$130&lt;&gt;"acoes")))*INDEX(Inputs!$K$5:$AJ$130,0,MATCH(AI$2,Inputs!$K$4:$AJ$4,0)))+SUMPRODUCT((Inputs!$C$5:$C$130=$B41)*Inputs!$D$5:$D$130*(((Inputs!$G$5:$G$130="moeda")+(Inputs!$G$5:$G$130="acoes"))*Inputs!$B$1+((Inputs!$G$5:$G$130&lt;&gt;"moeda")*(Inputs!$G$5:$G$130&lt;&gt;"acoes")))*INDEX(Inputs!$K$5:$AJ$130,0,MATCH(AI$2,Inputs!$K$4:$AJ$4,0)))+SUMPRODUCT((Inputs!$E$5:$E$130=$B41)*Inputs!$F$5:$F$130*(((Inputs!$G$5:$G$130="moeda")+(Inputs!$G$5:$G$130="acoes"))*Inputs!$B$1+((Inputs!$G$5:$G$130&lt;&gt;"moeda")*(Inputs!$G$5:$G$130&lt;&gt;"acoes")))*INDEX(Inputs!$K$5:$AJ$130,0,MATCH(AI$2,Inputs!$K$4:$AJ$4,0)))))</f>
        <v>3</v>
      </c>
      <c r="AJ41" s="6">
        <f>IF(ISNA(MATCH(AJ$2,Inputs!$K$4:$AJ$4,0)),NA(),IF(SUMPRODUCT((Inputs!$A$5:$A$130=$B41)*ISNUMBER(INDEX(Inputs!$K$5:$AJ$130,0,MATCH(AJ$2,Inputs!$K$4:$AJ$4,0))))+SUMPRODUCT((Inputs!$C$5:$C$130=$B41)*ISNUMBER(INDEX(Inputs!$K$5:$AJ$130,0,MATCH(AJ$2,Inputs!$K$4:$AJ$4,0))))+SUMPRODUCT((Inputs!$E$5:$E$130=$B41)*ISNUMBER(INDEX(Inputs!$K$5:$AJ$130,0,MATCH(AJ$2,Inputs!$K$4:$AJ$4,0))))=0,NA(),SUMPRODUCT((Inputs!$A$5:$A$130=$B41)*Inputs!$B$5:$B$130*(((Inputs!$G$5:$G$130="moeda")+(Inputs!$G$5:$G$130="acoes"))*Inputs!$B$1+((Inputs!$G$5:$G$130&lt;&gt;"moeda")*(Inputs!$G$5:$G$130&lt;&gt;"acoes")))*INDEX(Inputs!$K$5:$AJ$130,0,MATCH(AJ$2,Inputs!$K$4:$AJ$4,0)))+SUMPRODUCT((Inputs!$C$5:$C$130=$B41)*Inputs!$D$5:$D$130*(((Inputs!$G$5:$G$130="moeda")+(Inputs!$G$5:$G$130="acoes"))*Inputs!$B$1+((Inputs!$G$5:$G$130&lt;&gt;"moeda")*(Inputs!$G$5:$G$130&lt;&gt;"acoes")))*INDEX(Inputs!$K$5:$AJ$130,0,MATCH(AJ$2,Inputs!$K$4:$AJ$4,0)))+SUMPRODUCT((Inputs!$E$5:$E$130=$B41)*Inputs!$F$5:$F$130*(((Inputs!$G$5:$G$130="moeda")+(Inputs!$G$5:$G$130="acoes"))*Inputs!$B$1+((Inputs!$G$5:$G$130&lt;&gt;"moeda")*(Inputs!$G$5:$G$130&lt;&gt;"acoes")))*INDEX(Inputs!$K$5:$AJ$130,0,MATCH(AJ$2,Inputs!$K$4:$AJ$4,0)))))</f>
        <v>7</v>
      </c>
      <c r="AK41" s="6">
        <f>IF(ISNA(MATCH(AK$2,Inputs!$K$4:$AJ$4,0)),NA(),IF(SUMPRODUCT((Inputs!$A$5:$A$130=$B41)*ISNUMBER(INDEX(Inputs!$K$5:$AJ$130,0,MATCH(AK$2,Inputs!$K$4:$AJ$4,0))))+SUMPRODUCT((Inputs!$C$5:$C$130=$B41)*ISNUMBER(INDEX(Inputs!$K$5:$AJ$130,0,MATCH(AK$2,Inputs!$K$4:$AJ$4,0))))+SUMPRODUCT((Inputs!$E$5:$E$130=$B41)*ISNUMBER(INDEX(Inputs!$K$5:$AJ$130,0,MATCH(AK$2,Inputs!$K$4:$AJ$4,0))))=0,NA(),SUMPRODUCT((Inputs!$A$5:$A$130=$B41)*Inputs!$B$5:$B$130*(((Inputs!$G$5:$G$130="moeda")+(Inputs!$G$5:$G$130="acoes"))*Inputs!$B$1+((Inputs!$G$5:$G$130&lt;&gt;"moeda")*(Inputs!$G$5:$G$130&lt;&gt;"acoes")))*INDEX(Inputs!$K$5:$AJ$130,0,MATCH(AK$2,Inputs!$K$4:$AJ$4,0)))+SUMPRODUCT((Inputs!$C$5:$C$130=$B41)*Inputs!$D$5:$D$130*(((Inputs!$G$5:$G$130="moeda")+(Inputs!$G$5:$G$130="acoes"))*Inputs!$B$1+((Inputs!$G$5:$G$130&lt;&gt;"moeda")*(Inputs!$G$5:$G$130&lt;&gt;"acoes")))*INDEX(Inputs!$K$5:$AJ$130,0,MATCH(AK$2,Inputs!$K$4:$AJ$4,0)))+SUMPRODUCT((Inputs!$E$5:$E$130=$B41)*Inputs!$F$5:$F$130*(((Inputs!$G$5:$G$130="moeda")+(Inputs!$G$5:$G$130="acoes"))*Inputs!$B$1+((Inputs!$G$5:$G$130&lt;&gt;"moeda")*(Inputs!$G$5:$G$130&lt;&gt;"acoes")))*INDEX(Inputs!$K$5:$AJ$130,0,MATCH(AK$2,Inputs!$K$4:$AJ$4,0)))))</f>
        <v>3</v>
      </c>
      <c r="AL41" s="3">
        <f>AK41</f>
        <v>3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$130=$B42)*ISNUMBER(INDEX(Inputs!$K$5:$AJ$130,0,MATCH(D$2,Inputs!$K$4:$AJ$4,0))))+SUMPRODUCT((Inputs!$C$5:$C$130=$B42)*ISNUMBER(INDEX(Inputs!$K$5:$AJ$130,0,MATCH(D$2,Inputs!$K$4:$AJ$4,0))))+SUMPRODUCT((Inputs!$E$5:$E$130=$B42)*ISNUMBER(INDEX(Inputs!$K$5:$AJ$130,0,MATCH(D$2,Inputs!$K$4:$AJ$4,0))))=0,NA(),SUMPRODUCT((Inputs!$A$5:$A$130=$B42)*Inputs!$B$5:$B$130*(((Inputs!$G$5:$G$130="moeda")+(Inputs!$G$5:$G$130="acoes"))*Inputs!$B$1+((Inputs!$G$5:$G$130&lt;&gt;"moeda")*(Inputs!$G$5:$G$130&lt;&gt;"acoes")))*INDEX(Inputs!$K$5:$AJ$130,0,MATCH(D$2,Inputs!$K$4:$AJ$4,0)))+SUMPRODUCT((Inputs!$C$5:$C$130=$B42)*Inputs!$D$5:$D$130*(((Inputs!$G$5:$G$130="moeda")+(Inputs!$G$5:$G$130="acoes"))*Inputs!$B$1+((Inputs!$G$5:$G$130&lt;&gt;"moeda")*(Inputs!$G$5:$G$130&lt;&gt;"acoes")))*INDEX(Inputs!$K$5:$AJ$130,0,MATCH(D$2,Inputs!$K$4:$AJ$4,0)))+SUMPRODUCT((Inputs!$E$5:$E$130=$B42)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2" s="6" t="e">
        <f>IF(ISNA(MATCH(E$2,Inputs!$K$4:$AJ$4,0)),NA(),IF(SUMPRODUCT((Inputs!$A$5:$A$130=$B42)*ISNUMBER(INDEX(Inputs!$K$5:$AJ$130,0,MATCH(E$2,Inputs!$K$4:$AJ$4,0))))+SUMPRODUCT((Inputs!$C$5:$C$130=$B42)*ISNUMBER(INDEX(Inputs!$K$5:$AJ$130,0,MATCH(E$2,Inputs!$K$4:$AJ$4,0))))+SUMPRODUCT((Inputs!$E$5:$E$130=$B42)*ISNUMBER(INDEX(Inputs!$K$5:$AJ$130,0,MATCH(E$2,Inputs!$K$4:$AJ$4,0))))=0,NA(),SUMPRODUCT((Inputs!$A$5:$A$130=$B42)*Inputs!$B$5:$B$130*(((Inputs!$G$5:$G$130="moeda")+(Inputs!$G$5:$G$130="acoes"))*Inputs!$B$1+((Inputs!$G$5:$G$130&lt;&gt;"moeda")*(Inputs!$G$5:$G$130&lt;&gt;"acoes")))*INDEX(Inputs!$K$5:$AJ$130,0,MATCH(E$2,Inputs!$K$4:$AJ$4,0)))+SUMPRODUCT((Inputs!$C$5:$C$130=$B42)*Inputs!$D$5:$D$130*(((Inputs!$G$5:$G$130="moeda")+(Inputs!$G$5:$G$130="acoes"))*Inputs!$B$1+((Inputs!$G$5:$G$130&lt;&gt;"moeda")*(Inputs!$G$5:$G$130&lt;&gt;"acoes")))*INDEX(Inputs!$K$5:$AJ$130,0,MATCH(E$2,Inputs!$K$4:$AJ$4,0)))+SUMPRODUCT((Inputs!$E$5:$E$130=$B42)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2" s="6" t="e">
        <f>IF(ISNA(MATCH(F$2,Inputs!$K$4:$AJ$4,0)),NA(),IF(SUMPRODUCT((Inputs!$A$5:$A$130=$B42)*ISNUMBER(INDEX(Inputs!$K$5:$AJ$130,0,MATCH(F$2,Inputs!$K$4:$AJ$4,0))))+SUMPRODUCT((Inputs!$C$5:$C$130=$B42)*ISNUMBER(INDEX(Inputs!$K$5:$AJ$130,0,MATCH(F$2,Inputs!$K$4:$AJ$4,0))))+SUMPRODUCT((Inputs!$E$5:$E$130=$B42)*ISNUMBER(INDEX(Inputs!$K$5:$AJ$130,0,MATCH(F$2,Inputs!$K$4:$AJ$4,0))))=0,NA(),SUMPRODUCT((Inputs!$A$5:$A$130=$B42)*Inputs!$B$5:$B$130*(((Inputs!$G$5:$G$130="moeda")+(Inputs!$G$5:$G$130="acoes"))*Inputs!$B$1+((Inputs!$G$5:$G$130&lt;&gt;"moeda")*(Inputs!$G$5:$G$130&lt;&gt;"acoes")))*INDEX(Inputs!$K$5:$AJ$130,0,MATCH(F$2,Inputs!$K$4:$AJ$4,0)))+SUMPRODUCT((Inputs!$C$5:$C$130=$B42)*Inputs!$D$5:$D$130*(((Inputs!$G$5:$G$130="moeda")+(Inputs!$G$5:$G$130="acoes"))*Inputs!$B$1+((Inputs!$G$5:$G$130&lt;&gt;"moeda")*(Inputs!$G$5:$G$130&lt;&gt;"acoes")))*INDEX(Inputs!$K$5:$AJ$130,0,MATCH(F$2,Inputs!$K$4:$AJ$4,0)))+SUMPRODUCT((Inputs!$E$5:$E$130=$B42)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2" s="6" t="e">
        <f>IF(ISNA(MATCH(G$2,Inputs!$K$4:$AJ$4,0)),NA(),IF(SUMPRODUCT((Inputs!$A$5:$A$130=$B42)*ISNUMBER(INDEX(Inputs!$K$5:$AJ$130,0,MATCH(G$2,Inputs!$K$4:$AJ$4,0))))+SUMPRODUCT((Inputs!$C$5:$C$130=$B42)*ISNUMBER(INDEX(Inputs!$K$5:$AJ$130,0,MATCH(G$2,Inputs!$K$4:$AJ$4,0))))+SUMPRODUCT((Inputs!$E$5:$E$130=$B42)*ISNUMBER(INDEX(Inputs!$K$5:$AJ$130,0,MATCH(G$2,Inputs!$K$4:$AJ$4,0))))=0,NA(),SUMPRODUCT((Inputs!$A$5:$A$130=$B42)*Inputs!$B$5:$B$130*(((Inputs!$G$5:$G$130="moeda")+(Inputs!$G$5:$G$130="acoes"))*Inputs!$B$1+((Inputs!$G$5:$G$130&lt;&gt;"moeda")*(Inputs!$G$5:$G$130&lt;&gt;"acoes")))*INDEX(Inputs!$K$5:$AJ$130,0,MATCH(G$2,Inputs!$K$4:$AJ$4,0)))+SUMPRODUCT((Inputs!$C$5:$C$130=$B42)*Inputs!$D$5:$D$130*(((Inputs!$G$5:$G$130="moeda")+(Inputs!$G$5:$G$130="acoes"))*Inputs!$B$1+((Inputs!$G$5:$G$130&lt;&gt;"moeda")*(Inputs!$G$5:$G$130&lt;&gt;"acoes")))*INDEX(Inputs!$K$5:$AJ$130,0,MATCH(G$2,Inputs!$K$4:$AJ$4,0)))+SUMPRODUCT((Inputs!$E$5:$E$130=$B42)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2" s="3" t="e">
        <f>G42</f>
        <v>#N/A</v>
      </c>
      <c r="I42" s="6" t="e">
        <f>IF(ISNA(MATCH(I$2,Inputs!$K$4:$AJ$4,0)),NA(),IF(SUMPRODUCT((Inputs!$A$5:$A$130=$B42)*ISNUMBER(INDEX(Inputs!$K$5:$AJ$130,0,MATCH(I$2,Inputs!$K$4:$AJ$4,0))))+SUMPRODUCT((Inputs!$C$5:$C$130=$B42)*ISNUMBER(INDEX(Inputs!$K$5:$AJ$130,0,MATCH(I$2,Inputs!$K$4:$AJ$4,0))))+SUMPRODUCT((Inputs!$E$5:$E$130=$B42)*ISNUMBER(INDEX(Inputs!$K$5:$AJ$130,0,MATCH(I$2,Inputs!$K$4:$AJ$4,0))))=0,NA(),SUMPRODUCT((Inputs!$A$5:$A$130=$B42)*Inputs!$B$5:$B$130*(((Inputs!$G$5:$G$130="moeda")+(Inputs!$G$5:$G$130="acoes"))*Inputs!$B$1+((Inputs!$G$5:$G$130&lt;&gt;"moeda")*(Inputs!$G$5:$G$130&lt;&gt;"acoes")))*INDEX(Inputs!$K$5:$AJ$130,0,MATCH(I$2,Inputs!$K$4:$AJ$4,0)))+SUMPRODUCT((Inputs!$C$5:$C$130=$B42)*Inputs!$D$5:$D$130*(((Inputs!$G$5:$G$130="moeda")+(Inputs!$G$5:$G$130="acoes"))*Inputs!$B$1+((Inputs!$G$5:$G$130&lt;&gt;"moeda")*(Inputs!$G$5:$G$130&lt;&gt;"acoes")))*INDEX(Inputs!$K$5:$AJ$130,0,MATCH(I$2,Inputs!$K$4:$AJ$4,0)))+SUMPRODUCT((Inputs!$E$5:$E$130=$B42)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2" s="6" t="e">
        <f>IF(ISNA(MATCH(J$2,Inputs!$K$4:$AJ$4,0)),NA(),IF(SUMPRODUCT((Inputs!$A$5:$A$130=$B42)*ISNUMBER(INDEX(Inputs!$K$5:$AJ$130,0,MATCH(J$2,Inputs!$K$4:$AJ$4,0))))+SUMPRODUCT((Inputs!$C$5:$C$130=$B42)*ISNUMBER(INDEX(Inputs!$K$5:$AJ$130,0,MATCH(J$2,Inputs!$K$4:$AJ$4,0))))+SUMPRODUCT((Inputs!$E$5:$E$130=$B42)*ISNUMBER(INDEX(Inputs!$K$5:$AJ$130,0,MATCH(J$2,Inputs!$K$4:$AJ$4,0))))=0,NA(),SUMPRODUCT((Inputs!$A$5:$A$130=$B42)*Inputs!$B$5:$B$130*(((Inputs!$G$5:$G$130="moeda")+(Inputs!$G$5:$G$130="acoes"))*Inputs!$B$1+((Inputs!$G$5:$G$130&lt;&gt;"moeda")*(Inputs!$G$5:$G$130&lt;&gt;"acoes")))*INDEX(Inputs!$K$5:$AJ$130,0,MATCH(J$2,Inputs!$K$4:$AJ$4,0)))+SUMPRODUCT((Inputs!$C$5:$C$130=$B42)*Inputs!$D$5:$D$130*(((Inputs!$G$5:$G$130="moeda")+(Inputs!$G$5:$G$130="acoes"))*Inputs!$B$1+((Inputs!$G$5:$G$130&lt;&gt;"moeda")*(Inputs!$G$5:$G$130&lt;&gt;"acoes")))*INDEX(Inputs!$K$5:$AJ$130,0,MATCH(J$2,Inputs!$K$4:$AJ$4,0)))+SUMPRODUCT((Inputs!$E$5:$E$130=$B42)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2" s="6" t="e">
        <f>IF(ISNA(MATCH(K$2,Inputs!$K$4:$AJ$4,0)),NA(),IF(SUMPRODUCT((Inputs!$A$5:$A$130=$B42)*ISNUMBER(INDEX(Inputs!$K$5:$AJ$130,0,MATCH(K$2,Inputs!$K$4:$AJ$4,0))))+SUMPRODUCT((Inputs!$C$5:$C$130=$B42)*ISNUMBER(INDEX(Inputs!$K$5:$AJ$130,0,MATCH(K$2,Inputs!$K$4:$AJ$4,0))))+SUMPRODUCT((Inputs!$E$5:$E$130=$B42)*ISNUMBER(INDEX(Inputs!$K$5:$AJ$130,0,MATCH(K$2,Inputs!$K$4:$AJ$4,0))))=0,NA(),SUMPRODUCT((Inputs!$A$5:$A$130=$B42)*Inputs!$B$5:$B$130*(((Inputs!$G$5:$G$130="moeda")+(Inputs!$G$5:$G$130="acoes"))*Inputs!$B$1+((Inputs!$G$5:$G$130&lt;&gt;"moeda")*(Inputs!$G$5:$G$130&lt;&gt;"acoes")))*INDEX(Inputs!$K$5:$AJ$130,0,MATCH(K$2,Inputs!$K$4:$AJ$4,0)))+SUMPRODUCT((Inputs!$C$5:$C$130=$B42)*Inputs!$D$5:$D$130*(((Inputs!$G$5:$G$130="moeda")+(Inputs!$G$5:$G$130="acoes"))*Inputs!$B$1+((Inputs!$G$5:$G$130&lt;&gt;"moeda")*(Inputs!$G$5:$G$130&lt;&gt;"acoes")))*INDEX(Inputs!$K$5:$AJ$130,0,MATCH(K$2,Inputs!$K$4:$AJ$4,0)))+SUMPRODUCT((Inputs!$E$5:$E$130=$B42)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2" s="6" t="e">
        <f>IF(ISNA(MATCH(L$2,Inputs!$K$4:$AJ$4,0)),NA(),IF(SUMPRODUCT((Inputs!$A$5:$A$130=$B42)*ISNUMBER(INDEX(Inputs!$K$5:$AJ$130,0,MATCH(L$2,Inputs!$K$4:$AJ$4,0))))+SUMPRODUCT((Inputs!$C$5:$C$130=$B42)*ISNUMBER(INDEX(Inputs!$K$5:$AJ$130,0,MATCH(L$2,Inputs!$K$4:$AJ$4,0))))+SUMPRODUCT((Inputs!$E$5:$E$130=$B42)*ISNUMBER(INDEX(Inputs!$K$5:$AJ$130,0,MATCH(L$2,Inputs!$K$4:$AJ$4,0))))=0,NA(),SUMPRODUCT((Inputs!$A$5:$A$130=$B42)*Inputs!$B$5:$B$130*(((Inputs!$G$5:$G$130="moeda")+(Inputs!$G$5:$G$130="acoes"))*Inputs!$B$1+((Inputs!$G$5:$G$130&lt;&gt;"moeda")*(Inputs!$G$5:$G$130&lt;&gt;"acoes")))*INDEX(Inputs!$K$5:$AJ$130,0,MATCH(L$2,Inputs!$K$4:$AJ$4,0)))+SUMPRODUCT((Inputs!$C$5:$C$130=$B42)*Inputs!$D$5:$D$130*(((Inputs!$G$5:$G$130="moeda")+(Inputs!$G$5:$G$130="acoes"))*Inputs!$B$1+((Inputs!$G$5:$G$130&lt;&gt;"moeda")*(Inputs!$G$5:$G$130&lt;&gt;"acoes")))*INDEX(Inputs!$K$5:$AJ$130,0,MATCH(L$2,Inputs!$K$4:$AJ$4,0)))+SUMPRODUCT((Inputs!$E$5:$E$130=$B42)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2" s="3" t="e">
        <f>L42</f>
        <v>#N/A</v>
      </c>
      <c r="N42" s="6" t="e">
        <f>IF(ISNA(MATCH(N$2,Inputs!$K$4:$AJ$4,0)),NA(),IF(SUMPRODUCT((Inputs!$A$5:$A$130=$B42)*ISNUMBER(INDEX(Inputs!$K$5:$AJ$130,0,MATCH(N$2,Inputs!$K$4:$AJ$4,0))))+SUMPRODUCT((Inputs!$C$5:$C$130=$B42)*ISNUMBER(INDEX(Inputs!$K$5:$AJ$130,0,MATCH(N$2,Inputs!$K$4:$AJ$4,0))))+SUMPRODUCT((Inputs!$E$5:$E$130=$B42)*ISNUMBER(INDEX(Inputs!$K$5:$AJ$130,0,MATCH(N$2,Inputs!$K$4:$AJ$4,0))))=0,NA(),SUMPRODUCT((Inputs!$A$5:$A$130=$B42)*Inputs!$B$5:$B$130*(((Inputs!$G$5:$G$130="moeda")+(Inputs!$G$5:$G$130="acoes"))*Inputs!$B$1+((Inputs!$G$5:$G$130&lt;&gt;"moeda")*(Inputs!$G$5:$G$130&lt;&gt;"acoes")))*INDEX(Inputs!$K$5:$AJ$130,0,MATCH(N$2,Inputs!$K$4:$AJ$4,0)))+SUMPRODUCT((Inputs!$C$5:$C$130=$B42)*Inputs!$D$5:$D$130*(((Inputs!$G$5:$G$130="moeda")+(Inputs!$G$5:$G$130="acoes"))*Inputs!$B$1+((Inputs!$G$5:$G$130&lt;&gt;"moeda")*(Inputs!$G$5:$G$130&lt;&gt;"acoes")))*INDEX(Inputs!$K$5:$AJ$130,0,MATCH(N$2,Inputs!$K$4:$AJ$4,0)))+SUMPRODUCT((Inputs!$E$5:$E$130=$B42)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2" s="6" t="e">
        <f>IF(ISNA(MATCH(O$2,Inputs!$K$4:$AJ$4,0)),NA(),IF(SUMPRODUCT((Inputs!$A$5:$A$130=$B42)*ISNUMBER(INDEX(Inputs!$K$5:$AJ$130,0,MATCH(O$2,Inputs!$K$4:$AJ$4,0))))+SUMPRODUCT((Inputs!$C$5:$C$130=$B42)*ISNUMBER(INDEX(Inputs!$K$5:$AJ$130,0,MATCH(O$2,Inputs!$K$4:$AJ$4,0))))+SUMPRODUCT((Inputs!$E$5:$E$130=$B42)*ISNUMBER(INDEX(Inputs!$K$5:$AJ$130,0,MATCH(O$2,Inputs!$K$4:$AJ$4,0))))=0,NA(),SUMPRODUCT((Inputs!$A$5:$A$130=$B42)*Inputs!$B$5:$B$130*(((Inputs!$G$5:$G$130="moeda")+(Inputs!$G$5:$G$130="acoes"))*Inputs!$B$1+((Inputs!$G$5:$G$130&lt;&gt;"moeda")*(Inputs!$G$5:$G$130&lt;&gt;"acoes")))*INDEX(Inputs!$K$5:$AJ$130,0,MATCH(O$2,Inputs!$K$4:$AJ$4,0)))+SUMPRODUCT((Inputs!$C$5:$C$130=$B42)*Inputs!$D$5:$D$130*(((Inputs!$G$5:$G$130="moeda")+(Inputs!$G$5:$G$130="acoes"))*Inputs!$B$1+((Inputs!$G$5:$G$130&lt;&gt;"moeda")*(Inputs!$G$5:$G$130&lt;&gt;"acoes")))*INDEX(Inputs!$K$5:$AJ$130,0,MATCH(O$2,Inputs!$K$4:$AJ$4,0)))+SUMPRODUCT((Inputs!$E$5:$E$130=$B42)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2" s="6" t="e">
        <f>IF(ISNA(MATCH(P$2,Inputs!$K$4:$AJ$4,0)),NA(),IF(SUMPRODUCT((Inputs!$A$5:$A$130=$B42)*ISNUMBER(INDEX(Inputs!$K$5:$AJ$130,0,MATCH(P$2,Inputs!$K$4:$AJ$4,0))))+SUMPRODUCT((Inputs!$C$5:$C$130=$B42)*ISNUMBER(INDEX(Inputs!$K$5:$AJ$130,0,MATCH(P$2,Inputs!$K$4:$AJ$4,0))))+SUMPRODUCT((Inputs!$E$5:$E$130=$B42)*ISNUMBER(INDEX(Inputs!$K$5:$AJ$130,0,MATCH(P$2,Inputs!$K$4:$AJ$4,0))))=0,NA(),SUMPRODUCT((Inputs!$A$5:$A$130=$B42)*Inputs!$B$5:$B$130*(((Inputs!$G$5:$G$130="moeda")+(Inputs!$G$5:$G$130="acoes"))*Inputs!$B$1+((Inputs!$G$5:$G$130&lt;&gt;"moeda")*(Inputs!$G$5:$G$130&lt;&gt;"acoes")))*INDEX(Inputs!$K$5:$AJ$130,0,MATCH(P$2,Inputs!$K$4:$AJ$4,0)))+SUMPRODUCT((Inputs!$C$5:$C$130=$B42)*Inputs!$D$5:$D$130*(((Inputs!$G$5:$G$130="moeda")+(Inputs!$G$5:$G$130="acoes"))*Inputs!$B$1+((Inputs!$G$5:$G$130&lt;&gt;"moeda")*(Inputs!$G$5:$G$130&lt;&gt;"acoes")))*INDEX(Inputs!$K$5:$AJ$130,0,MATCH(P$2,Inputs!$K$4:$AJ$4,0)))+SUMPRODUCT((Inputs!$E$5:$E$130=$B42)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2" s="6" t="e">
        <f>IF(ISNA(MATCH(Q$2,Inputs!$K$4:$AJ$4,0)),NA(),IF(SUMPRODUCT((Inputs!$A$5:$A$130=$B42)*ISNUMBER(INDEX(Inputs!$K$5:$AJ$130,0,MATCH(Q$2,Inputs!$K$4:$AJ$4,0))))+SUMPRODUCT((Inputs!$C$5:$C$130=$B42)*ISNUMBER(INDEX(Inputs!$K$5:$AJ$130,0,MATCH(Q$2,Inputs!$K$4:$AJ$4,0))))+SUMPRODUCT((Inputs!$E$5:$E$130=$B42)*ISNUMBER(INDEX(Inputs!$K$5:$AJ$130,0,MATCH(Q$2,Inputs!$K$4:$AJ$4,0))))=0,NA(),SUMPRODUCT((Inputs!$A$5:$A$130=$B42)*Inputs!$B$5:$B$130*(((Inputs!$G$5:$G$130="moeda")+(Inputs!$G$5:$G$130="acoes"))*Inputs!$B$1+((Inputs!$G$5:$G$130&lt;&gt;"moeda")*(Inputs!$G$5:$G$130&lt;&gt;"acoes")))*INDEX(Inputs!$K$5:$AJ$130,0,MATCH(Q$2,Inputs!$K$4:$AJ$4,0)))+SUMPRODUCT((Inputs!$C$5:$C$130=$B42)*Inputs!$D$5:$D$130*(((Inputs!$G$5:$G$130="moeda")+(Inputs!$G$5:$G$130="acoes"))*Inputs!$B$1+((Inputs!$G$5:$G$130&lt;&gt;"moeda")*(Inputs!$G$5:$G$130&lt;&gt;"acoes")))*INDEX(Inputs!$K$5:$AJ$130,0,MATCH(Q$2,Inputs!$K$4:$AJ$4,0)))+SUMPRODUCT((Inputs!$E$5:$E$130=$B42)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2" s="3" t="e">
        <f>Q42</f>
        <v>#N/A</v>
      </c>
      <c r="S42" s="6" t="e">
        <f>IF(ISNA(MATCH(S$2,Inputs!$K$4:$AJ$4,0)),NA(),IF(SUMPRODUCT((Inputs!$A$5:$A$130=$B42)*ISNUMBER(INDEX(Inputs!$K$5:$AJ$130,0,MATCH(S$2,Inputs!$K$4:$AJ$4,0))))+SUMPRODUCT((Inputs!$C$5:$C$130=$B42)*ISNUMBER(INDEX(Inputs!$K$5:$AJ$130,0,MATCH(S$2,Inputs!$K$4:$AJ$4,0))))+SUMPRODUCT((Inputs!$E$5:$E$130=$B42)*ISNUMBER(INDEX(Inputs!$K$5:$AJ$130,0,MATCH(S$2,Inputs!$K$4:$AJ$4,0))))=0,NA(),SUMPRODUCT((Inputs!$A$5:$A$130=$B42)*Inputs!$B$5:$B$130*(((Inputs!$G$5:$G$130="moeda")+(Inputs!$G$5:$G$130="acoes"))*Inputs!$B$1+((Inputs!$G$5:$G$130&lt;&gt;"moeda")*(Inputs!$G$5:$G$130&lt;&gt;"acoes")))*INDEX(Inputs!$K$5:$AJ$130,0,MATCH(S$2,Inputs!$K$4:$AJ$4,0)))+SUMPRODUCT((Inputs!$C$5:$C$130=$B42)*Inputs!$D$5:$D$130*(((Inputs!$G$5:$G$130="moeda")+(Inputs!$G$5:$G$130="acoes"))*Inputs!$B$1+((Inputs!$G$5:$G$130&lt;&gt;"moeda")*(Inputs!$G$5:$G$130&lt;&gt;"acoes")))*INDEX(Inputs!$K$5:$AJ$130,0,MATCH(S$2,Inputs!$K$4:$AJ$4,0)))+SUMPRODUCT((Inputs!$E$5:$E$130=$B42)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2" s="6" t="e">
        <f>IF(ISNA(MATCH(T$2,Inputs!$K$4:$AJ$4,0)),NA(),IF(SUMPRODUCT((Inputs!$A$5:$A$130=$B42)*ISNUMBER(INDEX(Inputs!$K$5:$AJ$130,0,MATCH(T$2,Inputs!$K$4:$AJ$4,0))))+SUMPRODUCT((Inputs!$C$5:$C$130=$B42)*ISNUMBER(INDEX(Inputs!$K$5:$AJ$130,0,MATCH(T$2,Inputs!$K$4:$AJ$4,0))))+SUMPRODUCT((Inputs!$E$5:$E$130=$B42)*ISNUMBER(INDEX(Inputs!$K$5:$AJ$130,0,MATCH(T$2,Inputs!$K$4:$AJ$4,0))))=0,NA(),SUMPRODUCT((Inputs!$A$5:$A$130=$B42)*Inputs!$B$5:$B$130*(((Inputs!$G$5:$G$130="moeda")+(Inputs!$G$5:$G$130="acoes"))*Inputs!$B$1+((Inputs!$G$5:$G$130&lt;&gt;"moeda")*(Inputs!$G$5:$G$130&lt;&gt;"acoes")))*INDEX(Inputs!$K$5:$AJ$130,0,MATCH(T$2,Inputs!$K$4:$AJ$4,0)))+SUMPRODUCT((Inputs!$C$5:$C$130=$B42)*Inputs!$D$5:$D$130*(((Inputs!$G$5:$G$130="moeda")+(Inputs!$G$5:$G$130="acoes"))*Inputs!$B$1+((Inputs!$G$5:$G$130&lt;&gt;"moeda")*(Inputs!$G$5:$G$130&lt;&gt;"acoes")))*INDEX(Inputs!$K$5:$AJ$130,0,MATCH(T$2,Inputs!$K$4:$AJ$4,0)))+SUMPRODUCT((Inputs!$E$5:$E$130=$B42)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2" s="6" t="e">
        <f>IF(ISNA(MATCH(U$2,Inputs!$K$4:$AJ$4,0)),NA(),IF(SUMPRODUCT((Inputs!$A$5:$A$130=$B42)*ISNUMBER(INDEX(Inputs!$K$5:$AJ$130,0,MATCH(U$2,Inputs!$K$4:$AJ$4,0))))+SUMPRODUCT((Inputs!$C$5:$C$130=$B42)*ISNUMBER(INDEX(Inputs!$K$5:$AJ$130,0,MATCH(U$2,Inputs!$K$4:$AJ$4,0))))+SUMPRODUCT((Inputs!$E$5:$E$130=$B42)*ISNUMBER(INDEX(Inputs!$K$5:$AJ$130,0,MATCH(U$2,Inputs!$K$4:$AJ$4,0))))=0,NA(),SUMPRODUCT((Inputs!$A$5:$A$130=$B42)*Inputs!$B$5:$B$130*(((Inputs!$G$5:$G$130="moeda")+(Inputs!$G$5:$G$130="acoes"))*Inputs!$B$1+((Inputs!$G$5:$G$130&lt;&gt;"moeda")*(Inputs!$G$5:$G$130&lt;&gt;"acoes")))*INDEX(Inputs!$K$5:$AJ$130,0,MATCH(U$2,Inputs!$K$4:$AJ$4,0)))+SUMPRODUCT((Inputs!$C$5:$C$130=$B42)*Inputs!$D$5:$D$130*(((Inputs!$G$5:$G$130="moeda")+(Inputs!$G$5:$G$130="acoes"))*Inputs!$B$1+((Inputs!$G$5:$G$130&lt;&gt;"moeda")*(Inputs!$G$5:$G$130&lt;&gt;"acoes")))*INDEX(Inputs!$K$5:$AJ$130,0,MATCH(U$2,Inputs!$K$4:$AJ$4,0)))+SUMPRODUCT((Inputs!$E$5:$E$130=$B42)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2" s="6" t="e">
        <f>IF(ISNA(MATCH(V$2,Inputs!$K$4:$AJ$4,0)),NA(),IF(SUMPRODUCT((Inputs!$A$5:$A$130=$B42)*ISNUMBER(INDEX(Inputs!$K$5:$AJ$130,0,MATCH(V$2,Inputs!$K$4:$AJ$4,0))))+SUMPRODUCT((Inputs!$C$5:$C$130=$B42)*ISNUMBER(INDEX(Inputs!$K$5:$AJ$130,0,MATCH(V$2,Inputs!$K$4:$AJ$4,0))))+SUMPRODUCT((Inputs!$E$5:$E$130=$B42)*ISNUMBER(INDEX(Inputs!$K$5:$AJ$130,0,MATCH(V$2,Inputs!$K$4:$AJ$4,0))))=0,NA(),SUMPRODUCT((Inputs!$A$5:$A$130=$B42)*Inputs!$B$5:$B$130*(((Inputs!$G$5:$G$130="moeda")+(Inputs!$G$5:$G$130="acoes"))*Inputs!$B$1+((Inputs!$G$5:$G$130&lt;&gt;"moeda")*(Inputs!$G$5:$G$130&lt;&gt;"acoes")))*INDEX(Inputs!$K$5:$AJ$130,0,MATCH(V$2,Inputs!$K$4:$AJ$4,0)))+SUMPRODUCT((Inputs!$C$5:$C$130=$B42)*Inputs!$D$5:$D$130*(((Inputs!$G$5:$G$130="moeda")+(Inputs!$G$5:$G$130="acoes"))*Inputs!$B$1+((Inputs!$G$5:$G$130&lt;&gt;"moeda")*(Inputs!$G$5:$G$130&lt;&gt;"acoes")))*INDEX(Inputs!$K$5:$AJ$130,0,MATCH(V$2,Inputs!$K$4:$AJ$4,0)))+SUMPRODUCT((Inputs!$E$5:$E$130=$B42)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2" s="3" t="e">
        <f>V42</f>
        <v>#N/A</v>
      </c>
      <c r="X42" s="6" t="e">
        <f>IF(ISNA(MATCH(X$2,Inputs!$K$4:$AJ$4,0)),NA(),IF(SUMPRODUCT((Inputs!$A$5:$A$130=$B42)*ISNUMBER(INDEX(Inputs!$K$5:$AJ$130,0,MATCH(X$2,Inputs!$K$4:$AJ$4,0))))+SUMPRODUCT((Inputs!$C$5:$C$130=$B42)*ISNUMBER(INDEX(Inputs!$K$5:$AJ$130,0,MATCH(X$2,Inputs!$K$4:$AJ$4,0))))+SUMPRODUCT((Inputs!$E$5:$E$130=$B42)*ISNUMBER(INDEX(Inputs!$K$5:$AJ$130,0,MATCH(X$2,Inputs!$K$4:$AJ$4,0))))=0,NA(),SUMPRODUCT((Inputs!$A$5:$A$130=$B42)*Inputs!$B$5:$B$130*(((Inputs!$G$5:$G$130="moeda")+(Inputs!$G$5:$G$130="acoes"))*Inputs!$B$1+((Inputs!$G$5:$G$130&lt;&gt;"moeda")*(Inputs!$G$5:$G$130&lt;&gt;"acoes")))*INDEX(Inputs!$K$5:$AJ$130,0,MATCH(X$2,Inputs!$K$4:$AJ$4,0)))+SUMPRODUCT((Inputs!$C$5:$C$130=$B42)*Inputs!$D$5:$D$130*(((Inputs!$G$5:$G$130="moeda")+(Inputs!$G$5:$G$130="acoes"))*Inputs!$B$1+((Inputs!$G$5:$G$130&lt;&gt;"moeda")*(Inputs!$G$5:$G$130&lt;&gt;"acoes")))*INDEX(Inputs!$K$5:$AJ$130,0,MATCH(X$2,Inputs!$K$4:$AJ$4,0)))+SUMPRODUCT((Inputs!$E$5:$E$130=$B42)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2" s="6" t="e">
        <f>IF(ISNA(MATCH(Y$2,Inputs!$K$4:$AJ$4,0)),NA(),IF(SUMPRODUCT((Inputs!$A$5:$A$130=$B42)*ISNUMBER(INDEX(Inputs!$K$5:$AJ$130,0,MATCH(Y$2,Inputs!$K$4:$AJ$4,0))))+SUMPRODUCT((Inputs!$C$5:$C$130=$B42)*ISNUMBER(INDEX(Inputs!$K$5:$AJ$130,0,MATCH(Y$2,Inputs!$K$4:$AJ$4,0))))+SUMPRODUCT((Inputs!$E$5:$E$130=$B42)*ISNUMBER(INDEX(Inputs!$K$5:$AJ$130,0,MATCH(Y$2,Inputs!$K$4:$AJ$4,0))))=0,NA(),SUMPRODUCT((Inputs!$A$5:$A$130=$B42)*Inputs!$B$5:$B$130*(((Inputs!$G$5:$G$130="moeda")+(Inputs!$G$5:$G$130="acoes"))*Inputs!$B$1+((Inputs!$G$5:$G$130&lt;&gt;"moeda")*(Inputs!$G$5:$G$130&lt;&gt;"acoes")))*INDEX(Inputs!$K$5:$AJ$130,0,MATCH(Y$2,Inputs!$K$4:$AJ$4,0)))+SUMPRODUCT((Inputs!$C$5:$C$130=$B42)*Inputs!$D$5:$D$130*(((Inputs!$G$5:$G$130="moeda")+(Inputs!$G$5:$G$130="acoes"))*Inputs!$B$1+((Inputs!$G$5:$G$130&lt;&gt;"moeda")*(Inputs!$G$5:$G$130&lt;&gt;"acoes")))*INDEX(Inputs!$K$5:$AJ$130,0,MATCH(Y$2,Inputs!$K$4:$AJ$4,0)))+SUMPRODUCT((Inputs!$E$5:$E$130=$B42)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2" s="6" t="e">
        <f>IF(ISNA(MATCH(Z$2,Inputs!$K$4:$AJ$4,0)),NA(),IF(SUMPRODUCT((Inputs!$A$5:$A$130=$B42)*ISNUMBER(INDEX(Inputs!$K$5:$AJ$130,0,MATCH(Z$2,Inputs!$K$4:$AJ$4,0))))+SUMPRODUCT((Inputs!$C$5:$C$130=$B42)*ISNUMBER(INDEX(Inputs!$K$5:$AJ$130,0,MATCH(Z$2,Inputs!$K$4:$AJ$4,0))))+SUMPRODUCT((Inputs!$E$5:$E$130=$B42)*ISNUMBER(INDEX(Inputs!$K$5:$AJ$130,0,MATCH(Z$2,Inputs!$K$4:$AJ$4,0))))=0,NA(),SUMPRODUCT((Inputs!$A$5:$A$130=$B42)*Inputs!$B$5:$B$130*(((Inputs!$G$5:$G$130="moeda")+(Inputs!$G$5:$G$130="acoes"))*Inputs!$B$1+((Inputs!$G$5:$G$130&lt;&gt;"moeda")*(Inputs!$G$5:$G$130&lt;&gt;"acoes")))*INDEX(Inputs!$K$5:$AJ$130,0,MATCH(Z$2,Inputs!$K$4:$AJ$4,0)))+SUMPRODUCT((Inputs!$C$5:$C$130=$B42)*Inputs!$D$5:$D$130*(((Inputs!$G$5:$G$130="moeda")+(Inputs!$G$5:$G$130="acoes"))*Inputs!$B$1+((Inputs!$G$5:$G$130&lt;&gt;"moeda")*(Inputs!$G$5:$G$130&lt;&gt;"acoes")))*INDEX(Inputs!$K$5:$AJ$130,0,MATCH(Z$2,Inputs!$K$4:$AJ$4,0)))+SUMPRODUCT((Inputs!$E$5:$E$130=$B42)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2" s="6" t="e">
        <f>IF(ISNA(MATCH(AA$2,Inputs!$K$4:$AJ$4,0)),NA(),IF(SUMPRODUCT((Inputs!$A$5:$A$130=$B42)*ISNUMBER(INDEX(Inputs!$K$5:$AJ$130,0,MATCH(AA$2,Inputs!$K$4:$AJ$4,0))))+SUMPRODUCT((Inputs!$C$5:$C$130=$B42)*ISNUMBER(INDEX(Inputs!$K$5:$AJ$130,0,MATCH(AA$2,Inputs!$K$4:$AJ$4,0))))+SUMPRODUCT((Inputs!$E$5:$E$130=$B42)*ISNUMBER(INDEX(Inputs!$K$5:$AJ$130,0,MATCH(AA$2,Inputs!$K$4:$AJ$4,0))))=0,NA(),SUMPRODUCT((Inputs!$A$5:$A$130=$B42)*Inputs!$B$5:$B$130*(((Inputs!$G$5:$G$130="moeda")+(Inputs!$G$5:$G$130="acoes"))*Inputs!$B$1+((Inputs!$G$5:$G$130&lt;&gt;"moeda")*(Inputs!$G$5:$G$130&lt;&gt;"acoes")))*INDEX(Inputs!$K$5:$AJ$130,0,MATCH(AA$2,Inputs!$K$4:$AJ$4,0)))+SUMPRODUCT((Inputs!$C$5:$C$130=$B42)*Inputs!$D$5:$D$130*(((Inputs!$G$5:$G$130="moeda")+(Inputs!$G$5:$G$130="acoes"))*Inputs!$B$1+((Inputs!$G$5:$G$130&lt;&gt;"moeda")*(Inputs!$G$5:$G$130&lt;&gt;"acoes")))*INDEX(Inputs!$K$5:$AJ$130,0,MATCH(AA$2,Inputs!$K$4:$AJ$4,0)))+SUMPRODUCT((Inputs!$E$5:$E$130=$B42)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2" s="3" t="e">
        <f>AA42</f>
        <v>#N/A</v>
      </c>
      <c r="AC42" s="6" t="e">
        <f>IF(ISNA(MATCH(AC$2,Inputs!$K$4:$AJ$4,0)),NA(),IF(SUMPRODUCT((Inputs!$A$5:$A$130=$B42)*ISNUMBER(INDEX(Inputs!$K$5:$AJ$130,0,MATCH(AC$2,Inputs!$K$4:$AJ$4,0))))+SUMPRODUCT((Inputs!$C$5:$C$130=$B42)*ISNUMBER(INDEX(Inputs!$K$5:$AJ$130,0,MATCH(AC$2,Inputs!$K$4:$AJ$4,0))))+SUMPRODUCT((Inputs!$E$5:$E$130=$B42)*ISNUMBER(INDEX(Inputs!$K$5:$AJ$130,0,MATCH(AC$2,Inputs!$K$4:$AJ$4,0))))=0,NA(),SUMPRODUCT((Inputs!$A$5:$A$130=$B42)*Inputs!$B$5:$B$130*(((Inputs!$G$5:$G$130="moeda")+(Inputs!$G$5:$G$130="acoes"))*Inputs!$B$1+((Inputs!$G$5:$G$130&lt;&gt;"moeda")*(Inputs!$G$5:$G$130&lt;&gt;"acoes")))*INDEX(Inputs!$K$5:$AJ$130,0,MATCH(AC$2,Inputs!$K$4:$AJ$4,0)))+SUMPRODUCT((Inputs!$C$5:$C$130=$B42)*Inputs!$D$5:$D$130*(((Inputs!$G$5:$G$130="moeda")+(Inputs!$G$5:$G$130="acoes"))*Inputs!$B$1+((Inputs!$G$5:$G$130&lt;&gt;"moeda")*(Inputs!$G$5:$G$130&lt;&gt;"acoes")))*INDEX(Inputs!$K$5:$AJ$130,0,MATCH(AC$2,Inputs!$K$4:$AJ$4,0)))+SUMPRODUCT((Inputs!$E$5:$E$130=$B42)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2" s="6" t="e">
        <f>IF(ISNA(MATCH(AD$2,Inputs!$K$4:$AJ$4,0)),NA(),IF(SUMPRODUCT((Inputs!$A$5:$A$130=$B42)*ISNUMBER(INDEX(Inputs!$K$5:$AJ$130,0,MATCH(AD$2,Inputs!$K$4:$AJ$4,0))))+SUMPRODUCT((Inputs!$C$5:$C$130=$B42)*ISNUMBER(INDEX(Inputs!$K$5:$AJ$130,0,MATCH(AD$2,Inputs!$K$4:$AJ$4,0))))+SUMPRODUCT((Inputs!$E$5:$E$130=$B42)*ISNUMBER(INDEX(Inputs!$K$5:$AJ$130,0,MATCH(AD$2,Inputs!$K$4:$AJ$4,0))))=0,NA(),SUMPRODUCT((Inputs!$A$5:$A$130=$B42)*Inputs!$B$5:$B$130*(((Inputs!$G$5:$G$130="moeda")+(Inputs!$G$5:$G$130="acoes"))*Inputs!$B$1+((Inputs!$G$5:$G$130&lt;&gt;"moeda")*(Inputs!$G$5:$G$130&lt;&gt;"acoes")))*INDEX(Inputs!$K$5:$AJ$130,0,MATCH(AD$2,Inputs!$K$4:$AJ$4,0)))+SUMPRODUCT((Inputs!$C$5:$C$130=$B42)*Inputs!$D$5:$D$130*(((Inputs!$G$5:$G$130="moeda")+(Inputs!$G$5:$G$130="acoes"))*Inputs!$B$1+((Inputs!$G$5:$G$130&lt;&gt;"moeda")*(Inputs!$G$5:$G$130&lt;&gt;"acoes")))*INDEX(Inputs!$K$5:$AJ$130,0,MATCH(AD$2,Inputs!$K$4:$AJ$4,0)))+SUMPRODUCT((Inputs!$E$5:$E$130=$B42)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2" s="6" t="e">
        <f>IF(ISNA(MATCH(AE$2,Inputs!$K$4:$AJ$4,0)),NA(),IF(SUMPRODUCT((Inputs!$A$5:$A$130=$B42)*ISNUMBER(INDEX(Inputs!$K$5:$AJ$130,0,MATCH(AE$2,Inputs!$K$4:$AJ$4,0))))+SUMPRODUCT((Inputs!$C$5:$C$130=$B42)*ISNUMBER(INDEX(Inputs!$K$5:$AJ$130,0,MATCH(AE$2,Inputs!$K$4:$AJ$4,0))))+SUMPRODUCT((Inputs!$E$5:$E$130=$B42)*ISNUMBER(INDEX(Inputs!$K$5:$AJ$130,0,MATCH(AE$2,Inputs!$K$4:$AJ$4,0))))=0,NA(),SUMPRODUCT((Inputs!$A$5:$A$130=$B42)*Inputs!$B$5:$B$130*(((Inputs!$G$5:$G$130="moeda")+(Inputs!$G$5:$G$130="acoes"))*Inputs!$B$1+((Inputs!$G$5:$G$130&lt;&gt;"moeda")*(Inputs!$G$5:$G$130&lt;&gt;"acoes")))*INDEX(Inputs!$K$5:$AJ$130,0,MATCH(AE$2,Inputs!$K$4:$AJ$4,0)))+SUMPRODUCT((Inputs!$C$5:$C$130=$B42)*Inputs!$D$5:$D$130*(((Inputs!$G$5:$G$130="moeda")+(Inputs!$G$5:$G$130="acoes"))*Inputs!$B$1+((Inputs!$G$5:$G$130&lt;&gt;"moeda")*(Inputs!$G$5:$G$130&lt;&gt;"acoes")))*INDEX(Inputs!$K$5:$AJ$130,0,MATCH(AE$2,Inputs!$K$4:$AJ$4,0)))+SUMPRODUCT((Inputs!$E$5:$E$130=$B42)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2" s="6" t="e">
        <f>IF(ISNA(MATCH(AF$2,Inputs!$K$4:$AJ$4,0)),NA(),IF(SUMPRODUCT((Inputs!$A$5:$A$130=$B42)*ISNUMBER(INDEX(Inputs!$K$5:$AJ$130,0,MATCH(AF$2,Inputs!$K$4:$AJ$4,0))))+SUMPRODUCT((Inputs!$C$5:$C$130=$B42)*ISNUMBER(INDEX(Inputs!$K$5:$AJ$130,0,MATCH(AF$2,Inputs!$K$4:$AJ$4,0))))+SUMPRODUCT((Inputs!$E$5:$E$130=$B42)*ISNUMBER(INDEX(Inputs!$K$5:$AJ$130,0,MATCH(AF$2,Inputs!$K$4:$AJ$4,0))))=0,NA(),SUMPRODUCT((Inputs!$A$5:$A$130=$B42)*Inputs!$B$5:$B$130*(((Inputs!$G$5:$G$130="moeda")+(Inputs!$G$5:$G$130="acoes"))*Inputs!$B$1+((Inputs!$G$5:$G$130&lt;&gt;"moeda")*(Inputs!$G$5:$G$130&lt;&gt;"acoes")))*INDEX(Inputs!$K$5:$AJ$130,0,MATCH(AF$2,Inputs!$K$4:$AJ$4,0)))+SUMPRODUCT((Inputs!$C$5:$C$130=$B42)*Inputs!$D$5:$D$130*(((Inputs!$G$5:$G$130="moeda")+(Inputs!$G$5:$G$130="acoes"))*Inputs!$B$1+((Inputs!$G$5:$G$130&lt;&gt;"moeda")*(Inputs!$G$5:$G$130&lt;&gt;"acoes")))*INDEX(Inputs!$K$5:$AJ$130,0,MATCH(AF$2,Inputs!$K$4:$AJ$4,0)))+SUMPRODUCT((Inputs!$E$5:$E$130=$B42)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2" s="3" t="e">
        <f>AF42</f>
        <v>#N/A</v>
      </c>
      <c r="AH42" s="6" t="e">
        <f>IF(ISNA(MATCH(AH$2,Inputs!$K$4:$AJ$4,0)),NA(),IF(SUMPRODUCT((Inputs!$A$5:$A$130=$B42)*ISNUMBER(INDEX(Inputs!$K$5:$AJ$130,0,MATCH(AH$2,Inputs!$K$4:$AJ$4,0))))+SUMPRODUCT((Inputs!$C$5:$C$130=$B42)*ISNUMBER(INDEX(Inputs!$K$5:$AJ$130,0,MATCH(AH$2,Inputs!$K$4:$AJ$4,0))))+SUMPRODUCT((Inputs!$E$5:$E$130=$B42)*ISNUMBER(INDEX(Inputs!$K$5:$AJ$130,0,MATCH(AH$2,Inputs!$K$4:$AJ$4,0))))=0,NA(),SUMPRODUCT((Inputs!$A$5:$A$130=$B42)*Inputs!$B$5:$B$130*(((Inputs!$G$5:$G$130="moeda")+(Inputs!$G$5:$G$130="acoes"))*Inputs!$B$1+((Inputs!$G$5:$G$130&lt;&gt;"moeda")*(Inputs!$G$5:$G$130&lt;&gt;"acoes")))*INDEX(Inputs!$K$5:$AJ$130,0,MATCH(AH$2,Inputs!$K$4:$AJ$4,0)))+SUMPRODUCT((Inputs!$C$5:$C$130=$B42)*Inputs!$D$5:$D$130*(((Inputs!$G$5:$G$130="moeda")+(Inputs!$G$5:$G$130="acoes"))*Inputs!$B$1+((Inputs!$G$5:$G$130&lt;&gt;"moeda")*(Inputs!$G$5:$G$130&lt;&gt;"acoes")))*INDEX(Inputs!$K$5:$AJ$130,0,MATCH(AH$2,Inputs!$K$4:$AJ$4,0)))+SUMPRODUCT((Inputs!$E$5:$E$130=$B42)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2" s="6" t="e">
        <f>IF(ISNA(MATCH(AI$2,Inputs!$K$4:$AJ$4,0)),NA(),IF(SUMPRODUCT((Inputs!$A$5:$A$130=$B42)*ISNUMBER(INDEX(Inputs!$K$5:$AJ$130,0,MATCH(AI$2,Inputs!$K$4:$AJ$4,0))))+SUMPRODUCT((Inputs!$C$5:$C$130=$B42)*ISNUMBER(INDEX(Inputs!$K$5:$AJ$130,0,MATCH(AI$2,Inputs!$K$4:$AJ$4,0))))+SUMPRODUCT((Inputs!$E$5:$E$130=$B42)*ISNUMBER(INDEX(Inputs!$K$5:$AJ$130,0,MATCH(AI$2,Inputs!$K$4:$AJ$4,0))))=0,NA(),SUMPRODUCT((Inputs!$A$5:$A$130=$B42)*Inputs!$B$5:$B$130*(((Inputs!$G$5:$G$130="moeda")+(Inputs!$G$5:$G$130="acoes"))*Inputs!$B$1+((Inputs!$G$5:$G$130&lt;&gt;"moeda")*(Inputs!$G$5:$G$130&lt;&gt;"acoes")))*INDEX(Inputs!$K$5:$AJ$130,0,MATCH(AI$2,Inputs!$K$4:$AJ$4,0)))+SUMPRODUCT((Inputs!$C$5:$C$130=$B42)*Inputs!$D$5:$D$130*(((Inputs!$G$5:$G$130="moeda")+(Inputs!$G$5:$G$130="acoes"))*Inputs!$B$1+((Inputs!$G$5:$G$130&lt;&gt;"moeda")*(Inputs!$G$5:$G$130&lt;&gt;"acoes")))*INDEX(Inputs!$K$5:$AJ$130,0,MATCH(AI$2,Inputs!$K$4:$AJ$4,0)))+SUMPRODUCT((Inputs!$E$5:$E$130=$B42)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2" s="6" t="e">
        <f>IF(ISNA(MATCH(AJ$2,Inputs!$K$4:$AJ$4,0)),NA(),IF(SUMPRODUCT((Inputs!$A$5:$A$130=$B42)*ISNUMBER(INDEX(Inputs!$K$5:$AJ$130,0,MATCH(AJ$2,Inputs!$K$4:$AJ$4,0))))+SUMPRODUCT((Inputs!$C$5:$C$130=$B42)*ISNUMBER(INDEX(Inputs!$K$5:$AJ$130,0,MATCH(AJ$2,Inputs!$K$4:$AJ$4,0))))+SUMPRODUCT((Inputs!$E$5:$E$130=$B42)*ISNUMBER(INDEX(Inputs!$K$5:$AJ$130,0,MATCH(AJ$2,Inputs!$K$4:$AJ$4,0))))=0,NA(),SUMPRODUCT((Inputs!$A$5:$A$130=$B42)*Inputs!$B$5:$B$130*(((Inputs!$G$5:$G$130="moeda")+(Inputs!$G$5:$G$130="acoes"))*Inputs!$B$1+((Inputs!$G$5:$G$130&lt;&gt;"moeda")*(Inputs!$G$5:$G$130&lt;&gt;"acoes")))*INDEX(Inputs!$K$5:$AJ$130,0,MATCH(AJ$2,Inputs!$K$4:$AJ$4,0)))+SUMPRODUCT((Inputs!$C$5:$C$130=$B42)*Inputs!$D$5:$D$130*(((Inputs!$G$5:$G$130="moeda")+(Inputs!$G$5:$G$130="acoes"))*Inputs!$B$1+((Inputs!$G$5:$G$130&lt;&gt;"moeda")*(Inputs!$G$5:$G$130&lt;&gt;"acoes")))*INDEX(Inputs!$K$5:$AJ$130,0,MATCH(AJ$2,Inputs!$K$4:$AJ$4,0)))+SUMPRODUCT((Inputs!$E$5:$E$130=$B42)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2" s="6" t="e">
        <f>IF(ISNA(MATCH(AK$2,Inputs!$K$4:$AJ$4,0)),NA(),IF(SUMPRODUCT((Inputs!$A$5:$A$130=$B42)*ISNUMBER(INDEX(Inputs!$K$5:$AJ$130,0,MATCH(AK$2,Inputs!$K$4:$AJ$4,0))))+SUMPRODUCT((Inputs!$C$5:$C$130=$B42)*ISNUMBER(INDEX(Inputs!$K$5:$AJ$130,0,MATCH(AK$2,Inputs!$K$4:$AJ$4,0))))+SUMPRODUCT((Inputs!$E$5:$E$130=$B42)*ISNUMBER(INDEX(Inputs!$K$5:$AJ$130,0,MATCH(AK$2,Inputs!$K$4:$AJ$4,0))))=0,NA(),SUMPRODUCT((Inputs!$A$5:$A$130=$B42)*Inputs!$B$5:$B$130*(((Inputs!$G$5:$G$130="moeda")+(Inputs!$G$5:$G$130="acoes"))*Inputs!$B$1+((Inputs!$G$5:$G$130&lt;&gt;"moeda")*(Inputs!$G$5:$G$130&lt;&gt;"acoes")))*INDEX(Inputs!$K$5:$AJ$130,0,MATCH(AK$2,Inputs!$K$4:$AJ$4,0)))+SUMPRODUCT((Inputs!$C$5:$C$130=$B42)*Inputs!$D$5:$D$130*(((Inputs!$G$5:$G$130="moeda")+(Inputs!$G$5:$G$130="acoes"))*Inputs!$B$1+((Inputs!$G$5:$G$130&lt;&gt;"moeda")*(Inputs!$G$5:$G$130&lt;&gt;"acoes")))*INDEX(Inputs!$K$5:$AJ$130,0,MATCH(AK$2,Inputs!$K$4:$AJ$4,0)))+SUMPRODUCT((Inputs!$E$5:$E$130=$B42)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$130=$B43)*ISNUMBER(INDEX(Inputs!$K$5:$AJ$130,0,MATCH(D$2,Inputs!$K$4:$AJ$4,0))))+SUMPRODUCT((Inputs!$C$5:$C$130=$B43)*ISNUMBER(INDEX(Inputs!$K$5:$AJ$130,0,MATCH(D$2,Inputs!$K$4:$AJ$4,0))))+SUMPRODUCT((Inputs!$E$5:$E$130=$B43)*ISNUMBER(INDEX(Inputs!$K$5:$AJ$130,0,MATCH(D$2,Inputs!$K$4:$AJ$4,0))))=0,NA(),SUMPRODUCT((Inputs!$A$5:$A$130=$B43)*Inputs!$B$5:$B$130*(((Inputs!$G$5:$G$130="moeda")+(Inputs!$G$5:$G$130="acoes"))*Inputs!$B$1+((Inputs!$G$5:$G$130&lt;&gt;"moeda")*(Inputs!$G$5:$G$130&lt;&gt;"acoes")))*INDEX(Inputs!$K$5:$AJ$130,0,MATCH(D$2,Inputs!$K$4:$AJ$4,0)))+SUMPRODUCT((Inputs!$C$5:$C$130=$B43)*Inputs!$D$5:$D$130*(((Inputs!$G$5:$G$130="moeda")+(Inputs!$G$5:$G$130="acoes"))*Inputs!$B$1+((Inputs!$G$5:$G$130&lt;&gt;"moeda")*(Inputs!$G$5:$G$130&lt;&gt;"acoes")))*INDEX(Inputs!$K$5:$AJ$130,0,MATCH(D$2,Inputs!$K$4:$AJ$4,0)))+SUMPRODUCT((Inputs!$E$5:$E$130=$B43)*Inputs!$F$5:$F$130*(((Inputs!$G$5:$G$130="moeda")+(Inputs!$G$5:$G$130="acoes"))*Inputs!$B$1+((Inputs!$G$5:$G$130&lt;&gt;"moeda")*(Inputs!$G$5:$G$130&lt;&gt;"acoes")))*INDEX(Inputs!$K$5:$AJ$130,0,MATCH(D$2,Inputs!$K$4:$AJ$4,0)))))</f>
        <v>4999</v>
      </c>
      <c r="E43" s="6">
        <f>IF(ISNA(MATCH(E$2,Inputs!$K$4:$AJ$4,0)),NA(),IF(SUMPRODUCT((Inputs!$A$5:$A$130=$B43)*ISNUMBER(INDEX(Inputs!$K$5:$AJ$130,0,MATCH(E$2,Inputs!$K$4:$AJ$4,0))))+SUMPRODUCT((Inputs!$C$5:$C$130=$B43)*ISNUMBER(INDEX(Inputs!$K$5:$AJ$130,0,MATCH(E$2,Inputs!$K$4:$AJ$4,0))))+SUMPRODUCT((Inputs!$E$5:$E$130=$B43)*ISNUMBER(INDEX(Inputs!$K$5:$AJ$130,0,MATCH(E$2,Inputs!$K$4:$AJ$4,0))))=0,NA(),SUMPRODUCT((Inputs!$A$5:$A$130=$B43)*Inputs!$B$5:$B$130*(((Inputs!$G$5:$G$130="moeda")+(Inputs!$G$5:$G$130="acoes"))*Inputs!$B$1+((Inputs!$G$5:$G$130&lt;&gt;"moeda")*(Inputs!$G$5:$G$130&lt;&gt;"acoes")))*INDEX(Inputs!$K$5:$AJ$130,0,MATCH(E$2,Inputs!$K$4:$AJ$4,0)))+SUMPRODUCT((Inputs!$C$5:$C$130=$B43)*Inputs!$D$5:$D$130*(((Inputs!$G$5:$G$130="moeda")+(Inputs!$G$5:$G$130="acoes"))*Inputs!$B$1+((Inputs!$G$5:$G$130&lt;&gt;"moeda")*(Inputs!$G$5:$G$130&lt;&gt;"acoes")))*INDEX(Inputs!$K$5:$AJ$130,0,MATCH(E$2,Inputs!$K$4:$AJ$4,0)))+SUMPRODUCT((Inputs!$E$5:$E$130=$B43)*Inputs!$F$5:$F$130*(((Inputs!$G$5:$G$130="moeda")+(Inputs!$G$5:$G$130="acoes"))*Inputs!$B$1+((Inputs!$G$5:$G$130&lt;&gt;"moeda")*(Inputs!$G$5:$G$130&lt;&gt;"acoes")))*INDEX(Inputs!$K$5:$AJ$130,0,MATCH(E$2,Inputs!$K$4:$AJ$4,0)))))</f>
        <v>5031</v>
      </c>
      <c r="F43" s="6">
        <f>IF(ISNA(MATCH(F$2,Inputs!$K$4:$AJ$4,0)),NA(),IF(SUMPRODUCT((Inputs!$A$5:$A$130=$B43)*ISNUMBER(INDEX(Inputs!$K$5:$AJ$130,0,MATCH(F$2,Inputs!$K$4:$AJ$4,0))))+SUMPRODUCT((Inputs!$C$5:$C$130=$B43)*ISNUMBER(INDEX(Inputs!$K$5:$AJ$130,0,MATCH(F$2,Inputs!$K$4:$AJ$4,0))))+SUMPRODUCT((Inputs!$E$5:$E$130=$B43)*ISNUMBER(INDEX(Inputs!$K$5:$AJ$130,0,MATCH(F$2,Inputs!$K$4:$AJ$4,0))))=0,NA(),SUMPRODUCT((Inputs!$A$5:$A$130=$B43)*Inputs!$B$5:$B$130*(((Inputs!$G$5:$G$130="moeda")+(Inputs!$G$5:$G$130="acoes"))*Inputs!$B$1+((Inputs!$G$5:$G$130&lt;&gt;"moeda")*(Inputs!$G$5:$G$130&lt;&gt;"acoes")))*INDEX(Inputs!$K$5:$AJ$130,0,MATCH(F$2,Inputs!$K$4:$AJ$4,0)))+SUMPRODUCT((Inputs!$C$5:$C$130=$B43)*Inputs!$D$5:$D$130*(((Inputs!$G$5:$G$130="moeda")+(Inputs!$G$5:$G$130="acoes"))*Inputs!$B$1+((Inputs!$G$5:$G$130&lt;&gt;"moeda")*(Inputs!$G$5:$G$130&lt;&gt;"acoes")))*INDEX(Inputs!$K$5:$AJ$130,0,MATCH(F$2,Inputs!$K$4:$AJ$4,0)))+SUMPRODUCT((Inputs!$E$5:$E$130=$B43)*Inputs!$F$5:$F$130*(((Inputs!$G$5:$G$130="moeda")+(Inputs!$G$5:$G$130="acoes"))*Inputs!$B$1+((Inputs!$G$5:$G$130&lt;&gt;"moeda")*(Inputs!$G$5:$G$130&lt;&gt;"acoes")))*INDEX(Inputs!$K$5:$AJ$130,0,MATCH(F$2,Inputs!$K$4:$AJ$4,0)))))</f>
        <v>5054</v>
      </c>
      <c r="G43" s="6">
        <f>IF(ISNA(MATCH(G$2,Inputs!$K$4:$AJ$4,0)),NA(),IF(SUMPRODUCT((Inputs!$A$5:$A$130=$B43)*ISNUMBER(INDEX(Inputs!$K$5:$AJ$130,0,MATCH(G$2,Inputs!$K$4:$AJ$4,0))))+SUMPRODUCT((Inputs!$C$5:$C$130=$B43)*ISNUMBER(INDEX(Inputs!$K$5:$AJ$130,0,MATCH(G$2,Inputs!$K$4:$AJ$4,0))))+SUMPRODUCT((Inputs!$E$5:$E$130=$B43)*ISNUMBER(INDEX(Inputs!$K$5:$AJ$130,0,MATCH(G$2,Inputs!$K$4:$AJ$4,0))))=0,NA(),SUMPRODUCT((Inputs!$A$5:$A$130=$B43)*Inputs!$B$5:$B$130*(((Inputs!$G$5:$G$130="moeda")+(Inputs!$G$5:$G$130="acoes"))*Inputs!$B$1+((Inputs!$G$5:$G$130&lt;&gt;"moeda")*(Inputs!$G$5:$G$130&lt;&gt;"acoes")))*INDEX(Inputs!$K$5:$AJ$130,0,MATCH(G$2,Inputs!$K$4:$AJ$4,0)))+SUMPRODUCT((Inputs!$C$5:$C$130=$B43)*Inputs!$D$5:$D$130*(((Inputs!$G$5:$G$130="moeda")+(Inputs!$G$5:$G$130="acoes"))*Inputs!$B$1+((Inputs!$G$5:$G$130&lt;&gt;"moeda")*(Inputs!$G$5:$G$130&lt;&gt;"acoes")))*INDEX(Inputs!$K$5:$AJ$130,0,MATCH(G$2,Inputs!$K$4:$AJ$4,0)))+SUMPRODUCT((Inputs!$E$5:$E$130=$B43)*Inputs!$F$5:$F$130*(((Inputs!$G$5:$G$130="moeda")+(Inputs!$G$5:$G$130="acoes"))*Inputs!$B$1+((Inputs!$G$5:$G$130&lt;&gt;"moeda")*(Inputs!$G$5:$G$130&lt;&gt;"acoes")))*INDEX(Inputs!$K$5:$AJ$130,0,MATCH(G$2,Inputs!$K$4:$AJ$4,0)))))</f>
        <v>5066</v>
      </c>
      <c r="H43" s="3">
        <f>G43</f>
        <v>5066</v>
      </c>
      <c r="I43" s="6">
        <f>IF(ISNA(MATCH(I$2,Inputs!$K$4:$AJ$4,0)),NA(),IF(SUMPRODUCT((Inputs!$A$5:$A$130=$B43)*ISNUMBER(INDEX(Inputs!$K$5:$AJ$130,0,MATCH(I$2,Inputs!$K$4:$AJ$4,0))))+SUMPRODUCT((Inputs!$C$5:$C$130=$B43)*ISNUMBER(INDEX(Inputs!$K$5:$AJ$130,0,MATCH(I$2,Inputs!$K$4:$AJ$4,0))))+SUMPRODUCT((Inputs!$E$5:$E$130=$B43)*ISNUMBER(INDEX(Inputs!$K$5:$AJ$130,0,MATCH(I$2,Inputs!$K$4:$AJ$4,0))))=0,NA(),SUMPRODUCT((Inputs!$A$5:$A$130=$B43)*Inputs!$B$5:$B$130*(((Inputs!$G$5:$G$130="moeda")+(Inputs!$G$5:$G$130="acoes"))*Inputs!$B$1+((Inputs!$G$5:$G$130&lt;&gt;"moeda")*(Inputs!$G$5:$G$130&lt;&gt;"acoes")))*INDEX(Inputs!$K$5:$AJ$130,0,MATCH(I$2,Inputs!$K$4:$AJ$4,0)))+SUMPRODUCT((Inputs!$C$5:$C$130=$B43)*Inputs!$D$5:$D$130*(((Inputs!$G$5:$G$130="moeda")+(Inputs!$G$5:$G$130="acoes"))*Inputs!$B$1+((Inputs!$G$5:$G$130&lt;&gt;"moeda")*(Inputs!$G$5:$G$130&lt;&gt;"acoes")))*INDEX(Inputs!$K$5:$AJ$130,0,MATCH(I$2,Inputs!$K$4:$AJ$4,0)))+SUMPRODUCT((Inputs!$E$5:$E$130=$B43)*Inputs!$F$5:$F$130*(((Inputs!$G$5:$G$130="moeda")+(Inputs!$G$5:$G$130="acoes"))*Inputs!$B$1+((Inputs!$G$5:$G$130&lt;&gt;"moeda")*(Inputs!$G$5:$G$130&lt;&gt;"acoes")))*INDEX(Inputs!$K$5:$AJ$130,0,MATCH(I$2,Inputs!$K$4:$AJ$4,0)))))</f>
        <v>5117</v>
      </c>
      <c r="J43" s="6">
        <f>IF(ISNA(MATCH(J$2,Inputs!$K$4:$AJ$4,0)),NA(),IF(SUMPRODUCT((Inputs!$A$5:$A$130=$B43)*ISNUMBER(INDEX(Inputs!$K$5:$AJ$130,0,MATCH(J$2,Inputs!$K$4:$AJ$4,0))))+SUMPRODUCT((Inputs!$C$5:$C$130=$B43)*ISNUMBER(INDEX(Inputs!$K$5:$AJ$130,0,MATCH(J$2,Inputs!$K$4:$AJ$4,0))))+SUMPRODUCT((Inputs!$E$5:$E$130=$B43)*ISNUMBER(INDEX(Inputs!$K$5:$AJ$130,0,MATCH(J$2,Inputs!$K$4:$AJ$4,0))))=0,NA(),SUMPRODUCT((Inputs!$A$5:$A$130=$B43)*Inputs!$B$5:$B$130*(((Inputs!$G$5:$G$130="moeda")+(Inputs!$G$5:$G$130="acoes"))*Inputs!$B$1+((Inputs!$G$5:$G$130&lt;&gt;"moeda")*(Inputs!$G$5:$G$130&lt;&gt;"acoes")))*INDEX(Inputs!$K$5:$AJ$130,0,MATCH(J$2,Inputs!$K$4:$AJ$4,0)))+SUMPRODUCT((Inputs!$C$5:$C$130=$B43)*Inputs!$D$5:$D$130*(((Inputs!$G$5:$G$130="moeda")+(Inputs!$G$5:$G$130="acoes"))*Inputs!$B$1+((Inputs!$G$5:$G$130&lt;&gt;"moeda")*(Inputs!$G$5:$G$130&lt;&gt;"acoes")))*INDEX(Inputs!$K$5:$AJ$130,0,MATCH(J$2,Inputs!$K$4:$AJ$4,0)))+SUMPRODUCT((Inputs!$E$5:$E$130=$B43)*Inputs!$F$5:$F$130*(((Inputs!$G$5:$G$130="moeda")+(Inputs!$G$5:$G$130="acoes"))*Inputs!$B$1+((Inputs!$G$5:$G$130&lt;&gt;"moeda")*(Inputs!$G$5:$G$130&lt;&gt;"acoes")))*INDEX(Inputs!$K$5:$AJ$130,0,MATCH(J$2,Inputs!$K$4:$AJ$4,0)))))</f>
        <v>5139</v>
      </c>
      <c r="K43" s="6">
        <f>IF(ISNA(MATCH(K$2,Inputs!$K$4:$AJ$4,0)),NA(),IF(SUMPRODUCT((Inputs!$A$5:$A$130=$B43)*ISNUMBER(INDEX(Inputs!$K$5:$AJ$130,0,MATCH(K$2,Inputs!$K$4:$AJ$4,0))))+SUMPRODUCT((Inputs!$C$5:$C$130=$B43)*ISNUMBER(INDEX(Inputs!$K$5:$AJ$130,0,MATCH(K$2,Inputs!$K$4:$AJ$4,0))))+SUMPRODUCT((Inputs!$E$5:$E$130=$B43)*ISNUMBER(INDEX(Inputs!$K$5:$AJ$130,0,MATCH(K$2,Inputs!$K$4:$AJ$4,0))))=0,NA(),SUMPRODUCT((Inputs!$A$5:$A$130=$B43)*Inputs!$B$5:$B$130*(((Inputs!$G$5:$G$130="moeda")+(Inputs!$G$5:$G$130="acoes"))*Inputs!$B$1+((Inputs!$G$5:$G$130&lt;&gt;"moeda")*(Inputs!$G$5:$G$130&lt;&gt;"acoes")))*INDEX(Inputs!$K$5:$AJ$130,0,MATCH(K$2,Inputs!$K$4:$AJ$4,0)))+SUMPRODUCT((Inputs!$C$5:$C$130=$B43)*Inputs!$D$5:$D$130*(((Inputs!$G$5:$G$130="moeda")+(Inputs!$G$5:$G$130="acoes"))*Inputs!$B$1+((Inputs!$G$5:$G$130&lt;&gt;"moeda")*(Inputs!$G$5:$G$130&lt;&gt;"acoes")))*INDEX(Inputs!$K$5:$AJ$130,0,MATCH(K$2,Inputs!$K$4:$AJ$4,0)))+SUMPRODUCT((Inputs!$E$5:$E$130=$B43)*Inputs!$F$5:$F$130*(((Inputs!$G$5:$G$130="moeda")+(Inputs!$G$5:$G$130="acoes"))*Inputs!$B$1+((Inputs!$G$5:$G$130&lt;&gt;"moeda")*(Inputs!$G$5:$G$130&lt;&gt;"acoes")))*INDEX(Inputs!$K$5:$AJ$130,0,MATCH(K$2,Inputs!$K$4:$AJ$4,0)))))</f>
        <v>5165</v>
      </c>
      <c r="L43" s="6">
        <f>IF(ISNA(MATCH(L$2,Inputs!$K$4:$AJ$4,0)),NA(),IF(SUMPRODUCT((Inputs!$A$5:$A$130=$B43)*ISNUMBER(INDEX(Inputs!$K$5:$AJ$130,0,MATCH(L$2,Inputs!$K$4:$AJ$4,0))))+SUMPRODUCT((Inputs!$C$5:$C$130=$B43)*ISNUMBER(INDEX(Inputs!$K$5:$AJ$130,0,MATCH(L$2,Inputs!$K$4:$AJ$4,0))))+SUMPRODUCT((Inputs!$E$5:$E$130=$B43)*ISNUMBER(INDEX(Inputs!$K$5:$AJ$130,0,MATCH(L$2,Inputs!$K$4:$AJ$4,0))))=0,NA(),SUMPRODUCT((Inputs!$A$5:$A$130=$B43)*Inputs!$B$5:$B$130*(((Inputs!$G$5:$G$130="moeda")+(Inputs!$G$5:$G$130="acoes"))*Inputs!$B$1+((Inputs!$G$5:$G$130&lt;&gt;"moeda")*(Inputs!$G$5:$G$130&lt;&gt;"acoes")))*INDEX(Inputs!$K$5:$AJ$130,0,MATCH(L$2,Inputs!$K$4:$AJ$4,0)))+SUMPRODUCT((Inputs!$C$5:$C$130=$B43)*Inputs!$D$5:$D$130*(((Inputs!$G$5:$G$130="moeda")+(Inputs!$G$5:$G$130="acoes"))*Inputs!$B$1+((Inputs!$G$5:$G$130&lt;&gt;"moeda")*(Inputs!$G$5:$G$130&lt;&gt;"acoes")))*INDEX(Inputs!$K$5:$AJ$130,0,MATCH(L$2,Inputs!$K$4:$AJ$4,0)))+SUMPRODUCT((Inputs!$E$5:$E$130=$B43)*Inputs!$F$5:$F$130*(((Inputs!$G$5:$G$130="moeda")+(Inputs!$G$5:$G$130="acoes"))*Inputs!$B$1+((Inputs!$G$5:$G$130&lt;&gt;"moeda")*(Inputs!$G$5:$G$130&lt;&gt;"acoes")))*INDEX(Inputs!$K$5:$AJ$130,0,MATCH(L$2,Inputs!$K$4:$AJ$4,0)))))</f>
        <v>5191</v>
      </c>
      <c r="M43" s="3">
        <f>L43</f>
        <v>5191</v>
      </c>
      <c r="N43" s="6">
        <f>IF(ISNA(MATCH(N$2,Inputs!$K$4:$AJ$4,0)),NA(),IF(SUMPRODUCT((Inputs!$A$5:$A$130=$B43)*ISNUMBER(INDEX(Inputs!$K$5:$AJ$130,0,MATCH(N$2,Inputs!$K$4:$AJ$4,0))))+SUMPRODUCT((Inputs!$C$5:$C$130=$B43)*ISNUMBER(INDEX(Inputs!$K$5:$AJ$130,0,MATCH(N$2,Inputs!$K$4:$AJ$4,0))))+SUMPRODUCT((Inputs!$E$5:$E$130=$B43)*ISNUMBER(INDEX(Inputs!$K$5:$AJ$130,0,MATCH(N$2,Inputs!$K$4:$AJ$4,0))))=0,NA(),SUMPRODUCT((Inputs!$A$5:$A$130=$B43)*Inputs!$B$5:$B$130*(((Inputs!$G$5:$G$130="moeda")+(Inputs!$G$5:$G$130="acoes"))*Inputs!$B$1+((Inputs!$G$5:$G$130&lt;&gt;"moeda")*(Inputs!$G$5:$G$130&lt;&gt;"acoes")))*INDEX(Inputs!$K$5:$AJ$130,0,MATCH(N$2,Inputs!$K$4:$AJ$4,0)))+SUMPRODUCT((Inputs!$C$5:$C$130=$B43)*Inputs!$D$5:$D$130*(((Inputs!$G$5:$G$130="moeda")+(Inputs!$G$5:$G$130="acoes"))*Inputs!$B$1+((Inputs!$G$5:$G$130&lt;&gt;"moeda")*(Inputs!$G$5:$G$130&lt;&gt;"acoes")))*INDEX(Inputs!$K$5:$AJ$130,0,MATCH(N$2,Inputs!$K$4:$AJ$4,0)))+SUMPRODUCT((Inputs!$E$5:$E$130=$B43)*Inputs!$F$5:$F$130*(((Inputs!$G$5:$G$130="moeda")+(Inputs!$G$5:$G$130="acoes"))*Inputs!$B$1+((Inputs!$G$5:$G$130&lt;&gt;"moeda")*(Inputs!$G$5:$G$130&lt;&gt;"acoes")))*INDEX(Inputs!$K$5:$AJ$130,0,MATCH(N$2,Inputs!$K$4:$AJ$4,0)))))</f>
        <v>5227</v>
      </c>
      <c r="O43" s="6">
        <f>IF(ISNA(MATCH(O$2,Inputs!$K$4:$AJ$4,0)),NA(),IF(SUMPRODUCT((Inputs!$A$5:$A$130=$B43)*ISNUMBER(INDEX(Inputs!$K$5:$AJ$130,0,MATCH(O$2,Inputs!$K$4:$AJ$4,0))))+SUMPRODUCT((Inputs!$C$5:$C$130=$B43)*ISNUMBER(INDEX(Inputs!$K$5:$AJ$130,0,MATCH(O$2,Inputs!$K$4:$AJ$4,0))))+SUMPRODUCT((Inputs!$E$5:$E$130=$B43)*ISNUMBER(INDEX(Inputs!$K$5:$AJ$130,0,MATCH(O$2,Inputs!$K$4:$AJ$4,0))))=0,NA(),SUMPRODUCT((Inputs!$A$5:$A$130=$B43)*Inputs!$B$5:$B$130*(((Inputs!$G$5:$G$130="moeda")+(Inputs!$G$5:$G$130="acoes"))*Inputs!$B$1+((Inputs!$G$5:$G$130&lt;&gt;"moeda")*(Inputs!$G$5:$G$130&lt;&gt;"acoes")))*INDEX(Inputs!$K$5:$AJ$130,0,MATCH(O$2,Inputs!$K$4:$AJ$4,0)))+SUMPRODUCT((Inputs!$C$5:$C$130=$B43)*Inputs!$D$5:$D$130*(((Inputs!$G$5:$G$130="moeda")+(Inputs!$G$5:$G$130="acoes"))*Inputs!$B$1+((Inputs!$G$5:$G$130&lt;&gt;"moeda")*(Inputs!$G$5:$G$130&lt;&gt;"acoes")))*INDEX(Inputs!$K$5:$AJ$130,0,MATCH(O$2,Inputs!$K$4:$AJ$4,0)))+SUMPRODUCT((Inputs!$E$5:$E$130=$B43)*Inputs!$F$5:$F$130*(((Inputs!$G$5:$G$130="moeda")+(Inputs!$G$5:$G$130="acoes"))*Inputs!$B$1+((Inputs!$G$5:$G$130&lt;&gt;"moeda")*(Inputs!$G$5:$G$130&lt;&gt;"acoes")))*INDEX(Inputs!$K$5:$AJ$130,0,MATCH(O$2,Inputs!$K$4:$AJ$4,0)))))</f>
        <v>5272</v>
      </c>
      <c r="P43" s="6">
        <f>IF(ISNA(MATCH(P$2,Inputs!$K$4:$AJ$4,0)),NA(),IF(SUMPRODUCT((Inputs!$A$5:$A$130=$B43)*ISNUMBER(INDEX(Inputs!$K$5:$AJ$130,0,MATCH(P$2,Inputs!$K$4:$AJ$4,0))))+SUMPRODUCT((Inputs!$C$5:$C$130=$B43)*ISNUMBER(INDEX(Inputs!$K$5:$AJ$130,0,MATCH(P$2,Inputs!$K$4:$AJ$4,0))))+SUMPRODUCT((Inputs!$E$5:$E$130=$B43)*ISNUMBER(INDEX(Inputs!$K$5:$AJ$130,0,MATCH(P$2,Inputs!$K$4:$AJ$4,0))))=0,NA(),SUMPRODUCT((Inputs!$A$5:$A$130=$B43)*Inputs!$B$5:$B$130*(((Inputs!$G$5:$G$130="moeda")+(Inputs!$G$5:$G$130="acoes"))*Inputs!$B$1+((Inputs!$G$5:$G$130&lt;&gt;"moeda")*(Inputs!$G$5:$G$130&lt;&gt;"acoes")))*INDEX(Inputs!$K$5:$AJ$130,0,MATCH(P$2,Inputs!$K$4:$AJ$4,0)))+SUMPRODUCT((Inputs!$C$5:$C$130=$B43)*Inputs!$D$5:$D$130*(((Inputs!$G$5:$G$130="moeda")+(Inputs!$G$5:$G$130="acoes"))*Inputs!$B$1+((Inputs!$G$5:$G$130&lt;&gt;"moeda")*(Inputs!$G$5:$G$130&lt;&gt;"acoes")))*INDEX(Inputs!$K$5:$AJ$130,0,MATCH(P$2,Inputs!$K$4:$AJ$4,0)))+SUMPRODUCT((Inputs!$E$5:$E$130=$B43)*Inputs!$F$5:$F$130*(((Inputs!$G$5:$G$130="moeda")+(Inputs!$G$5:$G$130="acoes"))*Inputs!$B$1+((Inputs!$G$5:$G$130&lt;&gt;"moeda")*(Inputs!$G$5:$G$130&lt;&gt;"acoes")))*INDEX(Inputs!$K$5:$AJ$130,0,MATCH(P$2,Inputs!$K$4:$AJ$4,0)))))</f>
        <v>5303</v>
      </c>
      <c r="Q43" s="6">
        <f>IF(ISNA(MATCH(Q$2,Inputs!$K$4:$AJ$4,0)),NA(),IF(SUMPRODUCT((Inputs!$A$5:$A$130=$B43)*ISNUMBER(INDEX(Inputs!$K$5:$AJ$130,0,MATCH(Q$2,Inputs!$K$4:$AJ$4,0))))+SUMPRODUCT((Inputs!$C$5:$C$130=$B43)*ISNUMBER(INDEX(Inputs!$K$5:$AJ$130,0,MATCH(Q$2,Inputs!$K$4:$AJ$4,0))))+SUMPRODUCT((Inputs!$E$5:$E$130=$B43)*ISNUMBER(INDEX(Inputs!$K$5:$AJ$130,0,MATCH(Q$2,Inputs!$K$4:$AJ$4,0))))=0,NA(),SUMPRODUCT((Inputs!$A$5:$A$130=$B43)*Inputs!$B$5:$B$130*(((Inputs!$G$5:$G$130="moeda")+(Inputs!$G$5:$G$130="acoes"))*Inputs!$B$1+((Inputs!$G$5:$G$130&lt;&gt;"moeda")*(Inputs!$G$5:$G$130&lt;&gt;"acoes")))*INDEX(Inputs!$K$5:$AJ$130,0,MATCH(Q$2,Inputs!$K$4:$AJ$4,0)))+SUMPRODUCT((Inputs!$C$5:$C$130=$B43)*Inputs!$D$5:$D$130*(((Inputs!$G$5:$G$130="moeda")+(Inputs!$G$5:$G$130="acoes"))*Inputs!$B$1+((Inputs!$G$5:$G$130&lt;&gt;"moeda")*(Inputs!$G$5:$G$130&lt;&gt;"acoes")))*INDEX(Inputs!$K$5:$AJ$130,0,MATCH(Q$2,Inputs!$K$4:$AJ$4,0)))+SUMPRODUCT((Inputs!$E$5:$E$130=$B43)*Inputs!$F$5:$F$130*(((Inputs!$G$5:$G$130="moeda")+(Inputs!$G$5:$G$130="acoes"))*Inputs!$B$1+((Inputs!$G$5:$G$130&lt;&gt;"moeda")*(Inputs!$G$5:$G$130&lt;&gt;"acoes")))*INDEX(Inputs!$K$5:$AJ$130,0,MATCH(Q$2,Inputs!$K$4:$AJ$4,0)))))</f>
        <v>5335</v>
      </c>
      <c r="R43" s="3">
        <f>Q43</f>
        <v>5335</v>
      </c>
      <c r="S43" s="6">
        <f>IF(ISNA(MATCH(S$2,Inputs!$K$4:$AJ$4,0)),NA(),IF(SUMPRODUCT((Inputs!$A$5:$A$130=$B43)*ISNUMBER(INDEX(Inputs!$K$5:$AJ$130,0,MATCH(S$2,Inputs!$K$4:$AJ$4,0))))+SUMPRODUCT((Inputs!$C$5:$C$130=$B43)*ISNUMBER(INDEX(Inputs!$K$5:$AJ$130,0,MATCH(S$2,Inputs!$K$4:$AJ$4,0))))+SUMPRODUCT((Inputs!$E$5:$E$130=$B43)*ISNUMBER(INDEX(Inputs!$K$5:$AJ$130,0,MATCH(S$2,Inputs!$K$4:$AJ$4,0))))=0,NA(),SUMPRODUCT((Inputs!$A$5:$A$130=$B43)*Inputs!$B$5:$B$130*(((Inputs!$G$5:$G$130="moeda")+(Inputs!$G$5:$G$130="acoes"))*Inputs!$B$1+((Inputs!$G$5:$G$130&lt;&gt;"moeda")*(Inputs!$G$5:$G$130&lt;&gt;"acoes")))*INDEX(Inputs!$K$5:$AJ$130,0,MATCH(S$2,Inputs!$K$4:$AJ$4,0)))+SUMPRODUCT((Inputs!$C$5:$C$130=$B43)*Inputs!$D$5:$D$130*(((Inputs!$G$5:$G$130="moeda")+(Inputs!$G$5:$G$130="acoes"))*Inputs!$B$1+((Inputs!$G$5:$G$130&lt;&gt;"moeda")*(Inputs!$G$5:$G$130&lt;&gt;"acoes")))*INDEX(Inputs!$K$5:$AJ$130,0,MATCH(S$2,Inputs!$K$4:$AJ$4,0)))+SUMPRODUCT((Inputs!$E$5:$E$130=$B43)*Inputs!$F$5:$F$130*(((Inputs!$G$5:$G$130="moeda")+(Inputs!$G$5:$G$130="acoes"))*Inputs!$B$1+((Inputs!$G$5:$G$130&lt;&gt;"moeda")*(Inputs!$G$5:$G$130&lt;&gt;"acoes")))*INDEX(Inputs!$K$5:$AJ$130,0,MATCH(S$2,Inputs!$K$4:$AJ$4,0)))))</f>
        <v>5391</v>
      </c>
      <c r="T43" s="6">
        <f>IF(ISNA(MATCH(T$2,Inputs!$K$4:$AJ$4,0)),NA(),IF(SUMPRODUCT((Inputs!$A$5:$A$130=$B43)*ISNUMBER(INDEX(Inputs!$K$5:$AJ$130,0,MATCH(T$2,Inputs!$K$4:$AJ$4,0))))+SUMPRODUCT((Inputs!$C$5:$C$130=$B43)*ISNUMBER(INDEX(Inputs!$K$5:$AJ$130,0,MATCH(T$2,Inputs!$K$4:$AJ$4,0))))+SUMPRODUCT((Inputs!$E$5:$E$130=$B43)*ISNUMBER(INDEX(Inputs!$K$5:$AJ$130,0,MATCH(T$2,Inputs!$K$4:$AJ$4,0))))=0,NA(),SUMPRODUCT((Inputs!$A$5:$A$130=$B43)*Inputs!$B$5:$B$130*(((Inputs!$G$5:$G$130="moeda")+(Inputs!$G$5:$G$130="acoes"))*Inputs!$B$1+((Inputs!$G$5:$G$130&lt;&gt;"moeda")*(Inputs!$G$5:$G$130&lt;&gt;"acoes")))*INDEX(Inputs!$K$5:$AJ$130,0,MATCH(T$2,Inputs!$K$4:$AJ$4,0)))+SUMPRODUCT((Inputs!$C$5:$C$130=$B43)*Inputs!$D$5:$D$130*(((Inputs!$G$5:$G$130="moeda")+(Inputs!$G$5:$G$130="acoes"))*Inputs!$B$1+((Inputs!$G$5:$G$130&lt;&gt;"moeda")*(Inputs!$G$5:$G$130&lt;&gt;"acoes")))*INDEX(Inputs!$K$5:$AJ$130,0,MATCH(T$2,Inputs!$K$4:$AJ$4,0)))+SUMPRODUCT((Inputs!$E$5:$E$130=$B43)*Inputs!$F$5:$F$130*(((Inputs!$G$5:$G$130="moeda")+(Inputs!$G$5:$G$130="acoes"))*Inputs!$B$1+((Inputs!$G$5:$G$130&lt;&gt;"moeda")*(Inputs!$G$5:$G$130&lt;&gt;"acoes")))*INDEX(Inputs!$K$5:$AJ$130,0,MATCH(T$2,Inputs!$K$4:$AJ$4,0)))))</f>
        <v>5441</v>
      </c>
      <c r="U43" s="6">
        <f>IF(ISNA(MATCH(U$2,Inputs!$K$4:$AJ$4,0)),NA(),IF(SUMPRODUCT((Inputs!$A$5:$A$130=$B43)*ISNUMBER(INDEX(Inputs!$K$5:$AJ$130,0,MATCH(U$2,Inputs!$K$4:$AJ$4,0))))+SUMPRODUCT((Inputs!$C$5:$C$130=$B43)*ISNUMBER(INDEX(Inputs!$K$5:$AJ$130,0,MATCH(U$2,Inputs!$K$4:$AJ$4,0))))+SUMPRODUCT((Inputs!$E$5:$E$130=$B43)*ISNUMBER(INDEX(Inputs!$K$5:$AJ$130,0,MATCH(U$2,Inputs!$K$4:$AJ$4,0))))=0,NA(),SUMPRODUCT((Inputs!$A$5:$A$130=$B43)*Inputs!$B$5:$B$130*(((Inputs!$G$5:$G$130="moeda")+(Inputs!$G$5:$G$130="acoes"))*Inputs!$B$1+((Inputs!$G$5:$G$130&lt;&gt;"moeda")*(Inputs!$G$5:$G$130&lt;&gt;"acoes")))*INDEX(Inputs!$K$5:$AJ$130,0,MATCH(U$2,Inputs!$K$4:$AJ$4,0)))+SUMPRODUCT((Inputs!$C$5:$C$130=$B43)*Inputs!$D$5:$D$130*(((Inputs!$G$5:$G$130="moeda")+(Inputs!$G$5:$G$130="acoes"))*Inputs!$B$1+((Inputs!$G$5:$G$130&lt;&gt;"moeda")*(Inputs!$G$5:$G$130&lt;&gt;"acoes")))*INDEX(Inputs!$K$5:$AJ$130,0,MATCH(U$2,Inputs!$K$4:$AJ$4,0)))+SUMPRODUCT((Inputs!$E$5:$E$130=$B43)*Inputs!$F$5:$F$130*(((Inputs!$G$5:$G$130="moeda")+(Inputs!$G$5:$G$130="acoes"))*Inputs!$B$1+((Inputs!$G$5:$G$130&lt;&gt;"moeda")*(Inputs!$G$5:$G$130&lt;&gt;"acoes")))*INDEX(Inputs!$K$5:$AJ$130,0,MATCH(U$2,Inputs!$K$4:$AJ$4,0)))))</f>
        <v>5489</v>
      </c>
      <c r="V43" s="6">
        <f>IF(ISNA(MATCH(V$2,Inputs!$K$4:$AJ$4,0)),NA(),IF(SUMPRODUCT((Inputs!$A$5:$A$130=$B43)*ISNUMBER(INDEX(Inputs!$K$5:$AJ$130,0,MATCH(V$2,Inputs!$K$4:$AJ$4,0))))+SUMPRODUCT((Inputs!$C$5:$C$130=$B43)*ISNUMBER(INDEX(Inputs!$K$5:$AJ$130,0,MATCH(V$2,Inputs!$K$4:$AJ$4,0))))+SUMPRODUCT((Inputs!$E$5:$E$130=$B43)*ISNUMBER(INDEX(Inputs!$K$5:$AJ$130,0,MATCH(V$2,Inputs!$K$4:$AJ$4,0))))=0,NA(),SUMPRODUCT((Inputs!$A$5:$A$130=$B43)*Inputs!$B$5:$B$130*(((Inputs!$G$5:$G$130="moeda")+(Inputs!$G$5:$G$130="acoes"))*Inputs!$B$1+((Inputs!$G$5:$G$130&lt;&gt;"moeda")*(Inputs!$G$5:$G$130&lt;&gt;"acoes")))*INDEX(Inputs!$K$5:$AJ$130,0,MATCH(V$2,Inputs!$K$4:$AJ$4,0)))+SUMPRODUCT((Inputs!$C$5:$C$130=$B43)*Inputs!$D$5:$D$130*(((Inputs!$G$5:$G$130="moeda")+(Inputs!$G$5:$G$130="acoes"))*Inputs!$B$1+((Inputs!$G$5:$G$130&lt;&gt;"moeda")*(Inputs!$G$5:$G$130&lt;&gt;"acoes")))*INDEX(Inputs!$K$5:$AJ$130,0,MATCH(V$2,Inputs!$K$4:$AJ$4,0)))+SUMPRODUCT((Inputs!$E$5:$E$130=$B43)*Inputs!$F$5:$F$130*(((Inputs!$G$5:$G$130="moeda")+(Inputs!$G$5:$G$130="acoes"))*Inputs!$B$1+((Inputs!$G$5:$G$130&lt;&gt;"moeda")*(Inputs!$G$5:$G$130&lt;&gt;"acoes")))*INDEX(Inputs!$K$5:$AJ$130,0,MATCH(V$2,Inputs!$K$4:$AJ$4,0)))))</f>
        <v>5526</v>
      </c>
      <c r="W43" s="3">
        <f>V43</f>
        <v>5526</v>
      </c>
      <c r="X43" s="6">
        <f>IF(ISNA(MATCH(X$2,Inputs!$K$4:$AJ$4,0)),NA(),IF(SUMPRODUCT((Inputs!$A$5:$A$130=$B43)*ISNUMBER(INDEX(Inputs!$K$5:$AJ$130,0,MATCH(X$2,Inputs!$K$4:$AJ$4,0))))+SUMPRODUCT((Inputs!$C$5:$C$130=$B43)*ISNUMBER(INDEX(Inputs!$K$5:$AJ$130,0,MATCH(X$2,Inputs!$K$4:$AJ$4,0))))+SUMPRODUCT((Inputs!$E$5:$E$130=$B43)*ISNUMBER(INDEX(Inputs!$K$5:$AJ$130,0,MATCH(X$2,Inputs!$K$4:$AJ$4,0))))=0,NA(),SUMPRODUCT((Inputs!$A$5:$A$130=$B43)*Inputs!$B$5:$B$130*(((Inputs!$G$5:$G$130="moeda")+(Inputs!$G$5:$G$130="acoes"))*Inputs!$B$1+((Inputs!$G$5:$G$130&lt;&gt;"moeda")*(Inputs!$G$5:$G$130&lt;&gt;"acoes")))*INDEX(Inputs!$K$5:$AJ$130,0,MATCH(X$2,Inputs!$K$4:$AJ$4,0)))+SUMPRODUCT((Inputs!$C$5:$C$130=$B43)*Inputs!$D$5:$D$130*(((Inputs!$G$5:$G$130="moeda")+(Inputs!$G$5:$G$130="acoes"))*Inputs!$B$1+((Inputs!$G$5:$G$130&lt;&gt;"moeda")*(Inputs!$G$5:$G$130&lt;&gt;"acoes")))*INDEX(Inputs!$K$5:$AJ$130,0,MATCH(X$2,Inputs!$K$4:$AJ$4,0)))+SUMPRODUCT((Inputs!$E$5:$E$130=$B43)*Inputs!$F$5:$F$130*(((Inputs!$G$5:$G$130="moeda")+(Inputs!$G$5:$G$130="acoes"))*Inputs!$B$1+((Inputs!$G$5:$G$130&lt;&gt;"moeda")*(Inputs!$G$5:$G$130&lt;&gt;"acoes")))*INDEX(Inputs!$K$5:$AJ$130,0,MATCH(X$2,Inputs!$K$4:$AJ$4,0)))))</f>
        <v>5565</v>
      </c>
      <c r="Y43" s="6">
        <f>IF(ISNA(MATCH(Y$2,Inputs!$K$4:$AJ$4,0)),NA(),IF(SUMPRODUCT((Inputs!$A$5:$A$130=$B43)*ISNUMBER(INDEX(Inputs!$K$5:$AJ$130,0,MATCH(Y$2,Inputs!$K$4:$AJ$4,0))))+SUMPRODUCT((Inputs!$C$5:$C$130=$B43)*ISNUMBER(INDEX(Inputs!$K$5:$AJ$130,0,MATCH(Y$2,Inputs!$K$4:$AJ$4,0))))+SUMPRODUCT((Inputs!$E$5:$E$130=$B43)*ISNUMBER(INDEX(Inputs!$K$5:$AJ$130,0,MATCH(Y$2,Inputs!$K$4:$AJ$4,0))))=0,NA(),SUMPRODUCT((Inputs!$A$5:$A$130=$B43)*Inputs!$B$5:$B$130*(((Inputs!$G$5:$G$130="moeda")+(Inputs!$G$5:$G$130="acoes"))*Inputs!$B$1+((Inputs!$G$5:$G$130&lt;&gt;"moeda")*(Inputs!$G$5:$G$130&lt;&gt;"acoes")))*INDEX(Inputs!$K$5:$AJ$130,0,MATCH(Y$2,Inputs!$K$4:$AJ$4,0)))+SUMPRODUCT((Inputs!$C$5:$C$130=$B43)*Inputs!$D$5:$D$130*(((Inputs!$G$5:$G$130="moeda")+(Inputs!$G$5:$G$130="acoes"))*Inputs!$B$1+((Inputs!$G$5:$G$130&lt;&gt;"moeda")*(Inputs!$G$5:$G$130&lt;&gt;"acoes")))*INDEX(Inputs!$K$5:$AJ$130,0,MATCH(Y$2,Inputs!$K$4:$AJ$4,0)))+SUMPRODUCT((Inputs!$E$5:$E$130=$B43)*Inputs!$F$5:$F$130*(((Inputs!$G$5:$G$130="moeda")+(Inputs!$G$5:$G$130="acoes"))*Inputs!$B$1+((Inputs!$G$5:$G$130&lt;&gt;"moeda")*(Inputs!$G$5:$G$130&lt;&gt;"acoes")))*INDEX(Inputs!$K$5:$AJ$130,0,MATCH(Y$2,Inputs!$K$4:$AJ$4,0)))))</f>
        <v>5620</v>
      </c>
      <c r="Z43" s="6">
        <f>IF(ISNA(MATCH(Z$2,Inputs!$K$4:$AJ$4,0)),NA(),IF(SUMPRODUCT((Inputs!$A$5:$A$130=$B43)*ISNUMBER(INDEX(Inputs!$K$5:$AJ$130,0,MATCH(Z$2,Inputs!$K$4:$AJ$4,0))))+SUMPRODUCT((Inputs!$C$5:$C$130=$B43)*ISNUMBER(INDEX(Inputs!$K$5:$AJ$130,0,MATCH(Z$2,Inputs!$K$4:$AJ$4,0))))+SUMPRODUCT((Inputs!$E$5:$E$130=$B43)*ISNUMBER(INDEX(Inputs!$K$5:$AJ$130,0,MATCH(Z$2,Inputs!$K$4:$AJ$4,0))))=0,NA(),SUMPRODUCT((Inputs!$A$5:$A$130=$B43)*Inputs!$B$5:$B$130*(((Inputs!$G$5:$G$130="moeda")+(Inputs!$G$5:$G$130="acoes"))*Inputs!$B$1+((Inputs!$G$5:$G$130&lt;&gt;"moeda")*(Inputs!$G$5:$G$130&lt;&gt;"acoes")))*INDEX(Inputs!$K$5:$AJ$130,0,MATCH(Z$2,Inputs!$K$4:$AJ$4,0)))+SUMPRODUCT((Inputs!$C$5:$C$130=$B43)*Inputs!$D$5:$D$130*(((Inputs!$G$5:$G$130="moeda")+(Inputs!$G$5:$G$130="acoes"))*Inputs!$B$1+((Inputs!$G$5:$G$130&lt;&gt;"moeda")*(Inputs!$G$5:$G$130&lt;&gt;"acoes")))*INDEX(Inputs!$K$5:$AJ$130,0,MATCH(Z$2,Inputs!$K$4:$AJ$4,0)))+SUMPRODUCT((Inputs!$E$5:$E$130=$B43)*Inputs!$F$5:$F$130*(((Inputs!$G$5:$G$130="moeda")+(Inputs!$G$5:$G$130="acoes"))*Inputs!$B$1+((Inputs!$G$5:$G$130&lt;&gt;"moeda")*(Inputs!$G$5:$G$130&lt;&gt;"acoes")))*INDEX(Inputs!$K$5:$AJ$130,0,MATCH(Z$2,Inputs!$K$4:$AJ$4,0)))))</f>
        <v>5668</v>
      </c>
      <c r="AA43" s="6">
        <f>IF(ISNA(MATCH(AA$2,Inputs!$K$4:$AJ$4,0)),NA(),IF(SUMPRODUCT((Inputs!$A$5:$A$130=$B43)*ISNUMBER(INDEX(Inputs!$K$5:$AJ$130,0,MATCH(AA$2,Inputs!$K$4:$AJ$4,0))))+SUMPRODUCT((Inputs!$C$5:$C$130=$B43)*ISNUMBER(INDEX(Inputs!$K$5:$AJ$130,0,MATCH(AA$2,Inputs!$K$4:$AJ$4,0))))+SUMPRODUCT((Inputs!$E$5:$E$130=$B43)*ISNUMBER(INDEX(Inputs!$K$5:$AJ$130,0,MATCH(AA$2,Inputs!$K$4:$AJ$4,0))))=0,NA(),SUMPRODUCT((Inputs!$A$5:$A$130=$B43)*Inputs!$B$5:$B$130*(((Inputs!$G$5:$G$130="moeda")+(Inputs!$G$5:$G$130="acoes"))*Inputs!$B$1+((Inputs!$G$5:$G$130&lt;&gt;"moeda")*(Inputs!$G$5:$G$130&lt;&gt;"acoes")))*INDEX(Inputs!$K$5:$AJ$130,0,MATCH(AA$2,Inputs!$K$4:$AJ$4,0)))+SUMPRODUCT((Inputs!$C$5:$C$130=$B43)*Inputs!$D$5:$D$130*(((Inputs!$G$5:$G$130="moeda")+(Inputs!$G$5:$G$130="acoes"))*Inputs!$B$1+((Inputs!$G$5:$G$130&lt;&gt;"moeda")*(Inputs!$G$5:$G$130&lt;&gt;"acoes")))*INDEX(Inputs!$K$5:$AJ$130,0,MATCH(AA$2,Inputs!$K$4:$AJ$4,0)))+SUMPRODUCT((Inputs!$E$5:$E$130=$B43)*Inputs!$F$5:$F$130*(((Inputs!$G$5:$G$130="moeda")+(Inputs!$G$5:$G$130="acoes"))*Inputs!$B$1+((Inputs!$G$5:$G$130&lt;&gt;"moeda")*(Inputs!$G$5:$G$130&lt;&gt;"acoes")))*INDEX(Inputs!$K$5:$AJ$130,0,MATCH(AA$2,Inputs!$K$4:$AJ$4,0)))))</f>
        <v>5715</v>
      </c>
      <c r="AB43" s="3">
        <f>AA43</f>
        <v>5715</v>
      </c>
      <c r="AC43" s="6">
        <f>IF(ISNA(MATCH(AC$2,Inputs!$K$4:$AJ$4,0)),NA(),IF(SUMPRODUCT((Inputs!$A$5:$A$130=$B43)*ISNUMBER(INDEX(Inputs!$K$5:$AJ$130,0,MATCH(AC$2,Inputs!$K$4:$AJ$4,0))))+SUMPRODUCT((Inputs!$C$5:$C$130=$B43)*ISNUMBER(INDEX(Inputs!$K$5:$AJ$130,0,MATCH(AC$2,Inputs!$K$4:$AJ$4,0))))+SUMPRODUCT((Inputs!$E$5:$E$130=$B43)*ISNUMBER(INDEX(Inputs!$K$5:$AJ$130,0,MATCH(AC$2,Inputs!$K$4:$AJ$4,0))))=0,NA(),SUMPRODUCT((Inputs!$A$5:$A$130=$B43)*Inputs!$B$5:$B$130*(((Inputs!$G$5:$G$130="moeda")+(Inputs!$G$5:$G$130="acoes"))*Inputs!$B$1+((Inputs!$G$5:$G$130&lt;&gt;"moeda")*(Inputs!$G$5:$G$130&lt;&gt;"acoes")))*INDEX(Inputs!$K$5:$AJ$130,0,MATCH(AC$2,Inputs!$K$4:$AJ$4,0)))+SUMPRODUCT((Inputs!$C$5:$C$130=$B43)*Inputs!$D$5:$D$130*(((Inputs!$G$5:$G$130="moeda")+(Inputs!$G$5:$G$130="acoes"))*Inputs!$B$1+((Inputs!$G$5:$G$130&lt;&gt;"moeda")*(Inputs!$G$5:$G$130&lt;&gt;"acoes")))*INDEX(Inputs!$K$5:$AJ$130,0,MATCH(AC$2,Inputs!$K$4:$AJ$4,0)))+SUMPRODUCT((Inputs!$E$5:$E$130=$B43)*Inputs!$F$5:$F$130*(((Inputs!$G$5:$G$130="moeda")+(Inputs!$G$5:$G$130="acoes"))*Inputs!$B$1+((Inputs!$G$5:$G$130&lt;&gt;"moeda")*(Inputs!$G$5:$G$130&lt;&gt;"acoes")))*INDEX(Inputs!$K$5:$AJ$130,0,MATCH(AC$2,Inputs!$K$4:$AJ$4,0)))))</f>
        <v>5777</v>
      </c>
      <c r="AD43" s="6">
        <f>IF(ISNA(MATCH(AD$2,Inputs!$K$4:$AJ$4,0)),NA(),IF(SUMPRODUCT((Inputs!$A$5:$A$130=$B43)*ISNUMBER(INDEX(Inputs!$K$5:$AJ$130,0,MATCH(AD$2,Inputs!$K$4:$AJ$4,0))))+SUMPRODUCT((Inputs!$C$5:$C$130=$B43)*ISNUMBER(INDEX(Inputs!$K$5:$AJ$130,0,MATCH(AD$2,Inputs!$K$4:$AJ$4,0))))+SUMPRODUCT((Inputs!$E$5:$E$130=$B43)*ISNUMBER(INDEX(Inputs!$K$5:$AJ$130,0,MATCH(AD$2,Inputs!$K$4:$AJ$4,0))))=0,NA(),SUMPRODUCT((Inputs!$A$5:$A$130=$B43)*Inputs!$B$5:$B$130*(((Inputs!$G$5:$G$130="moeda")+(Inputs!$G$5:$G$130="acoes"))*Inputs!$B$1+((Inputs!$G$5:$G$130&lt;&gt;"moeda")*(Inputs!$G$5:$G$130&lt;&gt;"acoes")))*INDEX(Inputs!$K$5:$AJ$130,0,MATCH(AD$2,Inputs!$K$4:$AJ$4,0)))+SUMPRODUCT((Inputs!$C$5:$C$130=$B43)*Inputs!$D$5:$D$130*(((Inputs!$G$5:$G$130="moeda")+(Inputs!$G$5:$G$130="acoes"))*Inputs!$B$1+((Inputs!$G$5:$G$130&lt;&gt;"moeda")*(Inputs!$G$5:$G$130&lt;&gt;"acoes")))*INDEX(Inputs!$K$5:$AJ$130,0,MATCH(AD$2,Inputs!$K$4:$AJ$4,0)))+SUMPRODUCT((Inputs!$E$5:$E$130=$B43)*Inputs!$F$5:$F$130*(((Inputs!$G$5:$G$130="moeda")+(Inputs!$G$5:$G$130="acoes"))*Inputs!$B$1+((Inputs!$G$5:$G$130&lt;&gt;"moeda")*(Inputs!$G$5:$G$130&lt;&gt;"acoes")))*INDEX(Inputs!$K$5:$AJ$130,0,MATCH(AD$2,Inputs!$K$4:$AJ$4,0)))))</f>
        <v>5826</v>
      </c>
      <c r="AE43" s="6" t="e">
        <f>IF(ISNA(MATCH(AE$2,Inputs!$K$4:$AJ$4,0)),NA(),IF(SUMPRODUCT((Inputs!$A$5:$A$130=$B43)*ISNUMBER(INDEX(Inputs!$K$5:$AJ$130,0,MATCH(AE$2,Inputs!$K$4:$AJ$4,0))))+SUMPRODUCT((Inputs!$C$5:$C$130=$B43)*ISNUMBER(INDEX(Inputs!$K$5:$AJ$130,0,MATCH(AE$2,Inputs!$K$4:$AJ$4,0))))+SUMPRODUCT((Inputs!$E$5:$E$130=$B43)*ISNUMBER(INDEX(Inputs!$K$5:$AJ$130,0,MATCH(AE$2,Inputs!$K$4:$AJ$4,0))))=0,NA(),SUMPRODUCT((Inputs!$A$5:$A$130=$B43)*Inputs!$B$5:$B$130*(((Inputs!$G$5:$G$130="moeda")+(Inputs!$G$5:$G$130="acoes"))*Inputs!$B$1+((Inputs!$G$5:$G$130&lt;&gt;"moeda")*(Inputs!$G$5:$G$130&lt;&gt;"acoes")))*INDEX(Inputs!$K$5:$AJ$130,0,MATCH(AE$2,Inputs!$K$4:$AJ$4,0)))+SUMPRODUCT((Inputs!$C$5:$C$130=$B43)*Inputs!$D$5:$D$130*(((Inputs!$G$5:$G$130="moeda")+(Inputs!$G$5:$G$130="acoes"))*Inputs!$B$1+((Inputs!$G$5:$G$130&lt;&gt;"moeda")*(Inputs!$G$5:$G$130&lt;&gt;"acoes")))*INDEX(Inputs!$K$5:$AJ$130,0,MATCH(AE$2,Inputs!$K$4:$AJ$4,0)))+SUMPRODUCT((Inputs!$E$5:$E$130=$B43)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3" s="6" t="e">
        <f>IF(ISNA(MATCH(AF$2,Inputs!$K$4:$AJ$4,0)),NA(),IF(SUMPRODUCT((Inputs!$A$5:$A$130=$B43)*ISNUMBER(INDEX(Inputs!$K$5:$AJ$130,0,MATCH(AF$2,Inputs!$K$4:$AJ$4,0))))+SUMPRODUCT((Inputs!$C$5:$C$130=$B43)*ISNUMBER(INDEX(Inputs!$K$5:$AJ$130,0,MATCH(AF$2,Inputs!$K$4:$AJ$4,0))))+SUMPRODUCT((Inputs!$E$5:$E$130=$B43)*ISNUMBER(INDEX(Inputs!$K$5:$AJ$130,0,MATCH(AF$2,Inputs!$K$4:$AJ$4,0))))=0,NA(),SUMPRODUCT((Inputs!$A$5:$A$130=$B43)*Inputs!$B$5:$B$130*(((Inputs!$G$5:$G$130="moeda")+(Inputs!$G$5:$G$130="acoes"))*Inputs!$B$1+((Inputs!$G$5:$G$130&lt;&gt;"moeda")*(Inputs!$G$5:$G$130&lt;&gt;"acoes")))*INDEX(Inputs!$K$5:$AJ$130,0,MATCH(AF$2,Inputs!$K$4:$AJ$4,0)))+SUMPRODUCT((Inputs!$C$5:$C$130=$B43)*Inputs!$D$5:$D$130*(((Inputs!$G$5:$G$130="moeda")+(Inputs!$G$5:$G$130="acoes"))*Inputs!$B$1+((Inputs!$G$5:$G$130&lt;&gt;"moeda")*(Inputs!$G$5:$G$130&lt;&gt;"acoes")))*INDEX(Inputs!$K$5:$AJ$130,0,MATCH(AF$2,Inputs!$K$4:$AJ$4,0)))+SUMPRODUCT((Inputs!$E$5:$E$130=$B43)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3" s="3" t="e">
        <f>AF43</f>
        <v>#N/A</v>
      </c>
      <c r="AH43" s="6">
        <f>IF(ISNA(MATCH(AH$2,Inputs!$K$4:$AJ$4,0)),NA(),IF(SUMPRODUCT((Inputs!$A$5:$A$130=$B43)*ISNUMBER(INDEX(Inputs!$K$5:$AJ$130,0,MATCH(AH$2,Inputs!$K$4:$AJ$4,0))))+SUMPRODUCT((Inputs!$C$5:$C$130=$B43)*ISNUMBER(INDEX(Inputs!$K$5:$AJ$130,0,MATCH(AH$2,Inputs!$K$4:$AJ$4,0))))+SUMPRODUCT((Inputs!$E$5:$E$130=$B43)*ISNUMBER(INDEX(Inputs!$K$5:$AJ$130,0,MATCH(AH$2,Inputs!$K$4:$AJ$4,0))))=0,NA(),SUMPRODUCT((Inputs!$A$5:$A$130=$B43)*Inputs!$B$5:$B$130*(((Inputs!$G$5:$G$130="moeda")+(Inputs!$G$5:$G$130="acoes"))*Inputs!$B$1+((Inputs!$G$5:$G$130&lt;&gt;"moeda")*(Inputs!$G$5:$G$130&lt;&gt;"acoes")))*INDEX(Inputs!$K$5:$AJ$130,0,MATCH(AH$2,Inputs!$K$4:$AJ$4,0)))+SUMPRODUCT((Inputs!$C$5:$C$130=$B43)*Inputs!$D$5:$D$130*(((Inputs!$G$5:$G$130="moeda")+(Inputs!$G$5:$G$130="acoes"))*Inputs!$B$1+((Inputs!$G$5:$G$130&lt;&gt;"moeda")*(Inputs!$G$5:$G$130&lt;&gt;"acoes")))*INDEX(Inputs!$K$5:$AJ$130,0,MATCH(AH$2,Inputs!$K$4:$AJ$4,0)))+SUMPRODUCT((Inputs!$E$5:$E$130=$B43)*Inputs!$F$5:$F$130*(((Inputs!$G$5:$G$130="moeda")+(Inputs!$G$5:$G$130="acoes"))*Inputs!$B$1+((Inputs!$G$5:$G$130&lt;&gt;"moeda")*(Inputs!$G$5:$G$130&lt;&gt;"acoes")))*INDEX(Inputs!$K$5:$AJ$130,0,MATCH(AH$2,Inputs!$K$4:$AJ$4,0)))))</f>
        <v>4713</v>
      </c>
      <c r="AI43" s="6">
        <f>IF(ISNA(MATCH(AI$2,Inputs!$K$4:$AJ$4,0)),NA(),IF(SUMPRODUCT((Inputs!$A$5:$A$130=$B43)*ISNUMBER(INDEX(Inputs!$K$5:$AJ$130,0,MATCH(AI$2,Inputs!$K$4:$AJ$4,0))))+SUMPRODUCT((Inputs!$C$5:$C$130=$B43)*ISNUMBER(INDEX(Inputs!$K$5:$AJ$130,0,MATCH(AI$2,Inputs!$K$4:$AJ$4,0))))+SUMPRODUCT((Inputs!$E$5:$E$130=$B43)*ISNUMBER(INDEX(Inputs!$K$5:$AJ$130,0,MATCH(AI$2,Inputs!$K$4:$AJ$4,0))))=0,NA(),SUMPRODUCT((Inputs!$A$5:$A$130=$B43)*Inputs!$B$5:$B$130*(((Inputs!$G$5:$G$130="moeda")+(Inputs!$G$5:$G$130="acoes"))*Inputs!$B$1+((Inputs!$G$5:$G$130&lt;&gt;"moeda")*(Inputs!$G$5:$G$130&lt;&gt;"acoes")))*INDEX(Inputs!$K$5:$AJ$130,0,MATCH(AI$2,Inputs!$K$4:$AJ$4,0)))+SUMPRODUCT((Inputs!$C$5:$C$130=$B43)*Inputs!$D$5:$D$130*(((Inputs!$G$5:$G$130="moeda")+(Inputs!$G$5:$G$130="acoes"))*Inputs!$B$1+((Inputs!$G$5:$G$130&lt;&gt;"moeda")*(Inputs!$G$5:$G$130&lt;&gt;"acoes")))*INDEX(Inputs!$K$5:$AJ$130,0,MATCH(AI$2,Inputs!$K$4:$AJ$4,0)))+SUMPRODUCT((Inputs!$E$5:$E$130=$B43)*Inputs!$F$5:$F$130*(((Inputs!$G$5:$G$130="moeda")+(Inputs!$G$5:$G$130="acoes"))*Inputs!$B$1+((Inputs!$G$5:$G$130&lt;&gt;"moeda")*(Inputs!$G$5:$G$130&lt;&gt;"acoes")))*INDEX(Inputs!$K$5:$AJ$130,0,MATCH(AI$2,Inputs!$K$4:$AJ$4,0)))))</f>
        <v>4750</v>
      </c>
      <c r="AJ43" s="6">
        <f>IF(ISNA(MATCH(AJ$2,Inputs!$K$4:$AJ$4,0)),NA(),IF(SUMPRODUCT((Inputs!$A$5:$A$130=$B43)*ISNUMBER(INDEX(Inputs!$K$5:$AJ$130,0,MATCH(AJ$2,Inputs!$K$4:$AJ$4,0))))+SUMPRODUCT((Inputs!$C$5:$C$130=$B43)*ISNUMBER(INDEX(Inputs!$K$5:$AJ$130,0,MATCH(AJ$2,Inputs!$K$4:$AJ$4,0))))+SUMPRODUCT((Inputs!$E$5:$E$130=$B43)*ISNUMBER(INDEX(Inputs!$K$5:$AJ$130,0,MATCH(AJ$2,Inputs!$K$4:$AJ$4,0))))=0,NA(),SUMPRODUCT((Inputs!$A$5:$A$130=$B43)*Inputs!$B$5:$B$130*(((Inputs!$G$5:$G$130="moeda")+(Inputs!$G$5:$G$130="acoes"))*Inputs!$B$1+((Inputs!$G$5:$G$130&lt;&gt;"moeda")*(Inputs!$G$5:$G$130&lt;&gt;"acoes")))*INDEX(Inputs!$K$5:$AJ$130,0,MATCH(AJ$2,Inputs!$K$4:$AJ$4,0)))+SUMPRODUCT((Inputs!$C$5:$C$130=$B43)*Inputs!$D$5:$D$130*(((Inputs!$G$5:$G$130="moeda")+(Inputs!$G$5:$G$130="acoes"))*Inputs!$B$1+((Inputs!$G$5:$G$130&lt;&gt;"moeda")*(Inputs!$G$5:$G$130&lt;&gt;"acoes")))*INDEX(Inputs!$K$5:$AJ$130,0,MATCH(AJ$2,Inputs!$K$4:$AJ$4,0)))+SUMPRODUCT((Inputs!$E$5:$E$130=$B43)*Inputs!$F$5:$F$130*(((Inputs!$G$5:$G$130="moeda")+(Inputs!$G$5:$G$130="acoes"))*Inputs!$B$1+((Inputs!$G$5:$G$130&lt;&gt;"moeda")*(Inputs!$G$5:$G$130&lt;&gt;"acoes")))*INDEX(Inputs!$K$5:$AJ$130,0,MATCH(AJ$2,Inputs!$K$4:$AJ$4,0)))))</f>
        <v>4895</v>
      </c>
      <c r="AK43" s="6">
        <f>IF(ISNA(MATCH(AK$2,Inputs!$K$4:$AJ$4,0)),NA(),IF(SUMPRODUCT((Inputs!$A$5:$A$130=$B43)*ISNUMBER(INDEX(Inputs!$K$5:$AJ$130,0,MATCH(AK$2,Inputs!$K$4:$AJ$4,0))))+SUMPRODUCT((Inputs!$C$5:$C$130=$B43)*ISNUMBER(INDEX(Inputs!$K$5:$AJ$130,0,MATCH(AK$2,Inputs!$K$4:$AJ$4,0))))+SUMPRODUCT((Inputs!$E$5:$E$130=$B43)*ISNUMBER(INDEX(Inputs!$K$5:$AJ$130,0,MATCH(AK$2,Inputs!$K$4:$AJ$4,0))))=0,NA(),SUMPRODUCT((Inputs!$A$5:$A$130=$B43)*Inputs!$B$5:$B$130*(((Inputs!$G$5:$G$130="moeda")+(Inputs!$G$5:$G$130="acoes"))*Inputs!$B$1+((Inputs!$G$5:$G$130&lt;&gt;"moeda")*(Inputs!$G$5:$G$130&lt;&gt;"acoes")))*INDEX(Inputs!$K$5:$AJ$130,0,MATCH(AK$2,Inputs!$K$4:$AJ$4,0)))+SUMPRODUCT((Inputs!$C$5:$C$130=$B43)*Inputs!$D$5:$D$130*(((Inputs!$G$5:$G$130="moeda")+(Inputs!$G$5:$G$130="acoes"))*Inputs!$B$1+((Inputs!$G$5:$G$130&lt;&gt;"moeda")*(Inputs!$G$5:$G$130&lt;&gt;"acoes")))*INDEX(Inputs!$K$5:$AJ$130,0,MATCH(AK$2,Inputs!$K$4:$AJ$4,0)))+SUMPRODUCT((Inputs!$E$5:$E$130=$B43)*Inputs!$F$5:$F$130*(((Inputs!$G$5:$G$130="moeda")+(Inputs!$G$5:$G$130="acoes"))*Inputs!$B$1+((Inputs!$G$5:$G$130&lt;&gt;"moeda")*(Inputs!$G$5:$G$130&lt;&gt;"acoes")))*INDEX(Inputs!$K$5:$AJ$130,0,MATCH(AK$2,Inputs!$K$4:$AJ$4,0)))))</f>
        <v>4942</v>
      </c>
      <c r="AL43" s="3">
        <f>AK43</f>
        <v>4942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$130=$B44)*ISNUMBER(INDEX(Inputs!$K$5:$AJ$130,0,MATCH(D$2,Inputs!$K$4:$AJ$4,0))))+SUMPRODUCT((Inputs!$C$5:$C$130=$B44)*ISNUMBER(INDEX(Inputs!$K$5:$AJ$130,0,MATCH(D$2,Inputs!$K$4:$AJ$4,0))))+SUMPRODUCT((Inputs!$E$5:$E$130=$B44)*ISNUMBER(INDEX(Inputs!$K$5:$AJ$130,0,MATCH(D$2,Inputs!$K$4:$AJ$4,0))))=0,NA(),SUMPRODUCT((Inputs!$A$5:$A$130=$B44)*Inputs!$B$5:$B$130*(((Inputs!$G$5:$G$130="moeda")+(Inputs!$G$5:$G$130="acoes"))*Inputs!$B$1+((Inputs!$G$5:$G$130&lt;&gt;"moeda")*(Inputs!$G$5:$G$130&lt;&gt;"acoes")))*INDEX(Inputs!$K$5:$AJ$130,0,MATCH(D$2,Inputs!$K$4:$AJ$4,0)))+SUMPRODUCT((Inputs!$C$5:$C$130=$B44)*Inputs!$D$5:$D$130*(((Inputs!$G$5:$G$130="moeda")+(Inputs!$G$5:$G$130="acoes"))*Inputs!$B$1+((Inputs!$G$5:$G$130&lt;&gt;"moeda")*(Inputs!$G$5:$G$130&lt;&gt;"acoes")))*INDEX(Inputs!$K$5:$AJ$130,0,MATCH(D$2,Inputs!$K$4:$AJ$4,0)))+SUMPRODUCT((Inputs!$E$5:$E$130=$B44)*Inputs!$F$5:$F$130*(((Inputs!$G$5:$G$130="moeda")+(Inputs!$G$5:$G$130="acoes"))*Inputs!$B$1+((Inputs!$G$5:$G$130&lt;&gt;"moeda")*(Inputs!$G$5:$G$130&lt;&gt;"acoes")))*INDEX(Inputs!$K$5:$AJ$130,0,MATCH(D$2,Inputs!$K$4:$AJ$4,0)))))</f>
        <v>-19052</v>
      </c>
      <c r="E44" s="6">
        <f>IF(ISNA(MATCH(E$2,Inputs!$K$4:$AJ$4,0)),NA(),IF(SUMPRODUCT((Inputs!$A$5:$A$130=$B44)*ISNUMBER(INDEX(Inputs!$K$5:$AJ$130,0,MATCH(E$2,Inputs!$K$4:$AJ$4,0))))+SUMPRODUCT((Inputs!$C$5:$C$130=$B44)*ISNUMBER(INDEX(Inputs!$K$5:$AJ$130,0,MATCH(E$2,Inputs!$K$4:$AJ$4,0))))+SUMPRODUCT((Inputs!$E$5:$E$130=$B44)*ISNUMBER(INDEX(Inputs!$K$5:$AJ$130,0,MATCH(E$2,Inputs!$K$4:$AJ$4,0))))=0,NA(),SUMPRODUCT((Inputs!$A$5:$A$130=$B44)*Inputs!$B$5:$B$130*(((Inputs!$G$5:$G$130="moeda")+(Inputs!$G$5:$G$130="acoes"))*Inputs!$B$1+((Inputs!$G$5:$G$130&lt;&gt;"moeda")*(Inputs!$G$5:$G$130&lt;&gt;"acoes")))*INDEX(Inputs!$K$5:$AJ$130,0,MATCH(E$2,Inputs!$K$4:$AJ$4,0)))+SUMPRODUCT((Inputs!$C$5:$C$130=$B44)*Inputs!$D$5:$D$130*(((Inputs!$G$5:$G$130="moeda")+(Inputs!$G$5:$G$130="acoes"))*Inputs!$B$1+((Inputs!$G$5:$G$130&lt;&gt;"moeda")*(Inputs!$G$5:$G$130&lt;&gt;"acoes")))*INDEX(Inputs!$K$5:$AJ$130,0,MATCH(E$2,Inputs!$K$4:$AJ$4,0)))+SUMPRODUCT((Inputs!$E$5:$E$130=$B44)*Inputs!$F$5:$F$130*(((Inputs!$G$5:$G$130="moeda")+(Inputs!$G$5:$G$130="acoes"))*Inputs!$B$1+((Inputs!$G$5:$G$130&lt;&gt;"moeda")*(Inputs!$G$5:$G$130&lt;&gt;"acoes")))*INDEX(Inputs!$K$5:$AJ$130,0,MATCH(E$2,Inputs!$K$4:$AJ$4,0)))))</f>
        <v>-19780</v>
      </c>
      <c r="F44" s="6">
        <f>IF(ISNA(MATCH(F$2,Inputs!$K$4:$AJ$4,0)),NA(),IF(SUMPRODUCT((Inputs!$A$5:$A$130=$B44)*ISNUMBER(INDEX(Inputs!$K$5:$AJ$130,0,MATCH(F$2,Inputs!$K$4:$AJ$4,0))))+SUMPRODUCT((Inputs!$C$5:$C$130=$B44)*ISNUMBER(INDEX(Inputs!$K$5:$AJ$130,0,MATCH(F$2,Inputs!$K$4:$AJ$4,0))))+SUMPRODUCT((Inputs!$E$5:$E$130=$B44)*ISNUMBER(INDEX(Inputs!$K$5:$AJ$130,0,MATCH(F$2,Inputs!$K$4:$AJ$4,0))))=0,NA(),SUMPRODUCT((Inputs!$A$5:$A$130=$B44)*Inputs!$B$5:$B$130*(((Inputs!$G$5:$G$130="moeda")+(Inputs!$G$5:$G$130="acoes"))*Inputs!$B$1+((Inputs!$G$5:$G$130&lt;&gt;"moeda")*(Inputs!$G$5:$G$130&lt;&gt;"acoes")))*INDEX(Inputs!$K$5:$AJ$130,0,MATCH(F$2,Inputs!$K$4:$AJ$4,0)))+SUMPRODUCT((Inputs!$C$5:$C$130=$B44)*Inputs!$D$5:$D$130*(((Inputs!$G$5:$G$130="moeda")+(Inputs!$G$5:$G$130="acoes"))*Inputs!$B$1+((Inputs!$G$5:$G$130&lt;&gt;"moeda")*(Inputs!$G$5:$G$130&lt;&gt;"acoes")))*INDEX(Inputs!$K$5:$AJ$130,0,MATCH(F$2,Inputs!$K$4:$AJ$4,0)))+SUMPRODUCT((Inputs!$E$5:$E$130=$B44)*Inputs!$F$5:$F$130*(((Inputs!$G$5:$G$130="moeda")+(Inputs!$G$5:$G$130="acoes"))*Inputs!$B$1+((Inputs!$G$5:$G$130&lt;&gt;"moeda")*(Inputs!$G$5:$G$130&lt;&gt;"acoes")))*INDEX(Inputs!$K$5:$AJ$130,0,MATCH(F$2,Inputs!$K$4:$AJ$4,0)))))</f>
        <v>-20533</v>
      </c>
      <c r="G44" s="6">
        <f>IF(ISNA(MATCH(G$2,Inputs!$K$4:$AJ$4,0)),NA(),IF(SUMPRODUCT((Inputs!$A$5:$A$130=$B44)*ISNUMBER(INDEX(Inputs!$K$5:$AJ$130,0,MATCH(G$2,Inputs!$K$4:$AJ$4,0))))+SUMPRODUCT((Inputs!$C$5:$C$130=$B44)*ISNUMBER(INDEX(Inputs!$K$5:$AJ$130,0,MATCH(G$2,Inputs!$K$4:$AJ$4,0))))+SUMPRODUCT((Inputs!$E$5:$E$130=$B44)*ISNUMBER(INDEX(Inputs!$K$5:$AJ$130,0,MATCH(G$2,Inputs!$K$4:$AJ$4,0))))=0,NA(),SUMPRODUCT((Inputs!$A$5:$A$130=$B44)*Inputs!$B$5:$B$130*(((Inputs!$G$5:$G$130="moeda")+(Inputs!$G$5:$G$130="acoes"))*Inputs!$B$1+((Inputs!$G$5:$G$130&lt;&gt;"moeda")*(Inputs!$G$5:$G$130&lt;&gt;"acoes")))*INDEX(Inputs!$K$5:$AJ$130,0,MATCH(G$2,Inputs!$K$4:$AJ$4,0)))+SUMPRODUCT((Inputs!$C$5:$C$130=$B44)*Inputs!$D$5:$D$130*(((Inputs!$G$5:$G$130="moeda")+(Inputs!$G$5:$G$130="acoes"))*Inputs!$B$1+((Inputs!$G$5:$G$130&lt;&gt;"moeda")*(Inputs!$G$5:$G$130&lt;&gt;"acoes")))*INDEX(Inputs!$K$5:$AJ$130,0,MATCH(G$2,Inputs!$K$4:$AJ$4,0)))+SUMPRODUCT((Inputs!$E$5:$E$130=$B44)*Inputs!$F$5:$F$130*(((Inputs!$G$5:$G$130="moeda")+(Inputs!$G$5:$G$130="acoes"))*Inputs!$B$1+((Inputs!$G$5:$G$130&lt;&gt;"moeda")*(Inputs!$G$5:$G$130&lt;&gt;"acoes")))*INDEX(Inputs!$K$5:$AJ$130,0,MATCH(G$2,Inputs!$K$4:$AJ$4,0)))))</f>
        <v>-21139</v>
      </c>
      <c r="H44" s="3">
        <f>G44</f>
        <v>-21139</v>
      </c>
      <c r="I44" s="6">
        <f>IF(ISNA(MATCH(I$2,Inputs!$K$4:$AJ$4,0)),NA(),IF(SUMPRODUCT((Inputs!$A$5:$A$130=$B44)*ISNUMBER(INDEX(Inputs!$K$5:$AJ$130,0,MATCH(I$2,Inputs!$K$4:$AJ$4,0))))+SUMPRODUCT((Inputs!$C$5:$C$130=$B44)*ISNUMBER(INDEX(Inputs!$K$5:$AJ$130,0,MATCH(I$2,Inputs!$K$4:$AJ$4,0))))+SUMPRODUCT((Inputs!$E$5:$E$130=$B44)*ISNUMBER(INDEX(Inputs!$K$5:$AJ$130,0,MATCH(I$2,Inputs!$K$4:$AJ$4,0))))=0,NA(),SUMPRODUCT((Inputs!$A$5:$A$130=$B44)*Inputs!$B$5:$B$130*(((Inputs!$G$5:$G$130="moeda")+(Inputs!$G$5:$G$130="acoes"))*Inputs!$B$1+((Inputs!$G$5:$G$130&lt;&gt;"moeda")*(Inputs!$G$5:$G$130&lt;&gt;"acoes")))*INDEX(Inputs!$K$5:$AJ$130,0,MATCH(I$2,Inputs!$K$4:$AJ$4,0)))+SUMPRODUCT((Inputs!$C$5:$C$130=$B44)*Inputs!$D$5:$D$130*(((Inputs!$G$5:$G$130="moeda")+(Inputs!$G$5:$G$130="acoes"))*Inputs!$B$1+((Inputs!$G$5:$G$130&lt;&gt;"moeda")*(Inputs!$G$5:$G$130&lt;&gt;"acoes")))*INDEX(Inputs!$K$5:$AJ$130,0,MATCH(I$2,Inputs!$K$4:$AJ$4,0)))+SUMPRODUCT((Inputs!$E$5:$E$130=$B44)*Inputs!$F$5:$F$130*(((Inputs!$G$5:$G$130="moeda")+(Inputs!$G$5:$G$130="acoes"))*Inputs!$B$1+((Inputs!$G$5:$G$130&lt;&gt;"moeda")*(Inputs!$G$5:$G$130&lt;&gt;"acoes")))*INDEX(Inputs!$K$5:$AJ$130,0,MATCH(I$2,Inputs!$K$4:$AJ$4,0)))))</f>
        <v>-21727</v>
      </c>
      <c r="J44" s="6">
        <f>IF(ISNA(MATCH(J$2,Inputs!$K$4:$AJ$4,0)),NA(),IF(SUMPRODUCT((Inputs!$A$5:$A$130=$B44)*ISNUMBER(INDEX(Inputs!$K$5:$AJ$130,0,MATCH(J$2,Inputs!$K$4:$AJ$4,0))))+SUMPRODUCT((Inputs!$C$5:$C$130=$B44)*ISNUMBER(INDEX(Inputs!$K$5:$AJ$130,0,MATCH(J$2,Inputs!$K$4:$AJ$4,0))))+SUMPRODUCT((Inputs!$E$5:$E$130=$B44)*ISNUMBER(INDEX(Inputs!$K$5:$AJ$130,0,MATCH(J$2,Inputs!$K$4:$AJ$4,0))))=0,NA(),SUMPRODUCT((Inputs!$A$5:$A$130=$B44)*Inputs!$B$5:$B$130*(((Inputs!$G$5:$G$130="moeda")+(Inputs!$G$5:$G$130="acoes"))*Inputs!$B$1+((Inputs!$G$5:$G$130&lt;&gt;"moeda")*(Inputs!$G$5:$G$130&lt;&gt;"acoes")))*INDEX(Inputs!$K$5:$AJ$130,0,MATCH(J$2,Inputs!$K$4:$AJ$4,0)))+SUMPRODUCT((Inputs!$C$5:$C$130=$B44)*Inputs!$D$5:$D$130*(((Inputs!$G$5:$G$130="moeda")+(Inputs!$G$5:$G$130="acoes"))*Inputs!$B$1+((Inputs!$G$5:$G$130&lt;&gt;"moeda")*(Inputs!$G$5:$G$130&lt;&gt;"acoes")))*INDEX(Inputs!$K$5:$AJ$130,0,MATCH(J$2,Inputs!$K$4:$AJ$4,0)))+SUMPRODUCT((Inputs!$E$5:$E$130=$B44)*Inputs!$F$5:$F$130*(((Inputs!$G$5:$G$130="moeda")+(Inputs!$G$5:$G$130="acoes"))*Inputs!$B$1+((Inputs!$G$5:$G$130&lt;&gt;"moeda")*(Inputs!$G$5:$G$130&lt;&gt;"acoes")))*INDEX(Inputs!$K$5:$AJ$130,0,MATCH(J$2,Inputs!$K$4:$AJ$4,0)))))</f>
        <v>-22976</v>
      </c>
      <c r="K44" s="6">
        <f>IF(ISNA(MATCH(K$2,Inputs!$K$4:$AJ$4,0)),NA(),IF(SUMPRODUCT((Inputs!$A$5:$A$130=$B44)*ISNUMBER(INDEX(Inputs!$K$5:$AJ$130,0,MATCH(K$2,Inputs!$K$4:$AJ$4,0))))+SUMPRODUCT((Inputs!$C$5:$C$130=$B44)*ISNUMBER(INDEX(Inputs!$K$5:$AJ$130,0,MATCH(K$2,Inputs!$K$4:$AJ$4,0))))+SUMPRODUCT((Inputs!$E$5:$E$130=$B44)*ISNUMBER(INDEX(Inputs!$K$5:$AJ$130,0,MATCH(K$2,Inputs!$K$4:$AJ$4,0))))=0,NA(),SUMPRODUCT((Inputs!$A$5:$A$130=$B44)*Inputs!$B$5:$B$130*(((Inputs!$G$5:$G$130="moeda")+(Inputs!$G$5:$G$130="acoes"))*Inputs!$B$1+((Inputs!$G$5:$G$130&lt;&gt;"moeda")*(Inputs!$G$5:$G$130&lt;&gt;"acoes")))*INDEX(Inputs!$K$5:$AJ$130,0,MATCH(K$2,Inputs!$K$4:$AJ$4,0)))+SUMPRODUCT((Inputs!$C$5:$C$130=$B44)*Inputs!$D$5:$D$130*(((Inputs!$G$5:$G$130="moeda")+(Inputs!$G$5:$G$130="acoes"))*Inputs!$B$1+((Inputs!$G$5:$G$130&lt;&gt;"moeda")*(Inputs!$G$5:$G$130&lt;&gt;"acoes")))*INDEX(Inputs!$K$5:$AJ$130,0,MATCH(K$2,Inputs!$K$4:$AJ$4,0)))+SUMPRODUCT((Inputs!$E$5:$E$130=$B44)*Inputs!$F$5:$F$130*(((Inputs!$G$5:$G$130="moeda")+(Inputs!$G$5:$G$130="acoes"))*Inputs!$B$1+((Inputs!$G$5:$G$130&lt;&gt;"moeda")*(Inputs!$G$5:$G$130&lt;&gt;"acoes")))*INDEX(Inputs!$K$5:$AJ$130,0,MATCH(K$2,Inputs!$K$4:$AJ$4,0)))))</f>
        <v>-24094</v>
      </c>
      <c r="L44" s="6">
        <f>IF(ISNA(MATCH(L$2,Inputs!$K$4:$AJ$4,0)),NA(),IF(SUMPRODUCT((Inputs!$A$5:$A$130=$B44)*ISNUMBER(INDEX(Inputs!$K$5:$AJ$130,0,MATCH(L$2,Inputs!$K$4:$AJ$4,0))))+SUMPRODUCT((Inputs!$C$5:$C$130=$B44)*ISNUMBER(INDEX(Inputs!$K$5:$AJ$130,0,MATCH(L$2,Inputs!$K$4:$AJ$4,0))))+SUMPRODUCT((Inputs!$E$5:$E$130=$B44)*ISNUMBER(INDEX(Inputs!$K$5:$AJ$130,0,MATCH(L$2,Inputs!$K$4:$AJ$4,0))))=0,NA(),SUMPRODUCT((Inputs!$A$5:$A$130=$B44)*Inputs!$B$5:$B$130*(((Inputs!$G$5:$G$130="moeda")+(Inputs!$G$5:$G$130="acoes"))*Inputs!$B$1+((Inputs!$G$5:$G$130&lt;&gt;"moeda")*(Inputs!$G$5:$G$130&lt;&gt;"acoes")))*INDEX(Inputs!$K$5:$AJ$130,0,MATCH(L$2,Inputs!$K$4:$AJ$4,0)))+SUMPRODUCT((Inputs!$C$5:$C$130=$B44)*Inputs!$D$5:$D$130*(((Inputs!$G$5:$G$130="moeda")+(Inputs!$G$5:$G$130="acoes"))*Inputs!$B$1+((Inputs!$G$5:$G$130&lt;&gt;"moeda")*(Inputs!$G$5:$G$130&lt;&gt;"acoes")))*INDEX(Inputs!$K$5:$AJ$130,0,MATCH(L$2,Inputs!$K$4:$AJ$4,0)))+SUMPRODUCT((Inputs!$E$5:$E$130=$B44)*Inputs!$F$5:$F$130*(((Inputs!$G$5:$G$130="moeda")+(Inputs!$G$5:$G$130="acoes"))*Inputs!$B$1+((Inputs!$G$5:$G$130&lt;&gt;"moeda")*(Inputs!$G$5:$G$130&lt;&gt;"acoes")))*INDEX(Inputs!$K$5:$AJ$130,0,MATCH(L$2,Inputs!$K$4:$AJ$4,0)))))</f>
        <v>-25333</v>
      </c>
      <c r="M44" s="3">
        <f>L44</f>
        <v>-25333</v>
      </c>
      <c r="N44" s="6">
        <f>IF(ISNA(MATCH(N$2,Inputs!$K$4:$AJ$4,0)),NA(),IF(SUMPRODUCT((Inputs!$A$5:$A$130=$B44)*ISNUMBER(INDEX(Inputs!$K$5:$AJ$130,0,MATCH(N$2,Inputs!$K$4:$AJ$4,0))))+SUMPRODUCT((Inputs!$C$5:$C$130=$B44)*ISNUMBER(INDEX(Inputs!$K$5:$AJ$130,0,MATCH(N$2,Inputs!$K$4:$AJ$4,0))))+SUMPRODUCT((Inputs!$E$5:$E$130=$B44)*ISNUMBER(INDEX(Inputs!$K$5:$AJ$130,0,MATCH(N$2,Inputs!$K$4:$AJ$4,0))))=0,NA(),SUMPRODUCT((Inputs!$A$5:$A$130=$B44)*Inputs!$B$5:$B$130*(((Inputs!$G$5:$G$130="moeda")+(Inputs!$G$5:$G$130="acoes"))*Inputs!$B$1+((Inputs!$G$5:$G$130&lt;&gt;"moeda")*(Inputs!$G$5:$G$130&lt;&gt;"acoes")))*INDEX(Inputs!$K$5:$AJ$130,0,MATCH(N$2,Inputs!$K$4:$AJ$4,0)))+SUMPRODUCT((Inputs!$C$5:$C$130=$B44)*Inputs!$D$5:$D$130*(((Inputs!$G$5:$G$130="moeda")+(Inputs!$G$5:$G$130="acoes"))*Inputs!$B$1+((Inputs!$G$5:$G$130&lt;&gt;"moeda")*(Inputs!$G$5:$G$130&lt;&gt;"acoes")))*INDEX(Inputs!$K$5:$AJ$130,0,MATCH(N$2,Inputs!$K$4:$AJ$4,0)))+SUMPRODUCT((Inputs!$E$5:$E$130=$B44)*Inputs!$F$5:$F$130*(((Inputs!$G$5:$G$130="moeda")+(Inputs!$G$5:$G$130="acoes"))*Inputs!$B$1+((Inputs!$G$5:$G$130&lt;&gt;"moeda")*(Inputs!$G$5:$G$130&lt;&gt;"acoes")))*INDEX(Inputs!$K$5:$AJ$130,0,MATCH(N$2,Inputs!$K$4:$AJ$4,0)))))</f>
        <v>-26630</v>
      </c>
      <c r="O44" s="6">
        <f>IF(ISNA(MATCH(O$2,Inputs!$K$4:$AJ$4,0)),NA(),IF(SUMPRODUCT((Inputs!$A$5:$A$130=$B44)*ISNUMBER(INDEX(Inputs!$K$5:$AJ$130,0,MATCH(O$2,Inputs!$K$4:$AJ$4,0))))+SUMPRODUCT((Inputs!$C$5:$C$130=$B44)*ISNUMBER(INDEX(Inputs!$K$5:$AJ$130,0,MATCH(O$2,Inputs!$K$4:$AJ$4,0))))+SUMPRODUCT((Inputs!$E$5:$E$130=$B44)*ISNUMBER(INDEX(Inputs!$K$5:$AJ$130,0,MATCH(O$2,Inputs!$K$4:$AJ$4,0))))=0,NA(),SUMPRODUCT((Inputs!$A$5:$A$130=$B44)*Inputs!$B$5:$B$130*(((Inputs!$G$5:$G$130="moeda")+(Inputs!$G$5:$G$130="acoes"))*Inputs!$B$1+((Inputs!$G$5:$G$130&lt;&gt;"moeda")*(Inputs!$G$5:$G$130&lt;&gt;"acoes")))*INDEX(Inputs!$K$5:$AJ$130,0,MATCH(O$2,Inputs!$K$4:$AJ$4,0)))+SUMPRODUCT((Inputs!$C$5:$C$130=$B44)*Inputs!$D$5:$D$130*(((Inputs!$G$5:$G$130="moeda")+(Inputs!$G$5:$G$130="acoes"))*Inputs!$B$1+((Inputs!$G$5:$G$130&lt;&gt;"moeda")*(Inputs!$G$5:$G$130&lt;&gt;"acoes")))*INDEX(Inputs!$K$5:$AJ$130,0,MATCH(O$2,Inputs!$K$4:$AJ$4,0)))+SUMPRODUCT((Inputs!$E$5:$E$130=$B44)*Inputs!$F$5:$F$130*(((Inputs!$G$5:$G$130="moeda")+(Inputs!$G$5:$G$130="acoes"))*Inputs!$B$1+((Inputs!$G$5:$G$130&lt;&gt;"moeda")*(Inputs!$G$5:$G$130&lt;&gt;"acoes")))*INDEX(Inputs!$K$5:$AJ$130,0,MATCH(O$2,Inputs!$K$4:$AJ$4,0)))))</f>
        <v>-28760</v>
      </c>
      <c r="P44" s="6">
        <f>IF(ISNA(MATCH(P$2,Inputs!$K$4:$AJ$4,0)),NA(),IF(SUMPRODUCT((Inputs!$A$5:$A$130=$B44)*ISNUMBER(INDEX(Inputs!$K$5:$AJ$130,0,MATCH(P$2,Inputs!$K$4:$AJ$4,0))))+SUMPRODUCT((Inputs!$C$5:$C$130=$B44)*ISNUMBER(INDEX(Inputs!$K$5:$AJ$130,0,MATCH(P$2,Inputs!$K$4:$AJ$4,0))))+SUMPRODUCT((Inputs!$E$5:$E$130=$B44)*ISNUMBER(INDEX(Inputs!$K$5:$AJ$130,0,MATCH(P$2,Inputs!$K$4:$AJ$4,0))))=0,NA(),SUMPRODUCT((Inputs!$A$5:$A$130=$B44)*Inputs!$B$5:$B$130*(((Inputs!$G$5:$G$130="moeda")+(Inputs!$G$5:$G$130="acoes"))*Inputs!$B$1+((Inputs!$G$5:$G$130&lt;&gt;"moeda")*(Inputs!$G$5:$G$130&lt;&gt;"acoes")))*INDEX(Inputs!$K$5:$AJ$130,0,MATCH(P$2,Inputs!$K$4:$AJ$4,0)))+SUMPRODUCT((Inputs!$C$5:$C$130=$B44)*Inputs!$D$5:$D$130*(((Inputs!$G$5:$G$130="moeda")+(Inputs!$G$5:$G$130="acoes"))*Inputs!$B$1+((Inputs!$G$5:$G$130&lt;&gt;"moeda")*(Inputs!$G$5:$G$130&lt;&gt;"acoes")))*INDEX(Inputs!$K$5:$AJ$130,0,MATCH(P$2,Inputs!$K$4:$AJ$4,0)))+SUMPRODUCT((Inputs!$E$5:$E$130=$B44)*Inputs!$F$5:$F$130*(((Inputs!$G$5:$G$130="moeda")+(Inputs!$G$5:$G$130="acoes"))*Inputs!$B$1+((Inputs!$G$5:$G$130&lt;&gt;"moeda")*(Inputs!$G$5:$G$130&lt;&gt;"acoes")))*INDEX(Inputs!$K$5:$AJ$130,0,MATCH(P$2,Inputs!$K$4:$AJ$4,0)))))</f>
        <v>-31335</v>
      </c>
      <c r="Q44" s="6">
        <f>IF(ISNA(MATCH(Q$2,Inputs!$K$4:$AJ$4,0)),NA(),IF(SUMPRODUCT((Inputs!$A$5:$A$130=$B44)*ISNUMBER(INDEX(Inputs!$K$5:$AJ$130,0,MATCH(Q$2,Inputs!$K$4:$AJ$4,0))))+SUMPRODUCT((Inputs!$C$5:$C$130=$B44)*ISNUMBER(INDEX(Inputs!$K$5:$AJ$130,0,MATCH(Q$2,Inputs!$K$4:$AJ$4,0))))+SUMPRODUCT((Inputs!$E$5:$E$130=$B44)*ISNUMBER(INDEX(Inputs!$K$5:$AJ$130,0,MATCH(Q$2,Inputs!$K$4:$AJ$4,0))))=0,NA(),SUMPRODUCT((Inputs!$A$5:$A$130=$B44)*Inputs!$B$5:$B$130*(((Inputs!$G$5:$G$130="moeda")+(Inputs!$G$5:$G$130="acoes"))*Inputs!$B$1+((Inputs!$G$5:$G$130&lt;&gt;"moeda")*(Inputs!$G$5:$G$130&lt;&gt;"acoes")))*INDEX(Inputs!$K$5:$AJ$130,0,MATCH(Q$2,Inputs!$K$4:$AJ$4,0)))+SUMPRODUCT((Inputs!$C$5:$C$130=$B44)*Inputs!$D$5:$D$130*(((Inputs!$G$5:$G$130="moeda")+(Inputs!$G$5:$G$130="acoes"))*Inputs!$B$1+((Inputs!$G$5:$G$130&lt;&gt;"moeda")*(Inputs!$G$5:$G$130&lt;&gt;"acoes")))*INDEX(Inputs!$K$5:$AJ$130,0,MATCH(Q$2,Inputs!$K$4:$AJ$4,0)))+SUMPRODUCT((Inputs!$E$5:$E$130=$B44)*Inputs!$F$5:$F$130*(((Inputs!$G$5:$G$130="moeda")+(Inputs!$G$5:$G$130="acoes"))*Inputs!$B$1+((Inputs!$G$5:$G$130&lt;&gt;"moeda")*(Inputs!$G$5:$G$130&lt;&gt;"acoes")))*INDEX(Inputs!$K$5:$AJ$130,0,MATCH(Q$2,Inputs!$K$4:$AJ$4,0)))))</f>
        <v>-32663</v>
      </c>
      <c r="R44" s="3">
        <f>Q44</f>
        <v>-32663</v>
      </c>
      <c r="S44" s="6">
        <f>IF(ISNA(MATCH(S$2,Inputs!$K$4:$AJ$4,0)),NA(),IF(SUMPRODUCT((Inputs!$A$5:$A$130=$B44)*ISNUMBER(INDEX(Inputs!$K$5:$AJ$130,0,MATCH(S$2,Inputs!$K$4:$AJ$4,0))))+SUMPRODUCT((Inputs!$C$5:$C$130=$B44)*ISNUMBER(INDEX(Inputs!$K$5:$AJ$130,0,MATCH(S$2,Inputs!$K$4:$AJ$4,0))))+SUMPRODUCT((Inputs!$E$5:$E$130=$B44)*ISNUMBER(INDEX(Inputs!$K$5:$AJ$130,0,MATCH(S$2,Inputs!$K$4:$AJ$4,0))))=0,NA(),SUMPRODUCT((Inputs!$A$5:$A$130=$B44)*Inputs!$B$5:$B$130*(((Inputs!$G$5:$G$130="moeda")+(Inputs!$G$5:$G$130="acoes"))*Inputs!$B$1+((Inputs!$G$5:$G$130&lt;&gt;"moeda")*(Inputs!$G$5:$G$130&lt;&gt;"acoes")))*INDEX(Inputs!$K$5:$AJ$130,0,MATCH(S$2,Inputs!$K$4:$AJ$4,0)))+SUMPRODUCT((Inputs!$C$5:$C$130=$B44)*Inputs!$D$5:$D$130*(((Inputs!$G$5:$G$130="moeda")+(Inputs!$G$5:$G$130="acoes"))*Inputs!$B$1+((Inputs!$G$5:$G$130&lt;&gt;"moeda")*(Inputs!$G$5:$G$130&lt;&gt;"acoes")))*INDEX(Inputs!$K$5:$AJ$130,0,MATCH(S$2,Inputs!$K$4:$AJ$4,0)))+SUMPRODUCT((Inputs!$E$5:$E$130=$B44)*Inputs!$F$5:$F$130*(((Inputs!$G$5:$G$130="moeda")+(Inputs!$G$5:$G$130="acoes"))*Inputs!$B$1+((Inputs!$G$5:$G$130&lt;&gt;"moeda")*(Inputs!$G$5:$G$130&lt;&gt;"acoes")))*INDEX(Inputs!$K$5:$AJ$130,0,MATCH(S$2,Inputs!$K$4:$AJ$4,0)))))</f>
        <v>-33764</v>
      </c>
      <c r="T44" s="6">
        <f>IF(ISNA(MATCH(T$2,Inputs!$K$4:$AJ$4,0)),NA(),IF(SUMPRODUCT((Inputs!$A$5:$A$130=$B44)*ISNUMBER(INDEX(Inputs!$K$5:$AJ$130,0,MATCH(T$2,Inputs!$K$4:$AJ$4,0))))+SUMPRODUCT((Inputs!$C$5:$C$130=$B44)*ISNUMBER(INDEX(Inputs!$K$5:$AJ$130,0,MATCH(T$2,Inputs!$K$4:$AJ$4,0))))+SUMPRODUCT((Inputs!$E$5:$E$130=$B44)*ISNUMBER(INDEX(Inputs!$K$5:$AJ$130,0,MATCH(T$2,Inputs!$K$4:$AJ$4,0))))=0,NA(),SUMPRODUCT((Inputs!$A$5:$A$130=$B44)*Inputs!$B$5:$B$130*(((Inputs!$G$5:$G$130="moeda")+(Inputs!$G$5:$G$130="acoes"))*Inputs!$B$1+((Inputs!$G$5:$G$130&lt;&gt;"moeda")*(Inputs!$G$5:$G$130&lt;&gt;"acoes")))*INDEX(Inputs!$K$5:$AJ$130,0,MATCH(T$2,Inputs!$K$4:$AJ$4,0)))+SUMPRODUCT((Inputs!$C$5:$C$130=$B44)*Inputs!$D$5:$D$130*(((Inputs!$G$5:$G$130="moeda")+(Inputs!$G$5:$G$130="acoes"))*Inputs!$B$1+((Inputs!$G$5:$G$130&lt;&gt;"moeda")*(Inputs!$G$5:$G$130&lt;&gt;"acoes")))*INDEX(Inputs!$K$5:$AJ$130,0,MATCH(T$2,Inputs!$K$4:$AJ$4,0)))+SUMPRODUCT((Inputs!$E$5:$E$130=$B44)*Inputs!$F$5:$F$130*(((Inputs!$G$5:$G$130="moeda")+(Inputs!$G$5:$G$130="acoes"))*Inputs!$B$1+((Inputs!$G$5:$G$130&lt;&gt;"moeda")*(Inputs!$G$5:$G$130&lt;&gt;"acoes")))*INDEX(Inputs!$K$5:$AJ$130,0,MATCH(T$2,Inputs!$K$4:$AJ$4,0)))))</f>
        <v>-34570</v>
      </c>
      <c r="U44" s="6">
        <f>IF(ISNA(MATCH(U$2,Inputs!$K$4:$AJ$4,0)),NA(),IF(SUMPRODUCT((Inputs!$A$5:$A$130=$B44)*ISNUMBER(INDEX(Inputs!$K$5:$AJ$130,0,MATCH(U$2,Inputs!$K$4:$AJ$4,0))))+SUMPRODUCT((Inputs!$C$5:$C$130=$B44)*ISNUMBER(INDEX(Inputs!$K$5:$AJ$130,0,MATCH(U$2,Inputs!$K$4:$AJ$4,0))))+SUMPRODUCT((Inputs!$E$5:$E$130=$B44)*ISNUMBER(INDEX(Inputs!$K$5:$AJ$130,0,MATCH(U$2,Inputs!$K$4:$AJ$4,0))))=0,NA(),SUMPRODUCT((Inputs!$A$5:$A$130=$B44)*Inputs!$B$5:$B$130*(((Inputs!$G$5:$G$130="moeda")+(Inputs!$G$5:$G$130="acoes"))*Inputs!$B$1+((Inputs!$G$5:$G$130&lt;&gt;"moeda")*(Inputs!$G$5:$G$130&lt;&gt;"acoes")))*INDEX(Inputs!$K$5:$AJ$130,0,MATCH(U$2,Inputs!$K$4:$AJ$4,0)))+SUMPRODUCT((Inputs!$C$5:$C$130=$B44)*Inputs!$D$5:$D$130*(((Inputs!$G$5:$G$130="moeda")+(Inputs!$G$5:$G$130="acoes"))*Inputs!$B$1+((Inputs!$G$5:$G$130&lt;&gt;"moeda")*(Inputs!$G$5:$G$130&lt;&gt;"acoes")))*INDEX(Inputs!$K$5:$AJ$130,0,MATCH(U$2,Inputs!$K$4:$AJ$4,0)))+SUMPRODUCT((Inputs!$E$5:$E$130=$B44)*Inputs!$F$5:$F$130*(((Inputs!$G$5:$G$130="moeda")+(Inputs!$G$5:$G$130="acoes"))*Inputs!$B$1+((Inputs!$G$5:$G$130&lt;&gt;"moeda")*(Inputs!$G$5:$G$130&lt;&gt;"acoes")))*INDEX(Inputs!$K$5:$AJ$130,0,MATCH(U$2,Inputs!$K$4:$AJ$4,0)))))</f>
        <v>-35349</v>
      </c>
      <c r="V44" s="6">
        <f>IF(ISNA(MATCH(V$2,Inputs!$K$4:$AJ$4,0)),NA(),IF(SUMPRODUCT((Inputs!$A$5:$A$130=$B44)*ISNUMBER(INDEX(Inputs!$K$5:$AJ$130,0,MATCH(V$2,Inputs!$K$4:$AJ$4,0))))+SUMPRODUCT((Inputs!$C$5:$C$130=$B44)*ISNUMBER(INDEX(Inputs!$K$5:$AJ$130,0,MATCH(V$2,Inputs!$K$4:$AJ$4,0))))+SUMPRODUCT((Inputs!$E$5:$E$130=$B44)*ISNUMBER(INDEX(Inputs!$K$5:$AJ$130,0,MATCH(V$2,Inputs!$K$4:$AJ$4,0))))=0,NA(),SUMPRODUCT((Inputs!$A$5:$A$130=$B44)*Inputs!$B$5:$B$130*(((Inputs!$G$5:$G$130="moeda")+(Inputs!$G$5:$G$130="acoes"))*Inputs!$B$1+((Inputs!$G$5:$G$130&lt;&gt;"moeda")*(Inputs!$G$5:$G$130&lt;&gt;"acoes")))*INDEX(Inputs!$K$5:$AJ$130,0,MATCH(V$2,Inputs!$K$4:$AJ$4,0)))+SUMPRODUCT((Inputs!$C$5:$C$130=$B44)*Inputs!$D$5:$D$130*(((Inputs!$G$5:$G$130="moeda")+(Inputs!$G$5:$G$130="acoes"))*Inputs!$B$1+((Inputs!$G$5:$G$130&lt;&gt;"moeda")*(Inputs!$G$5:$G$130&lt;&gt;"acoes")))*INDEX(Inputs!$K$5:$AJ$130,0,MATCH(V$2,Inputs!$K$4:$AJ$4,0)))+SUMPRODUCT((Inputs!$E$5:$E$130=$B44)*Inputs!$F$5:$F$130*(((Inputs!$G$5:$G$130="moeda")+(Inputs!$G$5:$G$130="acoes"))*Inputs!$B$1+((Inputs!$G$5:$G$130&lt;&gt;"moeda")*(Inputs!$G$5:$G$130&lt;&gt;"acoes")))*INDEX(Inputs!$K$5:$AJ$130,0,MATCH(V$2,Inputs!$K$4:$AJ$4,0)))))</f>
        <v>-35709</v>
      </c>
      <c r="W44" s="3">
        <f>V44</f>
        <v>-35709</v>
      </c>
      <c r="X44" s="6">
        <f>IF(ISNA(MATCH(X$2,Inputs!$K$4:$AJ$4,0)),NA(),IF(SUMPRODUCT((Inputs!$A$5:$A$130=$B44)*ISNUMBER(INDEX(Inputs!$K$5:$AJ$130,0,MATCH(X$2,Inputs!$K$4:$AJ$4,0))))+SUMPRODUCT((Inputs!$C$5:$C$130=$B44)*ISNUMBER(INDEX(Inputs!$K$5:$AJ$130,0,MATCH(X$2,Inputs!$K$4:$AJ$4,0))))+SUMPRODUCT((Inputs!$E$5:$E$130=$B44)*ISNUMBER(INDEX(Inputs!$K$5:$AJ$130,0,MATCH(X$2,Inputs!$K$4:$AJ$4,0))))=0,NA(),SUMPRODUCT((Inputs!$A$5:$A$130=$B44)*Inputs!$B$5:$B$130*(((Inputs!$G$5:$G$130="moeda")+(Inputs!$G$5:$G$130="acoes"))*Inputs!$B$1+((Inputs!$G$5:$G$130&lt;&gt;"moeda")*(Inputs!$G$5:$G$130&lt;&gt;"acoes")))*INDEX(Inputs!$K$5:$AJ$130,0,MATCH(X$2,Inputs!$K$4:$AJ$4,0)))+SUMPRODUCT((Inputs!$C$5:$C$130=$B44)*Inputs!$D$5:$D$130*(((Inputs!$G$5:$G$130="moeda")+(Inputs!$G$5:$G$130="acoes"))*Inputs!$B$1+((Inputs!$G$5:$G$130&lt;&gt;"moeda")*(Inputs!$G$5:$G$130&lt;&gt;"acoes")))*INDEX(Inputs!$K$5:$AJ$130,0,MATCH(X$2,Inputs!$K$4:$AJ$4,0)))+SUMPRODUCT((Inputs!$E$5:$E$130=$B44)*Inputs!$F$5:$F$130*(((Inputs!$G$5:$G$130="moeda")+(Inputs!$G$5:$G$130="acoes"))*Inputs!$B$1+((Inputs!$G$5:$G$130&lt;&gt;"moeda")*(Inputs!$G$5:$G$130&lt;&gt;"acoes")))*INDEX(Inputs!$K$5:$AJ$130,0,MATCH(X$2,Inputs!$K$4:$AJ$4,0)))))</f>
        <v>-36064</v>
      </c>
      <c r="Y44" s="6">
        <f>IF(ISNA(MATCH(Y$2,Inputs!$K$4:$AJ$4,0)),NA(),IF(SUMPRODUCT((Inputs!$A$5:$A$130=$B44)*ISNUMBER(INDEX(Inputs!$K$5:$AJ$130,0,MATCH(Y$2,Inputs!$K$4:$AJ$4,0))))+SUMPRODUCT((Inputs!$C$5:$C$130=$B44)*ISNUMBER(INDEX(Inputs!$K$5:$AJ$130,0,MATCH(Y$2,Inputs!$K$4:$AJ$4,0))))+SUMPRODUCT((Inputs!$E$5:$E$130=$B44)*ISNUMBER(INDEX(Inputs!$K$5:$AJ$130,0,MATCH(Y$2,Inputs!$K$4:$AJ$4,0))))=0,NA(),SUMPRODUCT((Inputs!$A$5:$A$130=$B44)*Inputs!$B$5:$B$130*(((Inputs!$G$5:$G$130="moeda")+(Inputs!$G$5:$G$130="acoes"))*Inputs!$B$1+((Inputs!$G$5:$G$130&lt;&gt;"moeda")*(Inputs!$G$5:$G$130&lt;&gt;"acoes")))*INDEX(Inputs!$K$5:$AJ$130,0,MATCH(Y$2,Inputs!$K$4:$AJ$4,0)))+SUMPRODUCT((Inputs!$C$5:$C$130=$B44)*Inputs!$D$5:$D$130*(((Inputs!$G$5:$G$130="moeda")+(Inputs!$G$5:$G$130="acoes"))*Inputs!$B$1+((Inputs!$G$5:$G$130&lt;&gt;"moeda")*(Inputs!$G$5:$G$130&lt;&gt;"acoes")))*INDEX(Inputs!$K$5:$AJ$130,0,MATCH(Y$2,Inputs!$K$4:$AJ$4,0)))+SUMPRODUCT((Inputs!$E$5:$E$130=$B44)*Inputs!$F$5:$F$130*(((Inputs!$G$5:$G$130="moeda")+(Inputs!$G$5:$G$130="acoes"))*Inputs!$B$1+((Inputs!$G$5:$G$130&lt;&gt;"moeda")*(Inputs!$G$5:$G$130&lt;&gt;"acoes")))*INDEX(Inputs!$K$5:$AJ$130,0,MATCH(Y$2,Inputs!$K$4:$AJ$4,0)))))</f>
        <v>-36361</v>
      </c>
      <c r="Z44" s="6">
        <f>IF(ISNA(MATCH(Z$2,Inputs!$K$4:$AJ$4,0)),NA(),IF(SUMPRODUCT((Inputs!$A$5:$A$130=$B44)*ISNUMBER(INDEX(Inputs!$K$5:$AJ$130,0,MATCH(Z$2,Inputs!$K$4:$AJ$4,0))))+SUMPRODUCT((Inputs!$C$5:$C$130=$B44)*ISNUMBER(INDEX(Inputs!$K$5:$AJ$130,0,MATCH(Z$2,Inputs!$K$4:$AJ$4,0))))+SUMPRODUCT((Inputs!$E$5:$E$130=$B44)*ISNUMBER(INDEX(Inputs!$K$5:$AJ$130,0,MATCH(Z$2,Inputs!$K$4:$AJ$4,0))))=0,NA(),SUMPRODUCT((Inputs!$A$5:$A$130=$B44)*Inputs!$B$5:$B$130*(((Inputs!$G$5:$G$130="moeda")+(Inputs!$G$5:$G$130="acoes"))*Inputs!$B$1+((Inputs!$G$5:$G$130&lt;&gt;"moeda")*(Inputs!$G$5:$G$130&lt;&gt;"acoes")))*INDEX(Inputs!$K$5:$AJ$130,0,MATCH(Z$2,Inputs!$K$4:$AJ$4,0)))+SUMPRODUCT((Inputs!$C$5:$C$130=$B44)*Inputs!$D$5:$D$130*(((Inputs!$G$5:$G$130="moeda")+(Inputs!$G$5:$G$130="acoes"))*Inputs!$B$1+((Inputs!$G$5:$G$130&lt;&gt;"moeda")*(Inputs!$G$5:$G$130&lt;&gt;"acoes")))*INDEX(Inputs!$K$5:$AJ$130,0,MATCH(Z$2,Inputs!$K$4:$AJ$4,0)))+SUMPRODUCT((Inputs!$E$5:$E$130=$B44)*Inputs!$F$5:$F$130*(((Inputs!$G$5:$G$130="moeda")+(Inputs!$G$5:$G$130="acoes"))*Inputs!$B$1+((Inputs!$G$5:$G$130&lt;&gt;"moeda")*(Inputs!$G$5:$G$130&lt;&gt;"acoes")))*INDEX(Inputs!$K$5:$AJ$130,0,MATCH(Z$2,Inputs!$K$4:$AJ$4,0)))))</f>
        <v>-36362</v>
      </c>
      <c r="AA44" s="6">
        <f>IF(ISNA(MATCH(AA$2,Inputs!$K$4:$AJ$4,0)),NA(),IF(SUMPRODUCT((Inputs!$A$5:$A$130=$B44)*ISNUMBER(INDEX(Inputs!$K$5:$AJ$130,0,MATCH(AA$2,Inputs!$K$4:$AJ$4,0))))+SUMPRODUCT((Inputs!$C$5:$C$130=$B44)*ISNUMBER(INDEX(Inputs!$K$5:$AJ$130,0,MATCH(AA$2,Inputs!$K$4:$AJ$4,0))))+SUMPRODUCT((Inputs!$E$5:$E$130=$B44)*ISNUMBER(INDEX(Inputs!$K$5:$AJ$130,0,MATCH(AA$2,Inputs!$K$4:$AJ$4,0))))=0,NA(),SUMPRODUCT((Inputs!$A$5:$A$130=$B44)*Inputs!$B$5:$B$130*(((Inputs!$G$5:$G$130="moeda")+(Inputs!$G$5:$G$130="acoes"))*Inputs!$B$1+((Inputs!$G$5:$G$130&lt;&gt;"moeda")*(Inputs!$G$5:$G$130&lt;&gt;"acoes")))*INDEX(Inputs!$K$5:$AJ$130,0,MATCH(AA$2,Inputs!$K$4:$AJ$4,0)))+SUMPRODUCT((Inputs!$C$5:$C$130=$B44)*Inputs!$D$5:$D$130*(((Inputs!$G$5:$G$130="moeda")+(Inputs!$G$5:$G$130="acoes"))*Inputs!$B$1+((Inputs!$G$5:$G$130&lt;&gt;"moeda")*(Inputs!$G$5:$G$130&lt;&gt;"acoes")))*INDEX(Inputs!$K$5:$AJ$130,0,MATCH(AA$2,Inputs!$K$4:$AJ$4,0)))+SUMPRODUCT((Inputs!$E$5:$E$130=$B44)*Inputs!$F$5:$F$130*(((Inputs!$G$5:$G$130="moeda")+(Inputs!$G$5:$G$130="acoes"))*Inputs!$B$1+((Inputs!$G$5:$G$130&lt;&gt;"moeda")*(Inputs!$G$5:$G$130&lt;&gt;"acoes")))*INDEX(Inputs!$K$5:$AJ$130,0,MATCH(AA$2,Inputs!$K$4:$AJ$4,0)))))</f>
        <v>-36645</v>
      </c>
      <c r="AB44" s="3">
        <f>AA44</f>
        <v>-36645</v>
      </c>
      <c r="AC44" s="6">
        <f>IF(ISNA(MATCH(AC$2,Inputs!$K$4:$AJ$4,0)),NA(),IF(SUMPRODUCT((Inputs!$A$5:$A$130=$B44)*ISNUMBER(INDEX(Inputs!$K$5:$AJ$130,0,MATCH(AC$2,Inputs!$K$4:$AJ$4,0))))+SUMPRODUCT((Inputs!$C$5:$C$130=$B44)*ISNUMBER(INDEX(Inputs!$K$5:$AJ$130,0,MATCH(AC$2,Inputs!$K$4:$AJ$4,0))))+SUMPRODUCT((Inputs!$E$5:$E$130=$B44)*ISNUMBER(INDEX(Inputs!$K$5:$AJ$130,0,MATCH(AC$2,Inputs!$K$4:$AJ$4,0))))=0,NA(),SUMPRODUCT((Inputs!$A$5:$A$130=$B44)*Inputs!$B$5:$B$130*(((Inputs!$G$5:$G$130="moeda")+(Inputs!$G$5:$G$130="acoes"))*Inputs!$B$1+((Inputs!$G$5:$G$130&lt;&gt;"moeda")*(Inputs!$G$5:$G$130&lt;&gt;"acoes")))*INDEX(Inputs!$K$5:$AJ$130,0,MATCH(AC$2,Inputs!$K$4:$AJ$4,0)))+SUMPRODUCT((Inputs!$C$5:$C$130=$B44)*Inputs!$D$5:$D$130*(((Inputs!$G$5:$G$130="moeda")+(Inputs!$G$5:$G$130="acoes"))*Inputs!$B$1+((Inputs!$G$5:$G$130&lt;&gt;"moeda")*(Inputs!$G$5:$G$130&lt;&gt;"acoes")))*INDEX(Inputs!$K$5:$AJ$130,0,MATCH(AC$2,Inputs!$K$4:$AJ$4,0)))+SUMPRODUCT((Inputs!$E$5:$E$130=$B44)*Inputs!$F$5:$F$130*(((Inputs!$G$5:$G$130="moeda")+(Inputs!$G$5:$G$130="acoes"))*Inputs!$B$1+((Inputs!$G$5:$G$130&lt;&gt;"moeda")*(Inputs!$G$5:$G$130&lt;&gt;"acoes")))*INDEX(Inputs!$K$5:$AJ$130,0,MATCH(AC$2,Inputs!$K$4:$AJ$4,0)))))</f>
        <v>-36831</v>
      </c>
      <c r="AD44" s="6">
        <f>IF(ISNA(MATCH(AD$2,Inputs!$K$4:$AJ$4,0)),NA(),IF(SUMPRODUCT((Inputs!$A$5:$A$130=$B44)*ISNUMBER(INDEX(Inputs!$K$5:$AJ$130,0,MATCH(AD$2,Inputs!$K$4:$AJ$4,0))))+SUMPRODUCT((Inputs!$C$5:$C$130=$B44)*ISNUMBER(INDEX(Inputs!$K$5:$AJ$130,0,MATCH(AD$2,Inputs!$K$4:$AJ$4,0))))+SUMPRODUCT((Inputs!$E$5:$E$130=$B44)*ISNUMBER(INDEX(Inputs!$K$5:$AJ$130,0,MATCH(AD$2,Inputs!$K$4:$AJ$4,0))))=0,NA(),SUMPRODUCT((Inputs!$A$5:$A$130=$B44)*Inputs!$B$5:$B$130*(((Inputs!$G$5:$G$130="moeda")+(Inputs!$G$5:$G$130="acoes"))*Inputs!$B$1+((Inputs!$G$5:$G$130&lt;&gt;"moeda")*(Inputs!$G$5:$G$130&lt;&gt;"acoes")))*INDEX(Inputs!$K$5:$AJ$130,0,MATCH(AD$2,Inputs!$K$4:$AJ$4,0)))+SUMPRODUCT((Inputs!$C$5:$C$130=$B44)*Inputs!$D$5:$D$130*(((Inputs!$G$5:$G$130="moeda")+(Inputs!$G$5:$G$130="acoes"))*Inputs!$B$1+((Inputs!$G$5:$G$130&lt;&gt;"moeda")*(Inputs!$G$5:$G$130&lt;&gt;"acoes")))*INDEX(Inputs!$K$5:$AJ$130,0,MATCH(AD$2,Inputs!$K$4:$AJ$4,0)))+SUMPRODUCT((Inputs!$E$5:$E$130=$B44)*Inputs!$F$5:$F$130*(((Inputs!$G$5:$G$130="moeda")+(Inputs!$G$5:$G$130="acoes"))*Inputs!$B$1+((Inputs!$G$5:$G$130&lt;&gt;"moeda")*(Inputs!$G$5:$G$130&lt;&gt;"acoes")))*INDEX(Inputs!$K$5:$AJ$130,0,MATCH(AD$2,Inputs!$K$4:$AJ$4,0)))))</f>
        <v>-37029</v>
      </c>
      <c r="AE44" s="6" t="e">
        <f>IF(ISNA(MATCH(AE$2,Inputs!$K$4:$AJ$4,0)),NA(),IF(SUMPRODUCT((Inputs!$A$5:$A$130=$B44)*ISNUMBER(INDEX(Inputs!$K$5:$AJ$130,0,MATCH(AE$2,Inputs!$K$4:$AJ$4,0))))+SUMPRODUCT((Inputs!$C$5:$C$130=$B44)*ISNUMBER(INDEX(Inputs!$K$5:$AJ$130,0,MATCH(AE$2,Inputs!$K$4:$AJ$4,0))))+SUMPRODUCT((Inputs!$E$5:$E$130=$B44)*ISNUMBER(INDEX(Inputs!$K$5:$AJ$130,0,MATCH(AE$2,Inputs!$K$4:$AJ$4,0))))=0,NA(),SUMPRODUCT((Inputs!$A$5:$A$130=$B44)*Inputs!$B$5:$B$130*(((Inputs!$G$5:$G$130="moeda")+(Inputs!$G$5:$G$130="acoes"))*Inputs!$B$1+((Inputs!$G$5:$G$130&lt;&gt;"moeda")*(Inputs!$G$5:$G$130&lt;&gt;"acoes")))*INDEX(Inputs!$K$5:$AJ$130,0,MATCH(AE$2,Inputs!$K$4:$AJ$4,0)))+SUMPRODUCT((Inputs!$C$5:$C$130=$B44)*Inputs!$D$5:$D$130*(((Inputs!$G$5:$G$130="moeda")+(Inputs!$G$5:$G$130="acoes"))*Inputs!$B$1+((Inputs!$G$5:$G$130&lt;&gt;"moeda")*(Inputs!$G$5:$G$130&lt;&gt;"acoes")))*INDEX(Inputs!$K$5:$AJ$130,0,MATCH(AE$2,Inputs!$K$4:$AJ$4,0)))+SUMPRODUCT((Inputs!$E$5:$E$130=$B44)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4" s="6" t="e">
        <f>IF(ISNA(MATCH(AF$2,Inputs!$K$4:$AJ$4,0)),NA(),IF(SUMPRODUCT((Inputs!$A$5:$A$130=$B44)*ISNUMBER(INDEX(Inputs!$K$5:$AJ$130,0,MATCH(AF$2,Inputs!$K$4:$AJ$4,0))))+SUMPRODUCT((Inputs!$C$5:$C$130=$B44)*ISNUMBER(INDEX(Inputs!$K$5:$AJ$130,0,MATCH(AF$2,Inputs!$K$4:$AJ$4,0))))+SUMPRODUCT((Inputs!$E$5:$E$130=$B44)*ISNUMBER(INDEX(Inputs!$K$5:$AJ$130,0,MATCH(AF$2,Inputs!$K$4:$AJ$4,0))))=0,NA(),SUMPRODUCT((Inputs!$A$5:$A$130=$B44)*Inputs!$B$5:$B$130*(((Inputs!$G$5:$G$130="moeda")+(Inputs!$G$5:$G$130="acoes"))*Inputs!$B$1+((Inputs!$G$5:$G$130&lt;&gt;"moeda")*(Inputs!$G$5:$G$130&lt;&gt;"acoes")))*INDEX(Inputs!$K$5:$AJ$130,0,MATCH(AF$2,Inputs!$K$4:$AJ$4,0)))+SUMPRODUCT((Inputs!$C$5:$C$130=$B44)*Inputs!$D$5:$D$130*(((Inputs!$G$5:$G$130="moeda")+(Inputs!$G$5:$G$130="acoes"))*Inputs!$B$1+((Inputs!$G$5:$G$130&lt;&gt;"moeda")*(Inputs!$G$5:$G$130&lt;&gt;"acoes")))*INDEX(Inputs!$K$5:$AJ$130,0,MATCH(AF$2,Inputs!$K$4:$AJ$4,0)))+SUMPRODUCT((Inputs!$E$5:$E$130=$B44)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4" s="3" t="e">
        <f>AF44</f>
        <v>#N/A</v>
      </c>
      <c r="AH44" s="6">
        <f>IF(ISNA(MATCH(AH$2,Inputs!$K$4:$AJ$4,0)),NA(),IF(SUMPRODUCT((Inputs!$A$5:$A$130=$B44)*ISNUMBER(INDEX(Inputs!$K$5:$AJ$130,0,MATCH(AH$2,Inputs!$K$4:$AJ$4,0))))+SUMPRODUCT((Inputs!$C$5:$C$130=$B44)*ISNUMBER(INDEX(Inputs!$K$5:$AJ$130,0,MATCH(AH$2,Inputs!$K$4:$AJ$4,0))))+SUMPRODUCT((Inputs!$E$5:$E$130=$B44)*ISNUMBER(INDEX(Inputs!$K$5:$AJ$130,0,MATCH(AH$2,Inputs!$K$4:$AJ$4,0))))=0,NA(),SUMPRODUCT((Inputs!$A$5:$A$130=$B44)*Inputs!$B$5:$B$130*(((Inputs!$G$5:$G$130="moeda")+(Inputs!$G$5:$G$130="acoes"))*Inputs!$B$1+((Inputs!$G$5:$G$130&lt;&gt;"moeda")*(Inputs!$G$5:$G$130&lt;&gt;"acoes")))*INDEX(Inputs!$K$5:$AJ$130,0,MATCH(AH$2,Inputs!$K$4:$AJ$4,0)))+SUMPRODUCT((Inputs!$C$5:$C$130=$B44)*Inputs!$D$5:$D$130*(((Inputs!$G$5:$G$130="moeda")+(Inputs!$G$5:$G$130="acoes"))*Inputs!$B$1+((Inputs!$G$5:$G$130&lt;&gt;"moeda")*(Inputs!$G$5:$G$130&lt;&gt;"acoes")))*INDEX(Inputs!$K$5:$AJ$130,0,MATCH(AH$2,Inputs!$K$4:$AJ$4,0)))+SUMPRODUCT((Inputs!$E$5:$E$130=$B44)*Inputs!$F$5:$F$130*(((Inputs!$G$5:$G$130="moeda")+(Inputs!$G$5:$G$130="acoes"))*Inputs!$B$1+((Inputs!$G$5:$G$130&lt;&gt;"moeda")*(Inputs!$G$5:$G$130&lt;&gt;"acoes")))*INDEX(Inputs!$K$5:$AJ$130,0,MATCH(AH$2,Inputs!$K$4:$AJ$4,0)))))</f>
        <v>-17690</v>
      </c>
      <c r="AI44" s="6">
        <f>IF(ISNA(MATCH(AI$2,Inputs!$K$4:$AJ$4,0)),NA(),IF(SUMPRODUCT((Inputs!$A$5:$A$130=$B44)*ISNUMBER(INDEX(Inputs!$K$5:$AJ$130,0,MATCH(AI$2,Inputs!$K$4:$AJ$4,0))))+SUMPRODUCT((Inputs!$C$5:$C$130=$B44)*ISNUMBER(INDEX(Inputs!$K$5:$AJ$130,0,MATCH(AI$2,Inputs!$K$4:$AJ$4,0))))+SUMPRODUCT((Inputs!$E$5:$E$130=$B44)*ISNUMBER(INDEX(Inputs!$K$5:$AJ$130,0,MATCH(AI$2,Inputs!$K$4:$AJ$4,0))))=0,NA(),SUMPRODUCT((Inputs!$A$5:$A$130=$B44)*Inputs!$B$5:$B$130*(((Inputs!$G$5:$G$130="moeda")+(Inputs!$G$5:$G$130="acoes"))*Inputs!$B$1+((Inputs!$G$5:$G$130&lt;&gt;"moeda")*(Inputs!$G$5:$G$130&lt;&gt;"acoes")))*INDEX(Inputs!$K$5:$AJ$130,0,MATCH(AI$2,Inputs!$K$4:$AJ$4,0)))+SUMPRODUCT((Inputs!$C$5:$C$130=$B44)*Inputs!$D$5:$D$130*(((Inputs!$G$5:$G$130="moeda")+(Inputs!$G$5:$G$130="acoes"))*Inputs!$B$1+((Inputs!$G$5:$G$130&lt;&gt;"moeda")*(Inputs!$G$5:$G$130&lt;&gt;"acoes")))*INDEX(Inputs!$K$5:$AJ$130,0,MATCH(AI$2,Inputs!$K$4:$AJ$4,0)))+SUMPRODUCT((Inputs!$E$5:$E$130=$B44)*Inputs!$F$5:$F$130*(((Inputs!$G$5:$G$130="moeda")+(Inputs!$G$5:$G$130="acoes"))*Inputs!$B$1+((Inputs!$G$5:$G$130&lt;&gt;"moeda")*(Inputs!$G$5:$G$130&lt;&gt;"acoes")))*INDEX(Inputs!$K$5:$AJ$130,0,MATCH(AI$2,Inputs!$K$4:$AJ$4,0)))))</f>
        <v>-17671</v>
      </c>
      <c r="AJ44" s="6">
        <f>IF(ISNA(MATCH(AJ$2,Inputs!$K$4:$AJ$4,0)),NA(),IF(SUMPRODUCT((Inputs!$A$5:$A$130=$B44)*ISNUMBER(INDEX(Inputs!$K$5:$AJ$130,0,MATCH(AJ$2,Inputs!$K$4:$AJ$4,0))))+SUMPRODUCT((Inputs!$C$5:$C$130=$B44)*ISNUMBER(INDEX(Inputs!$K$5:$AJ$130,0,MATCH(AJ$2,Inputs!$K$4:$AJ$4,0))))+SUMPRODUCT((Inputs!$E$5:$E$130=$B44)*ISNUMBER(INDEX(Inputs!$K$5:$AJ$130,0,MATCH(AJ$2,Inputs!$K$4:$AJ$4,0))))=0,NA(),SUMPRODUCT((Inputs!$A$5:$A$130=$B44)*Inputs!$B$5:$B$130*(((Inputs!$G$5:$G$130="moeda")+(Inputs!$G$5:$G$130="acoes"))*Inputs!$B$1+((Inputs!$G$5:$G$130&lt;&gt;"moeda")*(Inputs!$G$5:$G$130&lt;&gt;"acoes")))*INDEX(Inputs!$K$5:$AJ$130,0,MATCH(AJ$2,Inputs!$K$4:$AJ$4,0)))+SUMPRODUCT((Inputs!$C$5:$C$130=$B44)*Inputs!$D$5:$D$130*(((Inputs!$G$5:$G$130="moeda")+(Inputs!$G$5:$G$130="acoes"))*Inputs!$B$1+((Inputs!$G$5:$G$130&lt;&gt;"moeda")*(Inputs!$G$5:$G$130&lt;&gt;"acoes")))*INDEX(Inputs!$K$5:$AJ$130,0,MATCH(AJ$2,Inputs!$K$4:$AJ$4,0)))+SUMPRODUCT((Inputs!$E$5:$E$130=$B44)*Inputs!$F$5:$F$130*(((Inputs!$G$5:$G$130="moeda")+(Inputs!$G$5:$G$130="acoes"))*Inputs!$B$1+((Inputs!$G$5:$G$130&lt;&gt;"moeda")*(Inputs!$G$5:$G$130&lt;&gt;"acoes")))*INDEX(Inputs!$K$5:$AJ$130,0,MATCH(AJ$2,Inputs!$K$4:$AJ$4,0)))))</f>
        <v>-18065</v>
      </c>
      <c r="AK44" s="6">
        <f>IF(ISNA(MATCH(AK$2,Inputs!$K$4:$AJ$4,0)),NA(),IF(SUMPRODUCT((Inputs!$A$5:$A$130=$B44)*ISNUMBER(INDEX(Inputs!$K$5:$AJ$130,0,MATCH(AK$2,Inputs!$K$4:$AJ$4,0))))+SUMPRODUCT((Inputs!$C$5:$C$130=$B44)*ISNUMBER(INDEX(Inputs!$K$5:$AJ$130,0,MATCH(AK$2,Inputs!$K$4:$AJ$4,0))))+SUMPRODUCT((Inputs!$E$5:$E$130=$B44)*ISNUMBER(INDEX(Inputs!$K$5:$AJ$130,0,MATCH(AK$2,Inputs!$K$4:$AJ$4,0))))=0,NA(),SUMPRODUCT((Inputs!$A$5:$A$130=$B44)*Inputs!$B$5:$B$130*(((Inputs!$G$5:$G$130="moeda")+(Inputs!$G$5:$G$130="acoes"))*Inputs!$B$1+((Inputs!$G$5:$G$130&lt;&gt;"moeda")*(Inputs!$G$5:$G$130&lt;&gt;"acoes")))*INDEX(Inputs!$K$5:$AJ$130,0,MATCH(AK$2,Inputs!$K$4:$AJ$4,0)))+SUMPRODUCT((Inputs!$C$5:$C$130=$B44)*Inputs!$D$5:$D$130*(((Inputs!$G$5:$G$130="moeda")+(Inputs!$G$5:$G$130="acoes"))*Inputs!$B$1+((Inputs!$G$5:$G$130&lt;&gt;"moeda")*(Inputs!$G$5:$G$130&lt;&gt;"acoes")))*INDEX(Inputs!$K$5:$AJ$130,0,MATCH(AK$2,Inputs!$K$4:$AJ$4,0)))+SUMPRODUCT((Inputs!$E$5:$E$130=$B44)*Inputs!$F$5:$F$130*(((Inputs!$G$5:$G$130="moeda")+(Inputs!$G$5:$G$130="acoes"))*Inputs!$B$1+((Inputs!$G$5:$G$130&lt;&gt;"moeda")*(Inputs!$G$5:$G$130&lt;&gt;"acoes")))*INDEX(Inputs!$K$5:$AJ$130,0,MATCH(AK$2,Inputs!$K$4:$AJ$4,0)))))</f>
        <v>-18377</v>
      </c>
      <c r="AL44" s="3">
        <f>AK44</f>
        <v>-18377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$130=$B45)*ISNUMBER(INDEX(Inputs!$K$5:$AJ$130,0,MATCH(D$2,Inputs!$K$4:$AJ$4,0))))+SUMPRODUCT((Inputs!$C$5:$C$130=$B45)*ISNUMBER(INDEX(Inputs!$K$5:$AJ$130,0,MATCH(D$2,Inputs!$K$4:$AJ$4,0))))+SUMPRODUCT((Inputs!$E$5:$E$130=$B45)*ISNUMBER(INDEX(Inputs!$K$5:$AJ$130,0,MATCH(D$2,Inputs!$K$4:$AJ$4,0))))=0,NA(),SUMPRODUCT((Inputs!$A$5:$A$130=$B45)*Inputs!$B$5:$B$130*(((Inputs!$G$5:$G$130="moeda")+(Inputs!$G$5:$G$130="acoes"))*Inputs!$B$1+((Inputs!$G$5:$G$130&lt;&gt;"moeda")*(Inputs!$G$5:$G$130&lt;&gt;"acoes")))*INDEX(Inputs!$K$5:$AJ$130,0,MATCH(D$2,Inputs!$K$4:$AJ$4,0)))+SUMPRODUCT((Inputs!$C$5:$C$130=$B45)*Inputs!$D$5:$D$130*(((Inputs!$G$5:$G$130="moeda")+(Inputs!$G$5:$G$130="acoes"))*Inputs!$B$1+((Inputs!$G$5:$G$130&lt;&gt;"moeda")*(Inputs!$G$5:$G$130&lt;&gt;"acoes")))*INDEX(Inputs!$K$5:$AJ$130,0,MATCH(D$2,Inputs!$K$4:$AJ$4,0)))+SUMPRODUCT((Inputs!$E$5:$E$130=$B45)*Inputs!$F$5:$F$130*(((Inputs!$G$5:$G$130="moeda")+(Inputs!$G$5:$G$130="acoes"))*Inputs!$B$1+((Inputs!$G$5:$G$130&lt;&gt;"moeda")*(Inputs!$G$5:$G$130&lt;&gt;"acoes")))*INDEX(Inputs!$K$5:$AJ$130,0,MATCH(D$2,Inputs!$K$4:$AJ$4,0)))))</f>
        <v>-4960</v>
      </c>
      <c r="E45" s="6">
        <f>IF(ISNA(MATCH(E$2,Inputs!$K$4:$AJ$4,0)),NA(),IF(SUMPRODUCT((Inputs!$A$5:$A$130=$B45)*ISNUMBER(INDEX(Inputs!$K$5:$AJ$130,0,MATCH(E$2,Inputs!$K$4:$AJ$4,0))))+SUMPRODUCT((Inputs!$C$5:$C$130=$B45)*ISNUMBER(INDEX(Inputs!$K$5:$AJ$130,0,MATCH(E$2,Inputs!$K$4:$AJ$4,0))))+SUMPRODUCT((Inputs!$E$5:$E$130=$B45)*ISNUMBER(INDEX(Inputs!$K$5:$AJ$130,0,MATCH(E$2,Inputs!$K$4:$AJ$4,0))))=0,NA(),SUMPRODUCT((Inputs!$A$5:$A$130=$B45)*Inputs!$B$5:$B$130*(((Inputs!$G$5:$G$130="moeda")+(Inputs!$G$5:$G$130="acoes"))*Inputs!$B$1+((Inputs!$G$5:$G$130&lt;&gt;"moeda")*(Inputs!$G$5:$G$130&lt;&gt;"acoes")))*INDEX(Inputs!$K$5:$AJ$130,0,MATCH(E$2,Inputs!$K$4:$AJ$4,0)))+SUMPRODUCT((Inputs!$C$5:$C$130=$B45)*Inputs!$D$5:$D$130*(((Inputs!$G$5:$G$130="moeda")+(Inputs!$G$5:$G$130="acoes"))*Inputs!$B$1+((Inputs!$G$5:$G$130&lt;&gt;"moeda")*(Inputs!$G$5:$G$130&lt;&gt;"acoes")))*INDEX(Inputs!$K$5:$AJ$130,0,MATCH(E$2,Inputs!$K$4:$AJ$4,0)))+SUMPRODUCT((Inputs!$E$5:$E$130=$B45)*Inputs!$F$5:$F$130*(((Inputs!$G$5:$G$130="moeda")+(Inputs!$G$5:$G$130="acoes"))*Inputs!$B$1+((Inputs!$G$5:$G$130&lt;&gt;"moeda")*(Inputs!$G$5:$G$130&lt;&gt;"acoes")))*INDEX(Inputs!$K$5:$AJ$130,0,MATCH(E$2,Inputs!$K$4:$AJ$4,0)))))</f>
        <v>-5011</v>
      </c>
      <c r="F45" s="6">
        <f>IF(ISNA(MATCH(F$2,Inputs!$K$4:$AJ$4,0)),NA(),IF(SUMPRODUCT((Inputs!$A$5:$A$130=$B45)*ISNUMBER(INDEX(Inputs!$K$5:$AJ$130,0,MATCH(F$2,Inputs!$K$4:$AJ$4,0))))+SUMPRODUCT((Inputs!$C$5:$C$130=$B45)*ISNUMBER(INDEX(Inputs!$K$5:$AJ$130,0,MATCH(F$2,Inputs!$K$4:$AJ$4,0))))+SUMPRODUCT((Inputs!$E$5:$E$130=$B45)*ISNUMBER(INDEX(Inputs!$K$5:$AJ$130,0,MATCH(F$2,Inputs!$K$4:$AJ$4,0))))=0,NA(),SUMPRODUCT((Inputs!$A$5:$A$130=$B45)*Inputs!$B$5:$B$130*(((Inputs!$G$5:$G$130="moeda")+(Inputs!$G$5:$G$130="acoes"))*Inputs!$B$1+((Inputs!$G$5:$G$130&lt;&gt;"moeda")*(Inputs!$G$5:$G$130&lt;&gt;"acoes")))*INDEX(Inputs!$K$5:$AJ$130,0,MATCH(F$2,Inputs!$K$4:$AJ$4,0)))+SUMPRODUCT((Inputs!$C$5:$C$130=$B45)*Inputs!$D$5:$D$130*(((Inputs!$G$5:$G$130="moeda")+(Inputs!$G$5:$G$130="acoes"))*Inputs!$B$1+((Inputs!$G$5:$G$130&lt;&gt;"moeda")*(Inputs!$G$5:$G$130&lt;&gt;"acoes")))*INDEX(Inputs!$K$5:$AJ$130,0,MATCH(F$2,Inputs!$K$4:$AJ$4,0)))+SUMPRODUCT((Inputs!$E$5:$E$130=$B45)*Inputs!$F$5:$F$130*(((Inputs!$G$5:$G$130="moeda")+(Inputs!$G$5:$G$130="acoes"))*Inputs!$B$1+((Inputs!$G$5:$G$130&lt;&gt;"moeda")*(Inputs!$G$5:$G$130&lt;&gt;"acoes")))*INDEX(Inputs!$K$5:$AJ$130,0,MATCH(F$2,Inputs!$K$4:$AJ$4,0)))))</f>
        <v>-2539</v>
      </c>
      <c r="G45" s="6">
        <f>IF(ISNA(MATCH(G$2,Inputs!$K$4:$AJ$4,0)),NA(),IF(SUMPRODUCT((Inputs!$A$5:$A$130=$B45)*ISNUMBER(INDEX(Inputs!$K$5:$AJ$130,0,MATCH(G$2,Inputs!$K$4:$AJ$4,0))))+SUMPRODUCT((Inputs!$C$5:$C$130=$B45)*ISNUMBER(INDEX(Inputs!$K$5:$AJ$130,0,MATCH(G$2,Inputs!$K$4:$AJ$4,0))))+SUMPRODUCT((Inputs!$E$5:$E$130=$B45)*ISNUMBER(INDEX(Inputs!$K$5:$AJ$130,0,MATCH(G$2,Inputs!$K$4:$AJ$4,0))))=0,NA(),SUMPRODUCT((Inputs!$A$5:$A$130=$B45)*Inputs!$B$5:$B$130*(((Inputs!$G$5:$G$130="moeda")+(Inputs!$G$5:$G$130="acoes"))*Inputs!$B$1+((Inputs!$G$5:$G$130&lt;&gt;"moeda")*(Inputs!$G$5:$G$130&lt;&gt;"acoes")))*INDEX(Inputs!$K$5:$AJ$130,0,MATCH(G$2,Inputs!$K$4:$AJ$4,0)))+SUMPRODUCT((Inputs!$C$5:$C$130=$B45)*Inputs!$D$5:$D$130*(((Inputs!$G$5:$G$130="moeda")+(Inputs!$G$5:$G$130="acoes"))*Inputs!$B$1+((Inputs!$G$5:$G$130&lt;&gt;"moeda")*(Inputs!$G$5:$G$130&lt;&gt;"acoes")))*INDEX(Inputs!$K$5:$AJ$130,0,MATCH(G$2,Inputs!$K$4:$AJ$4,0)))+SUMPRODUCT((Inputs!$E$5:$E$130=$B45)*Inputs!$F$5:$F$130*(((Inputs!$G$5:$G$130="moeda")+(Inputs!$G$5:$G$130="acoes"))*Inputs!$B$1+((Inputs!$G$5:$G$130&lt;&gt;"moeda")*(Inputs!$G$5:$G$130&lt;&gt;"acoes")))*INDEX(Inputs!$K$5:$AJ$130,0,MATCH(G$2,Inputs!$K$4:$AJ$4,0)))))</f>
        <v>-3152</v>
      </c>
      <c r="H45" s="3">
        <f>G45</f>
        <v>-3152</v>
      </c>
      <c r="I45" s="6">
        <f>IF(ISNA(MATCH(I$2,Inputs!$K$4:$AJ$4,0)),NA(),IF(SUMPRODUCT((Inputs!$A$5:$A$130=$B45)*ISNUMBER(INDEX(Inputs!$K$5:$AJ$130,0,MATCH(I$2,Inputs!$K$4:$AJ$4,0))))+SUMPRODUCT((Inputs!$C$5:$C$130=$B45)*ISNUMBER(INDEX(Inputs!$K$5:$AJ$130,0,MATCH(I$2,Inputs!$K$4:$AJ$4,0))))+SUMPRODUCT((Inputs!$E$5:$E$130=$B45)*ISNUMBER(INDEX(Inputs!$K$5:$AJ$130,0,MATCH(I$2,Inputs!$K$4:$AJ$4,0))))=0,NA(),SUMPRODUCT((Inputs!$A$5:$A$130=$B45)*Inputs!$B$5:$B$130*(((Inputs!$G$5:$G$130="moeda")+(Inputs!$G$5:$G$130="acoes"))*Inputs!$B$1+((Inputs!$G$5:$G$130&lt;&gt;"moeda")*(Inputs!$G$5:$G$130&lt;&gt;"acoes")))*INDEX(Inputs!$K$5:$AJ$130,0,MATCH(I$2,Inputs!$K$4:$AJ$4,0)))+SUMPRODUCT((Inputs!$C$5:$C$130=$B45)*Inputs!$D$5:$D$130*(((Inputs!$G$5:$G$130="moeda")+(Inputs!$G$5:$G$130="acoes"))*Inputs!$B$1+((Inputs!$G$5:$G$130&lt;&gt;"moeda")*(Inputs!$G$5:$G$130&lt;&gt;"acoes")))*INDEX(Inputs!$K$5:$AJ$130,0,MATCH(I$2,Inputs!$K$4:$AJ$4,0)))+SUMPRODUCT((Inputs!$E$5:$E$130=$B45)*Inputs!$F$5:$F$130*(((Inputs!$G$5:$G$130="moeda")+(Inputs!$G$5:$G$130="acoes"))*Inputs!$B$1+((Inputs!$G$5:$G$130&lt;&gt;"moeda")*(Inputs!$G$5:$G$130&lt;&gt;"acoes")))*INDEX(Inputs!$K$5:$AJ$130,0,MATCH(I$2,Inputs!$K$4:$AJ$4,0)))))</f>
        <v>-3291</v>
      </c>
      <c r="J45" s="6">
        <f>IF(ISNA(MATCH(J$2,Inputs!$K$4:$AJ$4,0)),NA(),IF(SUMPRODUCT((Inputs!$A$5:$A$130=$B45)*ISNUMBER(INDEX(Inputs!$K$5:$AJ$130,0,MATCH(J$2,Inputs!$K$4:$AJ$4,0))))+SUMPRODUCT((Inputs!$C$5:$C$130=$B45)*ISNUMBER(INDEX(Inputs!$K$5:$AJ$130,0,MATCH(J$2,Inputs!$K$4:$AJ$4,0))))+SUMPRODUCT((Inputs!$E$5:$E$130=$B45)*ISNUMBER(INDEX(Inputs!$K$5:$AJ$130,0,MATCH(J$2,Inputs!$K$4:$AJ$4,0))))=0,NA(),SUMPRODUCT((Inputs!$A$5:$A$130=$B45)*Inputs!$B$5:$B$130*(((Inputs!$G$5:$G$130="moeda")+(Inputs!$G$5:$G$130="acoes"))*Inputs!$B$1+((Inputs!$G$5:$G$130&lt;&gt;"moeda")*(Inputs!$G$5:$G$130&lt;&gt;"acoes")))*INDEX(Inputs!$K$5:$AJ$130,0,MATCH(J$2,Inputs!$K$4:$AJ$4,0)))+SUMPRODUCT((Inputs!$C$5:$C$130=$B45)*Inputs!$D$5:$D$130*(((Inputs!$G$5:$G$130="moeda")+(Inputs!$G$5:$G$130="acoes"))*Inputs!$B$1+((Inputs!$G$5:$G$130&lt;&gt;"moeda")*(Inputs!$G$5:$G$130&lt;&gt;"acoes")))*INDEX(Inputs!$K$5:$AJ$130,0,MATCH(J$2,Inputs!$K$4:$AJ$4,0)))+SUMPRODUCT((Inputs!$E$5:$E$130=$B45)*Inputs!$F$5:$F$130*(((Inputs!$G$5:$G$130="moeda")+(Inputs!$G$5:$G$130="acoes"))*Inputs!$B$1+((Inputs!$G$5:$G$130&lt;&gt;"moeda")*(Inputs!$G$5:$G$130&lt;&gt;"acoes")))*INDEX(Inputs!$K$5:$AJ$130,0,MATCH(J$2,Inputs!$K$4:$AJ$4,0)))))</f>
        <v>-3476</v>
      </c>
      <c r="K45" s="6">
        <f>IF(ISNA(MATCH(K$2,Inputs!$K$4:$AJ$4,0)),NA(),IF(SUMPRODUCT((Inputs!$A$5:$A$130=$B45)*ISNUMBER(INDEX(Inputs!$K$5:$AJ$130,0,MATCH(K$2,Inputs!$K$4:$AJ$4,0))))+SUMPRODUCT((Inputs!$C$5:$C$130=$B45)*ISNUMBER(INDEX(Inputs!$K$5:$AJ$130,0,MATCH(K$2,Inputs!$K$4:$AJ$4,0))))+SUMPRODUCT((Inputs!$E$5:$E$130=$B45)*ISNUMBER(INDEX(Inputs!$K$5:$AJ$130,0,MATCH(K$2,Inputs!$K$4:$AJ$4,0))))=0,NA(),SUMPRODUCT((Inputs!$A$5:$A$130=$B45)*Inputs!$B$5:$B$130*(((Inputs!$G$5:$G$130="moeda")+(Inputs!$G$5:$G$130="acoes"))*Inputs!$B$1+((Inputs!$G$5:$G$130&lt;&gt;"moeda")*(Inputs!$G$5:$G$130&lt;&gt;"acoes")))*INDEX(Inputs!$K$5:$AJ$130,0,MATCH(K$2,Inputs!$K$4:$AJ$4,0)))+SUMPRODUCT((Inputs!$C$5:$C$130=$B45)*Inputs!$D$5:$D$130*(((Inputs!$G$5:$G$130="moeda")+(Inputs!$G$5:$G$130="acoes"))*Inputs!$B$1+((Inputs!$G$5:$G$130&lt;&gt;"moeda")*(Inputs!$G$5:$G$130&lt;&gt;"acoes")))*INDEX(Inputs!$K$5:$AJ$130,0,MATCH(K$2,Inputs!$K$4:$AJ$4,0)))+SUMPRODUCT((Inputs!$E$5:$E$130=$B45)*Inputs!$F$5:$F$130*(((Inputs!$G$5:$G$130="moeda")+(Inputs!$G$5:$G$130="acoes"))*Inputs!$B$1+((Inputs!$G$5:$G$130&lt;&gt;"moeda")*(Inputs!$G$5:$G$130&lt;&gt;"acoes")))*INDEX(Inputs!$K$5:$AJ$130,0,MATCH(K$2,Inputs!$K$4:$AJ$4,0)))))</f>
        <v>-3056</v>
      </c>
      <c r="L45" s="6">
        <f>IF(ISNA(MATCH(L$2,Inputs!$K$4:$AJ$4,0)),NA(),IF(SUMPRODUCT((Inputs!$A$5:$A$130=$B45)*ISNUMBER(INDEX(Inputs!$K$5:$AJ$130,0,MATCH(L$2,Inputs!$K$4:$AJ$4,0))))+SUMPRODUCT((Inputs!$C$5:$C$130=$B45)*ISNUMBER(INDEX(Inputs!$K$5:$AJ$130,0,MATCH(L$2,Inputs!$K$4:$AJ$4,0))))+SUMPRODUCT((Inputs!$E$5:$E$130=$B45)*ISNUMBER(INDEX(Inputs!$K$5:$AJ$130,0,MATCH(L$2,Inputs!$K$4:$AJ$4,0))))=0,NA(),SUMPRODUCT((Inputs!$A$5:$A$130=$B45)*Inputs!$B$5:$B$130*(((Inputs!$G$5:$G$130="moeda")+(Inputs!$G$5:$G$130="acoes"))*Inputs!$B$1+((Inputs!$G$5:$G$130&lt;&gt;"moeda")*(Inputs!$G$5:$G$130&lt;&gt;"acoes")))*INDEX(Inputs!$K$5:$AJ$130,0,MATCH(L$2,Inputs!$K$4:$AJ$4,0)))+SUMPRODUCT((Inputs!$C$5:$C$130=$B45)*Inputs!$D$5:$D$130*(((Inputs!$G$5:$G$130="moeda")+(Inputs!$G$5:$G$130="acoes"))*Inputs!$B$1+((Inputs!$G$5:$G$130&lt;&gt;"moeda")*(Inputs!$G$5:$G$130&lt;&gt;"acoes")))*INDEX(Inputs!$K$5:$AJ$130,0,MATCH(L$2,Inputs!$K$4:$AJ$4,0)))+SUMPRODUCT((Inputs!$E$5:$E$130=$B45)*Inputs!$F$5:$F$130*(((Inputs!$G$5:$G$130="moeda")+(Inputs!$G$5:$G$130="acoes"))*Inputs!$B$1+((Inputs!$G$5:$G$130&lt;&gt;"moeda")*(Inputs!$G$5:$G$130&lt;&gt;"acoes")))*INDEX(Inputs!$K$5:$AJ$130,0,MATCH(L$2,Inputs!$K$4:$AJ$4,0)))))</f>
        <v>-2372</v>
      </c>
      <c r="M45" s="3">
        <f>L45</f>
        <v>-2372</v>
      </c>
      <c r="N45" s="6">
        <f>IF(ISNA(MATCH(N$2,Inputs!$K$4:$AJ$4,0)),NA(),IF(SUMPRODUCT((Inputs!$A$5:$A$130=$B45)*ISNUMBER(INDEX(Inputs!$K$5:$AJ$130,0,MATCH(N$2,Inputs!$K$4:$AJ$4,0))))+SUMPRODUCT((Inputs!$C$5:$C$130=$B45)*ISNUMBER(INDEX(Inputs!$K$5:$AJ$130,0,MATCH(N$2,Inputs!$K$4:$AJ$4,0))))+SUMPRODUCT((Inputs!$E$5:$E$130=$B45)*ISNUMBER(INDEX(Inputs!$K$5:$AJ$130,0,MATCH(N$2,Inputs!$K$4:$AJ$4,0))))=0,NA(),SUMPRODUCT((Inputs!$A$5:$A$130=$B45)*Inputs!$B$5:$B$130*(((Inputs!$G$5:$G$130="moeda")+(Inputs!$G$5:$G$130="acoes"))*Inputs!$B$1+((Inputs!$G$5:$G$130&lt;&gt;"moeda")*(Inputs!$G$5:$G$130&lt;&gt;"acoes")))*INDEX(Inputs!$K$5:$AJ$130,0,MATCH(N$2,Inputs!$K$4:$AJ$4,0)))+SUMPRODUCT((Inputs!$C$5:$C$130=$B45)*Inputs!$D$5:$D$130*(((Inputs!$G$5:$G$130="moeda")+(Inputs!$G$5:$G$130="acoes"))*Inputs!$B$1+((Inputs!$G$5:$G$130&lt;&gt;"moeda")*(Inputs!$G$5:$G$130&lt;&gt;"acoes")))*INDEX(Inputs!$K$5:$AJ$130,0,MATCH(N$2,Inputs!$K$4:$AJ$4,0)))+SUMPRODUCT((Inputs!$E$5:$E$130=$B45)*Inputs!$F$5:$F$130*(((Inputs!$G$5:$G$130="moeda")+(Inputs!$G$5:$G$130="acoes"))*Inputs!$B$1+((Inputs!$G$5:$G$130&lt;&gt;"moeda")*(Inputs!$G$5:$G$130&lt;&gt;"acoes")))*INDEX(Inputs!$K$5:$AJ$130,0,MATCH(N$2,Inputs!$K$4:$AJ$4,0)))))</f>
        <v>-2538</v>
      </c>
      <c r="O45" s="6">
        <f>IF(ISNA(MATCH(O$2,Inputs!$K$4:$AJ$4,0)),NA(),IF(SUMPRODUCT((Inputs!$A$5:$A$130=$B45)*ISNUMBER(INDEX(Inputs!$K$5:$AJ$130,0,MATCH(O$2,Inputs!$K$4:$AJ$4,0))))+SUMPRODUCT((Inputs!$C$5:$C$130=$B45)*ISNUMBER(INDEX(Inputs!$K$5:$AJ$130,0,MATCH(O$2,Inputs!$K$4:$AJ$4,0))))+SUMPRODUCT((Inputs!$E$5:$E$130=$B45)*ISNUMBER(INDEX(Inputs!$K$5:$AJ$130,0,MATCH(O$2,Inputs!$K$4:$AJ$4,0))))=0,NA(),SUMPRODUCT((Inputs!$A$5:$A$130=$B45)*Inputs!$B$5:$B$130*(((Inputs!$G$5:$G$130="moeda")+(Inputs!$G$5:$G$130="acoes"))*Inputs!$B$1+((Inputs!$G$5:$G$130&lt;&gt;"moeda")*(Inputs!$G$5:$G$130&lt;&gt;"acoes")))*INDEX(Inputs!$K$5:$AJ$130,0,MATCH(O$2,Inputs!$K$4:$AJ$4,0)))+SUMPRODUCT((Inputs!$C$5:$C$130=$B45)*Inputs!$D$5:$D$130*(((Inputs!$G$5:$G$130="moeda")+(Inputs!$G$5:$G$130="acoes"))*Inputs!$B$1+((Inputs!$G$5:$G$130&lt;&gt;"moeda")*(Inputs!$G$5:$G$130&lt;&gt;"acoes")))*INDEX(Inputs!$K$5:$AJ$130,0,MATCH(O$2,Inputs!$K$4:$AJ$4,0)))+SUMPRODUCT((Inputs!$E$5:$E$130=$B45)*Inputs!$F$5:$F$130*(((Inputs!$G$5:$G$130="moeda")+(Inputs!$G$5:$G$130="acoes"))*Inputs!$B$1+((Inputs!$G$5:$G$130&lt;&gt;"moeda")*(Inputs!$G$5:$G$130&lt;&gt;"acoes")))*INDEX(Inputs!$K$5:$AJ$130,0,MATCH(O$2,Inputs!$K$4:$AJ$4,0)))))</f>
        <v>-2411</v>
      </c>
      <c r="P45" s="6">
        <f>IF(ISNA(MATCH(P$2,Inputs!$K$4:$AJ$4,0)),NA(),IF(SUMPRODUCT((Inputs!$A$5:$A$130=$B45)*ISNUMBER(INDEX(Inputs!$K$5:$AJ$130,0,MATCH(P$2,Inputs!$K$4:$AJ$4,0))))+SUMPRODUCT((Inputs!$C$5:$C$130=$B45)*ISNUMBER(INDEX(Inputs!$K$5:$AJ$130,0,MATCH(P$2,Inputs!$K$4:$AJ$4,0))))+SUMPRODUCT((Inputs!$E$5:$E$130=$B45)*ISNUMBER(INDEX(Inputs!$K$5:$AJ$130,0,MATCH(P$2,Inputs!$K$4:$AJ$4,0))))=0,NA(),SUMPRODUCT((Inputs!$A$5:$A$130=$B45)*Inputs!$B$5:$B$130*(((Inputs!$G$5:$G$130="moeda")+(Inputs!$G$5:$G$130="acoes"))*Inputs!$B$1+((Inputs!$G$5:$G$130&lt;&gt;"moeda")*(Inputs!$G$5:$G$130&lt;&gt;"acoes")))*INDEX(Inputs!$K$5:$AJ$130,0,MATCH(P$2,Inputs!$K$4:$AJ$4,0)))+SUMPRODUCT((Inputs!$C$5:$C$130=$B45)*Inputs!$D$5:$D$130*(((Inputs!$G$5:$G$130="moeda")+(Inputs!$G$5:$G$130="acoes"))*Inputs!$B$1+((Inputs!$G$5:$G$130&lt;&gt;"moeda")*(Inputs!$G$5:$G$130&lt;&gt;"acoes")))*INDEX(Inputs!$K$5:$AJ$130,0,MATCH(P$2,Inputs!$K$4:$AJ$4,0)))+SUMPRODUCT((Inputs!$E$5:$E$130=$B45)*Inputs!$F$5:$F$130*(((Inputs!$G$5:$G$130="moeda")+(Inputs!$G$5:$G$130="acoes"))*Inputs!$B$1+((Inputs!$G$5:$G$130&lt;&gt;"moeda")*(Inputs!$G$5:$G$130&lt;&gt;"acoes")))*INDEX(Inputs!$K$5:$AJ$130,0,MATCH(P$2,Inputs!$K$4:$AJ$4,0)))))</f>
        <v>-3114</v>
      </c>
      <c r="Q45" s="6">
        <f>IF(ISNA(MATCH(Q$2,Inputs!$K$4:$AJ$4,0)),NA(),IF(SUMPRODUCT((Inputs!$A$5:$A$130=$B45)*ISNUMBER(INDEX(Inputs!$K$5:$AJ$130,0,MATCH(Q$2,Inputs!$K$4:$AJ$4,0))))+SUMPRODUCT((Inputs!$C$5:$C$130=$B45)*ISNUMBER(INDEX(Inputs!$K$5:$AJ$130,0,MATCH(Q$2,Inputs!$K$4:$AJ$4,0))))+SUMPRODUCT((Inputs!$E$5:$E$130=$B45)*ISNUMBER(INDEX(Inputs!$K$5:$AJ$130,0,MATCH(Q$2,Inputs!$K$4:$AJ$4,0))))=0,NA(),SUMPRODUCT((Inputs!$A$5:$A$130=$B45)*Inputs!$B$5:$B$130*(((Inputs!$G$5:$G$130="moeda")+(Inputs!$G$5:$G$130="acoes"))*Inputs!$B$1+((Inputs!$G$5:$G$130&lt;&gt;"moeda")*(Inputs!$G$5:$G$130&lt;&gt;"acoes")))*INDEX(Inputs!$K$5:$AJ$130,0,MATCH(Q$2,Inputs!$K$4:$AJ$4,0)))+SUMPRODUCT((Inputs!$C$5:$C$130=$B45)*Inputs!$D$5:$D$130*(((Inputs!$G$5:$G$130="moeda")+(Inputs!$G$5:$G$130="acoes"))*Inputs!$B$1+((Inputs!$G$5:$G$130&lt;&gt;"moeda")*(Inputs!$G$5:$G$130&lt;&gt;"acoes")))*INDEX(Inputs!$K$5:$AJ$130,0,MATCH(Q$2,Inputs!$K$4:$AJ$4,0)))+SUMPRODUCT((Inputs!$E$5:$E$130=$B45)*Inputs!$F$5:$F$130*(((Inputs!$G$5:$G$130="moeda")+(Inputs!$G$5:$G$130="acoes"))*Inputs!$B$1+((Inputs!$G$5:$G$130&lt;&gt;"moeda")*(Inputs!$G$5:$G$130&lt;&gt;"acoes")))*INDEX(Inputs!$K$5:$AJ$130,0,MATCH(Q$2,Inputs!$K$4:$AJ$4,0)))))</f>
        <v>-2863</v>
      </c>
      <c r="R45" s="3">
        <f>Q45</f>
        <v>-2863</v>
      </c>
      <c r="S45" s="6">
        <f>IF(ISNA(MATCH(S$2,Inputs!$K$4:$AJ$4,0)),NA(),IF(SUMPRODUCT((Inputs!$A$5:$A$130=$B45)*ISNUMBER(INDEX(Inputs!$K$5:$AJ$130,0,MATCH(S$2,Inputs!$K$4:$AJ$4,0))))+SUMPRODUCT((Inputs!$C$5:$C$130=$B45)*ISNUMBER(INDEX(Inputs!$K$5:$AJ$130,0,MATCH(S$2,Inputs!$K$4:$AJ$4,0))))+SUMPRODUCT((Inputs!$E$5:$E$130=$B45)*ISNUMBER(INDEX(Inputs!$K$5:$AJ$130,0,MATCH(S$2,Inputs!$K$4:$AJ$4,0))))=0,NA(),SUMPRODUCT((Inputs!$A$5:$A$130=$B45)*Inputs!$B$5:$B$130*(((Inputs!$G$5:$G$130="moeda")+(Inputs!$G$5:$G$130="acoes"))*Inputs!$B$1+((Inputs!$G$5:$G$130&lt;&gt;"moeda")*(Inputs!$G$5:$G$130&lt;&gt;"acoes")))*INDEX(Inputs!$K$5:$AJ$130,0,MATCH(S$2,Inputs!$K$4:$AJ$4,0)))+SUMPRODUCT((Inputs!$C$5:$C$130=$B45)*Inputs!$D$5:$D$130*(((Inputs!$G$5:$G$130="moeda")+(Inputs!$G$5:$G$130="acoes"))*Inputs!$B$1+((Inputs!$G$5:$G$130&lt;&gt;"moeda")*(Inputs!$G$5:$G$130&lt;&gt;"acoes")))*INDEX(Inputs!$K$5:$AJ$130,0,MATCH(S$2,Inputs!$K$4:$AJ$4,0)))+SUMPRODUCT((Inputs!$E$5:$E$130=$B45)*Inputs!$F$5:$F$130*(((Inputs!$G$5:$G$130="moeda")+(Inputs!$G$5:$G$130="acoes"))*Inputs!$B$1+((Inputs!$G$5:$G$130&lt;&gt;"moeda")*(Inputs!$G$5:$G$130&lt;&gt;"acoes")))*INDEX(Inputs!$K$5:$AJ$130,0,MATCH(S$2,Inputs!$K$4:$AJ$4,0)))))</f>
        <v>-3171</v>
      </c>
      <c r="T45" s="6">
        <f>IF(ISNA(MATCH(T$2,Inputs!$K$4:$AJ$4,0)),NA(),IF(SUMPRODUCT((Inputs!$A$5:$A$130=$B45)*ISNUMBER(INDEX(Inputs!$K$5:$AJ$130,0,MATCH(T$2,Inputs!$K$4:$AJ$4,0))))+SUMPRODUCT((Inputs!$C$5:$C$130=$B45)*ISNUMBER(INDEX(Inputs!$K$5:$AJ$130,0,MATCH(T$2,Inputs!$K$4:$AJ$4,0))))+SUMPRODUCT((Inputs!$E$5:$E$130=$B45)*ISNUMBER(INDEX(Inputs!$K$5:$AJ$130,0,MATCH(T$2,Inputs!$K$4:$AJ$4,0))))=0,NA(),SUMPRODUCT((Inputs!$A$5:$A$130=$B45)*Inputs!$B$5:$B$130*(((Inputs!$G$5:$G$130="moeda")+(Inputs!$G$5:$G$130="acoes"))*Inputs!$B$1+((Inputs!$G$5:$G$130&lt;&gt;"moeda")*(Inputs!$G$5:$G$130&lt;&gt;"acoes")))*INDEX(Inputs!$K$5:$AJ$130,0,MATCH(T$2,Inputs!$K$4:$AJ$4,0)))+SUMPRODUCT((Inputs!$C$5:$C$130=$B45)*Inputs!$D$5:$D$130*(((Inputs!$G$5:$G$130="moeda")+(Inputs!$G$5:$G$130="acoes"))*Inputs!$B$1+((Inputs!$G$5:$G$130&lt;&gt;"moeda")*(Inputs!$G$5:$G$130&lt;&gt;"acoes")))*INDEX(Inputs!$K$5:$AJ$130,0,MATCH(T$2,Inputs!$K$4:$AJ$4,0)))+SUMPRODUCT((Inputs!$E$5:$E$130=$B45)*Inputs!$F$5:$F$130*(((Inputs!$G$5:$G$130="moeda")+(Inputs!$G$5:$G$130="acoes"))*Inputs!$B$1+((Inputs!$G$5:$G$130&lt;&gt;"moeda")*(Inputs!$G$5:$G$130&lt;&gt;"acoes")))*INDEX(Inputs!$K$5:$AJ$130,0,MATCH(T$2,Inputs!$K$4:$AJ$4,0)))))</f>
        <v>-3368</v>
      </c>
      <c r="U45" s="6">
        <f>IF(ISNA(MATCH(U$2,Inputs!$K$4:$AJ$4,0)),NA(),IF(SUMPRODUCT((Inputs!$A$5:$A$130=$B45)*ISNUMBER(INDEX(Inputs!$K$5:$AJ$130,0,MATCH(U$2,Inputs!$K$4:$AJ$4,0))))+SUMPRODUCT((Inputs!$C$5:$C$130=$B45)*ISNUMBER(INDEX(Inputs!$K$5:$AJ$130,0,MATCH(U$2,Inputs!$K$4:$AJ$4,0))))+SUMPRODUCT((Inputs!$E$5:$E$130=$B45)*ISNUMBER(INDEX(Inputs!$K$5:$AJ$130,0,MATCH(U$2,Inputs!$K$4:$AJ$4,0))))=0,NA(),SUMPRODUCT((Inputs!$A$5:$A$130=$B45)*Inputs!$B$5:$B$130*(((Inputs!$G$5:$G$130="moeda")+(Inputs!$G$5:$G$130="acoes"))*Inputs!$B$1+((Inputs!$G$5:$G$130&lt;&gt;"moeda")*(Inputs!$G$5:$G$130&lt;&gt;"acoes")))*INDEX(Inputs!$K$5:$AJ$130,0,MATCH(U$2,Inputs!$K$4:$AJ$4,0)))+SUMPRODUCT((Inputs!$C$5:$C$130=$B45)*Inputs!$D$5:$D$130*(((Inputs!$G$5:$G$130="moeda")+(Inputs!$G$5:$G$130="acoes"))*Inputs!$B$1+((Inputs!$G$5:$G$130&lt;&gt;"moeda")*(Inputs!$G$5:$G$130&lt;&gt;"acoes")))*INDEX(Inputs!$K$5:$AJ$130,0,MATCH(U$2,Inputs!$K$4:$AJ$4,0)))+SUMPRODUCT((Inputs!$E$5:$E$130=$B45)*Inputs!$F$5:$F$130*(((Inputs!$G$5:$G$130="moeda")+(Inputs!$G$5:$G$130="acoes"))*Inputs!$B$1+((Inputs!$G$5:$G$130&lt;&gt;"moeda")*(Inputs!$G$5:$G$130&lt;&gt;"acoes")))*INDEX(Inputs!$K$5:$AJ$130,0,MATCH(U$2,Inputs!$K$4:$AJ$4,0)))))</f>
        <v>-3706</v>
      </c>
      <c r="V45" s="6">
        <f>IF(ISNA(MATCH(V$2,Inputs!$K$4:$AJ$4,0)),NA(),IF(SUMPRODUCT((Inputs!$A$5:$A$130=$B45)*ISNUMBER(INDEX(Inputs!$K$5:$AJ$130,0,MATCH(V$2,Inputs!$K$4:$AJ$4,0))))+SUMPRODUCT((Inputs!$C$5:$C$130=$B45)*ISNUMBER(INDEX(Inputs!$K$5:$AJ$130,0,MATCH(V$2,Inputs!$K$4:$AJ$4,0))))+SUMPRODUCT((Inputs!$E$5:$E$130=$B45)*ISNUMBER(INDEX(Inputs!$K$5:$AJ$130,0,MATCH(V$2,Inputs!$K$4:$AJ$4,0))))=0,NA(),SUMPRODUCT((Inputs!$A$5:$A$130=$B45)*Inputs!$B$5:$B$130*(((Inputs!$G$5:$G$130="moeda")+(Inputs!$G$5:$G$130="acoes"))*Inputs!$B$1+((Inputs!$G$5:$G$130&lt;&gt;"moeda")*(Inputs!$G$5:$G$130&lt;&gt;"acoes")))*INDEX(Inputs!$K$5:$AJ$130,0,MATCH(V$2,Inputs!$K$4:$AJ$4,0)))+SUMPRODUCT((Inputs!$C$5:$C$130=$B45)*Inputs!$D$5:$D$130*(((Inputs!$G$5:$G$130="moeda")+(Inputs!$G$5:$G$130="acoes"))*Inputs!$B$1+((Inputs!$G$5:$G$130&lt;&gt;"moeda")*(Inputs!$G$5:$G$130&lt;&gt;"acoes")))*INDEX(Inputs!$K$5:$AJ$130,0,MATCH(V$2,Inputs!$K$4:$AJ$4,0)))+SUMPRODUCT((Inputs!$E$5:$E$130=$B45)*Inputs!$F$5:$F$130*(((Inputs!$G$5:$G$130="moeda")+(Inputs!$G$5:$G$130="acoes"))*Inputs!$B$1+((Inputs!$G$5:$G$130&lt;&gt;"moeda")*(Inputs!$G$5:$G$130&lt;&gt;"acoes")))*INDEX(Inputs!$K$5:$AJ$130,0,MATCH(V$2,Inputs!$K$4:$AJ$4,0)))))</f>
        <v>-4167</v>
      </c>
      <c r="W45" s="3">
        <f>V45</f>
        <v>-4167</v>
      </c>
      <c r="X45" s="6">
        <f>IF(ISNA(MATCH(X$2,Inputs!$K$4:$AJ$4,0)),NA(),IF(SUMPRODUCT((Inputs!$A$5:$A$130=$B45)*ISNUMBER(INDEX(Inputs!$K$5:$AJ$130,0,MATCH(X$2,Inputs!$K$4:$AJ$4,0))))+SUMPRODUCT((Inputs!$C$5:$C$130=$B45)*ISNUMBER(INDEX(Inputs!$K$5:$AJ$130,0,MATCH(X$2,Inputs!$K$4:$AJ$4,0))))+SUMPRODUCT((Inputs!$E$5:$E$130=$B45)*ISNUMBER(INDEX(Inputs!$K$5:$AJ$130,0,MATCH(X$2,Inputs!$K$4:$AJ$4,0))))=0,NA(),SUMPRODUCT((Inputs!$A$5:$A$130=$B45)*Inputs!$B$5:$B$130*(((Inputs!$G$5:$G$130="moeda")+(Inputs!$G$5:$G$130="acoes"))*Inputs!$B$1+((Inputs!$G$5:$G$130&lt;&gt;"moeda")*(Inputs!$G$5:$G$130&lt;&gt;"acoes")))*INDEX(Inputs!$K$5:$AJ$130,0,MATCH(X$2,Inputs!$K$4:$AJ$4,0)))+SUMPRODUCT((Inputs!$C$5:$C$130=$B45)*Inputs!$D$5:$D$130*(((Inputs!$G$5:$G$130="moeda")+(Inputs!$G$5:$G$130="acoes"))*Inputs!$B$1+((Inputs!$G$5:$G$130&lt;&gt;"moeda")*(Inputs!$G$5:$G$130&lt;&gt;"acoes")))*INDEX(Inputs!$K$5:$AJ$130,0,MATCH(X$2,Inputs!$K$4:$AJ$4,0)))+SUMPRODUCT((Inputs!$E$5:$E$130=$B45)*Inputs!$F$5:$F$130*(((Inputs!$G$5:$G$130="moeda")+(Inputs!$G$5:$G$130="acoes"))*Inputs!$B$1+((Inputs!$G$5:$G$130&lt;&gt;"moeda")*(Inputs!$G$5:$G$130&lt;&gt;"acoes")))*INDEX(Inputs!$K$5:$AJ$130,0,MATCH(X$2,Inputs!$K$4:$AJ$4,0)))))</f>
        <v>-3405</v>
      </c>
      <c r="Y45" s="6">
        <f>IF(ISNA(MATCH(Y$2,Inputs!$K$4:$AJ$4,0)),NA(),IF(SUMPRODUCT((Inputs!$A$5:$A$130=$B45)*ISNUMBER(INDEX(Inputs!$K$5:$AJ$130,0,MATCH(Y$2,Inputs!$K$4:$AJ$4,0))))+SUMPRODUCT((Inputs!$C$5:$C$130=$B45)*ISNUMBER(INDEX(Inputs!$K$5:$AJ$130,0,MATCH(Y$2,Inputs!$K$4:$AJ$4,0))))+SUMPRODUCT((Inputs!$E$5:$E$130=$B45)*ISNUMBER(INDEX(Inputs!$K$5:$AJ$130,0,MATCH(Y$2,Inputs!$K$4:$AJ$4,0))))=0,NA(),SUMPRODUCT((Inputs!$A$5:$A$130=$B45)*Inputs!$B$5:$B$130*(((Inputs!$G$5:$G$130="moeda")+(Inputs!$G$5:$G$130="acoes"))*Inputs!$B$1+((Inputs!$G$5:$G$130&lt;&gt;"moeda")*(Inputs!$G$5:$G$130&lt;&gt;"acoes")))*INDEX(Inputs!$K$5:$AJ$130,0,MATCH(Y$2,Inputs!$K$4:$AJ$4,0)))+SUMPRODUCT((Inputs!$C$5:$C$130=$B45)*Inputs!$D$5:$D$130*(((Inputs!$G$5:$G$130="moeda")+(Inputs!$G$5:$G$130="acoes"))*Inputs!$B$1+((Inputs!$G$5:$G$130&lt;&gt;"moeda")*(Inputs!$G$5:$G$130&lt;&gt;"acoes")))*INDEX(Inputs!$K$5:$AJ$130,0,MATCH(Y$2,Inputs!$K$4:$AJ$4,0)))+SUMPRODUCT((Inputs!$E$5:$E$130=$B45)*Inputs!$F$5:$F$130*(((Inputs!$G$5:$G$130="moeda")+(Inputs!$G$5:$G$130="acoes"))*Inputs!$B$1+((Inputs!$G$5:$G$130&lt;&gt;"moeda")*(Inputs!$G$5:$G$130&lt;&gt;"acoes")))*INDEX(Inputs!$K$5:$AJ$130,0,MATCH(Y$2,Inputs!$K$4:$AJ$4,0)))))</f>
        <v>-3107</v>
      </c>
      <c r="Z45" s="6">
        <f>IF(ISNA(MATCH(Z$2,Inputs!$K$4:$AJ$4,0)),NA(),IF(SUMPRODUCT((Inputs!$A$5:$A$130=$B45)*ISNUMBER(INDEX(Inputs!$K$5:$AJ$130,0,MATCH(Z$2,Inputs!$K$4:$AJ$4,0))))+SUMPRODUCT((Inputs!$C$5:$C$130=$B45)*ISNUMBER(INDEX(Inputs!$K$5:$AJ$130,0,MATCH(Z$2,Inputs!$K$4:$AJ$4,0))))+SUMPRODUCT((Inputs!$E$5:$E$130=$B45)*ISNUMBER(INDEX(Inputs!$K$5:$AJ$130,0,MATCH(Z$2,Inputs!$K$4:$AJ$4,0))))=0,NA(),SUMPRODUCT((Inputs!$A$5:$A$130=$B45)*Inputs!$B$5:$B$130*(((Inputs!$G$5:$G$130="moeda")+(Inputs!$G$5:$G$130="acoes"))*Inputs!$B$1+((Inputs!$G$5:$G$130&lt;&gt;"moeda")*(Inputs!$G$5:$G$130&lt;&gt;"acoes")))*INDEX(Inputs!$K$5:$AJ$130,0,MATCH(Z$2,Inputs!$K$4:$AJ$4,0)))+SUMPRODUCT((Inputs!$C$5:$C$130=$B45)*Inputs!$D$5:$D$130*(((Inputs!$G$5:$G$130="moeda")+(Inputs!$G$5:$G$130="acoes"))*Inputs!$B$1+((Inputs!$G$5:$G$130&lt;&gt;"moeda")*(Inputs!$G$5:$G$130&lt;&gt;"acoes")))*INDEX(Inputs!$K$5:$AJ$130,0,MATCH(Z$2,Inputs!$K$4:$AJ$4,0)))+SUMPRODUCT((Inputs!$E$5:$E$130=$B45)*Inputs!$F$5:$F$130*(((Inputs!$G$5:$G$130="moeda")+(Inputs!$G$5:$G$130="acoes"))*Inputs!$B$1+((Inputs!$G$5:$G$130&lt;&gt;"moeda")*(Inputs!$G$5:$G$130&lt;&gt;"acoes")))*INDEX(Inputs!$K$5:$AJ$130,0,MATCH(Z$2,Inputs!$K$4:$AJ$4,0)))))</f>
        <v>-3032</v>
      </c>
      <c r="AA45" s="6">
        <f>IF(ISNA(MATCH(AA$2,Inputs!$K$4:$AJ$4,0)),NA(),IF(SUMPRODUCT((Inputs!$A$5:$A$130=$B45)*ISNUMBER(INDEX(Inputs!$K$5:$AJ$130,0,MATCH(AA$2,Inputs!$K$4:$AJ$4,0))))+SUMPRODUCT((Inputs!$C$5:$C$130=$B45)*ISNUMBER(INDEX(Inputs!$K$5:$AJ$130,0,MATCH(AA$2,Inputs!$K$4:$AJ$4,0))))+SUMPRODUCT((Inputs!$E$5:$E$130=$B45)*ISNUMBER(INDEX(Inputs!$K$5:$AJ$130,0,MATCH(AA$2,Inputs!$K$4:$AJ$4,0))))=0,NA(),SUMPRODUCT((Inputs!$A$5:$A$130=$B45)*Inputs!$B$5:$B$130*(((Inputs!$G$5:$G$130="moeda")+(Inputs!$G$5:$G$130="acoes"))*Inputs!$B$1+((Inputs!$G$5:$G$130&lt;&gt;"moeda")*(Inputs!$G$5:$G$130&lt;&gt;"acoes")))*INDEX(Inputs!$K$5:$AJ$130,0,MATCH(AA$2,Inputs!$K$4:$AJ$4,0)))+SUMPRODUCT((Inputs!$C$5:$C$130=$B45)*Inputs!$D$5:$D$130*(((Inputs!$G$5:$G$130="moeda")+(Inputs!$G$5:$G$130="acoes"))*Inputs!$B$1+((Inputs!$G$5:$G$130&lt;&gt;"moeda")*(Inputs!$G$5:$G$130&lt;&gt;"acoes")))*INDEX(Inputs!$K$5:$AJ$130,0,MATCH(AA$2,Inputs!$K$4:$AJ$4,0)))+SUMPRODUCT((Inputs!$E$5:$E$130=$B45)*Inputs!$F$5:$F$130*(((Inputs!$G$5:$G$130="moeda")+(Inputs!$G$5:$G$130="acoes"))*Inputs!$B$1+((Inputs!$G$5:$G$130&lt;&gt;"moeda")*(Inputs!$G$5:$G$130&lt;&gt;"acoes")))*INDEX(Inputs!$K$5:$AJ$130,0,MATCH(AA$2,Inputs!$K$4:$AJ$4,0)))))</f>
        <v>-2665</v>
      </c>
      <c r="AB45" s="3">
        <f>AA45</f>
        <v>-2665</v>
      </c>
      <c r="AC45" s="6">
        <f>IF(ISNA(MATCH(AC$2,Inputs!$K$4:$AJ$4,0)),NA(),IF(SUMPRODUCT((Inputs!$A$5:$A$130=$B45)*ISNUMBER(INDEX(Inputs!$K$5:$AJ$130,0,MATCH(AC$2,Inputs!$K$4:$AJ$4,0))))+SUMPRODUCT((Inputs!$C$5:$C$130=$B45)*ISNUMBER(INDEX(Inputs!$K$5:$AJ$130,0,MATCH(AC$2,Inputs!$K$4:$AJ$4,0))))+SUMPRODUCT((Inputs!$E$5:$E$130=$B45)*ISNUMBER(INDEX(Inputs!$K$5:$AJ$130,0,MATCH(AC$2,Inputs!$K$4:$AJ$4,0))))=0,NA(),SUMPRODUCT((Inputs!$A$5:$A$130=$B45)*Inputs!$B$5:$B$130*(((Inputs!$G$5:$G$130="moeda")+(Inputs!$G$5:$G$130="acoes"))*Inputs!$B$1+((Inputs!$G$5:$G$130&lt;&gt;"moeda")*(Inputs!$G$5:$G$130&lt;&gt;"acoes")))*INDEX(Inputs!$K$5:$AJ$130,0,MATCH(AC$2,Inputs!$K$4:$AJ$4,0)))+SUMPRODUCT((Inputs!$C$5:$C$130=$B45)*Inputs!$D$5:$D$130*(((Inputs!$G$5:$G$130="moeda")+(Inputs!$G$5:$G$130="acoes"))*Inputs!$B$1+((Inputs!$G$5:$G$130&lt;&gt;"moeda")*(Inputs!$G$5:$G$130&lt;&gt;"acoes")))*INDEX(Inputs!$K$5:$AJ$130,0,MATCH(AC$2,Inputs!$K$4:$AJ$4,0)))+SUMPRODUCT((Inputs!$E$5:$E$130=$B45)*Inputs!$F$5:$F$130*(((Inputs!$G$5:$G$130="moeda")+(Inputs!$G$5:$G$130="acoes"))*Inputs!$B$1+((Inputs!$G$5:$G$130&lt;&gt;"moeda")*(Inputs!$G$5:$G$130&lt;&gt;"acoes")))*INDEX(Inputs!$K$5:$AJ$130,0,MATCH(AC$2,Inputs!$K$4:$AJ$4,0)))))</f>
        <v>-2768</v>
      </c>
      <c r="AD45" s="6">
        <f>IF(ISNA(MATCH(AD$2,Inputs!$K$4:$AJ$4,0)),NA(),IF(SUMPRODUCT((Inputs!$A$5:$A$130=$B45)*ISNUMBER(INDEX(Inputs!$K$5:$AJ$130,0,MATCH(AD$2,Inputs!$K$4:$AJ$4,0))))+SUMPRODUCT((Inputs!$C$5:$C$130=$B45)*ISNUMBER(INDEX(Inputs!$K$5:$AJ$130,0,MATCH(AD$2,Inputs!$K$4:$AJ$4,0))))+SUMPRODUCT((Inputs!$E$5:$E$130=$B45)*ISNUMBER(INDEX(Inputs!$K$5:$AJ$130,0,MATCH(AD$2,Inputs!$K$4:$AJ$4,0))))=0,NA(),SUMPRODUCT((Inputs!$A$5:$A$130=$B45)*Inputs!$B$5:$B$130*(((Inputs!$G$5:$G$130="moeda")+(Inputs!$G$5:$G$130="acoes"))*Inputs!$B$1+((Inputs!$G$5:$G$130&lt;&gt;"moeda")*(Inputs!$G$5:$G$130&lt;&gt;"acoes")))*INDEX(Inputs!$K$5:$AJ$130,0,MATCH(AD$2,Inputs!$K$4:$AJ$4,0)))+SUMPRODUCT((Inputs!$C$5:$C$130=$B45)*Inputs!$D$5:$D$130*(((Inputs!$G$5:$G$130="moeda")+(Inputs!$G$5:$G$130="acoes"))*Inputs!$B$1+((Inputs!$G$5:$G$130&lt;&gt;"moeda")*(Inputs!$G$5:$G$130&lt;&gt;"acoes")))*INDEX(Inputs!$K$5:$AJ$130,0,MATCH(AD$2,Inputs!$K$4:$AJ$4,0)))+SUMPRODUCT((Inputs!$E$5:$E$130=$B45)*Inputs!$F$5:$F$130*(((Inputs!$G$5:$G$130="moeda")+(Inputs!$G$5:$G$130="acoes"))*Inputs!$B$1+((Inputs!$G$5:$G$130&lt;&gt;"moeda")*(Inputs!$G$5:$G$130&lt;&gt;"acoes")))*INDEX(Inputs!$K$5:$AJ$130,0,MATCH(AD$2,Inputs!$K$4:$AJ$4,0)))))</f>
        <v>-2976</v>
      </c>
      <c r="AE45" s="6" t="e">
        <f>IF(ISNA(MATCH(AE$2,Inputs!$K$4:$AJ$4,0)),NA(),IF(SUMPRODUCT((Inputs!$A$5:$A$130=$B45)*ISNUMBER(INDEX(Inputs!$K$5:$AJ$130,0,MATCH(AE$2,Inputs!$K$4:$AJ$4,0))))+SUMPRODUCT((Inputs!$C$5:$C$130=$B45)*ISNUMBER(INDEX(Inputs!$K$5:$AJ$130,0,MATCH(AE$2,Inputs!$K$4:$AJ$4,0))))+SUMPRODUCT((Inputs!$E$5:$E$130=$B45)*ISNUMBER(INDEX(Inputs!$K$5:$AJ$130,0,MATCH(AE$2,Inputs!$K$4:$AJ$4,0))))=0,NA(),SUMPRODUCT((Inputs!$A$5:$A$130=$B45)*Inputs!$B$5:$B$130*(((Inputs!$G$5:$G$130="moeda")+(Inputs!$G$5:$G$130="acoes"))*Inputs!$B$1+((Inputs!$G$5:$G$130&lt;&gt;"moeda")*(Inputs!$G$5:$G$130&lt;&gt;"acoes")))*INDEX(Inputs!$K$5:$AJ$130,0,MATCH(AE$2,Inputs!$K$4:$AJ$4,0)))+SUMPRODUCT((Inputs!$C$5:$C$130=$B45)*Inputs!$D$5:$D$130*(((Inputs!$G$5:$G$130="moeda")+(Inputs!$G$5:$G$130="acoes"))*Inputs!$B$1+((Inputs!$G$5:$G$130&lt;&gt;"moeda")*(Inputs!$G$5:$G$130&lt;&gt;"acoes")))*INDEX(Inputs!$K$5:$AJ$130,0,MATCH(AE$2,Inputs!$K$4:$AJ$4,0)))+SUMPRODUCT((Inputs!$E$5:$E$130=$B45)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5" s="6" t="e">
        <f>IF(ISNA(MATCH(AF$2,Inputs!$K$4:$AJ$4,0)),NA(),IF(SUMPRODUCT((Inputs!$A$5:$A$130=$B45)*ISNUMBER(INDEX(Inputs!$K$5:$AJ$130,0,MATCH(AF$2,Inputs!$K$4:$AJ$4,0))))+SUMPRODUCT((Inputs!$C$5:$C$130=$B45)*ISNUMBER(INDEX(Inputs!$K$5:$AJ$130,0,MATCH(AF$2,Inputs!$K$4:$AJ$4,0))))+SUMPRODUCT((Inputs!$E$5:$E$130=$B45)*ISNUMBER(INDEX(Inputs!$K$5:$AJ$130,0,MATCH(AF$2,Inputs!$K$4:$AJ$4,0))))=0,NA(),SUMPRODUCT((Inputs!$A$5:$A$130=$B45)*Inputs!$B$5:$B$130*(((Inputs!$G$5:$G$130="moeda")+(Inputs!$G$5:$G$130="acoes"))*Inputs!$B$1+((Inputs!$G$5:$G$130&lt;&gt;"moeda")*(Inputs!$G$5:$G$130&lt;&gt;"acoes")))*INDEX(Inputs!$K$5:$AJ$130,0,MATCH(AF$2,Inputs!$K$4:$AJ$4,0)))+SUMPRODUCT((Inputs!$C$5:$C$130=$B45)*Inputs!$D$5:$D$130*(((Inputs!$G$5:$G$130="moeda")+(Inputs!$G$5:$G$130="acoes"))*Inputs!$B$1+((Inputs!$G$5:$G$130&lt;&gt;"moeda")*(Inputs!$G$5:$G$130&lt;&gt;"acoes")))*INDEX(Inputs!$K$5:$AJ$130,0,MATCH(AF$2,Inputs!$K$4:$AJ$4,0)))+SUMPRODUCT((Inputs!$E$5:$E$130=$B45)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5" s="3" t="e">
        <f>AF45</f>
        <v>#N/A</v>
      </c>
      <c r="AH45" s="6">
        <f>IF(ISNA(MATCH(AH$2,Inputs!$K$4:$AJ$4,0)),NA(),IF(SUMPRODUCT((Inputs!$A$5:$A$130=$B45)*ISNUMBER(INDEX(Inputs!$K$5:$AJ$130,0,MATCH(AH$2,Inputs!$K$4:$AJ$4,0))))+SUMPRODUCT((Inputs!$C$5:$C$130=$B45)*ISNUMBER(INDEX(Inputs!$K$5:$AJ$130,0,MATCH(AH$2,Inputs!$K$4:$AJ$4,0))))+SUMPRODUCT((Inputs!$E$5:$E$130=$B45)*ISNUMBER(INDEX(Inputs!$K$5:$AJ$130,0,MATCH(AH$2,Inputs!$K$4:$AJ$4,0))))=0,NA(),SUMPRODUCT((Inputs!$A$5:$A$130=$B45)*Inputs!$B$5:$B$130*(((Inputs!$G$5:$G$130="moeda")+(Inputs!$G$5:$G$130="acoes"))*Inputs!$B$1+((Inputs!$G$5:$G$130&lt;&gt;"moeda")*(Inputs!$G$5:$G$130&lt;&gt;"acoes")))*INDEX(Inputs!$K$5:$AJ$130,0,MATCH(AH$2,Inputs!$K$4:$AJ$4,0)))+SUMPRODUCT((Inputs!$C$5:$C$130=$B45)*Inputs!$D$5:$D$130*(((Inputs!$G$5:$G$130="moeda")+(Inputs!$G$5:$G$130="acoes"))*Inputs!$B$1+((Inputs!$G$5:$G$130&lt;&gt;"moeda")*(Inputs!$G$5:$G$130&lt;&gt;"acoes")))*INDEX(Inputs!$K$5:$AJ$130,0,MATCH(AH$2,Inputs!$K$4:$AJ$4,0)))+SUMPRODUCT((Inputs!$E$5:$E$130=$B45)*Inputs!$F$5:$F$130*(((Inputs!$G$5:$G$130="moeda")+(Inputs!$G$5:$G$130="acoes"))*Inputs!$B$1+((Inputs!$G$5:$G$130&lt;&gt;"moeda")*(Inputs!$G$5:$G$130&lt;&gt;"acoes")))*INDEX(Inputs!$K$5:$AJ$130,0,MATCH(AH$2,Inputs!$K$4:$AJ$4,0)))))</f>
        <v>-5715</v>
      </c>
      <c r="AI45" s="6">
        <f>IF(ISNA(MATCH(AI$2,Inputs!$K$4:$AJ$4,0)),NA(),IF(SUMPRODUCT((Inputs!$A$5:$A$130=$B45)*ISNUMBER(INDEX(Inputs!$K$5:$AJ$130,0,MATCH(AI$2,Inputs!$K$4:$AJ$4,0))))+SUMPRODUCT((Inputs!$C$5:$C$130=$B45)*ISNUMBER(INDEX(Inputs!$K$5:$AJ$130,0,MATCH(AI$2,Inputs!$K$4:$AJ$4,0))))+SUMPRODUCT((Inputs!$E$5:$E$130=$B45)*ISNUMBER(INDEX(Inputs!$K$5:$AJ$130,0,MATCH(AI$2,Inputs!$K$4:$AJ$4,0))))=0,NA(),SUMPRODUCT((Inputs!$A$5:$A$130=$B45)*Inputs!$B$5:$B$130*(((Inputs!$G$5:$G$130="moeda")+(Inputs!$G$5:$G$130="acoes"))*Inputs!$B$1+((Inputs!$G$5:$G$130&lt;&gt;"moeda")*(Inputs!$G$5:$G$130&lt;&gt;"acoes")))*INDEX(Inputs!$K$5:$AJ$130,0,MATCH(AI$2,Inputs!$K$4:$AJ$4,0)))+SUMPRODUCT((Inputs!$C$5:$C$130=$B45)*Inputs!$D$5:$D$130*(((Inputs!$G$5:$G$130="moeda")+(Inputs!$G$5:$G$130="acoes"))*Inputs!$B$1+((Inputs!$G$5:$G$130&lt;&gt;"moeda")*(Inputs!$G$5:$G$130&lt;&gt;"acoes")))*INDEX(Inputs!$K$5:$AJ$130,0,MATCH(AI$2,Inputs!$K$4:$AJ$4,0)))+SUMPRODUCT((Inputs!$E$5:$E$130=$B45)*Inputs!$F$5:$F$130*(((Inputs!$G$5:$G$130="moeda")+(Inputs!$G$5:$G$130="acoes"))*Inputs!$B$1+((Inputs!$G$5:$G$130&lt;&gt;"moeda")*(Inputs!$G$5:$G$130&lt;&gt;"acoes")))*INDEX(Inputs!$K$5:$AJ$130,0,MATCH(AI$2,Inputs!$K$4:$AJ$4,0)))))</f>
        <v>-5319</v>
      </c>
      <c r="AJ45" s="6">
        <f>IF(ISNA(MATCH(AJ$2,Inputs!$K$4:$AJ$4,0)),NA(),IF(SUMPRODUCT((Inputs!$A$5:$A$130=$B45)*ISNUMBER(INDEX(Inputs!$K$5:$AJ$130,0,MATCH(AJ$2,Inputs!$K$4:$AJ$4,0))))+SUMPRODUCT((Inputs!$C$5:$C$130=$B45)*ISNUMBER(INDEX(Inputs!$K$5:$AJ$130,0,MATCH(AJ$2,Inputs!$K$4:$AJ$4,0))))+SUMPRODUCT((Inputs!$E$5:$E$130=$B45)*ISNUMBER(INDEX(Inputs!$K$5:$AJ$130,0,MATCH(AJ$2,Inputs!$K$4:$AJ$4,0))))=0,NA(),SUMPRODUCT((Inputs!$A$5:$A$130=$B45)*Inputs!$B$5:$B$130*(((Inputs!$G$5:$G$130="moeda")+(Inputs!$G$5:$G$130="acoes"))*Inputs!$B$1+((Inputs!$G$5:$G$130&lt;&gt;"moeda")*(Inputs!$G$5:$G$130&lt;&gt;"acoes")))*INDEX(Inputs!$K$5:$AJ$130,0,MATCH(AJ$2,Inputs!$K$4:$AJ$4,0)))+SUMPRODUCT((Inputs!$C$5:$C$130=$B45)*Inputs!$D$5:$D$130*(((Inputs!$G$5:$G$130="moeda")+(Inputs!$G$5:$G$130="acoes"))*Inputs!$B$1+((Inputs!$G$5:$G$130&lt;&gt;"moeda")*(Inputs!$G$5:$G$130&lt;&gt;"acoes")))*INDEX(Inputs!$K$5:$AJ$130,0,MATCH(AJ$2,Inputs!$K$4:$AJ$4,0)))+SUMPRODUCT((Inputs!$E$5:$E$130=$B45)*Inputs!$F$5:$F$130*(((Inputs!$G$5:$G$130="moeda")+(Inputs!$G$5:$G$130="acoes"))*Inputs!$B$1+((Inputs!$G$5:$G$130&lt;&gt;"moeda")*(Inputs!$G$5:$G$130&lt;&gt;"acoes")))*INDEX(Inputs!$K$5:$AJ$130,0,MATCH(AJ$2,Inputs!$K$4:$AJ$4,0)))))</f>
        <v>-5539</v>
      </c>
      <c r="AK45" s="6">
        <f>IF(ISNA(MATCH(AK$2,Inputs!$K$4:$AJ$4,0)),NA(),IF(SUMPRODUCT((Inputs!$A$5:$A$130=$B45)*ISNUMBER(INDEX(Inputs!$K$5:$AJ$130,0,MATCH(AK$2,Inputs!$K$4:$AJ$4,0))))+SUMPRODUCT((Inputs!$C$5:$C$130=$B45)*ISNUMBER(INDEX(Inputs!$K$5:$AJ$130,0,MATCH(AK$2,Inputs!$K$4:$AJ$4,0))))+SUMPRODUCT((Inputs!$E$5:$E$130=$B45)*ISNUMBER(INDEX(Inputs!$K$5:$AJ$130,0,MATCH(AK$2,Inputs!$K$4:$AJ$4,0))))=0,NA(),SUMPRODUCT((Inputs!$A$5:$A$130=$B45)*Inputs!$B$5:$B$130*(((Inputs!$G$5:$G$130="moeda")+(Inputs!$G$5:$G$130="acoes"))*Inputs!$B$1+((Inputs!$G$5:$G$130&lt;&gt;"moeda")*(Inputs!$G$5:$G$130&lt;&gt;"acoes")))*INDEX(Inputs!$K$5:$AJ$130,0,MATCH(AK$2,Inputs!$K$4:$AJ$4,0)))+SUMPRODUCT((Inputs!$C$5:$C$130=$B45)*Inputs!$D$5:$D$130*(((Inputs!$G$5:$G$130="moeda")+(Inputs!$G$5:$G$130="acoes"))*Inputs!$B$1+((Inputs!$G$5:$G$130&lt;&gt;"moeda")*(Inputs!$G$5:$G$130&lt;&gt;"acoes")))*INDEX(Inputs!$K$5:$AJ$130,0,MATCH(AK$2,Inputs!$K$4:$AJ$4,0)))+SUMPRODUCT((Inputs!$E$5:$E$130=$B45)*Inputs!$F$5:$F$130*(((Inputs!$G$5:$G$130="moeda")+(Inputs!$G$5:$G$130="acoes"))*Inputs!$B$1+((Inputs!$G$5:$G$130&lt;&gt;"moeda")*(Inputs!$G$5:$G$130&lt;&gt;"acoes")))*INDEX(Inputs!$K$5:$AJ$130,0,MATCH(AK$2,Inputs!$K$4:$AJ$4,0)))))</f>
        <v>-5078</v>
      </c>
      <c r="AL45" s="3">
        <f>AK45</f>
        <v>-5078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$130=$B46)*ISNUMBER(INDEX(Inputs!$K$5:$AJ$130,0,MATCH(D$2,Inputs!$K$4:$AJ$4,0))))+SUMPRODUCT((Inputs!$C$5:$C$130=$B46)*ISNUMBER(INDEX(Inputs!$K$5:$AJ$130,0,MATCH(D$2,Inputs!$K$4:$AJ$4,0))))+SUMPRODUCT((Inputs!$E$5:$E$130=$B46)*ISNUMBER(INDEX(Inputs!$K$5:$AJ$130,0,MATCH(D$2,Inputs!$K$4:$AJ$4,0))))=0,NA(),SUMPRODUCT((Inputs!$A$5:$A$130=$B46)*Inputs!$B$5:$B$130*(((Inputs!$G$5:$G$130="moeda")+(Inputs!$G$5:$G$130="acoes"))*Inputs!$B$1+((Inputs!$G$5:$G$130&lt;&gt;"moeda")*(Inputs!$G$5:$G$130&lt;&gt;"acoes")))*INDEX(Inputs!$K$5:$AJ$130,0,MATCH(D$2,Inputs!$K$4:$AJ$4,0)))+SUMPRODUCT((Inputs!$C$5:$C$130=$B46)*Inputs!$D$5:$D$130*(((Inputs!$G$5:$G$130="moeda")+(Inputs!$G$5:$G$130="acoes"))*Inputs!$B$1+((Inputs!$G$5:$G$130&lt;&gt;"moeda")*(Inputs!$G$5:$G$130&lt;&gt;"acoes")))*INDEX(Inputs!$K$5:$AJ$130,0,MATCH(D$2,Inputs!$K$4:$AJ$4,0)))+SUMPRODUCT((Inputs!$E$5:$E$130=$B46)*Inputs!$F$5:$F$130*(((Inputs!$G$5:$G$130="moeda")+(Inputs!$G$5:$G$130="acoes"))*Inputs!$B$1+((Inputs!$G$5:$G$130&lt;&gt;"moeda")*(Inputs!$G$5:$G$130&lt;&gt;"acoes")))*INDEX(Inputs!$K$5:$AJ$130,0,MATCH(D$2,Inputs!$K$4:$AJ$4,0)))))</f>
        <v>0</v>
      </c>
      <c r="E46" s="6">
        <f>IF(ISNA(MATCH(E$2,Inputs!$K$4:$AJ$4,0)),NA(),IF(SUMPRODUCT((Inputs!$A$5:$A$130=$B46)*ISNUMBER(INDEX(Inputs!$K$5:$AJ$130,0,MATCH(E$2,Inputs!$K$4:$AJ$4,0))))+SUMPRODUCT((Inputs!$C$5:$C$130=$B46)*ISNUMBER(INDEX(Inputs!$K$5:$AJ$130,0,MATCH(E$2,Inputs!$K$4:$AJ$4,0))))+SUMPRODUCT((Inputs!$E$5:$E$130=$B46)*ISNUMBER(INDEX(Inputs!$K$5:$AJ$130,0,MATCH(E$2,Inputs!$K$4:$AJ$4,0))))=0,NA(),SUMPRODUCT((Inputs!$A$5:$A$130=$B46)*Inputs!$B$5:$B$130*(((Inputs!$G$5:$G$130="moeda")+(Inputs!$G$5:$G$130="acoes"))*Inputs!$B$1+((Inputs!$G$5:$G$130&lt;&gt;"moeda")*(Inputs!$G$5:$G$130&lt;&gt;"acoes")))*INDEX(Inputs!$K$5:$AJ$130,0,MATCH(E$2,Inputs!$K$4:$AJ$4,0)))+SUMPRODUCT((Inputs!$C$5:$C$130=$B46)*Inputs!$D$5:$D$130*(((Inputs!$G$5:$G$130="moeda")+(Inputs!$G$5:$G$130="acoes"))*Inputs!$B$1+((Inputs!$G$5:$G$130&lt;&gt;"moeda")*(Inputs!$G$5:$G$130&lt;&gt;"acoes")))*INDEX(Inputs!$K$5:$AJ$130,0,MATCH(E$2,Inputs!$K$4:$AJ$4,0)))+SUMPRODUCT((Inputs!$E$5:$E$130=$B46)*Inputs!$F$5:$F$130*(((Inputs!$G$5:$G$130="moeda")+(Inputs!$G$5:$G$130="acoes"))*Inputs!$B$1+((Inputs!$G$5:$G$130&lt;&gt;"moeda")*(Inputs!$G$5:$G$130&lt;&gt;"acoes")))*INDEX(Inputs!$K$5:$AJ$130,0,MATCH(E$2,Inputs!$K$4:$AJ$4,0)))))</f>
        <v>0</v>
      </c>
      <c r="F46" s="6">
        <f>IF(ISNA(MATCH(F$2,Inputs!$K$4:$AJ$4,0)),NA(),IF(SUMPRODUCT((Inputs!$A$5:$A$130=$B46)*ISNUMBER(INDEX(Inputs!$K$5:$AJ$130,0,MATCH(F$2,Inputs!$K$4:$AJ$4,0))))+SUMPRODUCT((Inputs!$C$5:$C$130=$B46)*ISNUMBER(INDEX(Inputs!$K$5:$AJ$130,0,MATCH(F$2,Inputs!$K$4:$AJ$4,0))))+SUMPRODUCT((Inputs!$E$5:$E$130=$B46)*ISNUMBER(INDEX(Inputs!$K$5:$AJ$130,0,MATCH(F$2,Inputs!$K$4:$AJ$4,0))))=0,NA(),SUMPRODUCT((Inputs!$A$5:$A$130=$B46)*Inputs!$B$5:$B$130*(((Inputs!$G$5:$G$130="moeda")+(Inputs!$G$5:$G$130="acoes"))*Inputs!$B$1+((Inputs!$G$5:$G$130&lt;&gt;"moeda")*(Inputs!$G$5:$G$130&lt;&gt;"acoes")))*INDEX(Inputs!$K$5:$AJ$130,0,MATCH(F$2,Inputs!$K$4:$AJ$4,0)))+SUMPRODUCT((Inputs!$C$5:$C$130=$B46)*Inputs!$D$5:$D$130*(((Inputs!$G$5:$G$130="moeda")+(Inputs!$G$5:$G$130="acoes"))*Inputs!$B$1+((Inputs!$G$5:$G$130&lt;&gt;"moeda")*(Inputs!$G$5:$G$130&lt;&gt;"acoes")))*INDEX(Inputs!$K$5:$AJ$130,0,MATCH(F$2,Inputs!$K$4:$AJ$4,0)))+SUMPRODUCT((Inputs!$E$5:$E$130=$B46)*Inputs!$F$5:$F$130*(((Inputs!$G$5:$G$130="moeda")+(Inputs!$G$5:$G$130="acoes"))*Inputs!$B$1+((Inputs!$G$5:$G$130&lt;&gt;"moeda")*(Inputs!$G$5:$G$130&lt;&gt;"acoes")))*INDEX(Inputs!$K$5:$AJ$130,0,MATCH(F$2,Inputs!$K$4:$AJ$4,0)))))</f>
        <v>0</v>
      </c>
      <c r="G46" s="6">
        <f>IF(ISNA(MATCH(G$2,Inputs!$K$4:$AJ$4,0)),NA(),IF(SUMPRODUCT((Inputs!$A$5:$A$130=$B46)*ISNUMBER(INDEX(Inputs!$K$5:$AJ$130,0,MATCH(G$2,Inputs!$K$4:$AJ$4,0))))+SUMPRODUCT((Inputs!$C$5:$C$130=$B46)*ISNUMBER(INDEX(Inputs!$K$5:$AJ$130,0,MATCH(G$2,Inputs!$K$4:$AJ$4,0))))+SUMPRODUCT((Inputs!$E$5:$E$130=$B46)*ISNUMBER(INDEX(Inputs!$K$5:$AJ$130,0,MATCH(G$2,Inputs!$K$4:$AJ$4,0))))=0,NA(),SUMPRODUCT((Inputs!$A$5:$A$130=$B46)*Inputs!$B$5:$B$130*(((Inputs!$G$5:$G$130="moeda")+(Inputs!$G$5:$G$130="acoes"))*Inputs!$B$1+((Inputs!$G$5:$G$130&lt;&gt;"moeda")*(Inputs!$G$5:$G$130&lt;&gt;"acoes")))*INDEX(Inputs!$K$5:$AJ$130,0,MATCH(G$2,Inputs!$K$4:$AJ$4,0)))+SUMPRODUCT((Inputs!$C$5:$C$130=$B46)*Inputs!$D$5:$D$130*(((Inputs!$G$5:$G$130="moeda")+(Inputs!$G$5:$G$130="acoes"))*Inputs!$B$1+((Inputs!$G$5:$G$130&lt;&gt;"moeda")*(Inputs!$G$5:$G$130&lt;&gt;"acoes")))*INDEX(Inputs!$K$5:$AJ$130,0,MATCH(G$2,Inputs!$K$4:$AJ$4,0)))+SUMPRODUCT((Inputs!$E$5:$E$130=$B46)*Inputs!$F$5:$F$130*(((Inputs!$G$5:$G$130="moeda")+(Inputs!$G$5:$G$130="acoes"))*Inputs!$B$1+((Inputs!$G$5:$G$130&lt;&gt;"moeda")*(Inputs!$G$5:$G$130&lt;&gt;"acoes")))*INDEX(Inputs!$K$5:$AJ$130,0,MATCH(G$2,Inputs!$K$4:$AJ$4,0)))))</f>
        <v>0</v>
      </c>
      <c r="H46" s="3">
        <f>G46</f>
        <v>0</v>
      </c>
      <c r="I46" s="6">
        <f>IF(ISNA(MATCH(I$2,Inputs!$K$4:$AJ$4,0)),NA(),IF(SUMPRODUCT((Inputs!$A$5:$A$130=$B46)*ISNUMBER(INDEX(Inputs!$K$5:$AJ$130,0,MATCH(I$2,Inputs!$K$4:$AJ$4,0))))+SUMPRODUCT((Inputs!$C$5:$C$130=$B46)*ISNUMBER(INDEX(Inputs!$K$5:$AJ$130,0,MATCH(I$2,Inputs!$K$4:$AJ$4,0))))+SUMPRODUCT((Inputs!$E$5:$E$130=$B46)*ISNUMBER(INDEX(Inputs!$K$5:$AJ$130,0,MATCH(I$2,Inputs!$K$4:$AJ$4,0))))=0,NA(),SUMPRODUCT((Inputs!$A$5:$A$130=$B46)*Inputs!$B$5:$B$130*(((Inputs!$G$5:$G$130="moeda")+(Inputs!$G$5:$G$130="acoes"))*Inputs!$B$1+((Inputs!$G$5:$G$130&lt;&gt;"moeda")*(Inputs!$G$5:$G$130&lt;&gt;"acoes")))*INDEX(Inputs!$K$5:$AJ$130,0,MATCH(I$2,Inputs!$K$4:$AJ$4,0)))+SUMPRODUCT((Inputs!$C$5:$C$130=$B46)*Inputs!$D$5:$D$130*(((Inputs!$G$5:$G$130="moeda")+(Inputs!$G$5:$G$130="acoes"))*Inputs!$B$1+((Inputs!$G$5:$G$130&lt;&gt;"moeda")*(Inputs!$G$5:$G$130&lt;&gt;"acoes")))*INDEX(Inputs!$K$5:$AJ$130,0,MATCH(I$2,Inputs!$K$4:$AJ$4,0)))+SUMPRODUCT((Inputs!$E$5:$E$130=$B46)*Inputs!$F$5:$F$130*(((Inputs!$G$5:$G$130="moeda")+(Inputs!$G$5:$G$130="acoes"))*Inputs!$B$1+((Inputs!$G$5:$G$130&lt;&gt;"moeda")*(Inputs!$G$5:$G$130&lt;&gt;"acoes")))*INDEX(Inputs!$K$5:$AJ$130,0,MATCH(I$2,Inputs!$K$4:$AJ$4,0)))))</f>
        <v>0</v>
      </c>
      <c r="J46" s="6">
        <f>IF(ISNA(MATCH(J$2,Inputs!$K$4:$AJ$4,0)),NA(),IF(SUMPRODUCT((Inputs!$A$5:$A$130=$B46)*ISNUMBER(INDEX(Inputs!$K$5:$AJ$130,0,MATCH(J$2,Inputs!$K$4:$AJ$4,0))))+SUMPRODUCT((Inputs!$C$5:$C$130=$B46)*ISNUMBER(INDEX(Inputs!$K$5:$AJ$130,0,MATCH(J$2,Inputs!$K$4:$AJ$4,0))))+SUMPRODUCT((Inputs!$E$5:$E$130=$B46)*ISNUMBER(INDEX(Inputs!$K$5:$AJ$130,0,MATCH(J$2,Inputs!$K$4:$AJ$4,0))))=0,NA(),SUMPRODUCT((Inputs!$A$5:$A$130=$B46)*Inputs!$B$5:$B$130*(((Inputs!$G$5:$G$130="moeda")+(Inputs!$G$5:$G$130="acoes"))*Inputs!$B$1+((Inputs!$G$5:$G$130&lt;&gt;"moeda")*(Inputs!$G$5:$G$130&lt;&gt;"acoes")))*INDEX(Inputs!$K$5:$AJ$130,0,MATCH(J$2,Inputs!$K$4:$AJ$4,0)))+SUMPRODUCT((Inputs!$C$5:$C$130=$B46)*Inputs!$D$5:$D$130*(((Inputs!$G$5:$G$130="moeda")+(Inputs!$G$5:$G$130="acoes"))*Inputs!$B$1+((Inputs!$G$5:$G$130&lt;&gt;"moeda")*(Inputs!$G$5:$G$130&lt;&gt;"acoes")))*INDEX(Inputs!$K$5:$AJ$130,0,MATCH(J$2,Inputs!$K$4:$AJ$4,0)))+SUMPRODUCT((Inputs!$E$5:$E$130=$B46)*Inputs!$F$5:$F$130*(((Inputs!$G$5:$G$130="moeda")+(Inputs!$G$5:$G$130="acoes"))*Inputs!$B$1+((Inputs!$G$5:$G$130&lt;&gt;"moeda")*(Inputs!$G$5:$G$130&lt;&gt;"acoes")))*INDEX(Inputs!$K$5:$AJ$130,0,MATCH(J$2,Inputs!$K$4:$AJ$4,0)))))</f>
        <v>0</v>
      </c>
      <c r="K46" s="6">
        <f>IF(ISNA(MATCH(K$2,Inputs!$K$4:$AJ$4,0)),NA(),IF(SUMPRODUCT((Inputs!$A$5:$A$130=$B46)*ISNUMBER(INDEX(Inputs!$K$5:$AJ$130,0,MATCH(K$2,Inputs!$K$4:$AJ$4,0))))+SUMPRODUCT((Inputs!$C$5:$C$130=$B46)*ISNUMBER(INDEX(Inputs!$K$5:$AJ$130,0,MATCH(K$2,Inputs!$K$4:$AJ$4,0))))+SUMPRODUCT((Inputs!$E$5:$E$130=$B46)*ISNUMBER(INDEX(Inputs!$K$5:$AJ$130,0,MATCH(K$2,Inputs!$K$4:$AJ$4,0))))=0,NA(),SUMPRODUCT((Inputs!$A$5:$A$130=$B46)*Inputs!$B$5:$B$130*(((Inputs!$G$5:$G$130="moeda")+(Inputs!$G$5:$G$130="acoes"))*Inputs!$B$1+((Inputs!$G$5:$G$130&lt;&gt;"moeda")*(Inputs!$G$5:$G$130&lt;&gt;"acoes")))*INDEX(Inputs!$K$5:$AJ$130,0,MATCH(K$2,Inputs!$K$4:$AJ$4,0)))+SUMPRODUCT((Inputs!$C$5:$C$130=$B46)*Inputs!$D$5:$D$130*(((Inputs!$G$5:$G$130="moeda")+(Inputs!$G$5:$G$130="acoes"))*Inputs!$B$1+((Inputs!$G$5:$G$130&lt;&gt;"moeda")*(Inputs!$G$5:$G$130&lt;&gt;"acoes")))*INDEX(Inputs!$K$5:$AJ$130,0,MATCH(K$2,Inputs!$K$4:$AJ$4,0)))+SUMPRODUCT((Inputs!$E$5:$E$130=$B46)*Inputs!$F$5:$F$130*(((Inputs!$G$5:$G$130="moeda")+(Inputs!$G$5:$G$130="acoes"))*Inputs!$B$1+((Inputs!$G$5:$G$130&lt;&gt;"moeda")*(Inputs!$G$5:$G$130&lt;&gt;"acoes")))*INDEX(Inputs!$K$5:$AJ$130,0,MATCH(K$2,Inputs!$K$4:$AJ$4,0)))))</f>
        <v>0</v>
      </c>
      <c r="L46" s="6">
        <f>IF(ISNA(MATCH(L$2,Inputs!$K$4:$AJ$4,0)),NA(),IF(SUMPRODUCT((Inputs!$A$5:$A$130=$B46)*ISNUMBER(INDEX(Inputs!$K$5:$AJ$130,0,MATCH(L$2,Inputs!$K$4:$AJ$4,0))))+SUMPRODUCT((Inputs!$C$5:$C$130=$B46)*ISNUMBER(INDEX(Inputs!$K$5:$AJ$130,0,MATCH(L$2,Inputs!$K$4:$AJ$4,0))))+SUMPRODUCT((Inputs!$E$5:$E$130=$B46)*ISNUMBER(INDEX(Inputs!$K$5:$AJ$130,0,MATCH(L$2,Inputs!$K$4:$AJ$4,0))))=0,NA(),SUMPRODUCT((Inputs!$A$5:$A$130=$B46)*Inputs!$B$5:$B$130*(((Inputs!$G$5:$G$130="moeda")+(Inputs!$G$5:$G$130="acoes"))*Inputs!$B$1+((Inputs!$G$5:$G$130&lt;&gt;"moeda")*(Inputs!$G$5:$G$130&lt;&gt;"acoes")))*INDEX(Inputs!$K$5:$AJ$130,0,MATCH(L$2,Inputs!$K$4:$AJ$4,0)))+SUMPRODUCT((Inputs!$C$5:$C$130=$B46)*Inputs!$D$5:$D$130*(((Inputs!$G$5:$G$130="moeda")+(Inputs!$G$5:$G$130="acoes"))*Inputs!$B$1+((Inputs!$G$5:$G$130&lt;&gt;"moeda")*(Inputs!$G$5:$G$130&lt;&gt;"acoes")))*INDEX(Inputs!$K$5:$AJ$130,0,MATCH(L$2,Inputs!$K$4:$AJ$4,0)))+SUMPRODUCT((Inputs!$E$5:$E$130=$B46)*Inputs!$F$5:$F$130*(((Inputs!$G$5:$G$130="moeda")+(Inputs!$G$5:$G$130="acoes"))*Inputs!$B$1+((Inputs!$G$5:$G$130&lt;&gt;"moeda")*(Inputs!$G$5:$G$130&lt;&gt;"acoes")))*INDEX(Inputs!$K$5:$AJ$130,0,MATCH(L$2,Inputs!$K$4:$AJ$4,0)))))</f>
        <v>0</v>
      </c>
      <c r="M46" s="3">
        <f>L46</f>
        <v>0</v>
      </c>
      <c r="N46" s="6">
        <f>IF(ISNA(MATCH(N$2,Inputs!$K$4:$AJ$4,0)),NA(),IF(SUMPRODUCT((Inputs!$A$5:$A$130=$B46)*ISNUMBER(INDEX(Inputs!$K$5:$AJ$130,0,MATCH(N$2,Inputs!$K$4:$AJ$4,0))))+SUMPRODUCT((Inputs!$C$5:$C$130=$B46)*ISNUMBER(INDEX(Inputs!$K$5:$AJ$130,0,MATCH(N$2,Inputs!$K$4:$AJ$4,0))))+SUMPRODUCT((Inputs!$E$5:$E$130=$B46)*ISNUMBER(INDEX(Inputs!$K$5:$AJ$130,0,MATCH(N$2,Inputs!$K$4:$AJ$4,0))))=0,NA(),SUMPRODUCT((Inputs!$A$5:$A$130=$B46)*Inputs!$B$5:$B$130*(((Inputs!$G$5:$G$130="moeda")+(Inputs!$G$5:$G$130="acoes"))*Inputs!$B$1+((Inputs!$G$5:$G$130&lt;&gt;"moeda")*(Inputs!$G$5:$G$130&lt;&gt;"acoes")))*INDEX(Inputs!$K$5:$AJ$130,0,MATCH(N$2,Inputs!$K$4:$AJ$4,0)))+SUMPRODUCT((Inputs!$C$5:$C$130=$B46)*Inputs!$D$5:$D$130*(((Inputs!$G$5:$G$130="moeda")+(Inputs!$G$5:$G$130="acoes"))*Inputs!$B$1+((Inputs!$G$5:$G$130&lt;&gt;"moeda")*(Inputs!$G$5:$G$130&lt;&gt;"acoes")))*INDEX(Inputs!$K$5:$AJ$130,0,MATCH(N$2,Inputs!$K$4:$AJ$4,0)))+SUMPRODUCT((Inputs!$E$5:$E$130=$B46)*Inputs!$F$5:$F$130*(((Inputs!$G$5:$G$130="moeda")+(Inputs!$G$5:$G$130="acoes"))*Inputs!$B$1+((Inputs!$G$5:$G$130&lt;&gt;"moeda")*(Inputs!$G$5:$G$130&lt;&gt;"acoes")))*INDEX(Inputs!$K$5:$AJ$130,0,MATCH(N$2,Inputs!$K$4:$AJ$4,0)))))</f>
        <v>0</v>
      </c>
      <c r="O46" s="6">
        <f>IF(ISNA(MATCH(O$2,Inputs!$K$4:$AJ$4,0)),NA(),IF(SUMPRODUCT((Inputs!$A$5:$A$130=$B46)*ISNUMBER(INDEX(Inputs!$K$5:$AJ$130,0,MATCH(O$2,Inputs!$K$4:$AJ$4,0))))+SUMPRODUCT((Inputs!$C$5:$C$130=$B46)*ISNUMBER(INDEX(Inputs!$K$5:$AJ$130,0,MATCH(O$2,Inputs!$K$4:$AJ$4,0))))+SUMPRODUCT((Inputs!$E$5:$E$130=$B46)*ISNUMBER(INDEX(Inputs!$K$5:$AJ$130,0,MATCH(O$2,Inputs!$K$4:$AJ$4,0))))=0,NA(),SUMPRODUCT((Inputs!$A$5:$A$130=$B46)*Inputs!$B$5:$B$130*(((Inputs!$G$5:$G$130="moeda")+(Inputs!$G$5:$G$130="acoes"))*Inputs!$B$1+((Inputs!$G$5:$G$130&lt;&gt;"moeda")*(Inputs!$G$5:$G$130&lt;&gt;"acoes")))*INDEX(Inputs!$K$5:$AJ$130,0,MATCH(O$2,Inputs!$K$4:$AJ$4,0)))+SUMPRODUCT((Inputs!$C$5:$C$130=$B46)*Inputs!$D$5:$D$130*(((Inputs!$G$5:$G$130="moeda")+(Inputs!$G$5:$G$130="acoes"))*Inputs!$B$1+((Inputs!$G$5:$G$130&lt;&gt;"moeda")*(Inputs!$G$5:$G$130&lt;&gt;"acoes")))*INDEX(Inputs!$K$5:$AJ$130,0,MATCH(O$2,Inputs!$K$4:$AJ$4,0)))+SUMPRODUCT((Inputs!$E$5:$E$130=$B46)*Inputs!$F$5:$F$130*(((Inputs!$G$5:$G$130="moeda")+(Inputs!$G$5:$G$130="acoes"))*Inputs!$B$1+((Inputs!$G$5:$G$130&lt;&gt;"moeda")*(Inputs!$G$5:$G$130&lt;&gt;"acoes")))*INDEX(Inputs!$K$5:$AJ$130,0,MATCH(O$2,Inputs!$K$4:$AJ$4,0)))))</f>
        <v>0</v>
      </c>
      <c r="P46" s="6">
        <f>IF(ISNA(MATCH(P$2,Inputs!$K$4:$AJ$4,0)),NA(),IF(SUMPRODUCT((Inputs!$A$5:$A$130=$B46)*ISNUMBER(INDEX(Inputs!$K$5:$AJ$130,0,MATCH(P$2,Inputs!$K$4:$AJ$4,0))))+SUMPRODUCT((Inputs!$C$5:$C$130=$B46)*ISNUMBER(INDEX(Inputs!$K$5:$AJ$130,0,MATCH(P$2,Inputs!$K$4:$AJ$4,0))))+SUMPRODUCT((Inputs!$E$5:$E$130=$B46)*ISNUMBER(INDEX(Inputs!$K$5:$AJ$130,0,MATCH(P$2,Inputs!$K$4:$AJ$4,0))))=0,NA(),SUMPRODUCT((Inputs!$A$5:$A$130=$B46)*Inputs!$B$5:$B$130*(((Inputs!$G$5:$G$130="moeda")+(Inputs!$G$5:$G$130="acoes"))*Inputs!$B$1+((Inputs!$G$5:$G$130&lt;&gt;"moeda")*(Inputs!$G$5:$G$130&lt;&gt;"acoes")))*INDEX(Inputs!$K$5:$AJ$130,0,MATCH(P$2,Inputs!$K$4:$AJ$4,0)))+SUMPRODUCT((Inputs!$C$5:$C$130=$B46)*Inputs!$D$5:$D$130*(((Inputs!$G$5:$G$130="moeda")+(Inputs!$G$5:$G$130="acoes"))*Inputs!$B$1+((Inputs!$G$5:$G$130&lt;&gt;"moeda")*(Inputs!$G$5:$G$130&lt;&gt;"acoes")))*INDEX(Inputs!$K$5:$AJ$130,0,MATCH(P$2,Inputs!$K$4:$AJ$4,0)))+SUMPRODUCT((Inputs!$E$5:$E$130=$B46)*Inputs!$F$5:$F$130*(((Inputs!$G$5:$G$130="moeda")+(Inputs!$G$5:$G$130="acoes"))*Inputs!$B$1+((Inputs!$G$5:$G$130&lt;&gt;"moeda")*(Inputs!$G$5:$G$130&lt;&gt;"acoes")))*INDEX(Inputs!$K$5:$AJ$130,0,MATCH(P$2,Inputs!$K$4:$AJ$4,0)))))</f>
        <v>0</v>
      </c>
      <c r="Q46" s="6">
        <f>IF(ISNA(MATCH(Q$2,Inputs!$K$4:$AJ$4,0)),NA(),IF(SUMPRODUCT((Inputs!$A$5:$A$130=$B46)*ISNUMBER(INDEX(Inputs!$K$5:$AJ$130,0,MATCH(Q$2,Inputs!$K$4:$AJ$4,0))))+SUMPRODUCT((Inputs!$C$5:$C$130=$B46)*ISNUMBER(INDEX(Inputs!$K$5:$AJ$130,0,MATCH(Q$2,Inputs!$K$4:$AJ$4,0))))+SUMPRODUCT((Inputs!$E$5:$E$130=$B46)*ISNUMBER(INDEX(Inputs!$K$5:$AJ$130,0,MATCH(Q$2,Inputs!$K$4:$AJ$4,0))))=0,NA(),SUMPRODUCT((Inputs!$A$5:$A$130=$B46)*Inputs!$B$5:$B$130*(((Inputs!$G$5:$G$130="moeda")+(Inputs!$G$5:$G$130="acoes"))*Inputs!$B$1+((Inputs!$G$5:$G$130&lt;&gt;"moeda")*(Inputs!$G$5:$G$130&lt;&gt;"acoes")))*INDEX(Inputs!$K$5:$AJ$130,0,MATCH(Q$2,Inputs!$K$4:$AJ$4,0)))+SUMPRODUCT((Inputs!$C$5:$C$130=$B46)*Inputs!$D$5:$D$130*(((Inputs!$G$5:$G$130="moeda")+(Inputs!$G$5:$G$130="acoes"))*Inputs!$B$1+((Inputs!$G$5:$G$130&lt;&gt;"moeda")*(Inputs!$G$5:$G$130&lt;&gt;"acoes")))*INDEX(Inputs!$K$5:$AJ$130,0,MATCH(Q$2,Inputs!$K$4:$AJ$4,0)))+SUMPRODUCT((Inputs!$E$5:$E$130=$B46)*Inputs!$F$5:$F$130*(((Inputs!$G$5:$G$130="moeda")+(Inputs!$G$5:$G$130="acoes"))*Inputs!$B$1+((Inputs!$G$5:$G$130&lt;&gt;"moeda")*(Inputs!$G$5:$G$130&lt;&gt;"acoes")))*INDEX(Inputs!$K$5:$AJ$130,0,MATCH(Q$2,Inputs!$K$4:$AJ$4,0)))))</f>
        <v>0</v>
      </c>
      <c r="R46" s="3">
        <f>Q46</f>
        <v>0</v>
      </c>
      <c r="S46" s="6">
        <f>IF(ISNA(MATCH(S$2,Inputs!$K$4:$AJ$4,0)),NA(),IF(SUMPRODUCT((Inputs!$A$5:$A$130=$B46)*ISNUMBER(INDEX(Inputs!$K$5:$AJ$130,0,MATCH(S$2,Inputs!$K$4:$AJ$4,0))))+SUMPRODUCT((Inputs!$C$5:$C$130=$B46)*ISNUMBER(INDEX(Inputs!$K$5:$AJ$130,0,MATCH(S$2,Inputs!$K$4:$AJ$4,0))))+SUMPRODUCT((Inputs!$E$5:$E$130=$B46)*ISNUMBER(INDEX(Inputs!$K$5:$AJ$130,0,MATCH(S$2,Inputs!$K$4:$AJ$4,0))))=0,NA(),SUMPRODUCT((Inputs!$A$5:$A$130=$B46)*Inputs!$B$5:$B$130*(((Inputs!$G$5:$G$130="moeda")+(Inputs!$G$5:$G$130="acoes"))*Inputs!$B$1+((Inputs!$G$5:$G$130&lt;&gt;"moeda")*(Inputs!$G$5:$G$130&lt;&gt;"acoes")))*INDEX(Inputs!$K$5:$AJ$130,0,MATCH(S$2,Inputs!$K$4:$AJ$4,0)))+SUMPRODUCT((Inputs!$C$5:$C$130=$B46)*Inputs!$D$5:$D$130*(((Inputs!$G$5:$G$130="moeda")+(Inputs!$G$5:$G$130="acoes"))*Inputs!$B$1+((Inputs!$G$5:$G$130&lt;&gt;"moeda")*(Inputs!$G$5:$G$130&lt;&gt;"acoes")))*INDEX(Inputs!$K$5:$AJ$130,0,MATCH(S$2,Inputs!$K$4:$AJ$4,0)))+SUMPRODUCT((Inputs!$E$5:$E$130=$B46)*Inputs!$F$5:$F$130*(((Inputs!$G$5:$G$130="moeda")+(Inputs!$G$5:$G$130="acoes"))*Inputs!$B$1+((Inputs!$G$5:$G$130&lt;&gt;"moeda")*(Inputs!$G$5:$G$130&lt;&gt;"acoes")))*INDEX(Inputs!$K$5:$AJ$130,0,MATCH(S$2,Inputs!$K$4:$AJ$4,0)))))</f>
        <v>0</v>
      </c>
      <c r="T46" s="6">
        <f>IF(ISNA(MATCH(T$2,Inputs!$K$4:$AJ$4,0)),NA(),IF(SUMPRODUCT((Inputs!$A$5:$A$130=$B46)*ISNUMBER(INDEX(Inputs!$K$5:$AJ$130,0,MATCH(T$2,Inputs!$K$4:$AJ$4,0))))+SUMPRODUCT((Inputs!$C$5:$C$130=$B46)*ISNUMBER(INDEX(Inputs!$K$5:$AJ$130,0,MATCH(T$2,Inputs!$K$4:$AJ$4,0))))+SUMPRODUCT((Inputs!$E$5:$E$130=$B46)*ISNUMBER(INDEX(Inputs!$K$5:$AJ$130,0,MATCH(T$2,Inputs!$K$4:$AJ$4,0))))=0,NA(),SUMPRODUCT((Inputs!$A$5:$A$130=$B46)*Inputs!$B$5:$B$130*(((Inputs!$G$5:$G$130="moeda")+(Inputs!$G$5:$G$130="acoes"))*Inputs!$B$1+((Inputs!$G$5:$G$130&lt;&gt;"moeda")*(Inputs!$G$5:$G$130&lt;&gt;"acoes")))*INDEX(Inputs!$K$5:$AJ$130,0,MATCH(T$2,Inputs!$K$4:$AJ$4,0)))+SUMPRODUCT((Inputs!$C$5:$C$130=$B46)*Inputs!$D$5:$D$130*(((Inputs!$G$5:$G$130="moeda")+(Inputs!$G$5:$G$130="acoes"))*Inputs!$B$1+((Inputs!$G$5:$G$130&lt;&gt;"moeda")*(Inputs!$G$5:$G$130&lt;&gt;"acoes")))*INDEX(Inputs!$K$5:$AJ$130,0,MATCH(T$2,Inputs!$K$4:$AJ$4,0)))+SUMPRODUCT((Inputs!$E$5:$E$130=$B46)*Inputs!$F$5:$F$130*(((Inputs!$G$5:$G$130="moeda")+(Inputs!$G$5:$G$130="acoes"))*Inputs!$B$1+((Inputs!$G$5:$G$130&lt;&gt;"moeda")*(Inputs!$G$5:$G$130&lt;&gt;"acoes")))*INDEX(Inputs!$K$5:$AJ$130,0,MATCH(T$2,Inputs!$K$4:$AJ$4,0)))))</f>
        <v>0</v>
      </c>
      <c r="U46" s="6">
        <f>IF(ISNA(MATCH(U$2,Inputs!$K$4:$AJ$4,0)),NA(),IF(SUMPRODUCT((Inputs!$A$5:$A$130=$B46)*ISNUMBER(INDEX(Inputs!$K$5:$AJ$130,0,MATCH(U$2,Inputs!$K$4:$AJ$4,0))))+SUMPRODUCT((Inputs!$C$5:$C$130=$B46)*ISNUMBER(INDEX(Inputs!$K$5:$AJ$130,0,MATCH(U$2,Inputs!$K$4:$AJ$4,0))))+SUMPRODUCT((Inputs!$E$5:$E$130=$B46)*ISNUMBER(INDEX(Inputs!$K$5:$AJ$130,0,MATCH(U$2,Inputs!$K$4:$AJ$4,0))))=0,NA(),SUMPRODUCT((Inputs!$A$5:$A$130=$B46)*Inputs!$B$5:$B$130*(((Inputs!$G$5:$G$130="moeda")+(Inputs!$G$5:$G$130="acoes"))*Inputs!$B$1+((Inputs!$G$5:$G$130&lt;&gt;"moeda")*(Inputs!$G$5:$G$130&lt;&gt;"acoes")))*INDEX(Inputs!$K$5:$AJ$130,0,MATCH(U$2,Inputs!$K$4:$AJ$4,0)))+SUMPRODUCT((Inputs!$C$5:$C$130=$B46)*Inputs!$D$5:$D$130*(((Inputs!$G$5:$G$130="moeda")+(Inputs!$G$5:$G$130="acoes"))*Inputs!$B$1+((Inputs!$G$5:$G$130&lt;&gt;"moeda")*(Inputs!$G$5:$G$130&lt;&gt;"acoes")))*INDEX(Inputs!$K$5:$AJ$130,0,MATCH(U$2,Inputs!$K$4:$AJ$4,0)))+SUMPRODUCT((Inputs!$E$5:$E$130=$B46)*Inputs!$F$5:$F$130*(((Inputs!$G$5:$G$130="moeda")+(Inputs!$G$5:$G$130="acoes"))*Inputs!$B$1+((Inputs!$G$5:$G$130&lt;&gt;"moeda")*(Inputs!$G$5:$G$130&lt;&gt;"acoes")))*INDEX(Inputs!$K$5:$AJ$130,0,MATCH(U$2,Inputs!$K$4:$AJ$4,0)))))</f>
        <v>0</v>
      </c>
      <c r="V46" s="6">
        <f>IF(ISNA(MATCH(V$2,Inputs!$K$4:$AJ$4,0)),NA(),IF(SUMPRODUCT((Inputs!$A$5:$A$130=$B46)*ISNUMBER(INDEX(Inputs!$K$5:$AJ$130,0,MATCH(V$2,Inputs!$K$4:$AJ$4,0))))+SUMPRODUCT((Inputs!$C$5:$C$130=$B46)*ISNUMBER(INDEX(Inputs!$K$5:$AJ$130,0,MATCH(V$2,Inputs!$K$4:$AJ$4,0))))+SUMPRODUCT((Inputs!$E$5:$E$130=$B46)*ISNUMBER(INDEX(Inputs!$K$5:$AJ$130,0,MATCH(V$2,Inputs!$K$4:$AJ$4,0))))=0,NA(),SUMPRODUCT((Inputs!$A$5:$A$130=$B46)*Inputs!$B$5:$B$130*(((Inputs!$G$5:$G$130="moeda")+(Inputs!$G$5:$G$130="acoes"))*Inputs!$B$1+((Inputs!$G$5:$G$130&lt;&gt;"moeda")*(Inputs!$G$5:$G$130&lt;&gt;"acoes")))*INDEX(Inputs!$K$5:$AJ$130,0,MATCH(V$2,Inputs!$K$4:$AJ$4,0)))+SUMPRODUCT((Inputs!$C$5:$C$130=$B46)*Inputs!$D$5:$D$130*(((Inputs!$G$5:$G$130="moeda")+(Inputs!$G$5:$G$130="acoes"))*Inputs!$B$1+((Inputs!$G$5:$G$130&lt;&gt;"moeda")*(Inputs!$G$5:$G$130&lt;&gt;"acoes")))*INDEX(Inputs!$K$5:$AJ$130,0,MATCH(V$2,Inputs!$K$4:$AJ$4,0)))+SUMPRODUCT((Inputs!$E$5:$E$130=$B46)*Inputs!$F$5:$F$130*(((Inputs!$G$5:$G$130="moeda")+(Inputs!$G$5:$G$130="acoes"))*Inputs!$B$1+((Inputs!$G$5:$G$130&lt;&gt;"moeda")*(Inputs!$G$5:$G$130&lt;&gt;"acoes")))*INDEX(Inputs!$K$5:$AJ$130,0,MATCH(V$2,Inputs!$K$4:$AJ$4,0)))))</f>
        <v>0</v>
      </c>
      <c r="W46" s="3">
        <f>V46</f>
        <v>0</v>
      </c>
      <c r="X46" s="6">
        <f>IF(ISNA(MATCH(X$2,Inputs!$K$4:$AJ$4,0)),NA(),IF(SUMPRODUCT((Inputs!$A$5:$A$130=$B46)*ISNUMBER(INDEX(Inputs!$K$5:$AJ$130,0,MATCH(X$2,Inputs!$K$4:$AJ$4,0))))+SUMPRODUCT((Inputs!$C$5:$C$130=$B46)*ISNUMBER(INDEX(Inputs!$K$5:$AJ$130,0,MATCH(X$2,Inputs!$K$4:$AJ$4,0))))+SUMPRODUCT((Inputs!$E$5:$E$130=$B46)*ISNUMBER(INDEX(Inputs!$K$5:$AJ$130,0,MATCH(X$2,Inputs!$K$4:$AJ$4,0))))=0,NA(),SUMPRODUCT((Inputs!$A$5:$A$130=$B46)*Inputs!$B$5:$B$130*(((Inputs!$G$5:$G$130="moeda")+(Inputs!$G$5:$G$130="acoes"))*Inputs!$B$1+((Inputs!$G$5:$G$130&lt;&gt;"moeda")*(Inputs!$G$5:$G$130&lt;&gt;"acoes")))*INDEX(Inputs!$K$5:$AJ$130,0,MATCH(X$2,Inputs!$K$4:$AJ$4,0)))+SUMPRODUCT((Inputs!$C$5:$C$130=$B46)*Inputs!$D$5:$D$130*(((Inputs!$G$5:$G$130="moeda")+(Inputs!$G$5:$G$130="acoes"))*Inputs!$B$1+((Inputs!$G$5:$G$130&lt;&gt;"moeda")*(Inputs!$G$5:$G$130&lt;&gt;"acoes")))*INDEX(Inputs!$K$5:$AJ$130,0,MATCH(X$2,Inputs!$K$4:$AJ$4,0)))+SUMPRODUCT((Inputs!$E$5:$E$130=$B46)*Inputs!$F$5:$F$130*(((Inputs!$G$5:$G$130="moeda")+(Inputs!$G$5:$G$130="acoes"))*Inputs!$B$1+((Inputs!$G$5:$G$130&lt;&gt;"moeda")*(Inputs!$G$5:$G$130&lt;&gt;"acoes")))*INDEX(Inputs!$K$5:$AJ$130,0,MATCH(X$2,Inputs!$K$4:$AJ$4,0)))))</f>
        <v>0</v>
      </c>
      <c r="Y46" s="6">
        <f>IF(ISNA(MATCH(Y$2,Inputs!$K$4:$AJ$4,0)),NA(),IF(SUMPRODUCT((Inputs!$A$5:$A$130=$B46)*ISNUMBER(INDEX(Inputs!$K$5:$AJ$130,0,MATCH(Y$2,Inputs!$K$4:$AJ$4,0))))+SUMPRODUCT((Inputs!$C$5:$C$130=$B46)*ISNUMBER(INDEX(Inputs!$K$5:$AJ$130,0,MATCH(Y$2,Inputs!$K$4:$AJ$4,0))))+SUMPRODUCT((Inputs!$E$5:$E$130=$B46)*ISNUMBER(INDEX(Inputs!$K$5:$AJ$130,0,MATCH(Y$2,Inputs!$K$4:$AJ$4,0))))=0,NA(),SUMPRODUCT((Inputs!$A$5:$A$130=$B46)*Inputs!$B$5:$B$130*(((Inputs!$G$5:$G$130="moeda")+(Inputs!$G$5:$G$130="acoes"))*Inputs!$B$1+((Inputs!$G$5:$G$130&lt;&gt;"moeda")*(Inputs!$G$5:$G$130&lt;&gt;"acoes")))*INDEX(Inputs!$K$5:$AJ$130,0,MATCH(Y$2,Inputs!$K$4:$AJ$4,0)))+SUMPRODUCT((Inputs!$C$5:$C$130=$B46)*Inputs!$D$5:$D$130*(((Inputs!$G$5:$G$130="moeda")+(Inputs!$G$5:$G$130="acoes"))*Inputs!$B$1+((Inputs!$G$5:$G$130&lt;&gt;"moeda")*(Inputs!$G$5:$G$130&lt;&gt;"acoes")))*INDEX(Inputs!$K$5:$AJ$130,0,MATCH(Y$2,Inputs!$K$4:$AJ$4,0)))+SUMPRODUCT((Inputs!$E$5:$E$130=$B46)*Inputs!$F$5:$F$130*(((Inputs!$G$5:$G$130="moeda")+(Inputs!$G$5:$G$130="acoes"))*Inputs!$B$1+((Inputs!$G$5:$G$130&lt;&gt;"moeda")*(Inputs!$G$5:$G$130&lt;&gt;"acoes")))*INDEX(Inputs!$K$5:$AJ$130,0,MATCH(Y$2,Inputs!$K$4:$AJ$4,0)))))</f>
        <v>0</v>
      </c>
      <c r="Z46" s="6">
        <f>IF(ISNA(MATCH(Z$2,Inputs!$K$4:$AJ$4,0)),NA(),IF(SUMPRODUCT((Inputs!$A$5:$A$130=$B46)*ISNUMBER(INDEX(Inputs!$K$5:$AJ$130,0,MATCH(Z$2,Inputs!$K$4:$AJ$4,0))))+SUMPRODUCT((Inputs!$C$5:$C$130=$B46)*ISNUMBER(INDEX(Inputs!$K$5:$AJ$130,0,MATCH(Z$2,Inputs!$K$4:$AJ$4,0))))+SUMPRODUCT((Inputs!$E$5:$E$130=$B46)*ISNUMBER(INDEX(Inputs!$K$5:$AJ$130,0,MATCH(Z$2,Inputs!$K$4:$AJ$4,0))))=0,NA(),SUMPRODUCT((Inputs!$A$5:$A$130=$B46)*Inputs!$B$5:$B$130*(((Inputs!$G$5:$G$130="moeda")+(Inputs!$G$5:$G$130="acoes"))*Inputs!$B$1+((Inputs!$G$5:$G$130&lt;&gt;"moeda")*(Inputs!$G$5:$G$130&lt;&gt;"acoes")))*INDEX(Inputs!$K$5:$AJ$130,0,MATCH(Z$2,Inputs!$K$4:$AJ$4,0)))+SUMPRODUCT((Inputs!$C$5:$C$130=$B46)*Inputs!$D$5:$D$130*(((Inputs!$G$5:$G$130="moeda")+(Inputs!$G$5:$G$130="acoes"))*Inputs!$B$1+((Inputs!$G$5:$G$130&lt;&gt;"moeda")*(Inputs!$G$5:$G$130&lt;&gt;"acoes")))*INDEX(Inputs!$K$5:$AJ$130,0,MATCH(Z$2,Inputs!$K$4:$AJ$4,0)))+SUMPRODUCT((Inputs!$E$5:$E$130=$B46)*Inputs!$F$5:$F$130*(((Inputs!$G$5:$G$130="moeda")+(Inputs!$G$5:$G$130="acoes"))*Inputs!$B$1+((Inputs!$G$5:$G$130&lt;&gt;"moeda")*(Inputs!$G$5:$G$130&lt;&gt;"acoes")))*INDEX(Inputs!$K$5:$AJ$130,0,MATCH(Z$2,Inputs!$K$4:$AJ$4,0)))))</f>
        <v>0</v>
      </c>
      <c r="AA46" s="6">
        <f>IF(ISNA(MATCH(AA$2,Inputs!$K$4:$AJ$4,0)),NA(),IF(SUMPRODUCT((Inputs!$A$5:$A$130=$B46)*ISNUMBER(INDEX(Inputs!$K$5:$AJ$130,0,MATCH(AA$2,Inputs!$K$4:$AJ$4,0))))+SUMPRODUCT((Inputs!$C$5:$C$130=$B46)*ISNUMBER(INDEX(Inputs!$K$5:$AJ$130,0,MATCH(AA$2,Inputs!$K$4:$AJ$4,0))))+SUMPRODUCT((Inputs!$E$5:$E$130=$B46)*ISNUMBER(INDEX(Inputs!$K$5:$AJ$130,0,MATCH(AA$2,Inputs!$K$4:$AJ$4,0))))=0,NA(),SUMPRODUCT((Inputs!$A$5:$A$130=$B46)*Inputs!$B$5:$B$130*(((Inputs!$G$5:$G$130="moeda")+(Inputs!$G$5:$G$130="acoes"))*Inputs!$B$1+((Inputs!$G$5:$G$130&lt;&gt;"moeda")*(Inputs!$G$5:$G$130&lt;&gt;"acoes")))*INDEX(Inputs!$K$5:$AJ$130,0,MATCH(AA$2,Inputs!$K$4:$AJ$4,0)))+SUMPRODUCT((Inputs!$C$5:$C$130=$B46)*Inputs!$D$5:$D$130*(((Inputs!$G$5:$G$130="moeda")+(Inputs!$G$5:$G$130="acoes"))*Inputs!$B$1+((Inputs!$G$5:$G$130&lt;&gt;"moeda")*(Inputs!$G$5:$G$130&lt;&gt;"acoes")))*INDEX(Inputs!$K$5:$AJ$130,0,MATCH(AA$2,Inputs!$K$4:$AJ$4,0)))+SUMPRODUCT((Inputs!$E$5:$E$130=$B46)*Inputs!$F$5:$F$130*(((Inputs!$G$5:$G$130="moeda")+(Inputs!$G$5:$G$130="acoes"))*Inputs!$B$1+((Inputs!$G$5:$G$130&lt;&gt;"moeda")*(Inputs!$G$5:$G$130&lt;&gt;"acoes")))*INDEX(Inputs!$K$5:$AJ$130,0,MATCH(AA$2,Inputs!$K$4:$AJ$4,0)))))</f>
        <v>0</v>
      </c>
      <c r="AB46" s="3">
        <f>AA46</f>
        <v>0</v>
      </c>
      <c r="AC46" s="6">
        <f>IF(ISNA(MATCH(AC$2,Inputs!$K$4:$AJ$4,0)),NA(),IF(SUMPRODUCT((Inputs!$A$5:$A$130=$B46)*ISNUMBER(INDEX(Inputs!$K$5:$AJ$130,0,MATCH(AC$2,Inputs!$K$4:$AJ$4,0))))+SUMPRODUCT((Inputs!$C$5:$C$130=$B46)*ISNUMBER(INDEX(Inputs!$K$5:$AJ$130,0,MATCH(AC$2,Inputs!$K$4:$AJ$4,0))))+SUMPRODUCT((Inputs!$E$5:$E$130=$B46)*ISNUMBER(INDEX(Inputs!$K$5:$AJ$130,0,MATCH(AC$2,Inputs!$K$4:$AJ$4,0))))=0,NA(),SUMPRODUCT((Inputs!$A$5:$A$130=$B46)*Inputs!$B$5:$B$130*(((Inputs!$G$5:$G$130="moeda")+(Inputs!$G$5:$G$130="acoes"))*Inputs!$B$1+((Inputs!$G$5:$G$130&lt;&gt;"moeda")*(Inputs!$G$5:$G$130&lt;&gt;"acoes")))*INDEX(Inputs!$K$5:$AJ$130,0,MATCH(AC$2,Inputs!$K$4:$AJ$4,0)))+SUMPRODUCT((Inputs!$C$5:$C$130=$B46)*Inputs!$D$5:$D$130*(((Inputs!$G$5:$G$130="moeda")+(Inputs!$G$5:$G$130="acoes"))*Inputs!$B$1+((Inputs!$G$5:$G$130&lt;&gt;"moeda")*(Inputs!$G$5:$G$130&lt;&gt;"acoes")))*INDEX(Inputs!$K$5:$AJ$130,0,MATCH(AC$2,Inputs!$K$4:$AJ$4,0)))+SUMPRODUCT((Inputs!$E$5:$E$130=$B46)*Inputs!$F$5:$F$130*(((Inputs!$G$5:$G$130="moeda")+(Inputs!$G$5:$G$130="acoes"))*Inputs!$B$1+((Inputs!$G$5:$G$130&lt;&gt;"moeda")*(Inputs!$G$5:$G$130&lt;&gt;"acoes")))*INDEX(Inputs!$K$5:$AJ$130,0,MATCH(AC$2,Inputs!$K$4:$AJ$4,0)))))</f>
        <v>0</v>
      </c>
      <c r="AD46" s="6">
        <f>IF(ISNA(MATCH(AD$2,Inputs!$K$4:$AJ$4,0)),NA(),IF(SUMPRODUCT((Inputs!$A$5:$A$130=$B46)*ISNUMBER(INDEX(Inputs!$K$5:$AJ$130,0,MATCH(AD$2,Inputs!$K$4:$AJ$4,0))))+SUMPRODUCT((Inputs!$C$5:$C$130=$B46)*ISNUMBER(INDEX(Inputs!$K$5:$AJ$130,0,MATCH(AD$2,Inputs!$K$4:$AJ$4,0))))+SUMPRODUCT((Inputs!$E$5:$E$130=$B46)*ISNUMBER(INDEX(Inputs!$K$5:$AJ$130,0,MATCH(AD$2,Inputs!$K$4:$AJ$4,0))))=0,NA(),SUMPRODUCT((Inputs!$A$5:$A$130=$B46)*Inputs!$B$5:$B$130*(((Inputs!$G$5:$G$130="moeda")+(Inputs!$G$5:$G$130="acoes"))*Inputs!$B$1+((Inputs!$G$5:$G$130&lt;&gt;"moeda")*(Inputs!$G$5:$G$130&lt;&gt;"acoes")))*INDEX(Inputs!$K$5:$AJ$130,0,MATCH(AD$2,Inputs!$K$4:$AJ$4,0)))+SUMPRODUCT((Inputs!$C$5:$C$130=$B46)*Inputs!$D$5:$D$130*(((Inputs!$G$5:$G$130="moeda")+(Inputs!$G$5:$G$130="acoes"))*Inputs!$B$1+((Inputs!$G$5:$G$130&lt;&gt;"moeda")*(Inputs!$G$5:$G$130&lt;&gt;"acoes")))*INDEX(Inputs!$K$5:$AJ$130,0,MATCH(AD$2,Inputs!$K$4:$AJ$4,0)))+SUMPRODUCT((Inputs!$E$5:$E$130=$B46)*Inputs!$F$5:$F$130*(((Inputs!$G$5:$G$130="moeda")+(Inputs!$G$5:$G$130="acoes"))*Inputs!$B$1+((Inputs!$G$5:$G$130&lt;&gt;"moeda")*(Inputs!$G$5:$G$130&lt;&gt;"acoes")))*INDEX(Inputs!$K$5:$AJ$130,0,MATCH(AD$2,Inputs!$K$4:$AJ$4,0)))))</f>
        <v>0</v>
      </c>
      <c r="AE46" s="6" t="e">
        <f>IF(ISNA(MATCH(AE$2,Inputs!$K$4:$AJ$4,0)),NA(),IF(SUMPRODUCT((Inputs!$A$5:$A$130=$B46)*ISNUMBER(INDEX(Inputs!$K$5:$AJ$130,0,MATCH(AE$2,Inputs!$K$4:$AJ$4,0))))+SUMPRODUCT((Inputs!$C$5:$C$130=$B46)*ISNUMBER(INDEX(Inputs!$K$5:$AJ$130,0,MATCH(AE$2,Inputs!$K$4:$AJ$4,0))))+SUMPRODUCT((Inputs!$E$5:$E$130=$B46)*ISNUMBER(INDEX(Inputs!$K$5:$AJ$130,0,MATCH(AE$2,Inputs!$K$4:$AJ$4,0))))=0,NA(),SUMPRODUCT((Inputs!$A$5:$A$130=$B46)*Inputs!$B$5:$B$130*(((Inputs!$G$5:$G$130="moeda")+(Inputs!$G$5:$G$130="acoes"))*Inputs!$B$1+((Inputs!$G$5:$G$130&lt;&gt;"moeda")*(Inputs!$G$5:$G$130&lt;&gt;"acoes")))*INDEX(Inputs!$K$5:$AJ$130,0,MATCH(AE$2,Inputs!$K$4:$AJ$4,0)))+SUMPRODUCT((Inputs!$C$5:$C$130=$B46)*Inputs!$D$5:$D$130*(((Inputs!$G$5:$G$130="moeda")+(Inputs!$G$5:$G$130="acoes"))*Inputs!$B$1+((Inputs!$G$5:$G$130&lt;&gt;"moeda")*(Inputs!$G$5:$G$130&lt;&gt;"acoes")))*INDEX(Inputs!$K$5:$AJ$130,0,MATCH(AE$2,Inputs!$K$4:$AJ$4,0)))+SUMPRODUCT((Inputs!$E$5:$E$130=$B46)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6" s="6" t="e">
        <f>IF(ISNA(MATCH(AF$2,Inputs!$K$4:$AJ$4,0)),NA(),IF(SUMPRODUCT((Inputs!$A$5:$A$130=$B46)*ISNUMBER(INDEX(Inputs!$K$5:$AJ$130,0,MATCH(AF$2,Inputs!$K$4:$AJ$4,0))))+SUMPRODUCT((Inputs!$C$5:$C$130=$B46)*ISNUMBER(INDEX(Inputs!$K$5:$AJ$130,0,MATCH(AF$2,Inputs!$K$4:$AJ$4,0))))+SUMPRODUCT((Inputs!$E$5:$E$130=$B46)*ISNUMBER(INDEX(Inputs!$K$5:$AJ$130,0,MATCH(AF$2,Inputs!$K$4:$AJ$4,0))))=0,NA(),SUMPRODUCT((Inputs!$A$5:$A$130=$B46)*Inputs!$B$5:$B$130*(((Inputs!$G$5:$G$130="moeda")+(Inputs!$G$5:$G$130="acoes"))*Inputs!$B$1+((Inputs!$G$5:$G$130&lt;&gt;"moeda")*(Inputs!$G$5:$G$130&lt;&gt;"acoes")))*INDEX(Inputs!$K$5:$AJ$130,0,MATCH(AF$2,Inputs!$K$4:$AJ$4,0)))+SUMPRODUCT((Inputs!$C$5:$C$130=$B46)*Inputs!$D$5:$D$130*(((Inputs!$G$5:$G$130="moeda")+(Inputs!$G$5:$G$130="acoes"))*Inputs!$B$1+((Inputs!$G$5:$G$130&lt;&gt;"moeda")*(Inputs!$G$5:$G$130&lt;&gt;"acoes")))*INDEX(Inputs!$K$5:$AJ$130,0,MATCH(AF$2,Inputs!$K$4:$AJ$4,0)))+SUMPRODUCT((Inputs!$E$5:$E$130=$B46)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6" s="3" t="e">
        <f>AF46</f>
        <v>#N/A</v>
      </c>
      <c r="AH46" s="6">
        <f>IF(ISNA(MATCH(AH$2,Inputs!$K$4:$AJ$4,0)),NA(),IF(SUMPRODUCT((Inputs!$A$5:$A$130=$B46)*ISNUMBER(INDEX(Inputs!$K$5:$AJ$130,0,MATCH(AH$2,Inputs!$K$4:$AJ$4,0))))+SUMPRODUCT((Inputs!$C$5:$C$130=$B46)*ISNUMBER(INDEX(Inputs!$K$5:$AJ$130,0,MATCH(AH$2,Inputs!$K$4:$AJ$4,0))))+SUMPRODUCT((Inputs!$E$5:$E$130=$B46)*ISNUMBER(INDEX(Inputs!$K$5:$AJ$130,0,MATCH(AH$2,Inputs!$K$4:$AJ$4,0))))=0,NA(),SUMPRODUCT((Inputs!$A$5:$A$130=$B46)*Inputs!$B$5:$B$130*(((Inputs!$G$5:$G$130="moeda")+(Inputs!$G$5:$G$130="acoes"))*Inputs!$B$1+((Inputs!$G$5:$G$130&lt;&gt;"moeda")*(Inputs!$G$5:$G$130&lt;&gt;"acoes")))*INDEX(Inputs!$K$5:$AJ$130,0,MATCH(AH$2,Inputs!$K$4:$AJ$4,0)))+SUMPRODUCT((Inputs!$C$5:$C$130=$B46)*Inputs!$D$5:$D$130*(((Inputs!$G$5:$G$130="moeda")+(Inputs!$G$5:$G$130="acoes"))*Inputs!$B$1+((Inputs!$G$5:$G$130&lt;&gt;"moeda")*(Inputs!$G$5:$G$130&lt;&gt;"acoes")))*INDEX(Inputs!$K$5:$AJ$130,0,MATCH(AH$2,Inputs!$K$4:$AJ$4,0)))+SUMPRODUCT((Inputs!$E$5:$E$130=$B46)*Inputs!$F$5:$F$130*(((Inputs!$G$5:$G$130="moeda")+(Inputs!$G$5:$G$130="acoes"))*Inputs!$B$1+((Inputs!$G$5:$G$130&lt;&gt;"moeda")*(Inputs!$G$5:$G$130&lt;&gt;"acoes")))*INDEX(Inputs!$K$5:$AJ$130,0,MATCH(AH$2,Inputs!$K$4:$AJ$4,0)))))</f>
        <v>0</v>
      </c>
      <c r="AI46" s="6">
        <f>IF(ISNA(MATCH(AI$2,Inputs!$K$4:$AJ$4,0)),NA(),IF(SUMPRODUCT((Inputs!$A$5:$A$130=$B46)*ISNUMBER(INDEX(Inputs!$K$5:$AJ$130,0,MATCH(AI$2,Inputs!$K$4:$AJ$4,0))))+SUMPRODUCT((Inputs!$C$5:$C$130=$B46)*ISNUMBER(INDEX(Inputs!$K$5:$AJ$130,0,MATCH(AI$2,Inputs!$K$4:$AJ$4,0))))+SUMPRODUCT((Inputs!$E$5:$E$130=$B46)*ISNUMBER(INDEX(Inputs!$K$5:$AJ$130,0,MATCH(AI$2,Inputs!$K$4:$AJ$4,0))))=0,NA(),SUMPRODUCT((Inputs!$A$5:$A$130=$B46)*Inputs!$B$5:$B$130*(((Inputs!$G$5:$G$130="moeda")+(Inputs!$G$5:$G$130="acoes"))*Inputs!$B$1+((Inputs!$G$5:$G$130&lt;&gt;"moeda")*(Inputs!$G$5:$G$130&lt;&gt;"acoes")))*INDEX(Inputs!$K$5:$AJ$130,0,MATCH(AI$2,Inputs!$K$4:$AJ$4,0)))+SUMPRODUCT((Inputs!$C$5:$C$130=$B46)*Inputs!$D$5:$D$130*(((Inputs!$G$5:$G$130="moeda")+(Inputs!$G$5:$G$130="acoes"))*Inputs!$B$1+((Inputs!$G$5:$G$130&lt;&gt;"moeda")*(Inputs!$G$5:$G$130&lt;&gt;"acoes")))*INDEX(Inputs!$K$5:$AJ$130,0,MATCH(AI$2,Inputs!$K$4:$AJ$4,0)))+SUMPRODUCT((Inputs!$E$5:$E$130=$B46)*Inputs!$F$5:$F$130*(((Inputs!$G$5:$G$130="moeda")+(Inputs!$G$5:$G$130="acoes"))*Inputs!$B$1+((Inputs!$G$5:$G$130&lt;&gt;"moeda")*(Inputs!$G$5:$G$130&lt;&gt;"acoes")))*INDEX(Inputs!$K$5:$AJ$130,0,MATCH(AI$2,Inputs!$K$4:$AJ$4,0)))))</f>
        <v>0</v>
      </c>
      <c r="AJ46" s="6">
        <f>IF(ISNA(MATCH(AJ$2,Inputs!$K$4:$AJ$4,0)),NA(),IF(SUMPRODUCT((Inputs!$A$5:$A$130=$B46)*ISNUMBER(INDEX(Inputs!$K$5:$AJ$130,0,MATCH(AJ$2,Inputs!$K$4:$AJ$4,0))))+SUMPRODUCT((Inputs!$C$5:$C$130=$B46)*ISNUMBER(INDEX(Inputs!$K$5:$AJ$130,0,MATCH(AJ$2,Inputs!$K$4:$AJ$4,0))))+SUMPRODUCT((Inputs!$E$5:$E$130=$B46)*ISNUMBER(INDEX(Inputs!$K$5:$AJ$130,0,MATCH(AJ$2,Inputs!$K$4:$AJ$4,0))))=0,NA(),SUMPRODUCT((Inputs!$A$5:$A$130=$B46)*Inputs!$B$5:$B$130*(((Inputs!$G$5:$G$130="moeda")+(Inputs!$G$5:$G$130="acoes"))*Inputs!$B$1+((Inputs!$G$5:$G$130&lt;&gt;"moeda")*(Inputs!$G$5:$G$130&lt;&gt;"acoes")))*INDEX(Inputs!$K$5:$AJ$130,0,MATCH(AJ$2,Inputs!$K$4:$AJ$4,0)))+SUMPRODUCT((Inputs!$C$5:$C$130=$B46)*Inputs!$D$5:$D$130*(((Inputs!$G$5:$G$130="moeda")+(Inputs!$G$5:$G$130="acoes"))*Inputs!$B$1+((Inputs!$G$5:$G$130&lt;&gt;"moeda")*(Inputs!$G$5:$G$130&lt;&gt;"acoes")))*INDEX(Inputs!$K$5:$AJ$130,0,MATCH(AJ$2,Inputs!$K$4:$AJ$4,0)))+SUMPRODUCT((Inputs!$E$5:$E$130=$B46)*Inputs!$F$5:$F$130*(((Inputs!$G$5:$G$130="moeda")+(Inputs!$G$5:$G$130="acoes"))*Inputs!$B$1+((Inputs!$G$5:$G$130&lt;&gt;"moeda")*(Inputs!$G$5:$G$130&lt;&gt;"acoes")))*INDEX(Inputs!$K$5:$AJ$130,0,MATCH(AJ$2,Inputs!$K$4:$AJ$4,0)))))</f>
        <v>0</v>
      </c>
      <c r="AK46" s="6">
        <f>IF(ISNA(MATCH(AK$2,Inputs!$K$4:$AJ$4,0)),NA(),IF(SUMPRODUCT((Inputs!$A$5:$A$130=$B46)*ISNUMBER(INDEX(Inputs!$K$5:$AJ$130,0,MATCH(AK$2,Inputs!$K$4:$AJ$4,0))))+SUMPRODUCT((Inputs!$C$5:$C$130=$B46)*ISNUMBER(INDEX(Inputs!$K$5:$AJ$130,0,MATCH(AK$2,Inputs!$K$4:$AJ$4,0))))+SUMPRODUCT((Inputs!$E$5:$E$130=$B46)*ISNUMBER(INDEX(Inputs!$K$5:$AJ$130,0,MATCH(AK$2,Inputs!$K$4:$AJ$4,0))))=0,NA(),SUMPRODUCT((Inputs!$A$5:$A$130=$B46)*Inputs!$B$5:$B$130*(((Inputs!$G$5:$G$130="moeda")+(Inputs!$G$5:$G$130="acoes"))*Inputs!$B$1+((Inputs!$G$5:$G$130&lt;&gt;"moeda")*(Inputs!$G$5:$G$130&lt;&gt;"acoes")))*INDEX(Inputs!$K$5:$AJ$130,0,MATCH(AK$2,Inputs!$K$4:$AJ$4,0)))+SUMPRODUCT((Inputs!$C$5:$C$130=$B46)*Inputs!$D$5:$D$130*(((Inputs!$G$5:$G$130="moeda")+(Inputs!$G$5:$G$130="acoes"))*Inputs!$B$1+((Inputs!$G$5:$G$130&lt;&gt;"moeda")*(Inputs!$G$5:$G$130&lt;&gt;"acoes")))*INDEX(Inputs!$K$5:$AJ$130,0,MATCH(AK$2,Inputs!$K$4:$AJ$4,0)))+SUMPRODUCT((Inputs!$E$5:$E$130=$B46)*Inputs!$F$5:$F$130*(((Inputs!$G$5:$G$130="moeda")+(Inputs!$G$5:$G$130="acoes"))*Inputs!$B$1+((Inputs!$G$5:$G$130&lt;&gt;"moeda")*(Inputs!$G$5:$G$130&lt;&gt;"acoes")))*INDEX(Inputs!$K$5:$AJ$130,0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$130=$B47)*ISNUMBER(INDEX(Inputs!$K$5:$AJ$130,0,MATCH(D$2,Inputs!$K$4:$AJ$4,0))))+SUMPRODUCT((Inputs!$C$5:$C$130=$B47)*ISNUMBER(INDEX(Inputs!$K$5:$AJ$130,0,MATCH(D$2,Inputs!$K$4:$AJ$4,0))))+SUMPRODUCT((Inputs!$E$5:$E$130=$B47)*ISNUMBER(INDEX(Inputs!$K$5:$AJ$130,0,MATCH(D$2,Inputs!$K$4:$AJ$4,0))))=0,NA(),SUMPRODUCT((Inputs!$A$5:$A$130=$B47)*Inputs!$B$5:$B$130*(((Inputs!$G$5:$G$130="moeda")+(Inputs!$G$5:$G$130="acoes"))*Inputs!$B$1+((Inputs!$G$5:$G$130&lt;&gt;"moeda")*(Inputs!$G$5:$G$130&lt;&gt;"acoes")))*INDEX(Inputs!$K$5:$AJ$130,0,MATCH(D$2,Inputs!$K$4:$AJ$4,0)))+SUMPRODUCT((Inputs!$C$5:$C$130=$B47)*Inputs!$D$5:$D$130*(((Inputs!$G$5:$G$130="moeda")+(Inputs!$G$5:$G$130="acoes"))*Inputs!$B$1+((Inputs!$G$5:$G$130&lt;&gt;"moeda")*(Inputs!$G$5:$G$130&lt;&gt;"acoes")))*INDEX(Inputs!$K$5:$AJ$130,0,MATCH(D$2,Inputs!$K$4:$AJ$4,0)))+SUMPRODUCT((Inputs!$E$5:$E$130=$B47)*Inputs!$F$5:$F$130*(((Inputs!$G$5:$G$130="moeda")+(Inputs!$G$5:$G$130="acoes"))*Inputs!$B$1+((Inputs!$G$5:$G$130&lt;&gt;"moeda")*(Inputs!$G$5:$G$130&lt;&gt;"acoes")))*INDEX(Inputs!$K$5:$AJ$130,0,MATCH(D$2,Inputs!$K$4:$AJ$4,0)))))</f>
        <v>34105</v>
      </c>
      <c r="E47" s="6">
        <f>IF(ISNA(MATCH(E$2,Inputs!$K$4:$AJ$4,0)),NA(),IF(SUMPRODUCT((Inputs!$A$5:$A$130=$B47)*ISNUMBER(INDEX(Inputs!$K$5:$AJ$130,0,MATCH(E$2,Inputs!$K$4:$AJ$4,0))))+SUMPRODUCT((Inputs!$C$5:$C$130=$B47)*ISNUMBER(INDEX(Inputs!$K$5:$AJ$130,0,MATCH(E$2,Inputs!$K$4:$AJ$4,0))))+SUMPRODUCT((Inputs!$E$5:$E$130=$B47)*ISNUMBER(INDEX(Inputs!$K$5:$AJ$130,0,MATCH(E$2,Inputs!$K$4:$AJ$4,0))))=0,NA(),SUMPRODUCT((Inputs!$A$5:$A$130=$B47)*Inputs!$B$5:$B$130*(((Inputs!$G$5:$G$130="moeda")+(Inputs!$G$5:$G$130="acoes"))*Inputs!$B$1+((Inputs!$G$5:$G$130&lt;&gt;"moeda")*(Inputs!$G$5:$G$130&lt;&gt;"acoes")))*INDEX(Inputs!$K$5:$AJ$130,0,MATCH(E$2,Inputs!$K$4:$AJ$4,0)))+SUMPRODUCT((Inputs!$C$5:$C$130=$B47)*Inputs!$D$5:$D$130*(((Inputs!$G$5:$G$130="moeda")+(Inputs!$G$5:$G$130="acoes"))*Inputs!$B$1+((Inputs!$G$5:$G$130&lt;&gt;"moeda")*(Inputs!$G$5:$G$130&lt;&gt;"acoes")))*INDEX(Inputs!$K$5:$AJ$130,0,MATCH(E$2,Inputs!$K$4:$AJ$4,0)))+SUMPRODUCT((Inputs!$E$5:$E$130=$B47)*Inputs!$F$5:$F$130*(((Inputs!$G$5:$G$130="moeda")+(Inputs!$G$5:$G$130="acoes"))*Inputs!$B$1+((Inputs!$G$5:$G$130&lt;&gt;"moeda")*(Inputs!$G$5:$G$130&lt;&gt;"acoes")))*INDEX(Inputs!$K$5:$AJ$130,0,MATCH(E$2,Inputs!$K$4:$AJ$4,0)))))</f>
        <v>35491</v>
      </c>
      <c r="F47" s="6">
        <f>IF(ISNA(MATCH(F$2,Inputs!$K$4:$AJ$4,0)),NA(),IF(SUMPRODUCT((Inputs!$A$5:$A$130=$B47)*ISNUMBER(INDEX(Inputs!$K$5:$AJ$130,0,MATCH(F$2,Inputs!$K$4:$AJ$4,0))))+SUMPRODUCT((Inputs!$C$5:$C$130=$B47)*ISNUMBER(INDEX(Inputs!$K$5:$AJ$130,0,MATCH(F$2,Inputs!$K$4:$AJ$4,0))))+SUMPRODUCT((Inputs!$E$5:$E$130=$B47)*ISNUMBER(INDEX(Inputs!$K$5:$AJ$130,0,MATCH(F$2,Inputs!$K$4:$AJ$4,0))))=0,NA(),SUMPRODUCT((Inputs!$A$5:$A$130=$B47)*Inputs!$B$5:$B$130*(((Inputs!$G$5:$G$130="moeda")+(Inputs!$G$5:$G$130="acoes"))*Inputs!$B$1+((Inputs!$G$5:$G$130&lt;&gt;"moeda")*(Inputs!$G$5:$G$130&lt;&gt;"acoes")))*INDEX(Inputs!$K$5:$AJ$130,0,MATCH(F$2,Inputs!$K$4:$AJ$4,0)))+SUMPRODUCT((Inputs!$C$5:$C$130=$B47)*Inputs!$D$5:$D$130*(((Inputs!$G$5:$G$130="moeda")+(Inputs!$G$5:$G$130="acoes"))*Inputs!$B$1+((Inputs!$G$5:$G$130&lt;&gt;"moeda")*(Inputs!$G$5:$G$130&lt;&gt;"acoes")))*INDEX(Inputs!$K$5:$AJ$130,0,MATCH(F$2,Inputs!$K$4:$AJ$4,0)))+SUMPRODUCT((Inputs!$E$5:$E$130=$B47)*Inputs!$F$5:$F$130*(((Inputs!$G$5:$G$130="moeda")+(Inputs!$G$5:$G$130="acoes"))*Inputs!$B$1+((Inputs!$G$5:$G$130&lt;&gt;"moeda")*(Inputs!$G$5:$G$130&lt;&gt;"acoes")))*INDEX(Inputs!$K$5:$AJ$130,0,MATCH(F$2,Inputs!$K$4:$AJ$4,0)))))</f>
        <v>36449</v>
      </c>
      <c r="G47" s="6">
        <f>IF(ISNA(MATCH(G$2,Inputs!$K$4:$AJ$4,0)),NA(),IF(SUMPRODUCT((Inputs!$A$5:$A$130=$B47)*ISNUMBER(INDEX(Inputs!$K$5:$AJ$130,0,MATCH(G$2,Inputs!$K$4:$AJ$4,0))))+SUMPRODUCT((Inputs!$C$5:$C$130=$B47)*ISNUMBER(INDEX(Inputs!$K$5:$AJ$130,0,MATCH(G$2,Inputs!$K$4:$AJ$4,0))))+SUMPRODUCT((Inputs!$E$5:$E$130=$B47)*ISNUMBER(INDEX(Inputs!$K$5:$AJ$130,0,MATCH(G$2,Inputs!$K$4:$AJ$4,0))))=0,NA(),SUMPRODUCT((Inputs!$A$5:$A$130=$B47)*Inputs!$B$5:$B$130*(((Inputs!$G$5:$G$130="moeda")+(Inputs!$G$5:$G$130="acoes"))*Inputs!$B$1+((Inputs!$G$5:$G$130&lt;&gt;"moeda")*(Inputs!$G$5:$G$130&lt;&gt;"acoes")))*INDEX(Inputs!$K$5:$AJ$130,0,MATCH(G$2,Inputs!$K$4:$AJ$4,0)))+SUMPRODUCT((Inputs!$C$5:$C$130=$B47)*Inputs!$D$5:$D$130*(((Inputs!$G$5:$G$130="moeda")+(Inputs!$G$5:$G$130="acoes"))*Inputs!$B$1+((Inputs!$G$5:$G$130&lt;&gt;"moeda")*(Inputs!$G$5:$G$130&lt;&gt;"acoes")))*INDEX(Inputs!$K$5:$AJ$130,0,MATCH(G$2,Inputs!$K$4:$AJ$4,0)))+SUMPRODUCT((Inputs!$E$5:$E$130=$B47)*Inputs!$F$5:$F$130*(((Inputs!$G$5:$G$130="moeda")+(Inputs!$G$5:$G$130="acoes"))*Inputs!$B$1+((Inputs!$G$5:$G$130&lt;&gt;"moeda")*(Inputs!$G$5:$G$130&lt;&gt;"acoes")))*INDEX(Inputs!$K$5:$AJ$130,0,MATCH(G$2,Inputs!$K$4:$AJ$4,0)))))</f>
        <v>37029</v>
      </c>
      <c r="H47" s="3">
        <f>G47</f>
        <v>37029</v>
      </c>
      <c r="I47" s="6">
        <f>IF(ISNA(MATCH(I$2,Inputs!$K$4:$AJ$4,0)),NA(),IF(SUMPRODUCT((Inputs!$A$5:$A$130=$B47)*ISNUMBER(INDEX(Inputs!$K$5:$AJ$130,0,MATCH(I$2,Inputs!$K$4:$AJ$4,0))))+SUMPRODUCT((Inputs!$C$5:$C$130=$B47)*ISNUMBER(INDEX(Inputs!$K$5:$AJ$130,0,MATCH(I$2,Inputs!$K$4:$AJ$4,0))))+SUMPRODUCT((Inputs!$E$5:$E$130=$B47)*ISNUMBER(INDEX(Inputs!$K$5:$AJ$130,0,MATCH(I$2,Inputs!$K$4:$AJ$4,0))))=0,NA(),SUMPRODUCT((Inputs!$A$5:$A$130=$B47)*Inputs!$B$5:$B$130*(((Inputs!$G$5:$G$130="moeda")+(Inputs!$G$5:$G$130="acoes"))*Inputs!$B$1+((Inputs!$G$5:$G$130&lt;&gt;"moeda")*(Inputs!$G$5:$G$130&lt;&gt;"acoes")))*INDEX(Inputs!$K$5:$AJ$130,0,MATCH(I$2,Inputs!$K$4:$AJ$4,0)))+SUMPRODUCT((Inputs!$C$5:$C$130=$B47)*Inputs!$D$5:$D$130*(((Inputs!$G$5:$G$130="moeda")+(Inputs!$G$5:$G$130="acoes"))*Inputs!$B$1+((Inputs!$G$5:$G$130&lt;&gt;"moeda")*(Inputs!$G$5:$G$130&lt;&gt;"acoes")))*INDEX(Inputs!$K$5:$AJ$130,0,MATCH(I$2,Inputs!$K$4:$AJ$4,0)))+SUMPRODUCT((Inputs!$E$5:$E$130=$B47)*Inputs!$F$5:$F$130*(((Inputs!$G$5:$G$130="moeda")+(Inputs!$G$5:$G$130="acoes"))*Inputs!$B$1+((Inputs!$G$5:$G$130&lt;&gt;"moeda")*(Inputs!$G$5:$G$130&lt;&gt;"acoes")))*INDEX(Inputs!$K$5:$AJ$130,0,MATCH(I$2,Inputs!$K$4:$AJ$4,0)))))</f>
        <v>38805</v>
      </c>
      <c r="J47" s="6">
        <f>IF(ISNA(MATCH(J$2,Inputs!$K$4:$AJ$4,0)),NA(),IF(SUMPRODUCT((Inputs!$A$5:$A$130=$B47)*ISNUMBER(INDEX(Inputs!$K$5:$AJ$130,0,MATCH(J$2,Inputs!$K$4:$AJ$4,0))))+SUMPRODUCT((Inputs!$C$5:$C$130=$B47)*ISNUMBER(INDEX(Inputs!$K$5:$AJ$130,0,MATCH(J$2,Inputs!$K$4:$AJ$4,0))))+SUMPRODUCT((Inputs!$E$5:$E$130=$B47)*ISNUMBER(INDEX(Inputs!$K$5:$AJ$130,0,MATCH(J$2,Inputs!$K$4:$AJ$4,0))))=0,NA(),SUMPRODUCT((Inputs!$A$5:$A$130=$B47)*Inputs!$B$5:$B$130*(((Inputs!$G$5:$G$130="moeda")+(Inputs!$G$5:$G$130="acoes"))*Inputs!$B$1+((Inputs!$G$5:$G$130&lt;&gt;"moeda")*(Inputs!$G$5:$G$130&lt;&gt;"acoes")))*INDEX(Inputs!$K$5:$AJ$130,0,MATCH(J$2,Inputs!$K$4:$AJ$4,0)))+SUMPRODUCT((Inputs!$C$5:$C$130=$B47)*Inputs!$D$5:$D$130*(((Inputs!$G$5:$G$130="moeda")+(Inputs!$G$5:$G$130="acoes"))*Inputs!$B$1+((Inputs!$G$5:$G$130&lt;&gt;"moeda")*(Inputs!$G$5:$G$130&lt;&gt;"acoes")))*INDEX(Inputs!$K$5:$AJ$130,0,MATCH(J$2,Inputs!$K$4:$AJ$4,0)))+SUMPRODUCT((Inputs!$E$5:$E$130=$B47)*Inputs!$F$5:$F$130*(((Inputs!$G$5:$G$130="moeda")+(Inputs!$G$5:$G$130="acoes"))*Inputs!$B$1+((Inputs!$G$5:$G$130&lt;&gt;"moeda")*(Inputs!$G$5:$G$130&lt;&gt;"acoes")))*INDEX(Inputs!$K$5:$AJ$130,0,MATCH(J$2,Inputs!$K$4:$AJ$4,0)))))</f>
        <v>40346</v>
      </c>
      <c r="K47" s="6">
        <f>IF(ISNA(MATCH(K$2,Inputs!$K$4:$AJ$4,0)),NA(),IF(SUMPRODUCT((Inputs!$A$5:$A$130=$B47)*ISNUMBER(INDEX(Inputs!$K$5:$AJ$130,0,MATCH(K$2,Inputs!$K$4:$AJ$4,0))))+SUMPRODUCT((Inputs!$C$5:$C$130=$B47)*ISNUMBER(INDEX(Inputs!$K$5:$AJ$130,0,MATCH(K$2,Inputs!$K$4:$AJ$4,0))))+SUMPRODUCT((Inputs!$E$5:$E$130=$B47)*ISNUMBER(INDEX(Inputs!$K$5:$AJ$130,0,MATCH(K$2,Inputs!$K$4:$AJ$4,0))))=0,NA(),SUMPRODUCT((Inputs!$A$5:$A$130=$B47)*Inputs!$B$5:$B$130*(((Inputs!$G$5:$G$130="moeda")+(Inputs!$G$5:$G$130="acoes"))*Inputs!$B$1+((Inputs!$G$5:$G$130&lt;&gt;"moeda")*(Inputs!$G$5:$G$130&lt;&gt;"acoes")))*INDEX(Inputs!$K$5:$AJ$130,0,MATCH(K$2,Inputs!$K$4:$AJ$4,0)))+SUMPRODUCT((Inputs!$C$5:$C$130=$B47)*Inputs!$D$5:$D$130*(((Inputs!$G$5:$G$130="moeda")+(Inputs!$G$5:$G$130="acoes"))*Inputs!$B$1+((Inputs!$G$5:$G$130&lt;&gt;"moeda")*(Inputs!$G$5:$G$130&lt;&gt;"acoes")))*INDEX(Inputs!$K$5:$AJ$130,0,MATCH(K$2,Inputs!$K$4:$AJ$4,0)))+SUMPRODUCT((Inputs!$E$5:$E$130=$B47)*Inputs!$F$5:$F$130*(((Inputs!$G$5:$G$130="moeda")+(Inputs!$G$5:$G$130="acoes"))*Inputs!$B$1+((Inputs!$G$5:$G$130&lt;&gt;"moeda")*(Inputs!$G$5:$G$130&lt;&gt;"acoes")))*INDEX(Inputs!$K$5:$AJ$130,0,MATCH(K$2,Inputs!$K$4:$AJ$4,0)))))</f>
        <v>42247</v>
      </c>
      <c r="L47" s="6">
        <f>IF(ISNA(MATCH(L$2,Inputs!$K$4:$AJ$4,0)),NA(),IF(SUMPRODUCT((Inputs!$A$5:$A$130=$B47)*ISNUMBER(INDEX(Inputs!$K$5:$AJ$130,0,MATCH(L$2,Inputs!$K$4:$AJ$4,0))))+SUMPRODUCT((Inputs!$C$5:$C$130=$B47)*ISNUMBER(INDEX(Inputs!$K$5:$AJ$130,0,MATCH(L$2,Inputs!$K$4:$AJ$4,0))))+SUMPRODUCT((Inputs!$E$5:$E$130=$B47)*ISNUMBER(INDEX(Inputs!$K$5:$AJ$130,0,MATCH(L$2,Inputs!$K$4:$AJ$4,0))))=0,NA(),SUMPRODUCT((Inputs!$A$5:$A$130=$B47)*Inputs!$B$5:$B$130*(((Inputs!$G$5:$G$130="moeda")+(Inputs!$G$5:$G$130="acoes"))*Inputs!$B$1+((Inputs!$G$5:$G$130&lt;&gt;"moeda")*(Inputs!$G$5:$G$130&lt;&gt;"acoes")))*INDEX(Inputs!$K$5:$AJ$130,0,MATCH(L$2,Inputs!$K$4:$AJ$4,0)))+SUMPRODUCT((Inputs!$C$5:$C$130=$B47)*Inputs!$D$5:$D$130*(((Inputs!$G$5:$G$130="moeda")+(Inputs!$G$5:$G$130="acoes"))*Inputs!$B$1+((Inputs!$G$5:$G$130&lt;&gt;"moeda")*(Inputs!$G$5:$G$130&lt;&gt;"acoes")))*INDEX(Inputs!$K$5:$AJ$130,0,MATCH(L$2,Inputs!$K$4:$AJ$4,0)))+SUMPRODUCT((Inputs!$E$5:$E$130=$B47)*Inputs!$F$5:$F$130*(((Inputs!$G$5:$G$130="moeda")+(Inputs!$G$5:$G$130="acoes"))*Inputs!$B$1+((Inputs!$G$5:$G$130&lt;&gt;"moeda")*(Inputs!$G$5:$G$130&lt;&gt;"acoes")))*INDEX(Inputs!$K$5:$AJ$130,0,MATCH(L$2,Inputs!$K$4:$AJ$4,0)))))</f>
        <v>43846</v>
      </c>
      <c r="M47" s="3">
        <f>L47</f>
        <v>43846</v>
      </c>
      <c r="N47" s="6">
        <f>IF(ISNA(MATCH(N$2,Inputs!$K$4:$AJ$4,0)),NA(),IF(SUMPRODUCT((Inputs!$A$5:$A$130=$B47)*ISNUMBER(INDEX(Inputs!$K$5:$AJ$130,0,MATCH(N$2,Inputs!$K$4:$AJ$4,0))))+SUMPRODUCT((Inputs!$C$5:$C$130=$B47)*ISNUMBER(INDEX(Inputs!$K$5:$AJ$130,0,MATCH(N$2,Inputs!$K$4:$AJ$4,0))))+SUMPRODUCT((Inputs!$E$5:$E$130=$B47)*ISNUMBER(INDEX(Inputs!$K$5:$AJ$130,0,MATCH(N$2,Inputs!$K$4:$AJ$4,0))))=0,NA(),SUMPRODUCT((Inputs!$A$5:$A$130=$B47)*Inputs!$B$5:$B$130*(((Inputs!$G$5:$G$130="moeda")+(Inputs!$G$5:$G$130="acoes"))*Inputs!$B$1+((Inputs!$G$5:$G$130&lt;&gt;"moeda")*(Inputs!$G$5:$G$130&lt;&gt;"acoes")))*INDEX(Inputs!$K$5:$AJ$130,0,MATCH(N$2,Inputs!$K$4:$AJ$4,0)))+SUMPRODUCT((Inputs!$C$5:$C$130=$B47)*Inputs!$D$5:$D$130*(((Inputs!$G$5:$G$130="moeda")+(Inputs!$G$5:$G$130="acoes"))*Inputs!$B$1+((Inputs!$G$5:$G$130&lt;&gt;"moeda")*(Inputs!$G$5:$G$130&lt;&gt;"acoes")))*INDEX(Inputs!$K$5:$AJ$130,0,MATCH(N$2,Inputs!$K$4:$AJ$4,0)))+SUMPRODUCT((Inputs!$E$5:$E$130=$B47)*Inputs!$F$5:$F$130*(((Inputs!$G$5:$G$130="moeda")+(Inputs!$G$5:$G$130="acoes"))*Inputs!$B$1+((Inputs!$G$5:$G$130&lt;&gt;"moeda")*(Inputs!$G$5:$G$130&lt;&gt;"acoes")))*INDEX(Inputs!$K$5:$AJ$130,0,MATCH(N$2,Inputs!$K$4:$AJ$4,0)))))</f>
        <v>46336</v>
      </c>
      <c r="O47" s="6">
        <f>IF(ISNA(MATCH(O$2,Inputs!$K$4:$AJ$4,0)),NA(),IF(SUMPRODUCT((Inputs!$A$5:$A$130=$B47)*ISNUMBER(INDEX(Inputs!$K$5:$AJ$130,0,MATCH(O$2,Inputs!$K$4:$AJ$4,0))))+SUMPRODUCT((Inputs!$C$5:$C$130=$B47)*ISNUMBER(INDEX(Inputs!$K$5:$AJ$130,0,MATCH(O$2,Inputs!$K$4:$AJ$4,0))))+SUMPRODUCT((Inputs!$E$5:$E$130=$B47)*ISNUMBER(INDEX(Inputs!$K$5:$AJ$130,0,MATCH(O$2,Inputs!$K$4:$AJ$4,0))))=0,NA(),SUMPRODUCT((Inputs!$A$5:$A$130=$B47)*Inputs!$B$5:$B$130*(((Inputs!$G$5:$G$130="moeda")+(Inputs!$G$5:$G$130="acoes"))*Inputs!$B$1+((Inputs!$G$5:$G$130&lt;&gt;"moeda")*(Inputs!$G$5:$G$130&lt;&gt;"acoes")))*INDEX(Inputs!$K$5:$AJ$130,0,MATCH(O$2,Inputs!$K$4:$AJ$4,0)))+SUMPRODUCT((Inputs!$C$5:$C$130=$B47)*Inputs!$D$5:$D$130*(((Inputs!$G$5:$G$130="moeda")+(Inputs!$G$5:$G$130="acoes"))*Inputs!$B$1+((Inputs!$G$5:$G$130&lt;&gt;"moeda")*(Inputs!$G$5:$G$130&lt;&gt;"acoes")))*INDEX(Inputs!$K$5:$AJ$130,0,MATCH(O$2,Inputs!$K$4:$AJ$4,0)))+SUMPRODUCT((Inputs!$E$5:$E$130=$B47)*Inputs!$F$5:$F$130*(((Inputs!$G$5:$G$130="moeda")+(Inputs!$G$5:$G$130="acoes"))*Inputs!$B$1+((Inputs!$G$5:$G$130&lt;&gt;"moeda")*(Inputs!$G$5:$G$130&lt;&gt;"acoes")))*INDEX(Inputs!$K$5:$AJ$130,0,MATCH(O$2,Inputs!$K$4:$AJ$4,0)))))</f>
        <v>48947</v>
      </c>
      <c r="P47" s="6">
        <f>IF(ISNA(MATCH(P$2,Inputs!$K$4:$AJ$4,0)),NA(),IF(SUMPRODUCT((Inputs!$A$5:$A$130=$B47)*ISNUMBER(INDEX(Inputs!$K$5:$AJ$130,0,MATCH(P$2,Inputs!$K$4:$AJ$4,0))))+SUMPRODUCT((Inputs!$C$5:$C$130=$B47)*ISNUMBER(INDEX(Inputs!$K$5:$AJ$130,0,MATCH(P$2,Inputs!$K$4:$AJ$4,0))))+SUMPRODUCT((Inputs!$E$5:$E$130=$B47)*ISNUMBER(INDEX(Inputs!$K$5:$AJ$130,0,MATCH(P$2,Inputs!$K$4:$AJ$4,0))))=0,NA(),SUMPRODUCT((Inputs!$A$5:$A$130=$B47)*Inputs!$B$5:$B$130*(((Inputs!$G$5:$G$130="moeda")+(Inputs!$G$5:$G$130="acoes"))*Inputs!$B$1+((Inputs!$G$5:$G$130&lt;&gt;"moeda")*(Inputs!$G$5:$G$130&lt;&gt;"acoes")))*INDEX(Inputs!$K$5:$AJ$130,0,MATCH(P$2,Inputs!$K$4:$AJ$4,0)))+SUMPRODUCT((Inputs!$C$5:$C$130=$B47)*Inputs!$D$5:$D$130*(((Inputs!$G$5:$G$130="moeda")+(Inputs!$G$5:$G$130="acoes"))*Inputs!$B$1+((Inputs!$G$5:$G$130&lt;&gt;"moeda")*(Inputs!$G$5:$G$130&lt;&gt;"acoes")))*INDEX(Inputs!$K$5:$AJ$130,0,MATCH(P$2,Inputs!$K$4:$AJ$4,0)))+SUMPRODUCT((Inputs!$E$5:$E$130=$B47)*Inputs!$F$5:$F$130*(((Inputs!$G$5:$G$130="moeda")+(Inputs!$G$5:$G$130="acoes"))*Inputs!$B$1+((Inputs!$G$5:$G$130&lt;&gt;"moeda")*(Inputs!$G$5:$G$130&lt;&gt;"acoes")))*INDEX(Inputs!$K$5:$AJ$130,0,MATCH(P$2,Inputs!$K$4:$AJ$4,0)))))</f>
        <v>50931</v>
      </c>
      <c r="Q47" s="6">
        <f>IF(ISNA(MATCH(Q$2,Inputs!$K$4:$AJ$4,0)),NA(),IF(SUMPRODUCT((Inputs!$A$5:$A$130=$B47)*ISNUMBER(INDEX(Inputs!$K$5:$AJ$130,0,MATCH(Q$2,Inputs!$K$4:$AJ$4,0))))+SUMPRODUCT((Inputs!$C$5:$C$130=$B47)*ISNUMBER(INDEX(Inputs!$K$5:$AJ$130,0,MATCH(Q$2,Inputs!$K$4:$AJ$4,0))))+SUMPRODUCT((Inputs!$E$5:$E$130=$B47)*ISNUMBER(INDEX(Inputs!$K$5:$AJ$130,0,MATCH(Q$2,Inputs!$K$4:$AJ$4,0))))=0,NA(),SUMPRODUCT((Inputs!$A$5:$A$130=$B47)*Inputs!$B$5:$B$130*(((Inputs!$G$5:$G$130="moeda")+(Inputs!$G$5:$G$130="acoes"))*Inputs!$B$1+((Inputs!$G$5:$G$130&lt;&gt;"moeda")*(Inputs!$G$5:$G$130&lt;&gt;"acoes")))*INDEX(Inputs!$K$5:$AJ$130,0,MATCH(Q$2,Inputs!$K$4:$AJ$4,0)))+SUMPRODUCT((Inputs!$C$5:$C$130=$B47)*Inputs!$D$5:$D$130*(((Inputs!$G$5:$G$130="moeda")+(Inputs!$G$5:$G$130="acoes"))*Inputs!$B$1+((Inputs!$G$5:$G$130&lt;&gt;"moeda")*(Inputs!$G$5:$G$130&lt;&gt;"acoes")))*INDEX(Inputs!$K$5:$AJ$130,0,MATCH(Q$2,Inputs!$K$4:$AJ$4,0)))+SUMPRODUCT((Inputs!$E$5:$E$130=$B47)*Inputs!$F$5:$F$130*(((Inputs!$G$5:$G$130="moeda")+(Inputs!$G$5:$G$130="acoes"))*Inputs!$B$1+((Inputs!$G$5:$G$130&lt;&gt;"moeda")*(Inputs!$G$5:$G$130&lt;&gt;"acoes")))*INDEX(Inputs!$K$5:$AJ$130,0,MATCH(Q$2,Inputs!$K$4:$AJ$4,0)))))</f>
        <v>52266</v>
      </c>
      <c r="R47" s="3">
        <f>Q47</f>
        <v>52266</v>
      </c>
      <c r="S47" s="6">
        <f>IF(ISNA(MATCH(S$2,Inputs!$K$4:$AJ$4,0)),NA(),IF(SUMPRODUCT((Inputs!$A$5:$A$130=$B47)*ISNUMBER(INDEX(Inputs!$K$5:$AJ$130,0,MATCH(S$2,Inputs!$K$4:$AJ$4,0))))+SUMPRODUCT((Inputs!$C$5:$C$130=$B47)*ISNUMBER(INDEX(Inputs!$K$5:$AJ$130,0,MATCH(S$2,Inputs!$K$4:$AJ$4,0))))+SUMPRODUCT((Inputs!$E$5:$E$130=$B47)*ISNUMBER(INDEX(Inputs!$K$5:$AJ$130,0,MATCH(S$2,Inputs!$K$4:$AJ$4,0))))=0,NA(),SUMPRODUCT((Inputs!$A$5:$A$130=$B47)*Inputs!$B$5:$B$130*(((Inputs!$G$5:$G$130="moeda")+(Inputs!$G$5:$G$130="acoes"))*Inputs!$B$1+((Inputs!$G$5:$G$130&lt;&gt;"moeda")*(Inputs!$G$5:$G$130&lt;&gt;"acoes")))*INDEX(Inputs!$K$5:$AJ$130,0,MATCH(S$2,Inputs!$K$4:$AJ$4,0)))+SUMPRODUCT((Inputs!$C$5:$C$130=$B47)*Inputs!$D$5:$D$130*(((Inputs!$G$5:$G$130="moeda")+(Inputs!$G$5:$G$130="acoes"))*Inputs!$B$1+((Inputs!$G$5:$G$130&lt;&gt;"moeda")*(Inputs!$G$5:$G$130&lt;&gt;"acoes")))*INDEX(Inputs!$K$5:$AJ$130,0,MATCH(S$2,Inputs!$K$4:$AJ$4,0)))+SUMPRODUCT((Inputs!$E$5:$E$130=$B47)*Inputs!$F$5:$F$130*(((Inputs!$G$5:$G$130="moeda")+(Inputs!$G$5:$G$130="acoes"))*Inputs!$B$1+((Inputs!$G$5:$G$130&lt;&gt;"moeda")*(Inputs!$G$5:$G$130&lt;&gt;"acoes")))*INDEX(Inputs!$K$5:$AJ$130,0,MATCH(S$2,Inputs!$K$4:$AJ$4,0)))))</f>
        <v>54228</v>
      </c>
      <c r="T47" s="6">
        <f>IF(ISNA(MATCH(T$2,Inputs!$K$4:$AJ$4,0)),NA(),IF(SUMPRODUCT((Inputs!$A$5:$A$130=$B47)*ISNUMBER(INDEX(Inputs!$K$5:$AJ$130,0,MATCH(T$2,Inputs!$K$4:$AJ$4,0))))+SUMPRODUCT((Inputs!$C$5:$C$130=$B47)*ISNUMBER(INDEX(Inputs!$K$5:$AJ$130,0,MATCH(T$2,Inputs!$K$4:$AJ$4,0))))+SUMPRODUCT((Inputs!$E$5:$E$130=$B47)*ISNUMBER(INDEX(Inputs!$K$5:$AJ$130,0,MATCH(T$2,Inputs!$K$4:$AJ$4,0))))=0,NA(),SUMPRODUCT((Inputs!$A$5:$A$130=$B47)*Inputs!$B$5:$B$130*(((Inputs!$G$5:$G$130="moeda")+(Inputs!$G$5:$G$130="acoes"))*Inputs!$B$1+((Inputs!$G$5:$G$130&lt;&gt;"moeda")*(Inputs!$G$5:$G$130&lt;&gt;"acoes")))*INDEX(Inputs!$K$5:$AJ$130,0,MATCH(T$2,Inputs!$K$4:$AJ$4,0)))+SUMPRODUCT((Inputs!$C$5:$C$130=$B47)*Inputs!$D$5:$D$130*(((Inputs!$G$5:$G$130="moeda")+(Inputs!$G$5:$G$130="acoes"))*Inputs!$B$1+((Inputs!$G$5:$G$130&lt;&gt;"moeda")*(Inputs!$G$5:$G$130&lt;&gt;"acoes")))*INDEX(Inputs!$K$5:$AJ$130,0,MATCH(T$2,Inputs!$K$4:$AJ$4,0)))+SUMPRODUCT((Inputs!$E$5:$E$130=$B47)*Inputs!$F$5:$F$130*(((Inputs!$G$5:$G$130="moeda")+(Inputs!$G$5:$G$130="acoes"))*Inputs!$B$1+((Inputs!$G$5:$G$130&lt;&gt;"moeda")*(Inputs!$G$5:$G$130&lt;&gt;"acoes")))*INDEX(Inputs!$K$5:$AJ$130,0,MATCH(T$2,Inputs!$K$4:$AJ$4,0)))))</f>
        <v>55559</v>
      </c>
      <c r="U47" s="6">
        <f>IF(ISNA(MATCH(U$2,Inputs!$K$4:$AJ$4,0)),NA(),IF(SUMPRODUCT((Inputs!$A$5:$A$130=$B47)*ISNUMBER(INDEX(Inputs!$K$5:$AJ$130,0,MATCH(U$2,Inputs!$K$4:$AJ$4,0))))+SUMPRODUCT((Inputs!$C$5:$C$130=$B47)*ISNUMBER(INDEX(Inputs!$K$5:$AJ$130,0,MATCH(U$2,Inputs!$K$4:$AJ$4,0))))+SUMPRODUCT((Inputs!$E$5:$E$130=$B47)*ISNUMBER(INDEX(Inputs!$K$5:$AJ$130,0,MATCH(U$2,Inputs!$K$4:$AJ$4,0))))=0,NA(),SUMPRODUCT((Inputs!$A$5:$A$130=$B47)*Inputs!$B$5:$B$130*(((Inputs!$G$5:$G$130="moeda")+(Inputs!$G$5:$G$130="acoes"))*Inputs!$B$1+((Inputs!$G$5:$G$130&lt;&gt;"moeda")*(Inputs!$G$5:$G$130&lt;&gt;"acoes")))*INDEX(Inputs!$K$5:$AJ$130,0,MATCH(U$2,Inputs!$K$4:$AJ$4,0)))+SUMPRODUCT((Inputs!$C$5:$C$130=$B47)*Inputs!$D$5:$D$130*(((Inputs!$G$5:$G$130="moeda")+(Inputs!$G$5:$G$130="acoes"))*Inputs!$B$1+((Inputs!$G$5:$G$130&lt;&gt;"moeda")*(Inputs!$G$5:$G$130&lt;&gt;"acoes")))*INDEX(Inputs!$K$5:$AJ$130,0,MATCH(U$2,Inputs!$K$4:$AJ$4,0)))+SUMPRODUCT((Inputs!$E$5:$E$130=$B47)*Inputs!$F$5:$F$130*(((Inputs!$G$5:$G$130="moeda")+(Inputs!$G$5:$G$130="acoes"))*Inputs!$B$1+((Inputs!$G$5:$G$130&lt;&gt;"moeda")*(Inputs!$G$5:$G$130&lt;&gt;"acoes")))*INDEX(Inputs!$K$5:$AJ$130,0,MATCH(U$2,Inputs!$K$4:$AJ$4,0)))))</f>
        <v>56402</v>
      </c>
      <c r="V47" s="6">
        <f>IF(ISNA(MATCH(V$2,Inputs!$K$4:$AJ$4,0)),NA(),IF(SUMPRODUCT((Inputs!$A$5:$A$130=$B47)*ISNUMBER(INDEX(Inputs!$K$5:$AJ$130,0,MATCH(V$2,Inputs!$K$4:$AJ$4,0))))+SUMPRODUCT((Inputs!$C$5:$C$130=$B47)*ISNUMBER(INDEX(Inputs!$K$5:$AJ$130,0,MATCH(V$2,Inputs!$K$4:$AJ$4,0))))+SUMPRODUCT((Inputs!$E$5:$E$130=$B47)*ISNUMBER(INDEX(Inputs!$K$5:$AJ$130,0,MATCH(V$2,Inputs!$K$4:$AJ$4,0))))=0,NA(),SUMPRODUCT((Inputs!$A$5:$A$130=$B47)*Inputs!$B$5:$B$130*(((Inputs!$G$5:$G$130="moeda")+(Inputs!$G$5:$G$130="acoes"))*Inputs!$B$1+((Inputs!$G$5:$G$130&lt;&gt;"moeda")*(Inputs!$G$5:$G$130&lt;&gt;"acoes")))*INDEX(Inputs!$K$5:$AJ$130,0,MATCH(V$2,Inputs!$K$4:$AJ$4,0)))+SUMPRODUCT((Inputs!$C$5:$C$130=$B47)*Inputs!$D$5:$D$130*(((Inputs!$G$5:$G$130="moeda")+(Inputs!$G$5:$G$130="acoes"))*Inputs!$B$1+((Inputs!$G$5:$G$130&lt;&gt;"moeda")*(Inputs!$G$5:$G$130&lt;&gt;"acoes")))*INDEX(Inputs!$K$5:$AJ$130,0,MATCH(V$2,Inputs!$K$4:$AJ$4,0)))+SUMPRODUCT((Inputs!$E$5:$E$130=$B47)*Inputs!$F$5:$F$130*(((Inputs!$G$5:$G$130="moeda")+(Inputs!$G$5:$G$130="acoes"))*Inputs!$B$1+((Inputs!$G$5:$G$130&lt;&gt;"moeda")*(Inputs!$G$5:$G$130&lt;&gt;"acoes")))*INDEX(Inputs!$K$5:$AJ$130,0,MATCH(V$2,Inputs!$K$4:$AJ$4,0)))))</f>
        <v>56829</v>
      </c>
      <c r="W47" s="3">
        <f>V47</f>
        <v>56829</v>
      </c>
      <c r="X47" s="6">
        <f>IF(ISNA(MATCH(X$2,Inputs!$K$4:$AJ$4,0)),NA(),IF(SUMPRODUCT((Inputs!$A$5:$A$130=$B47)*ISNUMBER(INDEX(Inputs!$K$5:$AJ$130,0,MATCH(X$2,Inputs!$K$4:$AJ$4,0))))+SUMPRODUCT((Inputs!$C$5:$C$130=$B47)*ISNUMBER(INDEX(Inputs!$K$5:$AJ$130,0,MATCH(X$2,Inputs!$K$4:$AJ$4,0))))+SUMPRODUCT((Inputs!$E$5:$E$130=$B47)*ISNUMBER(INDEX(Inputs!$K$5:$AJ$130,0,MATCH(X$2,Inputs!$K$4:$AJ$4,0))))=0,NA(),SUMPRODUCT((Inputs!$A$5:$A$130=$B47)*Inputs!$B$5:$B$130*(((Inputs!$G$5:$G$130="moeda")+(Inputs!$G$5:$G$130="acoes"))*Inputs!$B$1+((Inputs!$G$5:$G$130&lt;&gt;"moeda")*(Inputs!$G$5:$G$130&lt;&gt;"acoes")))*INDEX(Inputs!$K$5:$AJ$130,0,MATCH(X$2,Inputs!$K$4:$AJ$4,0)))+SUMPRODUCT((Inputs!$C$5:$C$130=$B47)*Inputs!$D$5:$D$130*(((Inputs!$G$5:$G$130="moeda")+(Inputs!$G$5:$G$130="acoes"))*Inputs!$B$1+((Inputs!$G$5:$G$130&lt;&gt;"moeda")*(Inputs!$G$5:$G$130&lt;&gt;"acoes")))*INDEX(Inputs!$K$5:$AJ$130,0,MATCH(X$2,Inputs!$K$4:$AJ$4,0)))+SUMPRODUCT((Inputs!$E$5:$E$130=$B47)*Inputs!$F$5:$F$130*(((Inputs!$G$5:$G$130="moeda")+(Inputs!$G$5:$G$130="acoes"))*Inputs!$B$1+((Inputs!$G$5:$G$130&lt;&gt;"moeda")*(Inputs!$G$5:$G$130&lt;&gt;"acoes")))*INDEX(Inputs!$K$5:$AJ$130,0,MATCH(X$2,Inputs!$K$4:$AJ$4,0)))))</f>
        <v>58191</v>
      </c>
      <c r="Y47" s="6">
        <f>IF(ISNA(MATCH(Y$2,Inputs!$K$4:$AJ$4,0)),NA(),IF(SUMPRODUCT((Inputs!$A$5:$A$130=$B47)*ISNUMBER(INDEX(Inputs!$K$5:$AJ$130,0,MATCH(Y$2,Inputs!$K$4:$AJ$4,0))))+SUMPRODUCT((Inputs!$C$5:$C$130=$B47)*ISNUMBER(INDEX(Inputs!$K$5:$AJ$130,0,MATCH(Y$2,Inputs!$K$4:$AJ$4,0))))+SUMPRODUCT((Inputs!$E$5:$E$130=$B47)*ISNUMBER(INDEX(Inputs!$K$5:$AJ$130,0,MATCH(Y$2,Inputs!$K$4:$AJ$4,0))))=0,NA(),SUMPRODUCT((Inputs!$A$5:$A$130=$B47)*Inputs!$B$5:$B$130*(((Inputs!$G$5:$G$130="moeda")+(Inputs!$G$5:$G$130="acoes"))*Inputs!$B$1+((Inputs!$G$5:$G$130&lt;&gt;"moeda")*(Inputs!$G$5:$G$130&lt;&gt;"acoes")))*INDEX(Inputs!$K$5:$AJ$130,0,MATCH(Y$2,Inputs!$K$4:$AJ$4,0)))+SUMPRODUCT((Inputs!$C$5:$C$130=$B47)*Inputs!$D$5:$D$130*(((Inputs!$G$5:$G$130="moeda")+(Inputs!$G$5:$G$130="acoes"))*Inputs!$B$1+((Inputs!$G$5:$G$130&lt;&gt;"moeda")*(Inputs!$G$5:$G$130&lt;&gt;"acoes")))*INDEX(Inputs!$K$5:$AJ$130,0,MATCH(Y$2,Inputs!$K$4:$AJ$4,0)))+SUMPRODUCT((Inputs!$E$5:$E$130=$B47)*Inputs!$F$5:$F$130*(((Inputs!$G$5:$G$130="moeda")+(Inputs!$G$5:$G$130="acoes"))*Inputs!$B$1+((Inputs!$G$5:$G$130&lt;&gt;"moeda")*(Inputs!$G$5:$G$130&lt;&gt;"acoes")))*INDEX(Inputs!$K$5:$AJ$130,0,MATCH(Y$2,Inputs!$K$4:$AJ$4,0)))))</f>
        <v>59023</v>
      </c>
      <c r="Z47" s="6">
        <f>IF(ISNA(MATCH(Z$2,Inputs!$K$4:$AJ$4,0)),NA(),IF(SUMPRODUCT((Inputs!$A$5:$A$130=$B47)*ISNUMBER(INDEX(Inputs!$K$5:$AJ$130,0,MATCH(Z$2,Inputs!$K$4:$AJ$4,0))))+SUMPRODUCT((Inputs!$C$5:$C$130=$B47)*ISNUMBER(INDEX(Inputs!$K$5:$AJ$130,0,MATCH(Z$2,Inputs!$K$4:$AJ$4,0))))+SUMPRODUCT((Inputs!$E$5:$E$130=$B47)*ISNUMBER(INDEX(Inputs!$K$5:$AJ$130,0,MATCH(Z$2,Inputs!$K$4:$AJ$4,0))))=0,NA(),SUMPRODUCT((Inputs!$A$5:$A$130=$B47)*Inputs!$B$5:$B$130*(((Inputs!$G$5:$G$130="moeda")+(Inputs!$G$5:$G$130="acoes"))*Inputs!$B$1+((Inputs!$G$5:$G$130&lt;&gt;"moeda")*(Inputs!$G$5:$G$130&lt;&gt;"acoes")))*INDEX(Inputs!$K$5:$AJ$130,0,MATCH(Z$2,Inputs!$K$4:$AJ$4,0)))+SUMPRODUCT((Inputs!$C$5:$C$130=$B47)*Inputs!$D$5:$D$130*(((Inputs!$G$5:$G$130="moeda")+(Inputs!$G$5:$G$130="acoes"))*Inputs!$B$1+((Inputs!$G$5:$G$130&lt;&gt;"moeda")*(Inputs!$G$5:$G$130&lt;&gt;"acoes")))*INDEX(Inputs!$K$5:$AJ$130,0,MATCH(Z$2,Inputs!$K$4:$AJ$4,0)))+SUMPRODUCT((Inputs!$E$5:$E$130=$B47)*Inputs!$F$5:$F$130*(((Inputs!$G$5:$G$130="moeda")+(Inputs!$G$5:$G$130="acoes"))*Inputs!$B$1+((Inputs!$G$5:$G$130&lt;&gt;"moeda")*(Inputs!$G$5:$G$130&lt;&gt;"acoes")))*INDEX(Inputs!$K$5:$AJ$130,0,MATCH(Z$2,Inputs!$K$4:$AJ$4,0)))))</f>
        <v>59676</v>
      </c>
      <c r="AA47" s="6">
        <f>IF(ISNA(MATCH(AA$2,Inputs!$K$4:$AJ$4,0)),NA(),IF(SUMPRODUCT((Inputs!$A$5:$A$130=$B47)*ISNUMBER(INDEX(Inputs!$K$5:$AJ$130,0,MATCH(AA$2,Inputs!$K$4:$AJ$4,0))))+SUMPRODUCT((Inputs!$C$5:$C$130=$B47)*ISNUMBER(INDEX(Inputs!$K$5:$AJ$130,0,MATCH(AA$2,Inputs!$K$4:$AJ$4,0))))+SUMPRODUCT((Inputs!$E$5:$E$130=$B47)*ISNUMBER(INDEX(Inputs!$K$5:$AJ$130,0,MATCH(AA$2,Inputs!$K$4:$AJ$4,0))))=0,NA(),SUMPRODUCT((Inputs!$A$5:$A$130=$B47)*Inputs!$B$5:$B$130*(((Inputs!$G$5:$G$130="moeda")+(Inputs!$G$5:$G$130="acoes"))*Inputs!$B$1+((Inputs!$G$5:$G$130&lt;&gt;"moeda")*(Inputs!$G$5:$G$130&lt;&gt;"acoes")))*INDEX(Inputs!$K$5:$AJ$130,0,MATCH(AA$2,Inputs!$K$4:$AJ$4,0)))+SUMPRODUCT((Inputs!$C$5:$C$130=$B47)*Inputs!$D$5:$D$130*(((Inputs!$G$5:$G$130="moeda")+(Inputs!$G$5:$G$130="acoes"))*Inputs!$B$1+((Inputs!$G$5:$G$130&lt;&gt;"moeda")*(Inputs!$G$5:$G$130&lt;&gt;"acoes")))*INDEX(Inputs!$K$5:$AJ$130,0,MATCH(AA$2,Inputs!$K$4:$AJ$4,0)))+SUMPRODUCT((Inputs!$E$5:$E$130=$B47)*Inputs!$F$5:$F$130*(((Inputs!$G$5:$G$130="moeda")+(Inputs!$G$5:$G$130="acoes"))*Inputs!$B$1+((Inputs!$G$5:$G$130&lt;&gt;"moeda")*(Inputs!$G$5:$G$130&lt;&gt;"acoes")))*INDEX(Inputs!$K$5:$AJ$130,0,MATCH(AA$2,Inputs!$K$4:$AJ$4,0)))))</f>
        <v>59895</v>
      </c>
      <c r="AB47" s="3">
        <f>AA47</f>
        <v>59895</v>
      </c>
      <c r="AC47" s="6">
        <f>IF(ISNA(MATCH(AC$2,Inputs!$K$4:$AJ$4,0)),NA(),IF(SUMPRODUCT((Inputs!$A$5:$A$130=$B47)*ISNUMBER(INDEX(Inputs!$K$5:$AJ$130,0,MATCH(AC$2,Inputs!$K$4:$AJ$4,0))))+SUMPRODUCT((Inputs!$C$5:$C$130=$B47)*ISNUMBER(INDEX(Inputs!$K$5:$AJ$130,0,MATCH(AC$2,Inputs!$K$4:$AJ$4,0))))+SUMPRODUCT((Inputs!$E$5:$E$130=$B47)*ISNUMBER(INDEX(Inputs!$K$5:$AJ$130,0,MATCH(AC$2,Inputs!$K$4:$AJ$4,0))))=0,NA(),SUMPRODUCT((Inputs!$A$5:$A$130=$B47)*Inputs!$B$5:$B$130*(((Inputs!$G$5:$G$130="moeda")+(Inputs!$G$5:$G$130="acoes"))*Inputs!$B$1+((Inputs!$G$5:$G$130&lt;&gt;"moeda")*(Inputs!$G$5:$G$130&lt;&gt;"acoes")))*INDEX(Inputs!$K$5:$AJ$130,0,MATCH(AC$2,Inputs!$K$4:$AJ$4,0)))+SUMPRODUCT((Inputs!$C$5:$C$130=$B47)*Inputs!$D$5:$D$130*(((Inputs!$G$5:$G$130="moeda")+(Inputs!$G$5:$G$130="acoes"))*Inputs!$B$1+((Inputs!$G$5:$G$130&lt;&gt;"moeda")*(Inputs!$G$5:$G$130&lt;&gt;"acoes")))*INDEX(Inputs!$K$5:$AJ$130,0,MATCH(AC$2,Inputs!$K$4:$AJ$4,0)))+SUMPRODUCT((Inputs!$E$5:$E$130=$B47)*Inputs!$F$5:$F$130*(((Inputs!$G$5:$G$130="moeda")+(Inputs!$G$5:$G$130="acoes"))*Inputs!$B$1+((Inputs!$G$5:$G$130&lt;&gt;"moeda")*(Inputs!$G$5:$G$130&lt;&gt;"acoes")))*INDEX(Inputs!$K$5:$AJ$130,0,MATCH(AC$2,Inputs!$K$4:$AJ$4,0)))))</f>
        <v>61228</v>
      </c>
      <c r="AD47" s="6">
        <f>IF(ISNA(MATCH(AD$2,Inputs!$K$4:$AJ$4,0)),NA(),IF(SUMPRODUCT((Inputs!$A$5:$A$130=$B47)*ISNUMBER(INDEX(Inputs!$K$5:$AJ$130,0,MATCH(AD$2,Inputs!$K$4:$AJ$4,0))))+SUMPRODUCT((Inputs!$C$5:$C$130=$B47)*ISNUMBER(INDEX(Inputs!$K$5:$AJ$130,0,MATCH(AD$2,Inputs!$K$4:$AJ$4,0))))+SUMPRODUCT((Inputs!$E$5:$E$130=$B47)*ISNUMBER(INDEX(Inputs!$K$5:$AJ$130,0,MATCH(AD$2,Inputs!$K$4:$AJ$4,0))))=0,NA(),SUMPRODUCT((Inputs!$A$5:$A$130=$B47)*Inputs!$B$5:$B$130*(((Inputs!$G$5:$G$130="moeda")+(Inputs!$G$5:$G$130="acoes"))*Inputs!$B$1+((Inputs!$G$5:$G$130&lt;&gt;"moeda")*(Inputs!$G$5:$G$130&lt;&gt;"acoes")))*INDEX(Inputs!$K$5:$AJ$130,0,MATCH(AD$2,Inputs!$K$4:$AJ$4,0)))+SUMPRODUCT((Inputs!$C$5:$C$130=$B47)*Inputs!$D$5:$D$130*(((Inputs!$G$5:$G$130="moeda")+(Inputs!$G$5:$G$130="acoes"))*Inputs!$B$1+((Inputs!$G$5:$G$130&lt;&gt;"moeda")*(Inputs!$G$5:$G$130&lt;&gt;"acoes")))*INDEX(Inputs!$K$5:$AJ$130,0,MATCH(AD$2,Inputs!$K$4:$AJ$4,0)))+SUMPRODUCT((Inputs!$E$5:$E$130=$B47)*Inputs!$F$5:$F$130*(((Inputs!$G$5:$G$130="moeda")+(Inputs!$G$5:$G$130="acoes"))*Inputs!$B$1+((Inputs!$G$5:$G$130&lt;&gt;"moeda")*(Inputs!$G$5:$G$130&lt;&gt;"acoes")))*INDEX(Inputs!$K$5:$AJ$130,0,MATCH(AD$2,Inputs!$K$4:$AJ$4,0)))))</f>
        <v>62169</v>
      </c>
      <c r="AE47" s="6" t="e">
        <f>IF(ISNA(MATCH(AE$2,Inputs!$K$4:$AJ$4,0)),NA(),IF(SUMPRODUCT((Inputs!$A$5:$A$130=$B47)*ISNUMBER(INDEX(Inputs!$K$5:$AJ$130,0,MATCH(AE$2,Inputs!$K$4:$AJ$4,0))))+SUMPRODUCT((Inputs!$C$5:$C$130=$B47)*ISNUMBER(INDEX(Inputs!$K$5:$AJ$130,0,MATCH(AE$2,Inputs!$K$4:$AJ$4,0))))+SUMPRODUCT((Inputs!$E$5:$E$130=$B47)*ISNUMBER(INDEX(Inputs!$K$5:$AJ$130,0,MATCH(AE$2,Inputs!$K$4:$AJ$4,0))))=0,NA(),SUMPRODUCT((Inputs!$A$5:$A$130=$B47)*Inputs!$B$5:$B$130*(((Inputs!$G$5:$G$130="moeda")+(Inputs!$G$5:$G$130="acoes"))*Inputs!$B$1+((Inputs!$G$5:$G$130&lt;&gt;"moeda")*(Inputs!$G$5:$G$130&lt;&gt;"acoes")))*INDEX(Inputs!$K$5:$AJ$130,0,MATCH(AE$2,Inputs!$K$4:$AJ$4,0)))+SUMPRODUCT((Inputs!$C$5:$C$130=$B47)*Inputs!$D$5:$D$130*(((Inputs!$G$5:$G$130="moeda")+(Inputs!$G$5:$G$130="acoes"))*Inputs!$B$1+((Inputs!$G$5:$G$130&lt;&gt;"moeda")*(Inputs!$G$5:$G$130&lt;&gt;"acoes")))*INDEX(Inputs!$K$5:$AJ$130,0,MATCH(AE$2,Inputs!$K$4:$AJ$4,0)))+SUMPRODUCT((Inputs!$E$5:$E$130=$B47)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7" s="6" t="e">
        <f>IF(ISNA(MATCH(AF$2,Inputs!$K$4:$AJ$4,0)),NA(),IF(SUMPRODUCT((Inputs!$A$5:$A$130=$B47)*ISNUMBER(INDEX(Inputs!$K$5:$AJ$130,0,MATCH(AF$2,Inputs!$K$4:$AJ$4,0))))+SUMPRODUCT((Inputs!$C$5:$C$130=$B47)*ISNUMBER(INDEX(Inputs!$K$5:$AJ$130,0,MATCH(AF$2,Inputs!$K$4:$AJ$4,0))))+SUMPRODUCT((Inputs!$E$5:$E$130=$B47)*ISNUMBER(INDEX(Inputs!$K$5:$AJ$130,0,MATCH(AF$2,Inputs!$K$4:$AJ$4,0))))=0,NA(),SUMPRODUCT((Inputs!$A$5:$A$130=$B47)*Inputs!$B$5:$B$130*(((Inputs!$G$5:$G$130="moeda")+(Inputs!$G$5:$G$130="acoes"))*Inputs!$B$1+((Inputs!$G$5:$G$130&lt;&gt;"moeda")*(Inputs!$G$5:$G$130&lt;&gt;"acoes")))*INDEX(Inputs!$K$5:$AJ$130,0,MATCH(AF$2,Inputs!$K$4:$AJ$4,0)))+SUMPRODUCT((Inputs!$C$5:$C$130=$B47)*Inputs!$D$5:$D$130*(((Inputs!$G$5:$G$130="moeda")+(Inputs!$G$5:$G$130="acoes"))*Inputs!$B$1+((Inputs!$G$5:$G$130&lt;&gt;"moeda")*(Inputs!$G$5:$G$130&lt;&gt;"acoes")))*INDEX(Inputs!$K$5:$AJ$130,0,MATCH(AF$2,Inputs!$K$4:$AJ$4,0)))+SUMPRODUCT((Inputs!$E$5:$E$130=$B47)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7" s="3" t="e">
        <f>AF47</f>
        <v>#N/A</v>
      </c>
      <c r="AH47" s="6">
        <f>IF(ISNA(MATCH(AH$2,Inputs!$K$4:$AJ$4,0)),NA(),IF(SUMPRODUCT((Inputs!$A$5:$A$130=$B47)*ISNUMBER(INDEX(Inputs!$K$5:$AJ$130,0,MATCH(AH$2,Inputs!$K$4:$AJ$4,0))))+SUMPRODUCT((Inputs!$C$5:$C$130=$B47)*ISNUMBER(INDEX(Inputs!$K$5:$AJ$130,0,MATCH(AH$2,Inputs!$K$4:$AJ$4,0))))+SUMPRODUCT((Inputs!$E$5:$E$130=$B47)*ISNUMBER(INDEX(Inputs!$K$5:$AJ$130,0,MATCH(AH$2,Inputs!$K$4:$AJ$4,0))))=0,NA(),SUMPRODUCT((Inputs!$A$5:$A$130=$B47)*Inputs!$B$5:$B$130*(((Inputs!$G$5:$G$130="moeda")+(Inputs!$G$5:$G$130="acoes"))*Inputs!$B$1+((Inputs!$G$5:$G$130&lt;&gt;"moeda")*(Inputs!$G$5:$G$130&lt;&gt;"acoes")))*INDEX(Inputs!$K$5:$AJ$130,0,MATCH(AH$2,Inputs!$K$4:$AJ$4,0)))+SUMPRODUCT((Inputs!$C$5:$C$130=$B47)*Inputs!$D$5:$D$130*(((Inputs!$G$5:$G$130="moeda")+(Inputs!$G$5:$G$130="acoes"))*Inputs!$B$1+((Inputs!$G$5:$G$130&lt;&gt;"moeda")*(Inputs!$G$5:$G$130&lt;&gt;"acoes")))*INDEX(Inputs!$K$5:$AJ$130,0,MATCH(AH$2,Inputs!$K$4:$AJ$4,0)))+SUMPRODUCT((Inputs!$E$5:$E$130=$B47)*Inputs!$F$5:$F$130*(((Inputs!$G$5:$G$130="moeda")+(Inputs!$G$5:$G$130="acoes"))*Inputs!$B$1+((Inputs!$G$5:$G$130&lt;&gt;"moeda")*(Inputs!$G$5:$G$130&lt;&gt;"acoes")))*INDEX(Inputs!$K$5:$AJ$130,0,MATCH(AH$2,Inputs!$K$4:$AJ$4,0)))))</f>
        <v>30556</v>
      </c>
      <c r="AI47" s="6">
        <f>IF(ISNA(MATCH(AI$2,Inputs!$K$4:$AJ$4,0)),NA(),IF(SUMPRODUCT((Inputs!$A$5:$A$130=$B47)*ISNUMBER(INDEX(Inputs!$K$5:$AJ$130,0,MATCH(AI$2,Inputs!$K$4:$AJ$4,0))))+SUMPRODUCT((Inputs!$C$5:$C$130=$B47)*ISNUMBER(INDEX(Inputs!$K$5:$AJ$130,0,MATCH(AI$2,Inputs!$K$4:$AJ$4,0))))+SUMPRODUCT((Inputs!$E$5:$E$130=$B47)*ISNUMBER(INDEX(Inputs!$K$5:$AJ$130,0,MATCH(AI$2,Inputs!$K$4:$AJ$4,0))))=0,NA(),SUMPRODUCT((Inputs!$A$5:$A$130=$B47)*Inputs!$B$5:$B$130*(((Inputs!$G$5:$G$130="moeda")+(Inputs!$G$5:$G$130="acoes"))*Inputs!$B$1+((Inputs!$G$5:$G$130&lt;&gt;"moeda")*(Inputs!$G$5:$G$130&lt;&gt;"acoes")))*INDEX(Inputs!$K$5:$AJ$130,0,MATCH(AI$2,Inputs!$K$4:$AJ$4,0)))+SUMPRODUCT((Inputs!$C$5:$C$130=$B47)*Inputs!$D$5:$D$130*(((Inputs!$G$5:$G$130="moeda")+(Inputs!$G$5:$G$130="acoes"))*Inputs!$B$1+((Inputs!$G$5:$G$130&lt;&gt;"moeda")*(Inputs!$G$5:$G$130&lt;&gt;"acoes")))*INDEX(Inputs!$K$5:$AJ$130,0,MATCH(AI$2,Inputs!$K$4:$AJ$4,0)))+SUMPRODUCT((Inputs!$E$5:$E$130=$B47)*Inputs!$F$5:$F$130*(((Inputs!$G$5:$G$130="moeda")+(Inputs!$G$5:$G$130="acoes"))*Inputs!$B$1+((Inputs!$G$5:$G$130&lt;&gt;"moeda")*(Inputs!$G$5:$G$130&lt;&gt;"acoes")))*INDEX(Inputs!$K$5:$AJ$130,0,MATCH(AI$2,Inputs!$K$4:$AJ$4,0)))))</f>
        <v>31128</v>
      </c>
      <c r="AJ47" s="6">
        <f>IF(ISNA(MATCH(AJ$2,Inputs!$K$4:$AJ$4,0)),NA(),IF(SUMPRODUCT((Inputs!$A$5:$A$130=$B47)*ISNUMBER(INDEX(Inputs!$K$5:$AJ$130,0,MATCH(AJ$2,Inputs!$K$4:$AJ$4,0))))+SUMPRODUCT((Inputs!$C$5:$C$130=$B47)*ISNUMBER(INDEX(Inputs!$K$5:$AJ$130,0,MATCH(AJ$2,Inputs!$K$4:$AJ$4,0))))+SUMPRODUCT((Inputs!$E$5:$E$130=$B47)*ISNUMBER(INDEX(Inputs!$K$5:$AJ$130,0,MATCH(AJ$2,Inputs!$K$4:$AJ$4,0))))=0,NA(),SUMPRODUCT((Inputs!$A$5:$A$130=$B47)*Inputs!$B$5:$B$130*(((Inputs!$G$5:$G$130="moeda")+(Inputs!$G$5:$G$130="acoes"))*Inputs!$B$1+((Inputs!$G$5:$G$130&lt;&gt;"moeda")*(Inputs!$G$5:$G$130&lt;&gt;"acoes")))*INDEX(Inputs!$K$5:$AJ$130,0,MATCH(AJ$2,Inputs!$K$4:$AJ$4,0)))+SUMPRODUCT((Inputs!$C$5:$C$130=$B47)*Inputs!$D$5:$D$130*(((Inputs!$G$5:$G$130="moeda")+(Inputs!$G$5:$G$130="acoes"))*Inputs!$B$1+((Inputs!$G$5:$G$130&lt;&gt;"moeda")*(Inputs!$G$5:$G$130&lt;&gt;"acoes")))*INDEX(Inputs!$K$5:$AJ$130,0,MATCH(AJ$2,Inputs!$K$4:$AJ$4,0)))+SUMPRODUCT((Inputs!$E$5:$E$130=$B47)*Inputs!$F$5:$F$130*(((Inputs!$G$5:$G$130="moeda")+(Inputs!$G$5:$G$130="acoes"))*Inputs!$B$1+((Inputs!$G$5:$G$130&lt;&gt;"moeda")*(Inputs!$G$5:$G$130&lt;&gt;"acoes")))*INDEX(Inputs!$K$5:$AJ$130,0,MATCH(AJ$2,Inputs!$K$4:$AJ$4,0)))))</f>
        <v>31646</v>
      </c>
      <c r="AK47" s="6">
        <f>IF(ISNA(MATCH(AK$2,Inputs!$K$4:$AJ$4,0)),NA(),IF(SUMPRODUCT((Inputs!$A$5:$A$130=$B47)*ISNUMBER(INDEX(Inputs!$K$5:$AJ$130,0,MATCH(AK$2,Inputs!$K$4:$AJ$4,0))))+SUMPRODUCT((Inputs!$C$5:$C$130=$B47)*ISNUMBER(INDEX(Inputs!$K$5:$AJ$130,0,MATCH(AK$2,Inputs!$K$4:$AJ$4,0))))+SUMPRODUCT((Inputs!$E$5:$E$130=$B47)*ISNUMBER(INDEX(Inputs!$K$5:$AJ$130,0,MATCH(AK$2,Inputs!$K$4:$AJ$4,0))))=0,NA(),SUMPRODUCT((Inputs!$A$5:$A$130=$B47)*Inputs!$B$5:$B$130*(((Inputs!$G$5:$G$130="moeda")+(Inputs!$G$5:$G$130="acoes"))*Inputs!$B$1+((Inputs!$G$5:$G$130&lt;&gt;"moeda")*(Inputs!$G$5:$G$130&lt;&gt;"acoes")))*INDEX(Inputs!$K$5:$AJ$130,0,MATCH(AK$2,Inputs!$K$4:$AJ$4,0)))+SUMPRODUCT((Inputs!$C$5:$C$130=$B47)*Inputs!$D$5:$D$130*(((Inputs!$G$5:$G$130="moeda")+(Inputs!$G$5:$G$130="acoes"))*Inputs!$B$1+((Inputs!$G$5:$G$130&lt;&gt;"moeda")*(Inputs!$G$5:$G$130&lt;&gt;"acoes")))*INDEX(Inputs!$K$5:$AJ$130,0,MATCH(AK$2,Inputs!$K$4:$AJ$4,0)))+SUMPRODUCT((Inputs!$E$5:$E$130=$B47)*Inputs!$F$5:$F$130*(((Inputs!$G$5:$G$130="moeda")+(Inputs!$G$5:$G$130="acoes"))*Inputs!$B$1+((Inputs!$G$5:$G$130&lt;&gt;"moeda")*(Inputs!$G$5:$G$130&lt;&gt;"acoes")))*INDEX(Inputs!$K$5:$AJ$130,0,MATCH(AK$2,Inputs!$K$4:$AJ$4,0)))))</f>
        <v>32596</v>
      </c>
      <c r="AL47" s="3">
        <f>AK47</f>
        <v>32596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$130=$B50)*ISNUMBER(INDEX(Inputs!$K$5:$AJ$130,0,MATCH(D$2,Inputs!$K$4:$AJ$4,0))))+SUMPRODUCT((Inputs!$C$5:$C$130=$B50)*ISNUMBER(INDEX(Inputs!$K$5:$AJ$130,0,MATCH(D$2,Inputs!$K$4:$AJ$4,0))))+SUMPRODUCT((Inputs!$E$5:$E$130=$B50)*ISNUMBER(INDEX(Inputs!$K$5:$AJ$130,0,MATCH(D$2,Inputs!$K$4:$AJ$4,0))))=0,NA(),SUMPRODUCT((Inputs!$A$5:$A$130=$B50)*Inputs!$B$5:$B$130*(((Inputs!$G$5:$G$130="moeda")+(Inputs!$G$5:$G$130="acoes"))*Inputs!$B$1+((Inputs!$G$5:$G$130&lt;&gt;"moeda")*(Inputs!$G$5:$G$130&lt;&gt;"acoes")))*INDEX(Inputs!$K$5:$AJ$130,0,MATCH(D$2,Inputs!$K$4:$AJ$4,0)))+SUMPRODUCT((Inputs!$C$5:$C$130=$B50)*Inputs!$D$5:$D$130*(((Inputs!$G$5:$G$130="moeda")+(Inputs!$G$5:$G$130="acoes"))*Inputs!$B$1+((Inputs!$G$5:$G$130&lt;&gt;"moeda")*(Inputs!$G$5:$G$130&lt;&gt;"acoes")))*INDEX(Inputs!$K$5:$AJ$130,0,MATCH(D$2,Inputs!$K$4:$AJ$4,0)))+SUMPRODUCT((Inputs!$E$5:$E$130=$B50)*Inputs!$F$5:$F$130*(((Inputs!$G$5:$G$130="moeda")+(Inputs!$G$5:$G$130="acoes"))*Inputs!$B$1+((Inputs!$G$5:$G$130&lt;&gt;"moeda")*(Inputs!$G$5:$G$130&lt;&gt;"acoes")))*INDEX(Inputs!$K$5:$AJ$130,0,MATCH(D$2,Inputs!$K$4:$AJ$4,0)))))</f>
        <v>1790</v>
      </c>
      <c r="E50" s="6">
        <f>IF(ISNA(MATCH(E$2,Inputs!$K$4:$AJ$4,0)),NA(),IF(SUMPRODUCT((Inputs!$A$5:$A$130=$B50)*ISNUMBER(INDEX(Inputs!$K$5:$AJ$130,0,MATCH(E$2,Inputs!$K$4:$AJ$4,0))))+SUMPRODUCT((Inputs!$C$5:$C$130=$B50)*ISNUMBER(INDEX(Inputs!$K$5:$AJ$130,0,MATCH(E$2,Inputs!$K$4:$AJ$4,0))))+SUMPRODUCT((Inputs!$E$5:$E$130=$B50)*ISNUMBER(INDEX(Inputs!$K$5:$AJ$130,0,MATCH(E$2,Inputs!$K$4:$AJ$4,0))))=0,NA(),SUMPRODUCT((Inputs!$A$5:$A$130=$B50)*Inputs!$B$5:$B$130*(((Inputs!$G$5:$G$130="moeda")+(Inputs!$G$5:$G$130="acoes"))*Inputs!$B$1+((Inputs!$G$5:$G$130&lt;&gt;"moeda")*(Inputs!$G$5:$G$130&lt;&gt;"acoes")))*INDEX(Inputs!$K$5:$AJ$130,0,MATCH(E$2,Inputs!$K$4:$AJ$4,0)))+SUMPRODUCT((Inputs!$C$5:$C$130=$B50)*Inputs!$D$5:$D$130*(((Inputs!$G$5:$G$130="moeda")+(Inputs!$G$5:$G$130="acoes"))*Inputs!$B$1+((Inputs!$G$5:$G$130&lt;&gt;"moeda")*(Inputs!$G$5:$G$130&lt;&gt;"acoes")))*INDEX(Inputs!$K$5:$AJ$130,0,MATCH(E$2,Inputs!$K$4:$AJ$4,0)))+SUMPRODUCT((Inputs!$E$5:$E$130=$B50)*Inputs!$F$5:$F$130*(((Inputs!$G$5:$G$130="moeda")+(Inputs!$G$5:$G$130="acoes"))*Inputs!$B$1+((Inputs!$G$5:$G$130&lt;&gt;"moeda")*(Inputs!$G$5:$G$130&lt;&gt;"acoes")))*INDEX(Inputs!$K$5:$AJ$130,0,MATCH(E$2,Inputs!$K$4:$AJ$4,0)))))</f>
        <v>1667</v>
      </c>
      <c r="F50" s="6">
        <f>IF(ISNA(MATCH(F$2,Inputs!$K$4:$AJ$4,0)),NA(),IF(SUMPRODUCT((Inputs!$A$5:$A$130=$B50)*ISNUMBER(INDEX(Inputs!$K$5:$AJ$130,0,MATCH(F$2,Inputs!$K$4:$AJ$4,0))))+SUMPRODUCT((Inputs!$C$5:$C$130=$B50)*ISNUMBER(INDEX(Inputs!$K$5:$AJ$130,0,MATCH(F$2,Inputs!$K$4:$AJ$4,0))))+SUMPRODUCT((Inputs!$E$5:$E$130=$B50)*ISNUMBER(INDEX(Inputs!$K$5:$AJ$130,0,MATCH(F$2,Inputs!$K$4:$AJ$4,0))))=0,NA(),SUMPRODUCT((Inputs!$A$5:$A$130=$B50)*Inputs!$B$5:$B$130*(((Inputs!$G$5:$G$130="moeda")+(Inputs!$G$5:$G$130="acoes"))*Inputs!$B$1+((Inputs!$G$5:$G$130&lt;&gt;"moeda")*(Inputs!$G$5:$G$130&lt;&gt;"acoes")))*INDEX(Inputs!$K$5:$AJ$130,0,MATCH(F$2,Inputs!$K$4:$AJ$4,0)))+SUMPRODUCT((Inputs!$C$5:$C$130=$B50)*Inputs!$D$5:$D$130*(((Inputs!$G$5:$G$130="moeda")+(Inputs!$G$5:$G$130="acoes"))*Inputs!$B$1+((Inputs!$G$5:$G$130&lt;&gt;"moeda")*(Inputs!$G$5:$G$130&lt;&gt;"acoes")))*INDEX(Inputs!$K$5:$AJ$130,0,MATCH(F$2,Inputs!$K$4:$AJ$4,0)))+SUMPRODUCT((Inputs!$E$5:$E$130=$B50)*Inputs!$F$5:$F$130*(((Inputs!$G$5:$G$130="moeda")+(Inputs!$G$5:$G$130="acoes"))*Inputs!$B$1+((Inputs!$G$5:$G$130&lt;&gt;"moeda")*(Inputs!$G$5:$G$130&lt;&gt;"acoes")))*INDEX(Inputs!$K$5:$AJ$130,0,MATCH(F$2,Inputs!$K$4:$AJ$4,0)))))</f>
        <v>1283</v>
      </c>
      <c r="G50" s="6">
        <f>IF(ISNA(MATCH(G$2,Inputs!$K$4:$AJ$4,0)),NA(),IF(SUMPRODUCT((Inputs!$A$5:$A$130=$B50)*ISNUMBER(INDEX(Inputs!$K$5:$AJ$130,0,MATCH(G$2,Inputs!$K$4:$AJ$4,0))))+SUMPRODUCT((Inputs!$C$5:$C$130=$B50)*ISNUMBER(INDEX(Inputs!$K$5:$AJ$130,0,MATCH(G$2,Inputs!$K$4:$AJ$4,0))))+SUMPRODUCT((Inputs!$E$5:$E$130=$B50)*ISNUMBER(INDEX(Inputs!$K$5:$AJ$130,0,MATCH(G$2,Inputs!$K$4:$AJ$4,0))))=0,NA(),SUMPRODUCT((Inputs!$A$5:$A$130=$B50)*Inputs!$B$5:$B$130*(((Inputs!$G$5:$G$130="moeda")+(Inputs!$G$5:$G$130="acoes"))*Inputs!$B$1+((Inputs!$G$5:$G$130&lt;&gt;"moeda")*(Inputs!$G$5:$G$130&lt;&gt;"acoes")))*INDEX(Inputs!$K$5:$AJ$130,0,MATCH(G$2,Inputs!$K$4:$AJ$4,0)))+SUMPRODUCT((Inputs!$C$5:$C$130=$B50)*Inputs!$D$5:$D$130*(((Inputs!$G$5:$G$130="moeda")+(Inputs!$G$5:$G$130="acoes"))*Inputs!$B$1+((Inputs!$G$5:$G$130&lt;&gt;"moeda")*(Inputs!$G$5:$G$130&lt;&gt;"acoes")))*INDEX(Inputs!$K$5:$AJ$130,0,MATCH(G$2,Inputs!$K$4:$AJ$4,0)))+SUMPRODUCT((Inputs!$E$5:$E$130=$B50)*Inputs!$F$5:$F$130*(((Inputs!$G$5:$G$130="moeda")+(Inputs!$G$5:$G$130="acoes"))*Inputs!$B$1+((Inputs!$G$5:$G$130&lt;&gt;"moeda")*(Inputs!$G$5:$G$130&lt;&gt;"acoes")))*INDEX(Inputs!$K$5:$AJ$130,0,MATCH(G$2,Inputs!$K$4:$AJ$4,0)))))</f>
        <v>903</v>
      </c>
      <c r="H50" s="3">
        <f>SUM(D50:G50)</f>
        <v>5643</v>
      </c>
      <c r="I50" s="6">
        <f>IF(ISNA(MATCH(I$2,Inputs!$K$4:$AJ$4,0)),NA(),IF(SUMPRODUCT((Inputs!$A$5:$A$130=$B50)*ISNUMBER(INDEX(Inputs!$K$5:$AJ$130,0,MATCH(I$2,Inputs!$K$4:$AJ$4,0))))+SUMPRODUCT((Inputs!$C$5:$C$130=$B50)*ISNUMBER(INDEX(Inputs!$K$5:$AJ$130,0,MATCH(I$2,Inputs!$K$4:$AJ$4,0))))+SUMPRODUCT((Inputs!$E$5:$E$130=$B50)*ISNUMBER(INDEX(Inputs!$K$5:$AJ$130,0,MATCH(I$2,Inputs!$K$4:$AJ$4,0))))=0,NA(),SUMPRODUCT((Inputs!$A$5:$A$130=$B50)*Inputs!$B$5:$B$130*(((Inputs!$G$5:$G$130="moeda")+(Inputs!$G$5:$G$130="acoes"))*Inputs!$B$1+((Inputs!$G$5:$G$130&lt;&gt;"moeda")*(Inputs!$G$5:$G$130&lt;&gt;"acoes")))*INDEX(Inputs!$K$5:$AJ$130,0,MATCH(I$2,Inputs!$K$4:$AJ$4,0)))+SUMPRODUCT((Inputs!$C$5:$C$130=$B50)*Inputs!$D$5:$D$130*(((Inputs!$G$5:$G$130="moeda")+(Inputs!$G$5:$G$130="acoes"))*Inputs!$B$1+((Inputs!$G$5:$G$130&lt;&gt;"moeda")*(Inputs!$G$5:$G$130&lt;&gt;"acoes")))*INDEX(Inputs!$K$5:$AJ$130,0,MATCH(I$2,Inputs!$K$4:$AJ$4,0)))+SUMPRODUCT((Inputs!$E$5:$E$130=$B50)*Inputs!$F$5:$F$130*(((Inputs!$G$5:$G$130="moeda")+(Inputs!$G$5:$G$130="acoes"))*Inputs!$B$1+((Inputs!$G$5:$G$130&lt;&gt;"moeda")*(Inputs!$G$5:$G$130&lt;&gt;"acoes")))*INDEX(Inputs!$K$5:$AJ$130,0,MATCH(I$2,Inputs!$K$4:$AJ$4,0)))))</f>
        <v>2098</v>
      </c>
      <c r="J50" s="6">
        <f>IF(ISNA(MATCH(J$2,Inputs!$K$4:$AJ$4,0)),NA(),IF(SUMPRODUCT((Inputs!$A$5:$A$130=$B50)*ISNUMBER(INDEX(Inputs!$K$5:$AJ$130,0,MATCH(J$2,Inputs!$K$4:$AJ$4,0))))+SUMPRODUCT((Inputs!$C$5:$C$130=$B50)*ISNUMBER(INDEX(Inputs!$K$5:$AJ$130,0,MATCH(J$2,Inputs!$K$4:$AJ$4,0))))+SUMPRODUCT((Inputs!$E$5:$E$130=$B50)*ISNUMBER(INDEX(Inputs!$K$5:$AJ$130,0,MATCH(J$2,Inputs!$K$4:$AJ$4,0))))=0,NA(),SUMPRODUCT((Inputs!$A$5:$A$130=$B50)*Inputs!$B$5:$B$130*(((Inputs!$G$5:$G$130="moeda")+(Inputs!$G$5:$G$130="acoes"))*Inputs!$B$1+((Inputs!$G$5:$G$130&lt;&gt;"moeda")*(Inputs!$G$5:$G$130&lt;&gt;"acoes")))*INDEX(Inputs!$K$5:$AJ$130,0,MATCH(J$2,Inputs!$K$4:$AJ$4,0)))+SUMPRODUCT((Inputs!$C$5:$C$130=$B50)*Inputs!$D$5:$D$130*(((Inputs!$G$5:$G$130="moeda")+(Inputs!$G$5:$G$130="acoes"))*Inputs!$B$1+((Inputs!$G$5:$G$130&lt;&gt;"moeda")*(Inputs!$G$5:$G$130&lt;&gt;"acoes")))*INDEX(Inputs!$K$5:$AJ$130,0,MATCH(J$2,Inputs!$K$4:$AJ$4,0)))+SUMPRODUCT((Inputs!$E$5:$E$130=$B50)*Inputs!$F$5:$F$130*(((Inputs!$G$5:$G$130="moeda")+(Inputs!$G$5:$G$130="acoes"))*Inputs!$B$1+((Inputs!$G$5:$G$130&lt;&gt;"moeda")*(Inputs!$G$5:$G$130&lt;&gt;"acoes")))*INDEX(Inputs!$K$5:$AJ$130,0,MATCH(J$2,Inputs!$K$4:$AJ$4,0)))))</f>
        <v>1884</v>
      </c>
      <c r="K50" s="6">
        <f>IF(ISNA(MATCH(K$2,Inputs!$K$4:$AJ$4,0)),NA(),IF(SUMPRODUCT((Inputs!$A$5:$A$130=$B50)*ISNUMBER(INDEX(Inputs!$K$5:$AJ$130,0,MATCH(K$2,Inputs!$K$4:$AJ$4,0))))+SUMPRODUCT((Inputs!$C$5:$C$130=$B50)*ISNUMBER(INDEX(Inputs!$K$5:$AJ$130,0,MATCH(K$2,Inputs!$K$4:$AJ$4,0))))+SUMPRODUCT((Inputs!$E$5:$E$130=$B50)*ISNUMBER(INDEX(Inputs!$K$5:$AJ$130,0,MATCH(K$2,Inputs!$K$4:$AJ$4,0))))=0,NA(),SUMPRODUCT((Inputs!$A$5:$A$130=$B50)*Inputs!$B$5:$B$130*(((Inputs!$G$5:$G$130="moeda")+(Inputs!$G$5:$G$130="acoes"))*Inputs!$B$1+((Inputs!$G$5:$G$130&lt;&gt;"moeda")*(Inputs!$G$5:$G$130&lt;&gt;"acoes")))*INDEX(Inputs!$K$5:$AJ$130,0,MATCH(K$2,Inputs!$K$4:$AJ$4,0)))+SUMPRODUCT((Inputs!$C$5:$C$130=$B50)*Inputs!$D$5:$D$130*(((Inputs!$G$5:$G$130="moeda")+(Inputs!$G$5:$G$130="acoes"))*Inputs!$B$1+((Inputs!$G$5:$G$130&lt;&gt;"moeda")*(Inputs!$G$5:$G$130&lt;&gt;"acoes")))*INDEX(Inputs!$K$5:$AJ$130,0,MATCH(K$2,Inputs!$K$4:$AJ$4,0)))+SUMPRODUCT((Inputs!$E$5:$E$130=$B50)*Inputs!$F$5:$F$130*(((Inputs!$G$5:$G$130="moeda")+(Inputs!$G$5:$G$130="acoes"))*Inputs!$B$1+((Inputs!$G$5:$G$130&lt;&gt;"moeda")*(Inputs!$G$5:$G$130&lt;&gt;"acoes")))*INDEX(Inputs!$K$5:$AJ$130,0,MATCH(K$2,Inputs!$K$4:$AJ$4,0)))))</f>
        <v>2246</v>
      </c>
      <c r="L50" s="6">
        <f>IF(ISNA(MATCH(L$2,Inputs!$K$4:$AJ$4,0)),NA(),IF(SUMPRODUCT((Inputs!$A$5:$A$130=$B50)*ISNUMBER(INDEX(Inputs!$K$5:$AJ$130,0,MATCH(L$2,Inputs!$K$4:$AJ$4,0))))+SUMPRODUCT((Inputs!$C$5:$C$130=$B50)*ISNUMBER(INDEX(Inputs!$K$5:$AJ$130,0,MATCH(L$2,Inputs!$K$4:$AJ$4,0))))+SUMPRODUCT((Inputs!$E$5:$E$130=$B50)*ISNUMBER(INDEX(Inputs!$K$5:$AJ$130,0,MATCH(L$2,Inputs!$K$4:$AJ$4,0))))=0,NA(),SUMPRODUCT((Inputs!$A$5:$A$130=$B50)*Inputs!$B$5:$B$130*(((Inputs!$G$5:$G$130="moeda")+(Inputs!$G$5:$G$130="acoes"))*Inputs!$B$1+((Inputs!$G$5:$G$130&lt;&gt;"moeda")*(Inputs!$G$5:$G$130&lt;&gt;"acoes")))*INDEX(Inputs!$K$5:$AJ$130,0,MATCH(L$2,Inputs!$K$4:$AJ$4,0)))+SUMPRODUCT((Inputs!$C$5:$C$130=$B50)*Inputs!$D$5:$D$130*(((Inputs!$G$5:$G$130="moeda")+(Inputs!$G$5:$G$130="acoes"))*Inputs!$B$1+((Inputs!$G$5:$G$130&lt;&gt;"moeda")*(Inputs!$G$5:$G$130&lt;&gt;"acoes")))*INDEX(Inputs!$K$5:$AJ$130,0,MATCH(L$2,Inputs!$K$4:$AJ$4,0)))+SUMPRODUCT((Inputs!$E$5:$E$130=$B50)*Inputs!$F$5:$F$130*(((Inputs!$G$5:$G$130="moeda")+(Inputs!$G$5:$G$130="acoes"))*Inputs!$B$1+((Inputs!$G$5:$G$130&lt;&gt;"moeda")*(Inputs!$G$5:$G$130&lt;&gt;"acoes")))*INDEX(Inputs!$K$5:$AJ$130,0,MATCH(L$2,Inputs!$K$4:$AJ$4,0)))))</f>
        <v>1959</v>
      </c>
      <c r="M50" s="3">
        <f>SUM(I50:L50)</f>
        <v>8187</v>
      </c>
      <c r="N50" s="6">
        <f>IF(ISNA(MATCH(N$2,Inputs!$K$4:$AJ$4,0)),NA(),IF(SUMPRODUCT((Inputs!$A$5:$A$130=$B50)*ISNUMBER(INDEX(Inputs!$K$5:$AJ$130,0,MATCH(N$2,Inputs!$K$4:$AJ$4,0))))+SUMPRODUCT((Inputs!$C$5:$C$130=$B50)*ISNUMBER(INDEX(Inputs!$K$5:$AJ$130,0,MATCH(N$2,Inputs!$K$4:$AJ$4,0))))+SUMPRODUCT((Inputs!$E$5:$E$130=$B50)*ISNUMBER(INDEX(Inputs!$K$5:$AJ$130,0,MATCH(N$2,Inputs!$K$4:$AJ$4,0))))=0,NA(),SUMPRODUCT((Inputs!$A$5:$A$130=$B50)*Inputs!$B$5:$B$130*(((Inputs!$G$5:$G$130="moeda")+(Inputs!$G$5:$G$130="acoes"))*Inputs!$B$1+((Inputs!$G$5:$G$130&lt;&gt;"moeda")*(Inputs!$G$5:$G$130&lt;&gt;"acoes")))*INDEX(Inputs!$K$5:$AJ$130,0,MATCH(N$2,Inputs!$K$4:$AJ$4,0)))+SUMPRODUCT((Inputs!$C$5:$C$130=$B50)*Inputs!$D$5:$D$130*(((Inputs!$G$5:$G$130="moeda")+(Inputs!$G$5:$G$130="acoes"))*Inputs!$B$1+((Inputs!$G$5:$G$130&lt;&gt;"moeda")*(Inputs!$G$5:$G$130&lt;&gt;"acoes")))*INDEX(Inputs!$K$5:$AJ$130,0,MATCH(N$2,Inputs!$K$4:$AJ$4,0)))+SUMPRODUCT((Inputs!$E$5:$E$130=$B50)*Inputs!$F$5:$F$130*(((Inputs!$G$5:$G$130="moeda")+(Inputs!$G$5:$G$130="acoes"))*Inputs!$B$1+((Inputs!$G$5:$G$130&lt;&gt;"moeda")*(Inputs!$G$5:$G$130&lt;&gt;"acoes")))*INDEX(Inputs!$K$5:$AJ$130,0,MATCH(N$2,Inputs!$K$4:$AJ$4,0)))))</f>
        <v>2860</v>
      </c>
      <c r="O50" s="6">
        <f>IF(ISNA(MATCH(O$2,Inputs!$K$4:$AJ$4,0)),NA(),IF(SUMPRODUCT((Inputs!$A$5:$A$130=$B50)*ISNUMBER(INDEX(Inputs!$K$5:$AJ$130,0,MATCH(O$2,Inputs!$K$4:$AJ$4,0))))+SUMPRODUCT((Inputs!$C$5:$C$130=$B50)*ISNUMBER(INDEX(Inputs!$K$5:$AJ$130,0,MATCH(O$2,Inputs!$K$4:$AJ$4,0))))+SUMPRODUCT((Inputs!$E$5:$E$130=$B50)*ISNUMBER(INDEX(Inputs!$K$5:$AJ$130,0,MATCH(O$2,Inputs!$K$4:$AJ$4,0))))=0,NA(),SUMPRODUCT((Inputs!$A$5:$A$130=$B50)*Inputs!$B$5:$B$130*(((Inputs!$G$5:$G$130="moeda")+(Inputs!$G$5:$G$130="acoes"))*Inputs!$B$1+((Inputs!$G$5:$G$130&lt;&gt;"moeda")*(Inputs!$G$5:$G$130&lt;&gt;"acoes")))*INDEX(Inputs!$K$5:$AJ$130,0,MATCH(O$2,Inputs!$K$4:$AJ$4,0)))+SUMPRODUCT((Inputs!$C$5:$C$130=$B50)*Inputs!$D$5:$D$130*(((Inputs!$G$5:$G$130="moeda")+(Inputs!$G$5:$G$130="acoes"))*Inputs!$B$1+((Inputs!$G$5:$G$130&lt;&gt;"moeda")*(Inputs!$G$5:$G$130&lt;&gt;"acoes")))*INDEX(Inputs!$K$5:$AJ$130,0,MATCH(O$2,Inputs!$K$4:$AJ$4,0)))+SUMPRODUCT((Inputs!$E$5:$E$130=$B50)*Inputs!$F$5:$F$130*(((Inputs!$G$5:$G$130="moeda")+(Inputs!$G$5:$G$130="acoes"))*Inputs!$B$1+((Inputs!$G$5:$G$130&lt;&gt;"moeda")*(Inputs!$G$5:$G$130&lt;&gt;"acoes")))*INDEX(Inputs!$K$5:$AJ$130,0,MATCH(O$2,Inputs!$K$4:$AJ$4,0)))))</f>
        <v>2978</v>
      </c>
      <c r="P50" s="6">
        <f>IF(ISNA(MATCH(P$2,Inputs!$K$4:$AJ$4,0)),NA(),IF(SUMPRODUCT((Inputs!$A$5:$A$130=$B50)*ISNUMBER(INDEX(Inputs!$K$5:$AJ$130,0,MATCH(P$2,Inputs!$K$4:$AJ$4,0))))+SUMPRODUCT((Inputs!$C$5:$C$130=$B50)*ISNUMBER(INDEX(Inputs!$K$5:$AJ$130,0,MATCH(P$2,Inputs!$K$4:$AJ$4,0))))+SUMPRODUCT((Inputs!$E$5:$E$130=$B50)*ISNUMBER(INDEX(Inputs!$K$5:$AJ$130,0,MATCH(P$2,Inputs!$K$4:$AJ$4,0))))=0,NA(),SUMPRODUCT((Inputs!$A$5:$A$130=$B50)*Inputs!$B$5:$B$130*(((Inputs!$G$5:$G$130="moeda")+(Inputs!$G$5:$G$130="acoes"))*Inputs!$B$1+((Inputs!$G$5:$G$130&lt;&gt;"moeda")*(Inputs!$G$5:$G$130&lt;&gt;"acoes")))*INDEX(Inputs!$K$5:$AJ$130,0,MATCH(P$2,Inputs!$K$4:$AJ$4,0)))+SUMPRODUCT((Inputs!$C$5:$C$130=$B50)*Inputs!$D$5:$D$130*(((Inputs!$G$5:$G$130="moeda")+(Inputs!$G$5:$G$130="acoes"))*Inputs!$B$1+((Inputs!$G$5:$G$130&lt;&gt;"moeda")*(Inputs!$G$5:$G$130&lt;&gt;"acoes")))*INDEX(Inputs!$K$5:$AJ$130,0,MATCH(P$2,Inputs!$K$4:$AJ$4,0)))+SUMPRODUCT((Inputs!$E$5:$E$130=$B50)*Inputs!$F$5:$F$130*(((Inputs!$G$5:$G$130="moeda")+(Inputs!$G$5:$G$130="acoes"))*Inputs!$B$1+((Inputs!$G$5:$G$130&lt;&gt;"moeda")*(Inputs!$G$5:$G$130&lt;&gt;"acoes")))*INDEX(Inputs!$K$5:$AJ$130,0,MATCH(P$2,Inputs!$K$4:$AJ$4,0)))))</f>
        <v>2369</v>
      </c>
      <c r="Q50" s="6">
        <f>IF(ISNA(MATCH(Q$2,Inputs!$K$4:$AJ$4,0)),NA(),IF(SUMPRODUCT((Inputs!$A$5:$A$130=$B50)*ISNUMBER(INDEX(Inputs!$K$5:$AJ$130,0,MATCH(Q$2,Inputs!$K$4:$AJ$4,0))))+SUMPRODUCT((Inputs!$C$5:$C$130=$B50)*ISNUMBER(INDEX(Inputs!$K$5:$AJ$130,0,MATCH(Q$2,Inputs!$K$4:$AJ$4,0))))+SUMPRODUCT((Inputs!$E$5:$E$130=$B50)*ISNUMBER(INDEX(Inputs!$K$5:$AJ$130,0,MATCH(Q$2,Inputs!$K$4:$AJ$4,0))))=0,NA(),SUMPRODUCT((Inputs!$A$5:$A$130=$B50)*Inputs!$B$5:$B$130*(((Inputs!$G$5:$G$130="moeda")+(Inputs!$G$5:$G$130="acoes"))*Inputs!$B$1+((Inputs!$G$5:$G$130&lt;&gt;"moeda")*(Inputs!$G$5:$G$130&lt;&gt;"acoes")))*INDEX(Inputs!$K$5:$AJ$130,0,MATCH(Q$2,Inputs!$K$4:$AJ$4,0)))+SUMPRODUCT((Inputs!$C$5:$C$130=$B50)*Inputs!$D$5:$D$130*(((Inputs!$G$5:$G$130="moeda")+(Inputs!$G$5:$G$130="acoes"))*Inputs!$B$1+((Inputs!$G$5:$G$130&lt;&gt;"moeda")*(Inputs!$G$5:$G$130&lt;&gt;"acoes")))*INDEX(Inputs!$K$5:$AJ$130,0,MATCH(Q$2,Inputs!$K$4:$AJ$4,0)))+SUMPRODUCT((Inputs!$E$5:$E$130=$B50)*Inputs!$F$5:$F$130*(((Inputs!$G$5:$G$130="moeda")+(Inputs!$G$5:$G$130="acoes"))*Inputs!$B$1+((Inputs!$G$5:$G$130&lt;&gt;"moeda")*(Inputs!$G$5:$G$130&lt;&gt;"acoes")))*INDEX(Inputs!$K$5:$AJ$130,0,MATCH(Q$2,Inputs!$K$4:$AJ$4,0)))))</f>
        <v>1751</v>
      </c>
      <c r="R50" s="3">
        <f>SUM(N50:Q50)</f>
        <v>9958</v>
      </c>
      <c r="S50" s="6">
        <f>IF(ISNA(MATCH(S$2,Inputs!$K$4:$AJ$4,0)),NA(),IF(SUMPRODUCT((Inputs!$A$5:$A$130=$B50)*ISNUMBER(INDEX(Inputs!$K$5:$AJ$130,0,MATCH(S$2,Inputs!$K$4:$AJ$4,0))))+SUMPRODUCT((Inputs!$C$5:$C$130=$B50)*ISNUMBER(INDEX(Inputs!$K$5:$AJ$130,0,MATCH(S$2,Inputs!$K$4:$AJ$4,0))))+SUMPRODUCT((Inputs!$E$5:$E$130=$B50)*ISNUMBER(INDEX(Inputs!$K$5:$AJ$130,0,MATCH(S$2,Inputs!$K$4:$AJ$4,0))))=0,NA(),SUMPRODUCT((Inputs!$A$5:$A$130=$B50)*Inputs!$B$5:$B$130*(((Inputs!$G$5:$G$130="moeda")+(Inputs!$G$5:$G$130="acoes"))*Inputs!$B$1+((Inputs!$G$5:$G$130&lt;&gt;"moeda")*(Inputs!$G$5:$G$130&lt;&gt;"acoes")))*INDEX(Inputs!$K$5:$AJ$130,0,MATCH(S$2,Inputs!$K$4:$AJ$4,0)))+SUMPRODUCT((Inputs!$C$5:$C$130=$B50)*Inputs!$D$5:$D$130*(((Inputs!$G$5:$G$130="moeda")+(Inputs!$G$5:$G$130="acoes"))*Inputs!$B$1+((Inputs!$G$5:$G$130&lt;&gt;"moeda")*(Inputs!$G$5:$G$130&lt;&gt;"acoes")))*INDEX(Inputs!$K$5:$AJ$130,0,MATCH(S$2,Inputs!$K$4:$AJ$4,0)))+SUMPRODUCT((Inputs!$E$5:$E$130=$B50)*Inputs!$F$5:$F$130*(((Inputs!$G$5:$G$130="moeda")+(Inputs!$G$5:$G$130="acoes"))*Inputs!$B$1+((Inputs!$G$5:$G$130&lt;&gt;"moeda")*(Inputs!$G$5:$G$130&lt;&gt;"acoes")))*INDEX(Inputs!$K$5:$AJ$130,0,MATCH(S$2,Inputs!$K$4:$AJ$4,0)))))</f>
        <v>2370</v>
      </c>
      <c r="T50" s="6">
        <f>IF(ISNA(MATCH(T$2,Inputs!$K$4:$AJ$4,0)),NA(),IF(SUMPRODUCT((Inputs!$A$5:$A$130=$B50)*ISNUMBER(INDEX(Inputs!$K$5:$AJ$130,0,MATCH(T$2,Inputs!$K$4:$AJ$4,0))))+SUMPRODUCT((Inputs!$C$5:$C$130=$B50)*ISNUMBER(INDEX(Inputs!$K$5:$AJ$130,0,MATCH(T$2,Inputs!$K$4:$AJ$4,0))))+SUMPRODUCT((Inputs!$E$5:$E$130=$B50)*ISNUMBER(INDEX(Inputs!$K$5:$AJ$130,0,MATCH(T$2,Inputs!$K$4:$AJ$4,0))))=0,NA(),SUMPRODUCT((Inputs!$A$5:$A$130=$B50)*Inputs!$B$5:$B$130*(((Inputs!$G$5:$G$130="moeda")+(Inputs!$G$5:$G$130="acoes"))*Inputs!$B$1+((Inputs!$G$5:$G$130&lt;&gt;"moeda")*(Inputs!$G$5:$G$130&lt;&gt;"acoes")))*INDEX(Inputs!$K$5:$AJ$130,0,MATCH(T$2,Inputs!$K$4:$AJ$4,0)))+SUMPRODUCT((Inputs!$C$5:$C$130=$B50)*Inputs!$D$5:$D$130*(((Inputs!$G$5:$G$130="moeda")+(Inputs!$G$5:$G$130="acoes"))*Inputs!$B$1+((Inputs!$G$5:$G$130&lt;&gt;"moeda")*(Inputs!$G$5:$G$130&lt;&gt;"acoes")))*INDEX(Inputs!$K$5:$AJ$130,0,MATCH(T$2,Inputs!$K$4:$AJ$4,0)))+SUMPRODUCT((Inputs!$E$5:$E$130=$B50)*Inputs!$F$5:$F$130*(((Inputs!$G$5:$G$130="moeda")+(Inputs!$G$5:$G$130="acoes"))*Inputs!$B$1+((Inputs!$G$5:$G$130&lt;&gt;"moeda")*(Inputs!$G$5:$G$130&lt;&gt;"acoes")))*INDEX(Inputs!$K$5:$AJ$130,0,MATCH(T$2,Inputs!$K$4:$AJ$4,0)))))</f>
        <v>1734</v>
      </c>
      <c r="U50" s="6">
        <f>IF(ISNA(MATCH(U$2,Inputs!$K$4:$AJ$4,0)),NA(),IF(SUMPRODUCT((Inputs!$A$5:$A$130=$B50)*ISNUMBER(INDEX(Inputs!$K$5:$AJ$130,0,MATCH(U$2,Inputs!$K$4:$AJ$4,0))))+SUMPRODUCT((Inputs!$C$5:$C$130=$B50)*ISNUMBER(INDEX(Inputs!$K$5:$AJ$130,0,MATCH(U$2,Inputs!$K$4:$AJ$4,0))))+SUMPRODUCT((Inputs!$E$5:$E$130=$B50)*ISNUMBER(INDEX(Inputs!$K$5:$AJ$130,0,MATCH(U$2,Inputs!$K$4:$AJ$4,0))))=0,NA(),SUMPRODUCT((Inputs!$A$5:$A$130=$B50)*Inputs!$B$5:$B$130*(((Inputs!$G$5:$G$130="moeda")+(Inputs!$G$5:$G$130="acoes"))*Inputs!$B$1+((Inputs!$G$5:$G$130&lt;&gt;"moeda")*(Inputs!$G$5:$G$130&lt;&gt;"acoes")))*INDEX(Inputs!$K$5:$AJ$130,0,MATCH(U$2,Inputs!$K$4:$AJ$4,0)))+SUMPRODUCT((Inputs!$C$5:$C$130=$B50)*Inputs!$D$5:$D$130*(((Inputs!$G$5:$G$130="moeda")+(Inputs!$G$5:$G$130="acoes"))*Inputs!$B$1+((Inputs!$G$5:$G$130&lt;&gt;"moeda")*(Inputs!$G$5:$G$130&lt;&gt;"acoes")))*INDEX(Inputs!$K$5:$AJ$130,0,MATCH(U$2,Inputs!$K$4:$AJ$4,0)))+SUMPRODUCT((Inputs!$E$5:$E$130=$B50)*Inputs!$F$5:$F$130*(((Inputs!$G$5:$G$130="moeda")+(Inputs!$G$5:$G$130="acoes"))*Inputs!$B$1+((Inputs!$G$5:$G$130&lt;&gt;"moeda")*(Inputs!$G$5:$G$130&lt;&gt;"acoes")))*INDEX(Inputs!$K$5:$AJ$130,0,MATCH(U$2,Inputs!$K$4:$AJ$4,0)))))</f>
        <v>1245</v>
      </c>
      <c r="V50" s="6">
        <f>IF(ISNA(MATCH(V$2,Inputs!$K$4:$AJ$4,0)),NA(),IF(SUMPRODUCT((Inputs!$A$5:$A$130=$B50)*ISNUMBER(INDEX(Inputs!$K$5:$AJ$130,0,MATCH(V$2,Inputs!$K$4:$AJ$4,0))))+SUMPRODUCT((Inputs!$C$5:$C$130=$B50)*ISNUMBER(INDEX(Inputs!$K$5:$AJ$130,0,MATCH(V$2,Inputs!$K$4:$AJ$4,0))))+SUMPRODUCT((Inputs!$E$5:$E$130=$B50)*ISNUMBER(INDEX(Inputs!$K$5:$AJ$130,0,MATCH(V$2,Inputs!$K$4:$AJ$4,0))))=0,NA(),SUMPRODUCT((Inputs!$A$5:$A$130=$B50)*Inputs!$B$5:$B$130*(((Inputs!$G$5:$G$130="moeda")+(Inputs!$G$5:$G$130="acoes"))*Inputs!$B$1+((Inputs!$G$5:$G$130&lt;&gt;"moeda")*(Inputs!$G$5:$G$130&lt;&gt;"acoes")))*INDEX(Inputs!$K$5:$AJ$130,0,MATCH(V$2,Inputs!$K$4:$AJ$4,0)))+SUMPRODUCT((Inputs!$C$5:$C$130=$B50)*Inputs!$D$5:$D$130*(((Inputs!$G$5:$G$130="moeda")+(Inputs!$G$5:$G$130="acoes"))*Inputs!$B$1+((Inputs!$G$5:$G$130&lt;&gt;"moeda")*(Inputs!$G$5:$G$130&lt;&gt;"acoes")))*INDEX(Inputs!$K$5:$AJ$130,0,MATCH(V$2,Inputs!$K$4:$AJ$4,0)))+SUMPRODUCT((Inputs!$E$5:$E$130=$B50)*Inputs!$F$5:$F$130*(((Inputs!$G$5:$G$130="moeda")+(Inputs!$G$5:$G$130="acoes"))*Inputs!$B$1+((Inputs!$G$5:$G$130&lt;&gt;"moeda")*(Inputs!$G$5:$G$130&lt;&gt;"acoes")))*INDEX(Inputs!$K$5:$AJ$130,0,MATCH(V$2,Inputs!$K$4:$AJ$4,0)))))</f>
        <v>869</v>
      </c>
      <c r="W50" s="3">
        <f>SUM(S50:V50)</f>
        <v>6218</v>
      </c>
      <c r="X50" s="6">
        <f>IF(ISNA(MATCH(X$2,Inputs!$K$4:$AJ$4,0)),NA(),IF(SUMPRODUCT((Inputs!$A$5:$A$130=$B50)*ISNUMBER(INDEX(Inputs!$K$5:$AJ$130,0,MATCH(X$2,Inputs!$K$4:$AJ$4,0))))+SUMPRODUCT((Inputs!$C$5:$C$130=$B50)*ISNUMBER(INDEX(Inputs!$K$5:$AJ$130,0,MATCH(X$2,Inputs!$K$4:$AJ$4,0))))+SUMPRODUCT((Inputs!$E$5:$E$130=$B50)*ISNUMBER(INDEX(Inputs!$K$5:$AJ$130,0,MATCH(X$2,Inputs!$K$4:$AJ$4,0))))=0,NA(),SUMPRODUCT((Inputs!$A$5:$A$130=$B50)*Inputs!$B$5:$B$130*(((Inputs!$G$5:$G$130="moeda")+(Inputs!$G$5:$G$130="acoes"))*Inputs!$B$1+((Inputs!$G$5:$G$130&lt;&gt;"moeda")*(Inputs!$G$5:$G$130&lt;&gt;"acoes")))*INDEX(Inputs!$K$5:$AJ$130,0,MATCH(X$2,Inputs!$K$4:$AJ$4,0)))+SUMPRODUCT((Inputs!$C$5:$C$130=$B50)*Inputs!$D$5:$D$130*(((Inputs!$G$5:$G$130="moeda")+(Inputs!$G$5:$G$130="acoes"))*Inputs!$B$1+((Inputs!$G$5:$G$130&lt;&gt;"moeda")*(Inputs!$G$5:$G$130&lt;&gt;"acoes")))*INDEX(Inputs!$K$5:$AJ$130,0,MATCH(X$2,Inputs!$K$4:$AJ$4,0)))+SUMPRODUCT((Inputs!$E$5:$E$130=$B50)*Inputs!$F$5:$F$130*(((Inputs!$G$5:$G$130="moeda")+(Inputs!$G$5:$G$130="acoes"))*Inputs!$B$1+((Inputs!$G$5:$G$130&lt;&gt;"moeda")*(Inputs!$G$5:$G$130&lt;&gt;"acoes")))*INDEX(Inputs!$K$5:$AJ$130,0,MATCH(X$2,Inputs!$K$4:$AJ$4,0)))))</f>
        <v>1804</v>
      </c>
      <c r="Y50" s="6">
        <f>IF(ISNA(MATCH(Y$2,Inputs!$K$4:$AJ$4,0)),NA(),IF(SUMPRODUCT((Inputs!$A$5:$A$130=$B50)*ISNUMBER(INDEX(Inputs!$K$5:$AJ$130,0,MATCH(Y$2,Inputs!$K$4:$AJ$4,0))))+SUMPRODUCT((Inputs!$C$5:$C$130=$B50)*ISNUMBER(INDEX(Inputs!$K$5:$AJ$130,0,MATCH(Y$2,Inputs!$K$4:$AJ$4,0))))+SUMPRODUCT((Inputs!$E$5:$E$130=$B50)*ISNUMBER(INDEX(Inputs!$K$5:$AJ$130,0,MATCH(Y$2,Inputs!$K$4:$AJ$4,0))))=0,NA(),SUMPRODUCT((Inputs!$A$5:$A$130=$B50)*Inputs!$B$5:$B$130*(((Inputs!$G$5:$G$130="moeda")+(Inputs!$G$5:$G$130="acoes"))*Inputs!$B$1+((Inputs!$G$5:$G$130&lt;&gt;"moeda")*(Inputs!$G$5:$G$130&lt;&gt;"acoes")))*INDEX(Inputs!$K$5:$AJ$130,0,MATCH(Y$2,Inputs!$K$4:$AJ$4,0)))+SUMPRODUCT((Inputs!$C$5:$C$130=$B50)*Inputs!$D$5:$D$130*(((Inputs!$G$5:$G$130="moeda")+(Inputs!$G$5:$G$130="acoes"))*Inputs!$B$1+((Inputs!$G$5:$G$130&lt;&gt;"moeda")*(Inputs!$G$5:$G$130&lt;&gt;"acoes")))*INDEX(Inputs!$K$5:$AJ$130,0,MATCH(Y$2,Inputs!$K$4:$AJ$4,0)))+SUMPRODUCT((Inputs!$E$5:$E$130=$B50)*Inputs!$F$5:$F$130*(((Inputs!$G$5:$G$130="moeda")+(Inputs!$G$5:$G$130="acoes"))*Inputs!$B$1+((Inputs!$G$5:$G$130&lt;&gt;"moeda")*(Inputs!$G$5:$G$130&lt;&gt;"acoes")))*INDEX(Inputs!$K$5:$AJ$130,0,MATCH(Y$2,Inputs!$K$4:$AJ$4,0)))))</f>
        <v>1289</v>
      </c>
      <c r="Z50" s="6">
        <f>IF(ISNA(MATCH(Z$2,Inputs!$K$4:$AJ$4,0)),NA(),IF(SUMPRODUCT((Inputs!$A$5:$A$130=$B50)*ISNUMBER(INDEX(Inputs!$K$5:$AJ$130,0,MATCH(Z$2,Inputs!$K$4:$AJ$4,0))))+SUMPRODUCT((Inputs!$C$5:$C$130=$B50)*ISNUMBER(INDEX(Inputs!$K$5:$AJ$130,0,MATCH(Z$2,Inputs!$K$4:$AJ$4,0))))+SUMPRODUCT((Inputs!$E$5:$E$130=$B50)*ISNUMBER(INDEX(Inputs!$K$5:$AJ$130,0,MATCH(Z$2,Inputs!$K$4:$AJ$4,0))))=0,NA(),SUMPRODUCT((Inputs!$A$5:$A$130=$B50)*Inputs!$B$5:$B$130*(((Inputs!$G$5:$G$130="moeda")+(Inputs!$G$5:$G$130="acoes"))*Inputs!$B$1+((Inputs!$G$5:$G$130&lt;&gt;"moeda")*(Inputs!$G$5:$G$130&lt;&gt;"acoes")))*INDEX(Inputs!$K$5:$AJ$130,0,MATCH(Z$2,Inputs!$K$4:$AJ$4,0)))+SUMPRODUCT((Inputs!$C$5:$C$130=$B50)*Inputs!$D$5:$D$130*(((Inputs!$G$5:$G$130="moeda")+(Inputs!$G$5:$G$130="acoes"))*Inputs!$B$1+((Inputs!$G$5:$G$130&lt;&gt;"moeda")*(Inputs!$G$5:$G$130&lt;&gt;"acoes")))*INDEX(Inputs!$K$5:$AJ$130,0,MATCH(Z$2,Inputs!$K$4:$AJ$4,0)))+SUMPRODUCT((Inputs!$E$5:$E$130=$B50)*Inputs!$F$5:$F$130*(((Inputs!$G$5:$G$130="moeda")+(Inputs!$G$5:$G$130="acoes"))*Inputs!$B$1+((Inputs!$G$5:$G$130&lt;&gt;"moeda")*(Inputs!$G$5:$G$130&lt;&gt;"acoes")))*INDEX(Inputs!$K$5:$AJ$130,0,MATCH(Z$2,Inputs!$K$4:$AJ$4,0)))))</f>
        <v>1065</v>
      </c>
      <c r="AA50" s="6">
        <f>IF(ISNA(MATCH(AA$2,Inputs!$K$4:$AJ$4,0)),NA(),IF(SUMPRODUCT((Inputs!$A$5:$A$130=$B50)*ISNUMBER(INDEX(Inputs!$K$5:$AJ$130,0,MATCH(AA$2,Inputs!$K$4:$AJ$4,0))))+SUMPRODUCT((Inputs!$C$5:$C$130=$B50)*ISNUMBER(INDEX(Inputs!$K$5:$AJ$130,0,MATCH(AA$2,Inputs!$K$4:$AJ$4,0))))+SUMPRODUCT((Inputs!$E$5:$E$130=$B50)*ISNUMBER(INDEX(Inputs!$K$5:$AJ$130,0,MATCH(AA$2,Inputs!$K$4:$AJ$4,0))))=0,NA(),SUMPRODUCT((Inputs!$A$5:$A$130=$B50)*Inputs!$B$5:$B$130*(((Inputs!$G$5:$G$130="moeda")+(Inputs!$G$5:$G$130="acoes"))*Inputs!$B$1+((Inputs!$G$5:$G$130&lt;&gt;"moeda")*(Inputs!$G$5:$G$130&lt;&gt;"acoes")))*INDEX(Inputs!$K$5:$AJ$130,0,MATCH(AA$2,Inputs!$K$4:$AJ$4,0)))+SUMPRODUCT((Inputs!$C$5:$C$130=$B50)*Inputs!$D$5:$D$130*(((Inputs!$G$5:$G$130="moeda")+(Inputs!$G$5:$G$130="acoes"))*Inputs!$B$1+((Inputs!$G$5:$G$130&lt;&gt;"moeda")*(Inputs!$G$5:$G$130&lt;&gt;"acoes")))*INDEX(Inputs!$K$5:$AJ$130,0,MATCH(AA$2,Inputs!$K$4:$AJ$4,0)))+SUMPRODUCT((Inputs!$E$5:$E$130=$B50)*Inputs!$F$5:$F$130*(((Inputs!$G$5:$G$130="moeda")+(Inputs!$G$5:$G$130="acoes"))*Inputs!$B$1+((Inputs!$G$5:$G$130&lt;&gt;"moeda")*(Inputs!$G$5:$G$130&lt;&gt;"acoes")))*INDEX(Inputs!$K$5:$AJ$130,0,MATCH(AA$2,Inputs!$K$4:$AJ$4,0)))))</f>
        <v>656</v>
      </c>
      <c r="AB50" s="3">
        <f>SUM(X50:AA50)</f>
        <v>4814</v>
      </c>
      <c r="AC50" s="6">
        <f>IF(ISNA(MATCH(AC$2,Inputs!$K$4:$AJ$4,0)),NA(),IF(SUMPRODUCT((Inputs!$A$5:$A$130=$B50)*ISNUMBER(INDEX(Inputs!$K$5:$AJ$130,0,MATCH(AC$2,Inputs!$K$4:$AJ$4,0))))+SUMPRODUCT((Inputs!$C$5:$C$130=$B50)*ISNUMBER(INDEX(Inputs!$K$5:$AJ$130,0,MATCH(AC$2,Inputs!$K$4:$AJ$4,0))))+SUMPRODUCT((Inputs!$E$5:$E$130=$B50)*ISNUMBER(INDEX(Inputs!$K$5:$AJ$130,0,MATCH(AC$2,Inputs!$K$4:$AJ$4,0))))=0,NA(),SUMPRODUCT((Inputs!$A$5:$A$130=$B50)*Inputs!$B$5:$B$130*(((Inputs!$G$5:$G$130="moeda")+(Inputs!$G$5:$G$130="acoes"))*Inputs!$B$1+((Inputs!$G$5:$G$130&lt;&gt;"moeda")*(Inputs!$G$5:$G$130&lt;&gt;"acoes")))*INDEX(Inputs!$K$5:$AJ$130,0,MATCH(AC$2,Inputs!$K$4:$AJ$4,0)))+SUMPRODUCT((Inputs!$C$5:$C$130=$B50)*Inputs!$D$5:$D$130*(((Inputs!$G$5:$G$130="moeda")+(Inputs!$G$5:$G$130="acoes"))*Inputs!$B$1+((Inputs!$G$5:$G$130&lt;&gt;"moeda")*(Inputs!$G$5:$G$130&lt;&gt;"acoes")))*INDEX(Inputs!$K$5:$AJ$130,0,MATCH(AC$2,Inputs!$K$4:$AJ$4,0)))+SUMPRODUCT((Inputs!$E$5:$E$130=$B50)*Inputs!$F$5:$F$130*(((Inputs!$G$5:$G$130="moeda")+(Inputs!$G$5:$G$130="acoes"))*Inputs!$B$1+((Inputs!$G$5:$G$130&lt;&gt;"moeda")*(Inputs!$G$5:$G$130&lt;&gt;"acoes")))*INDEX(Inputs!$K$5:$AJ$130,0,MATCH(AC$2,Inputs!$K$4:$AJ$4,0)))))</f>
        <v>1773</v>
      </c>
      <c r="AD50" s="6">
        <f>IF(ISNA(MATCH(AD$2,Inputs!$K$4:$AJ$4,0)),NA(),IF(SUMPRODUCT((Inputs!$A$5:$A$130=$B50)*ISNUMBER(INDEX(Inputs!$K$5:$AJ$130,0,MATCH(AD$2,Inputs!$K$4:$AJ$4,0))))+SUMPRODUCT((Inputs!$C$5:$C$130=$B50)*ISNUMBER(INDEX(Inputs!$K$5:$AJ$130,0,MATCH(AD$2,Inputs!$K$4:$AJ$4,0))))+SUMPRODUCT((Inputs!$E$5:$E$130=$B50)*ISNUMBER(INDEX(Inputs!$K$5:$AJ$130,0,MATCH(AD$2,Inputs!$K$4:$AJ$4,0))))=0,NA(),SUMPRODUCT((Inputs!$A$5:$A$130=$B50)*Inputs!$B$5:$B$130*(((Inputs!$G$5:$G$130="moeda")+(Inputs!$G$5:$G$130="acoes"))*Inputs!$B$1+((Inputs!$G$5:$G$130&lt;&gt;"moeda")*(Inputs!$G$5:$G$130&lt;&gt;"acoes")))*INDEX(Inputs!$K$5:$AJ$130,0,MATCH(AD$2,Inputs!$K$4:$AJ$4,0)))+SUMPRODUCT((Inputs!$C$5:$C$130=$B50)*Inputs!$D$5:$D$130*(((Inputs!$G$5:$G$130="moeda")+(Inputs!$G$5:$G$130="acoes"))*Inputs!$B$1+((Inputs!$G$5:$G$130&lt;&gt;"moeda")*(Inputs!$G$5:$G$130&lt;&gt;"acoes")))*INDEX(Inputs!$K$5:$AJ$130,0,MATCH(AD$2,Inputs!$K$4:$AJ$4,0)))+SUMPRODUCT((Inputs!$E$5:$E$130=$B50)*Inputs!$F$5:$F$130*(((Inputs!$G$5:$G$130="moeda")+(Inputs!$G$5:$G$130="acoes"))*Inputs!$B$1+((Inputs!$G$5:$G$130&lt;&gt;"moeda")*(Inputs!$G$5:$G$130&lt;&gt;"acoes")))*INDEX(Inputs!$K$5:$AJ$130,0,MATCH(AD$2,Inputs!$K$4:$AJ$4,0)))))</f>
        <v>1379</v>
      </c>
      <c r="AE50" s="6" t="e">
        <f>IF(ISNA(MATCH(AE$2,Inputs!$K$4:$AJ$4,0)),NA(),IF(SUMPRODUCT((Inputs!$A$5:$A$130=$B50)*ISNUMBER(INDEX(Inputs!$K$5:$AJ$130,0,MATCH(AE$2,Inputs!$K$4:$AJ$4,0))))+SUMPRODUCT((Inputs!$C$5:$C$130=$B50)*ISNUMBER(INDEX(Inputs!$K$5:$AJ$130,0,MATCH(AE$2,Inputs!$K$4:$AJ$4,0))))+SUMPRODUCT((Inputs!$E$5:$E$130=$B50)*ISNUMBER(INDEX(Inputs!$K$5:$AJ$130,0,MATCH(AE$2,Inputs!$K$4:$AJ$4,0))))=0,NA(),SUMPRODUCT((Inputs!$A$5:$A$130=$B50)*Inputs!$B$5:$B$130*(((Inputs!$G$5:$G$130="moeda")+(Inputs!$G$5:$G$130="acoes"))*Inputs!$B$1+((Inputs!$G$5:$G$130&lt;&gt;"moeda")*(Inputs!$G$5:$G$130&lt;&gt;"acoes")))*INDEX(Inputs!$K$5:$AJ$130,0,MATCH(AE$2,Inputs!$K$4:$AJ$4,0)))+SUMPRODUCT((Inputs!$C$5:$C$130=$B50)*Inputs!$D$5:$D$130*(((Inputs!$G$5:$G$130="moeda")+(Inputs!$G$5:$G$130="acoes"))*Inputs!$B$1+((Inputs!$G$5:$G$130&lt;&gt;"moeda")*(Inputs!$G$5:$G$130&lt;&gt;"acoes")))*INDEX(Inputs!$K$5:$AJ$130,0,MATCH(AE$2,Inputs!$K$4:$AJ$4,0)))+SUMPRODUCT((Inputs!$E$5:$E$130=$B50)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0" s="6" t="e">
        <f>IF(ISNA(MATCH(AF$2,Inputs!$K$4:$AJ$4,0)),NA(),IF(SUMPRODUCT((Inputs!$A$5:$A$130=$B50)*ISNUMBER(INDEX(Inputs!$K$5:$AJ$130,0,MATCH(AF$2,Inputs!$K$4:$AJ$4,0))))+SUMPRODUCT((Inputs!$C$5:$C$130=$B50)*ISNUMBER(INDEX(Inputs!$K$5:$AJ$130,0,MATCH(AF$2,Inputs!$K$4:$AJ$4,0))))+SUMPRODUCT((Inputs!$E$5:$E$130=$B50)*ISNUMBER(INDEX(Inputs!$K$5:$AJ$130,0,MATCH(AF$2,Inputs!$K$4:$AJ$4,0))))=0,NA(),SUMPRODUCT((Inputs!$A$5:$A$130=$B50)*Inputs!$B$5:$B$130*(((Inputs!$G$5:$G$130="moeda")+(Inputs!$G$5:$G$130="acoes"))*Inputs!$B$1+((Inputs!$G$5:$G$130&lt;&gt;"moeda")*(Inputs!$G$5:$G$130&lt;&gt;"acoes")))*INDEX(Inputs!$K$5:$AJ$130,0,MATCH(AF$2,Inputs!$K$4:$AJ$4,0)))+SUMPRODUCT((Inputs!$C$5:$C$130=$B50)*Inputs!$D$5:$D$130*(((Inputs!$G$5:$G$130="moeda")+(Inputs!$G$5:$G$130="acoes"))*Inputs!$B$1+((Inputs!$G$5:$G$130&lt;&gt;"moeda")*(Inputs!$G$5:$G$130&lt;&gt;"acoes")))*INDEX(Inputs!$K$5:$AJ$130,0,MATCH(AF$2,Inputs!$K$4:$AJ$4,0)))+SUMPRODUCT((Inputs!$E$5:$E$130=$B50)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0" s="3" t="e">
        <f>SUM(AC50:AF50)</f>
        <v>#N/A</v>
      </c>
      <c r="AH50">
        <f>IF(ISNA(MATCH(AH$2,Inputs!$K$4:$AJ$4,0)),NA(),IF(SUMPRODUCT((Inputs!$A$5:$A$130=$B50)*ISNUMBER(INDEX(Inputs!$K$5:$AJ$130,0,MATCH(AH$2,Inputs!$K$4:$AJ$4,0))))+SUMPRODUCT((Inputs!$C$5:$C$130=$B50)*ISNUMBER(INDEX(Inputs!$K$5:$AJ$130,0,MATCH(AH$2,Inputs!$K$4:$AJ$4,0))))+SUMPRODUCT((Inputs!$E$5:$E$130=$B50)*ISNUMBER(INDEX(Inputs!$K$5:$AJ$130,0,MATCH(AH$2,Inputs!$K$4:$AJ$4,0))))=0,NA(),SUMPRODUCT((Inputs!$A$5:$A$130=$B50)*Inputs!$B$5:$B$130*(((Inputs!$G$5:$G$130="moeda")+(Inputs!$G$5:$G$130="acoes"))*Inputs!$B$1+((Inputs!$G$5:$G$130&lt;&gt;"moeda")*(Inputs!$G$5:$G$130&lt;&gt;"acoes")))*INDEX(Inputs!$K$5:$AJ$130,0,MATCH(AH$2,Inputs!$K$4:$AJ$4,0)))+SUMPRODUCT((Inputs!$C$5:$C$130=$B50)*Inputs!$D$5:$D$130*(((Inputs!$G$5:$G$130="moeda")+(Inputs!$G$5:$G$130="acoes"))*Inputs!$B$1+((Inputs!$G$5:$G$130&lt;&gt;"moeda")*(Inputs!$G$5:$G$130&lt;&gt;"acoes")))*INDEX(Inputs!$K$5:$AJ$130,0,MATCH(AH$2,Inputs!$K$4:$AJ$4,0)))+SUMPRODUCT((Inputs!$E$5:$E$130=$B50)*Inputs!$F$5:$F$130*(((Inputs!$G$5:$G$130="moeda")+(Inputs!$G$5:$G$130="acoes"))*Inputs!$B$1+((Inputs!$G$5:$G$130&lt;&gt;"moeda")*(Inputs!$G$5:$G$130&lt;&gt;"acoes")))*INDEX(Inputs!$K$5:$AJ$130,0,MATCH(AH$2,Inputs!$K$4:$AJ$4,0)))))</f>
        <v>666</v>
      </c>
      <c r="AI50">
        <f>IF(ISNA(MATCH(AI$2,Inputs!$K$4:$AJ$4,0)),NA(),IF(SUMPRODUCT((Inputs!$A$5:$A$130=$B50)*ISNUMBER(INDEX(Inputs!$K$5:$AJ$130,0,MATCH(AI$2,Inputs!$K$4:$AJ$4,0))))+SUMPRODUCT((Inputs!$C$5:$C$130=$B50)*ISNUMBER(INDEX(Inputs!$K$5:$AJ$130,0,MATCH(AI$2,Inputs!$K$4:$AJ$4,0))))+SUMPRODUCT((Inputs!$E$5:$E$130=$B50)*ISNUMBER(INDEX(Inputs!$K$5:$AJ$130,0,MATCH(AI$2,Inputs!$K$4:$AJ$4,0))))=0,NA(),SUMPRODUCT((Inputs!$A$5:$A$130=$B50)*Inputs!$B$5:$B$130*(((Inputs!$G$5:$G$130="moeda")+(Inputs!$G$5:$G$130="acoes"))*Inputs!$B$1+((Inputs!$G$5:$G$130&lt;&gt;"moeda")*(Inputs!$G$5:$G$130&lt;&gt;"acoes")))*INDEX(Inputs!$K$5:$AJ$130,0,MATCH(AI$2,Inputs!$K$4:$AJ$4,0)))+SUMPRODUCT((Inputs!$C$5:$C$130=$B50)*Inputs!$D$5:$D$130*(((Inputs!$G$5:$G$130="moeda")+(Inputs!$G$5:$G$130="acoes"))*Inputs!$B$1+((Inputs!$G$5:$G$130&lt;&gt;"moeda")*(Inputs!$G$5:$G$130&lt;&gt;"acoes")))*INDEX(Inputs!$K$5:$AJ$130,0,MATCH(AI$2,Inputs!$K$4:$AJ$4,0)))+SUMPRODUCT((Inputs!$E$5:$E$130=$B50)*Inputs!$F$5:$F$130*(((Inputs!$G$5:$G$130="moeda")+(Inputs!$G$5:$G$130="acoes"))*Inputs!$B$1+((Inputs!$G$5:$G$130&lt;&gt;"moeda")*(Inputs!$G$5:$G$130&lt;&gt;"acoes")))*INDEX(Inputs!$K$5:$AJ$130,0,MATCH(AI$2,Inputs!$K$4:$AJ$4,0)))))</f>
        <v>811</v>
      </c>
      <c r="AJ50">
        <f>IF(ISNA(MATCH(AJ$2,Inputs!$K$4:$AJ$4,0)),NA(),IF(SUMPRODUCT((Inputs!$A$5:$A$130=$B50)*ISNUMBER(INDEX(Inputs!$K$5:$AJ$130,0,MATCH(AJ$2,Inputs!$K$4:$AJ$4,0))))+SUMPRODUCT((Inputs!$C$5:$C$130=$B50)*ISNUMBER(INDEX(Inputs!$K$5:$AJ$130,0,MATCH(AJ$2,Inputs!$K$4:$AJ$4,0))))+SUMPRODUCT((Inputs!$E$5:$E$130=$B50)*ISNUMBER(INDEX(Inputs!$K$5:$AJ$130,0,MATCH(AJ$2,Inputs!$K$4:$AJ$4,0))))=0,NA(),SUMPRODUCT((Inputs!$A$5:$A$130=$B50)*Inputs!$B$5:$B$130*(((Inputs!$G$5:$G$130="moeda")+(Inputs!$G$5:$G$130="acoes"))*Inputs!$B$1+((Inputs!$G$5:$G$130&lt;&gt;"moeda")*(Inputs!$G$5:$G$130&lt;&gt;"acoes")))*INDEX(Inputs!$K$5:$AJ$130,0,MATCH(AJ$2,Inputs!$K$4:$AJ$4,0)))+SUMPRODUCT((Inputs!$C$5:$C$130=$B50)*Inputs!$D$5:$D$130*(((Inputs!$G$5:$G$130="moeda")+(Inputs!$G$5:$G$130="acoes"))*Inputs!$B$1+((Inputs!$G$5:$G$130&lt;&gt;"moeda")*(Inputs!$G$5:$G$130&lt;&gt;"acoes")))*INDEX(Inputs!$K$5:$AJ$130,0,MATCH(AJ$2,Inputs!$K$4:$AJ$4,0)))+SUMPRODUCT((Inputs!$E$5:$E$130=$B50)*Inputs!$F$5:$F$130*(((Inputs!$G$5:$G$130="moeda")+(Inputs!$G$5:$G$130="acoes"))*Inputs!$B$1+((Inputs!$G$5:$G$130&lt;&gt;"moeda")*(Inputs!$G$5:$G$130&lt;&gt;"acoes")))*INDEX(Inputs!$K$5:$AJ$130,0,MATCH(AJ$2,Inputs!$K$4:$AJ$4,0)))))</f>
        <v>757</v>
      </c>
      <c r="AK50">
        <f>IF(ISNA(MATCH(AK$2,Inputs!$K$4:$AJ$4,0)),NA(),IF(SUMPRODUCT((Inputs!$A$5:$A$130=$B50)*ISNUMBER(INDEX(Inputs!$K$5:$AJ$130,0,MATCH(AK$2,Inputs!$K$4:$AJ$4,0))))+SUMPRODUCT((Inputs!$C$5:$C$130=$B50)*ISNUMBER(INDEX(Inputs!$K$5:$AJ$130,0,MATCH(AK$2,Inputs!$K$4:$AJ$4,0))))+SUMPRODUCT((Inputs!$E$5:$E$130=$B50)*ISNUMBER(INDEX(Inputs!$K$5:$AJ$130,0,MATCH(AK$2,Inputs!$K$4:$AJ$4,0))))=0,NA(),SUMPRODUCT((Inputs!$A$5:$A$130=$B50)*Inputs!$B$5:$B$130*(((Inputs!$G$5:$G$130="moeda")+(Inputs!$G$5:$G$130="acoes"))*Inputs!$B$1+((Inputs!$G$5:$G$130&lt;&gt;"moeda")*(Inputs!$G$5:$G$130&lt;&gt;"acoes")))*INDEX(Inputs!$K$5:$AJ$130,0,MATCH(AK$2,Inputs!$K$4:$AJ$4,0)))+SUMPRODUCT((Inputs!$C$5:$C$130=$B50)*Inputs!$D$5:$D$130*(((Inputs!$G$5:$G$130="moeda")+(Inputs!$G$5:$G$130="acoes"))*Inputs!$B$1+((Inputs!$G$5:$G$130&lt;&gt;"moeda")*(Inputs!$G$5:$G$130&lt;&gt;"acoes")))*INDEX(Inputs!$K$5:$AJ$130,0,MATCH(AK$2,Inputs!$K$4:$AJ$4,0)))+SUMPRODUCT((Inputs!$E$5:$E$130=$B50)*Inputs!$F$5:$F$130*(((Inputs!$G$5:$G$130="moeda")+(Inputs!$G$5:$G$130="acoes"))*Inputs!$B$1+((Inputs!$G$5:$G$130&lt;&gt;"moeda")*(Inputs!$G$5:$G$130&lt;&gt;"acoes")))*INDEX(Inputs!$K$5:$AJ$130,0,MATCH(AK$2,Inputs!$K$4:$AJ$4,0)))))</f>
        <v>1224</v>
      </c>
      <c r="AL50">
        <f>SUM(AH50:AK50)</f>
        <v>3458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Production &amp; Precision Agriculture - receita (USD)</t>
        </is>
      </c>
      <c r="D53" s="263">
        <f>IF(ISNA(MATCH(D$2,Inputs!$K$4:$AJ$4,0)),NA(),IF(SUMPRODUCT((Inputs!$A$5:$A$130=$B53)*ISNUMBER(INDEX(Inputs!$K$5:$AJ$130,0,MATCH(D$2,Inputs!$K$4:$AJ$4,0))))+SUMPRODUCT((Inputs!$C$5:$C$130=$B53)*ISNUMBER(INDEX(Inputs!$K$5:$AJ$130,0,MATCH(D$2,Inputs!$K$4:$AJ$4,0))))+SUMPRODUCT((Inputs!$E$5:$E$130=$B53)*ISNUMBER(INDEX(Inputs!$K$5:$AJ$130,0,MATCH(D$2,Inputs!$K$4:$AJ$4,0))))=0,NA(),SUMPRODUCT((Inputs!$A$5:$A$130=$B53)*Inputs!$B$5:$B$130*(((Inputs!$G$5:$G$130="moeda")+(Inputs!$G$5:$G$130="acoes"))*Inputs!$B$1+((Inputs!$G$5:$G$130&lt;&gt;"moeda")*(Inputs!$G$5:$G$130&lt;&gt;"acoes")))*INDEX(Inputs!$K$5:$AJ$130,0,MATCH(D$2,Inputs!$K$4:$AJ$4,0)))+SUMPRODUCT((Inputs!$C$5:$C$130=$B53)*Inputs!$D$5:$D$130*(((Inputs!$G$5:$G$130="moeda")+(Inputs!$G$5:$G$130="acoes"))*Inputs!$B$1+((Inputs!$G$5:$G$130&lt;&gt;"moeda")*(Inputs!$G$5:$G$130&lt;&gt;"acoes")))*INDEX(Inputs!$K$5:$AJ$130,0,MATCH(D$2,Inputs!$K$4:$AJ$4,0)))+SUMPRODUCT((Inputs!$E$5:$E$130=$B53)*Inputs!$F$5:$F$130*(((Inputs!$G$5:$G$130="moeda")+(Inputs!$G$5:$G$130="acoes"))*Inputs!$B$1+((Inputs!$G$5:$G$130&lt;&gt;"moeda")*(Inputs!$G$5:$G$130&lt;&gt;"acoes")))*INDEX(Inputs!$K$5:$AJ$130,0,MATCH(D$2,Inputs!$K$4:$AJ$4,0)))))</f>
        <v>4602</v>
      </c>
      <c r="E53" s="263">
        <f>IF(ISNA(MATCH(E$2,Inputs!$K$4:$AJ$4,0)),NA(),IF(SUMPRODUCT((Inputs!$A$5:$A$130=$B53)*ISNUMBER(INDEX(Inputs!$K$5:$AJ$130,0,MATCH(E$2,Inputs!$K$4:$AJ$4,0))))+SUMPRODUCT((Inputs!$C$5:$C$130=$B53)*ISNUMBER(INDEX(Inputs!$K$5:$AJ$130,0,MATCH(E$2,Inputs!$K$4:$AJ$4,0))))+SUMPRODUCT((Inputs!$E$5:$E$130=$B53)*ISNUMBER(INDEX(Inputs!$K$5:$AJ$130,0,MATCH(E$2,Inputs!$K$4:$AJ$4,0))))=0,NA(),SUMPRODUCT((Inputs!$A$5:$A$130=$B53)*Inputs!$B$5:$B$130*(((Inputs!$G$5:$G$130="moeda")+(Inputs!$G$5:$G$130="acoes"))*Inputs!$B$1+((Inputs!$G$5:$G$130&lt;&gt;"moeda")*(Inputs!$G$5:$G$130&lt;&gt;"acoes")))*INDEX(Inputs!$K$5:$AJ$130,0,MATCH(E$2,Inputs!$K$4:$AJ$4,0)))+SUMPRODUCT((Inputs!$C$5:$C$130=$B53)*Inputs!$D$5:$D$130*(((Inputs!$G$5:$G$130="moeda")+(Inputs!$G$5:$G$130="acoes"))*Inputs!$B$1+((Inputs!$G$5:$G$130&lt;&gt;"moeda")*(Inputs!$G$5:$G$130&lt;&gt;"acoes")))*INDEX(Inputs!$K$5:$AJ$130,0,MATCH(E$2,Inputs!$K$4:$AJ$4,0)))+SUMPRODUCT((Inputs!$E$5:$E$130=$B53)*Inputs!$F$5:$F$130*(((Inputs!$G$5:$G$130="moeda")+(Inputs!$G$5:$G$130="acoes"))*Inputs!$B$1+((Inputs!$G$5:$G$130&lt;&gt;"moeda")*(Inputs!$G$5:$G$130&lt;&gt;"acoes")))*INDEX(Inputs!$K$5:$AJ$130,0,MATCH(E$2,Inputs!$K$4:$AJ$4,0)))))</f>
        <v>4338</v>
      </c>
      <c r="F53" s="263">
        <f>IF(ISNA(MATCH(F$2,Inputs!$K$4:$AJ$4,0)),NA(),IF(SUMPRODUCT((Inputs!$A$5:$A$130=$B53)*ISNUMBER(INDEX(Inputs!$K$5:$AJ$130,0,MATCH(F$2,Inputs!$K$4:$AJ$4,0))))+SUMPRODUCT((Inputs!$C$5:$C$130=$B53)*ISNUMBER(INDEX(Inputs!$K$5:$AJ$130,0,MATCH(F$2,Inputs!$K$4:$AJ$4,0))))+SUMPRODUCT((Inputs!$E$5:$E$130=$B53)*ISNUMBER(INDEX(Inputs!$K$5:$AJ$130,0,MATCH(F$2,Inputs!$K$4:$AJ$4,0))))=0,NA(),SUMPRODUCT((Inputs!$A$5:$A$130=$B53)*Inputs!$B$5:$B$130*(((Inputs!$G$5:$G$130="moeda")+(Inputs!$G$5:$G$130="acoes"))*Inputs!$B$1+((Inputs!$G$5:$G$130&lt;&gt;"moeda")*(Inputs!$G$5:$G$130&lt;&gt;"acoes")))*INDEX(Inputs!$K$5:$AJ$130,0,MATCH(F$2,Inputs!$K$4:$AJ$4,0)))+SUMPRODUCT((Inputs!$C$5:$C$130=$B53)*Inputs!$D$5:$D$130*(((Inputs!$G$5:$G$130="moeda")+(Inputs!$G$5:$G$130="acoes"))*Inputs!$B$1+((Inputs!$G$5:$G$130&lt;&gt;"moeda")*(Inputs!$G$5:$G$130&lt;&gt;"acoes")))*INDEX(Inputs!$K$5:$AJ$130,0,MATCH(F$2,Inputs!$K$4:$AJ$4,0)))+SUMPRODUCT((Inputs!$E$5:$E$130=$B53)*Inputs!$F$5:$F$130*(((Inputs!$G$5:$G$130="moeda")+(Inputs!$G$5:$G$130="acoes"))*Inputs!$B$1+((Inputs!$G$5:$G$130&lt;&gt;"moeda")*(Inputs!$G$5:$G$130&lt;&gt;"acoes")))*INDEX(Inputs!$K$5:$AJ$130,0,MATCH(F$2,Inputs!$K$4:$AJ$4,0)))))</f>
        <v>4730</v>
      </c>
      <c r="G53" s="263">
        <f>IF(ISNA(MATCH(G$2,Inputs!$K$4:$AJ$4,0)),NA(),IF(SUMPRODUCT((Inputs!$A$5:$A$130=$B53)*ISNUMBER(INDEX(Inputs!$K$5:$AJ$130,0,MATCH(G$2,Inputs!$K$4:$AJ$4,0))))+SUMPRODUCT((Inputs!$C$5:$C$130=$B53)*ISNUMBER(INDEX(Inputs!$K$5:$AJ$130,0,MATCH(G$2,Inputs!$K$4:$AJ$4,0))))+SUMPRODUCT((Inputs!$E$5:$E$130=$B53)*ISNUMBER(INDEX(Inputs!$K$5:$AJ$130,0,MATCH(G$2,Inputs!$K$4:$AJ$4,0))))=0,NA(),SUMPRODUCT((Inputs!$A$5:$A$130=$B53)*Inputs!$B$5:$B$130*(((Inputs!$G$5:$G$130="moeda")+(Inputs!$G$5:$G$130="acoes"))*Inputs!$B$1+((Inputs!$G$5:$G$130&lt;&gt;"moeda")*(Inputs!$G$5:$G$130&lt;&gt;"acoes")))*INDEX(Inputs!$K$5:$AJ$130,0,MATCH(G$2,Inputs!$K$4:$AJ$4,0)))+SUMPRODUCT((Inputs!$C$5:$C$130=$B53)*Inputs!$D$5:$D$130*(((Inputs!$G$5:$G$130="moeda")+(Inputs!$G$5:$G$130="acoes"))*Inputs!$B$1+((Inputs!$G$5:$G$130&lt;&gt;"moeda")*(Inputs!$G$5:$G$130&lt;&gt;"acoes")))*INDEX(Inputs!$K$5:$AJ$130,0,MATCH(G$2,Inputs!$K$4:$AJ$4,0)))+SUMPRODUCT((Inputs!$E$5:$E$130=$B53)*Inputs!$F$5:$F$130*(((Inputs!$G$5:$G$130="moeda")+(Inputs!$G$5:$G$130="acoes"))*Inputs!$B$1+((Inputs!$G$5:$G$130&lt;&gt;"moeda")*(Inputs!$G$5:$G$130&lt;&gt;"acoes")))*INDEX(Inputs!$K$5:$AJ$130,0,MATCH(G$2,Inputs!$K$4:$AJ$4,0)))))</f>
        <v>3433</v>
      </c>
      <c r="H53" s="264">
        <f>SUM(D53:G53)</f>
        <v>17103</v>
      </c>
      <c r="I53" s="263">
        <f>IF(ISNA(MATCH(I$2,Inputs!$K$4:$AJ$4,0)),NA(),IF(SUMPRODUCT((Inputs!$A$5:$A$130=$B53)*ISNUMBER(INDEX(Inputs!$K$5:$AJ$130,0,MATCH(I$2,Inputs!$K$4:$AJ$4,0))))+SUMPRODUCT((Inputs!$C$5:$C$130=$B53)*ISNUMBER(INDEX(Inputs!$K$5:$AJ$130,0,MATCH(I$2,Inputs!$K$4:$AJ$4,0))))+SUMPRODUCT((Inputs!$E$5:$E$130=$B53)*ISNUMBER(INDEX(Inputs!$K$5:$AJ$130,0,MATCH(I$2,Inputs!$K$4:$AJ$4,0))))=0,NA(),SUMPRODUCT((Inputs!$A$5:$A$130=$B53)*Inputs!$B$5:$B$130*(((Inputs!$G$5:$G$130="moeda")+(Inputs!$G$5:$G$130="acoes"))*Inputs!$B$1+((Inputs!$G$5:$G$130&lt;&gt;"moeda")*(Inputs!$G$5:$G$130&lt;&gt;"acoes")))*INDEX(Inputs!$K$5:$AJ$130,0,MATCH(I$2,Inputs!$K$4:$AJ$4,0)))+SUMPRODUCT((Inputs!$C$5:$C$130=$B53)*Inputs!$D$5:$D$130*(((Inputs!$G$5:$G$130="moeda")+(Inputs!$G$5:$G$130="acoes"))*Inputs!$B$1+((Inputs!$G$5:$G$130&lt;&gt;"moeda")*(Inputs!$G$5:$G$130&lt;&gt;"acoes")))*INDEX(Inputs!$K$5:$AJ$130,0,MATCH(I$2,Inputs!$K$4:$AJ$4,0)))+SUMPRODUCT((Inputs!$E$5:$E$130=$B53)*Inputs!$F$5:$F$130*(((Inputs!$G$5:$G$130="moeda")+(Inputs!$G$5:$G$130="acoes"))*Inputs!$B$1+((Inputs!$G$5:$G$130&lt;&gt;"moeda")*(Inputs!$G$5:$G$130&lt;&gt;"acoes")))*INDEX(Inputs!$K$5:$AJ$130,0,MATCH(I$2,Inputs!$K$4:$AJ$4,0)))))</f>
        <v>5176</v>
      </c>
      <c r="J53" s="263">
        <f>IF(ISNA(MATCH(J$2,Inputs!$K$4:$AJ$4,0)),NA(),IF(SUMPRODUCT((Inputs!$A$5:$A$130=$B53)*ISNUMBER(INDEX(Inputs!$K$5:$AJ$130,0,MATCH(J$2,Inputs!$K$4:$AJ$4,0))))+SUMPRODUCT((Inputs!$C$5:$C$130=$B53)*ISNUMBER(INDEX(Inputs!$K$5:$AJ$130,0,MATCH(J$2,Inputs!$K$4:$AJ$4,0))))+SUMPRODUCT((Inputs!$E$5:$E$130=$B53)*ISNUMBER(INDEX(Inputs!$K$5:$AJ$130,0,MATCH(J$2,Inputs!$K$4:$AJ$4,0))))=0,NA(),SUMPRODUCT((Inputs!$A$5:$A$130=$B53)*Inputs!$B$5:$B$130*(((Inputs!$G$5:$G$130="moeda")+(Inputs!$G$5:$G$130="acoes"))*Inputs!$B$1+((Inputs!$G$5:$G$130&lt;&gt;"moeda")*(Inputs!$G$5:$G$130&lt;&gt;"acoes")))*INDEX(Inputs!$K$5:$AJ$130,0,MATCH(J$2,Inputs!$K$4:$AJ$4,0)))+SUMPRODUCT((Inputs!$C$5:$C$130=$B53)*Inputs!$D$5:$D$130*(((Inputs!$G$5:$G$130="moeda")+(Inputs!$G$5:$G$130="acoes"))*Inputs!$B$1+((Inputs!$G$5:$G$130&lt;&gt;"moeda")*(Inputs!$G$5:$G$130&lt;&gt;"acoes")))*INDEX(Inputs!$K$5:$AJ$130,0,MATCH(J$2,Inputs!$K$4:$AJ$4,0)))+SUMPRODUCT((Inputs!$E$5:$E$130=$B53)*Inputs!$F$5:$F$130*(((Inputs!$G$5:$G$130="moeda")+(Inputs!$G$5:$G$130="acoes"))*Inputs!$B$1+((Inputs!$G$5:$G$130&lt;&gt;"moeda")*(Inputs!$G$5:$G$130&lt;&gt;"acoes")))*INDEX(Inputs!$K$5:$AJ$130,0,MATCH(J$2,Inputs!$K$4:$AJ$4,0)))))</f>
        <v>6185</v>
      </c>
      <c r="K53" s="263">
        <f>IF(ISNA(MATCH(K$2,Inputs!$K$4:$AJ$4,0)),NA(),IF(SUMPRODUCT((Inputs!$A$5:$A$130=$B53)*ISNUMBER(INDEX(Inputs!$K$5:$AJ$130,0,MATCH(K$2,Inputs!$K$4:$AJ$4,0))))+SUMPRODUCT((Inputs!$C$5:$C$130=$B53)*ISNUMBER(INDEX(Inputs!$K$5:$AJ$130,0,MATCH(K$2,Inputs!$K$4:$AJ$4,0))))+SUMPRODUCT((Inputs!$E$5:$E$130=$B53)*ISNUMBER(INDEX(Inputs!$K$5:$AJ$130,0,MATCH(K$2,Inputs!$K$4:$AJ$4,0))))=0,NA(),SUMPRODUCT((Inputs!$A$5:$A$130=$B53)*Inputs!$B$5:$B$130*(((Inputs!$G$5:$G$130="moeda")+(Inputs!$G$5:$G$130="acoes"))*Inputs!$B$1+((Inputs!$G$5:$G$130&lt;&gt;"moeda")*(Inputs!$G$5:$G$130&lt;&gt;"acoes")))*INDEX(Inputs!$K$5:$AJ$130,0,MATCH(K$2,Inputs!$K$4:$AJ$4,0)))+SUMPRODUCT((Inputs!$C$5:$C$130=$B53)*Inputs!$D$5:$D$130*(((Inputs!$G$5:$G$130="moeda")+(Inputs!$G$5:$G$130="acoes"))*Inputs!$B$1+((Inputs!$G$5:$G$130&lt;&gt;"moeda")*(Inputs!$G$5:$G$130&lt;&gt;"acoes")))*INDEX(Inputs!$K$5:$AJ$130,0,MATCH(K$2,Inputs!$K$4:$AJ$4,0)))+SUMPRODUCT((Inputs!$E$5:$E$130=$B53)*Inputs!$F$5:$F$130*(((Inputs!$G$5:$G$130="moeda")+(Inputs!$G$5:$G$130="acoes"))*Inputs!$B$1+((Inputs!$G$5:$G$130&lt;&gt;"moeda")*(Inputs!$G$5:$G$130&lt;&gt;"acoes")))*INDEX(Inputs!$K$5:$AJ$130,0,MATCH(K$2,Inputs!$K$4:$AJ$4,0)))))</f>
        <v>7524</v>
      </c>
      <c r="L53" s="263">
        <f>IF(ISNA(MATCH(L$2,Inputs!$K$4:$AJ$4,0)),NA(),IF(SUMPRODUCT((Inputs!$A$5:$A$130=$B53)*ISNUMBER(INDEX(Inputs!$K$5:$AJ$130,0,MATCH(L$2,Inputs!$K$4:$AJ$4,0))))+SUMPRODUCT((Inputs!$C$5:$C$130=$B53)*ISNUMBER(INDEX(Inputs!$K$5:$AJ$130,0,MATCH(L$2,Inputs!$K$4:$AJ$4,0))))+SUMPRODUCT((Inputs!$E$5:$E$130=$B53)*ISNUMBER(INDEX(Inputs!$K$5:$AJ$130,0,MATCH(L$2,Inputs!$K$4:$AJ$4,0))))=0,NA(),SUMPRODUCT((Inputs!$A$5:$A$130=$B53)*Inputs!$B$5:$B$130*(((Inputs!$G$5:$G$130="moeda")+(Inputs!$G$5:$G$130="acoes"))*Inputs!$B$1+((Inputs!$G$5:$G$130&lt;&gt;"moeda")*(Inputs!$G$5:$G$130&lt;&gt;"acoes")))*INDEX(Inputs!$K$5:$AJ$130,0,MATCH(L$2,Inputs!$K$4:$AJ$4,0)))+SUMPRODUCT((Inputs!$C$5:$C$130=$B53)*Inputs!$D$5:$D$130*(((Inputs!$G$5:$G$130="moeda")+(Inputs!$G$5:$G$130="acoes"))*Inputs!$B$1+((Inputs!$G$5:$G$130&lt;&gt;"moeda")*(Inputs!$G$5:$G$130&lt;&gt;"acoes")))*INDEX(Inputs!$K$5:$AJ$130,0,MATCH(L$2,Inputs!$K$4:$AJ$4,0)))+SUMPRODUCT((Inputs!$E$5:$E$130=$B53)*Inputs!$F$5:$F$130*(((Inputs!$G$5:$G$130="moeda")+(Inputs!$G$5:$G$130="acoes"))*Inputs!$B$1+((Inputs!$G$5:$G$130&lt;&gt;"moeda")*(Inputs!$G$5:$G$130&lt;&gt;"acoes")))*INDEX(Inputs!$K$5:$AJ$130,0,MATCH(L$2,Inputs!$K$4:$AJ$4,0)))))</f>
        <v>5303</v>
      </c>
      <c r="M53" s="264">
        <f>SUM(I53:L53)</f>
        <v>24188</v>
      </c>
      <c r="N53" s="263">
        <f>IF(ISNA(MATCH(N$2,Inputs!$K$4:$AJ$4,0)),NA(),IF(SUMPRODUCT((Inputs!$A$5:$A$130=$B53)*ISNUMBER(INDEX(Inputs!$K$5:$AJ$130,0,MATCH(N$2,Inputs!$K$4:$AJ$4,0))))+SUMPRODUCT((Inputs!$C$5:$C$130=$B53)*ISNUMBER(INDEX(Inputs!$K$5:$AJ$130,0,MATCH(N$2,Inputs!$K$4:$AJ$4,0))))+SUMPRODUCT((Inputs!$E$5:$E$130=$B53)*ISNUMBER(INDEX(Inputs!$K$5:$AJ$130,0,MATCH(N$2,Inputs!$K$4:$AJ$4,0))))=0,NA(),SUMPRODUCT((Inputs!$A$5:$A$130=$B53)*Inputs!$B$5:$B$130*(((Inputs!$G$5:$G$130="moeda")+(Inputs!$G$5:$G$130="acoes"))*Inputs!$B$1+((Inputs!$G$5:$G$130&lt;&gt;"moeda")*(Inputs!$G$5:$G$130&lt;&gt;"acoes")))*INDEX(Inputs!$K$5:$AJ$130,0,MATCH(N$2,Inputs!$K$4:$AJ$4,0)))+SUMPRODUCT((Inputs!$C$5:$C$130=$B53)*Inputs!$D$5:$D$130*(((Inputs!$G$5:$G$130="moeda")+(Inputs!$G$5:$G$130="acoes"))*Inputs!$B$1+((Inputs!$G$5:$G$130&lt;&gt;"moeda")*(Inputs!$G$5:$G$130&lt;&gt;"acoes")))*INDEX(Inputs!$K$5:$AJ$130,0,MATCH(N$2,Inputs!$K$4:$AJ$4,0)))+SUMPRODUCT((Inputs!$E$5:$E$130=$B53)*Inputs!$F$5:$F$130*(((Inputs!$G$5:$G$130="moeda")+(Inputs!$G$5:$G$130="acoes"))*Inputs!$B$1+((Inputs!$G$5:$G$130&lt;&gt;"moeda")*(Inputs!$G$5:$G$130&lt;&gt;"acoes")))*INDEX(Inputs!$K$5:$AJ$130,0,MATCH(N$2,Inputs!$K$4:$AJ$4,0)))))</f>
        <v>7912</v>
      </c>
      <c r="O53" s="263">
        <f>IF(ISNA(MATCH(O$2,Inputs!$K$4:$AJ$4,0)),NA(),IF(SUMPRODUCT((Inputs!$A$5:$A$130=$B53)*ISNUMBER(INDEX(Inputs!$K$5:$AJ$130,0,MATCH(O$2,Inputs!$K$4:$AJ$4,0))))+SUMPRODUCT((Inputs!$C$5:$C$130=$B53)*ISNUMBER(INDEX(Inputs!$K$5:$AJ$130,0,MATCH(O$2,Inputs!$K$4:$AJ$4,0))))+SUMPRODUCT((Inputs!$E$5:$E$130=$B53)*ISNUMBER(INDEX(Inputs!$K$5:$AJ$130,0,MATCH(O$2,Inputs!$K$4:$AJ$4,0))))=0,NA(),SUMPRODUCT((Inputs!$A$5:$A$130=$B53)*Inputs!$B$5:$B$130*(((Inputs!$G$5:$G$130="moeda")+(Inputs!$G$5:$G$130="acoes"))*Inputs!$B$1+((Inputs!$G$5:$G$130&lt;&gt;"moeda")*(Inputs!$G$5:$G$130&lt;&gt;"acoes")))*INDEX(Inputs!$K$5:$AJ$130,0,MATCH(O$2,Inputs!$K$4:$AJ$4,0)))+SUMPRODUCT((Inputs!$C$5:$C$130=$B53)*Inputs!$D$5:$D$130*(((Inputs!$G$5:$G$130="moeda")+(Inputs!$G$5:$G$130="acoes"))*Inputs!$B$1+((Inputs!$G$5:$G$130&lt;&gt;"moeda")*(Inputs!$G$5:$G$130&lt;&gt;"acoes")))*INDEX(Inputs!$K$5:$AJ$130,0,MATCH(O$2,Inputs!$K$4:$AJ$4,0)))+SUMPRODUCT((Inputs!$E$5:$E$130=$B53)*Inputs!$F$5:$F$130*(((Inputs!$G$5:$G$130="moeda")+(Inputs!$G$5:$G$130="acoes"))*Inputs!$B$1+((Inputs!$G$5:$G$130&lt;&gt;"moeda")*(Inputs!$G$5:$G$130&lt;&gt;"acoes")))*INDEX(Inputs!$K$5:$AJ$130,0,MATCH(O$2,Inputs!$K$4:$AJ$4,0)))))</f>
        <v>6972</v>
      </c>
      <c r="P53" s="263">
        <f>IF(ISNA(MATCH(P$2,Inputs!$K$4:$AJ$4,0)),NA(),IF(SUMPRODUCT((Inputs!$A$5:$A$130=$B53)*ISNUMBER(INDEX(Inputs!$K$5:$AJ$130,0,MATCH(P$2,Inputs!$K$4:$AJ$4,0))))+SUMPRODUCT((Inputs!$C$5:$C$130=$B53)*ISNUMBER(INDEX(Inputs!$K$5:$AJ$130,0,MATCH(P$2,Inputs!$K$4:$AJ$4,0))))+SUMPRODUCT((Inputs!$E$5:$E$130=$B53)*ISNUMBER(INDEX(Inputs!$K$5:$AJ$130,0,MATCH(P$2,Inputs!$K$4:$AJ$4,0))))=0,NA(),SUMPRODUCT((Inputs!$A$5:$A$130=$B53)*Inputs!$B$5:$B$130*(((Inputs!$G$5:$G$130="moeda")+(Inputs!$G$5:$G$130="acoes"))*Inputs!$B$1+((Inputs!$G$5:$G$130&lt;&gt;"moeda")*(Inputs!$G$5:$G$130&lt;&gt;"acoes")))*INDEX(Inputs!$K$5:$AJ$130,0,MATCH(P$2,Inputs!$K$4:$AJ$4,0)))+SUMPRODUCT((Inputs!$C$5:$C$130=$B53)*Inputs!$D$5:$D$130*(((Inputs!$G$5:$G$130="moeda")+(Inputs!$G$5:$G$130="acoes"))*Inputs!$B$1+((Inputs!$G$5:$G$130&lt;&gt;"moeda")*(Inputs!$G$5:$G$130&lt;&gt;"acoes")))*INDEX(Inputs!$K$5:$AJ$130,0,MATCH(P$2,Inputs!$K$4:$AJ$4,0)))+SUMPRODUCT((Inputs!$E$5:$E$130=$B53)*Inputs!$F$5:$F$130*(((Inputs!$G$5:$G$130="moeda")+(Inputs!$G$5:$G$130="acoes"))*Inputs!$B$1+((Inputs!$G$5:$G$130&lt;&gt;"moeda")*(Inputs!$G$5:$G$130&lt;&gt;"acoes")))*INDEX(Inputs!$K$5:$AJ$130,0,MATCH(P$2,Inputs!$K$4:$AJ$4,0)))))</f>
        <v>7103</v>
      </c>
      <c r="Q53" s="263">
        <f>IF(ISNA(MATCH(Q$2,Inputs!$K$4:$AJ$4,0)),NA(),IF(SUMPRODUCT((Inputs!$A$5:$A$130=$B53)*ISNUMBER(INDEX(Inputs!$K$5:$AJ$130,0,MATCH(Q$2,Inputs!$K$4:$AJ$4,0))))+SUMPRODUCT((Inputs!$C$5:$C$130=$B53)*ISNUMBER(INDEX(Inputs!$K$5:$AJ$130,0,MATCH(Q$2,Inputs!$K$4:$AJ$4,0))))+SUMPRODUCT((Inputs!$E$5:$E$130=$B53)*ISNUMBER(INDEX(Inputs!$K$5:$AJ$130,0,MATCH(Q$2,Inputs!$K$4:$AJ$4,0))))=0,NA(),SUMPRODUCT((Inputs!$A$5:$A$130=$B53)*Inputs!$B$5:$B$130*(((Inputs!$G$5:$G$130="moeda")+(Inputs!$G$5:$G$130="acoes"))*Inputs!$B$1+((Inputs!$G$5:$G$130&lt;&gt;"moeda")*(Inputs!$G$5:$G$130&lt;&gt;"acoes")))*INDEX(Inputs!$K$5:$AJ$130,0,MATCH(Q$2,Inputs!$K$4:$AJ$4,0)))+SUMPRODUCT((Inputs!$C$5:$C$130=$B53)*Inputs!$D$5:$D$130*(((Inputs!$G$5:$G$130="moeda")+(Inputs!$G$5:$G$130="acoes"))*Inputs!$B$1+((Inputs!$G$5:$G$130&lt;&gt;"moeda")*(Inputs!$G$5:$G$130&lt;&gt;"acoes")))*INDEX(Inputs!$K$5:$AJ$130,0,MATCH(Q$2,Inputs!$K$4:$AJ$4,0)))+SUMPRODUCT((Inputs!$E$5:$E$130=$B53)*Inputs!$F$5:$F$130*(((Inputs!$G$5:$G$130="moeda")+(Inputs!$G$5:$G$130="acoes"))*Inputs!$B$1+((Inputs!$G$5:$G$130&lt;&gt;"moeda")*(Inputs!$G$5:$G$130&lt;&gt;"acoes")))*INDEX(Inputs!$K$5:$AJ$130,0,MATCH(Q$2,Inputs!$K$4:$AJ$4,0)))))</f>
        <v>5043</v>
      </c>
      <c r="R53" s="264">
        <f>SUM(N53:Q53)</f>
        <v>27030</v>
      </c>
      <c r="S53" s="263">
        <f>IF(ISNA(MATCH(S$2,Inputs!$K$4:$AJ$4,0)),NA(),IF(SUMPRODUCT((Inputs!$A$5:$A$130=$B53)*ISNUMBER(INDEX(Inputs!$K$5:$AJ$130,0,MATCH(S$2,Inputs!$K$4:$AJ$4,0))))+SUMPRODUCT((Inputs!$C$5:$C$130=$B53)*ISNUMBER(INDEX(Inputs!$K$5:$AJ$130,0,MATCH(S$2,Inputs!$K$4:$AJ$4,0))))+SUMPRODUCT((Inputs!$E$5:$E$130=$B53)*ISNUMBER(INDEX(Inputs!$K$5:$AJ$130,0,MATCH(S$2,Inputs!$K$4:$AJ$4,0))))=0,NA(),SUMPRODUCT((Inputs!$A$5:$A$130=$B53)*Inputs!$B$5:$B$130*(((Inputs!$G$5:$G$130="moeda")+(Inputs!$G$5:$G$130="acoes"))*Inputs!$B$1+((Inputs!$G$5:$G$130&lt;&gt;"moeda")*(Inputs!$G$5:$G$130&lt;&gt;"acoes")))*INDEX(Inputs!$K$5:$AJ$130,0,MATCH(S$2,Inputs!$K$4:$AJ$4,0)))+SUMPRODUCT((Inputs!$C$5:$C$130=$B53)*Inputs!$D$5:$D$130*(((Inputs!$G$5:$G$130="moeda")+(Inputs!$G$5:$G$130="acoes"))*Inputs!$B$1+((Inputs!$G$5:$G$130&lt;&gt;"moeda")*(Inputs!$G$5:$G$130&lt;&gt;"acoes")))*INDEX(Inputs!$K$5:$AJ$130,0,MATCH(S$2,Inputs!$K$4:$AJ$4,0)))+SUMPRODUCT((Inputs!$E$5:$E$130=$B53)*Inputs!$F$5:$F$130*(((Inputs!$G$5:$G$130="moeda")+(Inputs!$G$5:$G$130="acoes"))*Inputs!$B$1+((Inputs!$G$5:$G$130&lt;&gt;"moeda")*(Inputs!$G$5:$G$130&lt;&gt;"acoes")))*INDEX(Inputs!$K$5:$AJ$130,0,MATCH(S$2,Inputs!$K$4:$AJ$4,0)))))</f>
        <v>6679</v>
      </c>
      <c r="T53" s="263">
        <f>IF(ISNA(MATCH(T$2,Inputs!$K$4:$AJ$4,0)),NA(),IF(SUMPRODUCT((Inputs!$A$5:$A$130=$B53)*ISNUMBER(INDEX(Inputs!$K$5:$AJ$130,0,MATCH(T$2,Inputs!$K$4:$AJ$4,0))))+SUMPRODUCT((Inputs!$C$5:$C$130=$B53)*ISNUMBER(INDEX(Inputs!$K$5:$AJ$130,0,MATCH(T$2,Inputs!$K$4:$AJ$4,0))))+SUMPRODUCT((Inputs!$E$5:$E$130=$B53)*ISNUMBER(INDEX(Inputs!$K$5:$AJ$130,0,MATCH(T$2,Inputs!$K$4:$AJ$4,0))))=0,NA(),SUMPRODUCT((Inputs!$A$5:$A$130=$B53)*Inputs!$B$5:$B$130*(((Inputs!$G$5:$G$130="moeda")+(Inputs!$G$5:$G$130="acoes"))*Inputs!$B$1+((Inputs!$G$5:$G$130&lt;&gt;"moeda")*(Inputs!$G$5:$G$130&lt;&gt;"acoes")))*INDEX(Inputs!$K$5:$AJ$130,0,MATCH(T$2,Inputs!$K$4:$AJ$4,0)))+SUMPRODUCT((Inputs!$C$5:$C$130=$B53)*Inputs!$D$5:$D$130*(((Inputs!$G$5:$G$130="moeda")+(Inputs!$G$5:$G$130="acoes"))*Inputs!$B$1+((Inputs!$G$5:$G$130&lt;&gt;"moeda")*(Inputs!$G$5:$G$130&lt;&gt;"acoes")))*INDEX(Inputs!$K$5:$AJ$130,0,MATCH(T$2,Inputs!$K$4:$AJ$4,0)))+SUMPRODUCT((Inputs!$E$5:$E$130=$B53)*Inputs!$F$5:$F$130*(((Inputs!$G$5:$G$130="moeda")+(Inputs!$G$5:$G$130="acoes"))*Inputs!$B$1+((Inputs!$G$5:$G$130&lt;&gt;"moeda")*(Inputs!$G$5:$G$130&lt;&gt;"acoes")))*INDEX(Inputs!$K$5:$AJ$130,0,MATCH(T$2,Inputs!$K$4:$AJ$4,0)))))</f>
        <v>5242</v>
      </c>
      <c r="U53" s="263">
        <f>IF(ISNA(MATCH(U$2,Inputs!$K$4:$AJ$4,0)),NA(),IF(SUMPRODUCT((Inputs!$A$5:$A$130=$B53)*ISNUMBER(INDEX(Inputs!$K$5:$AJ$130,0,MATCH(U$2,Inputs!$K$4:$AJ$4,0))))+SUMPRODUCT((Inputs!$C$5:$C$130=$B53)*ISNUMBER(INDEX(Inputs!$K$5:$AJ$130,0,MATCH(U$2,Inputs!$K$4:$AJ$4,0))))+SUMPRODUCT((Inputs!$E$5:$E$130=$B53)*ISNUMBER(INDEX(Inputs!$K$5:$AJ$130,0,MATCH(U$2,Inputs!$K$4:$AJ$4,0))))=0,NA(),SUMPRODUCT((Inputs!$A$5:$A$130=$B53)*Inputs!$B$5:$B$130*(((Inputs!$G$5:$G$130="moeda")+(Inputs!$G$5:$G$130="acoes"))*Inputs!$B$1+((Inputs!$G$5:$G$130&lt;&gt;"moeda")*(Inputs!$G$5:$G$130&lt;&gt;"acoes")))*INDEX(Inputs!$K$5:$AJ$130,0,MATCH(U$2,Inputs!$K$4:$AJ$4,0)))+SUMPRODUCT((Inputs!$C$5:$C$130=$B53)*Inputs!$D$5:$D$130*(((Inputs!$G$5:$G$130="moeda")+(Inputs!$G$5:$G$130="acoes"))*Inputs!$B$1+((Inputs!$G$5:$G$130&lt;&gt;"moeda")*(Inputs!$G$5:$G$130&lt;&gt;"acoes")))*INDEX(Inputs!$K$5:$AJ$130,0,MATCH(U$2,Inputs!$K$4:$AJ$4,0)))+SUMPRODUCT((Inputs!$E$5:$E$130=$B53)*Inputs!$F$5:$F$130*(((Inputs!$G$5:$G$130="moeda")+(Inputs!$G$5:$G$130="acoes"))*Inputs!$B$1+((Inputs!$G$5:$G$130&lt;&gt;"moeda")*(Inputs!$G$5:$G$130&lt;&gt;"acoes")))*INDEX(Inputs!$K$5:$AJ$130,0,MATCH(U$2,Inputs!$K$4:$AJ$4,0)))))</f>
        <v>4416</v>
      </c>
      <c r="V53" s="263">
        <f>IF(ISNA(MATCH(V$2,Inputs!$K$4:$AJ$4,0)),NA(),IF(SUMPRODUCT((Inputs!$A$5:$A$130=$B53)*ISNUMBER(INDEX(Inputs!$K$5:$AJ$130,0,MATCH(V$2,Inputs!$K$4:$AJ$4,0))))+SUMPRODUCT((Inputs!$C$5:$C$130=$B53)*ISNUMBER(INDEX(Inputs!$K$5:$AJ$130,0,MATCH(V$2,Inputs!$K$4:$AJ$4,0))))+SUMPRODUCT((Inputs!$E$5:$E$130=$B53)*ISNUMBER(INDEX(Inputs!$K$5:$AJ$130,0,MATCH(V$2,Inputs!$K$4:$AJ$4,0))))=0,NA(),SUMPRODUCT((Inputs!$A$5:$A$130=$B53)*Inputs!$B$5:$B$130*(((Inputs!$G$5:$G$130="moeda")+(Inputs!$G$5:$G$130="acoes"))*Inputs!$B$1+((Inputs!$G$5:$G$130&lt;&gt;"moeda")*(Inputs!$G$5:$G$130&lt;&gt;"acoes")))*INDEX(Inputs!$K$5:$AJ$130,0,MATCH(V$2,Inputs!$K$4:$AJ$4,0)))+SUMPRODUCT((Inputs!$C$5:$C$130=$B53)*Inputs!$D$5:$D$130*(((Inputs!$G$5:$G$130="moeda")+(Inputs!$G$5:$G$130="acoes"))*Inputs!$B$1+((Inputs!$G$5:$G$130&lt;&gt;"moeda")*(Inputs!$G$5:$G$130&lt;&gt;"acoes")))*INDEX(Inputs!$K$5:$AJ$130,0,MATCH(V$2,Inputs!$K$4:$AJ$4,0)))+SUMPRODUCT((Inputs!$E$5:$E$130=$B53)*Inputs!$F$5:$F$130*(((Inputs!$G$5:$G$130="moeda")+(Inputs!$G$5:$G$130="acoes"))*Inputs!$B$1+((Inputs!$G$5:$G$130&lt;&gt;"moeda")*(Inputs!$G$5:$G$130&lt;&gt;"acoes")))*INDEX(Inputs!$K$5:$AJ$130,0,MATCH(V$2,Inputs!$K$4:$AJ$4,0)))))</f>
        <v>3189</v>
      </c>
      <c r="W53" s="264">
        <f>SUM(S53:V53)</f>
        <v>19526</v>
      </c>
      <c r="X53" s="263">
        <f>IF(ISNA(MATCH(X$2,Inputs!$K$4:$AJ$4,0)),NA(),IF(SUMPRODUCT((Inputs!$A$5:$A$130=$B53)*ISNUMBER(INDEX(Inputs!$K$5:$AJ$130,0,MATCH(X$2,Inputs!$K$4:$AJ$4,0))))+SUMPRODUCT((Inputs!$C$5:$C$130=$B53)*ISNUMBER(INDEX(Inputs!$K$5:$AJ$130,0,MATCH(X$2,Inputs!$K$4:$AJ$4,0))))+SUMPRODUCT((Inputs!$E$5:$E$130=$B53)*ISNUMBER(INDEX(Inputs!$K$5:$AJ$130,0,MATCH(X$2,Inputs!$K$4:$AJ$4,0))))=0,NA(),SUMPRODUCT((Inputs!$A$5:$A$130=$B53)*Inputs!$B$5:$B$130*(((Inputs!$G$5:$G$130="moeda")+(Inputs!$G$5:$G$130="acoes"))*Inputs!$B$1+((Inputs!$G$5:$G$130&lt;&gt;"moeda")*(Inputs!$G$5:$G$130&lt;&gt;"acoes")))*INDEX(Inputs!$K$5:$AJ$130,0,MATCH(X$2,Inputs!$K$4:$AJ$4,0)))+SUMPRODUCT((Inputs!$C$5:$C$130=$B53)*Inputs!$D$5:$D$130*(((Inputs!$G$5:$G$130="moeda")+(Inputs!$G$5:$G$130="acoes"))*Inputs!$B$1+((Inputs!$G$5:$G$130&lt;&gt;"moeda")*(Inputs!$G$5:$G$130&lt;&gt;"acoes")))*INDEX(Inputs!$K$5:$AJ$130,0,MATCH(X$2,Inputs!$K$4:$AJ$4,0)))+SUMPRODUCT((Inputs!$E$5:$E$130=$B53)*Inputs!$F$5:$F$130*(((Inputs!$G$5:$G$130="moeda")+(Inputs!$G$5:$G$130="acoes"))*Inputs!$B$1+((Inputs!$G$5:$G$130&lt;&gt;"moeda")*(Inputs!$G$5:$G$130&lt;&gt;"acoes")))*INDEX(Inputs!$K$5:$AJ$130,0,MATCH(X$2,Inputs!$K$4:$AJ$4,0)))))</f>
        <v>5334</v>
      </c>
      <c r="Y53" s="263">
        <f>IF(ISNA(MATCH(Y$2,Inputs!$K$4:$AJ$4,0)),NA(),IF(SUMPRODUCT((Inputs!$A$5:$A$130=$B53)*ISNUMBER(INDEX(Inputs!$K$5:$AJ$130,0,MATCH(Y$2,Inputs!$K$4:$AJ$4,0))))+SUMPRODUCT((Inputs!$C$5:$C$130=$B53)*ISNUMBER(INDEX(Inputs!$K$5:$AJ$130,0,MATCH(Y$2,Inputs!$K$4:$AJ$4,0))))+SUMPRODUCT((Inputs!$E$5:$E$130=$B53)*ISNUMBER(INDEX(Inputs!$K$5:$AJ$130,0,MATCH(Y$2,Inputs!$K$4:$AJ$4,0))))=0,NA(),SUMPRODUCT((Inputs!$A$5:$A$130=$B53)*Inputs!$B$5:$B$130*(((Inputs!$G$5:$G$130="moeda")+(Inputs!$G$5:$G$130="acoes"))*Inputs!$B$1+((Inputs!$G$5:$G$130&lt;&gt;"moeda")*(Inputs!$G$5:$G$130&lt;&gt;"acoes")))*INDEX(Inputs!$K$5:$AJ$130,0,MATCH(Y$2,Inputs!$K$4:$AJ$4,0)))+SUMPRODUCT((Inputs!$C$5:$C$130=$B53)*Inputs!$D$5:$D$130*(((Inputs!$G$5:$G$130="moeda")+(Inputs!$G$5:$G$130="acoes"))*Inputs!$B$1+((Inputs!$G$5:$G$130&lt;&gt;"moeda")*(Inputs!$G$5:$G$130&lt;&gt;"acoes")))*INDEX(Inputs!$K$5:$AJ$130,0,MATCH(Y$2,Inputs!$K$4:$AJ$4,0)))+SUMPRODUCT((Inputs!$E$5:$E$130=$B53)*Inputs!$F$5:$F$130*(((Inputs!$G$5:$G$130="moeda")+(Inputs!$G$5:$G$130="acoes"))*Inputs!$B$1+((Inputs!$G$5:$G$130&lt;&gt;"moeda")*(Inputs!$G$5:$G$130&lt;&gt;"acoes")))*INDEX(Inputs!$K$5:$AJ$130,0,MATCH(Y$2,Inputs!$K$4:$AJ$4,0)))))</f>
        <v>4379</v>
      </c>
      <c r="Z53" s="263">
        <f>IF(ISNA(MATCH(Z$2,Inputs!$K$4:$AJ$4,0)),NA(),IF(SUMPRODUCT((Inputs!$A$5:$A$130=$B53)*ISNUMBER(INDEX(Inputs!$K$5:$AJ$130,0,MATCH(Z$2,Inputs!$K$4:$AJ$4,0))))+SUMPRODUCT((Inputs!$C$5:$C$130=$B53)*ISNUMBER(INDEX(Inputs!$K$5:$AJ$130,0,MATCH(Z$2,Inputs!$K$4:$AJ$4,0))))+SUMPRODUCT((Inputs!$E$5:$E$130=$B53)*ISNUMBER(INDEX(Inputs!$K$5:$AJ$130,0,MATCH(Z$2,Inputs!$K$4:$AJ$4,0))))=0,NA(),SUMPRODUCT((Inputs!$A$5:$A$130=$B53)*Inputs!$B$5:$B$130*(((Inputs!$G$5:$G$130="moeda")+(Inputs!$G$5:$G$130="acoes"))*Inputs!$B$1+((Inputs!$G$5:$G$130&lt;&gt;"moeda")*(Inputs!$G$5:$G$130&lt;&gt;"acoes")))*INDEX(Inputs!$K$5:$AJ$130,0,MATCH(Z$2,Inputs!$K$4:$AJ$4,0)))+SUMPRODUCT((Inputs!$C$5:$C$130=$B53)*Inputs!$D$5:$D$130*(((Inputs!$G$5:$G$130="moeda")+(Inputs!$G$5:$G$130="acoes"))*Inputs!$B$1+((Inputs!$G$5:$G$130&lt;&gt;"moeda")*(Inputs!$G$5:$G$130&lt;&gt;"acoes")))*INDEX(Inputs!$K$5:$AJ$130,0,MATCH(Z$2,Inputs!$K$4:$AJ$4,0)))+SUMPRODUCT((Inputs!$E$5:$E$130=$B53)*Inputs!$F$5:$F$130*(((Inputs!$G$5:$G$130="moeda")+(Inputs!$G$5:$G$130="acoes"))*Inputs!$B$1+((Inputs!$G$5:$G$130&lt;&gt;"moeda")*(Inputs!$G$5:$G$130&lt;&gt;"acoes")))*INDEX(Inputs!$K$5:$AJ$130,0,MATCH(Z$2,Inputs!$K$4:$AJ$4,0)))))</f>
        <v>4849</v>
      </c>
      <c r="AA53" s="263">
        <f>IF(ISNA(MATCH(AA$2,Inputs!$K$4:$AJ$4,0)),NA(),IF(SUMPRODUCT((Inputs!$A$5:$A$130=$B53)*ISNUMBER(INDEX(Inputs!$K$5:$AJ$130,0,MATCH(AA$2,Inputs!$K$4:$AJ$4,0))))+SUMPRODUCT((Inputs!$C$5:$C$130=$B53)*ISNUMBER(INDEX(Inputs!$K$5:$AJ$130,0,MATCH(AA$2,Inputs!$K$4:$AJ$4,0))))+SUMPRODUCT((Inputs!$E$5:$E$130=$B53)*ISNUMBER(INDEX(Inputs!$K$5:$AJ$130,0,MATCH(AA$2,Inputs!$K$4:$AJ$4,0))))=0,NA(),SUMPRODUCT((Inputs!$A$5:$A$130=$B53)*Inputs!$B$5:$B$130*(((Inputs!$G$5:$G$130="moeda")+(Inputs!$G$5:$G$130="acoes"))*Inputs!$B$1+((Inputs!$G$5:$G$130&lt;&gt;"moeda")*(Inputs!$G$5:$G$130&lt;&gt;"acoes")))*INDEX(Inputs!$K$5:$AJ$130,0,MATCH(AA$2,Inputs!$K$4:$AJ$4,0)))+SUMPRODUCT((Inputs!$C$5:$C$130=$B53)*Inputs!$D$5:$D$130*(((Inputs!$G$5:$G$130="moeda")+(Inputs!$G$5:$G$130="acoes"))*Inputs!$B$1+((Inputs!$G$5:$G$130&lt;&gt;"moeda")*(Inputs!$G$5:$G$130&lt;&gt;"acoes")))*INDEX(Inputs!$K$5:$AJ$130,0,MATCH(AA$2,Inputs!$K$4:$AJ$4,0)))+SUMPRODUCT((Inputs!$E$5:$E$130=$B53)*Inputs!$F$5:$F$130*(((Inputs!$G$5:$G$130="moeda")+(Inputs!$G$5:$G$130="acoes"))*Inputs!$B$1+((Inputs!$G$5:$G$130&lt;&gt;"moeda")*(Inputs!$G$5:$G$130&lt;&gt;"acoes")))*INDEX(Inputs!$K$5:$AJ$130,0,MATCH(AA$2,Inputs!$K$4:$AJ$4,0)))))</f>
        <v>3286</v>
      </c>
      <c r="AB53" s="264">
        <f>SUM(X53:AA53)</f>
        <v>17848</v>
      </c>
      <c r="AC53" s="263">
        <f>IF(ISNA(MATCH(AC$2,Inputs!$K$4:$AJ$4,0)),NA(),IF(SUMPRODUCT((Inputs!$A$5:$A$130=$B53)*ISNUMBER(INDEX(Inputs!$K$5:$AJ$130,0,MATCH(AC$2,Inputs!$K$4:$AJ$4,0))))+SUMPRODUCT((Inputs!$C$5:$C$130=$B53)*ISNUMBER(INDEX(Inputs!$K$5:$AJ$130,0,MATCH(AC$2,Inputs!$K$4:$AJ$4,0))))+SUMPRODUCT((Inputs!$E$5:$E$130=$B53)*ISNUMBER(INDEX(Inputs!$K$5:$AJ$130,0,MATCH(AC$2,Inputs!$K$4:$AJ$4,0))))=0,NA(),SUMPRODUCT((Inputs!$A$5:$A$130=$B53)*Inputs!$B$5:$B$130*(((Inputs!$G$5:$G$130="moeda")+(Inputs!$G$5:$G$130="acoes"))*Inputs!$B$1+((Inputs!$G$5:$G$130&lt;&gt;"moeda")*(Inputs!$G$5:$G$130&lt;&gt;"acoes")))*INDEX(Inputs!$K$5:$AJ$130,0,MATCH(AC$2,Inputs!$K$4:$AJ$4,0)))+SUMPRODUCT((Inputs!$C$5:$C$130=$B53)*Inputs!$D$5:$D$130*(((Inputs!$G$5:$G$130="moeda")+(Inputs!$G$5:$G$130="acoes"))*Inputs!$B$1+((Inputs!$G$5:$G$130&lt;&gt;"moeda")*(Inputs!$G$5:$G$130&lt;&gt;"acoes")))*INDEX(Inputs!$K$5:$AJ$130,0,MATCH(AC$2,Inputs!$K$4:$AJ$4,0)))+SUMPRODUCT((Inputs!$E$5:$E$130=$B53)*Inputs!$F$5:$F$130*(((Inputs!$G$5:$G$130="moeda")+(Inputs!$G$5:$G$130="acoes"))*Inputs!$B$1+((Inputs!$G$5:$G$130&lt;&gt;"moeda")*(Inputs!$G$5:$G$130&lt;&gt;"acoes")))*INDEX(Inputs!$K$5:$AJ$130,0,MATCH(AC$2,Inputs!$K$4:$AJ$4,0)))))</f>
        <v>4612</v>
      </c>
      <c r="AD53" s="263">
        <f>IF(ISNA(MATCH(AD$2,Inputs!$K$4:$AJ$4,0)),NA(),IF(SUMPRODUCT((Inputs!$A$5:$A$130=$B53)*ISNUMBER(INDEX(Inputs!$K$5:$AJ$130,0,MATCH(AD$2,Inputs!$K$4:$AJ$4,0))))+SUMPRODUCT((Inputs!$C$5:$C$130=$B53)*ISNUMBER(INDEX(Inputs!$K$5:$AJ$130,0,MATCH(AD$2,Inputs!$K$4:$AJ$4,0))))+SUMPRODUCT((Inputs!$E$5:$E$130=$B53)*ISNUMBER(INDEX(Inputs!$K$5:$AJ$130,0,MATCH(AD$2,Inputs!$K$4:$AJ$4,0))))=0,NA(),SUMPRODUCT((Inputs!$A$5:$A$130=$B53)*Inputs!$B$5:$B$130*(((Inputs!$G$5:$G$130="moeda")+(Inputs!$G$5:$G$130="acoes"))*Inputs!$B$1+((Inputs!$G$5:$G$130&lt;&gt;"moeda")*(Inputs!$G$5:$G$130&lt;&gt;"acoes")))*INDEX(Inputs!$K$5:$AJ$130,0,MATCH(AD$2,Inputs!$K$4:$AJ$4,0)))+SUMPRODUCT((Inputs!$C$5:$C$130=$B53)*Inputs!$D$5:$D$130*(((Inputs!$G$5:$G$130="moeda")+(Inputs!$G$5:$G$130="acoes"))*Inputs!$B$1+((Inputs!$G$5:$G$130&lt;&gt;"moeda")*(Inputs!$G$5:$G$130&lt;&gt;"acoes")))*INDEX(Inputs!$K$5:$AJ$130,0,MATCH(AD$2,Inputs!$K$4:$AJ$4,0)))+SUMPRODUCT((Inputs!$E$5:$E$130=$B53)*Inputs!$F$5:$F$130*(((Inputs!$G$5:$G$130="moeda")+(Inputs!$G$5:$G$130="acoes"))*Inputs!$B$1+((Inputs!$G$5:$G$130&lt;&gt;"moeda")*(Inputs!$G$5:$G$130&lt;&gt;"acoes")))*INDEX(Inputs!$K$5:$AJ$130,0,MATCH(AD$2,Inputs!$K$4:$AJ$4,0)))))</f>
        <v>4105</v>
      </c>
      <c r="AE53" s="263" t="e">
        <f>IF(ISNA(MATCH(AE$2,Inputs!$K$4:$AJ$4,0)),NA(),IF(SUMPRODUCT((Inputs!$A$5:$A$130=$B53)*ISNUMBER(INDEX(Inputs!$K$5:$AJ$130,0,MATCH(AE$2,Inputs!$K$4:$AJ$4,0))))+SUMPRODUCT((Inputs!$C$5:$C$130=$B53)*ISNUMBER(INDEX(Inputs!$K$5:$AJ$130,0,MATCH(AE$2,Inputs!$K$4:$AJ$4,0))))+SUMPRODUCT((Inputs!$E$5:$E$130=$B53)*ISNUMBER(INDEX(Inputs!$K$5:$AJ$130,0,MATCH(AE$2,Inputs!$K$4:$AJ$4,0))))=0,NA(),SUMPRODUCT((Inputs!$A$5:$A$130=$B53)*Inputs!$B$5:$B$130*(((Inputs!$G$5:$G$130="moeda")+(Inputs!$G$5:$G$130="acoes"))*Inputs!$B$1+((Inputs!$G$5:$G$130&lt;&gt;"moeda")*(Inputs!$G$5:$G$130&lt;&gt;"acoes")))*INDEX(Inputs!$K$5:$AJ$130,0,MATCH(AE$2,Inputs!$K$4:$AJ$4,0)))+SUMPRODUCT((Inputs!$C$5:$C$130=$B53)*Inputs!$D$5:$D$130*(((Inputs!$G$5:$G$130="moeda")+(Inputs!$G$5:$G$130="acoes"))*Inputs!$B$1+((Inputs!$G$5:$G$130&lt;&gt;"moeda")*(Inputs!$G$5:$G$130&lt;&gt;"acoes")))*INDEX(Inputs!$K$5:$AJ$130,0,MATCH(AE$2,Inputs!$K$4:$AJ$4,0)))+SUMPRODUCT((Inputs!$E$5:$E$130=$B53)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3" s="263" t="e">
        <f>IF(ISNA(MATCH(AF$2,Inputs!$K$4:$AJ$4,0)),NA(),IF(SUMPRODUCT((Inputs!$A$5:$A$130=$B53)*ISNUMBER(INDEX(Inputs!$K$5:$AJ$130,0,MATCH(AF$2,Inputs!$K$4:$AJ$4,0))))+SUMPRODUCT((Inputs!$C$5:$C$130=$B53)*ISNUMBER(INDEX(Inputs!$K$5:$AJ$130,0,MATCH(AF$2,Inputs!$K$4:$AJ$4,0))))+SUMPRODUCT((Inputs!$E$5:$E$130=$B53)*ISNUMBER(INDEX(Inputs!$K$5:$AJ$130,0,MATCH(AF$2,Inputs!$K$4:$AJ$4,0))))=0,NA(),SUMPRODUCT((Inputs!$A$5:$A$130=$B53)*Inputs!$B$5:$B$130*(((Inputs!$G$5:$G$130="moeda")+(Inputs!$G$5:$G$130="acoes"))*Inputs!$B$1+((Inputs!$G$5:$G$130&lt;&gt;"moeda")*(Inputs!$G$5:$G$130&lt;&gt;"acoes")))*INDEX(Inputs!$K$5:$AJ$130,0,MATCH(AF$2,Inputs!$K$4:$AJ$4,0)))+SUMPRODUCT((Inputs!$C$5:$C$130=$B53)*Inputs!$D$5:$D$130*(((Inputs!$G$5:$G$130="moeda")+(Inputs!$G$5:$G$130="acoes"))*Inputs!$B$1+((Inputs!$G$5:$G$130&lt;&gt;"moeda")*(Inputs!$G$5:$G$130&lt;&gt;"acoes")))*INDEX(Inputs!$K$5:$AJ$130,0,MATCH(AF$2,Inputs!$K$4:$AJ$4,0)))+SUMPRODUCT((Inputs!$E$5:$E$130=$B53)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$130=$B53)*ISNUMBER(INDEX(Inputs!$K$5:$AJ$130,0,MATCH(AH$2,Inputs!$K$4:$AJ$4,0))))+SUMPRODUCT((Inputs!$C$5:$C$130=$B53)*ISNUMBER(INDEX(Inputs!$K$5:$AJ$130,0,MATCH(AH$2,Inputs!$K$4:$AJ$4,0))))+SUMPRODUCT((Inputs!$E$5:$E$130=$B53)*ISNUMBER(INDEX(Inputs!$K$5:$AJ$130,0,MATCH(AH$2,Inputs!$K$4:$AJ$4,0))))=0,NA(),SUMPRODUCT((Inputs!$A$5:$A$130=$B53)*Inputs!$B$5:$B$130*(((Inputs!$G$5:$G$130="moeda")+(Inputs!$G$5:$G$130="acoes"))*Inputs!$B$1+((Inputs!$G$5:$G$130&lt;&gt;"moeda")*(Inputs!$G$5:$G$130&lt;&gt;"acoes")))*INDEX(Inputs!$K$5:$AJ$130,0,MATCH(AH$2,Inputs!$K$4:$AJ$4,0)))+SUMPRODUCT((Inputs!$C$5:$C$130=$B53)*Inputs!$D$5:$D$130*(((Inputs!$G$5:$G$130="moeda")+(Inputs!$G$5:$G$130="acoes"))*Inputs!$B$1+((Inputs!$G$5:$G$130&lt;&gt;"moeda")*(Inputs!$G$5:$G$130&lt;&gt;"acoes")))*INDEX(Inputs!$K$5:$AJ$130,0,MATCH(AH$2,Inputs!$K$4:$AJ$4,0)))+SUMPRODUCT((Inputs!$E$5:$E$130=$B53)*Inputs!$F$5:$F$130*(((Inputs!$G$5:$G$130="moeda")+(Inputs!$G$5:$G$130="acoes"))*Inputs!$B$1+((Inputs!$G$5:$G$130&lt;&gt;"moeda")*(Inputs!$G$5:$G$130&lt;&gt;"acoes")))*INDEX(Inputs!$K$5:$AJ$130,0,MATCH(AH$2,Inputs!$K$4:$AJ$4,0)))))</f>
        <v>3431</v>
      </c>
      <c r="AI53" s="263">
        <f>IF(ISNA(MATCH(AI$2,Inputs!$K$4:$AJ$4,0)),NA(),IF(SUMPRODUCT((Inputs!$A$5:$A$130=$B53)*ISNUMBER(INDEX(Inputs!$K$5:$AJ$130,0,MATCH(AI$2,Inputs!$K$4:$AJ$4,0))))+SUMPRODUCT((Inputs!$C$5:$C$130=$B53)*ISNUMBER(INDEX(Inputs!$K$5:$AJ$130,0,MATCH(AI$2,Inputs!$K$4:$AJ$4,0))))+SUMPRODUCT((Inputs!$E$5:$E$130=$B53)*ISNUMBER(INDEX(Inputs!$K$5:$AJ$130,0,MATCH(AI$2,Inputs!$K$4:$AJ$4,0))))=0,NA(),SUMPRODUCT((Inputs!$A$5:$A$130=$B53)*Inputs!$B$5:$B$130*(((Inputs!$G$5:$G$130="moeda")+(Inputs!$G$5:$G$130="acoes"))*Inputs!$B$1+((Inputs!$G$5:$G$130&lt;&gt;"moeda")*(Inputs!$G$5:$G$130&lt;&gt;"acoes")))*INDEX(Inputs!$K$5:$AJ$130,0,MATCH(AI$2,Inputs!$K$4:$AJ$4,0)))+SUMPRODUCT((Inputs!$C$5:$C$130=$B53)*Inputs!$D$5:$D$130*(((Inputs!$G$5:$G$130="moeda")+(Inputs!$G$5:$G$130="acoes"))*Inputs!$B$1+((Inputs!$G$5:$G$130&lt;&gt;"moeda")*(Inputs!$G$5:$G$130&lt;&gt;"acoes")))*INDEX(Inputs!$K$5:$AJ$130,0,MATCH(AI$2,Inputs!$K$4:$AJ$4,0)))+SUMPRODUCT((Inputs!$E$5:$E$130=$B53)*Inputs!$F$5:$F$130*(((Inputs!$G$5:$G$130="moeda")+(Inputs!$G$5:$G$130="acoes"))*Inputs!$B$1+((Inputs!$G$5:$G$130&lt;&gt;"moeda")*(Inputs!$G$5:$G$130&lt;&gt;"acoes")))*INDEX(Inputs!$K$5:$AJ$130,0,MATCH(AI$2,Inputs!$K$4:$AJ$4,0)))))</f>
        <v>3376</v>
      </c>
      <c r="AJ53" s="263">
        <f>IF(ISNA(MATCH(AJ$2,Inputs!$K$4:$AJ$4,0)),NA(),IF(SUMPRODUCT((Inputs!$A$5:$A$130=$B53)*ISNUMBER(INDEX(Inputs!$K$5:$AJ$130,0,MATCH(AJ$2,Inputs!$K$4:$AJ$4,0))))+SUMPRODUCT((Inputs!$C$5:$C$130=$B53)*ISNUMBER(INDEX(Inputs!$K$5:$AJ$130,0,MATCH(AJ$2,Inputs!$K$4:$AJ$4,0))))+SUMPRODUCT((Inputs!$E$5:$E$130=$B53)*ISNUMBER(INDEX(Inputs!$K$5:$AJ$130,0,MATCH(AJ$2,Inputs!$K$4:$AJ$4,0))))=0,NA(),SUMPRODUCT((Inputs!$A$5:$A$130=$B53)*Inputs!$B$5:$B$130*(((Inputs!$G$5:$G$130="moeda")+(Inputs!$G$5:$G$130="acoes"))*Inputs!$B$1+((Inputs!$G$5:$G$130&lt;&gt;"moeda")*(Inputs!$G$5:$G$130&lt;&gt;"acoes")))*INDEX(Inputs!$K$5:$AJ$130,0,MATCH(AJ$2,Inputs!$K$4:$AJ$4,0)))+SUMPRODUCT((Inputs!$C$5:$C$130=$B53)*Inputs!$D$5:$D$130*(((Inputs!$G$5:$G$130="moeda")+(Inputs!$G$5:$G$130="acoes"))*Inputs!$B$1+((Inputs!$G$5:$G$130&lt;&gt;"moeda")*(Inputs!$G$5:$G$130&lt;&gt;"acoes")))*INDEX(Inputs!$K$5:$AJ$130,0,MATCH(AJ$2,Inputs!$K$4:$AJ$4,0)))+SUMPRODUCT((Inputs!$E$5:$E$130=$B53)*Inputs!$F$5:$F$130*(((Inputs!$G$5:$G$130="moeda")+(Inputs!$G$5:$G$130="acoes"))*Inputs!$B$1+((Inputs!$G$5:$G$130&lt;&gt;"moeda")*(Inputs!$G$5:$G$130&lt;&gt;"acoes")))*INDEX(Inputs!$K$5:$AJ$130,0,MATCH(AJ$2,Inputs!$K$4:$AJ$4,0)))))</f>
        <v>3881</v>
      </c>
      <c r="AK53" s="263">
        <f>IF(ISNA(MATCH(AK$2,Inputs!$K$4:$AJ$4,0)),NA(),IF(SUMPRODUCT((Inputs!$A$5:$A$130=$B53)*ISNUMBER(INDEX(Inputs!$K$5:$AJ$130,0,MATCH(AK$2,Inputs!$K$4:$AJ$4,0))))+SUMPRODUCT((Inputs!$C$5:$C$130=$B53)*ISNUMBER(INDEX(Inputs!$K$5:$AJ$130,0,MATCH(AK$2,Inputs!$K$4:$AJ$4,0))))+SUMPRODUCT((Inputs!$E$5:$E$130=$B53)*ISNUMBER(INDEX(Inputs!$K$5:$AJ$130,0,MATCH(AK$2,Inputs!$K$4:$AJ$4,0))))=0,NA(),SUMPRODUCT((Inputs!$A$5:$A$130=$B53)*Inputs!$B$5:$B$130*(((Inputs!$G$5:$G$130="moeda")+(Inputs!$G$5:$G$130="acoes"))*Inputs!$B$1+((Inputs!$G$5:$G$130&lt;&gt;"moeda")*(Inputs!$G$5:$G$130&lt;&gt;"acoes")))*INDEX(Inputs!$K$5:$AJ$130,0,MATCH(AK$2,Inputs!$K$4:$AJ$4,0)))+SUMPRODUCT((Inputs!$C$5:$C$130=$B53)*Inputs!$D$5:$D$130*(((Inputs!$G$5:$G$130="moeda")+(Inputs!$G$5:$G$130="acoes"))*Inputs!$B$1+((Inputs!$G$5:$G$130&lt;&gt;"moeda")*(Inputs!$G$5:$G$130&lt;&gt;"acoes")))*INDEX(Inputs!$K$5:$AJ$130,0,MATCH(AK$2,Inputs!$K$4:$AJ$4,0)))+SUMPRODUCT((Inputs!$E$5:$E$130=$B53)*Inputs!$F$5:$F$130*(((Inputs!$G$5:$G$130="moeda")+(Inputs!$G$5:$G$130="acoes"))*Inputs!$B$1+((Inputs!$G$5:$G$130&lt;&gt;"moeda")*(Inputs!$G$5:$G$130&lt;&gt;"acoes")))*INDEX(Inputs!$K$5:$AJ$130,0,MATCH(AK$2,Inputs!$K$4:$AJ$4,0)))))</f>
        <v>3147</v>
      </c>
      <c r="AL53" s="264">
        <f>SUM(AH53:AK53)</f>
        <v>13835</v>
      </c>
    </row>
    <row r="54">
      <c r="B54" s="46" t="n">
        <v>46</v>
      </c>
      <c r="C54" s="29" t="inlineStr">
        <is>
          <t>Production &amp; Precision Agriculture - lucro do segmento (USD)</t>
        </is>
      </c>
      <c r="D54" s="263">
        <f>IF(ISNA(MATCH(D$2,Inputs!$K$4:$AJ$4,0)),NA(),IF(SUMPRODUCT((Inputs!$A$5:$A$130=$B54)*ISNUMBER(INDEX(Inputs!$K$5:$AJ$130,0,MATCH(D$2,Inputs!$K$4:$AJ$4,0))))+SUMPRODUCT((Inputs!$C$5:$C$130=$B54)*ISNUMBER(INDEX(Inputs!$K$5:$AJ$130,0,MATCH(D$2,Inputs!$K$4:$AJ$4,0))))+SUMPRODUCT((Inputs!$E$5:$E$130=$B54)*ISNUMBER(INDEX(Inputs!$K$5:$AJ$130,0,MATCH(D$2,Inputs!$K$4:$AJ$4,0))))=0,NA(),SUMPRODUCT((Inputs!$A$5:$A$130=$B54)*Inputs!$B$5:$B$130*(((Inputs!$G$5:$G$130="moeda")+(Inputs!$G$5:$G$130="acoes"))*Inputs!$B$1+((Inputs!$G$5:$G$130&lt;&gt;"moeda")*(Inputs!$G$5:$G$130&lt;&gt;"acoes")))*INDEX(Inputs!$K$5:$AJ$130,0,MATCH(D$2,Inputs!$K$4:$AJ$4,0)))+SUMPRODUCT((Inputs!$C$5:$C$130=$B54)*Inputs!$D$5:$D$130*(((Inputs!$G$5:$G$130="moeda")+(Inputs!$G$5:$G$130="acoes"))*Inputs!$B$1+((Inputs!$G$5:$G$130&lt;&gt;"moeda")*(Inputs!$G$5:$G$130&lt;&gt;"acoes")))*INDEX(Inputs!$K$5:$AJ$130,0,MATCH(D$2,Inputs!$K$4:$AJ$4,0)))+SUMPRODUCT((Inputs!$E$5:$E$130=$B54)*Inputs!$F$5:$F$130*(((Inputs!$G$5:$G$130="moeda")+(Inputs!$G$5:$G$130="acoes"))*Inputs!$B$1+((Inputs!$G$5:$G$130&lt;&gt;"moeda")*(Inputs!$G$5:$G$130&lt;&gt;"acoes")))*INDEX(Inputs!$K$5:$AJ$130,0,MATCH(D$2,Inputs!$K$4:$AJ$4,0)))))</f>
        <v>1007</v>
      </c>
      <c r="E54" s="263">
        <f>IF(ISNA(MATCH(E$2,Inputs!$K$4:$AJ$4,0)),NA(),IF(SUMPRODUCT((Inputs!$A$5:$A$130=$B54)*ISNUMBER(INDEX(Inputs!$K$5:$AJ$130,0,MATCH(E$2,Inputs!$K$4:$AJ$4,0))))+SUMPRODUCT((Inputs!$C$5:$C$130=$B54)*ISNUMBER(INDEX(Inputs!$K$5:$AJ$130,0,MATCH(E$2,Inputs!$K$4:$AJ$4,0))))+SUMPRODUCT((Inputs!$E$5:$E$130=$B54)*ISNUMBER(INDEX(Inputs!$K$5:$AJ$130,0,MATCH(E$2,Inputs!$K$4:$AJ$4,0))))=0,NA(),SUMPRODUCT((Inputs!$A$5:$A$130=$B54)*Inputs!$B$5:$B$130*(((Inputs!$G$5:$G$130="moeda")+(Inputs!$G$5:$G$130="acoes"))*Inputs!$B$1+((Inputs!$G$5:$G$130&lt;&gt;"moeda")*(Inputs!$G$5:$G$130&lt;&gt;"acoes")))*INDEX(Inputs!$K$5:$AJ$130,0,MATCH(E$2,Inputs!$K$4:$AJ$4,0)))+SUMPRODUCT((Inputs!$C$5:$C$130=$B54)*Inputs!$D$5:$D$130*(((Inputs!$G$5:$G$130="moeda")+(Inputs!$G$5:$G$130="acoes"))*Inputs!$B$1+((Inputs!$G$5:$G$130&lt;&gt;"moeda")*(Inputs!$G$5:$G$130&lt;&gt;"acoes")))*INDEX(Inputs!$K$5:$AJ$130,0,MATCH(E$2,Inputs!$K$4:$AJ$4,0)))+SUMPRODUCT((Inputs!$E$5:$E$130=$B54)*Inputs!$F$5:$F$130*(((Inputs!$G$5:$G$130="moeda")+(Inputs!$G$5:$G$130="acoes"))*Inputs!$B$1+((Inputs!$G$5:$G$130&lt;&gt;"moeda")*(Inputs!$G$5:$G$130&lt;&gt;"acoes")))*INDEX(Inputs!$K$5:$AJ$130,0,MATCH(E$2,Inputs!$K$4:$AJ$4,0)))))</f>
        <v>906</v>
      </c>
      <c r="F54" s="263">
        <f>IF(ISNA(MATCH(F$2,Inputs!$K$4:$AJ$4,0)),NA(),IF(SUMPRODUCT((Inputs!$A$5:$A$130=$B54)*ISNUMBER(INDEX(Inputs!$K$5:$AJ$130,0,MATCH(F$2,Inputs!$K$4:$AJ$4,0))))+SUMPRODUCT((Inputs!$C$5:$C$130=$B54)*ISNUMBER(INDEX(Inputs!$K$5:$AJ$130,0,MATCH(F$2,Inputs!$K$4:$AJ$4,0))))+SUMPRODUCT((Inputs!$E$5:$E$130=$B54)*ISNUMBER(INDEX(Inputs!$K$5:$AJ$130,0,MATCH(F$2,Inputs!$K$4:$AJ$4,0))))=0,NA(),SUMPRODUCT((Inputs!$A$5:$A$130=$B54)*Inputs!$B$5:$B$130*(((Inputs!$G$5:$G$130="moeda")+(Inputs!$G$5:$G$130="acoes"))*Inputs!$B$1+((Inputs!$G$5:$G$130&lt;&gt;"moeda")*(Inputs!$G$5:$G$130&lt;&gt;"acoes")))*INDEX(Inputs!$K$5:$AJ$130,0,MATCH(F$2,Inputs!$K$4:$AJ$4,0)))+SUMPRODUCT((Inputs!$C$5:$C$130=$B54)*Inputs!$D$5:$D$130*(((Inputs!$G$5:$G$130="moeda")+(Inputs!$G$5:$G$130="acoes"))*Inputs!$B$1+((Inputs!$G$5:$G$130&lt;&gt;"moeda")*(Inputs!$G$5:$G$130&lt;&gt;"acoes")))*INDEX(Inputs!$K$5:$AJ$130,0,MATCH(F$2,Inputs!$K$4:$AJ$4,0)))+SUMPRODUCT((Inputs!$E$5:$E$130=$B54)*Inputs!$F$5:$F$130*(((Inputs!$G$5:$G$130="moeda")+(Inputs!$G$5:$G$130="acoes"))*Inputs!$B$1+((Inputs!$G$5:$G$130&lt;&gt;"moeda")*(Inputs!$G$5:$G$130&lt;&gt;"acoes")))*INDEX(Inputs!$K$5:$AJ$130,0,MATCH(F$2,Inputs!$K$4:$AJ$4,0)))))</f>
        <v>777</v>
      </c>
      <c r="G54" s="263">
        <f>IF(ISNA(MATCH(G$2,Inputs!$K$4:$AJ$4,0)),NA(),IF(SUMPRODUCT((Inputs!$A$5:$A$130=$B54)*ISNUMBER(INDEX(Inputs!$K$5:$AJ$130,0,MATCH(G$2,Inputs!$K$4:$AJ$4,0))))+SUMPRODUCT((Inputs!$C$5:$C$130=$B54)*ISNUMBER(INDEX(Inputs!$K$5:$AJ$130,0,MATCH(G$2,Inputs!$K$4:$AJ$4,0))))+SUMPRODUCT((Inputs!$E$5:$E$130=$B54)*ISNUMBER(INDEX(Inputs!$K$5:$AJ$130,0,MATCH(G$2,Inputs!$K$4:$AJ$4,0))))=0,NA(),SUMPRODUCT((Inputs!$A$5:$A$130=$B54)*Inputs!$B$5:$B$130*(((Inputs!$G$5:$G$130="moeda")+(Inputs!$G$5:$G$130="acoes"))*Inputs!$B$1+((Inputs!$G$5:$G$130&lt;&gt;"moeda")*(Inputs!$G$5:$G$130&lt;&gt;"acoes")))*INDEX(Inputs!$K$5:$AJ$130,0,MATCH(G$2,Inputs!$K$4:$AJ$4,0)))+SUMPRODUCT((Inputs!$C$5:$C$130=$B54)*Inputs!$D$5:$D$130*(((Inputs!$G$5:$G$130="moeda")+(Inputs!$G$5:$G$130="acoes"))*Inputs!$B$1+((Inputs!$G$5:$G$130&lt;&gt;"moeda")*(Inputs!$G$5:$G$130&lt;&gt;"acoes")))*INDEX(Inputs!$K$5:$AJ$130,0,MATCH(G$2,Inputs!$K$4:$AJ$4,0)))+SUMPRODUCT((Inputs!$E$5:$E$130=$B54)*Inputs!$F$5:$F$130*(((Inputs!$G$5:$G$130="moeda")+(Inputs!$G$5:$G$130="acoes"))*Inputs!$B$1+((Inputs!$G$5:$G$130&lt;&gt;"moeda")*(Inputs!$G$5:$G$130&lt;&gt;"acoes")))*INDEX(Inputs!$K$5:$AJ$130,0,MATCH(G$2,Inputs!$K$4:$AJ$4,0)))))</f>
        <v>296</v>
      </c>
      <c r="H54" s="264">
        <f>SUM(D54:G54)</f>
        <v>2986</v>
      </c>
      <c r="I54" s="263">
        <f>IF(ISNA(MATCH(I$2,Inputs!$K$4:$AJ$4,0)),NA(),IF(SUMPRODUCT((Inputs!$A$5:$A$130=$B54)*ISNUMBER(INDEX(Inputs!$K$5:$AJ$130,0,MATCH(I$2,Inputs!$K$4:$AJ$4,0))))+SUMPRODUCT((Inputs!$C$5:$C$130=$B54)*ISNUMBER(INDEX(Inputs!$K$5:$AJ$130,0,MATCH(I$2,Inputs!$K$4:$AJ$4,0))))+SUMPRODUCT((Inputs!$E$5:$E$130=$B54)*ISNUMBER(INDEX(Inputs!$K$5:$AJ$130,0,MATCH(I$2,Inputs!$K$4:$AJ$4,0))))=0,NA(),SUMPRODUCT((Inputs!$A$5:$A$130=$B54)*Inputs!$B$5:$B$130*(((Inputs!$G$5:$G$130="moeda")+(Inputs!$G$5:$G$130="acoes"))*Inputs!$B$1+((Inputs!$G$5:$G$130&lt;&gt;"moeda")*(Inputs!$G$5:$G$130&lt;&gt;"acoes")))*INDEX(Inputs!$K$5:$AJ$130,0,MATCH(I$2,Inputs!$K$4:$AJ$4,0)))+SUMPRODUCT((Inputs!$C$5:$C$130=$B54)*Inputs!$D$5:$D$130*(((Inputs!$G$5:$G$130="moeda")+(Inputs!$G$5:$G$130="acoes"))*Inputs!$B$1+((Inputs!$G$5:$G$130&lt;&gt;"moeda")*(Inputs!$G$5:$G$130&lt;&gt;"acoes")))*INDEX(Inputs!$K$5:$AJ$130,0,MATCH(I$2,Inputs!$K$4:$AJ$4,0)))+SUMPRODUCT((Inputs!$E$5:$E$130=$B54)*Inputs!$F$5:$F$130*(((Inputs!$G$5:$G$130="moeda")+(Inputs!$G$5:$G$130="acoes"))*Inputs!$B$1+((Inputs!$G$5:$G$130&lt;&gt;"moeda")*(Inputs!$G$5:$G$130&lt;&gt;"acoes")))*INDEX(Inputs!$K$5:$AJ$130,0,MATCH(I$2,Inputs!$K$4:$AJ$4,0)))))</f>
        <v>1057</v>
      </c>
      <c r="J54" s="263">
        <f>IF(ISNA(MATCH(J$2,Inputs!$K$4:$AJ$4,0)),NA(),IF(SUMPRODUCT((Inputs!$A$5:$A$130=$B54)*ISNUMBER(INDEX(Inputs!$K$5:$AJ$130,0,MATCH(J$2,Inputs!$K$4:$AJ$4,0))))+SUMPRODUCT((Inputs!$C$5:$C$130=$B54)*ISNUMBER(INDEX(Inputs!$K$5:$AJ$130,0,MATCH(J$2,Inputs!$K$4:$AJ$4,0))))+SUMPRODUCT((Inputs!$E$5:$E$130=$B54)*ISNUMBER(INDEX(Inputs!$K$5:$AJ$130,0,MATCH(J$2,Inputs!$K$4:$AJ$4,0))))=0,NA(),SUMPRODUCT((Inputs!$A$5:$A$130=$B54)*Inputs!$B$5:$B$130*(((Inputs!$G$5:$G$130="moeda")+(Inputs!$G$5:$G$130="acoes"))*Inputs!$B$1+((Inputs!$G$5:$G$130&lt;&gt;"moeda")*(Inputs!$G$5:$G$130&lt;&gt;"acoes")))*INDEX(Inputs!$K$5:$AJ$130,0,MATCH(J$2,Inputs!$K$4:$AJ$4,0)))+SUMPRODUCT((Inputs!$C$5:$C$130=$B54)*Inputs!$D$5:$D$130*(((Inputs!$G$5:$G$130="moeda")+(Inputs!$G$5:$G$130="acoes"))*Inputs!$B$1+((Inputs!$G$5:$G$130&lt;&gt;"moeda")*(Inputs!$G$5:$G$130&lt;&gt;"acoes")))*INDEX(Inputs!$K$5:$AJ$130,0,MATCH(J$2,Inputs!$K$4:$AJ$4,0)))+SUMPRODUCT((Inputs!$E$5:$E$130=$B54)*Inputs!$F$5:$F$130*(((Inputs!$G$5:$G$130="moeda")+(Inputs!$G$5:$G$130="acoes"))*Inputs!$B$1+((Inputs!$G$5:$G$130&lt;&gt;"moeda")*(Inputs!$G$5:$G$130&lt;&gt;"acoes")))*INDEX(Inputs!$K$5:$AJ$130,0,MATCH(J$2,Inputs!$K$4:$AJ$4,0)))))</f>
        <v>1293</v>
      </c>
      <c r="K54" s="263">
        <f>IF(ISNA(MATCH(K$2,Inputs!$K$4:$AJ$4,0)),NA(),IF(SUMPRODUCT((Inputs!$A$5:$A$130=$B54)*ISNUMBER(INDEX(Inputs!$K$5:$AJ$130,0,MATCH(K$2,Inputs!$K$4:$AJ$4,0))))+SUMPRODUCT((Inputs!$C$5:$C$130=$B54)*ISNUMBER(INDEX(Inputs!$K$5:$AJ$130,0,MATCH(K$2,Inputs!$K$4:$AJ$4,0))))+SUMPRODUCT((Inputs!$E$5:$E$130=$B54)*ISNUMBER(INDEX(Inputs!$K$5:$AJ$130,0,MATCH(K$2,Inputs!$K$4:$AJ$4,0))))=0,NA(),SUMPRODUCT((Inputs!$A$5:$A$130=$B54)*Inputs!$B$5:$B$130*(((Inputs!$G$5:$G$130="moeda")+(Inputs!$G$5:$G$130="acoes"))*Inputs!$B$1+((Inputs!$G$5:$G$130&lt;&gt;"moeda")*(Inputs!$G$5:$G$130&lt;&gt;"acoes")))*INDEX(Inputs!$K$5:$AJ$130,0,MATCH(K$2,Inputs!$K$4:$AJ$4,0)))+SUMPRODUCT((Inputs!$C$5:$C$130=$B54)*Inputs!$D$5:$D$130*(((Inputs!$G$5:$G$130="moeda")+(Inputs!$G$5:$G$130="acoes"))*Inputs!$B$1+((Inputs!$G$5:$G$130&lt;&gt;"moeda")*(Inputs!$G$5:$G$130&lt;&gt;"acoes")))*INDEX(Inputs!$K$5:$AJ$130,0,MATCH(K$2,Inputs!$K$4:$AJ$4,0)))+SUMPRODUCT((Inputs!$E$5:$E$130=$B54)*Inputs!$F$5:$F$130*(((Inputs!$G$5:$G$130="moeda")+(Inputs!$G$5:$G$130="acoes"))*Inputs!$B$1+((Inputs!$G$5:$G$130&lt;&gt;"moeda")*(Inputs!$G$5:$G$130&lt;&gt;"acoes")))*INDEX(Inputs!$K$5:$AJ$130,0,MATCH(K$2,Inputs!$K$4:$AJ$4,0)))))</f>
        <v>1740</v>
      </c>
      <c r="L54" s="263">
        <f>IF(ISNA(MATCH(L$2,Inputs!$K$4:$AJ$4,0)),NA(),IF(SUMPRODUCT((Inputs!$A$5:$A$130=$B54)*ISNUMBER(INDEX(Inputs!$K$5:$AJ$130,0,MATCH(L$2,Inputs!$K$4:$AJ$4,0))))+SUMPRODUCT((Inputs!$C$5:$C$130=$B54)*ISNUMBER(INDEX(Inputs!$K$5:$AJ$130,0,MATCH(L$2,Inputs!$K$4:$AJ$4,0))))+SUMPRODUCT((Inputs!$E$5:$E$130=$B54)*ISNUMBER(INDEX(Inputs!$K$5:$AJ$130,0,MATCH(L$2,Inputs!$K$4:$AJ$4,0))))=0,NA(),SUMPRODUCT((Inputs!$A$5:$A$130=$B54)*Inputs!$B$5:$B$130*(((Inputs!$G$5:$G$130="moeda")+(Inputs!$G$5:$G$130="acoes"))*Inputs!$B$1+((Inputs!$G$5:$G$130&lt;&gt;"moeda")*(Inputs!$G$5:$G$130&lt;&gt;"acoes")))*INDEX(Inputs!$K$5:$AJ$130,0,MATCH(L$2,Inputs!$K$4:$AJ$4,0)))+SUMPRODUCT((Inputs!$C$5:$C$130=$B54)*Inputs!$D$5:$D$130*(((Inputs!$G$5:$G$130="moeda")+(Inputs!$G$5:$G$130="acoes"))*Inputs!$B$1+((Inputs!$G$5:$G$130&lt;&gt;"moeda")*(Inputs!$G$5:$G$130&lt;&gt;"acoes")))*INDEX(Inputs!$K$5:$AJ$130,0,MATCH(L$2,Inputs!$K$4:$AJ$4,0)))+SUMPRODUCT((Inputs!$E$5:$E$130=$B54)*Inputs!$F$5:$F$130*(((Inputs!$G$5:$G$130="moeda")+(Inputs!$G$5:$G$130="acoes"))*Inputs!$B$1+((Inputs!$G$5:$G$130&lt;&gt;"moeda")*(Inputs!$G$5:$G$130&lt;&gt;"acoes")))*INDEX(Inputs!$K$5:$AJ$130,0,MATCH(L$2,Inputs!$K$4:$AJ$4,0)))))</f>
        <v>1208</v>
      </c>
      <c r="M54" s="264">
        <f>SUM(I54:L54)</f>
        <v>5298</v>
      </c>
      <c r="N54" s="263">
        <f>IF(ISNA(MATCH(N$2,Inputs!$K$4:$AJ$4,0)),NA(),IF(SUMPRODUCT((Inputs!$A$5:$A$130=$B54)*ISNUMBER(INDEX(Inputs!$K$5:$AJ$130,0,MATCH(N$2,Inputs!$K$4:$AJ$4,0))))+SUMPRODUCT((Inputs!$C$5:$C$130=$B54)*ISNUMBER(INDEX(Inputs!$K$5:$AJ$130,0,MATCH(N$2,Inputs!$K$4:$AJ$4,0))))+SUMPRODUCT((Inputs!$E$5:$E$130=$B54)*ISNUMBER(INDEX(Inputs!$K$5:$AJ$130,0,MATCH(N$2,Inputs!$K$4:$AJ$4,0))))=0,NA(),SUMPRODUCT((Inputs!$A$5:$A$130=$B54)*Inputs!$B$5:$B$130*(((Inputs!$G$5:$G$130="moeda")+(Inputs!$G$5:$G$130="acoes"))*Inputs!$B$1+((Inputs!$G$5:$G$130&lt;&gt;"moeda")*(Inputs!$G$5:$G$130&lt;&gt;"acoes")))*INDEX(Inputs!$K$5:$AJ$130,0,MATCH(N$2,Inputs!$K$4:$AJ$4,0)))+SUMPRODUCT((Inputs!$C$5:$C$130=$B54)*Inputs!$D$5:$D$130*(((Inputs!$G$5:$G$130="moeda")+(Inputs!$G$5:$G$130="acoes"))*Inputs!$B$1+((Inputs!$G$5:$G$130&lt;&gt;"moeda")*(Inputs!$G$5:$G$130&lt;&gt;"acoes")))*INDEX(Inputs!$K$5:$AJ$130,0,MATCH(N$2,Inputs!$K$4:$AJ$4,0)))+SUMPRODUCT((Inputs!$E$5:$E$130=$B54)*Inputs!$F$5:$F$130*(((Inputs!$G$5:$G$130="moeda")+(Inputs!$G$5:$G$130="acoes"))*Inputs!$B$1+((Inputs!$G$5:$G$130&lt;&gt;"moeda")*(Inputs!$G$5:$G$130&lt;&gt;"acoes")))*INDEX(Inputs!$K$5:$AJ$130,0,MATCH(N$2,Inputs!$K$4:$AJ$4,0)))))</f>
        <v>2170</v>
      </c>
      <c r="O54" s="263">
        <f>IF(ISNA(MATCH(O$2,Inputs!$K$4:$AJ$4,0)),NA(),IF(SUMPRODUCT((Inputs!$A$5:$A$130=$B54)*ISNUMBER(INDEX(Inputs!$K$5:$AJ$130,0,MATCH(O$2,Inputs!$K$4:$AJ$4,0))))+SUMPRODUCT((Inputs!$C$5:$C$130=$B54)*ISNUMBER(INDEX(Inputs!$K$5:$AJ$130,0,MATCH(O$2,Inputs!$K$4:$AJ$4,0))))+SUMPRODUCT((Inputs!$E$5:$E$130=$B54)*ISNUMBER(INDEX(Inputs!$K$5:$AJ$130,0,MATCH(O$2,Inputs!$K$4:$AJ$4,0))))=0,NA(),SUMPRODUCT((Inputs!$A$5:$A$130=$B54)*Inputs!$B$5:$B$130*(((Inputs!$G$5:$G$130="moeda")+(Inputs!$G$5:$G$130="acoes"))*Inputs!$B$1+((Inputs!$G$5:$G$130&lt;&gt;"moeda")*(Inputs!$G$5:$G$130&lt;&gt;"acoes")))*INDEX(Inputs!$K$5:$AJ$130,0,MATCH(O$2,Inputs!$K$4:$AJ$4,0)))+SUMPRODUCT((Inputs!$C$5:$C$130=$B54)*Inputs!$D$5:$D$130*(((Inputs!$G$5:$G$130="moeda")+(Inputs!$G$5:$G$130="acoes"))*Inputs!$B$1+((Inputs!$G$5:$G$130&lt;&gt;"moeda")*(Inputs!$G$5:$G$130&lt;&gt;"acoes")))*INDEX(Inputs!$K$5:$AJ$130,0,MATCH(O$2,Inputs!$K$4:$AJ$4,0)))+SUMPRODUCT((Inputs!$E$5:$E$130=$B54)*Inputs!$F$5:$F$130*(((Inputs!$G$5:$G$130="moeda")+(Inputs!$G$5:$G$130="acoes"))*Inputs!$B$1+((Inputs!$G$5:$G$130&lt;&gt;"moeda")*(Inputs!$G$5:$G$130&lt;&gt;"acoes")))*INDEX(Inputs!$K$5:$AJ$130,0,MATCH(O$2,Inputs!$K$4:$AJ$4,0)))))</f>
        <v>1782</v>
      </c>
      <c r="P54" s="263">
        <f>IF(ISNA(MATCH(P$2,Inputs!$K$4:$AJ$4,0)),NA(),IF(SUMPRODUCT((Inputs!$A$5:$A$130=$B54)*ISNUMBER(INDEX(Inputs!$K$5:$AJ$130,0,MATCH(P$2,Inputs!$K$4:$AJ$4,0))))+SUMPRODUCT((Inputs!$C$5:$C$130=$B54)*ISNUMBER(INDEX(Inputs!$K$5:$AJ$130,0,MATCH(P$2,Inputs!$K$4:$AJ$4,0))))+SUMPRODUCT((Inputs!$E$5:$E$130=$B54)*ISNUMBER(INDEX(Inputs!$K$5:$AJ$130,0,MATCH(P$2,Inputs!$K$4:$AJ$4,0))))=0,NA(),SUMPRODUCT((Inputs!$A$5:$A$130=$B54)*Inputs!$B$5:$B$130*(((Inputs!$G$5:$G$130="moeda")+(Inputs!$G$5:$G$130="acoes"))*Inputs!$B$1+((Inputs!$G$5:$G$130&lt;&gt;"moeda")*(Inputs!$G$5:$G$130&lt;&gt;"acoes")))*INDEX(Inputs!$K$5:$AJ$130,0,MATCH(P$2,Inputs!$K$4:$AJ$4,0)))+SUMPRODUCT((Inputs!$C$5:$C$130=$B54)*Inputs!$D$5:$D$130*(((Inputs!$G$5:$G$130="moeda")+(Inputs!$G$5:$G$130="acoes"))*Inputs!$B$1+((Inputs!$G$5:$G$130&lt;&gt;"moeda")*(Inputs!$G$5:$G$130&lt;&gt;"acoes")))*INDEX(Inputs!$K$5:$AJ$130,0,MATCH(P$2,Inputs!$K$4:$AJ$4,0)))+SUMPRODUCT((Inputs!$E$5:$E$130=$B54)*Inputs!$F$5:$F$130*(((Inputs!$G$5:$G$130="moeda")+(Inputs!$G$5:$G$130="acoes"))*Inputs!$B$1+((Inputs!$G$5:$G$130&lt;&gt;"moeda")*(Inputs!$G$5:$G$130&lt;&gt;"acoes")))*INDEX(Inputs!$K$5:$AJ$130,0,MATCH(P$2,Inputs!$K$4:$AJ$4,0)))))</f>
        <v>1836</v>
      </c>
      <c r="Q54" s="263">
        <f>IF(ISNA(MATCH(Q$2,Inputs!$K$4:$AJ$4,0)),NA(),IF(SUMPRODUCT((Inputs!$A$5:$A$130=$B54)*ISNUMBER(INDEX(Inputs!$K$5:$AJ$130,0,MATCH(Q$2,Inputs!$K$4:$AJ$4,0))))+SUMPRODUCT((Inputs!$C$5:$C$130=$B54)*ISNUMBER(INDEX(Inputs!$K$5:$AJ$130,0,MATCH(Q$2,Inputs!$K$4:$AJ$4,0))))+SUMPRODUCT((Inputs!$E$5:$E$130=$B54)*ISNUMBER(INDEX(Inputs!$K$5:$AJ$130,0,MATCH(Q$2,Inputs!$K$4:$AJ$4,0))))=0,NA(),SUMPRODUCT((Inputs!$A$5:$A$130=$B54)*Inputs!$B$5:$B$130*(((Inputs!$G$5:$G$130="moeda")+(Inputs!$G$5:$G$130="acoes"))*Inputs!$B$1+((Inputs!$G$5:$G$130&lt;&gt;"moeda")*(Inputs!$G$5:$G$130&lt;&gt;"acoes")))*INDEX(Inputs!$K$5:$AJ$130,0,MATCH(Q$2,Inputs!$K$4:$AJ$4,0)))+SUMPRODUCT((Inputs!$C$5:$C$130=$B54)*Inputs!$D$5:$D$130*(((Inputs!$G$5:$G$130="moeda")+(Inputs!$G$5:$G$130="acoes"))*Inputs!$B$1+((Inputs!$G$5:$G$130&lt;&gt;"moeda")*(Inputs!$G$5:$G$130&lt;&gt;"acoes")))*INDEX(Inputs!$K$5:$AJ$130,0,MATCH(Q$2,Inputs!$K$4:$AJ$4,0)))+SUMPRODUCT((Inputs!$E$5:$E$130=$B54)*Inputs!$F$5:$F$130*(((Inputs!$G$5:$G$130="moeda")+(Inputs!$G$5:$G$130="acoes"))*Inputs!$B$1+((Inputs!$G$5:$G$130&lt;&gt;"moeda")*(Inputs!$G$5:$G$130&lt;&gt;"acoes")))*INDEX(Inputs!$K$5:$AJ$130,0,MATCH(Q$2,Inputs!$K$4:$AJ$4,0)))))</f>
        <v>1045</v>
      </c>
      <c r="R54" s="264">
        <f>SUM(N54:Q54)</f>
        <v>6833</v>
      </c>
      <c r="S54" s="263">
        <f>IF(ISNA(MATCH(S$2,Inputs!$K$4:$AJ$4,0)),NA(),IF(SUMPRODUCT((Inputs!$A$5:$A$130=$B54)*ISNUMBER(INDEX(Inputs!$K$5:$AJ$130,0,MATCH(S$2,Inputs!$K$4:$AJ$4,0))))+SUMPRODUCT((Inputs!$C$5:$C$130=$B54)*ISNUMBER(INDEX(Inputs!$K$5:$AJ$130,0,MATCH(S$2,Inputs!$K$4:$AJ$4,0))))+SUMPRODUCT((Inputs!$E$5:$E$130=$B54)*ISNUMBER(INDEX(Inputs!$K$5:$AJ$130,0,MATCH(S$2,Inputs!$K$4:$AJ$4,0))))=0,NA(),SUMPRODUCT((Inputs!$A$5:$A$130=$B54)*Inputs!$B$5:$B$130*(((Inputs!$G$5:$G$130="moeda")+(Inputs!$G$5:$G$130="acoes"))*Inputs!$B$1+((Inputs!$G$5:$G$130&lt;&gt;"moeda")*(Inputs!$G$5:$G$130&lt;&gt;"acoes")))*INDEX(Inputs!$K$5:$AJ$130,0,MATCH(S$2,Inputs!$K$4:$AJ$4,0)))+SUMPRODUCT((Inputs!$C$5:$C$130=$B54)*Inputs!$D$5:$D$130*(((Inputs!$G$5:$G$130="moeda")+(Inputs!$G$5:$G$130="acoes"))*Inputs!$B$1+((Inputs!$G$5:$G$130&lt;&gt;"moeda")*(Inputs!$G$5:$G$130&lt;&gt;"acoes")))*INDEX(Inputs!$K$5:$AJ$130,0,MATCH(S$2,Inputs!$K$4:$AJ$4,0)))+SUMPRODUCT((Inputs!$E$5:$E$130=$B54)*Inputs!$F$5:$F$130*(((Inputs!$G$5:$G$130="moeda")+(Inputs!$G$5:$G$130="acoes"))*Inputs!$B$1+((Inputs!$G$5:$G$130&lt;&gt;"moeda")*(Inputs!$G$5:$G$130&lt;&gt;"acoes")))*INDEX(Inputs!$K$5:$AJ$130,0,MATCH(S$2,Inputs!$K$4:$AJ$4,0)))))</f>
        <v>1650</v>
      </c>
      <c r="T54" s="263">
        <f>IF(ISNA(MATCH(T$2,Inputs!$K$4:$AJ$4,0)),NA(),IF(SUMPRODUCT((Inputs!$A$5:$A$130=$B54)*ISNUMBER(INDEX(Inputs!$K$5:$AJ$130,0,MATCH(T$2,Inputs!$K$4:$AJ$4,0))))+SUMPRODUCT((Inputs!$C$5:$C$130=$B54)*ISNUMBER(INDEX(Inputs!$K$5:$AJ$130,0,MATCH(T$2,Inputs!$K$4:$AJ$4,0))))+SUMPRODUCT((Inputs!$E$5:$E$130=$B54)*ISNUMBER(INDEX(Inputs!$K$5:$AJ$130,0,MATCH(T$2,Inputs!$K$4:$AJ$4,0))))=0,NA(),SUMPRODUCT((Inputs!$A$5:$A$130=$B54)*Inputs!$B$5:$B$130*(((Inputs!$G$5:$G$130="moeda")+(Inputs!$G$5:$G$130="acoes"))*Inputs!$B$1+((Inputs!$G$5:$G$130&lt;&gt;"moeda")*(Inputs!$G$5:$G$130&lt;&gt;"acoes")))*INDEX(Inputs!$K$5:$AJ$130,0,MATCH(T$2,Inputs!$K$4:$AJ$4,0)))+SUMPRODUCT((Inputs!$C$5:$C$130=$B54)*Inputs!$D$5:$D$130*(((Inputs!$G$5:$G$130="moeda")+(Inputs!$G$5:$G$130="acoes"))*Inputs!$B$1+((Inputs!$G$5:$G$130&lt;&gt;"moeda")*(Inputs!$G$5:$G$130&lt;&gt;"acoes")))*INDEX(Inputs!$K$5:$AJ$130,0,MATCH(T$2,Inputs!$K$4:$AJ$4,0)))+SUMPRODUCT((Inputs!$E$5:$E$130=$B54)*Inputs!$F$5:$F$130*(((Inputs!$G$5:$G$130="moeda")+(Inputs!$G$5:$G$130="acoes"))*Inputs!$B$1+((Inputs!$G$5:$G$130&lt;&gt;"moeda")*(Inputs!$G$5:$G$130&lt;&gt;"acoes")))*INDEX(Inputs!$K$5:$AJ$130,0,MATCH(T$2,Inputs!$K$4:$AJ$4,0)))))</f>
        <v>1162</v>
      </c>
      <c r="U54" s="263">
        <f>IF(ISNA(MATCH(U$2,Inputs!$K$4:$AJ$4,0)),NA(),IF(SUMPRODUCT((Inputs!$A$5:$A$130=$B54)*ISNUMBER(INDEX(Inputs!$K$5:$AJ$130,0,MATCH(U$2,Inputs!$K$4:$AJ$4,0))))+SUMPRODUCT((Inputs!$C$5:$C$130=$B54)*ISNUMBER(INDEX(Inputs!$K$5:$AJ$130,0,MATCH(U$2,Inputs!$K$4:$AJ$4,0))))+SUMPRODUCT((Inputs!$E$5:$E$130=$B54)*ISNUMBER(INDEX(Inputs!$K$5:$AJ$130,0,MATCH(U$2,Inputs!$K$4:$AJ$4,0))))=0,NA(),SUMPRODUCT((Inputs!$A$5:$A$130=$B54)*Inputs!$B$5:$B$130*(((Inputs!$G$5:$G$130="moeda")+(Inputs!$G$5:$G$130="acoes"))*Inputs!$B$1+((Inputs!$G$5:$G$130&lt;&gt;"moeda")*(Inputs!$G$5:$G$130&lt;&gt;"acoes")))*INDEX(Inputs!$K$5:$AJ$130,0,MATCH(U$2,Inputs!$K$4:$AJ$4,0)))+SUMPRODUCT((Inputs!$C$5:$C$130=$B54)*Inputs!$D$5:$D$130*(((Inputs!$G$5:$G$130="moeda")+(Inputs!$G$5:$G$130="acoes"))*Inputs!$B$1+((Inputs!$G$5:$G$130&lt;&gt;"moeda")*(Inputs!$G$5:$G$130&lt;&gt;"acoes")))*INDEX(Inputs!$K$5:$AJ$130,0,MATCH(U$2,Inputs!$K$4:$AJ$4,0)))+SUMPRODUCT((Inputs!$E$5:$E$130=$B54)*Inputs!$F$5:$F$130*(((Inputs!$G$5:$G$130="moeda")+(Inputs!$G$5:$G$130="acoes"))*Inputs!$B$1+((Inputs!$G$5:$G$130&lt;&gt;"moeda")*(Inputs!$G$5:$G$130&lt;&gt;"acoes")))*INDEX(Inputs!$K$5:$AJ$130,0,MATCH(U$2,Inputs!$K$4:$AJ$4,0)))))</f>
        <v>657</v>
      </c>
      <c r="V54" s="263">
        <f>IF(ISNA(MATCH(V$2,Inputs!$K$4:$AJ$4,0)),NA(),IF(SUMPRODUCT((Inputs!$A$5:$A$130=$B54)*ISNUMBER(INDEX(Inputs!$K$5:$AJ$130,0,MATCH(V$2,Inputs!$K$4:$AJ$4,0))))+SUMPRODUCT((Inputs!$C$5:$C$130=$B54)*ISNUMBER(INDEX(Inputs!$K$5:$AJ$130,0,MATCH(V$2,Inputs!$K$4:$AJ$4,0))))+SUMPRODUCT((Inputs!$E$5:$E$130=$B54)*ISNUMBER(INDEX(Inputs!$K$5:$AJ$130,0,MATCH(V$2,Inputs!$K$4:$AJ$4,0))))=0,NA(),SUMPRODUCT((Inputs!$A$5:$A$130=$B54)*Inputs!$B$5:$B$130*(((Inputs!$G$5:$G$130="moeda")+(Inputs!$G$5:$G$130="acoes"))*Inputs!$B$1+((Inputs!$G$5:$G$130&lt;&gt;"moeda")*(Inputs!$G$5:$G$130&lt;&gt;"acoes")))*INDEX(Inputs!$K$5:$AJ$130,0,MATCH(V$2,Inputs!$K$4:$AJ$4,0)))+SUMPRODUCT((Inputs!$C$5:$C$130=$B54)*Inputs!$D$5:$D$130*(((Inputs!$G$5:$G$130="moeda")+(Inputs!$G$5:$G$130="acoes"))*Inputs!$B$1+((Inputs!$G$5:$G$130&lt;&gt;"moeda")*(Inputs!$G$5:$G$130&lt;&gt;"acoes")))*INDEX(Inputs!$K$5:$AJ$130,0,MATCH(V$2,Inputs!$K$4:$AJ$4,0)))+SUMPRODUCT((Inputs!$E$5:$E$130=$B54)*Inputs!$F$5:$F$130*(((Inputs!$G$5:$G$130="moeda")+(Inputs!$G$5:$G$130="acoes"))*Inputs!$B$1+((Inputs!$G$5:$G$130&lt;&gt;"moeda")*(Inputs!$G$5:$G$130&lt;&gt;"acoes")))*INDEX(Inputs!$K$5:$AJ$130,0,MATCH(V$2,Inputs!$K$4:$AJ$4,0)))))</f>
        <v>338</v>
      </c>
      <c r="W54" s="264">
        <f>SUM(S54:V54)</f>
        <v>3807</v>
      </c>
      <c r="X54" s="263">
        <f>IF(ISNA(MATCH(X$2,Inputs!$K$4:$AJ$4,0)),NA(),IF(SUMPRODUCT((Inputs!$A$5:$A$130=$B54)*ISNUMBER(INDEX(Inputs!$K$5:$AJ$130,0,MATCH(X$2,Inputs!$K$4:$AJ$4,0))))+SUMPRODUCT((Inputs!$C$5:$C$130=$B54)*ISNUMBER(INDEX(Inputs!$K$5:$AJ$130,0,MATCH(X$2,Inputs!$K$4:$AJ$4,0))))+SUMPRODUCT((Inputs!$E$5:$E$130=$B54)*ISNUMBER(INDEX(Inputs!$K$5:$AJ$130,0,MATCH(X$2,Inputs!$K$4:$AJ$4,0))))=0,NA(),SUMPRODUCT((Inputs!$A$5:$A$130=$B54)*Inputs!$B$5:$B$130*(((Inputs!$G$5:$G$130="moeda")+(Inputs!$G$5:$G$130="acoes"))*Inputs!$B$1+((Inputs!$G$5:$G$130&lt;&gt;"moeda")*(Inputs!$G$5:$G$130&lt;&gt;"acoes")))*INDEX(Inputs!$K$5:$AJ$130,0,MATCH(X$2,Inputs!$K$4:$AJ$4,0)))+SUMPRODUCT((Inputs!$C$5:$C$130=$B54)*Inputs!$D$5:$D$130*(((Inputs!$G$5:$G$130="moeda")+(Inputs!$G$5:$G$130="acoes"))*Inputs!$B$1+((Inputs!$G$5:$G$130&lt;&gt;"moeda")*(Inputs!$G$5:$G$130&lt;&gt;"acoes")))*INDEX(Inputs!$K$5:$AJ$130,0,MATCH(X$2,Inputs!$K$4:$AJ$4,0)))+SUMPRODUCT((Inputs!$E$5:$E$130=$B54)*Inputs!$F$5:$F$130*(((Inputs!$G$5:$G$130="moeda")+(Inputs!$G$5:$G$130="acoes"))*Inputs!$B$1+((Inputs!$G$5:$G$130&lt;&gt;"moeda")*(Inputs!$G$5:$G$130&lt;&gt;"acoes")))*INDEX(Inputs!$K$5:$AJ$130,0,MATCH(X$2,Inputs!$K$4:$AJ$4,0)))))</f>
        <v>1148</v>
      </c>
      <c r="Y54" s="263">
        <f>IF(ISNA(MATCH(Y$2,Inputs!$K$4:$AJ$4,0)),NA(),IF(SUMPRODUCT((Inputs!$A$5:$A$130=$B54)*ISNUMBER(INDEX(Inputs!$K$5:$AJ$130,0,MATCH(Y$2,Inputs!$K$4:$AJ$4,0))))+SUMPRODUCT((Inputs!$C$5:$C$130=$B54)*ISNUMBER(INDEX(Inputs!$K$5:$AJ$130,0,MATCH(Y$2,Inputs!$K$4:$AJ$4,0))))+SUMPRODUCT((Inputs!$E$5:$E$130=$B54)*ISNUMBER(INDEX(Inputs!$K$5:$AJ$130,0,MATCH(Y$2,Inputs!$K$4:$AJ$4,0))))=0,NA(),SUMPRODUCT((Inputs!$A$5:$A$130=$B54)*Inputs!$B$5:$B$130*(((Inputs!$G$5:$G$130="moeda")+(Inputs!$G$5:$G$130="acoes"))*Inputs!$B$1+((Inputs!$G$5:$G$130&lt;&gt;"moeda")*(Inputs!$G$5:$G$130&lt;&gt;"acoes")))*INDEX(Inputs!$K$5:$AJ$130,0,MATCH(Y$2,Inputs!$K$4:$AJ$4,0)))+SUMPRODUCT((Inputs!$C$5:$C$130=$B54)*Inputs!$D$5:$D$130*(((Inputs!$G$5:$G$130="moeda")+(Inputs!$G$5:$G$130="acoes"))*Inputs!$B$1+((Inputs!$G$5:$G$130&lt;&gt;"moeda")*(Inputs!$G$5:$G$130&lt;&gt;"acoes")))*INDEX(Inputs!$K$5:$AJ$130,0,MATCH(Y$2,Inputs!$K$4:$AJ$4,0)))+SUMPRODUCT((Inputs!$E$5:$E$130=$B54)*Inputs!$F$5:$F$130*(((Inputs!$G$5:$G$130="moeda")+(Inputs!$G$5:$G$130="acoes"))*Inputs!$B$1+((Inputs!$G$5:$G$130&lt;&gt;"moeda")*(Inputs!$G$5:$G$130&lt;&gt;"acoes")))*INDEX(Inputs!$K$5:$AJ$130,0,MATCH(Y$2,Inputs!$K$4:$AJ$4,0)))))</f>
        <v>580</v>
      </c>
      <c r="Z54" s="263">
        <f>IF(ISNA(MATCH(Z$2,Inputs!$K$4:$AJ$4,0)),NA(),IF(SUMPRODUCT((Inputs!$A$5:$A$130=$B54)*ISNUMBER(INDEX(Inputs!$K$5:$AJ$130,0,MATCH(Z$2,Inputs!$K$4:$AJ$4,0))))+SUMPRODUCT((Inputs!$C$5:$C$130=$B54)*ISNUMBER(INDEX(Inputs!$K$5:$AJ$130,0,MATCH(Z$2,Inputs!$K$4:$AJ$4,0))))+SUMPRODUCT((Inputs!$E$5:$E$130=$B54)*ISNUMBER(INDEX(Inputs!$K$5:$AJ$130,0,MATCH(Z$2,Inputs!$K$4:$AJ$4,0))))=0,NA(),SUMPRODUCT((Inputs!$A$5:$A$130=$B54)*Inputs!$B$5:$B$130*(((Inputs!$G$5:$G$130="moeda")+(Inputs!$G$5:$G$130="acoes"))*Inputs!$B$1+((Inputs!$G$5:$G$130&lt;&gt;"moeda")*(Inputs!$G$5:$G$130&lt;&gt;"acoes")))*INDEX(Inputs!$K$5:$AJ$130,0,MATCH(Z$2,Inputs!$K$4:$AJ$4,0)))+SUMPRODUCT((Inputs!$C$5:$C$130=$B54)*Inputs!$D$5:$D$130*(((Inputs!$G$5:$G$130="moeda")+(Inputs!$G$5:$G$130="acoes"))*Inputs!$B$1+((Inputs!$G$5:$G$130&lt;&gt;"moeda")*(Inputs!$G$5:$G$130&lt;&gt;"acoes")))*INDEX(Inputs!$K$5:$AJ$130,0,MATCH(Z$2,Inputs!$K$4:$AJ$4,0)))+SUMPRODUCT((Inputs!$E$5:$E$130=$B54)*Inputs!$F$5:$F$130*(((Inputs!$G$5:$G$130="moeda")+(Inputs!$G$5:$G$130="acoes"))*Inputs!$B$1+((Inputs!$G$5:$G$130&lt;&gt;"moeda")*(Inputs!$G$5:$G$130&lt;&gt;"acoes")))*INDEX(Inputs!$K$5:$AJ$130,0,MATCH(Z$2,Inputs!$K$4:$AJ$4,0)))))</f>
        <v>605</v>
      </c>
      <c r="AA54" s="263">
        <f>IF(ISNA(MATCH(AA$2,Inputs!$K$4:$AJ$4,0)),NA(),IF(SUMPRODUCT((Inputs!$A$5:$A$130=$B54)*ISNUMBER(INDEX(Inputs!$K$5:$AJ$130,0,MATCH(AA$2,Inputs!$K$4:$AJ$4,0))))+SUMPRODUCT((Inputs!$C$5:$C$130=$B54)*ISNUMBER(INDEX(Inputs!$K$5:$AJ$130,0,MATCH(AA$2,Inputs!$K$4:$AJ$4,0))))+SUMPRODUCT((Inputs!$E$5:$E$130=$B54)*ISNUMBER(INDEX(Inputs!$K$5:$AJ$130,0,MATCH(AA$2,Inputs!$K$4:$AJ$4,0))))=0,NA(),SUMPRODUCT((Inputs!$A$5:$A$130=$B54)*Inputs!$B$5:$B$130*(((Inputs!$G$5:$G$130="moeda")+(Inputs!$G$5:$G$130="acoes"))*Inputs!$B$1+((Inputs!$G$5:$G$130&lt;&gt;"moeda")*(Inputs!$G$5:$G$130&lt;&gt;"acoes")))*INDEX(Inputs!$K$5:$AJ$130,0,MATCH(AA$2,Inputs!$K$4:$AJ$4,0)))+SUMPRODUCT((Inputs!$C$5:$C$130=$B54)*Inputs!$D$5:$D$130*(((Inputs!$G$5:$G$130="moeda")+(Inputs!$G$5:$G$130="acoes"))*Inputs!$B$1+((Inputs!$G$5:$G$130&lt;&gt;"moeda")*(Inputs!$G$5:$G$130&lt;&gt;"acoes")))*INDEX(Inputs!$K$5:$AJ$130,0,MATCH(AA$2,Inputs!$K$4:$AJ$4,0)))+SUMPRODUCT((Inputs!$E$5:$E$130=$B54)*Inputs!$F$5:$F$130*(((Inputs!$G$5:$G$130="moeda")+(Inputs!$G$5:$G$130="acoes"))*Inputs!$B$1+((Inputs!$G$5:$G$130&lt;&gt;"moeda")*(Inputs!$G$5:$G$130&lt;&gt;"acoes")))*INDEX(Inputs!$K$5:$AJ$130,0,MATCH(AA$2,Inputs!$K$4:$AJ$4,0)))))</f>
        <v>139</v>
      </c>
      <c r="AB54" s="264">
        <f>SUM(X54:AA54)</f>
        <v>2472</v>
      </c>
      <c r="AC54" s="263">
        <f>IF(ISNA(MATCH(AC$2,Inputs!$K$4:$AJ$4,0)),NA(),IF(SUMPRODUCT((Inputs!$A$5:$A$130=$B54)*ISNUMBER(INDEX(Inputs!$K$5:$AJ$130,0,MATCH(AC$2,Inputs!$K$4:$AJ$4,0))))+SUMPRODUCT((Inputs!$C$5:$C$130=$B54)*ISNUMBER(INDEX(Inputs!$K$5:$AJ$130,0,MATCH(AC$2,Inputs!$K$4:$AJ$4,0))))+SUMPRODUCT((Inputs!$E$5:$E$130=$B54)*ISNUMBER(INDEX(Inputs!$K$5:$AJ$130,0,MATCH(AC$2,Inputs!$K$4:$AJ$4,0))))=0,NA(),SUMPRODUCT((Inputs!$A$5:$A$130=$B54)*Inputs!$B$5:$B$130*(((Inputs!$G$5:$G$130="moeda")+(Inputs!$G$5:$G$130="acoes"))*Inputs!$B$1+((Inputs!$G$5:$G$130&lt;&gt;"moeda")*(Inputs!$G$5:$G$130&lt;&gt;"acoes")))*INDEX(Inputs!$K$5:$AJ$130,0,MATCH(AC$2,Inputs!$K$4:$AJ$4,0)))+SUMPRODUCT((Inputs!$C$5:$C$130=$B54)*Inputs!$D$5:$D$130*(((Inputs!$G$5:$G$130="moeda")+(Inputs!$G$5:$G$130="acoes"))*Inputs!$B$1+((Inputs!$G$5:$G$130&lt;&gt;"moeda")*(Inputs!$G$5:$G$130&lt;&gt;"acoes")))*INDEX(Inputs!$K$5:$AJ$130,0,MATCH(AC$2,Inputs!$K$4:$AJ$4,0)))+SUMPRODUCT((Inputs!$E$5:$E$130=$B54)*Inputs!$F$5:$F$130*(((Inputs!$G$5:$G$130="moeda")+(Inputs!$G$5:$G$130="acoes"))*Inputs!$B$1+((Inputs!$G$5:$G$130&lt;&gt;"moeda")*(Inputs!$G$5:$G$130&lt;&gt;"acoes")))*INDEX(Inputs!$K$5:$AJ$130,0,MATCH(AC$2,Inputs!$K$4:$AJ$4,0)))))</f>
        <v>706</v>
      </c>
      <c r="AD54" s="263">
        <f>IF(ISNA(MATCH(AD$2,Inputs!$K$4:$AJ$4,0)),NA(),IF(SUMPRODUCT((Inputs!$A$5:$A$130=$B54)*ISNUMBER(INDEX(Inputs!$K$5:$AJ$130,0,MATCH(AD$2,Inputs!$K$4:$AJ$4,0))))+SUMPRODUCT((Inputs!$C$5:$C$130=$B54)*ISNUMBER(INDEX(Inputs!$K$5:$AJ$130,0,MATCH(AD$2,Inputs!$K$4:$AJ$4,0))))+SUMPRODUCT((Inputs!$E$5:$E$130=$B54)*ISNUMBER(INDEX(Inputs!$K$5:$AJ$130,0,MATCH(AD$2,Inputs!$K$4:$AJ$4,0))))=0,NA(),SUMPRODUCT((Inputs!$A$5:$A$130=$B54)*Inputs!$B$5:$B$130*(((Inputs!$G$5:$G$130="moeda")+(Inputs!$G$5:$G$130="acoes"))*Inputs!$B$1+((Inputs!$G$5:$G$130&lt;&gt;"moeda")*(Inputs!$G$5:$G$130&lt;&gt;"acoes")))*INDEX(Inputs!$K$5:$AJ$130,0,MATCH(AD$2,Inputs!$K$4:$AJ$4,0)))+SUMPRODUCT((Inputs!$C$5:$C$130=$B54)*Inputs!$D$5:$D$130*(((Inputs!$G$5:$G$130="moeda")+(Inputs!$G$5:$G$130="acoes"))*Inputs!$B$1+((Inputs!$G$5:$G$130&lt;&gt;"moeda")*(Inputs!$G$5:$G$130&lt;&gt;"acoes")))*INDEX(Inputs!$K$5:$AJ$130,0,MATCH(AD$2,Inputs!$K$4:$AJ$4,0)))+SUMPRODUCT((Inputs!$E$5:$E$130=$B54)*Inputs!$F$5:$F$130*(((Inputs!$G$5:$G$130="moeda")+(Inputs!$G$5:$G$130="acoes"))*Inputs!$B$1+((Inputs!$G$5:$G$130&lt;&gt;"moeda")*(Inputs!$G$5:$G$130&lt;&gt;"acoes")))*INDEX(Inputs!$K$5:$AJ$130,0,MATCH(AD$2,Inputs!$K$4:$AJ$4,0)))))</f>
        <v>527</v>
      </c>
      <c r="AE54" s="263" t="e">
        <f>IF(ISNA(MATCH(AE$2,Inputs!$K$4:$AJ$4,0)),NA(),IF(SUMPRODUCT((Inputs!$A$5:$A$130=$B54)*ISNUMBER(INDEX(Inputs!$K$5:$AJ$130,0,MATCH(AE$2,Inputs!$K$4:$AJ$4,0))))+SUMPRODUCT((Inputs!$C$5:$C$130=$B54)*ISNUMBER(INDEX(Inputs!$K$5:$AJ$130,0,MATCH(AE$2,Inputs!$K$4:$AJ$4,0))))+SUMPRODUCT((Inputs!$E$5:$E$130=$B54)*ISNUMBER(INDEX(Inputs!$K$5:$AJ$130,0,MATCH(AE$2,Inputs!$K$4:$AJ$4,0))))=0,NA(),SUMPRODUCT((Inputs!$A$5:$A$130=$B54)*Inputs!$B$5:$B$130*(((Inputs!$G$5:$G$130="moeda")+(Inputs!$G$5:$G$130="acoes"))*Inputs!$B$1+((Inputs!$G$5:$G$130&lt;&gt;"moeda")*(Inputs!$G$5:$G$130&lt;&gt;"acoes")))*INDEX(Inputs!$K$5:$AJ$130,0,MATCH(AE$2,Inputs!$K$4:$AJ$4,0)))+SUMPRODUCT((Inputs!$C$5:$C$130=$B54)*Inputs!$D$5:$D$130*(((Inputs!$G$5:$G$130="moeda")+(Inputs!$G$5:$G$130="acoes"))*Inputs!$B$1+((Inputs!$G$5:$G$130&lt;&gt;"moeda")*(Inputs!$G$5:$G$130&lt;&gt;"acoes")))*INDEX(Inputs!$K$5:$AJ$130,0,MATCH(AE$2,Inputs!$K$4:$AJ$4,0)))+SUMPRODUCT((Inputs!$E$5:$E$130=$B54)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4" s="263" t="e">
        <f>IF(ISNA(MATCH(AF$2,Inputs!$K$4:$AJ$4,0)),NA(),IF(SUMPRODUCT((Inputs!$A$5:$A$130=$B54)*ISNUMBER(INDEX(Inputs!$K$5:$AJ$130,0,MATCH(AF$2,Inputs!$K$4:$AJ$4,0))))+SUMPRODUCT((Inputs!$C$5:$C$130=$B54)*ISNUMBER(INDEX(Inputs!$K$5:$AJ$130,0,MATCH(AF$2,Inputs!$K$4:$AJ$4,0))))+SUMPRODUCT((Inputs!$E$5:$E$130=$B54)*ISNUMBER(INDEX(Inputs!$K$5:$AJ$130,0,MATCH(AF$2,Inputs!$K$4:$AJ$4,0))))=0,NA(),SUMPRODUCT((Inputs!$A$5:$A$130=$B54)*Inputs!$B$5:$B$130*(((Inputs!$G$5:$G$130="moeda")+(Inputs!$G$5:$G$130="acoes"))*Inputs!$B$1+((Inputs!$G$5:$G$130&lt;&gt;"moeda")*(Inputs!$G$5:$G$130&lt;&gt;"acoes")))*INDEX(Inputs!$K$5:$AJ$130,0,MATCH(AF$2,Inputs!$K$4:$AJ$4,0)))+SUMPRODUCT((Inputs!$C$5:$C$130=$B54)*Inputs!$D$5:$D$130*(((Inputs!$G$5:$G$130="moeda")+(Inputs!$G$5:$G$130="acoes"))*Inputs!$B$1+((Inputs!$G$5:$G$130&lt;&gt;"moeda")*(Inputs!$G$5:$G$130&lt;&gt;"acoes")))*INDEX(Inputs!$K$5:$AJ$130,0,MATCH(AF$2,Inputs!$K$4:$AJ$4,0)))+SUMPRODUCT((Inputs!$E$5:$E$130=$B54)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$130=$B54)*ISNUMBER(INDEX(Inputs!$K$5:$AJ$130,0,MATCH(AH$2,Inputs!$K$4:$AJ$4,0))))+SUMPRODUCT((Inputs!$C$5:$C$130=$B54)*ISNUMBER(INDEX(Inputs!$K$5:$AJ$130,0,MATCH(AH$2,Inputs!$K$4:$AJ$4,0))))+SUMPRODUCT((Inputs!$E$5:$E$130=$B54)*ISNUMBER(INDEX(Inputs!$K$5:$AJ$130,0,MATCH(AH$2,Inputs!$K$4:$AJ$4,0))))=0,NA(),SUMPRODUCT((Inputs!$A$5:$A$130=$B54)*Inputs!$B$5:$B$130*(((Inputs!$G$5:$G$130="moeda")+(Inputs!$G$5:$G$130="acoes"))*Inputs!$B$1+((Inputs!$G$5:$G$130&lt;&gt;"moeda")*(Inputs!$G$5:$G$130&lt;&gt;"acoes")))*INDEX(Inputs!$K$5:$AJ$130,0,MATCH(AH$2,Inputs!$K$4:$AJ$4,0)))+SUMPRODUCT((Inputs!$C$5:$C$130=$B54)*Inputs!$D$5:$D$130*(((Inputs!$G$5:$G$130="moeda")+(Inputs!$G$5:$G$130="acoes"))*Inputs!$B$1+((Inputs!$G$5:$G$130&lt;&gt;"moeda")*(Inputs!$G$5:$G$130&lt;&gt;"acoes")))*INDEX(Inputs!$K$5:$AJ$130,0,MATCH(AH$2,Inputs!$K$4:$AJ$4,0)))+SUMPRODUCT((Inputs!$E$5:$E$130=$B54)*Inputs!$F$5:$F$130*(((Inputs!$G$5:$G$130="moeda")+(Inputs!$G$5:$G$130="acoes"))*Inputs!$B$1+((Inputs!$G$5:$G$130&lt;&gt;"moeda")*(Inputs!$G$5:$G$130&lt;&gt;"acoes")))*INDEX(Inputs!$K$5:$AJ$130,0,MATCH(AH$2,Inputs!$K$4:$AJ$4,0)))))</f>
        <v>568</v>
      </c>
      <c r="AI54" s="263">
        <f>IF(ISNA(MATCH(AI$2,Inputs!$K$4:$AJ$4,0)),NA(),IF(SUMPRODUCT((Inputs!$A$5:$A$130=$B54)*ISNUMBER(INDEX(Inputs!$K$5:$AJ$130,0,MATCH(AI$2,Inputs!$K$4:$AJ$4,0))))+SUMPRODUCT((Inputs!$C$5:$C$130=$B54)*ISNUMBER(INDEX(Inputs!$K$5:$AJ$130,0,MATCH(AI$2,Inputs!$K$4:$AJ$4,0))))+SUMPRODUCT((Inputs!$E$5:$E$130=$B54)*ISNUMBER(INDEX(Inputs!$K$5:$AJ$130,0,MATCH(AI$2,Inputs!$K$4:$AJ$4,0))))=0,NA(),SUMPRODUCT((Inputs!$A$5:$A$130=$B54)*Inputs!$B$5:$B$130*(((Inputs!$G$5:$G$130="moeda")+(Inputs!$G$5:$G$130="acoes"))*Inputs!$B$1+((Inputs!$G$5:$G$130&lt;&gt;"moeda")*(Inputs!$G$5:$G$130&lt;&gt;"acoes")))*INDEX(Inputs!$K$5:$AJ$130,0,MATCH(AI$2,Inputs!$K$4:$AJ$4,0)))+SUMPRODUCT((Inputs!$C$5:$C$130=$B54)*Inputs!$D$5:$D$130*(((Inputs!$G$5:$G$130="moeda")+(Inputs!$G$5:$G$130="acoes"))*Inputs!$B$1+((Inputs!$G$5:$G$130&lt;&gt;"moeda")*(Inputs!$G$5:$G$130&lt;&gt;"acoes")))*INDEX(Inputs!$K$5:$AJ$130,0,MATCH(AI$2,Inputs!$K$4:$AJ$4,0)))+SUMPRODUCT((Inputs!$E$5:$E$130=$B54)*Inputs!$F$5:$F$130*(((Inputs!$G$5:$G$130="moeda")+(Inputs!$G$5:$G$130="acoes"))*Inputs!$B$1+((Inputs!$G$5:$G$130&lt;&gt;"moeda")*(Inputs!$G$5:$G$130&lt;&gt;"acoes")))*INDEX(Inputs!$K$5:$AJ$130,0,MATCH(AI$2,Inputs!$K$4:$AJ$4,0)))))</f>
        <v>605</v>
      </c>
      <c r="AJ54" s="263">
        <f>IF(ISNA(MATCH(AJ$2,Inputs!$K$4:$AJ$4,0)),NA(),IF(SUMPRODUCT((Inputs!$A$5:$A$130=$B54)*ISNUMBER(INDEX(Inputs!$K$5:$AJ$130,0,MATCH(AJ$2,Inputs!$K$4:$AJ$4,0))))+SUMPRODUCT((Inputs!$C$5:$C$130=$B54)*ISNUMBER(INDEX(Inputs!$K$5:$AJ$130,0,MATCH(AJ$2,Inputs!$K$4:$AJ$4,0))))+SUMPRODUCT((Inputs!$E$5:$E$130=$B54)*ISNUMBER(INDEX(Inputs!$K$5:$AJ$130,0,MATCH(AJ$2,Inputs!$K$4:$AJ$4,0))))=0,NA(),SUMPRODUCT((Inputs!$A$5:$A$130=$B54)*Inputs!$B$5:$B$130*(((Inputs!$G$5:$G$130="moeda")+(Inputs!$G$5:$G$130="acoes"))*Inputs!$B$1+((Inputs!$G$5:$G$130&lt;&gt;"moeda")*(Inputs!$G$5:$G$130&lt;&gt;"acoes")))*INDEX(Inputs!$K$5:$AJ$130,0,MATCH(AJ$2,Inputs!$K$4:$AJ$4,0)))+SUMPRODUCT((Inputs!$C$5:$C$130=$B54)*Inputs!$D$5:$D$130*(((Inputs!$G$5:$G$130="moeda")+(Inputs!$G$5:$G$130="acoes"))*Inputs!$B$1+((Inputs!$G$5:$G$130&lt;&gt;"moeda")*(Inputs!$G$5:$G$130&lt;&gt;"acoes")))*INDEX(Inputs!$K$5:$AJ$130,0,MATCH(AJ$2,Inputs!$K$4:$AJ$4,0)))+SUMPRODUCT((Inputs!$E$5:$E$130=$B54)*Inputs!$F$5:$F$130*(((Inputs!$G$5:$G$130="moeda")+(Inputs!$G$5:$G$130="acoes"))*Inputs!$B$1+((Inputs!$G$5:$G$130&lt;&gt;"moeda")*(Inputs!$G$5:$G$130&lt;&gt;"acoes")))*INDEX(Inputs!$K$5:$AJ$130,0,MATCH(AJ$2,Inputs!$K$4:$AJ$4,0)))))</f>
        <v>578</v>
      </c>
      <c r="AK54" s="263">
        <f>IF(ISNA(MATCH(AK$2,Inputs!$K$4:$AJ$4,0)),NA(),IF(SUMPRODUCT((Inputs!$A$5:$A$130=$B54)*ISNUMBER(INDEX(Inputs!$K$5:$AJ$130,0,MATCH(AK$2,Inputs!$K$4:$AJ$4,0))))+SUMPRODUCT((Inputs!$C$5:$C$130=$B54)*ISNUMBER(INDEX(Inputs!$K$5:$AJ$130,0,MATCH(AK$2,Inputs!$K$4:$AJ$4,0))))+SUMPRODUCT((Inputs!$E$5:$E$130=$B54)*ISNUMBER(INDEX(Inputs!$K$5:$AJ$130,0,MATCH(AK$2,Inputs!$K$4:$AJ$4,0))))=0,NA(),SUMPRODUCT((Inputs!$A$5:$A$130=$B54)*Inputs!$B$5:$B$130*(((Inputs!$G$5:$G$130="moeda")+(Inputs!$G$5:$G$130="acoes"))*Inputs!$B$1+((Inputs!$G$5:$G$130&lt;&gt;"moeda")*(Inputs!$G$5:$G$130&lt;&gt;"acoes")))*INDEX(Inputs!$K$5:$AJ$130,0,MATCH(AK$2,Inputs!$K$4:$AJ$4,0)))+SUMPRODUCT((Inputs!$C$5:$C$130=$B54)*Inputs!$D$5:$D$130*(((Inputs!$G$5:$G$130="moeda")+(Inputs!$G$5:$G$130="acoes"))*Inputs!$B$1+((Inputs!$G$5:$G$130&lt;&gt;"moeda")*(Inputs!$G$5:$G$130&lt;&gt;"acoes")))*INDEX(Inputs!$K$5:$AJ$130,0,MATCH(AK$2,Inputs!$K$4:$AJ$4,0)))+SUMPRODUCT((Inputs!$E$5:$E$130=$B54)*Inputs!$F$5:$F$130*(((Inputs!$G$5:$G$130="moeda")+(Inputs!$G$5:$G$130="acoes"))*Inputs!$B$1+((Inputs!$G$5:$G$130&lt;&gt;"moeda")*(Inputs!$G$5:$G$130&lt;&gt;"acoes")))*INDEX(Inputs!$K$5:$AJ$130,0,MATCH(AK$2,Inputs!$K$4:$AJ$4,0)))))</f>
        <v>643</v>
      </c>
      <c r="AL54" s="264">
        <f>SUM(AH54:AK54)</f>
        <v>2394</v>
      </c>
    </row>
    <row r="55">
      <c r="B55" s="46" t="n">
        <v>47</v>
      </c>
      <c r="C55" s="29" t="inlineStr">
        <is>
          <t>Small Agriculture &amp; Turf - receita (USD)</t>
        </is>
      </c>
      <c r="D55" s="263">
        <f>IF(ISNA(MATCH(D$2,Inputs!$K$4:$AJ$4,0)),NA(),IF(SUMPRODUCT((Inputs!$A$5:$A$130=$B55)*ISNUMBER(INDEX(Inputs!$K$5:$AJ$130,0,MATCH(D$2,Inputs!$K$4:$AJ$4,0))))+SUMPRODUCT((Inputs!$C$5:$C$130=$B55)*ISNUMBER(INDEX(Inputs!$K$5:$AJ$130,0,MATCH(D$2,Inputs!$K$4:$AJ$4,0))))+SUMPRODUCT((Inputs!$E$5:$E$130=$B55)*ISNUMBER(INDEX(Inputs!$K$5:$AJ$130,0,MATCH(D$2,Inputs!$K$4:$AJ$4,0))))=0,NA(),SUMPRODUCT((Inputs!$A$5:$A$130=$B55)*Inputs!$B$5:$B$130*(((Inputs!$G$5:$G$130="moeda")+(Inputs!$G$5:$G$130="acoes"))*Inputs!$B$1+((Inputs!$G$5:$G$130&lt;&gt;"moeda")*(Inputs!$G$5:$G$130&lt;&gt;"acoes")))*INDEX(Inputs!$K$5:$AJ$130,0,MATCH(D$2,Inputs!$K$4:$AJ$4,0)))+SUMPRODUCT((Inputs!$C$5:$C$130=$B55)*Inputs!$D$5:$D$130*(((Inputs!$G$5:$G$130="moeda")+(Inputs!$G$5:$G$130="acoes"))*Inputs!$B$1+((Inputs!$G$5:$G$130&lt;&gt;"moeda")*(Inputs!$G$5:$G$130&lt;&gt;"acoes")))*INDEX(Inputs!$K$5:$AJ$130,0,MATCH(D$2,Inputs!$K$4:$AJ$4,0)))+SUMPRODUCT((Inputs!$E$5:$E$130=$B55)*Inputs!$F$5:$F$130*(((Inputs!$G$5:$G$130="moeda")+(Inputs!$G$5:$G$130="acoes"))*Inputs!$B$1+((Inputs!$G$5:$G$130&lt;&gt;"moeda")*(Inputs!$G$5:$G$130&lt;&gt;"acoes")))*INDEX(Inputs!$K$5:$AJ$130,0,MATCH(D$2,Inputs!$K$4:$AJ$4,0)))))</f>
        <v>3427</v>
      </c>
      <c r="E55" s="263">
        <f>IF(ISNA(MATCH(E$2,Inputs!$K$4:$AJ$4,0)),NA(),IF(SUMPRODUCT((Inputs!$A$5:$A$130=$B55)*ISNUMBER(INDEX(Inputs!$K$5:$AJ$130,0,MATCH(E$2,Inputs!$K$4:$AJ$4,0))))+SUMPRODUCT((Inputs!$C$5:$C$130=$B55)*ISNUMBER(INDEX(Inputs!$K$5:$AJ$130,0,MATCH(E$2,Inputs!$K$4:$AJ$4,0))))+SUMPRODUCT((Inputs!$E$5:$E$130=$B55)*ISNUMBER(INDEX(Inputs!$K$5:$AJ$130,0,MATCH(E$2,Inputs!$K$4:$AJ$4,0))))=0,NA(),SUMPRODUCT((Inputs!$A$5:$A$130=$B55)*Inputs!$B$5:$B$130*(((Inputs!$G$5:$G$130="moeda")+(Inputs!$G$5:$G$130="acoes"))*Inputs!$B$1+((Inputs!$G$5:$G$130&lt;&gt;"moeda")*(Inputs!$G$5:$G$130&lt;&gt;"acoes")))*INDEX(Inputs!$K$5:$AJ$130,0,MATCH(E$2,Inputs!$K$4:$AJ$4,0)))+SUMPRODUCT((Inputs!$C$5:$C$130=$B55)*Inputs!$D$5:$D$130*(((Inputs!$G$5:$G$130="moeda")+(Inputs!$G$5:$G$130="acoes"))*Inputs!$B$1+((Inputs!$G$5:$G$130&lt;&gt;"moeda")*(Inputs!$G$5:$G$130&lt;&gt;"acoes")))*INDEX(Inputs!$K$5:$AJ$130,0,MATCH(E$2,Inputs!$K$4:$AJ$4,0)))+SUMPRODUCT((Inputs!$E$5:$E$130=$B55)*Inputs!$F$5:$F$130*(((Inputs!$G$5:$G$130="moeda")+(Inputs!$G$5:$G$130="acoes"))*Inputs!$B$1+((Inputs!$G$5:$G$130&lt;&gt;"moeda")*(Inputs!$G$5:$G$130&lt;&gt;"acoes")))*INDEX(Inputs!$K$5:$AJ$130,0,MATCH(E$2,Inputs!$K$4:$AJ$4,0)))))</f>
        <v>3212</v>
      </c>
      <c r="F55" s="263">
        <f>IF(ISNA(MATCH(F$2,Inputs!$K$4:$AJ$4,0)),NA(),IF(SUMPRODUCT((Inputs!$A$5:$A$130=$B55)*ISNUMBER(INDEX(Inputs!$K$5:$AJ$130,0,MATCH(F$2,Inputs!$K$4:$AJ$4,0))))+SUMPRODUCT((Inputs!$C$5:$C$130=$B55)*ISNUMBER(INDEX(Inputs!$K$5:$AJ$130,0,MATCH(F$2,Inputs!$K$4:$AJ$4,0))))+SUMPRODUCT((Inputs!$E$5:$E$130=$B55)*ISNUMBER(INDEX(Inputs!$K$5:$AJ$130,0,MATCH(F$2,Inputs!$K$4:$AJ$4,0))))=0,NA(),SUMPRODUCT((Inputs!$A$5:$A$130=$B55)*Inputs!$B$5:$B$130*(((Inputs!$G$5:$G$130="moeda")+(Inputs!$G$5:$G$130="acoes"))*Inputs!$B$1+((Inputs!$G$5:$G$130&lt;&gt;"moeda")*(Inputs!$G$5:$G$130&lt;&gt;"acoes")))*INDEX(Inputs!$K$5:$AJ$130,0,MATCH(F$2,Inputs!$K$4:$AJ$4,0)))+SUMPRODUCT((Inputs!$C$5:$C$130=$B55)*Inputs!$D$5:$D$130*(((Inputs!$G$5:$G$130="moeda")+(Inputs!$G$5:$G$130="acoes"))*Inputs!$B$1+((Inputs!$G$5:$G$130&lt;&gt;"moeda")*(Inputs!$G$5:$G$130&lt;&gt;"acoes")))*INDEX(Inputs!$K$5:$AJ$130,0,MATCH(F$2,Inputs!$K$4:$AJ$4,0)))+SUMPRODUCT((Inputs!$E$5:$E$130=$B55)*Inputs!$F$5:$F$130*(((Inputs!$G$5:$G$130="moeda")+(Inputs!$G$5:$G$130="acoes"))*Inputs!$B$1+((Inputs!$G$5:$G$130&lt;&gt;"moeda")*(Inputs!$G$5:$G$130&lt;&gt;"acoes")))*INDEX(Inputs!$K$5:$AJ$130,0,MATCH(F$2,Inputs!$K$4:$AJ$4,0)))))</f>
        <v>2857</v>
      </c>
      <c r="G55" s="263">
        <f>IF(ISNA(MATCH(G$2,Inputs!$K$4:$AJ$4,0)),NA(),IF(SUMPRODUCT((Inputs!$A$5:$A$130=$B55)*ISNUMBER(INDEX(Inputs!$K$5:$AJ$130,0,MATCH(G$2,Inputs!$K$4:$AJ$4,0))))+SUMPRODUCT((Inputs!$C$5:$C$130=$B55)*ISNUMBER(INDEX(Inputs!$K$5:$AJ$130,0,MATCH(G$2,Inputs!$K$4:$AJ$4,0))))+SUMPRODUCT((Inputs!$E$5:$E$130=$B55)*ISNUMBER(INDEX(Inputs!$K$5:$AJ$130,0,MATCH(G$2,Inputs!$K$4:$AJ$4,0))))=0,NA(),SUMPRODUCT((Inputs!$A$5:$A$130=$B55)*Inputs!$B$5:$B$130*(((Inputs!$G$5:$G$130="moeda")+(Inputs!$G$5:$G$130="acoes"))*Inputs!$B$1+((Inputs!$G$5:$G$130&lt;&gt;"moeda")*(Inputs!$G$5:$G$130&lt;&gt;"acoes")))*INDEX(Inputs!$K$5:$AJ$130,0,MATCH(G$2,Inputs!$K$4:$AJ$4,0)))+SUMPRODUCT((Inputs!$C$5:$C$130=$B55)*Inputs!$D$5:$D$130*(((Inputs!$G$5:$G$130="moeda")+(Inputs!$G$5:$G$130="acoes"))*Inputs!$B$1+((Inputs!$G$5:$G$130&lt;&gt;"moeda")*(Inputs!$G$5:$G$130&lt;&gt;"acoes")))*INDEX(Inputs!$K$5:$AJ$130,0,MATCH(G$2,Inputs!$K$4:$AJ$4,0)))+SUMPRODUCT((Inputs!$E$5:$E$130=$B55)*Inputs!$F$5:$F$130*(((Inputs!$G$5:$G$130="moeda")+(Inputs!$G$5:$G$130="acoes"))*Inputs!$B$1+((Inputs!$G$5:$G$130&lt;&gt;"moeda")*(Inputs!$G$5:$G$130&lt;&gt;"acoes")))*INDEX(Inputs!$K$5:$AJ$130,0,MATCH(G$2,Inputs!$K$4:$AJ$4,0)))))</f>
        <v>2674</v>
      </c>
      <c r="H55" s="264">
        <f>SUM(D55:G55)</f>
        <v>12170</v>
      </c>
      <c r="I55" s="263">
        <f>IF(ISNA(MATCH(I$2,Inputs!$K$4:$AJ$4,0)),NA(),IF(SUMPRODUCT((Inputs!$A$5:$A$130=$B55)*ISNUMBER(INDEX(Inputs!$K$5:$AJ$130,0,MATCH(I$2,Inputs!$K$4:$AJ$4,0))))+SUMPRODUCT((Inputs!$C$5:$C$130=$B55)*ISNUMBER(INDEX(Inputs!$K$5:$AJ$130,0,MATCH(I$2,Inputs!$K$4:$AJ$4,0))))+SUMPRODUCT((Inputs!$E$5:$E$130=$B55)*ISNUMBER(INDEX(Inputs!$K$5:$AJ$130,0,MATCH(I$2,Inputs!$K$4:$AJ$4,0))))=0,NA(),SUMPRODUCT((Inputs!$A$5:$A$130=$B55)*Inputs!$B$5:$B$130*(((Inputs!$G$5:$G$130="moeda")+(Inputs!$G$5:$G$130="acoes"))*Inputs!$B$1+((Inputs!$G$5:$G$130&lt;&gt;"moeda")*(Inputs!$G$5:$G$130&lt;&gt;"acoes")))*INDEX(Inputs!$K$5:$AJ$130,0,MATCH(I$2,Inputs!$K$4:$AJ$4,0)))+SUMPRODUCT((Inputs!$C$5:$C$130=$B55)*Inputs!$D$5:$D$130*(((Inputs!$G$5:$G$130="moeda")+(Inputs!$G$5:$G$130="acoes"))*Inputs!$B$1+((Inputs!$G$5:$G$130&lt;&gt;"moeda")*(Inputs!$G$5:$G$130&lt;&gt;"acoes")))*INDEX(Inputs!$K$5:$AJ$130,0,MATCH(I$2,Inputs!$K$4:$AJ$4,0)))+SUMPRODUCT((Inputs!$E$5:$E$130=$B55)*Inputs!$F$5:$F$130*(((Inputs!$G$5:$G$130="moeda")+(Inputs!$G$5:$G$130="acoes"))*Inputs!$B$1+((Inputs!$G$5:$G$130&lt;&gt;"moeda")*(Inputs!$G$5:$G$130&lt;&gt;"acoes")))*INDEX(Inputs!$K$5:$AJ$130,0,MATCH(I$2,Inputs!$K$4:$AJ$4,0)))))</f>
        <v>3606</v>
      </c>
      <c r="J55" s="263">
        <f>IF(ISNA(MATCH(J$2,Inputs!$K$4:$AJ$4,0)),NA(),IF(SUMPRODUCT((Inputs!$A$5:$A$130=$B55)*ISNUMBER(INDEX(Inputs!$K$5:$AJ$130,0,MATCH(J$2,Inputs!$K$4:$AJ$4,0))))+SUMPRODUCT((Inputs!$C$5:$C$130=$B55)*ISNUMBER(INDEX(Inputs!$K$5:$AJ$130,0,MATCH(J$2,Inputs!$K$4:$AJ$4,0))))+SUMPRODUCT((Inputs!$E$5:$E$130=$B55)*ISNUMBER(INDEX(Inputs!$K$5:$AJ$130,0,MATCH(J$2,Inputs!$K$4:$AJ$4,0))))=0,NA(),SUMPRODUCT((Inputs!$A$5:$A$130=$B55)*Inputs!$B$5:$B$130*(((Inputs!$G$5:$G$130="moeda")+(Inputs!$G$5:$G$130="acoes"))*Inputs!$B$1+((Inputs!$G$5:$G$130&lt;&gt;"moeda")*(Inputs!$G$5:$G$130&lt;&gt;"acoes")))*INDEX(Inputs!$K$5:$AJ$130,0,MATCH(J$2,Inputs!$K$4:$AJ$4,0)))+SUMPRODUCT((Inputs!$C$5:$C$130=$B55)*Inputs!$D$5:$D$130*(((Inputs!$G$5:$G$130="moeda")+(Inputs!$G$5:$G$130="acoes"))*Inputs!$B$1+((Inputs!$G$5:$G$130&lt;&gt;"moeda")*(Inputs!$G$5:$G$130&lt;&gt;"acoes")))*INDEX(Inputs!$K$5:$AJ$130,0,MATCH(J$2,Inputs!$K$4:$AJ$4,0)))+SUMPRODUCT((Inputs!$E$5:$E$130=$B55)*Inputs!$F$5:$F$130*(((Inputs!$G$5:$G$130="moeda")+(Inputs!$G$5:$G$130="acoes"))*Inputs!$B$1+((Inputs!$G$5:$G$130&lt;&gt;"moeda")*(Inputs!$G$5:$G$130&lt;&gt;"acoes")))*INDEX(Inputs!$K$5:$AJ$130,0,MATCH(J$2,Inputs!$K$4:$AJ$4,0)))))</f>
        <v>3691</v>
      </c>
      <c r="K55" s="263">
        <f>IF(ISNA(MATCH(K$2,Inputs!$K$4:$AJ$4,0)),NA(),IF(SUMPRODUCT((Inputs!$A$5:$A$130=$B55)*ISNUMBER(INDEX(Inputs!$K$5:$AJ$130,0,MATCH(K$2,Inputs!$K$4:$AJ$4,0))))+SUMPRODUCT((Inputs!$C$5:$C$130=$B55)*ISNUMBER(INDEX(Inputs!$K$5:$AJ$130,0,MATCH(K$2,Inputs!$K$4:$AJ$4,0))))+SUMPRODUCT((Inputs!$E$5:$E$130=$B55)*ISNUMBER(INDEX(Inputs!$K$5:$AJ$130,0,MATCH(K$2,Inputs!$K$4:$AJ$4,0))))=0,NA(),SUMPRODUCT((Inputs!$A$5:$A$130=$B55)*Inputs!$B$5:$B$130*(((Inputs!$G$5:$G$130="moeda")+(Inputs!$G$5:$G$130="acoes"))*Inputs!$B$1+((Inputs!$G$5:$G$130&lt;&gt;"moeda")*(Inputs!$G$5:$G$130&lt;&gt;"acoes")))*INDEX(Inputs!$K$5:$AJ$130,0,MATCH(K$2,Inputs!$K$4:$AJ$4,0)))+SUMPRODUCT((Inputs!$C$5:$C$130=$B55)*Inputs!$D$5:$D$130*(((Inputs!$G$5:$G$130="moeda")+(Inputs!$G$5:$G$130="acoes"))*Inputs!$B$1+((Inputs!$G$5:$G$130&lt;&gt;"moeda")*(Inputs!$G$5:$G$130&lt;&gt;"acoes")))*INDEX(Inputs!$K$5:$AJ$130,0,MATCH(K$2,Inputs!$K$4:$AJ$4,0)))+SUMPRODUCT((Inputs!$E$5:$E$130=$B55)*Inputs!$F$5:$F$130*(((Inputs!$G$5:$G$130="moeda")+(Inputs!$G$5:$G$130="acoes"))*Inputs!$B$1+((Inputs!$G$5:$G$130&lt;&gt;"moeda")*(Inputs!$G$5:$G$130&lt;&gt;"acoes")))*INDEX(Inputs!$K$5:$AJ$130,0,MATCH(K$2,Inputs!$K$4:$AJ$4,0)))))</f>
        <v>3598</v>
      </c>
      <c r="L55" s="263">
        <f>IF(ISNA(MATCH(L$2,Inputs!$K$4:$AJ$4,0)),NA(),IF(SUMPRODUCT((Inputs!$A$5:$A$130=$B55)*ISNUMBER(INDEX(Inputs!$K$5:$AJ$130,0,MATCH(L$2,Inputs!$K$4:$AJ$4,0))))+SUMPRODUCT((Inputs!$C$5:$C$130=$B55)*ISNUMBER(INDEX(Inputs!$K$5:$AJ$130,0,MATCH(L$2,Inputs!$K$4:$AJ$4,0))))+SUMPRODUCT((Inputs!$E$5:$E$130=$B55)*ISNUMBER(INDEX(Inputs!$K$5:$AJ$130,0,MATCH(L$2,Inputs!$K$4:$AJ$4,0))))=0,NA(),SUMPRODUCT((Inputs!$A$5:$A$130=$B55)*Inputs!$B$5:$B$130*(((Inputs!$G$5:$G$130="moeda")+(Inputs!$G$5:$G$130="acoes"))*Inputs!$B$1+((Inputs!$G$5:$G$130&lt;&gt;"moeda")*(Inputs!$G$5:$G$130&lt;&gt;"acoes")))*INDEX(Inputs!$K$5:$AJ$130,0,MATCH(L$2,Inputs!$K$4:$AJ$4,0)))+SUMPRODUCT((Inputs!$C$5:$C$130=$B55)*Inputs!$D$5:$D$130*(((Inputs!$G$5:$G$130="moeda")+(Inputs!$G$5:$G$130="acoes"))*Inputs!$B$1+((Inputs!$G$5:$G$130&lt;&gt;"moeda")*(Inputs!$G$5:$G$130&lt;&gt;"acoes")))*INDEX(Inputs!$K$5:$AJ$130,0,MATCH(L$2,Inputs!$K$4:$AJ$4,0)))+SUMPRODUCT((Inputs!$E$5:$E$130=$B55)*Inputs!$F$5:$F$130*(((Inputs!$G$5:$G$130="moeda")+(Inputs!$G$5:$G$130="acoes"))*Inputs!$B$1+((Inputs!$G$5:$G$130&lt;&gt;"moeda")*(Inputs!$G$5:$G$130&lt;&gt;"acoes")))*INDEX(Inputs!$K$5:$AJ$130,0,MATCH(L$2,Inputs!$K$4:$AJ$4,0)))))</f>
        <v>3054</v>
      </c>
      <c r="M55" s="264">
        <f>SUM(I55:L55)</f>
        <v>13949</v>
      </c>
      <c r="N55" s="263">
        <f>IF(ISNA(MATCH(N$2,Inputs!$K$4:$AJ$4,0)),NA(),IF(SUMPRODUCT((Inputs!$A$5:$A$130=$B55)*ISNUMBER(INDEX(Inputs!$K$5:$AJ$130,0,MATCH(N$2,Inputs!$K$4:$AJ$4,0))))+SUMPRODUCT((Inputs!$C$5:$C$130=$B55)*ISNUMBER(INDEX(Inputs!$K$5:$AJ$130,0,MATCH(N$2,Inputs!$K$4:$AJ$4,0))))+SUMPRODUCT((Inputs!$E$5:$E$130=$B55)*ISNUMBER(INDEX(Inputs!$K$5:$AJ$130,0,MATCH(N$2,Inputs!$K$4:$AJ$4,0))))=0,NA(),SUMPRODUCT((Inputs!$A$5:$A$130=$B55)*Inputs!$B$5:$B$130*(((Inputs!$G$5:$G$130="moeda")+(Inputs!$G$5:$G$130="acoes"))*Inputs!$B$1+((Inputs!$G$5:$G$130&lt;&gt;"moeda")*(Inputs!$G$5:$G$130&lt;&gt;"acoes")))*INDEX(Inputs!$K$5:$AJ$130,0,MATCH(N$2,Inputs!$K$4:$AJ$4,0)))+SUMPRODUCT((Inputs!$C$5:$C$130=$B55)*Inputs!$D$5:$D$130*(((Inputs!$G$5:$G$130="moeda")+(Inputs!$G$5:$G$130="acoes"))*Inputs!$B$1+((Inputs!$G$5:$G$130&lt;&gt;"moeda")*(Inputs!$G$5:$G$130&lt;&gt;"acoes")))*INDEX(Inputs!$K$5:$AJ$130,0,MATCH(N$2,Inputs!$K$4:$AJ$4,0)))+SUMPRODUCT((Inputs!$E$5:$E$130=$B55)*Inputs!$F$5:$F$130*(((Inputs!$G$5:$G$130="moeda")+(Inputs!$G$5:$G$130="acoes"))*Inputs!$B$1+((Inputs!$G$5:$G$130&lt;&gt;"moeda")*(Inputs!$G$5:$G$130&lt;&gt;"acoes")))*INDEX(Inputs!$K$5:$AJ$130,0,MATCH(N$2,Inputs!$K$4:$AJ$4,0)))))</f>
        <v>4200</v>
      </c>
      <c r="O55" s="263">
        <f>IF(ISNA(MATCH(O$2,Inputs!$K$4:$AJ$4,0)),NA(),IF(SUMPRODUCT((Inputs!$A$5:$A$130=$B55)*ISNUMBER(INDEX(Inputs!$K$5:$AJ$130,0,MATCH(O$2,Inputs!$K$4:$AJ$4,0))))+SUMPRODUCT((Inputs!$C$5:$C$130=$B55)*ISNUMBER(INDEX(Inputs!$K$5:$AJ$130,0,MATCH(O$2,Inputs!$K$4:$AJ$4,0))))+SUMPRODUCT((Inputs!$E$5:$E$130=$B55)*ISNUMBER(INDEX(Inputs!$K$5:$AJ$130,0,MATCH(O$2,Inputs!$K$4:$AJ$4,0))))=0,NA(),SUMPRODUCT((Inputs!$A$5:$A$130=$B55)*Inputs!$B$5:$B$130*(((Inputs!$G$5:$G$130="moeda")+(Inputs!$G$5:$G$130="acoes"))*Inputs!$B$1+((Inputs!$G$5:$G$130&lt;&gt;"moeda")*(Inputs!$G$5:$G$130&lt;&gt;"acoes")))*INDEX(Inputs!$K$5:$AJ$130,0,MATCH(O$2,Inputs!$K$4:$AJ$4,0)))+SUMPRODUCT((Inputs!$C$5:$C$130=$B55)*Inputs!$D$5:$D$130*(((Inputs!$G$5:$G$130="moeda")+(Inputs!$G$5:$G$130="acoes"))*Inputs!$B$1+((Inputs!$G$5:$G$130&lt;&gt;"moeda")*(Inputs!$G$5:$G$130&lt;&gt;"acoes")))*INDEX(Inputs!$K$5:$AJ$130,0,MATCH(O$2,Inputs!$K$4:$AJ$4,0)))+SUMPRODUCT((Inputs!$E$5:$E$130=$B55)*Inputs!$F$5:$F$130*(((Inputs!$G$5:$G$130="moeda")+(Inputs!$G$5:$G$130="acoes"))*Inputs!$B$1+((Inputs!$G$5:$G$130&lt;&gt;"moeda")*(Inputs!$G$5:$G$130&lt;&gt;"acoes")))*INDEX(Inputs!$K$5:$AJ$130,0,MATCH(O$2,Inputs!$K$4:$AJ$4,0)))))</f>
        <v>3806</v>
      </c>
      <c r="P55" s="263">
        <f>IF(ISNA(MATCH(P$2,Inputs!$K$4:$AJ$4,0)),NA(),IF(SUMPRODUCT((Inputs!$A$5:$A$130=$B55)*ISNUMBER(INDEX(Inputs!$K$5:$AJ$130,0,MATCH(P$2,Inputs!$K$4:$AJ$4,0))))+SUMPRODUCT((Inputs!$C$5:$C$130=$B55)*ISNUMBER(INDEX(Inputs!$K$5:$AJ$130,0,MATCH(P$2,Inputs!$K$4:$AJ$4,0))))+SUMPRODUCT((Inputs!$E$5:$E$130=$B55)*ISNUMBER(INDEX(Inputs!$K$5:$AJ$130,0,MATCH(P$2,Inputs!$K$4:$AJ$4,0))))=0,NA(),SUMPRODUCT((Inputs!$A$5:$A$130=$B55)*Inputs!$B$5:$B$130*(((Inputs!$G$5:$G$130="moeda")+(Inputs!$G$5:$G$130="acoes"))*Inputs!$B$1+((Inputs!$G$5:$G$130&lt;&gt;"moeda")*(Inputs!$G$5:$G$130&lt;&gt;"acoes")))*INDEX(Inputs!$K$5:$AJ$130,0,MATCH(P$2,Inputs!$K$4:$AJ$4,0)))+SUMPRODUCT((Inputs!$C$5:$C$130=$B55)*Inputs!$D$5:$D$130*(((Inputs!$G$5:$G$130="moeda")+(Inputs!$G$5:$G$130="acoes"))*Inputs!$B$1+((Inputs!$G$5:$G$130&lt;&gt;"moeda")*(Inputs!$G$5:$G$130&lt;&gt;"acoes")))*INDEX(Inputs!$K$5:$AJ$130,0,MATCH(P$2,Inputs!$K$4:$AJ$4,0)))+SUMPRODUCT((Inputs!$E$5:$E$130=$B55)*Inputs!$F$5:$F$130*(((Inputs!$G$5:$G$130="moeda")+(Inputs!$G$5:$G$130="acoes"))*Inputs!$B$1+((Inputs!$G$5:$G$130&lt;&gt;"moeda")*(Inputs!$G$5:$G$130&lt;&gt;"acoes")))*INDEX(Inputs!$K$5:$AJ$130,0,MATCH(P$2,Inputs!$K$4:$AJ$4,0)))))</f>
        <v>3164</v>
      </c>
      <c r="Q55" s="263">
        <f>IF(ISNA(MATCH(Q$2,Inputs!$K$4:$AJ$4,0)),NA(),IF(SUMPRODUCT((Inputs!$A$5:$A$130=$B55)*ISNUMBER(INDEX(Inputs!$K$5:$AJ$130,0,MATCH(Q$2,Inputs!$K$4:$AJ$4,0))))+SUMPRODUCT((Inputs!$C$5:$C$130=$B55)*ISNUMBER(INDEX(Inputs!$K$5:$AJ$130,0,MATCH(Q$2,Inputs!$K$4:$AJ$4,0))))+SUMPRODUCT((Inputs!$E$5:$E$130=$B55)*ISNUMBER(INDEX(Inputs!$K$5:$AJ$130,0,MATCH(Q$2,Inputs!$K$4:$AJ$4,0))))=0,NA(),SUMPRODUCT((Inputs!$A$5:$A$130=$B55)*Inputs!$B$5:$B$130*(((Inputs!$G$5:$G$130="moeda")+(Inputs!$G$5:$G$130="acoes"))*Inputs!$B$1+((Inputs!$G$5:$G$130&lt;&gt;"moeda")*(Inputs!$G$5:$G$130&lt;&gt;"acoes")))*INDEX(Inputs!$K$5:$AJ$130,0,MATCH(Q$2,Inputs!$K$4:$AJ$4,0)))+SUMPRODUCT((Inputs!$C$5:$C$130=$B55)*Inputs!$D$5:$D$130*(((Inputs!$G$5:$G$130="moeda")+(Inputs!$G$5:$G$130="acoes"))*Inputs!$B$1+((Inputs!$G$5:$G$130&lt;&gt;"moeda")*(Inputs!$G$5:$G$130&lt;&gt;"acoes")))*INDEX(Inputs!$K$5:$AJ$130,0,MATCH(Q$2,Inputs!$K$4:$AJ$4,0)))+SUMPRODUCT((Inputs!$E$5:$E$130=$B55)*Inputs!$F$5:$F$130*(((Inputs!$G$5:$G$130="moeda")+(Inputs!$G$5:$G$130="acoes"))*Inputs!$B$1+((Inputs!$G$5:$G$130&lt;&gt;"moeda")*(Inputs!$G$5:$G$130&lt;&gt;"acoes")))*INDEX(Inputs!$K$5:$AJ$130,0,MATCH(Q$2,Inputs!$K$4:$AJ$4,0)))))</f>
        <v>2492</v>
      </c>
      <c r="R55" s="264">
        <f>SUM(N55:Q55)</f>
        <v>13662</v>
      </c>
      <c r="S55" s="263">
        <f>IF(ISNA(MATCH(S$2,Inputs!$K$4:$AJ$4,0)),NA(),IF(SUMPRODUCT((Inputs!$A$5:$A$130=$B55)*ISNUMBER(INDEX(Inputs!$K$5:$AJ$130,0,MATCH(S$2,Inputs!$K$4:$AJ$4,0))))+SUMPRODUCT((Inputs!$C$5:$C$130=$B55)*ISNUMBER(INDEX(Inputs!$K$5:$AJ$130,0,MATCH(S$2,Inputs!$K$4:$AJ$4,0))))+SUMPRODUCT((Inputs!$E$5:$E$130=$B55)*ISNUMBER(INDEX(Inputs!$K$5:$AJ$130,0,MATCH(S$2,Inputs!$K$4:$AJ$4,0))))=0,NA(),SUMPRODUCT((Inputs!$A$5:$A$130=$B55)*Inputs!$B$5:$B$130*(((Inputs!$G$5:$G$130="moeda")+(Inputs!$G$5:$G$130="acoes"))*Inputs!$B$1+((Inputs!$G$5:$G$130&lt;&gt;"moeda")*(Inputs!$G$5:$G$130&lt;&gt;"acoes")))*INDEX(Inputs!$K$5:$AJ$130,0,MATCH(S$2,Inputs!$K$4:$AJ$4,0)))+SUMPRODUCT((Inputs!$C$5:$C$130=$B55)*Inputs!$D$5:$D$130*(((Inputs!$G$5:$G$130="moeda")+(Inputs!$G$5:$G$130="acoes"))*Inputs!$B$1+((Inputs!$G$5:$G$130&lt;&gt;"moeda")*(Inputs!$G$5:$G$130&lt;&gt;"acoes")))*INDEX(Inputs!$K$5:$AJ$130,0,MATCH(S$2,Inputs!$K$4:$AJ$4,0)))+SUMPRODUCT((Inputs!$E$5:$E$130=$B55)*Inputs!$F$5:$F$130*(((Inputs!$G$5:$G$130="moeda")+(Inputs!$G$5:$G$130="acoes"))*Inputs!$B$1+((Inputs!$G$5:$G$130&lt;&gt;"moeda")*(Inputs!$G$5:$G$130&lt;&gt;"acoes")))*INDEX(Inputs!$K$5:$AJ$130,0,MATCH(S$2,Inputs!$K$4:$AJ$4,0)))))</f>
        <v>3253</v>
      </c>
      <c r="T55" s="263">
        <f>IF(ISNA(MATCH(T$2,Inputs!$K$4:$AJ$4,0)),NA(),IF(SUMPRODUCT((Inputs!$A$5:$A$130=$B55)*ISNUMBER(INDEX(Inputs!$K$5:$AJ$130,0,MATCH(T$2,Inputs!$K$4:$AJ$4,0))))+SUMPRODUCT((Inputs!$C$5:$C$130=$B55)*ISNUMBER(INDEX(Inputs!$K$5:$AJ$130,0,MATCH(T$2,Inputs!$K$4:$AJ$4,0))))+SUMPRODUCT((Inputs!$E$5:$E$130=$B55)*ISNUMBER(INDEX(Inputs!$K$5:$AJ$130,0,MATCH(T$2,Inputs!$K$4:$AJ$4,0))))=0,NA(),SUMPRODUCT((Inputs!$A$5:$A$130=$B55)*Inputs!$B$5:$B$130*(((Inputs!$G$5:$G$130="moeda")+(Inputs!$G$5:$G$130="acoes"))*Inputs!$B$1+((Inputs!$G$5:$G$130&lt;&gt;"moeda")*(Inputs!$G$5:$G$130&lt;&gt;"acoes")))*INDEX(Inputs!$K$5:$AJ$130,0,MATCH(T$2,Inputs!$K$4:$AJ$4,0)))+SUMPRODUCT((Inputs!$C$5:$C$130=$B55)*Inputs!$D$5:$D$130*(((Inputs!$G$5:$G$130="moeda")+(Inputs!$G$5:$G$130="acoes"))*Inputs!$B$1+((Inputs!$G$5:$G$130&lt;&gt;"moeda")*(Inputs!$G$5:$G$130&lt;&gt;"acoes")))*INDEX(Inputs!$K$5:$AJ$130,0,MATCH(T$2,Inputs!$K$4:$AJ$4,0)))+SUMPRODUCT((Inputs!$E$5:$E$130=$B55)*Inputs!$F$5:$F$130*(((Inputs!$G$5:$G$130="moeda")+(Inputs!$G$5:$G$130="acoes"))*Inputs!$B$1+((Inputs!$G$5:$G$130&lt;&gt;"moeda")*(Inputs!$G$5:$G$130&lt;&gt;"acoes")))*INDEX(Inputs!$K$5:$AJ$130,0,MATCH(T$2,Inputs!$K$4:$AJ$4,0)))))</f>
        <v>3128</v>
      </c>
      <c r="U55" s="263">
        <f>IF(ISNA(MATCH(U$2,Inputs!$K$4:$AJ$4,0)),NA(),IF(SUMPRODUCT((Inputs!$A$5:$A$130=$B55)*ISNUMBER(INDEX(Inputs!$K$5:$AJ$130,0,MATCH(U$2,Inputs!$K$4:$AJ$4,0))))+SUMPRODUCT((Inputs!$C$5:$C$130=$B55)*ISNUMBER(INDEX(Inputs!$K$5:$AJ$130,0,MATCH(U$2,Inputs!$K$4:$AJ$4,0))))+SUMPRODUCT((Inputs!$E$5:$E$130=$B55)*ISNUMBER(INDEX(Inputs!$K$5:$AJ$130,0,MATCH(U$2,Inputs!$K$4:$AJ$4,0))))=0,NA(),SUMPRODUCT((Inputs!$A$5:$A$130=$B55)*Inputs!$B$5:$B$130*(((Inputs!$G$5:$G$130="moeda")+(Inputs!$G$5:$G$130="acoes"))*Inputs!$B$1+((Inputs!$G$5:$G$130&lt;&gt;"moeda")*(Inputs!$G$5:$G$130&lt;&gt;"acoes")))*INDEX(Inputs!$K$5:$AJ$130,0,MATCH(U$2,Inputs!$K$4:$AJ$4,0)))+SUMPRODUCT((Inputs!$C$5:$C$130=$B55)*Inputs!$D$5:$D$130*(((Inputs!$G$5:$G$130="moeda")+(Inputs!$G$5:$G$130="acoes"))*Inputs!$B$1+((Inputs!$G$5:$G$130&lt;&gt;"moeda")*(Inputs!$G$5:$G$130&lt;&gt;"acoes")))*INDEX(Inputs!$K$5:$AJ$130,0,MATCH(U$2,Inputs!$K$4:$AJ$4,0)))+SUMPRODUCT((Inputs!$E$5:$E$130=$B55)*Inputs!$F$5:$F$130*(((Inputs!$G$5:$G$130="moeda")+(Inputs!$G$5:$G$130="acoes"))*Inputs!$B$1+((Inputs!$G$5:$G$130&lt;&gt;"moeda")*(Inputs!$G$5:$G$130&lt;&gt;"acoes")))*INDEX(Inputs!$K$5:$AJ$130,0,MATCH(U$2,Inputs!$K$4:$AJ$4,0)))))</f>
        <v>2342</v>
      </c>
      <c r="V55" s="263">
        <f>IF(ISNA(MATCH(V$2,Inputs!$K$4:$AJ$4,0)),NA(),IF(SUMPRODUCT((Inputs!$A$5:$A$130=$B55)*ISNUMBER(INDEX(Inputs!$K$5:$AJ$130,0,MATCH(V$2,Inputs!$K$4:$AJ$4,0))))+SUMPRODUCT((Inputs!$C$5:$C$130=$B55)*ISNUMBER(INDEX(Inputs!$K$5:$AJ$130,0,MATCH(V$2,Inputs!$K$4:$AJ$4,0))))+SUMPRODUCT((Inputs!$E$5:$E$130=$B55)*ISNUMBER(INDEX(Inputs!$K$5:$AJ$130,0,MATCH(V$2,Inputs!$K$4:$AJ$4,0))))=0,NA(),SUMPRODUCT((Inputs!$A$5:$A$130=$B55)*Inputs!$B$5:$B$130*(((Inputs!$G$5:$G$130="moeda")+(Inputs!$G$5:$G$130="acoes"))*Inputs!$B$1+((Inputs!$G$5:$G$130&lt;&gt;"moeda")*(Inputs!$G$5:$G$130&lt;&gt;"acoes")))*INDEX(Inputs!$K$5:$AJ$130,0,MATCH(V$2,Inputs!$K$4:$AJ$4,0)))+SUMPRODUCT((Inputs!$C$5:$C$130=$B55)*Inputs!$D$5:$D$130*(((Inputs!$G$5:$G$130="moeda")+(Inputs!$G$5:$G$130="acoes"))*Inputs!$B$1+((Inputs!$G$5:$G$130&lt;&gt;"moeda")*(Inputs!$G$5:$G$130&lt;&gt;"acoes")))*INDEX(Inputs!$K$5:$AJ$130,0,MATCH(V$2,Inputs!$K$4:$AJ$4,0)))+SUMPRODUCT((Inputs!$E$5:$E$130=$B55)*Inputs!$F$5:$F$130*(((Inputs!$G$5:$G$130="moeda")+(Inputs!$G$5:$G$130="acoes"))*Inputs!$B$1+((Inputs!$G$5:$G$130&lt;&gt;"moeda")*(Inputs!$G$5:$G$130&lt;&gt;"acoes")))*INDEX(Inputs!$K$5:$AJ$130,0,MATCH(V$2,Inputs!$K$4:$AJ$4,0)))))</f>
        <v>1795</v>
      </c>
      <c r="W55" s="264">
        <f>SUM(S55:V55)</f>
        <v>10518</v>
      </c>
      <c r="X55" s="263">
        <f>IF(ISNA(MATCH(X$2,Inputs!$K$4:$AJ$4,0)),NA(),IF(SUMPRODUCT((Inputs!$A$5:$A$130=$B55)*ISNUMBER(INDEX(Inputs!$K$5:$AJ$130,0,MATCH(X$2,Inputs!$K$4:$AJ$4,0))))+SUMPRODUCT((Inputs!$C$5:$C$130=$B55)*ISNUMBER(INDEX(Inputs!$K$5:$AJ$130,0,MATCH(X$2,Inputs!$K$4:$AJ$4,0))))+SUMPRODUCT((Inputs!$E$5:$E$130=$B55)*ISNUMBER(INDEX(Inputs!$K$5:$AJ$130,0,MATCH(X$2,Inputs!$K$4:$AJ$4,0))))=0,NA(),SUMPRODUCT((Inputs!$A$5:$A$130=$B55)*Inputs!$B$5:$B$130*(((Inputs!$G$5:$G$130="moeda")+(Inputs!$G$5:$G$130="acoes"))*Inputs!$B$1+((Inputs!$G$5:$G$130&lt;&gt;"moeda")*(Inputs!$G$5:$G$130&lt;&gt;"acoes")))*INDEX(Inputs!$K$5:$AJ$130,0,MATCH(X$2,Inputs!$K$4:$AJ$4,0)))+SUMPRODUCT((Inputs!$C$5:$C$130=$B55)*Inputs!$D$5:$D$130*(((Inputs!$G$5:$G$130="moeda")+(Inputs!$G$5:$G$130="acoes"))*Inputs!$B$1+((Inputs!$G$5:$G$130&lt;&gt;"moeda")*(Inputs!$G$5:$G$130&lt;&gt;"acoes")))*INDEX(Inputs!$K$5:$AJ$130,0,MATCH(X$2,Inputs!$K$4:$AJ$4,0)))+SUMPRODUCT((Inputs!$E$5:$E$130=$B55)*Inputs!$F$5:$F$130*(((Inputs!$G$5:$G$130="moeda")+(Inputs!$G$5:$G$130="acoes"))*Inputs!$B$1+((Inputs!$G$5:$G$130&lt;&gt;"moeda")*(Inputs!$G$5:$G$130&lt;&gt;"acoes")))*INDEX(Inputs!$K$5:$AJ$130,0,MATCH(X$2,Inputs!$K$4:$AJ$4,0)))))</f>
        <v>3044</v>
      </c>
      <c r="Y55" s="263">
        <f>IF(ISNA(MATCH(Y$2,Inputs!$K$4:$AJ$4,0)),NA(),IF(SUMPRODUCT((Inputs!$A$5:$A$130=$B55)*ISNUMBER(INDEX(Inputs!$K$5:$AJ$130,0,MATCH(Y$2,Inputs!$K$4:$AJ$4,0))))+SUMPRODUCT((Inputs!$C$5:$C$130=$B55)*ISNUMBER(INDEX(Inputs!$K$5:$AJ$130,0,MATCH(Y$2,Inputs!$K$4:$AJ$4,0))))+SUMPRODUCT((Inputs!$E$5:$E$130=$B55)*ISNUMBER(INDEX(Inputs!$K$5:$AJ$130,0,MATCH(Y$2,Inputs!$K$4:$AJ$4,0))))=0,NA(),SUMPRODUCT((Inputs!$A$5:$A$130=$B55)*Inputs!$B$5:$B$130*(((Inputs!$G$5:$G$130="moeda")+(Inputs!$G$5:$G$130="acoes"))*Inputs!$B$1+((Inputs!$G$5:$G$130&lt;&gt;"moeda")*(Inputs!$G$5:$G$130&lt;&gt;"acoes")))*INDEX(Inputs!$K$5:$AJ$130,0,MATCH(Y$2,Inputs!$K$4:$AJ$4,0)))+SUMPRODUCT((Inputs!$C$5:$C$130=$B55)*Inputs!$D$5:$D$130*(((Inputs!$G$5:$G$130="moeda")+(Inputs!$G$5:$G$130="acoes"))*Inputs!$B$1+((Inputs!$G$5:$G$130&lt;&gt;"moeda")*(Inputs!$G$5:$G$130&lt;&gt;"acoes")))*INDEX(Inputs!$K$5:$AJ$130,0,MATCH(Y$2,Inputs!$K$4:$AJ$4,0)))+SUMPRODUCT((Inputs!$E$5:$E$130=$B55)*Inputs!$F$5:$F$130*(((Inputs!$G$5:$G$130="moeda")+(Inputs!$G$5:$G$130="acoes"))*Inputs!$B$1+((Inputs!$G$5:$G$130&lt;&gt;"moeda")*(Inputs!$G$5:$G$130&lt;&gt;"acoes")))*INDEX(Inputs!$K$5:$AJ$130,0,MATCH(Y$2,Inputs!$K$4:$AJ$4,0)))))</f>
        <v>3082</v>
      </c>
      <c r="Z55" s="263">
        <f>IF(ISNA(MATCH(Z$2,Inputs!$K$4:$AJ$4,0)),NA(),IF(SUMPRODUCT((Inputs!$A$5:$A$130=$B55)*ISNUMBER(INDEX(Inputs!$K$5:$AJ$130,0,MATCH(Z$2,Inputs!$K$4:$AJ$4,0))))+SUMPRODUCT((Inputs!$C$5:$C$130=$B55)*ISNUMBER(INDEX(Inputs!$K$5:$AJ$130,0,MATCH(Z$2,Inputs!$K$4:$AJ$4,0))))+SUMPRODUCT((Inputs!$E$5:$E$130=$B55)*ISNUMBER(INDEX(Inputs!$K$5:$AJ$130,0,MATCH(Z$2,Inputs!$K$4:$AJ$4,0))))=0,NA(),SUMPRODUCT((Inputs!$A$5:$A$130=$B55)*Inputs!$B$5:$B$130*(((Inputs!$G$5:$G$130="moeda")+(Inputs!$G$5:$G$130="acoes"))*Inputs!$B$1+((Inputs!$G$5:$G$130&lt;&gt;"moeda")*(Inputs!$G$5:$G$130&lt;&gt;"acoes")))*INDEX(Inputs!$K$5:$AJ$130,0,MATCH(Z$2,Inputs!$K$4:$AJ$4,0)))+SUMPRODUCT((Inputs!$C$5:$C$130=$B55)*Inputs!$D$5:$D$130*(((Inputs!$G$5:$G$130="moeda")+(Inputs!$G$5:$G$130="acoes"))*Inputs!$B$1+((Inputs!$G$5:$G$130&lt;&gt;"moeda")*(Inputs!$G$5:$G$130&lt;&gt;"acoes")))*INDEX(Inputs!$K$5:$AJ$130,0,MATCH(Z$2,Inputs!$K$4:$AJ$4,0)))+SUMPRODUCT((Inputs!$E$5:$E$130=$B55)*Inputs!$F$5:$F$130*(((Inputs!$G$5:$G$130="moeda")+(Inputs!$G$5:$G$130="acoes"))*Inputs!$B$1+((Inputs!$G$5:$G$130&lt;&gt;"moeda")*(Inputs!$G$5:$G$130&lt;&gt;"acoes")))*INDEX(Inputs!$K$5:$AJ$130,0,MATCH(Z$2,Inputs!$K$4:$AJ$4,0)))))</f>
        <v>2511</v>
      </c>
      <c r="AA55" s="263">
        <f>IF(ISNA(MATCH(AA$2,Inputs!$K$4:$AJ$4,0)),NA(),IF(SUMPRODUCT((Inputs!$A$5:$A$130=$B55)*ISNUMBER(INDEX(Inputs!$K$5:$AJ$130,0,MATCH(AA$2,Inputs!$K$4:$AJ$4,0))))+SUMPRODUCT((Inputs!$C$5:$C$130=$B55)*ISNUMBER(INDEX(Inputs!$K$5:$AJ$130,0,MATCH(AA$2,Inputs!$K$4:$AJ$4,0))))+SUMPRODUCT((Inputs!$E$5:$E$130=$B55)*ISNUMBER(INDEX(Inputs!$K$5:$AJ$130,0,MATCH(AA$2,Inputs!$K$4:$AJ$4,0))))=0,NA(),SUMPRODUCT((Inputs!$A$5:$A$130=$B55)*Inputs!$B$5:$B$130*(((Inputs!$G$5:$G$130="moeda")+(Inputs!$G$5:$G$130="acoes"))*Inputs!$B$1+((Inputs!$G$5:$G$130&lt;&gt;"moeda")*(Inputs!$G$5:$G$130&lt;&gt;"acoes")))*INDEX(Inputs!$K$5:$AJ$130,0,MATCH(AA$2,Inputs!$K$4:$AJ$4,0)))+SUMPRODUCT((Inputs!$C$5:$C$130=$B55)*Inputs!$D$5:$D$130*(((Inputs!$G$5:$G$130="moeda")+(Inputs!$G$5:$G$130="acoes"))*Inputs!$B$1+((Inputs!$G$5:$G$130&lt;&gt;"moeda")*(Inputs!$G$5:$G$130&lt;&gt;"acoes")))*INDEX(Inputs!$K$5:$AJ$130,0,MATCH(AA$2,Inputs!$K$4:$AJ$4,0)))+SUMPRODUCT((Inputs!$E$5:$E$130=$B55)*Inputs!$F$5:$F$130*(((Inputs!$G$5:$G$130="moeda")+(Inputs!$G$5:$G$130="acoes"))*Inputs!$B$1+((Inputs!$G$5:$G$130&lt;&gt;"moeda")*(Inputs!$G$5:$G$130&lt;&gt;"acoes")))*INDEX(Inputs!$K$5:$AJ$130,0,MATCH(AA$2,Inputs!$K$4:$AJ$4,0)))))</f>
        <v>2223</v>
      </c>
      <c r="AB55" s="264">
        <f>SUM(X55:AA55)</f>
        <v>10860</v>
      </c>
      <c r="AC55" s="263">
        <f>IF(ISNA(MATCH(AC$2,Inputs!$K$4:$AJ$4,0)),NA(),IF(SUMPRODUCT((Inputs!$A$5:$A$130=$B55)*ISNUMBER(INDEX(Inputs!$K$5:$AJ$130,0,MATCH(AC$2,Inputs!$K$4:$AJ$4,0))))+SUMPRODUCT((Inputs!$C$5:$C$130=$B55)*ISNUMBER(INDEX(Inputs!$K$5:$AJ$130,0,MATCH(AC$2,Inputs!$K$4:$AJ$4,0))))+SUMPRODUCT((Inputs!$E$5:$E$130=$B55)*ISNUMBER(INDEX(Inputs!$K$5:$AJ$130,0,MATCH(AC$2,Inputs!$K$4:$AJ$4,0))))=0,NA(),SUMPRODUCT((Inputs!$A$5:$A$130=$B55)*Inputs!$B$5:$B$130*(((Inputs!$G$5:$G$130="moeda")+(Inputs!$G$5:$G$130="acoes"))*Inputs!$B$1+((Inputs!$G$5:$G$130&lt;&gt;"moeda")*(Inputs!$G$5:$G$130&lt;&gt;"acoes")))*INDEX(Inputs!$K$5:$AJ$130,0,MATCH(AC$2,Inputs!$K$4:$AJ$4,0)))+SUMPRODUCT((Inputs!$C$5:$C$130=$B55)*Inputs!$D$5:$D$130*(((Inputs!$G$5:$G$130="moeda")+(Inputs!$G$5:$G$130="acoes"))*Inputs!$B$1+((Inputs!$G$5:$G$130&lt;&gt;"moeda")*(Inputs!$G$5:$G$130&lt;&gt;"acoes")))*INDEX(Inputs!$K$5:$AJ$130,0,MATCH(AC$2,Inputs!$K$4:$AJ$4,0)))+SUMPRODUCT((Inputs!$E$5:$E$130=$B55)*Inputs!$F$5:$F$130*(((Inputs!$G$5:$G$130="moeda")+(Inputs!$G$5:$G$130="acoes"))*Inputs!$B$1+((Inputs!$G$5:$G$130&lt;&gt;"moeda")*(Inputs!$G$5:$G$130&lt;&gt;"acoes")))*INDEX(Inputs!$K$5:$AJ$130,0,MATCH(AC$2,Inputs!$K$4:$AJ$4,0)))))</f>
        <v>3540</v>
      </c>
      <c r="AD55" s="263">
        <f>IF(ISNA(MATCH(AD$2,Inputs!$K$4:$AJ$4,0)),NA(),IF(SUMPRODUCT((Inputs!$A$5:$A$130=$B55)*ISNUMBER(INDEX(Inputs!$K$5:$AJ$130,0,MATCH(AD$2,Inputs!$K$4:$AJ$4,0))))+SUMPRODUCT((Inputs!$C$5:$C$130=$B55)*ISNUMBER(INDEX(Inputs!$K$5:$AJ$130,0,MATCH(AD$2,Inputs!$K$4:$AJ$4,0))))+SUMPRODUCT((Inputs!$E$5:$E$130=$B55)*ISNUMBER(INDEX(Inputs!$K$5:$AJ$130,0,MATCH(AD$2,Inputs!$K$4:$AJ$4,0))))=0,NA(),SUMPRODUCT((Inputs!$A$5:$A$130=$B55)*Inputs!$B$5:$B$130*(((Inputs!$G$5:$G$130="moeda")+(Inputs!$G$5:$G$130="acoes"))*Inputs!$B$1+((Inputs!$G$5:$G$130&lt;&gt;"moeda")*(Inputs!$G$5:$G$130&lt;&gt;"acoes")))*INDEX(Inputs!$K$5:$AJ$130,0,MATCH(AD$2,Inputs!$K$4:$AJ$4,0)))+SUMPRODUCT((Inputs!$C$5:$C$130=$B55)*Inputs!$D$5:$D$130*(((Inputs!$G$5:$G$130="moeda")+(Inputs!$G$5:$G$130="acoes"))*Inputs!$B$1+((Inputs!$G$5:$G$130&lt;&gt;"moeda")*(Inputs!$G$5:$G$130&lt;&gt;"acoes")))*INDEX(Inputs!$K$5:$AJ$130,0,MATCH(AD$2,Inputs!$K$4:$AJ$4,0)))+SUMPRODUCT((Inputs!$E$5:$E$130=$B55)*Inputs!$F$5:$F$130*(((Inputs!$G$5:$G$130="moeda")+(Inputs!$G$5:$G$130="acoes"))*Inputs!$B$1+((Inputs!$G$5:$G$130&lt;&gt;"moeda")*(Inputs!$G$5:$G$130&lt;&gt;"acoes")))*INDEX(Inputs!$K$5:$AJ$130,0,MATCH(AD$2,Inputs!$K$4:$AJ$4,0)))))</f>
        <v>3445</v>
      </c>
      <c r="AE55" s="263" t="e">
        <f>IF(ISNA(MATCH(AE$2,Inputs!$K$4:$AJ$4,0)),NA(),IF(SUMPRODUCT((Inputs!$A$5:$A$130=$B55)*ISNUMBER(INDEX(Inputs!$K$5:$AJ$130,0,MATCH(AE$2,Inputs!$K$4:$AJ$4,0))))+SUMPRODUCT((Inputs!$C$5:$C$130=$B55)*ISNUMBER(INDEX(Inputs!$K$5:$AJ$130,0,MATCH(AE$2,Inputs!$K$4:$AJ$4,0))))+SUMPRODUCT((Inputs!$E$5:$E$130=$B55)*ISNUMBER(INDEX(Inputs!$K$5:$AJ$130,0,MATCH(AE$2,Inputs!$K$4:$AJ$4,0))))=0,NA(),SUMPRODUCT((Inputs!$A$5:$A$130=$B55)*Inputs!$B$5:$B$130*(((Inputs!$G$5:$G$130="moeda")+(Inputs!$G$5:$G$130="acoes"))*Inputs!$B$1+((Inputs!$G$5:$G$130&lt;&gt;"moeda")*(Inputs!$G$5:$G$130&lt;&gt;"acoes")))*INDEX(Inputs!$K$5:$AJ$130,0,MATCH(AE$2,Inputs!$K$4:$AJ$4,0)))+SUMPRODUCT((Inputs!$C$5:$C$130=$B55)*Inputs!$D$5:$D$130*(((Inputs!$G$5:$G$130="moeda")+(Inputs!$G$5:$G$130="acoes"))*Inputs!$B$1+((Inputs!$G$5:$G$130&lt;&gt;"moeda")*(Inputs!$G$5:$G$130&lt;&gt;"acoes")))*INDEX(Inputs!$K$5:$AJ$130,0,MATCH(AE$2,Inputs!$K$4:$AJ$4,0)))+SUMPRODUCT((Inputs!$E$5:$E$130=$B55)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5" s="263" t="e">
        <f>IF(ISNA(MATCH(AF$2,Inputs!$K$4:$AJ$4,0)),NA(),IF(SUMPRODUCT((Inputs!$A$5:$A$130=$B55)*ISNUMBER(INDEX(Inputs!$K$5:$AJ$130,0,MATCH(AF$2,Inputs!$K$4:$AJ$4,0))))+SUMPRODUCT((Inputs!$C$5:$C$130=$B55)*ISNUMBER(INDEX(Inputs!$K$5:$AJ$130,0,MATCH(AF$2,Inputs!$K$4:$AJ$4,0))))+SUMPRODUCT((Inputs!$E$5:$E$130=$B55)*ISNUMBER(INDEX(Inputs!$K$5:$AJ$130,0,MATCH(AF$2,Inputs!$K$4:$AJ$4,0))))=0,NA(),SUMPRODUCT((Inputs!$A$5:$A$130=$B55)*Inputs!$B$5:$B$130*(((Inputs!$G$5:$G$130="moeda")+(Inputs!$G$5:$G$130="acoes"))*Inputs!$B$1+((Inputs!$G$5:$G$130&lt;&gt;"moeda")*(Inputs!$G$5:$G$130&lt;&gt;"acoes")))*INDEX(Inputs!$K$5:$AJ$130,0,MATCH(AF$2,Inputs!$K$4:$AJ$4,0)))+SUMPRODUCT((Inputs!$C$5:$C$130=$B55)*Inputs!$D$5:$D$130*(((Inputs!$G$5:$G$130="moeda")+(Inputs!$G$5:$G$130="acoes"))*Inputs!$B$1+((Inputs!$G$5:$G$130&lt;&gt;"moeda")*(Inputs!$G$5:$G$130&lt;&gt;"acoes")))*INDEX(Inputs!$K$5:$AJ$130,0,MATCH(AF$2,Inputs!$K$4:$AJ$4,0)))+SUMPRODUCT((Inputs!$E$5:$E$130=$B55)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$130=$B55)*ISNUMBER(INDEX(Inputs!$K$5:$AJ$130,0,MATCH(AH$2,Inputs!$K$4:$AJ$4,0))))+SUMPRODUCT((Inputs!$C$5:$C$130=$B55)*ISNUMBER(INDEX(Inputs!$K$5:$AJ$130,0,MATCH(AH$2,Inputs!$K$4:$AJ$4,0))))+SUMPRODUCT((Inputs!$E$5:$E$130=$B55)*ISNUMBER(INDEX(Inputs!$K$5:$AJ$130,0,MATCH(AH$2,Inputs!$K$4:$AJ$4,0))))=0,NA(),SUMPRODUCT((Inputs!$A$5:$A$130=$B55)*Inputs!$B$5:$B$130*(((Inputs!$G$5:$G$130="moeda")+(Inputs!$G$5:$G$130="acoes"))*Inputs!$B$1+((Inputs!$G$5:$G$130&lt;&gt;"moeda")*(Inputs!$G$5:$G$130&lt;&gt;"acoes")))*INDEX(Inputs!$K$5:$AJ$130,0,MATCH(AH$2,Inputs!$K$4:$AJ$4,0)))+SUMPRODUCT((Inputs!$C$5:$C$130=$B55)*Inputs!$D$5:$D$130*(((Inputs!$G$5:$G$130="moeda")+(Inputs!$G$5:$G$130="acoes"))*Inputs!$B$1+((Inputs!$G$5:$G$130&lt;&gt;"moeda")*(Inputs!$G$5:$G$130&lt;&gt;"acoes")))*INDEX(Inputs!$K$5:$AJ$130,0,MATCH(AH$2,Inputs!$K$4:$AJ$4,0)))+SUMPRODUCT((Inputs!$E$5:$E$130=$B55)*Inputs!$F$5:$F$130*(((Inputs!$G$5:$G$130="moeda")+(Inputs!$G$5:$G$130="acoes"))*Inputs!$B$1+((Inputs!$G$5:$G$130&lt;&gt;"moeda")*(Inputs!$G$5:$G$130&lt;&gt;"acoes")))*INDEX(Inputs!$K$5:$AJ$130,0,MATCH(AH$2,Inputs!$K$4:$AJ$4,0)))))</f>
        <v>2634</v>
      </c>
      <c r="AI55" s="263">
        <f>IF(ISNA(MATCH(AI$2,Inputs!$K$4:$AJ$4,0)),NA(),IF(SUMPRODUCT((Inputs!$A$5:$A$130=$B55)*ISNUMBER(INDEX(Inputs!$K$5:$AJ$130,0,MATCH(AI$2,Inputs!$K$4:$AJ$4,0))))+SUMPRODUCT((Inputs!$C$5:$C$130=$B55)*ISNUMBER(INDEX(Inputs!$K$5:$AJ$130,0,MATCH(AI$2,Inputs!$K$4:$AJ$4,0))))+SUMPRODUCT((Inputs!$E$5:$E$130=$B55)*ISNUMBER(INDEX(Inputs!$K$5:$AJ$130,0,MATCH(AI$2,Inputs!$K$4:$AJ$4,0))))=0,NA(),SUMPRODUCT((Inputs!$A$5:$A$130=$B55)*Inputs!$B$5:$B$130*(((Inputs!$G$5:$G$130="moeda")+(Inputs!$G$5:$G$130="acoes"))*Inputs!$B$1+((Inputs!$G$5:$G$130&lt;&gt;"moeda")*(Inputs!$G$5:$G$130&lt;&gt;"acoes")))*INDEX(Inputs!$K$5:$AJ$130,0,MATCH(AI$2,Inputs!$K$4:$AJ$4,0)))+SUMPRODUCT((Inputs!$C$5:$C$130=$B55)*Inputs!$D$5:$D$130*(((Inputs!$G$5:$G$130="moeda")+(Inputs!$G$5:$G$130="acoes"))*Inputs!$B$1+((Inputs!$G$5:$G$130&lt;&gt;"moeda")*(Inputs!$G$5:$G$130&lt;&gt;"acoes")))*INDEX(Inputs!$K$5:$AJ$130,0,MATCH(AI$2,Inputs!$K$4:$AJ$4,0)))+SUMPRODUCT((Inputs!$E$5:$E$130=$B55)*Inputs!$F$5:$F$130*(((Inputs!$G$5:$G$130="moeda")+(Inputs!$G$5:$G$130="acoes"))*Inputs!$B$1+((Inputs!$G$5:$G$130&lt;&gt;"moeda")*(Inputs!$G$5:$G$130&lt;&gt;"acoes")))*INDEX(Inputs!$K$5:$AJ$130,0,MATCH(AI$2,Inputs!$K$4:$AJ$4,0)))))</f>
        <v>2419</v>
      </c>
      <c r="AJ55" s="263">
        <f>IF(ISNA(MATCH(AJ$2,Inputs!$K$4:$AJ$4,0)),NA(),IF(SUMPRODUCT((Inputs!$A$5:$A$130=$B55)*ISNUMBER(INDEX(Inputs!$K$5:$AJ$130,0,MATCH(AJ$2,Inputs!$K$4:$AJ$4,0))))+SUMPRODUCT((Inputs!$C$5:$C$130=$B55)*ISNUMBER(INDEX(Inputs!$K$5:$AJ$130,0,MATCH(AJ$2,Inputs!$K$4:$AJ$4,0))))+SUMPRODUCT((Inputs!$E$5:$E$130=$B55)*ISNUMBER(INDEX(Inputs!$K$5:$AJ$130,0,MATCH(AJ$2,Inputs!$K$4:$AJ$4,0))))=0,NA(),SUMPRODUCT((Inputs!$A$5:$A$130=$B55)*Inputs!$B$5:$B$130*(((Inputs!$G$5:$G$130="moeda")+(Inputs!$G$5:$G$130="acoes"))*Inputs!$B$1+((Inputs!$G$5:$G$130&lt;&gt;"moeda")*(Inputs!$G$5:$G$130&lt;&gt;"acoes")))*INDEX(Inputs!$K$5:$AJ$130,0,MATCH(AJ$2,Inputs!$K$4:$AJ$4,0)))+SUMPRODUCT((Inputs!$C$5:$C$130=$B55)*Inputs!$D$5:$D$130*(((Inputs!$G$5:$G$130="moeda")+(Inputs!$G$5:$G$130="acoes"))*Inputs!$B$1+((Inputs!$G$5:$G$130&lt;&gt;"moeda")*(Inputs!$G$5:$G$130&lt;&gt;"acoes")))*INDEX(Inputs!$K$5:$AJ$130,0,MATCH(AJ$2,Inputs!$K$4:$AJ$4,0)))+SUMPRODUCT((Inputs!$E$5:$E$130=$B55)*Inputs!$F$5:$F$130*(((Inputs!$G$5:$G$130="moeda")+(Inputs!$G$5:$G$130="acoes"))*Inputs!$B$1+((Inputs!$G$5:$G$130&lt;&gt;"moeda")*(Inputs!$G$5:$G$130&lt;&gt;"acoes")))*INDEX(Inputs!$K$5:$AJ$130,0,MATCH(AJ$2,Inputs!$K$4:$AJ$4,0)))))</f>
        <v>2435</v>
      </c>
      <c r="AK55" s="263">
        <f>IF(ISNA(MATCH(AK$2,Inputs!$K$4:$AJ$4,0)),NA(),IF(SUMPRODUCT((Inputs!$A$5:$A$130=$B55)*ISNUMBER(INDEX(Inputs!$K$5:$AJ$130,0,MATCH(AK$2,Inputs!$K$4:$AJ$4,0))))+SUMPRODUCT((Inputs!$C$5:$C$130=$B55)*ISNUMBER(INDEX(Inputs!$K$5:$AJ$130,0,MATCH(AK$2,Inputs!$K$4:$AJ$4,0))))+SUMPRODUCT((Inputs!$E$5:$E$130=$B55)*ISNUMBER(INDEX(Inputs!$K$5:$AJ$130,0,MATCH(AK$2,Inputs!$K$4:$AJ$4,0))))=0,NA(),SUMPRODUCT((Inputs!$A$5:$A$130=$B55)*Inputs!$B$5:$B$130*(((Inputs!$G$5:$G$130="moeda")+(Inputs!$G$5:$G$130="acoes"))*Inputs!$B$1+((Inputs!$G$5:$G$130&lt;&gt;"moeda")*(Inputs!$G$5:$G$130&lt;&gt;"acoes")))*INDEX(Inputs!$K$5:$AJ$130,0,MATCH(AK$2,Inputs!$K$4:$AJ$4,0)))+SUMPRODUCT((Inputs!$C$5:$C$130=$B55)*Inputs!$D$5:$D$130*(((Inputs!$G$5:$G$130="moeda")+(Inputs!$G$5:$G$130="acoes"))*Inputs!$B$1+((Inputs!$G$5:$G$130&lt;&gt;"moeda")*(Inputs!$G$5:$G$130&lt;&gt;"acoes")))*INDEX(Inputs!$K$5:$AJ$130,0,MATCH(AK$2,Inputs!$K$4:$AJ$4,0)))+SUMPRODUCT((Inputs!$E$5:$E$130=$B55)*Inputs!$F$5:$F$130*(((Inputs!$G$5:$G$130="moeda")+(Inputs!$G$5:$G$130="acoes"))*Inputs!$B$1+((Inputs!$G$5:$G$130&lt;&gt;"moeda")*(Inputs!$G$5:$G$130&lt;&gt;"acoes")))*INDEX(Inputs!$K$5:$AJ$130,0,MATCH(AK$2,Inputs!$K$4:$AJ$4,0)))))</f>
        <v>2551</v>
      </c>
      <c r="AL55" s="264">
        <f>SUM(AH55:AK55)</f>
        <v>10039</v>
      </c>
    </row>
    <row r="56">
      <c r="B56" s="46" t="n">
        <v>48</v>
      </c>
      <c r="C56" s="29" t="inlineStr">
        <is>
          <t>Small Agriculture &amp; Turf - lucro do segmento (USD)</t>
        </is>
      </c>
      <c r="D56" s="263">
        <f>IF(ISNA(MATCH(D$2,Inputs!$K$4:$AJ$4,0)),NA(),IF(SUMPRODUCT((Inputs!$A$5:$A$130=$B56)*ISNUMBER(INDEX(Inputs!$K$5:$AJ$130,0,MATCH(D$2,Inputs!$K$4:$AJ$4,0))))+SUMPRODUCT((Inputs!$C$5:$C$130=$B56)*ISNUMBER(INDEX(Inputs!$K$5:$AJ$130,0,MATCH(D$2,Inputs!$K$4:$AJ$4,0))))+SUMPRODUCT((Inputs!$E$5:$E$130=$B56)*ISNUMBER(INDEX(Inputs!$K$5:$AJ$130,0,MATCH(D$2,Inputs!$K$4:$AJ$4,0))))=0,NA(),SUMPRODUCT((Inputs!$A$5:$A$130=$B56)*Inputs!$B$5:$B$130*(((Inputs!$G$5:$G$130="moeda")+(Inputs!$G$5:$G$130="acoes"))*Inputs!$B$1+((Inputs!$G$5:$G$130&lt;&gt;"moeda")*(Inputs!$G$5:$G$130&lt;&gt;"acoes")))*INDEX(Inputs!$K$5:$AJ$130,0,MATCH(D$2,Inputs!$K$4:$AJ$4,0)))+SUMPRODUCT((Inputs!$C$5:$C$130=$B56)*Inputs!$D$5:$D$130*(((Inputs!$G$5:$G$130="moeda")+(Inputs!$G$5:$G$130="acoes"))*Inputs!$B$1+((Inputs!$G$5:$G$130&lt;&gt;"moeda")*(Inputs!$G$5:$G$130&lt;&gt;"acoes")))*INDEX(Inputs!$K$5:$AJ$130,0,MATCH(D$2,Inputs!$K$4:$AJ$4,0)))+SUMPRODUCT((Inputs!$E$5:$E$130=$B56)*Inputs!$F$5:$F$130*(((Inputs!$G$5:$G$130="moeda")+(Inputs!$G$5:$G$130="acoes"))*Inputs!$B$1+((Inputs!$G$5:$G$130&lt;&gt;"moeda")*(Inputs!$G$5:$G$130&lt;&gt;"acoes")))*INDEX(Inputs!$K$5:$AJ$130,0,MATCH(D$2,Inputs!$K$4:$AJ$4,0)))))</f>
        <v>648</v>
      </c>
      <c r="E56" s="263">
        <f>IF(ISNA(MATCH(E$2,Inputs!$K$4:$AJ$4,0)),NA(),IF(SUMPRODUCT((Inputs!$A$5:$A$130=$B56)*ISNUMBER(INDEX(Inputs!$K$5:$AJ$130,0,MATCH(E$2,Inputs!$K$4:$AJ$4,0))))+SUMPRODUCT((Inputs!$C$5:$C$130=$B56)*ISNUMBER(INDEX(Inputs!$K$5:$AJ$130,0,MATCH(E$2,Inputs!$K$4:$AJ$4,0))))+SUMPRODUCT((Inputs!$E$5:$E$130=$B56)*ISNUMBER(INDEX(Inputs!$K$5:$AJ$130,0,MATCH(E$2,Inputs!$K$4:$AJ$4,0))))=0,NA(),SUMPRODUCT((Inputs!$A$5:$A$130=$B56)*Inputs!$B$5:$B$130*(((Inputs!$G$5:$G$130="moeda")+(Inputs!$G$5:$G$130="acoes"))*Inputs!$B$1+((Inputs!$G$5:$G$130&lt;&gt;"moeda")*(Inputs!$G$5:$G$130&lt;&gt;"acoes")))*INDEX(Inputs!$K$5:$AJ$130,0,MATCH(E$2,Inputs!$K$4:$AJ$4,0)))+SUMPRODUCT((Inputs!$C$5:$C$130=$B56)*Inputs!$D$5:$D$130*(((Inputs!$G$5:$G$130="moeda")+(Inputs!$G$5:$G$130="acoes"))*Inputs!$B$1+((Inputs!$G$5:$G$130&lt;&gt;"moeda")*(Inputs!$G$5:$G$130&lt;&gt;"acoes")))*INDEX(Inputs!$K$5:$AJ$130,0,MATCH(E$2,Inputs!$K$4:$AJ$4,0)))+SUMPRODUCT((Inputs!$E$5:$E$130=$B56)*Inputs!$F$5:$F$130*(((Inputs!$G$5:$G$130="moeda")+(Inputs!$G$5:$G$130="acoes"))*Inputs!$B$1+((Inputs!$G$5:$G$130&lt;&gt;"moeda")*(Inputs!$G$5:$G$130&lt;&gt;"acoes")))*INDEX(Inputs!$K$5:$AJ$130,0,MATCH(E$2,Inputs!$K$4:$AJ$4,0)))))</f>
        <v>583</v>
      </c>
      <c r="F56" s="263">
        <f>IF(ISNA(MATCH(F$2,Inputs!$K$4:$AJ$4,0)),NA(),IF(SUMPRODUCT((Inputs!$A$5:$A$130=$B56)*ISNUMBER(INDEX(Inputs!$K$5:$AJ$130,0,MATCH(F$2,Inputs!$K$4:$AJ$4,0))))+SUMPRODUCT((Inputs!$C$5:$C$130=$B56)*ISNUMBER(INDEX(Inputs!$K$5:$AJ$130,0,MATCH(F$2,Inputs!$K$4:$AJ$4,0))))+SUMPRODUCT((Inputs!$E$5:$E$130=$B56)*ISNUMBER(INDEX(Inputs!$K$5:$AJ$130,0,MATCH(F$2,Inputs!$K$4:$AJ$4,0))))=0,NA(),SUMPRODUCT((Inputs!$A$5:$A$130=$B56)*Inputs!$B$5:$B$130*(((Inputs!$G$5:$G$130="moeda")+(Inputs!$G$5:$G$130="acoes"))*Inputs!$B$1+((Inputs!$G$5:$G$130&lt;&gt;"moeda")*(Inputs!$G$5:$G$130&lt;&gt;"acoes")))*INDEX(Inputs!$K$5:$AJ$130,0,MATCH(F$2,Inputs!$K$4:$AJ$4,0)))+SUMPRODUCT((Inputs!$C$5:$C$130=$B56)*Inputs!$D$5:$D$130*(((Inputs!$G$5:$G$130="moeda")+(Inputs!$G$5:$G$130="acoes"))*Inputs!$B$1+((Inputs!$G$5:$G$130&lt;&gt;"moeda")*(Inputs!$G$5:$G$130&lt;&gt;"acoes")))*INDEX(Inputs!$K$5:$AJ$130,0,MATCH(F$2,Inputs!$K$4:$AJ$4,0)))+SUMPRODUCT((Inputs!$E$5:$E$130=$B56)*Inputs!$F$5:$F$130*(((Inputs!$G$5:$G$130="moeda")+(Inputs!$G$5:$G$130="acoes"))*Inputs!$B$1+((Inputs!$G$5:$G$130&lt;&gt;"moeda")*(Inputs!$G$5:$G$130&lt;&gt;"acoes")))*INDEX(Inputs!$K$5:$AJ$130,0,MATCH(F$2,Inputs!$K$4:$AJ$4,0)))))</f>
        <v>346</v>
      </c>
      <c r="G56" s="263">
        <f>IF(ISNA(MATCH(G$2,Inputs!$K$4:$AJ$4,0)),NA(),IF(SUMPRODUCT((Inputs!$A$5:$A$130=$B56)*ISNUMBER(INDEX(Inputs!$K$5:$AJ$130,0,MATCH(G$2,Inputs!$K$4:$AJ$4,0))))+SUMPRODUCT((Inputs!$C$5:$C$130=$B56)*ISNUMBER(INDEX(Inputs!$K$5:$AJ$130,0,MATCH(G$2,Inputs!$K$4:$AJ$4,0))))+SUMPRODUCT((Inputs!$E$5:$E$130=$B56)*ISNUMBER(INDEX(Inputs!$K$5:$AJ$130,0,MATCH(G$2,Inputs!$K$4:$AJ$4,0))))=0,NA(),SUMPRODUCT((Inputs!$A$5:$A$130=$B56)*Inputs!$B$5:$B$130*(((Inputs!$G$5:$G$130="moeda")+(Inputs!$G$5:$G$130="acoes"))*Inputs!$B$1+((Inputs!$G$5:$G$130&lt;&gt;"moeda")*(Inputs!$G$5:$G$130&lt;&gt;"acoes")))*INDEX(Inputs!$K$5:$AJ$130,0,MATCH(G$2,Inputs!$K$4:$AJ$4,0)))+SUMPRODUCT((Inputs!$C$5:$C$130=$B56)*Inputs!$D$5:$D$130*(((Inputs!$G$5:$G$130="moeda")+(Inputs!$G$5:$G$130="acoes"))*Inputs!$B$1+((Inputs!$G$5:$G$130&lt;&gt;"moeda")*(Inputs!$G$5:$G$130&lt;&gt;"acoes")))*INDEX(Inputs!$K$5:$AJ$130,0,MATCH(G$2,Inputs!$K$4:$AJ$4,0)))+SUMPRODUCT((Inputs!$E$5:$E$130=$B56)*Inputs!$F$5:$F$130*(((Inputs!$G$5:$G$130="moeda")+(Inputs!$G$5:$G$130="acoes"))*Inputs!$B$1+((Inputs!$G$5:$G$130&lt;&gt;"moeda")*(Inputs!$G$5:$G$130&lt;&gt;"acoes")))*INDEX(Inputs!$K$5:$AJ$130,0,MATCH(G$2,Inputs!$K$4:$AJ$4,0)))))</f>
        <v>371</v>
      </c>
      <c r="H56" s="264">
        <f>SUM(D56:G56)</f>
        <v>1948</v>
      </c>
      <c r="I56" s="263">
        <f>IF(ISNA(MATCH(I$2,Inputs!$K$4:$AJ$4,0)),NA(),IF(SUMPRODUCT((Inputs!$A$5:$A$130=$B56)*ISNUMBER(INDEX(Inputs!$K$5:$AJ$130,0,MATCH(I$2,Inputs!$K$4:$AJ$4,0))))+SUMPRODUCT((Inputs!$C$5:$C$130=$B56)*ISNUMBER(INDEX(Inputs!$K$5:$AJ$130,0,MATCH(I$2,Inputs!$K$4:$AJ$4,0))))+SUMPRODUCT((Inputs!$E$5:$E$130=$B56)*ISNUMBER(INDEX(Inputs!$K$5:$AJ$130,0,MATCH(I$2,Inputs!$K$4:$AJ$4,0))))=0,NA(),SUMPRODUCT((Inputs!$A$5:$A$130=$B56)*Inputs!$B$5:$B$130*(((Inputs!$G$5:$G$130="moeda")+(Inputs!$G$5:$G$130="acoes"))*Inputs!$B$1+((Inputs!$G$5:$G$130&lt;&gt;"moeda")*(Inputs!$G$5:$G$130&lt;&gt;"acoes")))*INDEX(Inputs!$K$5:$AJ$130,0,MATCH(I$2,Inputs!$K$4:$AJ$4,0)))+SUMPRODUCT((Inputs!$C$5:$C$130=$B56)*Inputs!$D$5:$D$130*(((Inputs!$G$5:$G$130="moeda")+(Inputs!$G$5:$G$130="acoes"))*Inputs!$B$1+((Inputs!$G$5:$G$130&lt;&gt;"moeda")*(Inputs!$G$5:$G$130&lt;&gt;"acoes")))*INDEX(Inputs!$K$5:$AJ$130,0,MATCH(I$2,Inputs!$K$4:$AJ$4,0)))+SUMPRODUCT((Inputs!$E$5:$E$130=$B56)*Inputs!$F$5:$F$130*(((Inputs!$G$5:$G$130="moeda")+(Inputs!$G$5:$G$130="acoes"))*Inputs!$B$1+((Inputs!$G$5:$G$130&lt;&gt;"moeda")*(Inputs!$G$5:$G$130&lt;&gt;"acoes")))*INDEX(Inputs!$K$5:$AJ$130,0,MATCH(I$2,Inputs!$K$4:$AJ$4,0)))))</f>
        <v>520</v>
      </c>
      <c r="J56" s="263">
        <f>IF(ISNA(MATCH(J$2,Inputs!$K$4:$AJ$4,0)),NA(),IF(SUMPRODUCT((Inputs!$A$5:$A$130=$B56)*ISNUMBER(INDEX(Inputs!$K$5:$AJ$130,0,MATCH(J$2,Inputs!$K$4:$AJ$4,0))))+SUMPRODUCT((Inputs!$C$5:$C$130=$B56)*ISNUMBER(INDEX(Inputs!$K$5:$AJ$130,0,MATCH(J$2,Inputs!$K$4:$AJ$4,0))))+SUMPRODUCT((Inputs!$E$5:$E$130=$B56)*ISNUMBER(INDEX(Inputs!$K$5:$AJ$130,0,MATCH(J$2,Inputs!$K$4:$AJ$4,0))))=0,NA(),SUMPRODUCT((Inputs!$A$5:$A$130=$B56)*Inputs!$B$5:$B$130*(((Inputs!$G$5:$G$130="moeda")+(Inputs!$G$5:$G$130="acoes"))*Inputs!$B$1+((Inputs!$G$5:$G$130&lt;&gt;"moeda")*(Inputs!$G$5:$G$130&lt;&gt;"acoes")))*INDEX(Inputs!$K$5:$AJ$130,0,MATCH(J$2,Inputs!$K$4:$AJ$4,0)))+SUMPRODUCT((Inputs!$C$5:$C$130=$B56)*Inputs!$D$5:$D$130*(((Inputs!$G$5:$G$130="moeda")+(Inputs!$G$5:$G$130="acoes"))*Inputs!$B$1+((Inputs!$G$5:$G$130&lt;&gt;"moeda")*(Inputs!$G$5:$G$130&lt;&gt;"acoes")))*INDEX(Inputs!$K$5:$AJ$130,0,MATCH(J$2,Inputs!$K$4:$AJ$4,0)))+SUMPRODUCT((Inputs!$E$5:$E$130=$B56)*Inputs!$F$5:$F$130*(((Inputs!$G$5:$G$130="moeda")+(Inputs!$G$5:$G$130="acoes"))*Inputs!$B$1+((Inputs!$G$5:$G$130&lt;&gt;"moeda")*(Inputs!$G$5:$G$130&lt;&gt;"acoes")))*INDEX(Inputs!$K$5:$AJ$130,0,MATCH(J$2,Inputs!$K$4:$AJ$4,0)))))</f>
        <v>552</v>
      </c>
      <c r="K56" s="263">
        <f>IF(ISNA(MATCH(K$2,Inputs!$K$4:$AJ$4,0)),NA(),IF(SUMPRODUCT((Inputs!$A$5:$A$130=$B56)*ISNUMBER(INDEX(Inputs!$K$5:$AJ$130,0,MATCH(K$2,Inputs!$K$4:$AJ$4,0))))+SUMPRODUCT((Inputs!$C$5:$C$130=$B56)*ISNUMBER(INDEX(Inputs!$K$5:$AJ$130,0,MATCH(K$2,Inputs!$K$4:$AJ$4,0))))+SUMPRODUCT((Inputs!$E$5:$E$130=$B56)*ISNUMBER(INDEX(Inputs!$K$5:$AJ$130,0,MATCH(K$2,Inputs!$K$4:$AJ$4,0))))=0,NA(),SUMPRODUCT((Inputs!$A$5:$A$130=$B56)*Inputs!$B$5:$B$130*(((Inputs!$G$5:$G$130="moeda")+(Inputs!$G$5:$G$130="acoes"))*Inputs!$B$1+((Inputs!$G$5:$G$130&lt;&gt;"moeda")*(Inputs!$G$5:$G$130&lt;&gt;"acoes")))*INDEX(Inputs!$K$5:$AJ$130,0,MATCH(K$2,Inputs!$K$4:$AJ$4,0)))+SUMPRODUCT((Inputs!$C$5:$C$130=$B56)*Inputs!$D$5:$D$130*(((Inputs!$G$5:$G$130="moeda")+(Inputs!$G$5:$G$130="acoes"))*Inputs!$B$1+((Inputs!$G$5:$G$130&lt;&gt;"moeda")*(Inputs!$G$5:$G$130&lt;&gt;"acoes")))*INDEX(Inputs!$K$5:$AJ$130,0,MATCH(K$2,Inputs!$K$4:$AJ$4,0)))+SUMPRODUCT((Inputs!$E$5:$E$130=$B56)*Inputs!$F$5:$F$130*(((Inputs!$G$5:$G$130="moeda")+(Inputs!$G$5:$G$130="acoes"))*Inputs!$B$1+((Inputs!$G$5:$G$130&lt;&gt;"moeda")*(Inputs!$G$5:$G$130&lt;&gt;"acoes")))*INDEX(Inputs!$K$5:$AJ$130,0,MATCH(K$2,Inputs!$K$4:$AJ$4,0)))))</f>
        <v>506</v>
      </c>
      <c r="L56" s="263">
        <f>IF(ISNA(MATCH(L$2,Inputs!$K$4:$AJ$4,0)),NA(),IF(SUMPRODUCT((Inputs!$A$5:$A$130=$B56)*ISNUMBER(INDEX(Inputs!$K$5:$AJ$130,0,MATCH(L$2,Inputs!$K$4:$AJ$4,0))))+SUMPRODUCT((Inputs!$C$5:$C$130=$B56)*ISNUMBER(INDEX(Inputs!$K$5:$AJ$130,0,MATCH(L$2,Inputs!$K$4:$AJ$4,0))))+SUMPRODUCT((Inputs!$E$5:$E$130=$B56)*ISNUMBER(INDEX(Inputs!$K$5:$AJ$130,0,MATCH(L$2,Inputs!$K$4:$AJ$4,0))))=0,NA(),SUMPRODUCT((Inputs!$A$5:$A$130=$B56)*Inputs!$B$5:$B$130*(((Inputs!$G$5:$G$130="moeda")+(Inputs!$G$5:$G$130="acoes"))*Inputs!$B$1+((Inputs!$G$5:$G$130&lt;&gt;"moeda")*(Inputs!$G$5:$G$130&lt;&gt;"acoes")))*INDEX(Inputs!$K$5:$AJ$130,0,MATCH(L$2,Inputs!$K$4:$AJ$4,0)))+SUMPRODUCT((Inputs!$C$5:$C$130=$B56)*Inputs!$D$5:$D$130*(((Inputs!$G$5:$G$130="moeda")+(Inputs!$G$5:$G$130="acoes"))*Inputs!$B$1+((Inputs!$G$5:$G$130&lt;&gt;"moeda")*(Inputs!$G$5:$G$130&lt;&gt;"acoes")))*INDEX(Inputs!$K$5:$AJ$130,0,MATCH(L$2,Inputs!$K$4:$AJ$4,0)))+SUMPRODUCT((Inputs!$E$5:$E$130=$B56)*Inputs!$F$5:$F$130*(((Inputs!$G$5:$G$130="moeda")+(Inputs!$G$5:$G$130="acoes"))*Inputs!$B$1+((Inputs!$G$5:$G$130&lt;&gt;"moeda")*(Inputs!$G$5:$G$130&lt;&gt;"acoes")))*INDEX(Inputs!$K$5:$AJ$130,0,MATCH(L$2,Inputs!$K$4:$AJ$4,0)))))</f>
        <v>447</v>
      </c>
      <c r="M56" s="264">
        <f>SUM(I56:L56)</f>
        <v>2025</v>
      </c>
      <c r="N56" s="263">
        <f>IF(ISNA(MATCH(N$2,Inputs!$K$4:$AJ$4,0)),NA(),IF(SUMPRODUCT((Inputs!$A$5:$A$130=$B56)*ISNUMBER(INDEX(Inputs!$K$5:$AJ$130,0,MATCH(N$2,Inputs!$K$4:$AJ$4,0))))+SUMPRODUCT((Inputs!$C$5:$C$130=$B56)*ISNUMBER(INDEX(Inputs!$K$5:$AJ$130,0,MATCH(N$2,Inputs!$K$4:$AJ$4,0))))+SUMPRODUCT((Inputs!$E$5:$E$130=$B56)*ISNUMBER(INDEX(Inputs!$K$5:$AJ$130,0,MATCH(N$2,Inputs!$K$4:$AJ$4,0))))=0,NA(),SUMPRODUCT((Inputs!$A$5:$A$130=$B56)*Inputs!$B$5:$B$130*(((Inputs!$G$5:$G$130="moeda")+(Inputs!$G$5:$G$130="acoes"))*Inputs!$B$1+((Inputs!$G$5:$G$130&lt;&gt;"moeda")*(Inputs!$G$5:$G$130&lt;&gt;"acoes")))*INDEX(Inputs!$K$5:$AJ$130,0,MATCH(N$2,Inputs!$K$4:$AJ$4,0)))+SUMPRODUCT((Inputs!$C$5:$C$130=$B56)*Inputs!$D$5:$D$130*(((Inputs!$G$5:$G$130="moeda")+(Inputs!$G$5:$G$130="acoes"))*Inputs!$B$1+((Inputs!$G$5:$G$130&lt;&gt;"moeda")*(Inputs!$G$5:$G$130&lt;&gt;"acoes")))*INDEX(Inputs!$K$5:$AJ$130,0,MATCH(N$2,Inputs!$K$4:$AJ$4,0)))+SUMPRODUCT((Inputs!$E$5:$E$130=$B56)*Inputs!$F$5:$F$130*(((Inputs!$G$5:$G$130="moeda")+(Inputs!$G$5:$G$130="acoes"))*Inputs!$B$1+((Inputs!$G$5:$G$130&lt;&gt;"moeda")*(Inputs!$G$5:$G$130&lt;&gt;"acoes")))*INDEX(Inputs!$K$5:$AJ$130,0,MATCH(N$2,Inputs!$K$4:$AJ$4,0)))))</f>
        <v>849</v>
      </c>
      <c r="O56" s="263">
        <f>IF(ISNA(MATCH(O$2,Inputs!$K$4:$AJ$4,0)),NA(),IF(SUMPRODUCT((Inputs!$A$5:$A$130=$B56)*ISNUMBER(INDEX(Inputs!$K$5:$AJ$130,0,MATCH(O$2,Inputs!$K$4:$AJ$4,0))))+SUMPRODUCT((Inputs!$C$5:$C$130=$B56)*ISNUMBER(INDEX(Inputs!$K$5:$AJ$130,0,MATCH(O$2,Inputs!$K$4:$AJ$4,0))))+SUMPRODUCT((Inputs!$E$5:$E$130=$B56)*ISNUMBER(INDEX(Inputs!$K$5:$AJ$130,0,MATCH(O$2,Inputs!$K$4:$AJ$4,0))))=0,NA(),SUMPRODUCT((Inputs!$A$5:$A$130=$B56)*Inputs!$B$5:$B$130*(((Inputs!$G$5:$G$130="moeda")+(Inputs!$G$5:$G$130="acoes"))*Inputs!$B$1+((Inputs!$G$5:$G$130&lt;&gt;"moeda")*(Inputs!$G$5:$G$130&lt;&gt;"acoes")))*INDEX(Inputs!$K$5:$AJ$130,0,MATCH(O$2,Inputs!$K$4:$AJ$4,0)))+SUMPRODUCT((Inputs!$C$5:$C$130=$B56)*Inputs!$D$5:$D$130*(((Inputs!$G$5:$G$130="moeda")+(Inputs!$G$5:$G$130="acoes"))*Inputs!$B$1+((Inputs!$G$5:$G$130&lt;&gt;"moeda")*(Inputs!$G$5:$G$130&lt;&gt;"acoes")))*INDEX(Inputs!$K$5:$AJ$130,0,MATCH(O$2,Inputs!$K$4:$AJ$4,0)))+SUMPRODUCT((Inputs!$E$5:$E$130=$B56)*Inputs!$F$5:$F$130*(((Inputs!$G$5:$G$130="moeda")+(Inputs!$G$5:$G$130="acoes"))*Inputs!$B$1+((Inputs!$G$5:$G$130&lt;&gt;"moeda")*(Inputs!$G$5:$G$130&lt;&gt;"acoes")))*INDEX(Inputs!$K$5:$AJ$130,0,MATCH(O$2,Inputs!$K$4:$AJ$4,0)))))</f>
        <v>732</v>
      </c>
      <c r="P56" s="263">
        <f>IF(ISNA(MATCH(P$2,Inputs!$K$4:$AJ$4,0)),NA(),IF(SUMPRODUCT((Inputs!$A$5:$A$130=$B56)*ISNUMBER(INDEX(Inputs!$K$5:$AJ$130,0,MATCH(P$2,Inputs!$K$4:$AJ$4,0))))+SUMPRODUCT((Inputs!$C$5:$C$130=$B56)*ISNUMBER(INDEX(Inputs!$K$5:$AJ$130,0,MATCH(P$2,Inputs!$K$4:$AJ$4,0))))+SUMPRODUCT((Inputs!$E$5:$E$130=$B56)*ISNUMBER(INDEX(Inputs!$K$5:$AJ$130,0,MATCH(P$2,Inputs!$K$4:$AJ$4,0))))=0,NA(),SUMPRODUCT((Inputs!$A$5:$A$130=$B56)*Inputs!$B$5:$B$130*(((Inputs!$G$5:$G$130="moeda")+(Inputs!$G$5:$G$130="acoes"))*Inputs!$B$1+((Inputs!$G$5:$G$130&lt;&gt;"moeda")*(Inputs!$G$5:$G$130&lt;&gt;"acoes")))*INDEX(Inputs!$K$5:$AJ$130,0,MATCH(P$2,Inputs!$K$4:$AJ$4,0)))+SUMPRODUCT((Inputs!$C$5:$C$130=$B56)*Inputs!$D$5:$D$130*(((Inputs!$G$5:$G$130="moeda")+(Inputs!$G$5:$G$130="acoes"))*Inputs!$B$1+((Inputs!$G$5:$G$130&lt;&gt;"moeda")*(Inputs!$G$5:$G$130&lt;&gt;"acoes")))*INDEX(Inputs!$K$5:$AJ$130,0,MATCH(P$2,Inputs!$K$4:$AJ$4,0)))+SUMPRODUCT((Inputs!$E$5:$E$130=$B56)*Inputs!$F$5:$F$130*(((Inputs!$G$5:$G$130="moeda")+(Inputs!$G$5:$G$130="acoes"))*Inputs!$B$1+((Inputs!$G$5:$G$130&lt;&gt;"moeda")*(Inputs!$G$5:$G$130&lt;&gt;"acoes")))*INDEX(Inputs!$K$5:$AJ$130,0,MATCH(P$2,Inputs!$K$4:$AJ$4,0)))))</f>
        <v>444</v>
      </c>
      <c r="Q56" s="263">
        <f>IF(ISNA(MATCH(Q$2,Inputs!$K$4:$AJ$4,0)),NA(),IF(SUMPRODUCT((Inputs!$A$5:$A$130=$B56)*ISNUMBER(INDEX(Inputs!$K$5:$AJ$130,0,MATCH(Q$2,Inputs!$K$4:$AJ$4,0))))+SUMPRODUCT((Inputs!$C$5:$C$130=$B56)*ISNUMBER(INDEX(Inputs!$K$5:$AJ$130,0,MATCH(Q$2,Inputs!$K$4:$AJ$4,0))))+SUMPRODUCT((Inputs!$E$5:$E$130=$B56)*ISNUMBER(INDEX(Inputs!$K$5:$AJ$130,0,MATCH(Q$2,Inputs!$K$4:$AJ$4,0))))=0,NA(),SUMPRODUCT((Inputs!$A$5:$A$130=$B56)*Inputs!$B$5:$B$130*(((Inputs!$G$5:$G$130="moeda")+(Inputs!$G$5:$G$130="acoes"))*Inputs!$B$1+((Inputs!$G$5:$G$130&lt;&gt;"moeda")*(Inputs!$G$5:$G$130&lt;&gt;"acoes")))*INDEX(Inputs!$K$5:$AJ$130,0,MATCH(Q$2,Inputs!$K$4:$AJ$4,0)))+SUMPRODUCT((Inputs!$C$5:$C$130=$B56)*Inputs!$D$5:$D$130*(((Inputs!$G$5:$G$130="moeda")+(Inputs!$G$5:$G$130="acoes"))*Inputs!$B$1+((Inputs!$G$5:$G$130&lt;&gt;"moeda")*(Inputs!$G$5:$G$130&lt;&gt;"acoes")))*INDEX(Inputs!$K$5:$AJ$130,0,MATCH(Q$2,Inputs!$K$4:$AJ$4,0)))+SUMPRODUCT((Inputs!$E$5:$E$130=$B56)*Inputs!$F$5:$F$130*(((Inputs!$G$5:$G$130="moeda")+(Inputs!$G$5:$G$130="acoes"))*Inputs!$B$1+((Inputs!$G$5:$G$130&lt;&gt;"moeda")*(Inputs!$G$5:$G$130&lt;&gt;"acoes")))*INDEX(Inputs!$K$5:$AJ$130,0,MATCH(Q$2,Inputs!$K$4:$AJ$4,0)))))</f>
        <v>326</v>
      </c>
      <c r="R56" s="264">
        <f>SUM(N56:Q56)</f>
        <v>2351</v>
      </c>
      <c r="S56" s="263">
        <f>IF(ISNA(MATCH(S$2,Inputs!$K$4:$AJ$4,0)),NA(),IF(SUMPRODUCT((Inputs!$A$5:$A$130=$B56)*ISNUMBER(INDEX(Inputs!$K$5:$AJ$130,0,MATCH(S$2,Inputs!$K$4:$AJ$4,0))))+SUMPRODUCT((Inputs!$C$5:$C$130=$B56)*ISNUMBER(INDEX(Inputs!$K$5:$AJ$130,0,MATCH(S$2,Inputs!$K$4:$AJ$4,0))))+SUMPRODUCT((Inputs!$E$5:$E$130=$B56)*ISNUMBER(INDEX(Inputs!$K$5:$AJ$130,0,MATCH(S$2,Inputs!$K$4:$AJ$4,0))))=0,NA(),SUMPRODUCT((Inputs!$A$5:$A$130=$B56)*Inputs!$B$5:$B$130*(((Inputs!$G$5:$G$130="moeda")+(Inputs!$G$5:$G$130="acoes"))*Inputs!$B$1+((Inputs!$G$5:$G$130&lt;&gt;"moeda")*(Inputs!$G$5:$G$130&lt;&gt;"acoes")))*INDEX(Inputs!$K$5:$AJ$130,0,MATCH(S$2,Inputs!$K$4:$AJ$4,0)))+SUMPRODUCT((Inputs!$C$5:$C$130=$B56)*Inputs!$D$5:$D$130*(((Inputs!$G$5:$G$130="moeda")+(Inputs!$G$5:$G$130="acoes"))*Inputs!$B$1+((Inputs!$G$5:$G$130&lt;&gt;"moeda")*(Inputs!$G$5:$G$130&lt;&gt;"acoes")))*INDEX(Inputs!$K$5:$AJ$130,0,MATCH(S$2,Inputs!$K$4:$AJ$4,0)))+SUMPRODUCT((Inputs!$E$5:$E$130=$B56)*Inputs!$F$5:$F$130*(((Inputs!$G$5:$G$130="moeda")+(Inputs!$G$5:$G$130="acoes"))*Inputs!$B$1+((Inputs!$G$5:$G$130&lt;&gt;"moeda")*(Inputs!$G$5:$G$130&lt;&gt;"acoes")))*INDEX(Inputs!$K$5:$AJ$130,0,MATCH(S$2,Inputs!$K$4:$AJ$4,0)))))</f>
        <v>571</v>
      </c>
      <c r="T56" s="263">
        <f>IF(ISNA(MATCH(T$2,Inputs!$K$4:$AJ$4,0)),NA(),IF(SUMPRODUCT((Inputs!$A$5:$A$130=$B56)*ISNUMBER(INDEX(Inputs!$K$5:$AJ$130,0,MATCH(T$2,Inputs!$K$4:$AJ$4,0))))+SUMPRODUCT((Inputs!$C$5:$C$130=$B56)*ISNUMBER(INDEX(Inputs!$K$5:$AJ$130,0,MATCH(T$2,Inputs!$K$4:$AJ$4,0))))+SUMPRODUCT((Inputs!$E$5:$E$130=$B56)*ISNUMBER(INDEX(Inputs!$K$5:$AJ$130,0,MATCH(T$2,Inputs!$K$4:$AJ$4,0))))=0,NA(),SUMPRODUCT((Inputs!$A$5:$A$130=$B56)*Inputs!$B$5:$B$130*(((Inputs!$G$5:$G$130="moeda")+(Inputs!$G$5:$G$130="acoes"))*Inputs!$B$1+((Inputs!$G$5:$G$130&lt;&gt;"moeda")*(Inputs!$G$5:$G$130&lt;&gt;"acoes")))*INDEX(Inputs!$K$5:$AJ$130,0,MATCH(T$2,Inputs!$K$4:$AJ$4,0)))+SUMPRODUCT((Inputs!$C$5:$C$130=$B56)*Inputs!$D$5:$D$130*(((Inputs!$G$5:$G$130="moeda")+(Inputs!$G$5:$G$130="acoes"))*Inputs!$B$1+((Inputs!$G$5:$G$130&lt;&gt;"moeda")*(Inputs!$G$5:$G$130&lt;&gt;"acoes")))*INDEX(Inputs!$K$5:$AJ$130,0,MATCH(T$2,Inputs!$K$4:$AJ$4,0)))+SUMPRODUCT((Inputs!$E$5:$E$130=$B56)*Inputs!$F$5:$F$130*(((Inputs!$G$5:$G$130="moeda")+(Inputs!$G$5:$G$130="acoes"))*Inputs!$B$1+((Inputs!$G$5:$G$130&lt;&gt;"moeda")*(Inputs!$G$5:$G$130&lt;&gt;"acoes")))*INDEX(Inputs!$K$5:$AJ$130,0,MATCH(T$2,Inputs!$K$4:$AJ$4,0)))))</f>
        <v>496</v>
      </c>
      <c r="U56" s="263">
        <f>IF(ISNA(MATCH(U$2,Inputs!$K$4:$AJ$4,0)),NA(),IF(SUMPRODUCT((Inputs!$A$5:$A$130=$B56)*ISNUMBER(INDEX(Inputs!$K$5:$AJ$130,0,MATCH(U$2,Inputs!$K$4:$AJ$4,0))))+SUMPRODUCT((Inputs!$C$5:$C$130=$B56)*ISNUMBER(INDEX(Inputs!$K$5:$AJ$130,0,MATCH(U$2,Inputs!$K$4:$AJ$4,0))))+SUMPRODUCT((Inputs!$E$5:$E$130=$B56)*ISNUMBER(INDEX(Inputs!$K$5:$AJ$130,0,MATCH(U$2,Inputs!$K$4:$AJ$4,0))))=0,NA(),SUMPRODUCT((Inputs!$A$5:$A$130=$B56)*Inputs!$B$5:$B$130*(((Inputs!$G$5:$G$130="moeda")+(Inputs!$G$5:$G$130="acoes"))*Inputs!$B$1+((Inputs!$G$5:$G$130&lt;&gt;"moeda")*(Inputs!$G$5:$G$130&lt;&gt;"acoes")))*INDEX(Inputs!$K$5:$AJ$130,0,MATCH(U$2,Inputs!$K$4:$AJ$4,0)))+SUMPRODUCT((Inputs!$C$5:$C$130=$B56)*Inputs!$D$5:$D$130*(((Inputs!$G$5:$G$130="moeda")+(Inputs!$G$5:$G$130="acoes"))*Inputs!$B$1+((Inputs!$G$5:$G$130&lt;&gt;"moeda")*(Inputs!$G$5:$G$130&lt;&gt;"acoes")))*INDEX(Inputs!$K$5:$AJ$130,0,MATCH(U$2,Inputs!$K$4:$AJ$4,0)))+SUMPRODUCT((Inputs!$E$5:$E$130=$B56)*Inputs!$F$5:$F$130*(((Inputs!$G$5:$G$130="moeda")+(Inputs!$G$5:$G$130="acoes"))*Inputs!$B$1+((Inputs!$G$5:$G$130&lt;&gt;"moeda")*(Inputs!$G$5:$G$130&lt;&gt;"acoes")))*INDEX(Inputs!$K$5:$AJ$130,0,MATCH(U$2,Inputs!$K$4:$AJ$4,0)))))</f>
        <v>234</v>
      </c>
      <c r="V56" s="263">
        <f>IF(ISNA(MATCH(V$2,Inputs!$K$4:$AJ$4,0)),NA(),IF(SUMPRODUCT((Inputs!$A$5:$A$130=$B56)*ISNUMBER(INDEX(Inputs!$K$5:$AJ$130,0,MATCH(V$2,Inputs!$K$4:$AJ$4,0))))+SUMPRODUCT((Inputs!$C$5:$C$130=$B56)*ISNUMBER(INDEX(Inputs!$K$5:$AJ$130,0,MATCH(V$2,Inputs!$K$4:$AJ$4,0))))+SUMPRODUCT((Inputs!$E$5:$E$130=$B56)*ISNUMBER(INDEX(Inputs!$K$5:$AJ$130,0,MATCH(V$2,Inputs!$K$4:$AJ$4,0))))=0,NA(),SUMPRODUCT((Inputs!$A$5:$A$130=$B56)*Inputs!$B$5:$B$130*(((Inputs!$G$5:$G$130="moeda")+(Inputs!$G$5:$G$130="acoes"))*Inputs!$B$1+((Inputs!$G$5:$G$130&lt;&gt;"moeda")*(Inputs!$G$5:$G$130&lt;&gt;"acoes")))*INDEX(Inputs!$K$5:$AJ$130,0,MATCH(V$2,Inputs!$K$4:$AJ$4,0)))+SUMPRODUCT((Inputs!$C$5:$C$130=$B56)*Inputs!$D$5:$D$130*(((Inputs!$G$5:$G$130="moeda")+(Inputs!$G$5:$G$130="acoes"))*Inputs!$B$1+((Inputs!$G$5:$G$130&lt;&gt;"moeda")*(Inputs!$G$5:$G$130&lt;&gt;"acoes")))*INDEX(Inputs!$K$5:$AJ$130,0,MATCH(V$2,Inputs!$K$4:$AJ$4,0)))+SUMPRODUCT((Inputs!$E$5:$E$130=$B56)*Inputs!$F$5:$F$130*(((Inputs!$G$5:$G$130="moeda")+(Inputs!$G$5:$G$130="acoes"))*Inputs!$B$1+((Inputs!$G$5:$G$130&lt;&gt;"moeda")*(Inputs!$G$5:$G$130&lt;&gt;"acoes")))*INDEX(Inputs!$K$5:$AJ$130,0,MATCH(V$2,Inputs!$K$4:$AJ$4,0)))))</f>
        <v>124</v>
      </c>
      <c r="W56" s="264">
        <f>SUM(S56:V56)</f>
        <v>1425</v>
      </c>
      <c r="X56" s="263">
        <f>IF(ISNA(MATCH(X$2,Inputs!$K$4:$AJ$4,0)),NA(),IF(SUMPRODUCT((Inputs!$A$5:$A$130=$B56)*ISNUMBER(INDEX(Inputs!$K$5:$AJ$130,0,MATCH(X$2,Inputs!$K$4:$AJ$4,0))))+SUMPRODUCT((Inputs!$C$5:$C$130=$B56)*ISNUMBER(INDEX(Inputs!$K$5:$AJ$130,0,MATCH(X$2,Inputs!$K$4:$AJ$4,0))))+SUMPRODUCT((Inputs!$E$5:$E$130=$B56)*ISNUMBER(INDEX(Inputs!$K$5:$AJ$130,0,MATCH(X$2,Inputs!$K$4:$AJ$4,0))))=0,NA(),SUMPRODUCT((Inputs!$A$5:$A$130=$B56)*Inputs!$B$5:$B$130*(((Inputs!$G$5:$G$130="moeda")+(Inputs!$G$5:$G$130="acoes"))*Inputs!$B$1+((Inputs!$G$5:$G$130&lt;&gt;"moeda")*(Inputs!$G$5:$G$130&lt;&gt;"acoes")))*INDEX(Inputs!$K$5:$AJ$130,0,MATCH(X$2,Inputs!$K$4:$AJ$4,0)))+SUMPRODUCT((Inputs!$C$5:$C$130=$B56)*Inputs!$D$5:$D$130*(((Inputs!$G$5:$G$130="moeda")+(Inputs!$G$5:$G$130="acoes"))*Inputs!$B$1+((Inputs!$G$5:$G$130&lt;&gt;"moeda")*(Inputs!$G$5:$G$130&lt;&gt;"acoes")))*INDEX(Inputs!$K$5:$AJ$130,0,MATCH(X$2,Inputs!$K$4:$AJ$4,0)))+SUMPRODUCT((Inputs!$E$5:$E$130=$B56)*Inputs!$F$5:$F$130*(((Inputs!$G$5:$G$130="moeda")+(Inputs!$G$5:$G$130="acoes"))*Inputs!$B$1+((Inputs!$G$5:$G$130&lt;&gt;"moeda")*(Inputs!$G$5:$G$130&lt;&gt;"acoes")))*INDEX(Inputs!$K$5:$AJ$130,0,MATCH(X$2,Inputs!$K$4:$AJ$4,0)))))</f>
        <v>574</v>
      </c>
      <c r="Y56" s="263">
        <f>IF(ISNA(MATCH(Y$2,Inputs!$K$4:$AJ$4,0)),NA(),IF(SUMPRODUCT((Inputs!$A$5:$A$130=$B56)*ISNUMBER(INDEX(Inputs!$K$5:$AJ$130,0,MATCH(Y$2,Inputs!$K$4:$AJ$4,0))))+SUMPRODUCT((Inputs!$C$5:$C$130=$B56)*ISNUMBER(INDEX(Inputs!$K$5:$AJ$130,0,MATCH(Y$2,Inputs!$K$4:$AJ$4,0))))+SUMPRODUCT((Inputs!$E$5:$E$130=$B56)*ISNUMBER(INDEX(Inputs!$K$5:$AJ$130,0,MATCH(Y$2,Inputs!$K$4:$AJ$4,0))))=0,NA(),SUMPRODUCT((Inputs!$A$5:$A$130=$B56)*Inputs!$B$5:$B$130*(((Inputs!$G$5:$G$130="moeda")+(Inputs!$G$5:$G$130="acoes"))*Inputs!$B$1+((Inputs!$G$5:$G$130&lt;&gt;"moeda")*(Inputs!$G$5:$G$130&lt;&gt;"acoes")))*INDEX(Inputs!$K$5:$AJ$130,0,MATCH(Y$2,Inputs!$K$4:$AJ$4,0)))+SUMPRODUCT((Inputs!$C$5:$C$130=$B56)*Inputs!$D$5:$D$130*(((Inputs!$G$5:$G$130="moeda")+(Inputs!$G$5:$G$130="acoes"))*Inputs!$B$1+((Inputs!$G$5:$G$130&lt;&gt;"moeda")*(Inputs!$G$5:$G$130&lt;&gt;"acoes")))*INDEX(Inputs!$K$5:$AJ$130,0,MATCH(Y$2,Inputs!$K$4:$AJ$4,0)))+SUMPRODUCT((Inputs!$E$5:$E$130=$B56)*Inputs!$F$5:$F$130*(((Inputs!$G$5:$G$130="moeda")+(Inputs!$G$5:$G$130="acoes"))*Inputs!$B$1+((Inputs!$G$5:$G$130&lt;&gt;"moeda")*(Inputs!$G$5:$G$130&lt;&gt;"acoes")))*INDEX(Inputs!$K$5:$AJ$130,0,MATCH(Y$2,Inputs!$K$4:$AJ$4,0)))))</f>
        <v>485</v>
      </c>
      <c r="Z56" s="263">
        <f>IF(ISNA(MATCH(Z$2,Inputs!$K$4:$AJ$4,0)),NA(),IF(SUMPRODUCT((Inputs!$A$5:$A$130=$B56)*ISNUMBER(INDEX(Inputs!$K$5:$AJ$130,0,MATCH(Z$2,Inputs!$K$4:$AJ$4,0))))+SUMPRODUCT((Inputs!$C$5:$C$130=$B56)*ISNUMBER(INDEX(Inputs!$K$5:$AJ$130,0,MATCH(Z$2,Inputs!$K$4:$AJ$4,0))))+SUMPRODUCT((Inputs!$E$5:$E$130=$B56)*ISNUMBER(INDEX(Inputs!$K$5:$AJ$130,0,MATCH(Z$2,Inputs!$K$4:$AJ$4,0))))=0,NA(),SUMPRODUCT((Inputs!$A$5:$A$130=$B56)*Inputs!$B$5:$B$130*(((Inputs!$G$5:$G$130="moeda")+(Inputs!$G$5:$G$130="acoes"))*Inputs!$B$1+((Inputs!$G$5:$G$130&lt;&gt;"moeda")*(Inputs!$G$5:$G$130&lt;&gt;"acoes")))*INDEX(Inputs!$K$5:$AJ$130,0,MATCH(Z$2,Inputs!$K$4:$AJ$4,0)))+SUMPRODUCT((Inputs!$C$5:$C$130=$B56)*Inputs!$D$5:$D$130*(((Inputs!$G$5:$G$130="moeda")+(Inputs!$G$5:$G$130="acoes"))*Inputs!$B$1+((Inputs!$G$5:$G$130&lt;&gt;"moeda")*(Inputs!$G$5:$G$130&lt;&gt;"acoes")))*INDEX(Inputs!$K$5:$AJ$130,0,MATCH(Z$2,Inputs!$K$4:$AJ$4,0)))+SUMPRODUCT((Inputs!$E$5:$E$130=$B56)*Inputs!$F$5:$F$130*(((Inputs!$G$5:$G$130="moeda")+(Inputs!$G$5:$G$130="acoes"))*Inputs!$B$1+((Inputs!$G$5:$G$130&lt;&gt;"moeda")*(Inputs!$G$5:$G$130&lt;&gt;"acoes")))*INDEX(Inputs!$K$5:$AJ$130,0,MATCH(Z$2,Inputs!$K$4:$AJ$4,0)))))</f>
        <v>25</v>
      </c>
      <c r="AA56" s="263">
        <f>IF(ISNA(MATCH(AA$2,Inputs!$K$4:$AJ$4,0)),NA(),IF(SUMPRODUCT((Inputs!$A$5:$A$130=$B56)*ISNUMBER(INDEX(Inputs!$K$5:$AJ$130,0,MATCH(AA$2,Inputs!$K$4:$AJ$4,0))))+SUMPRODUCT((Inputs!$C$5:$C$130=$B56)*ISNUMBER(INDEX(Inputs!$K$5:$AJ$130,0,MATCH(AA$2,Inputs!$K$4:$AJ$4,0))))+SUMPRODUCT((Inputs!$E$5:$E$130=$B56)*ISNUMBER(INDEX(Inputs!$K$5:$AJ$130,0,MATCH(AA$2,Inputs!$K$4:$AJ$4,0))))=0,NA(),SUMPRODUCT((Inputs!$A$5:$A$130=$B56)*Inputs!$B$5:$B$130*(((Inputs!$G$5:$G$130="moeda")+(Inputs!$G$5:$G$130="acoes"))*Inputs!$B$1+((Inputs!$G$5:$G$130&lt;&gt;"moeda")*(Inputs!$G$5:$G$130&lt;&gt;"acoes")))*INDEX(Inputs!$K$5:$AJ$130,0,MATCH(AA$2,Inputs!$K$4:$AJ$4,0)))+SUMPRODUCT((Inputs!$C$5:$C$130=$B56)*Inputs!$D$5:$D$130*(((Inputs!$G$5:$G$130="moeda")+(Inputs!$G$5:$G$130="acoes"))*Inputs!$B$1+((Inputs!$G$5:$G$130&lt;&gt;"moeda")*(Inputs!$G$5:$G$130&lt;&gt;"acoes")))*INDEX(Inputs!$K$5:$AJ$130,0,MATCH(AA$2,Inputs!$K$4:$AJ$4,0)))+SUMPRODUCT((Inputs!$E$5:$E$130=$B56)*Inputs!$F$5:$F$130*(((Inputs!$G$5:$G$130="moeda")+(Inputs!$G$5:$G$130="acoes"))*Inputs!$B$1+((Inputs!$G$5:$G$130&lt;&gt;"moeda")*(Inputs!$G$5:$G$130&lt;&gt;"acoes")))*INDEX(Inputs!$K$5:$AJ$130,0,MATCH(AA$2,Inputs!$K$4:$AJ$4,0)))))</f>
        <v>196</v>
      </c>
      <c r="AB56" s="264">
        <f>SUM(X56:AA56)</f>
        <v>1280</v>
      </c>
      <c r="AC56" s="263">
        <f>IF(ISNA(MATCH(AC$2,Inputs!$K$4:$AJ$4,0)),NA(),IF(SUMPRODUCT((Inputs!$A$5:$A$130=$B56)*ISNUMBER(INDEX(Inputs!$K$5:$AJ$130,0,MATCH(AC$2,Inputs!$K$4:$AJ$4,0))))+SUMPRODUCT((Inputs!$C$5:$C$130=$B56)*ISNUMBER(INDEX(Inputs!$K$5:$AJ$130,0,MATCH(AC$2,Inputs!$K$4:$AJ$4,0))))+SUMPRODUCT((Inputs!$E$5:$E$130=$B56)*ISNUMBER(INDEX(Inputs!$K$5:$AJ$130,0,MATCH(AC$2,Inputs!$K$4:$AJ$4,0))))=0,NA(),SUMPRODUCT((Inputs!$A$5:$A$130=$B56)*Inputs!$B$5:$B$130*(((Inputs!$G$5:$G$130="moeda")+(Inputs!$G$5:$G$130="acoes"))*Inputs!$B$1+((Inputs!$G$5:$G$130&lt;&gt;"moeda")*(Inputs!$G$5:$G$130&lt;&gt;"acoes")))*INDEX(Inputs!$K$5:$AJ$130,0,MATCH(AC$2,Inputs!$K$4:$AJ$4,0)))+SUMPRODUCT((Inputs!$C$5:$C$130=$B56)*Inputs!$D$5:$D$130*(((Inputs!$G$5:$G$130="moeda")+(Inputs!$G$5:$G$130="acoes"))*Inputs!$B$1+((Inputs!$G$5:$G$130&lt;&gt;"moeda")*(Inputs!$G$5:$G$130&lt;&gt;"acoes")))*INDEX(Inputs!$K$5:$AJ$130,0,MATCH(AC$2,Inputs!$K$4:$AJ$4,0)))+SUMPRODUCT((Inputs!$E$5:$E$130=$B56)*Inputs!$F$5:$F$130*(((Inputs!$G$5:$G$130="moeda")+(Inputs!$G$5:$G$130="acoes"))*Inputs!$B$1+((Inputs!$G$5:$G$130&lt;&gt;"moeda")*(Inputs!$G$5:$G$130&lt;&gt;"acoes")))*INDEX(Inputs!$K$5:$AJ$130,0,MATCH(AC$2,Inputs!$K$4:$AJ$4,0)))))</f>
        <v>719</v>
      </c>
      <c r="AD56" s="263">
        <f>IF(ISNA(MATCH(AD$2,Inputs!$K$4:$AJ$4,0)),NA(),IF(SUMPRODUCT((Inputs!$A$5:$A$130=$B56)*ISNUMBER(INDEX(Inputs!$K$5:$AJ$130,0,MATCH(AD$2,Inputs!$K$4:$AJ$4,0))))+SUMPRODUCT((Inputs!$C$5:$C$130=$B56)*ISNUMBER(INDEX(Inputs!$K$5:$AJ$130,0,MATCH(AD$2,Inputs!$K$4:$AJ$4,0))))+SUMPRODUCT((Inputs!$E$5:$E$130=$B56)*ISNUMBER(INDEX(Inputs!$K$5:$AJ$130,0,MATCH(AD$2,Inputs!$K$4:$AJ$4,0))))=0,NA(),SUMPRODUCT((Inputs!$A$5:$A$130=$B56)*Inputs!$B$5:$B$130*(((Inputs!$G$5:$G$130="moeda")+(Inputs!$G$5:$G$130="acoes"))*Inputs!$B$1+((Inputs!$G$5:$G$130&lt;&gt;"moeda")*(Inputs!$G$5:$G$130&lt;&gt;"acoes")))*INDEX(Inputs!$K$5:$AJ$130,0,MATCH(AD$2,Inputs!$K$4:$AJ$4,0)))+SUMPRODUCT((Inputs!$C$5:$C$130=$B56)*Inputs!$D$5:$D$130*(((Inputs!$G$5:$G$130="moeda")+(Inputs!$G$5:$G$130="acoes"))*Inputs!$B$1+((Inputs!$G$5:$G$130&lt;&gt;"moeda")*(Inputs!$G$5:$G$130&lt;&gt;"acoes")))*INDEX(Inputs!$K$5:$AJ$130,0,MATCH(AD$2,Inputs!$K$4:$AJ$4,0)))+SUMPRODUCT((Inputs!$E$5:$E$130=$B56)*Inputs!$F$5:$F$130*(((Inputs!$G$5:$G$130="moeda")+(Inputs!$G$5:$G$130="acoes"))*Inputs!$B$1+((Inputs!$G$5:$G$130&lt;&gt;"moeda")*(Inputs!$G$5:$G$130&lt;&gt;"acoes")))*INDEX(Inputs!$K$5:$AJ$130,0,MATCH(AD$2,Inputs!$K$4:$AJ$4,0)))))</f>
        <v>622</v>
      </c>
      <c r="AE56" s="263" t="e">
        <f>IF(ISNA(MATCH(AE$2,Inputs!$K$4:$AJ$4,0)),NA(),IF(SUMPRODUCT((Inputs!$A$5:$A$130=$B56)*ISNUMBER(INDEX(Inputs!$K$5:$AJ$130,0,MATCH(AE$2,Inputs!$K$4:$AJ$4,0))))+SUMPRODUCT((Inputs!$C$5:$C$130=$B56)*ISNUMBER(INDEX(Inputs!$K$5:$AJ$130,0,MATCH(AE$2,Inputs!$K$4:$AJ$4,0))))+SUMPRODUCT((Inputs!$E$5:$E$130=$B56)*ISNUMBER(INDEX(Inputs!$K$5:$AJ$130,0,MATCH(AE$2,Inputs!$K$4:$AJ$4,0))))=0,NA(),SUMPRODUCT((Inputs!$A$5:$A$130=$B56)*Inputs!$B$5:$B$130*(((Inputs!$G$5:$G$130="moeda")+(Inputs!$G$5:$G$130="acoes"))*Inputs!$B$1+((Inputs!$G$5:$G$130&lt;&gt;"moeda")*(Inputs!$G$5:$G$130&lt;&gt;"acoes")))*INDEX(Inputs!$K$5:$AJ$130,0,MATCH(AE$2,Inputs!$K$4:$AJ$4,0)))+SUMPRODUCT((Inputs!$C$5:$C$130=$B56)*Inputs!$D$5:$D$130*(((Inputs!$G$5:$G$130="moeda")+(Inputs!$G$5:$G$130="acoes"))*Inputs!$B$1+((Inputs!$G$5:$G$130&lt;&gt;"moeda")*(Inputs!$G$5:$G$130&lt;&gt;"acoes")))*INDEX(Inputs!$K$5:$AJ$130,0,MATCH(AE$2,Inputs!$K$4:$AJ$4,0)))+SUMPRODUCT((Inputs!$E$5:$E$130=$B56)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6" s="263" t="e">
        <f>IF(ISNA(MATCH(AF$2,Inputs!$K$4:$AJ$4,0)),NA(),IF(SUMPRODUCT((Inputs!$A$5:$A$130=$B56)*ISNUMBER(INDEX(Inputs!$K$5:$AJ$130,0,MATCH(AF$2,Inputs!$K$4:$AJ$4,0))))+SUMPRODUCT((Inputs!$C$5:$C$130=$B56)*ISNUMBER(INDEX(Inputs!$K$5:$AJ$130,0,MATCH(AF$2,Inputs!$K$4:$AJ$4,0))))+SUMPRODUCT((Inputs!$E$5:$E$130=$B56)*ISNUMBER(INDEX(Inputs!$K$5:$AJ$130,0,MATCH(AF$2,Inputs!$K$4:$AJ$4,0))))=0,NA(),SUMPRODUCT((Inputs!$A$5:$A$130=$B56)*Inputs!$B$5:$B$130*(((Inputs!$G$5:$G$130="moeda")+(Inputs!$G$5:$G$130="acoes"))*Inputs!$B$1+((Inputs!$G$5:$G$130&lt;&gt;"moeda")*(Inputs!$G$5:$G$130&lt;&gt;"acoes")))*INDEX(Inputs!$K$5:$AJ$130,0,MATCH(AF$2,Inputs!$K$4:$AJ$4,0)))+SUMPRODUCT((Inputs!$C$5:$C$130=$B56)*Inputs!$D$5:$D$130*(((Inputs!$G$5:$G$130="moeda")+(Inputs!$G$5:$G$130="acoes"))*Inputs!$B$1+((Inputs!$G$5:$G$130&lt;&gt;"moeda")*(Inputs!$G$5:$G$130&lt;&gt;"acoes")))*INDEX(Inputs!$K$5:$AJ$130,0,MATCH(AF$2,Inputs!$K$4:$AJ$4,0)))+SUMPRODUCT((Inputs!$E$5:$E$130=$B56)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$130=$B56)*ISNUMBER(INDEX(Inputs!$K$5:$AJ$130,0,MATCH(AH$2,Inputs!$K$4:$AJ$4,0))))+SUMPRODUCT((Inputs!$C$5:$C$130=$B56)*ISNUMBER(INDEX(Inputs!$K$5:$AJ$130,0,MATCH(AH$2,Inputs!$K$4:$AJ$4,0))))+SUMPRODUCT((Inputs!$E$5:$E$130=$B56)*ISNUMBER(INDEX(Inputs!$K$5:$AJ$130,0,MATCH(AH$2,Inputs!$K$4:$AJ$4,0))))=0,NA(),SUMPRODUCT((Inputs!$A$5:$A$130=$B56)*Inputs!$B$5:$B$130*(((Inputs!$G$5:$G$130="moeda")+(Inputs!$G$5:$G$130="acoes"))*Inputs!$B$1+((Inputs!$G$5:$G$130&lt;&gt;"moeda")*(Inputs!$G$5:$G$130&lt;&gt;"acoes")))*INDEX(Inputs!$K$5:$AJ$130,0,MATCH(AH$2,Inputs!$K$4:$AJ$4,0)))+SUMPRODUCT((Inputs!$C$5:$C$130=$B56)*Inputs!$D$5:$D$130*(((Inputs!$G$5:$G$130="moeda")+(Inputs!$G$5:$G$130="acoes"))*Inputs!$B$1+((Inputs!$G$5:$G$130&lt;&gt;"moeda")*(Inputs!$G$5:$G$130&lt;&gt;"acoes")))*INDEX(Inputs!$K$5:$AJ$130,0,MATCH(AH$2,Inputs!$K$4:$AJ$4,0)))+SUMPRODUCT((Inputs!$E$5:$E$130=$B56)*Inputs!$F$5:$F$130*(((Inputs!$G$5:$G$130="moeda")+(Inputs!$G$5:$G$130="acoes"))*Inputs!$B$1+((Inputs!$G$5:$G$130&lt;&gt;"moeda")*(Inputs!$G$5:$G$130&lt;&gt;"acoes")))*INDEX(Inputs!$K$5:$AJ$130,0,MATCH(AH$2,Inputs!$K$4:$AJ$4,0)))))</f>
        <v>226</v>
      </c>
      <c r="AI56" s="263">
        <f>IF(ISNA(MATCH(AI$2,Inputs!$K$4:$AJ$4,0)),NA(),IF(SUMPRODUCT((Inputs!$A$5:$A$130=$B56)*ISNUMBER(INDEX(Inputs!$K$5:$AJ$130,0,MATCH(AI$2,Inputs!$K$4:$AJ$4,0))))+SUMPRODUCT((Inputs!$C$5:$C$130=$B56)*ISNUMBER(INDEX(Inputs!$K$5:$AJ$130,0,MATCH(AI$2,Inputs!$K$4:$AJ$4,0))))+SUMPRODUCT((Inputs!$E$5:$E$130=$B56)*ISNUMBER(INDEX(Inputs!$K$5:$AJ$130,0,MATCH(AI$2,Inputs!$K$4:$AJ$4,0))))=0,NA(),SUMPRODUCT((Inputs!$A$5:$A$130=$B56)*Inputs!$B$5:$B$130*(((Inputs!$G$5:$G$130="moeda")+(Inputs!$G$5:$G$130="acoes"))*Inputs!$B$1+((Inputs!$G$5:$G$130&lt;&gt;"moeda")*(Inputs!$G$5:$G$130&lt;&gt;"acoes")))*INDEX(Inputs!$K$5:$AJ$130,0,MATCH(AI$2,Inputs!$K$4:$AJ$4,0)))+SUMPRODUCT((Inputs!$C$5:$C$130=$B56)*Inputs!$D$5:$D$130*(((Inputs!$G$5:$G$130="moeda")+(Inputs!$G$5:$G$130="acoes"))*Inputs!$B$1+((Inputs!$G$5:$G$130&lt;&gt;"moeda")*(Inputs!$G$5:$G$130&lt;&gt;"acoes")))*INDEX(Inputs!$K$5:$AJ$130,0,MATCH(AI$2,Inputs!$K$4:$AJ$4,0)))+SUMPRODUCT((Inputs!$E$5:$E$130=$B56)*Inputs!$F$5:$F$130*(((Inputs!$G$5:$G$130="moeda")+(Inputs!$G$5:$G$130="acoes"))*Inputs!$B$1+((Inputs!$G$5:$G$130&lt;&gt;"moeda")*(Inputs!$G$5:$G$130&lt;&gt;"acoes")))*INDEX(Inputs!$K$5:$AJ$130,0,MATCH(AI$2,Inputs!$K$4:$AJ$4,0)))))</f>
        <v>337</v>
      </c>
      <c r="AJ56" s="263">
        <f>IF(ISNA(MATCH(AJ$2,Inputs!$K$4:$AJ$4,0)),NA(),IF(SUMPRODUCT((Inputs!$A$5:$A$130=$B56)*ISNUMBER(INDEX(Inputs!$K$5:$AJ$130,0,MATCH(AJ$2,Inputs!$K$4:$AJ$4,0))))+SUMPRODUCT((Inputs!$C$5:$C$130=$B56)*ISNUMBER(INDEX(Inputs!$K$5:$AJ$130,0,MATCH(AJ$2,Inputs!$K$4:$AJ$4,0))))+SUMPRODUCT((Inputs!$E$5:$E$130=$B56)*ISNUMBER(INDEX(Inputs!$K$5:$AJ$130,0,MATCH(AJ$2,Inputs!$K$4:$AJ$4,0))))=0,NA(),SUMPRODUCT((Inputs!$A$5:$A$130=$B56)*Inputs!$B$5:$B$130*(((Inputs!$G$5:$G$130="moeda")+(Inputs!$G$5:$G$130="acoes"))*Inputs!$B$1+((Inputs!$G$5:$G$130&lt;&gt;"moeda")*(Inputs!$G$5:$G$130&lt;&gt;"acoes")))*INDEX(Inputs!$K$5:$AJ$130,0,MATCH(AJ$2,Inputs!$K$4:$AJ$4,0)))+SUMPRODUCT((Inputs!$C$5:$C$130=$B56)*Inputs!$D$5:$D$130*(((Inputs!$G$5:$G$130="moeda")+(Inputs!$G$5:$G$130="acoes"))*Inputs!$B$1+((Inputs!$G$5:$G$130&lt;&gt;"moeda")*(Inputs!$G$5:$G$130&lt;&gt;"acoes")))*INDEX(Inputs!$K$5:$AJ$130,0,MATCH(AJ$2,Inputs!$K$4:$AJ$4,0)))+SUMPRODUCT((Inputs!$E$5:$E$130=$B56)*Inputs!$F$5:$F$130*(((Inputs!$G$5:$G$130="moeda")+(Inputs!$G$5:$G$130="acoes"))*Inputs!$B$1+((Inputs!$G$5:$G$130&lt;&gt;"moeda")*(Inputs!$G$5:$G$130&lt;&gt;"acoes")))*INDEX(Inputs!$K$5:$AJ$130,0,MATCH(AJ$2,Inputs!$K$4:$AJ$4,0)))))</f>
        <v>282</v>
      </c>
      <c r="AK56" s="263">
        <f>IF(ISNA(MATCH(AK$2,Inputs!$K$4:$AJ$4,0)),NA(),IF(SUMPRODUCT((Inputs!$A$5:$A$130=$B56)*ISNUMBER(INDEX(Inputs!$K$5:$AJ$130,0,MATCH(AK$2,Inputs!$K$4:$AJ$4,0))))+SUMPRODUCT((Inputs!$C$5:$C$130=$B56)*ISNUMBER(INDEX(Inputs!$K$5:$AJ$130,0,MATCH(AK$2,Inputs!$K$4:$AJ$4,0))))+SUMPRODUCT((Inputs!$E$5:$E$130=$B56)*ISNUMBER(INDEX(Inputs!$K$5:$AJ$130,0,MATCH(AK$2,Inputs!$K$4:$AJ$4,0))))=0,NA(),SUMPRODUCT((Inputs!$A$5:$A$130=$B56)*Inputs!$B$5:$B$130*(((Inputs!$G$5:$G$130="moeda")+(Inputs!$G$5:$G$130="acoes"))*Inputs!$B$1+((Inputs!$G$5:$G$130&lt;&gt;"moeda")*(Inputs!$G$5:$G$130&lt;&gt;"acoes")))*INDEX(Inputs!$K$5:$AJ$130,0,MATCH(AK$2,Inputs!$K$4:$AJ$4,0)))+SUMPRODUCT((Inputs!$C$5:$C$130=$B56)*Inputs!$D$5:$D$130*(((Inputs!$G$5:$G$130="moeda")+(Inputs!$G$5:$G$130="acoes"))*Inputs!$B$1+((Inputs!$G$5:$G$130&lt;&gt;"moeda")*(Inputs!$G$5:$G$130&lt;&gt;"acoes")))*INDEX(Inputs!$K$5:$AJ$130,0,MATCH(AK$2,Inputs!$K$4:$AJ$4,0)))+SUMPRODUCT((Inputs!$E$5:$E$130=$B56)*Inputs!$F$5:$F$130*(((Inputs!$G$5:$G$130="moeda")+(Inputs!$G$5:$G$130="acoes"))*Inputs!$B$1+((Inputs!$G$5:$G$130&lt;&gt;"moeda")*(Inputs!$G$5:$G$130&lt;&gt;"acoes")))*INDEX(Inputs!$K$5:$AJ$130,0,MATCH(AK$2,Inputs!$K$4:$AJ$4,0)))))</f>
        <v>469</v>
      </c>
      <c r="AL56" s="264">
        <f>SUM(AH56:AK56)</f>
        <v>1314</v>
      </c>
    </row>
    <row r="57">
      <c r="B57" s="46" t="n">
        <v>49</v>
      </c>
      <c r="C57" s="29" t="inlineStr">
        <is>
          <t>Construction &amp; Forestry - receita (USD)</t>
        </is>
      </c>
      <c r="D57" s="263">
        <f>IF(ISNA(MATCH(D$2,Inputs!$K$4:$AJ$4,0)),NA(),IF(SUMPRODUCT((Inputs!$A$5:$A$130=$B57)*ISNUMBER(INDEX(Inputs!$K$5:$AJ$130,0,MATCH(D$2,Inputs!$K$4:$AJ$4,0))))+SUMPRODUCT((Inputs!$C$5:$C$130=$B57)*ISNUMBER(INDEX(Inputs!$K$5:$AJ$130,0,MATCH(D$2,Inputs!$K$4:$AJ$4,0))))+SUMPRODUCT((Inputs!$E$5:$E$130=$B57)*ISNUMBER(INDEX(Inputs!$K$5:$AJ$130,0,MATCH(D$2,Inputs!$K$4:$AJ$4,0))))=0,NA(),SUMPRODUCT((Inputs!$A$5:$A$130=$B57)*Inputs!$B$5:$B$130*(((Inputs!$G$5:$G$130="moeda")+(Inputs!$G$5:$G$130="acoes"))*Inputs!$B$1+((Inputs!$G$5:$G$130&lt;&gt;"moeda")*(Inputs!$G$5:$G$130&lt;&gt;"acoes")))*INDEX(Inputs!$K$5:$AJ$130,0,MATCH(D$2,Inputs!$K$4:$AJ$4,0)))+SUMPRODUCT((Inputs!$C$5:$C$130=$B57)*Inputs!$D$5:$D$130*(((Inputs!$G$5:$G$130="moeda")+(Inputs!$G$5:$G$130="acoes"))*Inputs!$B$1+((Inputs!$G$5:$G$130&lt;&gt;"moeda")*(Inputs!$G$5:$G$130&lt;&gt;"acoes")))*INDEX(Inputs!$K$5:$AJ$130,0,MATCH(D$2,Inputs!$K$4:$AJ$4,0)))+SUMPRODUCT((Inputs!$E$5:$E$130=$B57)*Inputs!$F$5:$F$130*(((Inputs!$G$5:$G$130="moeda")+(Inputs!$G$5:$G$130="acoes"))*Inputs!$B$1+((Inputs!$G$5:$G$130&lt;&gt;"moeda")*(Inputs!$G$5:$G$130&lt;&gt;"acoes")))*INDEX(Inputs!$K$5:$AJ$130,0,MATCH(D$2,Inputs!$K$4:$AJ$4,0)))))</f>
        <v>3137</v>
      </c>
      <c r="E57" s="263">
        <f>IF(ISNA(MATCH(E$2,Inputs!$K$4:$AJ$4,0)),NA(),IF(SUMPRODUCT((Inputs!$A$5:$A$130=$B57)*ISNUMBER(INDEX(Inputs!$K$5:$AJ$130,0,MATCH(E$2,Inputs!$K$4:$AJ$4,0))))+SUMPRODUCT((Inputs!$C$5:$C$130=$B57)*ISNUMBER(INDEX(Inputs!$K$5:$AJ$130,0,MATCH(E$2,Inputs!$K$4:$AJ$4,0))))+SUMPRODUCT((Inputs!$E$5:$E$130=$B57)*ISNUMBER(INDEX(Inputs!$K$5:$AJ$130,0,MATCH(E$2,Inputs!$K$4:$AJ$4,0))))=0,NA(),SUMPRODUCT((Inputs!$A$5:$A$130=$B57)*Inputs!$B$5:$B$130*(((Inputs!$G$5:$G$130="moeda")+(Inputs!$G$5:$G$130="acoes"))*Inputs!$B$1+((Inputs!$G$5:$G$130&lt;&gt;"moeda")*(Inputs!$G$5:$G$130&lt;&gt;"acoes")))*INDEX(Inputs!$K$5:$AJ$130,0,MATCH(E$2,Inputs!$K$4:$AJ$4,0)))+SUMPRODUCT((Inputs!$C$5:$C$130=$B57)*Inputs!$D$5:$D$130*(((Inputs!$G$5:$G$130="moeda")+(Inputs!$G$5:$G$130="acoes"))*Inputs!$B$1+((Inputs!$G$5:$G$130&lt;&gt;"moeda")*(Inputs!$G$5:$G$130&lt;&gt;"acoes")))*INDEX(Inputs!$K$5:$AJ$130,0,MATCH(E$2,Inputs!$K$4:$AJ$4,0)))+SUMPRODUCT((Inputs!$E$5:$E$130=$B57)*Inputs!$F$5:$F$130*(((Inputs!$G$5:$G$130="moeda")+(Inputs!$G$5:$G$130="acoes"))*Inputs!$B$1+((Inputs!$G$5:$G$130&lt;&gt;"moeda")*(Inputs!$G$5:$G$130&lt;&gt;"acoes")))*INDEX(Inputs!$K$5:$AJ$130,0,MATCH(E$2,Inputs!$K$4:$AJ$4,0)))))</f>
        <v>3075</v>
      </c>
      <c r="F57" s="263">
        <f>IF(ISNA(MATCH(F$2,Inputs!$K$4:$AJ$4,0)),NA(),IF(SUMPRODUCT((Inputs!$A$5:$A$130=$B57)*ISNUMBER(INDEX(Inputs!$K$5:$AJ$130,0,MATCH(F$2,Inputs!$K$4:$AJ$4,0))))+SUMPRODUCT((Inputs!$C$5:$C$130=$B57)*ISNUMBER(INDEX(Inputs!$K$5:$AJ$130,0,MATCH(F$2,Inputs!$K$4:$AJ$4,0))))+SUMPRODUCT((Inputs!$E$5:$E$130=$B57)*ISNUMBER(INDEX(Inputs!$K$5:$AJ$130,0,MATCH(F$2,Inputs!$K$4:$AJ$4,0))))=0,NA(),SUMPRODUCT((Inputs!$A$5:$A$130=$B57)*Inputs!$B$5:$B$130*(((Inputs!$G$5:$G$130="moeda")+(Inputs!$G$5:$G$130="acoes"))*Inputs!$B$1+((Inputs!$G$5:$G$130&lt;&gt;"moeda")*(Inputs!$G$5:$G$130&lt;&gt;"acoes")))*INDEX(Inputs!$K$5:$AJ$130,0,MATCH(F$2,Inputs!$K$4:$AJ$4,0)))+SUMPRODUCT((Inputs!$C$5:$C$130=$B57)*Inputs!$D$5:$D$130*(((Inputs!$G$5:$G$130="moeda")+(Inputs!$G$5:$G$130="acoes"))*Inputs!$B$1+((Inputs!$G$5:$G$130&lt;&gt;"moeda")*(Inputs!$G$5:$G$130&lt;&gt;"acoes")))*INDEX(Inputs!$K$5:$AJ$130,0,MATCH(F$2,Inputs!$K$4:$AJ$4,0)))+SUMPRODUCT((Inputs!$E$5:$E$130=$B57)*Inputs!$F$5:$F$130*(((Inputs!$G$5:$G$130="moeda")+(Inputs!$G$5:$G$130="acoes"))*Inputs!$B$1+((Inputs!$G$5:$G$130&lt;&gt;"moeda")*(Inputs!$G$5:$G$130&lt;&gt;"acoes")))*INDEX(Inputs!$K$5:$AJ$130,0,MATCH(F$2,Inputs!$K$4:$AJ$4,0)))))</f>
        <v>2871</v>
      </c>
      <c r="G57" s="263">
        <f>IF(ISNA(MATCH(G$2,Inputs!$K$4:$AJ$4,0)),NA(),IF(SUMPRODUCT((Inputs!$A$5:$A$130=$B57)*ISNUMBER(INDEX(Inputs!$K$5:$AJ$130,0,MATCH(G$2,Inputs!$K$4:$AJ$4,0))))+SUMPRODUCT((Inputs!$C$5:$C$130=$B57)*ISNUMBER(INDEX(Inputs!$K$5:$AJ$130,0,MATCH(G$2,Inputs!$K$4:$AJ$4,0))))+SUMPRODUCT((Inputs!$E$5:$E$130=$B57)*ISNUMBER(INDEX(Inputs!$K$5:$AJ$130,0,MATCH(G$2,Inputs!$K$4:$AJ$4,0))))=0,NA(),SUMPRODUCT((Inputs!$A$5:$A$130=$B57)*Inputs!$B$5:$B$130*(((Inputs!$G$5:$G$130="moeda")+(Inputs!$G$5:$G$130="acoes"))*Inputs!$B$1+((Inputs!$G$5:$G$130&lt;&gt;"moeda")*(Inputs!$G$5:$G$130&lt;&gt;"acoes")))*INDEX(Inputs!$K$5:$AJ$130,0,MATCH(G$2,Inputs!$K$4:$AJ$4,0)))+SUMPRODUCT((Inputs!$C$5:$C$130=$B57)*Inputs!$D$5:$D$130*(((Inputs!$G$5:$G$130="moeda")+(Inputs!$G$5:$G$130="acoes"))*Inputs!$B$1+((Inputs!$G$5:$G$130&lt;&gt;"moeda")*(Inputs!$G$5:$G$130&lt;&gt;"acoes")))*INDEX(Inputs!$K$5:$AJ$130,0,MATCH(G$2,Inputs!$K$4:$AJ$4,0)))+SUMPRODUCT((Inputs!$E$5:$E$130=$B57)*Inputs!$F$5:$F$130*(((Inputs!$G$5:$G$130="moeda")+(Inputs!$G$5:$G$130="acoes"))*Inputs!$B$1+((Inputs!$G$5:$G$130&lt;&gt;"moeda")*(Inputs!$G$5:$G$130&lt;&gt;"acoes")))*INDEX(Inputs!$K$5:$AJ$130,0,MATCH(G$2,Inputs!$K$4:$AJ$4,0)))))</f>
        <v>2592</v>
      </c>
      <c r="H57" s="264">
        <f>SUM(D57:G57)</f>
        <v>11675</v>
      </c>
      <c r="I57" s="263">
        <f>IF(ISNA(MATCH(I$2,Inputs!$K$4:$AJ$4,0)),NA(),IF(SUMPRODUCT((Inputs!$A$5:$A$130=$B57)*ISNUMBER(INDEX(Inputs!$K$5:$AJ$130,0,MATCH(I$2,Inputs!$K$4:$AJ$4,0))))+SUMPRODUCT((Inputs!$C$5:$C$130=$B57)*ISNUMBER(INDEX(Inputs!$K$5:$AJ$130,0,MATCH(I$2,Inputs!$K$4:$AJ$4,0))))+SUMPRODUCT((Inputs!$E$5:$E$130=$B57)*ISNUMBER(INDEX(Inputs!$K$5:$AJ$130,0,MATCH(I$2,Inputs!$K$4:$AJ$4,0))))=0,NA(),SUMPRODUCT((Inputs!$A$5:$A$130=$B57)*Inputs!$B$5:$B$130*(((Inputs!$G$5:$G$130="moeda")+(Inputs!$G$5:$G$130="acoes"))*Inputs!$B$1+((Inputs!$G$5:$G$130&lt;&gt;"moeda")*(Inputs!$G$5:$G$130&lt;&gt;"acoes")))*INDEX(Inputs!$K$5:$AJ$130,0,MATCH(I$2,Inputs!$K$4:$AJ$4,0)))+SUMPRODUCT((Inputs!$C$5:$C$130=$B57)*Inputs!$D$5:$D$130*(((Inputs!$G$5:$G$130="moeda")+(Inputs!$G$5:$G$130="acoes"))*Inputs!$B$1+((Inputs!$G$5:$G$130&lt;&gt;"moeda")*(Inputs!$G$5:$G$130&lt;&gt;"acoes")))*INDEX(Inputs!$K$5:$AJ$130,0,MATCH(I$2,Inputs!$K$4:$AJ$4,0)))+SUMPRODUCT((Inputs!$E$5:$E$130=$B57)*Inputs!$F$5:$F$130*(((Inputs!$G$5:$G$130="moeda")+(Inputs!$G$5:$G$130="acoes"))*Inputs!$B$1+((Inputs!$G$5:$G$130&lt;&gt;"moeda")*(Inputs!$G$5:$G$130&lt;&gt;"acoes")))*INDEX(Inputs!$K$5:$AJ$130,0,MATCH(I$2,Inputs!$K$4:$AJ$4,0)))))</f>
        <v>3724</v>
      </c>
      <c r="J57" s="263">
        <f>IF(ISNA(MATCH(J$2,Inputs!$K$4:$AJ$4,0)),NA(),IF(SUMPRODUCT((Inputs!$A$5:$A$130=$B57)*ISNUMBER(INDEX(Inputs!$K$5:$AJ$130,0,MATCH(J$2,Inputs!$K$4:$AJ$4,0))))+SUMPRODUCT((Inputs!$C$5:$C$130=$B57)*ISNUMBER(INDEX(Inputs!$K$5:$AJ$130,0,MATCH(J$2,Inputs!$K$4:$AJ$4,0))))+SUMPRODUCT((Inputs!$E$5:$E$130=$B57)*ISNUMBER(INDEX(Inputs!$K$5:$AJ$130,0,MATCH(J$2,Inputs!$K$4:$AJ$4,0))))=0,NA(),SUMPRODUCT((Inputs!$A$5:$A$130=$B57)*Inputs!$B$5:$B$130*(((Inputs!$G$5:$G$130="moeda")+(Inputs!$G$5:$G$130="acoes"))*Inputs!$B$1+((Inputs!$G$5:$G$130&lt;&gt;"moeda")*(Inputs!$G$5:$G$130&lt;&gt;"acoes")))*INDEX(Inputs!$K$5:$AJ$130,0,MATCH(J$2,Inputs!$K$4:$AJ$4,0)))+SUMPRODUCT((Inputs!$C$5:$C$130=$B57)*Inputs!$D$5:$D$130*(((Inputs!$G$5:$G$130="moeda")+(Inputs!$G$5:$G$130="acoes"))*Inputs!$B$1+((Inputs!$G$5:$G$130&lt;&gt;"moeda")*(Inputs!$G$5:$G$130&lt;&gt;"acoes")))*INDEX(Inputs!$K$5:$AJ$130,0,MATCH(J$2,Inputs!$K$4:$AJ$4,0)))+SUMPRODUCT((Inputs!$E$5:$E$130=$B57)*Inputs!$F$5:$F$130*(((Inputs!$G$5:$G$130="moeda")+(Inputs!$G$5:$G$130="acoes"))*Inputs!$B$1+((Inputs!$G$5:$G$130&lt;&gt;"moeda")*(Inputs!$G$5:$G$130&lt;&gt;"acoes")))*INDEX(Inputs!$K$5:$AJ$130,0,MATCH(J$2,Inputs!$K$4:$AJ$4,0)))))</f>
        <v>3323</v>
      </c>
      <c r="K57" s="263">
        <f>IF(ISNA(MATCH(K$2,Inputs!$K$4:$AJ$4,0)),NA(),IF(SUMPRODUCT((Inputs!$A$5:$A$130=$B57)*ISNUMBER(INDEX(Inputs!$K$5:$AJ$130,0,MATCH(K$2,Inputs!$K$4:$AJ$4,0))))+SUMPRODUCT((Inputs!$C$5:$C$130=$B57)*ISNUMBER(INDEX(Inputs!$K$5:$AJ$130,0,MATCH(K$2,Inputs!$K$4:$AJ$4,0))))+SUMPRODUCT((Inputs!$E$5:$E$130=$B57)*ISNUMBER(INDEX(Inputs!$K$5:$AJ$130,0,MATCH(K$2,Inputs!$K$4:$AJ$4,0))))=0,NA(),SUMPRODUCT((Inputs!$A$5:$A$130=$B57)*Inputs!$B$5:$B$130*(((Inputs!$G$5:$G$130="moeda")+(Inputs!$G$5:$G$130="acoes"))*Inputs!$B$1+((Inputs!$G$5:$G$130&lt;&gt;"moeda")*(Inputs!$G$5:$G$130&lt;&gt;"acoes")))*INDEX(Inputs!$K$5:$AJ$130,0,MATCH(K$2,Inputs!$K$4:$AJ$4,0)))+SUMPRODUCT((Inputs!$C$5:$C$130=$B57)*Inputs!$D$5:$D$130*(((Inputs!$G$5:$G$130="moeda")+(Inputs!$G$5:$G$130="acoes"))*Inputs!$B$1+((Inputs!$G$5:$G$130&lt;&gt;"moeda")*(Inputs!$G$5:$G$130&lt;&gt;"acoes")))*INDEX(Inputs!$K$5:$AJ$130,0,MATCH(K$2,Inputs!$K$4:$AJ$4,0)))+SUMPRODUCT((Inputs!$E$5:$E$130=$B57)*Inputs!$F$5:$F$130*(((Inputs!$G$5:$G$130="moeda")+(Inputs!$G$5:$G$130="acoes"))*Inputs!$B$1+((Inputs!$G$5:$G$130&lt;&gt;"moeda")*(Inputs!$G$5:$G$130&lt;&gt;"acoes")))*INDEX(Inputs!$K$5:$AJ$130,0,MATCH(K$2,Inputs!$K$4:$AJ$4,0)))))</f>
        <v>3426</v>
      </c>
      <c r="L57" s="263">
        <f>IF(ISNA(MATCH(L$2,Inputs!$K$4:$AJ$4,0)),NA(),IF(SUMPRODUCT((Inputs!$A$5:$A$130=$B57)*ISNUMBER(INDEX(Inputs!$K$5:$AJ$130,0,MATCH(L$2,Inputs!$K$4:$AJ$4,0))))+SUMPRODUCT((Inputs!$C$5:$C$130=$B57)*ISNUMBER(INDEX(Inputs!$K$5:$AJ$130,0,MATCH(L$2,Inputs!$K$4:$AJ$4,0))))+SUMPRODUCT((Inputs!$E$5:$E$130=$B57)*ISNUMBER(INDEX(Inputs!$K$5:$AJ$130,0,MATCH(L$2,Inputs!$K$4:$AJ$4,0))))=0,NA(),SUMPRODUCT((Inputs!$A$5:$A$130=$B57)*Inputs!$B$5:$B$130*(((Inputs!$G$5:$G$130="moeda")+(Inputs!$G$5:$G$130="acoes"))*Inputs!$B$1+((Inputs!$G$5:$G$130&lt;&gt;"moeda")*(Inputs!$G$5:$G$130&lt;&gt;"acoes")))*INDEX(Inputs!$K$5:$AJ$130,0,MATCH(L$2,Inputs!$K$4:$AJ$4,0)))+SUMPRODUCT((Inputs!$C$5:$C$130=$B57)*Inputs!$D$5:$D$130*(((Inputs!$G$5:$G$130="moeda")+(Inputs!$G$5:$G$130="acoes"))*Inputs!$B$1+((Inputs!$G$5:$G$130&lt;&gt;"moeda")*(Inputs!$G$5:$G$130&lt;&gt;"acoes")))*INDEX(Inputs!$K$5:$AJ$130,0,MATCH(L$2,Inputs!$K$4:$AJ$4,0)))+SUMPRODUCT((Inputs!$E$5:$E$130=$B57)*Inputs!$F$5:$F$130*(((Inputs!$G$5:$G$130="moeda")+(Inputs!$G$5:$G$130="acoes"))*Inputs!$B$1+((Inputs!$G$5:$G$130&lt;&gt;"moeda")*(Inputs!$G$5:$G$130&lt;&gt;"acoes")))*INDEX(Inputs!$K$5:$AJ$130,0,MATCH(L$2,Inputs!$K$4:$AJ$4,0)))))</f>
        <v>3255</v>
      </c>
      <c r="M57" s="264">
        <f>SUM(I57:L57)</f>
        <v>13728</v>
      </c>
      <c r="N57" s="263">
        <f>IF(ISNA(MATCH(N$2,Inputs!$K$4:$AJ$4,0)),NA(),IF(SUMPRODUCT((Inputs!$A$5:$A$130=$B57)*ISNUMBER(INDEX(Inputs!$K$5:$AJ$130,0,MATCH(N$2,Inputs!$K$4:$AJ$4,0))))+SUMPRODUCT((Inputs!$C$5:$C$130=$B57)*ISNUMBER(INDEX(Inputs!$K$5:$AJ$130,0,MATCH(N$2,Inputs!$K$4:$AJ$4,0))))+SUMPRODUCT((Inputs!$E$5:$E$130=$B57)*ISNUMBER(INDEX(Inputs!$K$5:$AJ$130,0,MATCH(N$2,Inputs!$K$4:$AJ$4,0))))=0,NA(),SUMPRODUCT((Inputs!$A$5:$A$130=$B57)*Inputs!$B$5:$B$130*(((Inputs!$G$5:$G$130="moeda")+(Inputs!$G$5:$G$130="acoes"))*Inputs!$B$1+((Inputs!$G$5:$G$130&lt;&gt;"moeda")*(Inputs!$G$5:$G$130&lt;&gt;"acoes")))*INDEX(Inputs!$K$5:$AJ$130,0,MATCH(N$2,Inputs!$K$4:$AJ$4,0)))+SUMPRODUCT((Inputs!$C$5:$C$130=$B57)*Inputs!$D$5:$D$130*(((Inputs!$G$5:$G$130="moeda")+(Inputs!$G$5:$G$130="acoes"))*Inputs!$B$1+((Inputs!$G$5:$G$130&lt;&gt;"moeda")*(Inputs!$G$5:$G$130&lt;&gt;"acoes")))*INDEX(Inputs!$K$5:$AJ$130,0,MATCH(N$2,Inputs!$K$4:$AJ$4,0)))+SUMPRODUCT((Inputs!$E$5:$E$130=$B57)*Inputs!$F$5:$F$130*(((Inputs!$G$5:$G$130="moeda")+(Inputs!$G$5:$G$130="acoes"))*Inputs!$B$1+((Inputs!$G$5:$G$130&lt;&gt;"moeda")*(Inputs!$G$5:$G$130&lt;&gt;"acoes")))*INDEX(Inputs!$K$5:$AJ$130,0,MATCH(N$2,Inputs!$K$4:$AJ$4,0)))))</f>
        <v>4168</v>
      </c>
      <c r="O57" s="263">
        <f>IF(ISNA(MATCH(O$2,Inputs!$K$4:$AJ$4,0)),NA(),IF(SUMPRODUCT((Inputs!$A$5:$A$130=$B57)*ISNUMBER(INDEX(Inputs!$K$5:$AJ$130,0,MATCH(O$2,Inputs!$K$4:$AJ$4,0))))+SUMPRODUCT((Inputs!$C$5:$C$130=$B57)*ISNUMBER(INDEX(Inputs!$K$5:$AJ$130,0,MATCH(O$2,Inputs!$K$4:$AJ$4,0))))+SUMPRODUCT((Inputs!$E$5:$E$130=$B57)*ISNUMBER(INDEX(Inputs!$K$5:$AJ$130,0,MATCH(O$2,Inputs!$K$4:$AJ$4,0))))=0,NA(),SUMPRODUCT((Inputs!$A$5:$A$130=$B57)*Inputs!$B$5:$B$130*(((Inputs!$G$5:$G$130="moeda")+(Inputs!$G$5:$G$130="acoes"))*Inputs!$B$1+((Inputs!$G$5:$G$130&lt;&gt;"moeda")*(Inputs!$G$5:$G$130&lt;&gt;"acoes")))*INDEX(Inputs!$K$5:$AJ$130,0,MATCH(O$2,Inputs!$K$4:$AJ$4,0)))+SUMPRODUCT((Inputs!$C$5:$C$130=$B57)*Inputs!$D$5:$D$130*(((Inputs!$G$5:$G$130="moeda")+(Inputs!$G$5:$G$130="acoes"))*Inputs!$B$1+((Inputs!$G$5:$G$130&lt;&gt;"moeda")*(Inputs!$G$5:$G$130&lt;&gt;"acoes")))*INDEX(Inputs!$K$5:$AJ$130,0,MATCH(O$2,Inputs!$K$4:$AJ$4,0)))+SUMPRODUCT((Inputs!$E$5:$E$130=$B57)*Inputs!$F$5:$F$130*(((Inputs!$G$5:$G$130="moeda")+(Inputs!$G$5:$G$130="acoes"))*Inputs!$B$1+((Inputs!$G$5:$G$130&lt;&gt;"moeda")*(Inputs!$G$5:$G$130&lt;&gt;"acoes")))*INDEX(Inputs!$K$5:$AJ$130,0,MATCH(O$2,Inputs!$K$4:$AJ$4,0)))))</f>
        <v>3795</v>
      </c>
      <c r="P57" s="263">
        <f>IF(ISNA(MATCH(P$2,Inputs!$K$4:$AJ$4,0)),NA(),IF(SUMPRODUCT((Inputs!$A$5:$A$130=$B57)*ISNUMBER(INDEX(Inputs!$K$5:$AJ$130,0,MATCH(P$2,Inputs!$K$4:$AJ$4,0))))+SUMPRODUCT((Inputs!$C$5:$C$130=$B57)*ISNUMBER(INDEX(Inputs!$K$5:$AJ$130,0,MATCH(P$2,Inputs!$K$4:$AJ$4,0))))+SUMPRODUCT((Inputs!$E$5:$E$130=$B57)*ISNUMBER(INDEX(Inputs!$K$5:$AJ$130,0,MATCH(P$2,Inputs!$K$4:$AJ$4,0))))=0,NA(),SUMPRODUCT((Inputs!$A$5:$A$130=$B57)*Inputs!$B$5:$B$130*(((Inputs!$G$5:$G$130="moeda")+(Inputs!$G$5:$G$130="acoes"))*Inputs!$B$1+((Inputs!$G$5:$G$130&lt;&gt;"moeda")*(Inputs!$G$5:$G$130&lt;&gt;"acoes")))*INDEX(Inputs!$K$5:$AJ$130,0,MATCH(P$2,Inputs!$K$4:$AJ$4,0)))+SUMPRODUCT((Inputs!$C$5:$C$130=$B57)*Inputs!$D$5:$D$130*(((Inputs!$G$5:$G$130="moeda")+(Inputs!$G$5:$G$130="acoes"))*Inputs!$B$1+((Inputs!$G$5:$G$130&lt;&gt;"moeda")*(Inputs!$G$5:$G$130&lt;&gt;"acoes")))*INDEX(Inputs!$K$5:$AJ$130,0,MATCH(P$2,Inputs!$K$4:$AJ$4,0)))+SUMPRODUCT((Inputs!$E$5:$E$130=$B57)*Inputs!$F$5:$F$130*(((Inputs!$G$5:$G$130="moeda")+(Inputs!$G$5:$G$130="acoes"))*Inputs!$B$1+((Inputs!$G$5:$G$130&lt;&gt;"moeda")*(Inputs!$G$5:$G$130&lt;&gt;"acoes")))*INDEX(Inputs!$K$5:$AJ$130,0,MATCH(P$2,Inputs!$K$4:$AJ$4,0)))))</f>
        <v>3768</v>
      </c>
      <c r="Q57" s="263">
        <f>IF(ISNA(MATCH(Q$2,Inputs!$K$4:$AJ$4,0)),NA(),IF(SUMPRODUCT((Inputs!$A$5:$A$130=$B57)*ISNUMBER(INDEX(Inputs!$K$5:$AJ$130,0,MATCH(Q$2,Inputs!$K$4:$AJ$4,0))))+SUMPRODUCT((Inputs!$C$5:$C$130=$B57)*ISNUMBER(INDEX(Inputs!$K$5:$AJ$130,0,MATCH(Q$2,Inputs!$K$4:$AJ$4,0))))+SUMPRODUCT((Inputs!$E$5:$E$130=$B57)*ISNUMBER(INDEX(Inputs!$K$5:$AJ$130,0,MATCH(Q$2,Inputs!$K$4:$AJ$4,0))))=0,NA(),SUMPRODUCT((Inputs!$A$5:$A$130=$B57)*Inputs!$B$5:$B$130*(((Inputs!$G$5:$G$130="moeda")+(Inputs!$G$5:$G$130="acoes"))*Inputs!$B$1+((Inputs!$G$5:$G$130&lt;&gt;"moeda")*(Inputs!$G$5:$G$130&lt;&gt;"acoes")))*INDEX(Inputs!$K$5:$AJ$130,0,MATCH(Q$2,Inputs!$K$4:$AJ$4,0)))+SUMPRODUCT((Inputs!$C$5:$C$130=$B57)*Inputs!$D$5:$D$130*(((Inputs!$G$5:$G$130="moeda")+(Inputs!$G$5:$G$130="acoes"))*Inputs!$B$1+((Inputs!$G$5:$G$130&lt;&gt;"moeda")*(Inputs!$G$5:$G$130&lt;&gt;"acoes")))*INDEX(Inputs!$K$5:$AJ$130,0,MATCH(Q$2,Inputs!$K$4:$AJ$4,0)))+SUMPRODUCT((Inputs!$E$5:$E$130=$B57)*Inputs!$F$5:$F$130*(((Inputs!$G$5:$G$130="moeda")+(Inputs!$G$5:$G$130="acoes"))*Inputs!$B$1+((Inputs!$G$5:$G$130&lt;&gt;"moeda")*(Inputs!$G$5:$G$130&lt;&gt;"acoes")))*INDEX(Inputs!$K$5:$AJ$130,0,MATCH(Q$2,Inputs!$K$4:$AJ$4,0)))))</f>
        <v>3274</v>
      </c>
      <c r="R57" s="264">
        <f>SUM(N57:Q57)</f>
        <v>15005</v>
      </c>
      <c r="S57" s="263">
        <f>IF(ISNA(MATCH(S$2,Inputs!$K$4:$AJ$4,0)),NA(),IF(SUMPRODUCT((Inputs!$A$5:$A$130=$B57)*ISNUMBER(INDEX(Inputs!$K$5:$AJ$130,0,MATCH(S$2,Inputs!$K$4:$AJ$4,0))))+SUMPRODUCT((Inputs!$C$5:$C$130=$B57)*ISNUMBER(INDEX(Inputs!$K$5:$AJ$130,0,MATCH(S$2,Inputs!$K$4:$AJ$4,0))))+SUMPRODUCT((Inputs!$E$5:$E$130=$B57)*ISNUMBER(INDEX(Inputs!$K$5:$AJ$130,0,MATCH(S$2,Inputs!$K$4:$AJ$4,0))))=0,NA(),SUMPRODUCT((Inputs!$A$5:$A$130=$B57)*Inputs!$B$5:$B$130*(((Inputs!$G$5:$G$130="moeda")+(Inputs!$G$5:$G$130="acoes"))*Inputs!$B$1+((Inputs!$G$5:$G$130&lt;&gt;"moeda")*(Inputs!$G$5:$G$130&lt;&gt;"acoes")))*INDEX(Inputs!$K$5:$AJ$130,0,MATCH(S$2,Inputs!$K$4:$AJ$4,0)))+SUMPRODUCT((Inputs!$C$5:$C$130=$B57)*Inputs!$D$5:$D$130*(((Inputs!$G$5:$G$130="moeda")+(Inputs!$G$5:$G$130="acoes"))*Inputs!$B$1+((Inputs!$G$5:$G$130&lt;&gt;"moeda")*(Inputs!$G$5:$G$130&lt;&gt;"acoes")))*INDEX(Inputs!$K$5:$AJ$130,0,MATCH(S$2,Inputs!$K$4:$AJ$4,0)))+SUMPRODUCT((Inputs!$E$5:$E$130=$B57)*Inputs!$F$5:$F$130*(((Inputs!$G$5:$G$130="moeda")+(Inputs!$G$5:$G$130="acoes"))*Inputs!$B$1+((Inputs!$G$5:$G$130&lt;&gt;"moeda")*(Inputs!$G$5:$G$130&lt;&gt;"acoes")))*INDEX(Inputs!$K$5:$AJ$130,0,MATCH(S$2,Inputs!$K$4:$AJ$4,0)))))</f>
        <v>3908</v>
      </c>
      <c r="T57" s="263">
        <f>IF(ISNA(MATCH(T$2,Inputs!$K$4:$AJ$4,0)),NA(),IF(SUMPRODUCT((Inputs!$A$5:$A$130=$B57)*ISNUMBER(INDEX(Inputs!$K$5:$AJ$130,0,MATCH(T$2,Inputs!$K$4:$AJ$4,0))))+SUMPRODUCT((Inputs!$C$5:$C$130=$B57)*ISNUMBER(INDEX(Inputs!$K$5:$AJ$130,0,MATCH(T$2,Inputs!$K$4:$AJ$4,0))))+SUMPRODUCT((Inputs!$E$5:$E$130=$B57)*ISNUMBER(INDEX(Inputs!$K$5:$AJ$130,0,MATCH(T$2,Inputs!$K$4:$AJ$4,0))))=0,NA(),SUMPRODUCT((Inputs!$A$5:$A$130=$B57)*Inputs!$B$5:$B$130*(((Inputs!$G$5:$G$130="moeda")+(Inputs!$G$5:$G$130="acoes"))*Inputs!$B$1+((Inputs!$G$5:$G$130&lt;&gt;"moeda")*(Inputs!$G$5:$G$130&lt;&gt;"acoes")))*INDEX(Inputs!$K$5:$AJ$130,0,MATCH(T$2,Inputs!$K$4:$AJ$4,0)))+SUMPRODUCT((Inputs!$C$5:$C$130=$B57)*Inputs!$D$5:$D$130*(((Inputs!$G$5:$G$130="moeda")+(Inputs!$G$5:$G$130="acoes"))*Inputs!$B$1+((Inputs!$G$5:$G$130&lt;&gt;"moeda")*(Inputs!$G$5:$G$130&lt;&gt;"acoes")))*INDEX(Inputs!$K$5:$AJ$130,0,MATCH(T$2,Inputs!$K$4:$AJ$4,0)))+SUMPRODUCT((Inputs!$E$5:$E$130=$B57)*Inputs!$F$5:$F$130*(((Inputs!$G$5:$G$130="moeda")+(Inputs!$G$5:$G$130="acoes"))*Inputs!$B$1+((Inputs!$G$5:$G$130&lt;&gt;"moeda")*(Inputs!$G$5:$G$130&lt;&gt;"acoes")))*INDEX(Inputs!$K$5:$AJ$130,0,MATCH(T$2,Inputs!$K$4:$AJ$4,0)))))</f>
        <v>3293</v>
      </c>
      <c r="U57" s="263">
        <f>IF(ISNA(MATCH(U$2,Inputs!$K$4:$AJ$4,0)),NA(),IF(SUMPRODUCT((Inputs!$A$5:$A$130=$B57)*ISNUMBER(INDEX(Inputs!$K$5:$AJ$130,0,MATCH(U$2,Inputs!$K$4:$AJ$4,0))))+SUMPRODUCT((Inputs!$C$5:$C$130=$B57)*ISNUMBER(INDEX(Inputs!$K$5:$AJ$130,0,MATCH(U$2,Inputs!$K$4:$AJ$4,0))))+SUMPRODUCT((Inputs!$E$5:$E$130=$B57)*ISNUMBER(INDEX(Inputs!$K$5:$AJ$130,0,MATCH(U$2,Inputs!$K$4:$AJ$4,0))))=0,NA(),SUMPRODUCT((Inputs!$A$5:$A$130=$B57)*Inputs!$B$5:$B$130*(((Inputs!$G$5:$G$130="moeda")+(Inputs!$G$5:$G$130="acoes"))*Inputs!$B$1+((Inputs!$G$5:$G$130&lt;&gt;"moeda")*(Inputs!$G$5:$G$130&lt;&gt;"acoes")))*INDEX(Inputs!$K$5:$AJ$130,0,MATCH(U$2,Inputs!$K$4:$AJ$4,0)))+SUMPRODUCT((Inputs!$C$5:$C$130=$B57)*Inputs!$D$5:$D$130*(((Inputs!$G$5:$G$130="moeda")+(Inputs!$G$5:$G$130="acoes"))*Inputs!$B$1+((Inputs!$G$5:$G$130&lt;&gt;"moeda")*(Inputs!$G$5:$G$130&lt;&gt;"acoes")))*INDEX(Inputs!$K$5:$AJ$130,0,MATCH(U$2,Inputs!$K$4:$AJ$4,0)))+SUMPRODUCT((Inputs!$E$5:$E$130=$B57)*Inputs!$F$5:$F$130*(((Inputs!$G$5:$G$130="moeda")+(Inputs!$G$5:$G$130="acoes"))*Inputs!$B$1+((Inputs!$G$5:$G$130&lt;&gt;"moeda")*(Inputs!$G$5:$G$130&lt;&gt;"acoes")))*INDEX(Inputs!$K$5:$AJ$130,0,MATCH(U$2,Inputs!$K$4:$AJ$4,0)))))</f>
        <v>2730</v>
      </c>
      <c r="V57" s="263">
        <f>IF(ISNA(MATCH(V$2,Inputs!$K$4:$AJ$4,0)),NA(),IF(SUMPRODUCT((Inputs!$A$5:$A$130=$B57)*ISNUMBER(INDEX(Inputs!$K$5:$AJ$130,0,MATCH(V$2,Inputs!$K$4:$AJ$4,0))))+SUMPRODUCT((Inputs!$C$5:$C$130=$B57)*ISNUMBER(INDEX(Inputs!$K$5:$AJ$130,0,MATCH(V$2,Inputs!$K$4:$AJ$4,0))))+SUMPRODUCT((Inputs!$E$5:$E$130=$B57)*ISNUMBER(INDEX(Inputs!$K$5:$AJ$130,0,MATCH(V$2,Inputs!$K$4:$AJ$4,0))))=0,NA(),SUMPRODUCT((Inputs!$A$5:$A$130=$B57)*Inputs!$B$5:$B$130*(((Inputs!$G$5:$G$130="moeda")+(Inputs!$G$5:$G$130="acoes"))*Inputs!$B$1+((Inputs!$G$5:$G$130&lt;&gt;"moeda")*(Inputs!$G$5:$G$130&lt;&gt;"acoes")))*INDEX(Inputs!$K$5:$AJ$130,0,MATCH(V$2,Inputs!$K$4:$AJ$4,0)))+SUMPRODUCT((Inputs!$C$5:$C$130=$B57)*Inputs!$D$5:$D$130*(((Inputs!$G$5:$G$130="moeda")+(Inputs!$G$5:$G$130="acoes"))*Inputs!$B$1+((Inputs!$G$5:$G$130&lt;&gt;"moeda")*(Inputs!$G$5:$G$130&lt;&gt;"acoes")))*INDEX(Inputs!$K$5:$AJ$130,0,MATCH(V$2,Inputs!$K$4:$AJ$4,0)))+SUMPRODUCT((Inputs!$E$5:$E$130=$B57)*Inputs!$F$5:$F$130*(((Inputs!$G$5:$G$130="moeda")+(Inputs!$G$5:$G$130="acoes"))*Inputs!$B$1+((Inputs!$G$5:$G$130&lt;&gt;"moeda")*(Inputs!$G$5:$G$130&lt;&gt;"acoes")))*INDEX(Inputs!$K$5:$AJ$130,0,MATCH(V$2,Inputs!$K$4:$AJ$4,0)))))</f>
        <v>2043</v>
      </c>
      <c r="W57" s="264">
        <f>SUM(S57:V57)</f>
        <v>11974</v>
      </c>
      <c r="X57" s="263">
        <f>IF(ISNA(MATCH(X$2,Inputs!$K$4:$AJ$4,0)),NA(),IF(SUMPRODUCT((Inputs!$A$5:$A$130=$B57)*ISNUMBER(INDEX(Inputs!$K$5:$AJ$130,0,MATCH(X$2,Inputs!$K$4:$AJ$4,0))))+SUMPRODUCT((Inputs!$C$5:$C$130=$B57)*ISNUMBER(INDEX(Inputs!$K$5:$AJ$130,0,MATCH(X$2,Inputs!$K$4:$AJ$4,0))))+SUMPRODUCT((Inputs!$E$5:$E$130=$B57)*ISNUMBER(INDEX(Inputs!$K$5:$AJ$130,0,MATCH(X$2,Inputs!$K$4:$AJ$4,0))))=0,NA(),SUMPRODUCT((Inputs!$A$5:$A$130=$B57)*Inputs!$B$5:$B$130*(((Inputs!$G$5:$G$130="moeda")+(Inputs!$G$5:$G$130="acoes"))*Inputs!$B$1+((Inputs!$G$5:$G$130&lt;&gt;"moeda")*(Inputs!$G$5:$G$130&lt;&gt;"acoes")))*INDEX(Inputs!$K$5:$AJ$130,0,MATCH(X$2,Inputs!$K$4:$AJ$4,0)))+SUMPRODUCT((Inputs!$C$5:$C$130=$B57)*Inputs!$D$5:$D$130*(((Inputs!$G$5:$G$130="moeda")+(Inputs!$G$5:$G$130="acoes"))*Inputs!$B$1+((Inputs!$G$5:$G$130&lt;&gt;"moeda")*(Inputs!$G$5:$G$130&lt;&gt;"acoes")))*INDEX(Inputs!$K$5:$AJ$130,0,MATCH(X$2,Inputs!$K$4:$AJ$4,0)))+SUMPRODUCT((Inputs!$E$5:$E$130=$B57)*Inputs!$F$5:$F$130*(((Inputs!$G$5:$G$130="moeda")+(Inputs!$G$5:$G$130="acoes"))*Inputs!$B$1+((Inputs!$G$5:$G$130&lt;&gt;"moeda")*(Inputs!$G$5:$G$130&lt;&gt;"acoes")))*INDEX(Inputs!$K$5:$AJ$130,0,MATCH(X$2,Inputs!$K$4:$AJ$4,0)))))</f>
        <v>2996</v>
      </c>
      <c r="Y57" s="263">
        <f>IF(ISNA(MATCH(Y$2,Inputs!$K$4:$AJ$4,0)),NA(),IF(SUMPRODUCT((Inputs!$A$5:$A$130=$B57)*ISNUMBER(INDEX(Inputs!$K$5:$AJ$130,0,MATCH(Y$2,Inputs!$K$4:$AJ$4,0))))+SUMPRODUCT((Inputs!$C$5:$C$130=$B57)*ISNUMBER(INDEX(Inputs!$K$5:$AJ$130,0,MATCH(Y$2,Inputs!$K$4:$AJ$4,0))))+SUMPRODUCT((Inputs!$E$5:$E$130=$B57)*ISNUMBER(INDEX(Inputs!$K$5:$AJ$130,0,MATCH(Y$2,Inputs!$K$4:$AJ$4,0))))=0,NA(),SUMPRODUCT((Inputs!$A$5:$A$130=$B57)*Inputs!$B$5:$B$130*(((Inputs!$G$5:$G$130="moeda")+(Inputs!$G$5:$G$130="acoes"))*Inputs!$B$1+((Inputs!$G$5:$G$130&lt;&gt;"moeda")*(Inputs!$G$5:$G$130&lt;&gt;"acoes")))*INDEX(Inputs!$K$5:$AJ$130,0,MATCH(Y$2,Inputs!$K$4:$AJ$4,0)))+SUMPRODUCT((Inputs!$C$5:$C$130=$B57)*Inputs!$D$5:$D$130*(((Inputs!$G$5:$G$130="moeda")+(Inputs!$G$5:$G$130="acoes"))*Inputs!$B$1+((Inputs!$G$5:$G$130&lt;&gt;"moeda")*(Inputs!$G$5:$G$130&lt;&gt;"acoes")))*INDEX(Inputs!$K$5:$AJ$130,0,MATCH(Y$2,Inputs!$K$4:$AJ$4,0)))+SUMPRODUCT((Inputs!$E$5:$E$130=$B57)*Inputs!$F$5:$F$130*(((Inputs!$G$5:$G$130="moeda")+(Inputs!$G$5:$G$130="acoes"))*Inputs!$B$1+((Inputs!$G$5:$G$130&lt;&gt;"moeda")*(Inputs!$G$5:$G$130&lt;&gt;"acoes")))*INDEX(Inputs!$K$5:$AJ$130,0,MATCH(Y$2,Inputs!$K$4:$AJ$4,0)))))</f>
        <v>3112</v>
      </c>
      <c r="Z57" s="263">
        <f>IF(ISNA(MATCH(Z$2,Inputs!$K$4:$AJ$4,0)),NA(),IF(SUMPRODUCT((Inputs!$A$5:$A$130=$B57)*ISNUMBER(INDEX(Inputs!$K$5:$AJ$130,0,MATCH(Z$2,Inputs!$K$4:$AJ$4,0))))+SUMPRODUCT((Inputs!$C$5:$C$130=$B57)*ISNUMBER(INDEX(Inputs!$K$5:$AJ$130,0,MATCH(Z$2,Inputs!$K$4:$AJ$4,0))))+SUMPRODUCT((Inputs!$E$5:$E$130=$B57)*ISNUMBER(INDEX(Inputs!$K$5:$AJ$130,0,MATCH(Z$2,Inputs!$K$4:$AJ$4,0))))=0,NA(),SUMPRODUCT((Inputs!$A$5:$A$130=$B57)*Inputs!$B$5:$B$130*(((Inputs!$G$5:$G$130="moeda")+(Inputs!$G$5:$G$130="acoes"))*Inputs!$B$1+((Inputs!$G$5:$G$130&lt;&gt;"moeda")*(Inputs!$G$5:$G$130&lt;&gt;"acoes")))*INDEX(Inputs!$K$5:$AJ$130,0,MATCH(Z$2,Inputs!$K$4:$AJ$4,0)))+SUMPRODUCT((Inputs!$C$5:$C$130=$B57)*Inputs!$D$5:$D$130*(((Inputs!$G$5:$G$130="moeda")+(Inputs!$G$5:$G$130="acoes"))*Inputs!$B$1+((Inputs!$G$5:$G$130&lt;&gt;"moeda")*(Inputs!$G$5:$G$130&lt;&gt;"acoes")))*INDEX(Inputs!$K$5:$AJ$130,0,MATCH(Z$2,Inputs!$K$4:$AJ$4,0)))+SUMPRODUCT((Inputs!$E$5:$E$130=$B57)*Inputs!$F$5:$F$130*(((Inputs!$G$5:$G$130="moeda")+(Inputs!$G$5:$G$130="acoes"))*Inputs!$B$1+((Inputs!$G$5:$G$130&lt;&gt;"moeda")*(Inputs!$G$5:$G$130&lt;&gt;"acoes")))*INDEX(Inputs!$K$5:$AJ$130,0,MATCH(Z$2,Inputs!$K$4:$AJ$4,0)))))</f>
        <v>3492</v>
      </c>
      <c r="AA57" s="263">
        <f>IF(ISNA(MATCH(AA$2,Inputs!$K$4:$AJ$4,0)),NA(),IF(SUMPRODUCT((Inputs!$A$5:$A$130=$B57)*ISNUMBER(INDEX(Inputs!$K$5:$AJ$130,0,MATCH(AA$2,Inputs!$K$4:$AJ$4,0))))+SUMPRODUCT((Inputs!$C$5:$C$130=$B57)*ISNUMBER(INDEX(Inputs!$K$5:$AJ$130,0,MATCH(AA$2,Inputs!$K$4:$AJ$4,0))))+SUMPRODUCT((Inputs!$E$5:$E$130=$B57)*ISNUMBER(INDEX(Inputs!$K$5:$AJ$130,0,MATCH(AA$2,Inputs!$K$4:$AJ$4,0))))=0,NA(),SUMPRODUCT((Inputs!$A$5:$A$130=$B57)*Inputs!$B$5:$B$130*(((Inputs!$G$5:$G$130="moeda")+(Inputs!$G$5:$G$130="acoes"))*Inputs!$B$1+((Inputs!$G$5:$G$130&lt;&gt;"moeda")*(Inputs!$G$5:$G$130&lt;&gt;"acoes")))*INDEX(Inputs!$K$5:$AJ$130,0,MATCH(AA$2,Inputs!$K$4:$AJ$4,0)))+SUMPRODUCT((Inputs!$C$5:$C$130=$B57)*Inputs!$D$5:$D$130*(((Inputs!$G$5:$G$130="moeda")+(Inputs!$G$5:$G$130="acoes"))*Inputs!$B$1+((Inputs!$G$5:$G$130&lt;&gt;"moeda")*(Inputs!$G$5:$G$130&lt;&gt;"acoes")))*INDEX(Inputs!$K$5:$AJ$130,0,MATCH(AA$2,Inputs!$K$4:$AJ$4,0)))+SUMPRODUCT((Inputs!$E$5:$E$130=$B57)*Inputs!$F$5:$F$130*(((Inputs!$G$5:$G$130="moeda")+(Inputs!$G$5:$G$130="acoes"))*Inputs!$B$1+((Inputs!$G$5:$G$130&lt;&gt;"moeda")*(Inputs!$G$5:$G$130&lt;&gt;"acoes")))*INDEX(Inputs!$K$5:$AJ$130,0,MATCH(AA$2,Inputs!$K$4:$AJ$4,0)))))</f>
        <v>2731</v>
      </c>
      <c r="AB57" s="264">
        <f>SUM(X57:AA57)</f>
        <v>12331</v>
      </c>
      <c r="AC57" s="263">
        <f>IF(ISNA(MATCH(AC$2,Inputs!$K$4:$AJ$4,0)),NA(),IF(SUMPRODUCT((Inputs!$A$5:$A$130=$B57)*ISNUMBER(INDEX(Inputs!$K$5:$AJ$130,0,MATCH(AC$2,Inputs!$K$4:$AJ$4,0))))+SUMPRODUCT((Inputs!$C$5:$C$130=$B57)*ISNUMBER(INDEX(Inputs!$K$5:$AJ$130,0,MATCH(AC$2,Inputs!$K$4:$AJ$4,0))))+SUMPRODUCT((Inputs!$E$5:$E$130=$B57)*ISNUMBER(INDEX(Inputs!$K$5:$AJ$130,0,MATCH(AC$2,Inputs!$K$4:$AJ$4,0))))=0,NA(),SUMPRODUCT((Inputs!$A$5:$A$130=$B57)*Inputs!$B$5:$B$130*(((Inputs!$G$5:$G$130="moeda")+(Inputs!$G$5:$G$130="acoes"))*Inputs!$B$1+((Inputs!$G$5:$G$130&lt;&gt;"moeda")*(Inputs!$G$5:$G$130&lt;&gt;"acoes")))*INDEX(Inputs!$K$5:$AJ$130,0,MATCH(AC$2,Inputs!$K$4:$AJ$4,0)))+SUMPRODUCT((Inputs!$C$5:$C$130=$B57)*Inputs!$D$5:$D$130*(((Inputs!$G$5:$G$130="moeda")+(Inputs!$G$5:$G$130="acoes"))*Inputs!$B$1+((Inputs!$G$5:$G$130&lt;&gt;"moeda")*(Inputs!$G$5:$G$130&lt;&gt;"acoes")))*INDEX(Inputs!$K$5:$AJ$130,0,MATCH(AC$2,Inputs!$K$4:$AJ$4,0)))+SUMPRODUCT((Inputs!$E$5:$E$130=$B57)*Inputs!$F$5:$F$130*(((Inputs!$G$5:$G$130="moeda")+(Inputs!$G$5:$G$130="acoes"))*Inputs!$B$1+((Inputs!$G$5:$G$130&lt;&gt;"moeda")*(Inputs!$G$5:$G$130&lt;&gt;"acoes")))*INDEX(Inputs!$K$5:$AJ$130,0,MATCH(AC$2,Inputs!$K$4:$AJ$4,0)))))</f>
        <v>3854</v>
      </c>
      <c r="AD57" s="263">
        <f>IF(ISNA(MATCH(AD$2,Inputs!$K$4:$AJ$4,0)),NA(),IF(SUMPRODUCT((Inputs!$A$5:$A$130=$B57)*ISNUMBER(INDEX(Inputs!$K$5:$AJ$130,0,MATCH(AD$2,Inputs!$K$4:$AJ$4,0))))+SUMPRODUCT((Inputs!$C$5:$C$130=$B57)*ISNUMBER(INDEX(Inputs!$K$5:$AJ$130,0,MATCH(AD$2,Inputs!$K$4:$AJ$4,0))))+SUMPRODUCT((Inputs!$E$5:$E$130=$B57)*ISNUMBER(INDEX(Inputs!$K$5:$AJ$130,0,MATCH(AD$2,Inputs!$K$4:$AJ$4,0))))=0,NA(),SUMPRODUCT((Inputs!$A$5:$A$130=$B57)*Inputs!$B$5:$B$130*(((Inputs!$G$5:$G$130="moeda")+(Inputs!$G$5:$G$130="acoes"))*Inputs!$B$1+((Inputs!$G$5:$G$130&lt;&gt;"moeda")*(Inputs!$G$5:$G$130&lt;&gt;"acoes")))*INDEX(Inputs!$K$5:$AJ$130,0,MATCH(AD$2,Inputs!$K$4:$AJ$4,0)))+SUMPRODUCT((Inputs!$C$5:$C$130=$B57)*Inputs!$D$5:$D$130*(((Inputs!$G$5:$G$130="moeda")+(Inputs!$G$5:$G$130="acoes"))*Inputs!$B$1+((Inputs!$G$5:$G$130&lt;&gt;"moeda")*(Inputs!$G$5:$G$130&lt;&gt;"acoes")))*INDEX(Inputs!$K$5:$AJ$130,0,MATCH(AD$2,Inputs!$K$4:$AJ$4,0)))+SUMPRODUCT((Inputs!$E$5:$E$130=$B57)*Inputs!$F$5:$F$130*(((Inputs!$G$5:$G$130="moeda")+(Inputs!$G$5:$G$130="acoes"))*Inputs!$B$1+((Inputs!$G$5:$G$130&lt;&gt;"moeda")*(Inputs!$G$5:$G$130&lt;&gt;"acoes")))*INDEX(Inputs!$K$5:$AJ$130,0,MATCH(AD$2,Inputs!$K$4:$AJ$4,0)))))</f>
        <v>3682</v>
      </c>
      <c r="AE57" s="263" t="e">
        <f>IF(ISNA(MATCH(AE$2,Inputs!$K$4:$AJ$4,0)),NA(),IF(SUMPRODUCT((Inputs!$A$5:$A$130=$B57)*ISNUMBER(INDEX(Inputs!$K$5:$AJ$130,0,MATCH(AE$2,Inputs!$K$4:$AJ$4,0))))+SUMPRODUCT((Inputs!$C$5:$C$130=$B57)*ISNUMBER(INDEX(Inputs!$K$5:$AJ$130,0,MATCH(AE$2,Inputs!$K$4:$AJ$4,0))))+SUMPRODUCT((Inputs!$E$5:$E$130=$B57)*ISNUMBER(INDEX(Inputs!$K$5:$AJ$130,0,MATCH(AE$2,Inputs!$K$4:$AJ$4,0))))=0,NA(),SUMPRODUCT((Inputs!$A$5:$A$130=$B57)*Inputs!$B$5:$B$130*(((Inputs!$G$5:$G$130="moeda")+(Inputs!$G$5:$G$130="acoes"))*Inputs!$B$1+((Inputs!$G$5:$G$130&lt;&gt;"moeda")*(Inputs!$G$5:$G$130&lt;&gt;"acoes")))*INDEX(Inputs!$K$5:$AJ$130,0,MATCH(AE$2,Inputs!$K$4:$AJ$4,0)))+SUMPRODUCT((Inputs!$C$5:$C$130=$B57)*Inputs!$D$5:$D$130*(((Inputs!$G$5:$G$130="moeda")+(Inputs!$G$5:$G$130="acoes"))*Inputs!$B$1+((Inputs!$G$5:$G$130&lt;&gt;"moeda")*(Inputs!$G$5:$G$130&lt;&gt;"acoes")))*INDEX(Inputs!$K$5:$AJ$130,0,MATCH(AE$2,Inputs!$K$4:$AJ$4,0)))+SUMPRODUCT((Inputs!$E$5:$E$130=$B57)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7" s="263" t="e">
        <f>IF(ISNA(MATCH(AF$2,Inputs!$K$4:$AJ$4,0)),NA(),IF(SUMPRODUCT((Inputs!$A$5:$A$130=$B57)*ISNUMBER(INDEX(Inputs!$K$5:$AJ$130,0,MATCH(AF$2,Inputs!$K$4:$AJ$4,0))))+SUMPRODUCT((Inputs!$C$5:$C$130=$B57)*ISNUMBER(INDEX(Inputs!$K$5:$AJ$130,0,MATCH(AF$2,Inputs!$K$4:$AJ$4,0))))+SUMPRODUCT((Inputs!$E$5:$E$130=$B57)*ISNUMBER(INDEX(Inputs!$K$5:$AJ$130,0,MATCH(AF$2,Inputs!$K$4:$AJ$4,0))))=0,NA(),SUMPRODUCT((Inputs!$A$5:$A$130=$B57)*Inputs!$B$5:$B$130*(((Inputs!$G$5:$G$130="moeda")+(Inputs!$G$5:$G$130="acoes"))*Inputs!$B$1+((Inputs!$G$5:$G$130&lt;&gt;"moeda")*(Inputs!$G$5:$G$130&lt;&gt;"acoes")))*INDEX(Inputs!$K$5:$AJ$130,0,MATCH(AF$2,Inputs!$K$4:$AJ$4,0)))+SUMPRODUCT((Inputs!$C$5:$C$130=$B57)*Inputs!$D$5:$D$130*(((Inputs!$G$5:$G$130="moeda")+(Inputs!$G$5:$G$130="acoes"))*Inputs!$B$1+((Inputs!$G$5:$G$130&lt;&gt;"moeda")*(Inputs!$G$5:$G$130&lt;&gt;"acoes")))*INDEX(Inputs!$K$5:$AJ$130,0,MATCH(AF$2,Inputs!$K$4:$AJ$4,0)))+SUMPRODUCT((Inputs!$E$5:$E$130=$B57)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$130=$B57)*ISNUMBER(INDEX(Inputs!$K$5:$AJ$130,0,MATCH(AH$2,Inputs!$K$4:$AJ$4,0))))+SUMPRODUCT((Inputs!$C$5:$C$130=$B57)*ISNUMBER(INDEX(Inputs!$K$5:$AJ$130,0,MATCH(AH$2,Inputs!$K$4:$AJ$4,0))))+SUMPRODUCT((Inputs!$E$5:$E$130=$B57)*ISNUMBER(INDEX(Inputs!$K$5:$AJ$130,0,MATCH(AH$2,Inputs!$K$4:$AJ$4,0))))=0,NA(),SUMPRODUCT((Inputs!$A$5:$A$130=$B57)*Inputs!$B$5:$B$130*(((Inputs!$G$5:$G$130="moeda")+(Inputs!$G$5:$G$130="acoes"))*Inputs!$B$1+((Inputs!$G$5:$G$130&lt;&gt;"moeda")*(Inputs!$G$5:$G$130&lt;&gt;"acoes")))*INDEX(Inputs!$K$5:$AJ$130,0,MATCH(AH$2,Inputs!$K$4:$AJ$4,0)))+SUMPRODUCT((Inputs!$C$5:$C$130=$B57)*Inputs!$D$5:$D$130*(((Inputs!$G$5:$G$130="moeda")+(Inputs!$G$5:$G$130="acoes"))*Inputs!$B$1+((Inputs!$G$5:$G$130&lt;&gt;"moeda")*(Inputs!$G$5:$G$130&lt;&gt;"acoes")))*INDEX(Inputs!$K$5:$AJ$130,0,MATCH(AH$2,Inputs!$K$4:$AJ$4,0)))+SUMPRODUCT((Inputs!$E$5:$E$130=$B57)*Inputs!$F$5:$F$130*(((Inputs!$G$5:$G$130="moeda")+(Inputs!$G$5:$G$130="acoes"))*Inputs!$B$1+((Inputs!$G$5:$G$130&lt;&gt;"moeda")*(Inputs!$G$5:$G$130&lt;&gt;"acoes")))*INDEX(Inputs!$K$5:$AJ$130,0,MATCH(AH$2,Inputs!$K$4:$AJ$4,0)))))</f>
        <v>2313</v>
      </c>
      <c r="AI57" s="263">
        <f>IF(ISNA(MATCH(AI$2,Inputs!$K$4:$AJ$4,0)),NA(),IF(SUMPRODUCT((Inputs!$A$5:$A$130=$B57)*ISNUMBER(INDEX(Inputs!$K$5:$AJ$130,0,MATCH(AI$2,Inputs!$K$4:$AJ$4,0))))+SUMPRODUCT((Inputs!$C$5:$C$130=$B57)*ISNUMBER(INDEX(Inputs!$K$5:$AJ$130,0,MATCH(AI$2,Inputs!$K$4:$AJ$4,0))))+SUMPRODUCT((Inputs!$E$5:$E$130=$B57)*ISNUMBER(INDEX(Inputs!$K$5:$AJ$130,0,MATCH(AI$2,Inputs!$K$4:$AJ$4,0))))=0,NA(),SUMPRODUCT((Inputs!$A$5:$A$130=$B57)*Inputs!$B$5:$B$130*(((Inputs!$G$5:$G$130="moeda")+(Inputs!$G$5:$G$130="acoes"))*Inputs!$B$1+((Inputs!$G$5:$G$130&lt;&gt;"moeda")*(Inputs!$G$5:$G$130&lt;&gt;"acoes")))*INDEX(Inputs!$K$5:$AJ$130,0,MATCH(AI$2,Inputs!$K$4:$AJ$4,0)))+SUMPRODUCT((Inputs!$C$5:$C$130=$B57)*Inputs!$D$5:$D$130*(((Inputs!$G$5:$G$130="moeda")+(Inputs!$G$5:$G$130="acoes"))*Inputs!$B$1+((Inputs!$G$5:$G$130&lt;&gt;"moeda")*(Inputs!$G$5:$G$130&lt;&gt;"acoes")))*INDEX(Inputs!$K$5:$AJ$130,0,MATCH(AI$2,Inputs!$K$4:$AJ$4,0)))+SUMPRODUCT((Inputs!$E$5:$E$130=$B57)*Inputs!$F$5:$F$130*(((Inputs!$G$5:$G$130="moeda")+(Inputs!$G$5:$G$130="acoes"))*Inputs!$B$1+((Inputs!$G$5:$G$130&lt;&gt;"moeda")*(Inputs!$G$5:$G$130&lt;&gt;"acoes")))*INDEX(Inputs!$K$5:$AJ$130,0,MATCH(AI$2,Inputs!$K$4:$AJ$4,0)))))</f>
        <v>2238</v>
      </c>
      <c r="AJ57" s="263">
        <f>IF(ISNA(MATCH(AJ$2,Inputs!$K$4:$AJ$4,0)),NA(),IF(SUMPRODUCT((Inputs!$A$5:$A$130=$B57)*ISNUMBER(INDEX(Inputs!$K$5:$AJ$130,0,MATCH(AJ$2,Inputs!$K$4:$AJ$4,0))))+SUMPRODUCT((Inputs!$C$5:$C$130=$B57)*ISNUMBER(INDEX(Inputs!$K$5:$AJ$130,0,MATCH(AJ$2,Inputs!$K$4:$AJ$4,0))))+SUMPRODUCT((Inputs!$E$5:$E$130=$B57)*ISNUMBER(INDEX(Inputs!$K$5:$AJ$130,0,MATCH(AJ$2,Inputs!$K$4:$AJ$4,0))))=0,NA(),SUMPRODUCT((Inputs!$A$5:$A$130=$B57)*Inputs!$B$5:$B$130*(((Inputs!$G$5:$G$130="moeda")+(Inputs!$G$5:$G$130="acoes"))*Inputs!$B$1+((Inputs!$G$5:$G$130&lt;&gt;"moeda")*(Inputs!$G$5:$G$130&lt;&gt;"acoes")))*INDEX(Inputs!$K$5:$AJ$130,0,MATCH(AJ$2,Inputs!$K$4:$AJ$4,0)))+SUMPRODUCT((Inputs!$C$5:$C$130=$B57)*Inputs!$D$5:$D$130*(((Inputs!$G$5:$G$130="moeda")+(Inputs!$G$5:$G$130="acoes"))*Inputs!$B$1+((Inputs!$G$5:$G$130&lt;&gt;"moeda")*(Inputs!$G$5:$G$130&lt;&gt;"acoes")))*INDEX(Inputs!$K$5:$AJ$130,0,MATCH(AJ$2,Inputs!$K$4:$AJ$4,0)))+SUMPRODUCT((Inputs!$E$5:$E$130=$B57)*Inputs!$F$5:$F$130*(((Inputs!$G$5:$G$130="moeda")+(Inputs!$G$5:$G$130="acoes"))*Inputs!$B$1+((Inputs!$G$5:$G$130&lt;&gt;"moeda")*(Inputs!$G$5:$G$130&lt;&gt;"acoes")))*INDEX(Inputs!$K$5:$AJ$130,0,MATCH(AJ$2,Inputs!$K$4:$AJ$4,0)))))</f>
        <v>2525</v>
      </c>
      <c r="AK57" s="263">
        <f>IF(ISNA(MATCH(AK$2,Inputs!$K$4:$AJ$4,0)),NA(),IF(SUMPRODUCT((Inputs!$A$5:$A$130=$B57)*ISNUMBER(INDEX(Inputs!$K$5:$AJ$130,0,MATCH(AK$2,Inputs!$K$4:$AJ$4,0))))+SUMPRODUCT((Inputs!$C$5:$C$130=$B57)*ISNUMBER(INDEX(Inputs!$K$5:$AJ$130,0,MATCH(AK$2,Inputs!$K$4:$AJ$4,0))))+SUMPRODUCT((Inputs!$E$5:$E$130=$B57)*ISNUMBER(INDEX(Inputs!$K$5:$AJ$130,0,MATCH(AK$2,Inputs!$K$4:$AJ$4,0))))=0,NA(),SUMPRODUCT((Inputs!$A$5:$A$130=$B57)*Inputs!$B$5:$B$130*(((Inputs!$G$5:$G$130="moeda")+(Inputs!$G$5:$G$130="acoes"))*Inputs!$B$1+((Inputs!$G$5:$G$130&lt;&gt;"moeda")*(Inputs!$G$5:$G$130&lt;&gt;"acoes")))*INDEX(Inputs!$K$5:$AJ$130,0,MATCH(AK$2,Inputs!$K$4:$AJ$4,0)))+SUMPRODUCT((Inputs!$C$5:$C$130=$B57)*Inputs!$D$5:$D$130*(((Inputs!$G$5:$G$130="moeda")+(Inputs!$G$5:$G$130="acoes"))*Inputs!$B$1+((Inputs!$G$5:$G$130&lt;&gt;"moeda")*(Inputs!$G$5:$G$130&lt;&gt;"acoes")))*INDEX(Inputs!$K$5:$AJ$130,0,MATCH(AK$2,Inputs!$K$4:$AJ$4,0)))+SUMPRODUCT((Inputs!$E$5:$E$130=$B57)*Inputs!$F$5:$F$130*(((Inputs!$G$5:$G$130="moeda")+(Inputs!$G$5:$G$130="acoes"))*Inputs!$B$1+((Inputs!$G$5:$G$130&lt;&gt;"moeda")*(Inputs!$G$5:$G$130&lt;&gt;"acoes")))*INDEX(Inputs!$K$5:$AJ$130,0,MATCH(AK$2,Inputs!$K$4:$AJ$4,0)))))</f>
        <v>2530</v>
      </c>
      <c r="AL57" s="264">
        <f>SUM(AH57:AK57)</f>
        <v>9606</v>
      </c>
    </row>
    <row r="58">
      <c r="B58" s="46" t="n">
        <v>50</v>
      </c>
      <c r="C58" s="29" t="inlineStr">
        <is>
          <t>Construction &amp; Forestry - lucro do segmento (USD)</t>
        </is>
      </c>
      <c r="D58" s="263">
        <f>IF(ISNA(MATCH(D$2,Inputs!$K$4:$AJ$4,0)),NA(),IF(SUMPRODUCT((Inputs!$A$5:$A$130=$B58)*ISNUMBER(INDEX(Inputs!$K$5:$AJ$130,0,MATCH(D$2,Inputs!$K$4:$AJ$4,0))))+SUMPRODUCT((Inputs!$C$5:$C$130=$B58)*ISNUMBER(INDEX(Inputs!$K$5:$AJ$130,0,MATCH(D$2,Inputs!$K$4:$AJ$4,0))))+SUMPRODUCT((Inputs!$E$5:$E$130=$B58)*ISNUMBER(INDEX(Inputs!$K$5:$AJ$130,0,MATCH(D$2,Inputs!$K$4:$AJ$4,0))))=0,NA(),SUMPRODUCT((Inputs!$A$5:$A$130=$B58)*Inputs!$B$5:$B$130*(((Inputs!$G$5:$G$130="moeda")+(Inputs!$G$5:$G$130="acoes"))*Inputs!$B$1+((Inputs!$G$5:$G$130&lt;&gt;"moeda")*(Inputs!$G$5:$G$130&lt;&gt;"acoes")))*INDEX(Inputs!$K$5:$AJ$130,0,MATCH(D$2,Inputs!$K$4:$AJ$4,0)))+SUMPRODUCT((Inputs!$C$5:$C$130=$B58)*Inputs!$D$5:$D$130*(((Inputs!$G$5:$G$130="moeda")+(Inputs!$G$5:$G$130="acoes"))*Inputs!$B$1+((Inputs!$G$5:$G$130&lt;&gt;"moeda")*(Inputs!$G$5:$G$130&lt;&gt;"acoes")))*INDEX(Inputs!$K$5:$AJ$130,0,MATCH(D$2,Inputs!$K$4:$AJ$4,0)))+SUMPRODUCT((Inputs!$E$5:$E$130=$B58)*Inputs!$F$5:$F$130*(((Inputs!$G$5:$G$130="moeda")+(Inputs!$G$5:$G$130="acoes"))*Inputs!$B$1+((Inputs!$G$5:$G$130&lt;&gt;"moeda")*(Inputs!$G$5:$G$130&lt;&gt;"acoes")))*INDEX(Inputs!$K$5:$AJ$130,0,MATCH(D$2,Inputs!$K$4:$AJ$4,0)))))</f>
        <v>489</v>
      </c>
      <c r="E58" s="263">
        <f>IF(ISNA(MATCH(E$2,Inputs!$K$4:$AJ$4,0)),NA(),IF(SUMPRODUCT((Inputs!$A$5:$A$130=$B58)*ISNUMBER(INDEX(Inputs!$K$5:$AJ$130,0,MATCH(E$2,Inputs!$K$4:$AJ$4,0))))+SUMPRODUCT((Inputs!$C$5:$C$130=$B58)*ISNUMBER(INDEX(Inputs!$K$5:$AJ$130,0,MATCH(E$2,Inputs!$K$4:$AJ$4,0))))+SUMPRODUCT((Inputs!$E$5:$E$130=$B58)*ISNUMBER(INDEX(Inputs!$K$5:$AJ$130,0,MATCH(E$2,Inputs!$K$4:$AJ$4,0))))=0,NA(),SUMPRODUCT((Inputs!$A$5:$A$130=$B58)*Inputs!$B$5:$B$130*(((Inputs!$G$5:$G$130="moeda")+(Inputs!$G$5:$G$130="acoes"))*Inputs!$B$1+((Inputs!$G$5:$G$130&lt;&gt;"moeda")*(Inputs!$G$5:$G$130&lt;&gt;"acoes")))*INDEX(Inputs!$K$5:$AJ$130,0,MATCH(E$2,Inputs!$K$4:$AJ$4,0)))+SUMPRODUCT((Inputs!$C$5:$C$130=$B58)*Inputs!$D$5:$D$130*(((Inputs!$G$5:$G$130="moeda")+(Inputs!$G$5:$G$130="acoes"))*Inputs!$B$1+((Inputs!$G$5:$G$130&lt;&gt;"moeda")*(Inputs!$G$5:$G$130&lt;&gt;"acoes")))*INDEX(Inputs!$K$5:$AJ$130,0,MATCH(E$2,Inputs!$K$4:$AJ$4,0)))+SUMPRODUCT((Inputs!$E$5:$E$130=$B58)*Inputs!$F$5:$F$130*(((Inputs!$G$5:$G$130="moeda")+(Inputs!$G$5:$G$130="acoes"))*Inputs!$B$1+((Inputs!$G$5:$G$130&lt;&gt;"moeda")*(Inputs!$G$5:$G$130&lt;&gt;"acoes")))*INDEX(Inputs!$K$5:$AJ$130,0,MATCH(E$2,Inputs!$K$4:$AJ$4,0)))))</f>
        <v>463</v>
      </c>
      <c r="F58" s="263">
        <f>IF(ISNA(MATCH(F$2,Inputs!$K$4:$AJ$4,0)),NA(),IF(SUMPRODUCT((Inputs!$A$5:$A$130=$B58)*ISNUMBER(INDEX(Inputs!$K$5:$AJ$130,0,MATCH(F$2,Inputs!$K$4:$AJ$4,0))))+SUMPRODUCT((Inputs!$C$5:$C$130=$B58)*ISNUMBER(INDEX(Inputs!$K$5:$AJ$130,0,MATCH(F$2,Inputs!$K$4:$AJ$4,0))))+SUMPRODUCT((Inputs!$E$5:$E$130=$B58)*ISNUMBER(INDEX(Inputs!$K$5:$AJ$130,0,MATCH(F$2,Inputs!$K$4:$AJ$4,0))))=0,NA(),SUMPRODUCT((Inputs!$A$5:$A$130=$B58)*Inputs!$B$5:$B$130*(((Inputs!$G$5:$G$130="moeda")+(Inputs!$G$5:$G$130="acoes"))*Inputs!$B$1+((Inputs!$G$5:$G$130&lt;&gt;"moeda")*(Inputs!$G$5:$G$130&lt;&gt;"acoes")))*INDEX(Inputs!$K$5:$AJ$130,0,MATCH(F$2,Inputs!$K$4:$AJ$4,0)))+SUMPRODUCT((Inputs!$C$5:$C$130=$B58)*Inputs!$D$5:$D$130*(((Inputs!$G$5:$G$130="moeda")+(Inputs!$G$5:$G$130="acoes"))*Inputs!$B$1+((Inputs!$G$5:$G$130&lt;&gt;"moeda")*(Inputs!$G$5:$G$130&lt;&gt;"acoes")))*INDEX(Inputs!$K$5:$AJ$130,0,MATCH(F$2,Inputs!$K$4:$AJ$4,0)))+SUMPRODUCT((Inputs!$E$5:$E$130=$B58)*Inputs!$F$5:$F$130*(((Inputs!$G$5:$G$130="moeda")+(Inputs!$G$5:$G$130="acoes"))*Inputs!$B$1+((Inputs!$G$5:$G$130&lt;&gt;"moeda")*(Inputs!$G$5:$G$130&lt;&gt;"acoes")))*INDEX(Inputs!$K$5:$AJ$130,0,MATCH(F$2,Inputs!$K$4:$AJ$4,0)))))</f>
        <v>269</v>
      </c>
      <c r="G58" s="263">
        <f>IF(ISNA(MATCH(G$2,Inputs!$K$4:$AJ$4,0)),NA(),IF(SUMPRODUCT((Inputs!$A$5:$A$130=$B58)*ISNUMBER(INDEX(Inputs!$K$5:$AJ$130,0,MATCH(G$2,Inputs!$K$4:$AJ$4,0))))+SUMPRODUCT((Inputs!$C$5:$C$130=$B58)*ISNUMBER(INDEX(Inputs!$K$5:$AJ$130,0,MATCH(G$2,Inputs!$K$4:$AJ$4,0))))+SUMPRODUCT((Inputs!$E$5:$E$130=$B58)*ISNUMBER(INDEX(Inputs!$K$5:$AJ$130,0,MATCH(G$2,Inputs!$K$4:$AJ$4,0))))=0,NA(),SUMPRODUCT((Inputs!$A$5:$A$130=$B58)*Inputs!$B$5:$B$130*(((Inputs!$G$5:$G$130="moeda")+(Inputs!$G$5:$G$130="acoes"))*Inputs!$B$1+((Inputs!$G$5:$G$130&lt;&gt;"moeda")*(Inputs!$G$5:$G$130&lt;&gt;"acoes")))*INDEX(Inputs!$K$5:$AJ$130,0,MATCH(G$2,Inputs!$K$4:$AJ$4,0)))+SUMPRODUCT((Inputs!$C$5:$C$130=$B58)*Inputs!$D$5:$D$130*(((Inputs!$G$5:$G$130="moeda")+(Inputs!$G$5:$G$130="acoes"))*Inputs!$B$1+((Inputs!$G$5:$G$130&lt;&gt;"moeda")*(Inputs!$G$5:$G$130&lt;&gt;"acoes")))*INDEX(Inputs!$K$5:$AJ$130,0,MATCH(G$2,Inputs!$K$4:$AJ$4,0)))+SUMPRODUCT((Inputs!$E$5:$E$130=$B58)*Inputs!$F$5:$F$130*(((Inputs!$G$5:$G$130="moeda")+(Inputs!$G$5:$G$130="acoes"))*Inputs!$B$1+((Inputs!$G$5:$G$130&lt;&gt;"moeda")*(Inputs!$G$5:$G$130&lt;&gt;"acoes")))*INDEX(Inputs!$K$5:$AJ$130,0,MATCH(G$2,Inputs!$K$4:$AJ$4,0)))))</f>
        <v>272</v>
      </c>
      <c r="H58" s="264">
        <f>SUM(D58:G58)</f>
        <v>1493</v>
      </c>
      <c r="I58" s="263">
        <f>IF(ISNA(MATCH(I$2,Inputs!$K$4:$AJ$4,0)),NA(),IF(SUMPRODUCT((Inputs!$A$5:$A$130=$B58)*ISNUMBER(INDEX(Inputs!$K$5:$AJ$130,0,MATCH(I$2,Inputs!$K$4:$AJ$4,0))))+SUMPRODUCT((Inputs!$C$5:$C$130=$B58)*ISNUMBER(INDEX(Inputs!$K$5:$AJ$130,0,MATCH(I$2,Inputs!$K$4:$AJ$4,0))))+SUMPRODUCT((Inputs!$E$5:$E$130=$B58)*ISNUMBER(INDEX(Inputs!$K$5:$AJ$130,0,MATCH(I$2,Inputs!$K$4:$AJ$4,0))))=0,NA(),SUMPRODUCT((Inputs!$A$5:$A$130=$B58)*Inputs!$B$5:$B$130*(((Inputs!$G$5:$G$130="moeda")+(Inputs!$G$5:$G$130="acoes"))*Inputs!$B$1+((Inputs!$G$5:$G$130&lt;&gt;"moeda")*(Inputs!$G$5:$G$130&lt;&gt;"acoes")))*INDEX(Inputs!$K$5:$AJ$130,0,MATCH(I$2,Inputs!$K$4:$AJ$4,0)))+SUMPRODUCT((Inputs!$C$5:$C$130=$B58)*Inputs!$D$5:$D$130*(((Inputs!$G$5:$G$130="moeda")+(Inputs!$G$5:$G$130="acoes"))*Inputs!$B$1+((Inputs!$G$5:$G$130&lt;&gt;"moeda")*(Inputs!$G$5:$G$130&lt;&gt;"acoes")))*INDEX(Inputs!$K$5:$AJ$130,0,MATCH(I$2,Inputs!$K$4:$AJ$4,0)))+SUMPRODUCT((Inputs!$E$5:$E$130=$B58)*Inputs!$F$5:$F$130*(((Inputs!$G$5:$G$130="moeda")+(Inputs!$G$5:$G$130="acoes"))*Inputs!$B$1+((Inputs!$G$5:$G$130&lt;&gt;"moeda")*(Inputs!$G$5:$G$130&lt;&gt;"acoes")))*INDEX(Inputs!$K$5:$AJ$130,0,MATCH(I$2,Inputs!$K$4:$AJ$4,0)))))</f>
        <v>814</v>
      </c>
      <c r="J58" s="263">
        <f>IF(ISNA(MATCH(J$2,Inputs!$K$4:$AJ$4,0)),NA(),IF(SUMPRODUCT((Inputs!$A$5:$A$130=$B58)*ISNUMBER(INDEX(Inputs!$K$5:$AJ$130,0,MATCH(J$2,Inputs!$K$4:$AJ$4,0))))+SUMPRODUCT((Inputs!$C$5:$C$130=$B58)*ISNUMBER(INDEX(Inputs!$K$5:$AJ$130,0,MATCH(J$2,Inputs!$K$4:$AJ$4,0))))+SUMPRODUCT((Inputs!$E$5:$E$130=$B58)*ISNUMBER(INDEX(Inputs!$K$5:$AJ$130,0,MATCH(J$2,Inputs!$K$4:$AJ$4,0))))=0,NA(),SUMPRODUCT((Inputs!$A$5:$A$130=$B58)*Inputs!$B$5:$B$130*(((Inputs!$G$5:$G$130="moeda")+(Inputs!$G$5:$G$130="acoes"))*Inputs!$B$1+((Inputs!$G$5:$G$130&lt;&gt;"moeda")*(Inputs!$G$5:$G$130&lt;&gt;"acoes")))*INDEX(Inputs!$K$5:$AJ$130,0,MATCH(J$2,Inputs!$K$4:$AJ$4,0)))+SUMPRODUCT((Inputs!$C$5:$C$130=$B58)*Inputs!$D$5:$D$130*(((Inputs!$G$5:$G$130="moeda")+(Inputs!$G$5:$G$130="acoes"))*Inputs!$B$1+((Inputs!$G$5:$G$130&lt;&gt;"moeda")*(Inputs!$G$5:$G$130&lt;&gt;"acoes")))*INDEX(Inputs!$K$5:$AJ$130,0,MATCH(J$2,Inputs!$K$4:$AJ$4,0)))+SUMPRODUCT((Inputs!$E$5:$E$130=$B58)*Inputs!$F$5:$F$130*(((Inputs!$G$5:$G$130="moeda")+(Inputs!$G$5:$G$130="acoes"))*Inputs!$B$1+((Inputs!$G$5:$G$130&lt;&gt;"moeda")*(Inputs!$G$5:$G$130&lt;&gt;"acoes")))*INDEX(Inputs!$K$5:$AJ$130,0,MATCH(J$2,Inputs!$K$4:$AJ$4,0)))))</f>
        <v>514</v>
      </c>
      <c r="K58" s="263">
        <f>IF(ISNA(MATCH(K$2,Inputs!$K$4:$AJ$4,0)),NA(),IF(SUMPRODUCT((Inputs!$A$5:$A$130=$B58)*ISNUMBER(INDEX(Inputs!$K$5:$AJ$130,0,MATCH(K$2,Inputs!$K$4:$AJ$4,0))))+SUMPRODUCT((Inputs!$C$5:$C$130=$B58)*ISNUMBER(INDEX(Inputs!$K$5:$AJ$130,0,MATCH(K$2,Inputs!$K$4:$AJ$4,0))))+SUMPRODUCT((Inputs!$E$5:$E$130=$B58)*ISNUMBER(INDEX(Inputs!$K$5:$AJ$130,0,MATCH(K$2,Inputs!$K$4:$AJ$4,0))))=0,NA(),SUMPRODUCT((Inputs!$A$5:$A$130=$B58)*Inputs!$B$5:$B$130*(((Inputs!$G$5:$G$130="moeda")+(Inputs!$G$5:$G$130="acoes"))*Inputs!$B$1+((Inputs!$G$5:$G$130&lt;&gt;"moeda")*(Inputs!$G$5:$G$130&lt;&gt;"acoes")))*INDEX(Inputs!$K$5:$AJ$130,0,MATCH(K$2,Inputs!$K$4:$AJ$4,0)))+SUMPRODUCT((Inputs!$C$5:$C$130=$B58)*Inputs!$D$5:$D$130*(((Inputs!$G$5:$G$130="moeda")+(Inputs!$G$5:$G$130="acoes"))*Inputs!$B$1+((Inputs!$G$5:$G$130&lt;&gt;"moeda")*(Inputs!$G$5:$G$130&lt;&gt;"acoes")))*INDEX(Inputs!$K$5:$AJ$130,0,MATCH(K$2,Inputs!$K$4:$AJ$4,0)))+SUMPRODUCT((Inputs!$E$5:$E$130=$B58)*Inputs!$F$5:$F$130*(((Inputs!$G$5:$G$130="moeda")+(Inputs!$G$5:$G$130="acoes"))*Inputs!$B$1+((Inputs!$G$5:$G$130&lt;&gt;"moeda")*(Inputs!$G$5:$G$130&lt;&gt;"acoes")))*INDEX(Inputs!$K$5:$AJ$130,0,MATCH(K$2,Inputs!$K$4:$AJ$4,0)))))</f>
        <v>415</v>
      </c>
      <c r="L58" s="263">
        <f>IF(ISNA(MATCH(L$2,Inputs!$K$4:$AJ$4,0)),NA(),IF(SUMPRODUCT((Inputs!$A$5:$A$130=$B58)*ISNUMBER(INDEX(Inputs!$K$5:$AJ$130,0,MATCH(L$2,Inputs!$K$4:$AJ$4,0))))+SUMPRODUCT((Inputs!$C$5:$C$130=$B58)*ISNUMBER(INDEX(Inputs!$K$5:$AJ$130,0,MATCH(L$2,Inputs!$K$4:$AJ$4,0))))+SUMPRODUCT((Inputs!$E$5:$E$130=$B58)*ISNUMBER(INDEX(Inputs!$K$5:$AJ$130,0,MATCH(L$2,Inputs!$K$4:$AJ$4,0))))=0,NA(),SUMPRODUCT((Inputs!$A$5:$A$130=$B58)*Inputs!$B$5:$B$130*(((Inputs!$G$5:$G$130="moeda")+(Inputs!$G$5:$G$130="acoes"))*Inputs!$B$1+((Inputs!$G$5:$G$130&lt;&gt;"moeda")*(Inputs!$G$5:$G$130&lt;&gt;"acoes")))*INDEX(Inputs!$K$5:$AJ$130,0,MATCH(L$2,Inputs!$K$4:$AJ$4,0)))+SUMPRODUCT((Inputs!$C$5:$C$130=$B58)*Inputs!$D$5:$D$130*(((Inputs!$G$5:$G$130="moeda")+(Inputs!$G$5:$G$130="acoes"))*Inputs!$B$1+((Inputs!$G$5:$G$130&lt;&gt;"moeda")*(Inputs!$G$5:$G$130&lt;&gt;"acoes")))*INDEX(Inputs!$K$5:$AJ$130,0,MATCH(L$2,Inputs!$K$4:$AJ$4,0)))+SUMPRODUCT((Inputs!$E$5:$E$130=$B58)*Inputs!$F$5:$F$130*(((Inputs!$G$5:$G$130="moeda")+(Inputs!$G$5:$G$130="acoes"))*Inputs!$B$1+((Inputs!$G$5:$G$130&lt;&gt;"moeda")*(Inputs!$G$5:$G$130&lt;&gt;"acoes")))*INDEX(Inputs!$K$5:$AJ$130,0,MATCH(L$2,Inputs!$K$4:$AJ$4,0)))))</f>
        <v>625</v>
      </c>
      <c r="M58" s="264">
        <f>SUM(I58:L58)</f>
        <v>2368</v>
      </c>
      <c r="N58" s="263">
        <f>IF(ISNA(MATCH(N$2,Inputs!$K$4:$AJ$4,0)),NA(),IF(SUMPRODUCT((Inputs!$A$5:$A$130=$B58)*ISNUMBER(INDEX(Inputs!$K$5:$AJ$130,0,MATCH(N$2,Inputs!$K$4:$AJ$4,0))))+SUMPRODUCT((Inputs!$C$5:$C$130=$B58)*ISNUMBER(INDEX(Inputs!$K$5:$AJ$130,0,MATCH(N$2,Inputs!$K$4:$AJ$4,0))))+SUMPRODUCT((Inputs!$E$5:$E$130=$B58)*ISNUMBER(INDEX(Inputs!$K$5:$AJ$130,0,MATCH(N$2,Inputs!$K$4:$AJ$4,0))))=0,NA(),SUMPRODUCT((Inputs!$A$5:$A$130=$B58)*Inputs!$B$5:$B$130*(((Inputs!$G$5:$G$130="moeda")+(Inputs!$G$5:$G$130="acoes"))*Inputs!$B$1+((Inputs!$G$5:$G$130&lt;&gt;"moeda")*(Inputs!$G$5:$G$130&lt;&gt;"acoes")))*INDEX(Inputs!$K$5:$AJ$130,0,MATCH(N$2,Inputs!$K$4:$AJ$4,0)))+SUMPRODUCT((Inputs!$C$5:$C$130=$B58)*Inputs!$D$5:$D$130*(((Inputs!$G$5:$G$130="moeda")+(Inputs!$G$5:$G$130="acoes"))*Inputs!$B$1+((Inputs!$G$5:$G$130&lt;&gt;"moeda")*(Inputs!$G$5:$G$130&lt;&gt;"acoes")))*INDEX(Inputs!$K$5:$AJ$130,0,MATCH(N$2,Inputs!$K$4:$AJ$4,0)))+SUMPRODUCT((Inputs!$E$5:$E$130=$B58)*Inputs!$F$5:$F$130*(((Inputs!$G$5:$G$130="moeda")+(Inputs!$G$5:$G$130="acoes"))*Inputs!$B$1+((Inputs!$G$5:$G$130&lt;&gt;"moeda")*(Inputs!$G$5:$G$130&lt;&gt;"acoes")))*INDEX(Inputs!$K$5:$AJ$130,0,MATCH(N$2,Inputs!$K$4:$AJ$4,0)))))</f>
        <v>838</v>
      </c>
      <c r="O58" s="263">
        <f>IF(ISNA(MATCH(O$2,Inputs!$K$4:$AJ$4,0)),NA(),IF(SUMPRODUCT((Inputs!$A$5:$A$130=$B58)*ISNUMBER(INDEX(Inputs!$K$5:$AJ$130,0,MATCH(O$2,Inputs!$K$4:$AJ$4,0))))+SUMPRODUCT((Inputs!$C$5:$C$130=$B58)*ISNUMBER(INDEX(Inputs!$K$5:$AJ$130,0,MATCH(O$2,Inputs!$K$4:$AJ$4,0))))+SUMPRODUCT((Inputs!$E$5:$E$130=$B58)*ISNUMBER(INDEX(Inputs!$K$5:$AJ$130,0,MATCH(O$2,Inputs!$K$4:$AJ$4,0))))=0,NA(),SUMPRODUCT((Inputs!$A$5:$A$130=$B58)*Inputs!$B$5:$B$130*(((Inputs!$G$5:$G$130="moeda")+(Inputs!$G$5:$G$130="acoes"))*Inputs!$B$1+((Inputs!$G$5:$G$130&lt;&gt;"moeda")*(Inputs!$G$5:$G$130&lt;&gt;"acoes")))*INDEX(Inputs!$K$5:$AJ$130,0,MATCH(O$2,Inputs!$K$4:$AJ$4,0)))+SUMPRODUCT((Inputs!$C$5:$C$130=$B58)*Inputs!$D$5:$D$130*(((Inputs!$G$5:$G$130="moeda")+(Inputs!$G$5:$G$130="acoes"))*Inputs!$B$1+((Inputs!$G$5:$G$130&lt;&gt;"moeda")*(Inputs!$G$5:$G$130&lt;&gt;"acoes")))*INDEX(Inputs!$K$5:$AJ$130,0,MATCH(O$2,Inputs!$K$4:$AJ$4,0)))+SUMPRODUCT((Inputs!$E$5:$E$130=$B58)*Inputs!$F$5:$F$130*(((Inputs!$G$5:$G$130="moeda")+(Inputs!$G$5:$G$130="acoes"))*Inputs!$B$1+((Inputs!$G$5:$G$130&lt;&gt;"moeda")*(Inputs!$G$5:$G$130&lt;&gt;"acoes")))*INDEX(Inputs!$K$5:$AJ$130,0,MATCH(O$2,Inputs!$K$4:$AJ$4,0)))))</f>
        <v>716</v>
      </c>
      <c r="P58" s="263">
        <f>IF(ISNA(MATCH(P$2,Inputs!$K$4:$AJ$4,0)),NA(),IF(SUMPRODUCT((Inputs!$A$5:$A$130=$B58)*ISNUMBER(INDEX(Inputs!$K$5:$AJ$130,0,MATCH(P$2,Inputs!$K$4:$AJ$4,0))))+SUMPRODUCT((Inputs!$C$5:$C$130=$B58)*ISNUMBER(INDEX(Inputs!$K$5:$AJ$130,0,MATCH(P$2,Inputs!$K$4:$AJ$4,0))))+SUMPRODUCT((Inputs!$E$5:$E$130=$B58)*ISNUMBER(INDEX(Inputs!$K$5:$AJ$130,0,MATCH(P$2,Inputs!$K$4:$AJ$4,0))))=0,NA(),SUMPRODUCT((Inputs!$A$5:$A$130=$B58)*Inputs!$B$5:$B$130*(((Inputs!$G$5:$G$130="moeda")+(Inputs!$G$5:$G$130="acoes"))*Inputs!$B$1+((Inputs!$G$5:$G$130&lt;&gt;"moeda")*(Inputs!$G$5:$G$130&lt;&gt;"acoes")))*INDEX(Inputs!$K$5:$AJ$130,0,MATCH(P$2,Inputs!$K$4:$AJ$4,0)))+SUMPRODUCT((Inputs!$C$5:$C$130=$B58)*Inputs!$D$5:$D$130*(((Inputs!$G$5:$G$130="moeda")+(Inputs!$G$5:$G$130="acoes"))*Inputs!$B$1+((Inputs!$G$5:$G$130&lt;&gt;"moeda")*(Inputs!$G$5:$G$130&lt;&gt;"acoes")))*INDEX(Inputs!$K$5:$AJ$130,0,MATCH(P$2,Inputs!$K$4:$AJ$4,0)))+SUMPRODUCT((Inputs!$E$5:$E$130=$B58)*Inputs!$F$5:$F$130*(((Inputs!$G$5:$G$130="moeda")+(Inputs!$G$5:$G$130="acoes"))*Inputs!$B$1+((Inputs!$G$5:$G$130&lt;&gt;"moeda")*(Inputs!$G$5:$G$130&lt;&gt;"acoes")))*INDEX(Inputs!$K$5:$AJ$130,0,MATCH(P$2,Inputs!$K$4:$AJ$4,0)))))</f>
        <v>516</v>
      </c>
      <c r="Q58" s="263">
        <f>IF(ISNA(MATCH(Q$2,Inputs!$K$4:$AJ$4,0)),NA(),IF(SUMPRODUCT((Inputs!$A$5:$A$130=$B58)*ISNUMBER(INDEX(Inputs!$K$5:$AJ$130,0,MATCH(Q$2,Inputs!$K$4:$AJ$4,0))))+SUMPRODUCT((Inputs!$C$5:$C$130=$B58)*ISNUMBER(INDEX(Inputs!$K$5:$AJ$130,0,MATCH(Q$2,Inputs!$K$4:$AJ$4,0))))+SUMPRODUCT((Inputs!$E$5:$E$130=$B58)*ISNUMBER(INDEX(Inputs!$K$5:$AJ$130,0,MATCH(Q$2,Inputs!$K$4:$AJ$4,0))))=0,NA(),SUMPRODUCT((Inputs!$A$5:$A$130=$B58)*Inputs!$B$5:$B$130*(((Inputs!$G$5:$G$130="moeda")+(Inputs!$G$5:$G$130="acoes"))*Inputs!$B$1+((Inputs!$G$5:$G$130&lt;&gt;"moeda")*(Inputs!$G$5:$G$130&lt;&gt;"acoes")))*INDEX(Inputs!$K$5:$AJ$130,0,MATCH(Q$2,Inputs!$K$4:$AJ$4,0)))+SUMPRODUCT((Inputs!$C$5:$C$130=$B58)*Inputs!$D$5:$D$130*(((Inputs!$G$5:$G$130="moeda")+(Inputs!$G$5:$G$130="acoes"))*Inputs!$B$1+((Inputs!$G$5:$G$130&lt;&gt;"moeda")*(Inputs!$G$5:$G$130&lt;&gt;"acoes")))*INDEX(Inputs!$K$5:$AJ$130,0,MATCH(Q$2,Inputs!$K$4:$AJ$4,0)))+SUMPRODUCT((Inputs!$E$5:$E$130=$B58)*Inputs!$F$5:$F$130*(((Inputs!$G$5:$G$130="moeda")+(Inputs!$G$5:$G$130="acoes"))*Inputs!$B$1+((Inputs!$G$5:$G$130&lt;&gt;"moeda")*(Inputs!$G$5:$G$130&lt;&gt;"acoes")))*INDEX(Inputs!$K$5:$AJ$130,0,MATCH(Q$2,Inputs!$K$4:$AJ$4,0)))))</f>
        <v>566</v>
      </c>
      <c r="R58" s="264">
        <f>SUM(N58:Q58)</f>
        <v>2636</v>
      </c>
      <c r="S58" s="263">
        <f>IF(ISNA(MATCH(S$2,Inputs!$K$4:$AJ$4,0)),NA(),IF(SUMPRODUCT((Inputs!$A$5:$A$130=$B58)*ISNUMBER(INDEX(Inputs!$K$5:$AJ$130,0,MATCH(S$2,Inputs!$K$4:$AJ$4,0))))+SUMPRODUCT((Inputs!$C$5:$C$130=$B58)*ISNUMBER(INDEX(Inputs!$K$5:$AJ$130,0,MATCH(S$2,Inputs!$K$4:$AJ$4,0))))+SUMPRODUCT((Inputs!$E$5:$E$130=$B58)*ISNUMBER(INDEX(Inputs!$K$5:$AJ$130,0,MATCH(S$2,Inputs!$K$4:$AJ$4,0))))=0,NA(),SUMPRODUCT((Inputs!$A$5:$A$130=$B58)*Inputs!$B$5:$B$130*(((Inputs!$G$5:$G$130="moeda")+(Inputs!$G$5:$G$130="acoes"))*Inputs!$B$1+((Inputs!$G$5:$G$130&lt;&gt;"moeda")*(Inputs!$G$5:$G$130&lt;&gt;"acoes")))*INDEX(Inputs!$K$5:$AJ$130,0,MATCH(S$2,Inputs!$K$4:$AJ$4,0)))+SUMPRODUCT((Inputs!$C$5:$C$130=$B58)*Inputs!$D$5:$D$130*(((Inputs!$G$5:$G$130="moeda")+(Inputs!$G$5:$G$130="acoes"))*Inputs!$B$1+((Inputs!$G$5:$G$130&lt;&gt;"moeda")*(Inputs!$G$5:$G$130&lt;&gt;"acoes")))*INDEX(Inputs!$K$5:$AJ$130,0,MATCH(S$2,Inputs!$K$4:$AJ$4,0)))+SUMPRODUCT((Inputs!$E$5:$E$130=$B58)*Inputs!$F$5:$F$130*(((Inputs!$G$5:$G$130="moeda")+(Inputs!$G$5:$G$130="acoes"))*Inputs!$B$1+((Inputs!$G$5:$G$130&lt;&gt;"moeda")*(Inputs!$G$5:$G$130&lt;&gt;"acoes")))*INDEX(Inputs!$K$5:$AJ$130,0,MATCH(S$2,Inputs!$K$4:$AJ$4,0)))))</f>
        <v>668</v>
      </c>
      <c r="T58" s="263">
        <f>IF(ISNA(MATCH(T$2,Inputs!$K$4:$AJ$4,0)),NA(),IF(SUMPRODUCT((Inputs!$A$5:$A$130=$B58)*ISNUMBER(INDEX(Inputs!$K$5:$AJ$130,0,MATCH(T$2,Inputs!$K$4:$AJ$4,0))))+SUMPRODUCT((Inputs!$C$5:$C$130=$B58)*ISNUMBER(INDEX(Inputs!$K$5:$AJ$130,0,MATCH(T$2,Inputs!$K$4:$AJ$4,0))))+SUMPRODUCT((Inputs!$E$5:$E$130=$B58)*ISNUMBER(INDEX(Inputs!$K$5:$AJ$130,0,MATCH(T$2,Inputs!$K$4:$AJ$4,0))))=0,NA(),SUMPRODUCT((Inputs!$A$5:$A$130=$B58)*Inputs!$B$5:$B$130*(((Inputs!$G$5:$G$130="moeda")+(Inputs!$G$5:$G$130="acoes"))*Inputs!$B$1+((Inputs!$G$5:$G$130&lt;&gt;"moeda")*(Inputs!$G$5:$G$130&lt;&gt;"acoes")))*INDEX(Inputs!$K$5:$AJ$130,0,MATCH(T$2,Inputs!$K$4:$AJ$4,0)))+SUMPRODUCT((Inputs!$C$5:$C$130=$B58)*Inputs!$D$5:$D$130*(((Inputs!$G$5:$G$130="moeda")+(Inputs!$G$5:$G$130="acoes"))*Inputs!$B$1+((Inputs!$G$5:$G$130&lt;&gt;"moeda")*(Inputs!$G$5:$G$130&lt;&gt;"acoes")))*INDEX(Inputs!$K$5:$AJ$130,0,MATCH(T$2,Inputs!$K$4:$AJ$4,0)))+SUMPRODUCT((Inputs!$E$5:$E$130=$B58)*Inputs!$F$5:$F$130*(((Inputs!$G$5:$G$130="moeda")+(Inputs!$G$5:$G$130="acoes"))*Inputs!$B$1+((Inputs!$G$5:$G$130&lt;&gt;"moeda")*(Inputs!$G$5:$G$130&lt;&gt;"acoes")))*INDEX(Inputs!$K$5:$AJ$130,0,MATCH(T$2,Inputs!$K$4:$AJ$4,0)))))</f>
        <v>448</v>
      </c>
      <c r="U58" s="263">
        <f>IF(ISNA(MATCH(U$2,Inputs!$K$4:$AJ$4,0)),NA(),IF(SUMPRODUCT((Inputs!$A$5:$A$130=$B58)*ISNUMBER(INDEX(Inputs!$K$5:$AJ$130,0,MATCH(U$2,Inputs!$K$4:$AJ$4,0))))+SUMPRODUCT((Inputs!$C$5:$C$130=$B58)*ISNUMBER(INDEX(Inputs!$K$5:$AJ$130,0,MATCH(U$2,Inputs!$K$4:$AJ$4,0))))+SUMPRODUCT((Inputs!$E$5:$E$130=$B58)*ISNUMBER(INDEX(Inputs!$K$5:$AJ$130,0,MATCH(U$2,Inputs!$K$4:$AJ$4,0))))=0,NA(),SUMPRODUCT((Inputs!$A$5:$A$130=$B58)*Inputs!$B$5:$B$130*(((Inputs!$G$5:$G$130="moeda")+(Inputs!$G$5:$G$130="acoes"))*Inputs!$B$1+((Inputs!$G$5:$G$130&lt;&gt;"moeda")*(Inputs!$G$5:$G$130&lt;&gt;"acoes")))*INDEX(Inputs!$K$5:$AJ$130,0,MATCH(U$2,Inputs!$K$4:$AJ$4,0)))+SUMPRODUCT((Inputs!$C$5:$C$130=$B58)*Inputs!$D$5:$D$130*(((Inputs!$G$5:$G$130="moeda")+(Inputs!$G$5:$G$130="acoes"))*Inputs!$B$1+((Inputs!$G$5:$G$130&lt;&gt;"moeda")*(Inputs!$G$5:$G$130&lt;&gt;"acoes")))*INDEX(Inputs!$K$5:$AJ$130,0,MATCH(U$2,Inputs!$K$4:$AJ$4,0)))+SUMPRODUCT((Inputs!$E$5:$E$130=$B58)*Inputs!$F$5:$F$130*(((Inputs!$G$5:$G$130="moeda")+(Inputs!$G$5:$G$130="acoes"))*Inputs!$B$1+((Inputs!$G$5:$G$130&lt;&gt;"moeda")*(Inputs!$G$5:$G$130&lt;&gt;"acoes")))*INDEX(Inputs!$K$5:$AJ$130,0,MATCH(U$2,Inputs!$K$4:$AJ$4,0)))))</f>
        <v>327</v>
      </c>
      <c r="V58" s="263">
        <f>IF(ISNA(MATCH(V$2,Inputs!$K$4:$AJ$4,0)),NA(),IF(SUMPRODUCT((Inputs!$A$5:$A$130=$B58)*ISNUMBER(INDEX(Inputs!$K$5:$AJ$130,0,MATCH(V$2,Inputs!$K$4:$AJ$4,0))))+SUMPRODUCT((Inputs!$C$5:$C$130=$B58)*ISNUMBER(INDEX(Inputs!$K$5:$AJ$130,0,MATCH(V$2,Inputs!$K$4:$AJ$4,0))))+SUMPRODUCT((Inputs!$E$5:$E$130=$B58)*ISNUMBER(INDEX(Inputs!$K$5:$AJ$130,0,MATCH(V$2,Inputs!$K$4:$AJ$4,0))))=0,NA(),SUMPRODUCT((Inputs!$A$5:$A$130=$B58)*Inputs!$B$5:$B$130*(((Inputs!$G$5:$G$130="moeda")+(Inputs!$G$5:$G$130="acoes"))*Inputs!$B$1+((Inputs!$G$5:$G$130&lt;&gt;"moeda")*(Inputs!$G$5:$G$130&lt;&gt;"acoes")))*INDEX(Inputs!$K$5:$AJ$130,0,MATCH(V$2,Inputs!$K$4:$AJ$4,0)))+SUMPRODUCT((Inputs!$C$5:$C$130=$B58)*Inputs!$D$5:$D$130*(((Inputs!$G$5:$G$130="moeda")+(Inputs!$G$5:$G$130="acoes"))*Inputs!$B$1+((Inputs!$G$5:$G$130&lt;&gt;"moeda")*(Inputs!$G$5:$G$130&lt;&gt;"acoes")))*INDEX(Inputs!$K$5:$AJ$130,0,MATCH(V$2,Inputs!$K$4:$AJ$4,0)))+SUMPRODUCT((Inputs!$E$5:$E$130=$B58)*Inputs!$F$5:$F$130*(((Inputs!$G$5:$G$130="moeda")+(Inputs!$G$5:$G$130="acoes"))*Inputs!$B$1+((Inputs!$G$5:$G$130&lt;&gt;"moeda")*(Inputs!$G$5:$G$130&lt;&gt;"acoes")))*INDEX(Inputs!$K$5:$AJ$130,0,MATCH(V$2,Inputs!$K$4:$AJ$4,0)))))</f>
        <v>65</v>
      </c>
      <c r="W58" s="264">
        <f>SUM(S58:V58)</f>
        <v>1508</v>
      </c>
      <c r="X58" s="263">
        <f>IF(ISNA(MATCH(X$2,Inputs!$K$4:$AJ$4,0)),NA(),IF(SUMPRODUCT((Inputs!$A$5:$A$130=$B58)*ISNUMBER(INDEX(Inputs!$K$5:$AJ$130,0,MATCH(X$2,Inputs!$K$4:$AJ$4,0))))+SUMPRODUCT((Inputs!$C$5:$C$130=$B58)*ISNUMBER(INDEX(Inputs!$K$5:$AJ$130,0,MATCH(X$2,Inputs!$K$4:$AJ$4,0))))+SUMPRODUCT((Inputs!$E$5:$E$130=$B58)*ISNUMBER(INDEX(Inputs!$K$5:$AJ$130,0,MATCH(X$2,Inputs!$K$4:$AJ$4,0))))=0,NA(),SUMPRODUCT((Inputs!$A$5:$A$130=$B58)*Inputs!$B$5:$B$130*(((Inputs!$G$5:$G$130="moeda")+(Inputs!$G$5:$G$130="acoes"))*Inputs!$B$1+((Inputs!$G$5:$G$130&lt;&gt;"moeda")*(Inputs!$G$5:$G$130&lt;&gt;"acoes")))*INDEX(Inputs!$K$5:$AJ$130,0,MATCH(X$2,Inputs!$K$4:$AJ$4,0)))+SUMPRODUCT((Inputs!$C$5:$C$130=$B58)*Inputs!$D$5:$D$130*(((Inputs!$G$5:$G$130="moeda")+(Inputs!$G$5:$G$130="acoes"))*Inputs!$B$1+((Inputs!$G$5:$G$130&lt;&gt;"moeda")*(Inputs!$G$5:$G$130&lt;&gt;"acoes")))*INDEX(Inputs!$K$5:$AJ$130,0,MATCH(X$2,Inputs!$K$4:$AJ$4,0)))+SUMPRODUCT((Inputs!$E$5:$E$130=$B58)*Inputs!$F$5:$F$130*(((Inputs!$G$5:$G$130="moeda")+(Inputs!$G$5:$G$130="acoes"))*Inputs!$B$1+((Inputs!$G$5:$G$130&lt;&gt;"moeda")*(Inputs!$G$5:$G$130&lt;&gt;"acoes")))*INDEX(Inputs!$K$5:$AJ$130,0,MATCH(X$2,Inputs!$K$4:$AJ$4,0)))))</f>
        <v>379</v>
      </c>
      <c r="Y58" s="263">
        <f>IF(ISNA(MATCH(Y$2,Inputs!$K$4:$AJ$4,0)),NA(),IF(SUMPRODUCT((Inputs!$A$5:$A$130=$B58)*ISNUMBER(INDEX(Inputs!$K$5:$AJ$130,0,MATCH(Y$2,Inputs!$K$4:$AJ$4,0))))+SUMPRODUCT((Inputs!$C$5:$C$130=$B58)*ISNUMBER(INDEX(Inputs!$K$5:$AJ$130,0,MATCH(Y$2,Inputs!$K$4:$AJ$4,0))))+SUMPRODUCT((Inputs!$E$5:$E$130=$B58)*ISNUMBER(INDEX(Inputs!$K$5:$AJ$130,0,MATCH(Y$2,Inputs!$K$4:$AJ$4,0))))=0,NA(),SUMPRODUCT((Inputs!$A$5:$A$130=$B58)*Inputs!$B$5:$B$130*(((Inputs!$G$5:$G$130="moeda")+(Inputs!$G$5:$G$130="acoes"))*Inputs!$B$1+((Inputs!$G$5:$G$130&lt;&gt;"moeda")*(Inputs!$G$5:$G$130&lt;&gt;"acoes")))*INDEX(Inputs!$K$5:$AJ$130,0,MATCH(Y$2,Inputs!$K$4:$AJ$4,0)))+SUMPRODUCT((Inputs!$C$5:$C$130=$B58)*Inputs!$D$5:$D$130*(((Inputs!$G$5:$G$130="moeda")+(Inputs!$G$5:$G$130="acoes"))*Inputs!$B$1+((Inputs!$G$5:$G$130&lt;&gt;"moeda")*(Inputs!$G$5:$G$130&lt;&gt;"acoes")))*INDEX(Inputs!$K$5:$AJ$130,0,MATCH(Y$2,Inputs!$K$4:$AJ$4,0)))+SUMPRODUCT((Inputs!$E$5:$E$130=$B58)*Inputs!$F$5:$F$130*(((Inputs!$G$5:$G$130="moeda")+(Inputs!$G$5:$G$130="acoes"))*Inputs!$B$1+((Inputs!$G$5:$G$130&lt;&gt;"moeda")*(Inputs!$G$5:$G$130&lt;&gt;"acoes")))*INDEX(Inputs!$K$5:$AJ$130,0,MATCH(Y$2,Inputs!$K$4:$AJ$4,0)))))</f>
        <v>237</v>
      </c>
      <c r="Z58" s="263">
        <f>IF(ISNA(MATCH(Z$2,Inputs!$K$4:$AJ$4,0)),NA(),IF(SUMPRODUCT((Inputs!$A$5:$A$130=$B58)*ISNUMBER(INDEX(Inputs!$K$5:$AJ$130,0,MATCH(Z$2,Inputs!$K$4:$AJ$4,0))))+SUMPRODUCT((Inputs!$C$5:$C$130=$B58)*ISNUMBER(INDEX(Inputs!$K$5:$AJ$130,0,MATCH(Z$2,Inputs!$K$4:$AJ$4,0))))+SUMPRODUCT((Inputs!$E$5:$E$130=$B58)*ISNUMBER(INDEX(Inputs!$K$5:$AJ$130,0,MATCH(Z$2,Inputs!$K$4:$AJ$4,0))))=0,NA(),SUMPRODUCT((Inputs!$A$5:$A$130=$B58)*Inputs!$B$5:$B$130*(((Inputs!$G$5:$G$130="moeda")+(Inputs!$G$5:$G$130="acoes"))*Inputs!$B$1+((Inputs!$G$5:$G$130&lt;&gt;"moeda")*(Inputs!$G$5:$G$130&lt;&gt;"acoes")))*INDEX(Inputs!$K$5:$AJ$130,0,MATCH(Z$2,Inputs!$K$4:$AJ$4,0)))+SUMPRODUCT((Inputs!$C$5:$C$130=$B58)*Inputs!$D$5:$D$130*(((Inputs!$G$5:$G$130="moeda")+(Inputs!$G$5:$G$130="acoes"))*Inputs!$B$1+((Inputs!$G$5:$G$130&lt;&gt;"moeda")*(Inputs!$G$5:$G$130&lt;&gt;"acoes")))*INDEX(Inputs!$K$5:$AJ$130,0,MATCH(Z$2,Inputs!$K$4:$AJ$4,0)))+SUMPRODUCT((Inputs!$E$5:$E$130=$B58)*Inputs!$F$5:$F$130*(((Inputs!$G$5:$G$130="moeda")+(Inputs!$G$5:$G$130="acoes"))*Inputs!$B$1+((Inputs!$G$5:$G$130&lt;&gt;"moeda")*(Inputs!$G$5:$G$130&lt;&gt;"acoes")))*INDEX(Inputs!$K$5:$AJ$130,0,MATCH(Z$2,Inputs!$K$4:$AJ$4,0)))))</f>
        <v>347</v>
      </c>
      <c r="AA58" s="263">
        <f>IF(ISNA(MATCH(AA$2,Inputs!$K$4:$AJ$4,0)),NA(),IF(SUMPRODUCT((Inputs!$A$5:$A$130=$B58)*ISNUMBER(INDEX(Inputs!$K$5:$AJ$130,0,MATCH(AA$2,Inputs!$K$4:$AJ$4,0))))+SUMPRODUCT((Inputs!$C$5:$C$130=$B58)*ISNUMBER(INDEX(Inputs!$K$5:$AJ$130,0,MATCH(AA$2,Inputs!$K$4:$AJ$4,0))))+SUMPRODUCT((Inputs!$E$5:$E$130=$B58)*ISNUMBER(INDEX(Inputs!$K$5:$AJ$130,0,MATCH(AA$2,Inputs!$K$4:$AJ$4,0))))=0,NA(),SUMPRODUCT((Inputs!$A$5:$A$130=$B58)*Inputs!$B$5:$B$130*(((Inputs!$G$5:$G$130="moeda")+(Inputs!$G$5:$G$130="acoes"))*Inputs!$B$1+((Inputs!$G$5:$G$130&lt;&gt;"moeda")*(Inputs!$G$5:$G$130&lt;&gt;"acoes")))*INDEX(Inputs!$K$5:$AJ$130,0,MATCH(AA$2,Inputs!$K$4:$AJ$4,0)))+SUMPRODUCT((Inputs!$C$5:$C$130=$B58)*Inputs!$D$5:$D$130*(((Inputs!$G$5:$G$130="moeda")+(Inputs!$G$5:$G$130="acoes"))*Inputs!$B$1+((Inputs!$G$5:$G$130&lt;&gt;"moeda")*(Inputs!$G$5:$G$130&lt;&gt;"acoes")))*INDEX(Inputs!$K$5:$AJ$130,0,MATCH(AA$2,Inputs!$K$4:$AJ$4,0)))+SUMPRODUCT((Inputs!$E$5:$E$130=$B58)*Inputs!$F$5:$F$130*(((Inputs!$G$5:$G$130="moeda")+(Inputs!$G$5:$G$130="acoes"))*Inputs!$B$1+((Inputs!$G$5:$G$130&lt;&gt;"moeda")*(Inputs!$G$5:$G$130&lt;&gt;"acoes")))*INDEX(Inputs!$K$5:$AJ$130,0,MATCH(AA$2,Inputs!$K$4:$AJ$4,0)))))</f>
        <v>137</v>
      </c>
      <c r="AB58" s="264">
        <f>SUM(X58:AA58)</f>
        <v>1100</v>
      </c>
      <c r="AC58" s="263">
        <f>IF(ISNA(MATCH(AC$2,Inputs!$K$4:$AJ$4,0)),NA(),IF(SUMPRODUCT((Inputs!$A$5:$A$130=$B58)*ISNUMBER(INDEX(Inputs!$K$5:$AJ$130,0,MATCH(AC$2,Inputs!$K$4:$AJ$4,0))))+SUMPRODUCT((Inputs!$C$5:$C$130=$B58)*ISNUMBER(INDEX(Inputs!$K$5:$AJ$130,0,MATCH(AC$2,Inputs!$K$4:$AJ$4,0))))+SUMPRODUCT((Inputs!$E$5:$E$130=$B58)*ISNUMBER(INDEX(Inputs!$K$5:$AJ$130,0,MATCH(AC$2,Inputs!$K$4:$AJ$4,0))))=0,NA(),SUMPRODUCT((Inputs!$A$5:$A$130=$B58)*Inputs!$B$5:$B$130*(((Inputs!$G$5:$G$130="moeda")+(Inputs!$G$5:$G$130="acoes"))*Inputs!$B$1+((Inputs!$G$5:$G$130&lt;&gt;"moeda")*(Inputs!$G$5:$G$130&lt;&gt;"acoes")))*INDEX(Inputs!$K$5:$AJ$130,0,MATCH(AC$2,Inputs!$K$4:$AJ$4,0)))+SUMPRODUCT((Inputs!$C$5:$C$130=$B58)*Inputs!$D$5:$D$130*(((Inputs!$G$5:$G$130="moeda")+(Inputs!$G$5:$G$130="acoes"))*Inputs!$B$1+((Inputs!$G$5:$G$130&lt;&gt;"moeda")*(Inputs!$G$5:$G$130&lt;&gt;"acoes")))*INDEX(Inputs!$K$5:$AJ$130,0,MATCH(AC$2,Inputs!$K$4:$AJ$4,0)))+SUMPRODUCT((Inputs!$E$5:$E$130=$B58)*Inputs!$F$5:$F$130*(((Inputs!$G$5:$G$130="moeda")+(Inputs!$G$5:$G$130="acoes"))*Inputs!$B$1+((Inputs!$G$5:$G$130&lt;&gt;"moeda")*(Inputs!$G$5:$G$130&lt;&gt;"acoes")))*INDEX(Inputs!$K$5:$AJ$130,0,MATCH(AC$2,Inputs!$K$4:$AJ$4,0)))))</f>
        <v>561</v>
      </c>
      <c r="AD58" s="263">
        <f>IF(ISNA(MATCH(AD$2,Inputs!$K$4:$AJ$4,0)),NA(),IF(SUMPRODUCT((Inputs!$A$5:$A$130=$B58)*ISNUMBER(INDEX(Inputs!$K$5:$AJ$130,0,MATCH(AD$2,Inputs!$K$4:$AJ$4,0))))+SUMPRODUCT((Inputs!$C$5:$C$130=$B58)*ISNUMBER(INDEX(Inputs!$K$5:$AJ$130,0,MATCH(AD$2,Inputs!$K$4:$AJ$4,0))))+SUMPRODUCT((Inputs!$E$5:$E$130=$B58)*ISNUMBER(INDEX(Inputs!$K$5:$AJ$130,0,MATCH(AD$2,Inputs!$K$4:$AJ$4,0))))=0,NA(),SUMPRODUCT((Inputs!$A$5:$A$130=$B58)*Inputs!$B$5:$B$130*(((Inputs!$G$5:$G$130="moeda")+(Inputs!$G$5:$G$130="acoes"))*Inputs!$B$1+((Inputs!$G$5:$G$130&lt;&gt;"moeda")*(Inputs!$G$5:$G$130&lt;&gt;"acoes")))*INDEX(Inputs!$K$5:$AJ$130,0,MATCH(AD$2,Inputs!$K$4:$AJ$4,0)))+SUMPRODUCT((Inputs!$C$5:$C$130=$B58)*Inputs!$D$5:$D$130*(((Inputs!$G$5:$G$130="moeda")+(Inputs!$G$5:$G$130="acoes"))*Inputs!$B$1+((Inputs!$G$5:$G$130&lt;&gt;"moeda")*(Inputs!$G$5:$G$130&lt;&gt;"acoes")))*INDEX(Inputs!$K$5:$AJ$130,0,MATCH(AD$2,Inputs!$K$4:$AJ$4,0)))+SUMPRODUCT((Inputs!$E$5:$E$130=$B58)*Inputs!$F$5:$F$130*(((Inputs!$G$5:$G$130="moeda")+(Inputs!$G$5:$G$130="acoes"))*Inputs!$B$1+((Inputs!$G$5:$G$130&lt;&gt;"moeda")*(Inputs!$G$5:$G$130&lt;&gt;"acoes")))*INDEX(Inputs!$K$5:$AJ$130,0,MATCH(AD$2,Inputs!$K$4:$AJ$4,0)))))</f>
        <v>436</v>
      </c>
      <c r="AE58" s="263" t="e">
        <f>IF(ISNA(MATCH(AE$2,Inputs!$K$4:$AJ$4,0)),NA(),IF(SUMPRODUCT((Inputs!$A$5:$A$130=$B58)*ISNUMBER(INDEX(Inputs!$K$5:$AJ$130,0,MATCH(AE$2,Inputs!$K$4:$AJ$4,0))))+SUMPRODUCT((Inputs!$C$5:$C$130=$B58)*ISNUMBER(INDEX(Inputs!$K$5:$AJ$130,0,MATCH(AE$2,Inputs!$K$4:$AJ$4,0))))+SUMPRODUCT((Inputs!$E$5:$E$130=$B58)*ISNUMBER(INDEX(Inputs!$K$5:$AJ$130,0,MATCH(AE$2,Inputs!$K$4:$AJ$4,0))))=0,NA(),SUMPRODUCT((Inputs!$A$5:$A$130=$B58)*Inputs!$B$5:$B$130*(((Inputs!$G$5:$G$130="moeda")+(Inputs!$G$5:$G$130="acoes"))*Inputs!$B$1+((Inputs!$G$5:$G$130&lt;&gt;"moeda")*(Inputs!$G$5:$G$130&lt;&gt;"acoes")))*INDEX(Inputs!$K$5:$AJ$130,0,MATCH(AE$2,Inputs!$K$4:$AJ$4,0)))+SUMPRODUCT((Inputs!$C$5:$C$130=$B58)*Inputs!$D$5:$D$130*(((Inputs!$G$5:$G$130="moeda")+(Inputs!$G$5:$G$130="acoes"))*Inputs!$B$1+((Inputs!$G$5:$G$130&lt;&gt;"moeda")*(Inputs!$G$5:$G$130&lt;&gt;"acoes")))*INDEX(Inputs!$K$5:$AJ$130,0,MATCH(AE$2,Inputs!$K$4:$AJ$4,0)))+SUMPRODUCT((Inputs!$E$5:$E$130=$B58)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8" s="263" t="e">
        <f>IF(ISNA(MATCH(AF$2,Inputs!$K$4:$AJ$4,0)),NA(),IF(SUMPRODUCT((Inputs!$A$5:$A$130=$B58)*ISNUMBER(INDEX(Inputs!$K$5:$AJ$130,0,MATCH(AF$2,Inputs!$K$4:$AJ$4,0))))+SUMPRODUCT((Inputs!$C$5:$C$130=$B58)*ISNUMBER(INDEX(Inputs!$K$5:$AJ$130,0,MATCH(AF$2,Inputs!$K$4:$AJ$4,0))))+SUMPRODUCT((Inputs!$E$5:$E$130=$B58)*ISNUMBER(INDEX(Inputs!$K$5:$AJ$130,0,MATCH(AF$2,Inputs!$K$4:$AJ$4,0))))=0,NA(),SUMPRODUCT((Inputs!$A$5:$A$130=$B58)*Inputs!$B$5:$B$130*(((Inputs!$G$5:$G$130="moeda")+(Inputs!$G$5:$G$130="acoes"))*Inputs!$B$1+((Inputs!$G$5:$G$130&lt;&gt;"moeda")*(Inputs!$G$5:$G$130&lt;&gt;"acoes")))*INDEX(Inputs!$K$5:$AJ$130,0,MATCH(AF$2,Inputs!$K$4:$AJ$4,0)))+SUMPRODUCT((Inputs!$C$5:$C$130=$B58)*Inputs!$D$5:$D$130*(((Inputs!$G$5:$G$130="moeda")+(Inputs!$G$5:$G$130="acoes"))*Inputs!$B$1+((Inputs!$G$5:$G$130&lt;&gt;"moeda")*(Inputs!$G$5:$G$130&lt;&gt;"acoes")))*INDEX(Inputs!$K$5:$AJ$130,0,MATCH(AF$2,Inputs!$K$4:$AJ$4,0)))+SUMPRODUCT((Inputs!$E$5:$E$130=$B58)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$130=$B58)*ISNUMBER(INDEX(Inputs!$K$5:$AJ$130,0,MATCH(AH$2,Inputs!$K$4:$AJ$4,0))))+SUMPRODUCT((Inputs!$C$5:$C$130=$B58)*ISNUMBER(INDEX(Inputs!$K$5:$AJ$130,0,MATCH(AH$2,Inputs!$K$4:$AJ$4,0))))+SUMPRODUCT((Inputs!$E$5:$E$130=$B58)*ISNUMBER(INDEX(Inputs!$K$5:$AJ$130,0,MATCH(AH$2,Inputs!$K$4:$AJ$4,0))))=0,NA(),SUMPRODUCT((Inputs!$A$5:$A$130=$B58)*Inputs!$B$5:$B$130*(((Inputs!$G$5:$G$130="moeda")+(Inputs!$G$5:$G$130="acoes"))*Inputs!$B$1+((Inputs!$G$5:$G$130&lt;&gt;"moeda")*(Inputs!$G$5:$G$130&lt;&gt;"acoes")))*INDEX(Inputs!$K$5:$AJ$130,0,MATCH(AH$2,Inputs!$K$4:$AJ$4,0)))+SUMPRODUCT((Inputs!$C$5:$C$130=$B58)*Inputs!$D$5:$D$130*(((Inputs!$G$5:$G$130="moeda")+(Inputs!$G$5:$G$130="acoes"))*Inputs!$B$1+((Inputs!$G$5:$G$130&lt;&gt;"moeda")*(Inputs!$G$5:$G$130&lt;&gt;"acoes")))*INDEX(Inputs!$K$5:$AJ$130,0,MATCH(AH$2,Inputs!$K$4:$AJ$4,0)))+SUMPRODUCT((Inputs!$E$5:$E$130=$B58)*Inputs!$F$5:$F$130*(((Inputs!$G$5:$G$130="moeda")+(Inputs!$G$5:$G$130="acoes"))*Inputs!$B$1+((Inputs!$G$5:$G$130&lt;&gt;"moeda")*(Inputs!$G$5:$G$130&lt;&gt;"acoes")))*INDEX(Inputs!$K$5:$AJ$130,0,MATCH(AH$2,Inputs!$K$4:$AJ$4,0)))))</f>
        <v>96</v>
      </c>
      <c r="AI58" s="263">
        <f>IF(ISNA(MATCH(AI$2,Inputs!$K$4:$AJ$4,0)),NA(),IF(SUMPRODUCT((Inputs!$A$5:$A$130=$B58)*ISNUMBER(INDEX(Inputs!$K$5:$AJ$130,0,MATCH(AI$2,Inputs!$K$4:$AJ$4,0))))+SUMPRODUCT((Inputs!$C$5:$C$130=$B58)*ISNUMBER(INDEX(Inputs!$K$5:$AJ$130,0,MATCH(AI$2,Inputs!$K$4:$AJ$4,0))))+SUMPRODUCT((Inputs!$E$5:$E$130=$B58)*ISNUMBER(INDEX(Inputs!$K$5:$AJ$130,0,MATCH(AI$2,Inputs!$K$4:$AJ$4,0))))=0,NA(),SUMPRODUCT((Inputs!$A$5:$A$130=$B58)*Inputs!$B$5:$B$130*(((Inputs!$G$5:$G$130="moeda")+(Inputs!$G$5:$G$130="acoes"))*Inputs!$B$1+((Inputs!$G$5:$G$130&lt;&gt;"moeda")*(Inputs!$G$5:$G$130&lt;&gt;"acoes")))*INDEX(Inputs!$K$5:$AJ$130,0,MATCH(AI$2,Inputs!$K$4:$AJ$4,0)))+SUMPRODUCT((Inputs!$C$5:$C$130=$B58)*Inputs!$D$5:$D$130*(((Inputs!$G$5:$G$130="moeda")+(Inputs!$G$5:$G$130="acoes"))*Inputs!$B$1+((Inputs!$G$5:$G$130&lt;&gt;"moeda")*(Inputs!$G$5:$G$130&lt;&gt;"acoes")))*INDEX(Inputs!$K$5:$AJ$130,0,MATCH(AI$2,Inputs!$K$4:$AJ$4,0)))+SUMPRODUCT((Inputs!$E$5:$E$130=$B58)*Inputs!$F$5:$F$130*(((Inputs!$G$5:$G$130="moeda")+(Inputs!$G$5:$G$130="acoes"))*Inputs!$B$1+((Inputs!$G$5:$G$130&lt;&gt;"moeda")*(Inputs!$G$5:$G$130&lt;&gt;"acoes")))*INDEX(Inputs!$K$5:$AJ$130,0,MATCH(AI$2,Inputs!$K$4:$AJ$4,0)))))</f>
        <v>205</v>
      </c>
      <c r="AJ58" s="263">
        <f>IF(ISNA(MATCH(AJ$2,Inputs!$K$4:$AJ$4,0)),NA(),IF(SUMPRODUCT((Inputs!$A$5:$A$130=$B58)*ISNUMBER(INDEX(Inputs!$K$5:$AJ$130,0,MATCH(AJ$2,Inputs!$K$4:$AJ$4,0))))+SUMPRODUCT((Inputs!$C$5:$C$130=$B58)*ISNUMBER(INDEX(Inputs!$K$5:$AJ$130,0,MATCH(AJ$2,Inputs!$K$4:$AJ$4,0))))+SUMPRODUCT((Inputs!$E$5:$E$130=$B58)*ISNUMBER(INDEX(Inputs!$K$5:$AJ$130,0,MATCH(AJ$2,Inputs!$K$4:$AJ$4,0))))=0,NA(),SUMPRODUCT((Inputs!$A$5:$A$130=$B58)*Inputs!$B$5:$B$130*(((Inputs!$G$5:$G$130="moeda")+(Inputs!$G$5:$G$130="acoes"))*Inputs!$B$1+((Inputs!$G$5:$G$130&lt;&gt;"moeda")*(Inputs!$G$5:$G$130&lt;&gt;"acoes")))*INDEX(Inputs!$K$5:$AJ$130,0,MATCH(AJ$2,Inputs!$K$4:$AJ$4,0)))+SUMPRODUCT((Inputs!$C$5:$C$130=$B58)*Inputs!$D$5:$D$130*(((Inputs!$G$5:$G$130="moeda")+(Inputs!$G$5:$G$130="acoes"))*Inputs!$B$1+((Inputs!$G$5:$G$130&lt;&gt;"moeda")*(Inputs!$G$5:$G$130&lt;&gt;"acoes")))*INDEX(Inputs!$K$5:$AJ$130,0,MATCH(AJ$2,Inputs!$K$4:$AJ$4,0)))+SUMPRODUCT((Inputs!$E$5:$E$130=$B58)*Inputs!$F$5:$F$130*(((Inputs!$G$5:$G$130="moeda")+(Inputs!$G$5:$G$130="acoes"))*Inputs!$B$1+((Inputs!$G$5:$G$130&lt;&gt;"moeda")*(Inputs!$G$5:$G$130&lt;&gt;"acoes")))*INDEX(Inputs!$K$5:$AJ$130,0,MATCH(AJ$2,Inputs!$K$4:$AJ$4,0)))))</f>
        <v>196</v>
      </c>
      <c r="AK58" s="263">
        <f>IF(ISNA(MATCH(AK$2,Inputs!$K$4:$AJ$4,0)),NA(),IF(SUMPRODUCT((Inputs!$A$5:$A$130=$B58)*ISNUMBER(INDEX(Inputs!$K$5:$AJ$130,0,MATCH(AK$2,Inputs!$K$4:$AJ$4,0))))+SUMPRODUCT((Inputs!$C$5:$C$130=$B58)*ISNUMBER(INDEX(Inputs!$K$5:$AJ$130,0,MATCH(AK$2,Inputs!$K$4:$AJ$4,0))))+SUMPRODUCT((Inputs!$E$5:$E$130=$B58)*ISNUMBER(INDEX(Inputs!$K$5:$AJ$130,0,MATCH(AK$2,Inputs!$K$4:$AJ$4,0))))=0,NA(),SUMPRODUCT((Inputs!$A$5:$A$130=$B58)*Inputs!$B$5:$B$130*(((Inputs!$G$5:$G$130="moeda")+(Inputs!$G$5:$G$130="acoes"))*Inputs!$B$1+((Inputs!$G$5:$G$130&lt;&gt;"moeda")*(Inputs!$G$5:$G$130&lt;&gt;"acoes")))*INDEX(Inputs!$K$5:$AJ$130,0,MATCH(AK$2,Inputs!$K$4:$AJ$4,0)))+SUMPRODUCT((Inputs!$C$5:$C$130=$B58)*Inputs!$D$5:$D$130*(((Inputs!$G$5:$G$130="moeda")+(Inputs!$G$5:$G$130="acoes"))*Inputs!$B$1+((Inputs!$G$5:$G$130&lt;&gt;"moeda")*(Inputs!$G$5:$G$130&lt;&gt;"acoes")))*INDEX(Inputs!$K$5:$AJ$130,0,MATCH(AK$2,Inputs!$K$4:$AJ$4,0)))+SUMPRODUCT((Inputs!$E$5:$E$130=$B58)*Inputs!$F$5:$F$130*(((Inputs!$G$5:$G$130="moeda")+(Inputs!$G$5:$G$130="acoes"))*Inputs!$B$1+((Inputs!$G$5:$G$130&lt;&gt;"moeda")*(Inputs!$G$5:$G$130&lt;&gt;"acoes")))*INDEX(Inputs!$K$5:$AJ$130,0,MATCH(AK$2,Inputs!$K$4:$AJ$4,0)))))</f>
        <v>268</v>
      </c>
      <c r="AL58" s="264">
        <f>SUM(AH58:AK58)</f>
        <v>765</v>
      </c>
    </row>
    <row r="59">
      <c r="B59" s="46" t="n">
        <v>51</v>
      </c>
      <c r="C59" s="29" t="inlineStr">
        <is>
          <t>Financial Services - receita (USD)</t>
        </is>
      </c>
      <c r="D59" s="263">
        <f>IF(ISNA(MATCH(D$2,Inputs!$K$4:$AJ$4,0)),NA(),IF(SUMPRODUCT((Inputs!$A$5:$A$130=$B59)*ISNUMBER(INDEX(Inputs!$K$5:$AJ$130,0,MATCH(D$2,Inputs!$K$4:$AJ$4,0))))+SUMPRODUCT((Inputs!$C$5:$C$130=$B59)*ISNUMBER(INDEX(Inputs!$K$5:$AJ$130,0,MATCH(D$2,Inputs!$K$4:$AJ$4,0))))+SUMPRODUCT((Inputs!$E$5:$E$130=$B59)*ISNUMBER(INDEX(Inputs!$K$5:$AJ$130,0,MATCH(D$2,Inputs!$K$4:$AJ$4,0))))=0,NA(),SUMPRODUCT((Inputs!$A$5:$A$130=$B59)*Inputs!$B$5:$B$130*(((Inputs!$G$5:$G$130="moeda")+(Inputs!$G$5:$G$130="acoes"))*Inputs!$B$1+((Inputs!$G$5:$G$130&lt;&gt;"moeda")*(Inputs!$G$5:$G$130&lt;&gt;"acoes")))*INDEX(Inputs!$K$5:$AJ$130,0,MATCH(D$2,Inputs!$K$4:$AJ$4,0)))+SUMPRODUCT((Inputs!$C$5:$C$130=$B59)*Inputs!$D$5:$D$130*(((Inputs!$G$5:$G$130="moeda")+(Inputs!$G$5:$G$130="acoes"))*Inputs!$B$1+((Inputs!$G$5:$G$130&lt;&gt;"moeda")*(Inputs!$G$5:$G$130&lt;&gt;"acoes")))*INDEX(Inputs!$K$5:$AJ$130,0,MATCH(D$2,Inputs!$K$4:$AJ$4,0)))+SUMPRODUCT((Inputs!$E$5:$E$130=$B59)*Inputs!$F$5:$F$130*(((Inputs!$G$5:$G$130="moeda")+(Inputs!$G$5:$G$130="acoes"))*Inputs!$B$1+((Inputs!$G$5:$G$130&lt;&gt;"moeda")*(Inputs!$G$5:$G$130&lt;&gt;"acoes")))*INDEX(Inputs!$K$5:$AJ$130,0,MATCH(D$2,Inputs!$K$4:$AJ$4,0)))))</f>
        <v>892</v>
      </c>
      <c r="E59" s="263">
        <f>IF(ISNA(MATCH(E$2,Inputs!$K$4:$AJ$4,0)),NA(),IF(SUMPRODUCT((Inputs!$A$5:$A$130=$B59)*ISNUMBER(INDEX(Inputs!$K$5:$AJ$130,0,MATCH(E$2,Inputs!$K$4:$AJ$4,0))))+SUMPRODUCT((Inputs!$C$5:$C$130=$B59)*ISNUMBER(INDEX(Inputs!$K$5:$AJ$130,0,MATCH(E$2,Inputs!$K$4:$AJ$4,0))))+SUMPRODUCT((Inputs!$E$5:$E$130=$B59)*ISNUMBER(INDEX(Inputs!$K$5:$AJ$130,0,MATCH(E$2,Inputs!$K$4:$AJ$4,0))))=0,NA(),SUMPRODUCT((Inputs!$A$5:$A$130=$B59)*Inputs!$B$5:$B$130*(((Inputs!$G$5:$G$130="moeda")+(Inputs!$G$5:$G$130="acoes"))*Inputs!$B$1+((Inputs!$G$5:$G$130&lt;&gt;"moeda")*(Inputs!$G$5:$G$130&lt;&gt;"acoes")))*INDEX(Inputs!$K$5:$AJ$130,0,MATCH(E$2,Inputs!$K$4:$AJ$4,0)))+SUMPRODUCT((Inputs!$C$5:$C$130=$B59)*Inputs!$D$5:$D$130*(((Inputs!$G$5:$G$130="moeda")+(Inputs!$G$5:$G$130="acoes"))*Inputs!$B$1+((Inputs!$G$5:$G$130&lt;&gt;"moeda")*(Inputs!$G$5:$G$130&lt;&gt;"acoes")))*INDEX(Inputs!$K$5:$AJ$130,0,MATCH(E$2,Inputs!$K$4:$AJ$4,0)))+SUMPRODUCT((Inputs!$E$5:$E$130=$B59)*Inputs!$F$5:$F$130*(((Inputs!$G$5:$G$130="moeda")+(Inputs!$G$5:$G$130="acoes"))*Inputs!$B$1+((Inputs!$G$5:$G$130&lt;&gt;"moeda")*(Inputs!$G$5:$G$130&lt;&gt;"acoes")))*INDEX(Inputs!$K$5:$AJ$130,0,MATCH(E$2,Inputs!$K$4:$AJ$4,0)))))</f>
        <v>902</v>
      </c>
      <c r="F59" s="263">
        <f>IF(ISNA(MATCH(F$2,Inputs!$K$4:$AJ$4,0)),NA(),IF(SUMPRODUCT((Inputs!$A$5:$A$130=$B59)*ISNUMBER(INDEX(Inputs!$K$5:$AJ$130,0,MATCH(F$2,Inputs!$K$4:$AJ$4,0))))+SUMPRODUCT((Inputs!$C$5:$C$130=$B59)*ISNUMBER(INDEX(Inputs!$K$5:$AJ$130,0,MATCH(F$2,Inputs!$K$4:$AJ$4,0))))+SUMPRODUCT((Inputs!$E$5:$E$130=$B59)*ISNUMBER(INDEX(Inputs!$K$5:$AJ$130,0,MATCH(F$2,Inputs!$K$4:$AJ$4,0))))=0,NA(),SUMPRODUCT((Inputs!$A$5:$A$130=$B59)*Inputs!$B$5:$B$130*(((Inputs!$G$5:$G$130="moeda")+(Inputs!$G$5:$G$130="acoes"))*Inputs!$B$1+((Inputs!$G$5:$G$130&lt;&gt;"moeda")*(Inputs!$G$5:$G$130&lt;&gt;"acoes")))*INDEX(Inputs!$K$5:$AJ$130,0,MATCH(F$2,Inputs!$K$4:$AJ$4,0)))+SUMPRODUCT((Inputs!$C$5:$C$130=$B59)*Inputs!$D$5:$D$130*(((Inputs!$G$5:$G$130="moeda")+(Inputs!$G$5:$G$130="acoes"))*Inputs!$B$1+((Inputs!$G$5:$G$130&lt;&gt;"moeda")*(Inputs!$G$5:$G$130&lt;&gt;"acoes")))*INDEX(Inputs!$K$5:$AJ$130,0,MATCH(F$2,Inputs!$K$4:$AJ$4,0)))+SUMPRODUCT((Inputs!$E$5:$E$130=$B59)*Inputs!$F$5:$F$130*(((Inputs!$G$5:$G$130="moeda")+(Inputs!$G$5:$G$130="acoes"))*Inputs!$B$1+((Inputs!$G$5:$G$130&lt;&gt;"moeda")*(Inputs!$G$5:$G$130&lt;&gt;"acoes")))*INDEX(Inputs!$K$5:$AJ$130,0,MATCH(F$2,Inputs!$K$4:$AJ$4,0)))))</f>
        <v>869</v>
      </c>
      <c r="G59" s="263">
        <f>IF(ISNA(MATCH(G$2,Inputs!$K$4:$AJ$4,0)),NA(),IF(SUMPRODUCT((Inputs!$A$5:$A$130=$B59)*ISNUMBER(INDEX(Inputs!$K$5:$AJ$130,0,MATCH(G$2,Inputs!$K$4:$AJ$4,0))))+SUMPRODUCT((Inputs!$C$5:$C$130=$B59)*ISNUMBER(INDEX(Inputs!$K$5:$AJ$130,0,MATCH(G$2,Inputs!$K$4:$AJ$4,0))))+SUMPRODUCT((Inputs!$E$5:$E$130=$B59)*ISNUMBER(INDEX(Inputs!$K$5:$AJ$130,0,MATCH(G$2,Inputs!$K$4:$AJ$4,0))))=0,NA(),SUMPRODUCT((Inputs!$A$5:$A$130=$B59)*Inputs!$B$5:$B$130*(((Inputs!$G$5:$G$130="moeda")+(Inputs!$G$5:$G$130="acoes"))*Inputs!$B$1+((Inputs!$G$5:$G$130&lt;&gt;"moeda")*(Inputs!$G$5:$G$130&lt;&gt;"acoes")))*INDEX(Inputs!$K$5:$AJ$130,0,MATCH(G$2,Inputs!$K$4:$AJ$4,0)))+SUMPRODUCT((Inputs!$C$5:$C$130=$B59)*Inputs!$D$5:$D$130*(((Inputs!$G$5:$G$130="moeda")+(Inputs!$G$5:$G$130="acoes"))*Inputs!$B$1+((Inputs!$G$5:$G$130&lt;&gt;"moeda")*(Inputs!$G$5:$G$130&lt;&gt;"acoes")))*INDEX(Inputs!$K$5:$AJ$130,0,MATCH(G$2,Inputs!$K$4:$AJ$4,0)))+SUMPRODUCT((Inputs!$E$5:$E$130=$B59)*Inputs!$F$5:$F$130*(((Inputs!$G$5:$G$130="moeda")+(Inputs!$G$5:$G$130="acoes"))*Inputs!$B$1+((Inputs!$G$5:$G$130&lt;&gt;"moeda")*(Inputs!$G$5:$G$130&lt;&gt;"acoes")))*INDEX(Inputs!$K$5:$AJ$130,0,MATCH(G$2,Inputs!$K$4:$AJ$4,0)))))</f>
        <v>870</v>
      </c>
      <c r="H59" s="264">
        <f>SUM(D59:G59)</f>
        <v>3533</v>
      </c>
      <c r="I59" s="263">
        <f>IF(ISNA(MATCH(I$2,Inputs!$K$4:$AJ$4,0)),NA(),IF(SUMPRODUCT((Inputs!$A$5:$A$130=$B59)*ISNUMBER(INDEX(Inputs!$K$5:$AJ$130,0,MATCH(I$2,Inputs!$K$4:$AJ$4,0))))+SUMPRODUCT((Inputs!$C$5:$C$130=$B59)*ISNUMBER(INDEX(Inputs!$K$5:$AJ$130,0,MATCH(I$2,Inputs!$K$4:$AJ$4,0))))+SUMPRODUCT((Inputs!$E$5:$E$130=$B59)*ISNUMBER(INDEX(Inputs!$K$5:$AJ$130,0,MATCH(I$2,Inputs!$K$4:$AJ$4,0))))=0,NA(),SUMPRODUCT((Inputs!$A$5:$A$130=$B59)*Inputs!$B$5:$B$130*(((Inputs!$G$5:$G$130="moeda")+(Inputs!$G$5:$G$130="acoes"))*Inputs!$B$1+((Inputs!$G$5:$G$130&lt;&gt;"moeda")*(Inputs!$G$5:$G$130&lt;&gt;"acoes")))*INDEX(Inputs!$K$5:$AJ$130,0,MATCH(I$2,Inputs!$K$4:$AJ$4,0)))+SUMPRODUCT((Inputs!$C$5:$C$130=$B59)*Inputs!$D$5:$D$130*(((Inputs!$G$5:$G$130="moeda")+(Inputs!$G$5:$G$130="acoes"))*Inputs!$B$1+((Inputs!$G$5:$G$130&lt;&gt;"moeda")*(Inputs!$G$5:$G$130&lt;&gt;"acoes")))*INDEX(Inputs!$K$5:$AJ$130,0,MATCH(I$2,Inputs!$K$4:$AJ$4,0)))+SUMPRODUCT((Inputs!$E$5:$E$130=$B59)*Inputs!$F$5:$F$130*(((Inputs!$G$5:$G$130="moeda")+(Inputs!$G$5:$G$130="acoes"))*Inputs!$B$1+((Inputs!$G$5:$G$130&lt;&gt;"moeda")*(Inputs!$G$5:$G$130&lt;&gt;"acoes")))*INDEX(Inputs!$K$5:$AJ$130,0,MATCH(I$2,Inputs!$K$4:$AJ$4,0)))))</f>
        <v>864</v>
      </c>
      <c r="J59" s="263">
        <f>IF(ISNA(MATCH(J$2,Inputs!$K$4:$AJ$4,0)),NA(),IF(SUMPRODUCT((Inputs!$A$5:$A$130=$B59)*ISNUMBER(INDEX(Inputs!$K$5:$AJ$130,0,MATCH(J$2,Inputs!$K$4:$AJ$4,0))))+SUMPRODUCT((Inputs!$C$5:$C$130=$B59)*ISNUMBER(INDEX(Inputs!$K$5:$AJ$130,0,MATCH(J$2,Inputs!$K$4:$AJ$4,0))))+SUMPRODUCT((Inputs!$E$5:$E$130=$B59)*ISNUMBER(INDEX(Inputs!$K$5:$AJ$130,0,MATCH(J$2,Inputs!$K$4:$AJ$4,0))))=0,NA(),SUMPRODUCT((Inputs!$A$5:$A$130=$B59)*Inputs!$B$5:$B$130*(((Inputs!$G$5:$G$130="moeda")+(Inputs!$G$5:$G$130="acoes"))*Inputs!$B$1+((Inputs!$G$5:$G$130&lt;&gt;"moeda")*(Inputs!$G$5:$G$130&lt;&gt;"acoes")))*INDEX(Inputs!$K$5:$AJ$130,0,MATCH(J$2,Inputs!$K$4:$AJ$4,0)))+SUMPRODUCT((Inputs!$C$5:$C$130=$B59)*Inputs!$D$5:$D$130*(((Inputs!$G$5:$G$130="moeda")+(Inputs!$G$5:$G$130="acoes"))*Inputs!$B$1+((Inputs!$G$5:$G$130&lt;&gt;"moeda")*(Inputs!$G$5:$G$130&lt;&gt;"acoes")))*INDEX(Inputs!$K$5:$AJ$130,0,MATCH(J$2,Inputs!$K$4:$AJ$4,0)))+SUMPRODUCT((Inputs!$E$5:$E$130=$B59)*Inputs!$F$5:$F$130*(((Inputs!$G$5:$G$130="moeda")+(Inputs!$G$5:$G$130="acoes"))*Inputs!$B$1+((Inputs!$G$5:$G$130&lt;&gt;"moeda")*(Inputs!$G$5:$G$130&lt;&gt;"acoes")))*INDEX(Inputs!$K$5:$AJ$130,0,MATCH(J$2,Inputs!$K$4:$AJ$4,0)))))</f>
        <v>903</v>
      </c>
      <c r="K59" s="263">
        <f>IF(ISNA(MATCH(K$2,Inputs!$K$4:$AJ$4,0)),NA(),IF(SUMPRODUCT((Inputs!$A$5:$A$130=$B59)*ISNUMBER(INDEX(Inputs!$K$5:$AJ$130,0,MATCH(K$2,Inputs!$K$4:$AJ$4,0))))+SUMPRODUCT((Inputs!$C$5:$C$130=$B59)*ISNUMBER(INDEX(Inputs!$K$5:$AJ$130,0,MATCH(K$2,Inputs!$K$4:$AJ$4,0))))+SUMPRODUCT((Inputs!$E$5:$E$130=$B59)*ISNUMBER(INDEX(Inputs!$K$5:$AJ$130,0,MATCH(K$2,Inputs!$K$4:$AJ$4,0))))=0,NA(),SUMPRODUCT((Inputs!$A$5:$A$130=$B59)*Inputs!$B$5:$B$130*(((Inputs!$G$5:$G$130="moeda")+(Inputs!$G$5:$G$130="acoes"))*Inputs!$B$1+((Inputs!$G$5:$G$130&lt;&gt;"moeda")*(Inputs!$G$5:$G$130&lt;&gt;"acoes")))*INDEX(Inputs!$K$5:$AJ$130,0,MATCH(K$2,Inputs!$K$4:$AJ$4,0)))+SUMPRODUCT((Inputs!$C$5:$C$130=$B59)*Inputs!$D$5:$D$130*(((Inputs!$G$5:$G$130="moeda")+(Inputs!$G$5:$G$130="acoes"))*Inputs!$B$1+((Inputs!$G$5:$G$130&lt;&gt;"moeda")*(Inputs!$G$5:$G$130&lt;&gt;"acoes")))*INDEX(Inputs!$K$5:$AJ$130,0,MATCH(K$2,Inputs!$K$4:$AJ$4,0)))+SUMPRODUCT((Inputs!$E$5:$E$130=$B59)*Inputs!$F$5:$F$130*(((Inputs!$G$5:$G$130="moeda")+(Inputs!$G$5:$G$130="acoes"))*Inputs!$B$1+((Inputs!$G$5:$G$130&lt;&gt;"moeda")*(Inputs!$G$5:$G$130&lt;&gt;"acoes")))*INDEX(Inputs!$K$5:$AJ$130,0,MATCH(K$2,Inputs!$K$4:$AJ$4,0)))))</f>
        <v>988</v>
      </c>
      <c r="L59" s="263">
        <f>IF(ISNA(MATCH(L$2,Inputs!$K$4:$AJ$4,0)),NA(),IF(SUMPRODUCT((Inputs!$A$5:$A$130=$B59)*ISNUMBER(INDEX(Inputs!$K$5:$AJ$130,0,MATCH(L$2,Inputs!$K$4:$AJ$4,0))))+SUMPRODUCT((Inputs!$C$5:$C$130=$B59)*ISNUMBER(INDEX(Inputs!$K$5:$AJ$130,0,MATCH(L$2,Inputs!$K$4:$AJ$4,0))))+SUMPRODUCT((Inputs!$E$5:$E$130=$B59)*ISNUMBER(INDEX(Inputs!$K$5:$AJ$130,0,MATCH(L$2,Inputs!$K$4:$AJ$4,0))))=0,NA(),SUMPRODUCT((Inputs!$A$5:$A$130=$B59)*Inputs!$B$5:$B$130*(((Inputs!$G$5:$G$130="moeda")+(Inputs!$G$5:$G$130="acoes"))*Inputs!$B$1+((Inputs!$G$5:$G$130&lt;&gt;"moeda")*(Inputs!$G$5:$G$130&lt;&gt;"acoes")))*INDEX(Inputs!$K$5:$AJ$130,0,MATCH(L$2,Inputs!$K$4:$AJ$4,0)))+SUMPRODUCT((Inputs!$C$5:$C$130=$B59)*Inputs!$D$5:$D$130*(((Inputs!$G$5:$G$130="moeda")+(Inputs!$G$5:$G$130="acoes"))*Inputs!$B$1+((Inputs!$G$5:$G$130&lt;&gt;"moeda")*(Inputs!$G$5:$G$130&lt;&gt;"acoes")))*INDEX(Inputs!$K$5:$AJ$130,0,MATCH(L$2,Inputs!$K$4:$AJ$4,0)))+SUMPRODUCT((Inputs!$E$5:$E$130=$B59)*Inputs!$F$5:$F$130*(((Inputs!$G$5:$G$130="moeda")+(Inputs!$G$5:$G$130="acoes"))*Inputs!$B$1+((Inputs!$G$5:$G$130&lt;&gt;"moeda")*(Inputs!$G$5:$G$130&lt;&gt;"acoes")))*INDEX(Inputs!$K$5:$AJ$130,0,MATCH(L$2,Inputs!$K$4:$AJ$4,0)))))</f>
        <v>1040</v>
      </c>
      <c r="M59" s="264">
        <f>SUM(I59:L59)</f>
        <v>3795</v>
      </c>
      <c r="N59" s="263">
        <f>IF(ISNA(MATCH(N$2,Inputs!$K$4:$AJ$4,0)),NA(),IF(SUMPRODUCT((Inputs!$A$5:$A$130=$B59)*ISNUMBER(INDEX(Inputs!$K$5:$AJ$130,0,MATCH(N$2,Inputs!$K$4:$AJ$4,0))))+SUMPRODUCT((Inputs!$C$5:$C$130=$B59)*ISNUMBER(INDEX(Inputs!$K$5:$AJ$130,0,MATCH(N$2,Inputs!$K$4:$AJ$4,0))))+SUMPRODUCT((Inputs!$E$5:$E$130=$B59)*ISNUMBER(INDEX(Inputs!$K$5:$AJ$130,0,MATCH(N$2,Inputs!$K$4:$AJ$4,0))))=0,NA(),SUMPRODUCT((Inputs!$A$5:$A$130=$B59)*Inputs!$B$5:$B$130*(((Inputs!$G$5:$G$130="moeda")+(Inputs!$G$5:$G$130="acoes"))*Inputs!$B$1+((Inputs!$G$5:$G$130&lt;&gt;"moeda")*(Inputs!$G$5:$G$130&lt;&gt;"acoes")))*INDEX(Inputs!$K$5:$AJ$130,0,MATCH(N$2,Inputs!$K$4:$AJ$4,0)))+SUMPRODUCT((Inputs!$C$5:$C$130=$B59)*Inputs!$D$5:$D$130*(((Inputs!$G$5:$G$130="moeda")+(Inputs!$G$5:$G$130="acoes"))*Inputs!$B$1+((Inputs!$G$5:$G$130&lt;&gt;"moeda")*(Inputs!$G$5:$G$130&lt;&gt;"acoes")))*INDEX(Inputs!$K$5:$AJ$130,0,MATCH(N$2,Inputs!$K$4:$AJ$4,0)))+SUMPRODUCT((Inputs!$E$5:$E$130=$B59)*Inputs!$F$5:$F$130*(((Inputs!$G$5:$G$130="moeda")+(Inputs!$G$5:$G$130="acoes"))*Inputs!$B$1+((Inputs!$G$5:$G$130&lt;&gt;"moeda")*(Inputs!$G$5:$G$130&lt;&gt;"acoes")))*INDEX(Inputs!$K$5:$AJ$130,0,MATCH(N$2,Inputs!$K$4:$AJ$4,0)))))</f>
        <v>1107</v>
      </c>
      <c r="O59" s="263">
        <f>IF(ISNA(MATCH(O$2,Inputs!$K$4:$AJ$4,0)),NA(),IF(SUMPRODUCT((Inputs!$A$5:$A$130=$B59)*ISNUMBER(INDEX(Inputs!$K$5:$AJ$130,0,MATCH(O$2,Inputs!$K$4:$AJ$4,0))))+SUMPRODUCT((Inputs!$C$5:$C$130=$B59)*ISNUMBER(INDEX(Inputs!$K$5:$AJ$130,0,MATCH(O$2,Inputs!$K$4:$AJ$4,0))))+SUMPRODUCT((Inputs!$E$5:$E$130=$B59)*ISNUMBER(INDEX(Inputs!$K$5:$AJ$130,0,MATCH(O$2,Inputs!$K$4:$AJ$4,0))))=0,NA(),SUMPRODUCT((Inputs!$A$5:$A$130=$B59)*Inputs!$B$5:$B$130*(((Inputs!$G$5:$G$130="moeda")+(Inputs!$G$5:$G$130="acoes"))*Inputs!$B$1+((Inputs!$G$5:$G$130&lt;&gt;"moeda")*(Inputs!$G$5:$G$130&lt;&gt;"acoes")))*INDEX(Inputs!$K$5:$AJ$130,0,MATCH(O$2,Inputs!$K$4:$AJ$4,0)))+SUMPRODUCT((Inputs!$C$5:$C$130=$B59)*Inputs!$D$5:$D$130*(((Inputs!$G$5:$G$130="moeda")+(Inputs!$G$5:$G$130="acoes"))*Inputs!$B$1+((Inputs!$G$5:$G$130&lt;&gt;"moeda")*(Inputs!$G$5:$G$130&lt;&gt;"acoes")))*INDEX(Inputs!$K$5:$AJ$130,0,MATCH(O$2,Inputs!$K$4:$AJ$4,0)))+SUMPRODUCT((Inputs!$E$5:$E$130=$B59)*Inputs!$F$5:$F$130*(((Inputs!$G$5:$G$130="moeda")+(Inputs!$G$5:$G$130="acoes"))*Inputs!$B$1+((Inputs!$G$5:$G$130&lt;&gt;"moeda")*(Inputs!$G$5:$G$130&lt;&gt;"acoes")))*INDEX(Inputs!$K$5:$AJ$130,0,MATCH(O$2,Inputs!$K$4:$AJ$4,0)))))</f>
        <v>1228</v>
      </c>
      <c r="P59" s="263">
        <f>IF(ISNA(MATCH(P$2,Inputs!$K$4:$AJ$4,0)),NA(),IF(SUMPRODUCT((Inputs!$A$5:$A$130=$B59)*ISNUMBER(INDEX(Inputs!$K$5:$AJ$130,0,MATCH(P$2,Inputs!$K$4:$AJ$4,0))))+SUMPRODUCT((Inputs!$C$5:$C$130=$B59)*ISNUMBER(INDEX(Inputs!$K$5:$AJ$130,0,MATCH(P$2,Inputs!$K$4:$AJ$4,0))))+SUMPRODUCT((Inputs!$E$5:$E$130=$B59)*ISNUMBER(INDEX(Inputs!$K$5:$AJ$130,0,MATCH(P$2,Inputs!$K$4:$AJ$4,0))))=0,NA(),SUMPRODUCT((Inputs!$A$5:$A$130=$B59)*Inputs!$B$5:$B$130*(((Inputs!$G$5:$G$130="moeda")+(Inputs!$G$5:$G$130="acoes"))*Inputs!$B$1+((Inputs!$G$5:$G$130&lt;&gt;"moeda")*(Inputs!$G$5:$G$130&lt;&gt;"acoes")))*INDEX(Inputs!$K$5:$AJ$130,0,MATCH(P$2,Inputs!$K$4:$AJ$4,0)))+SUMPRODUCT((Inputs!$C$5:$C$130=$B59)*Inputs!$D$5:$D$130*(((Inputs!$G$5:$G$130="moeda")+(Inputs!$G$5:$G$130="acoes"))*Inputs!$B$1+((Inputs!$G$5:$G$130&lt;&gt;"moeda")*(Inputs!$G$5:$G$130&lt;&gt;"acoes")))*INDEX(Inputs!$K$5:$AJ$130,0,MATCH(P$2,Inputs!$K$4:$AJ$4,0)))+SUMPRODUCT((Inputs!$E$5:$E$130=$B59)*Inputs!$F$5:$F$130*(((Inputs!$G$5:$G$130="moeda")+(Inputs!$G$5:$G$130="acoes"))*Inputs!$B$1+((Inputs!$G$5:$G$130&lt;&gt;"moeda")*(Inputs!$G$5:$G$130&lt;&gt;"acoes")))*INDEX(Inputs!$K$5:$AJ$130,0,MATCH(P$2,Inputs!$K$4:$AJ$4,0)))))</f>
        <v>1346</v>
      </c>
      <c r="Q59" s="263">
        <f>IF(ISNA(MATCH(Q$2,Inputs!$K$4:$AJ$4,0)),NA(),IF(SUMPRODUCT((Inputs!$A$5:$A$130=$B59)*ISNUMBER(INDEX(Inputs!$K$5:$AJ$130,0,MATCH(Q$2,Inputs!$K$4:$AJ$4,0))))+SUMPRODUCT((Inputs!$C$5:$C$130=$B59)*ISNUMBER(INDEX(Inputs!$K$5:$AJ$130,0,MATCH(Q$2,Inputs!$K$4:$AJ$4,0))))+SUMPRODUCT((Inputs!$E$5:$E$130=$B59)*ISNUMBER(INDEX(Inputs!$K$5:$AJ$130,0,MATCH(Q$2,Inputs!$K$4:$AJ$4,0))))=0,NA(),SUMPRODUCT((Inputs!$A$5:$A$130=$B59)*Inputs!$B$5:$B$130*(((Inputs!$G$5:$G$130="moeda")+(Inputs!$G$5:$G$130="acoes"))*Inputs!$B$1+((Inputs!$G$5:$G$130&lt;&gt;"moeda")*(Inputs!$G$5:$G$130&lt;&gt;"acoes")))*INDEX(Inputs!$K$5:$AJ$130,0,MATCH(Q$2,Inputs!$K$4:$AJ$4,0)))+SUMPRODUCT((Inputs!$C$5:$C$130=$B59)*Inputs!$D$5:$D$130*(((Inputs!$G$5:$G$130="moeda")+(Inputs!$G$5:$G$130="acoes"))*Inputs!$B$1+((Inputs!$G$5:$G$130&lt;&gt;"moeda")*(Inputs!$G$5:$G$130&lt;&gt;"acoes")))*INDEX(Inputs!$K$5:$AJ$130,0,MATCH(Q$2,Inputs!$K$4:$AJ$4,0)))+SUMPRODUCT((Inputs!$E$5:$E$130=$B59)*Inputs!$F$5:$F$130*(((Inputs!$G$5:$G$130="moeda")+(Inputs!$G$5:$G$130="acoes"))*Inputs!$B$1+((Inputs!$G$5:$G$130&lt;&gt;"moeda")*(Inputs!$G$5:$G$130&lt;&gt;"acoes")))*INDEX(Inputs!$K$5:$AJ$130,0,MATCH(Q$2,Inputs!$K$4:$AJ$4,0)))))</f>
        <v>1376</v>
      </c>
      <c r="R59" s="264">
        <f>SUM(N59:Q59)</f>
        <v>5057</v>
      </c>
      <c r="S59" s="263">
        <f>IF(ISNA(MATCH(S$2,Inputs!$K$4:$AJ$4,0)),NA(),IF(SUMPRODUCT((Inputs!$A$5:$A$130=$B59)*ISNUMBER(INDEX(Inputs!$K$5:$AJ$130,0,MATCH(S$2,Inputs!$K$4:$AJ$4,0))))+SUMPRODUCT((Inputs!$C$5:$C$130=$B59)*ISNUMBER(INDEX(Inputs!$K$5:$AJ$130,0,MATCH(S$2,Inputs!$K$4:$AJ$4,0))))+SUMPRODUCT((Inputs!$E$5:$E$130=$B59)*ISNUMBER(INDEX(Inputs!$K$5:$AJ$130,0,MATCH(S$2,Inputs!$K$4:$AJ$4,0))))=0,NA(),SUMPRODUCT((Inputs!$A$5:$A$130=$B59)*Inputs!$B$5:$B$130*(((Inputs!$G$5:$G$130="moeda")+(Inputs!$G$5:$G$130="acoes"))*Inputs!$B$1+((Inputs!$G$5:$G$130&lt;&gt;"moeda")*(Inputs!$G$5:$G$130&lt;&gt;"acoes")))*INDEX(Inputs!$K$5:$AJ$130,0,MATCH(S$2,Inputs!$K$4:$AJ$4,0)))+SUMPRODUCT((Inputs!$C$5:$C$130=$B59)*Inputs!$D$5:$D$130*(((Inputs!$G$5:$G$130="moeda")+(Inputs!$G$5:$G$130="acoes"))*Inputs!$B$1+((Inputs!$G$5:$G$130&lt;&gt;"moeda")*(Inputs!$G$5:$G$130&lt;&gt;"acoes")))*INDEX(Inputs!$K$5:$AJ$130,0,MATCH(S$2,Inputs!$K$4:$AJ$4,0)))+SUMPRODUCT((Inputs!$E$5:$E$130=$B59)*Inputs!$F$5:$F$130*(((Inputs!$G$5:$G$130="moeda")+(Inputs!$G$5:$G$130="acoes"))*Inputs!$B$1+((Inputs!$G$5:$G$130&lt;&gt;"moeda")*(Inputs!$G$5:$G$130&lt;&gt;"acoes")))*INDEX(Inputs!$K$5:$AJ$130,0,MATCH(S$2,Inputs!$K$4:$AJ$4,0)))))</f>
        <v>1395</v>
      </c>
      <c r="T59" s="263">
        <f>IF(ISNA(MATCH(T$2,Inputs!$K$4:$AJ$4,0)),NA(),IF(SUMPRODUCT((Inputs!$A$5:$A$130=$B59)*ISNUMBER(INDEX(Inputs!$K$5:$AJ$130,0,MATCH(T$2,Inputs!$K$4:$AJ$4,0))))+SUMPRODUCT((Inputs!$C$5:$C$130=$B59)*ISNUMBER(INDEX(Inputs!$K$5:$AJ$130,0,MATCH(T$2,Inputs!$K$4:$AJ$4,0))))+SUMPRODUCT((Inputs!$E$5:$E$130=$B59)*ISNUMBER(INDEX(Inputs!$K$5:$AJ$130,0,MATCH(T$2,Inputs!$K$4:$AJ$4,0))))=0,NA(),SUMPRODUCT((Inputs!$A$5:$A$130=$B59)*Inputs!$B$5:$B$130*(((Inputs!$G$5:$G$130="moeda")+(Inputs!$G$5:$G$130="acoes"))*Inputs!$B$1+((Inputs!$G$5:$G$130&lt;&gt;"moeda")*(Inputs!$G$5:$G$130&lt;&gt;"acoes")))*INDEX(Inputs!$K$5:$AJ$130,0,MATCH(T$2,Inputs!$K$4:$AJ$4,0)))+SUMPRODUCT((Inputs!$C$5:$C$130=$B59)*Inputs!$D$5:$D$130*(((Inputs!$G$5:$G$130="moeda")+(Inputs!$G$5:$G$130="acoes"))*Inputs!$B$1+((Inputs!$G$5:$G$130&lt;&gt;"moeda")*(Inputs!$G$5:$G$130&lt;&gt;"acoes")))*INDEX(Inputs!$K$5:$AJ$130,0,MATCH(T$2,Inputs!$K$4:$AJ$4,0)))+SUMPRODUCT((Inputs!$E$5:$E$130=$B59)*Inputs!$F$5:$F$130*(((Inputs!$G$5:$G$130="moeda")+(Inputs!$G$5:$G$130="acoes"))*Inputs!$B$1+((Inputs!$G$5:$G$130&lt;&gt;"moeda")*(Inputs!$G$5:$G$130&lt;&gt;"acoes")))*INDEX(Inputs!$K$5:$AJ$130,0,MATCH(T$2,Inputs!$K$4:$AJ$4,0)))))</f>
        <v>1489</v>
      </c>
      <c r="U59" s="263">
        <f>IF(ISNA(MATCH(U$2,Inputs!$K$4:$AJ$4,0)),NA(),IF(SUMPRODUCT((Inputs!$A$5:$A$130=$B59)*ISNUMBER(INDEX(Inputs!$K$5:$AJ$130,0,MATCH(U$2,Inputs!$K$4:$AJ$4,0))))+SUMPRODUCT((Inputs!$C$5:$C$130=$B59)*ISNUMBER(INDEX(Inputs!$K$5:$AJ$130,0,MATCH(U$2,Inputs!$K$4:$AJ$4,0))))+SUMPRODUCT((Inputs!$E$5:$E$130=$B59)*ISNUMBER(INDEX(Inputs!$K$5:$AJ$130,0,MATCH(U$2,Inputs!$K$4:$AJ$4,0))))=0,NA(),SUMPRODUCT((Inputs!$A$5:$A$130=$B59)*Inputs!$B$5:$B$130*(((Inputs!$G$5:$G$130="moeda")+(Inputs!$G$5:$G$130="acoes"))*Inputs!$B$1+((Inputs!$G$5:$G$130&lt;&gt;"moeda")*(Inputs!$G$5:$G$130&lt;&gt;"acoes")))*INDEX(Inputs!$K$5:$AJ$130,0,MATCH(U$2,Inputs!$K$4:$AJ$4,0)))+SUMPRODUCT((Inputs!$C$5:$C$130=$B59)*Inputs!$D$5:$D$130*(((Inputs!$G$5:$G$130="moeda")+(Inputs!$G$5:$G$130="acoes"))*Inputs!$B$1+((Inputs!$G$5:$G$130&lt;&gt;"moeda")*(Inputs!$G$5:$G$130&lt;&gt;"acoes")))*INDEX(Inputs!$K$5:$AJ$130,0,MATCH(U$2,Inputs!$K$4:$AJ$4,0)))+SUMPRODUCT((Inputs!$E$5:$E$130=$B59)*Inputs!$F$5:$F$130*(((Inputs!$G$5:$G$130="moeda")+(Inputs!$G$5:$G$130="acoes"))*Inputs!$B$1+((Inputs!$G$5:$G$130&lt;&gt;"moeda")*(Inputs!$G$5:$G$130&lt;&gt;"acoes")))*INDEX(Inputs!$K$5:$AJ$130,0,MATCH(U$2,Inputs!$K$4:$AJ$4,0)))))</f>
        <v>1523</v>
      </c>
      <c r="V59" s="263">
        <f>IF(ISNA(MATCH(V$2,Inputs!$K$4:$AJ$4,0)),NA(),IF(SUMPRODUCT((Inputs!$A$5:$A$130=$B59)*ISNUMBER(INDEX(Inputs!$K$5:$AJ$130,0,MATCH(V$2,Inputs!$K$4:$AJ$4,0))))+SUMPRODUCT((Inputs!$C$5:$C$130=$B59)*ISNUMBER(INDEX(Inputs!$K$5:$AJ$130,0,MATCH(V$2,Inputs!$K$4:$AJ$4,0))))+SUMPRODUCT((Inputs!$E$5:$E$130=$B59)*ISNUMBER(INDEX(Inputs!$K$5:$AJ$130,0,MATCH(V$2,Inputs!$K$4:$AJ$4,0))))=0,NA(),SUMPRODUCT((Inputs!$A$5:$A$130=$B59)*Inputs!$B$5:$B$130*(((Inputs!$G$5:$G$130="moeda")+(Inputs!$G$5:$G$130="acoes"))*Inputs!$B$1+((Inputs!$G$5:$G$130&lt;&gt;"moeda")*(Inputs!$G$5:$G$130&lt;&gt;"acoes")))*INDEX(Inputs!$K$5:$AJ$130,0,MATCH(V$2,Inputs!$K$4:$AJ$4,0)))+SUMPRODUCT((Inputs!$C$5:$C$130=$B59)*Inputs!$D$5:$D$130*(((Inputs!$G$5:$G$130="moeda")+(Inputs!$G$5:$G$130="acoes"))*Inputs!$B$1+((Inputs!$G$5:$G$130&lt;&gt;"moeda")*(Inputs!$G$5:$G$130&lt;&gt;"acoes")))*INDEX(Inputs!$K$5:$AJ$130,0,MATCH(V$2,Inputs!$K$4:$AJ$4,0)))+SUMPRODUCT((Inputs!$E$5:$E$130=$B59)*Inputs!$F$5:$F$130*(((Inputs!$G$5:$G$130="moeda")+(Inputs!$G$5:$G$130="acoes"))*Inputs!$B$1+((Inputs!$G$5:$G$130&lt;&gt;"moeda")*(Inputs!$G$5:$G$130&lt;&gt;"acoes")))*INDEX(Inputs!$K$5:$AJ$130,0,MATCH(V$2,Inputs!$K$4:$AJ$4,0)))))</f>
        <v>1573</v>
      </c>
      <c r="W59" s="264">
        <f>SUM(S59:V59)</f>
        <v>5980</v>
      </c>
      <c r="X59" s="263">
        <f>IF(ISNA(MATCH(X$2,Inputs!$K$4:$AJ$4,0)),NA(),IF(SUMPRODUCT((Inputs!$A$5:$A$130=$B59)*ISNUMBER(INDEX(Inputs!$K$5:$AJ$130,0,MATCH(X$2,Inputs!$K$4:$AJ$4,0))))+SUMPRODUCT((Inputs!$C$5:$C$130=$B59)*ISNUMBER(INDEX(Inputs!$K$5:$AJ$130,0,MATCH(X$2,Inputs!$K$4:$AJ$4,0))))+SUMPRODUCT((Inputs!$E$5:$E$130=$B59)*ISNUMBER(INDEX(Inputs!$K$5:$AJ$130,0,MATCH(X$2,Inputs!$K$4:$AJ$4,0))))=0,NA(),SUMPRODUCT((Inputs!$A$5:$A$130=$B59)*Inputs!$B$5:$B$130*(((Inputs!$G$5:$G$130="moeda")+(Inputs!$G$5:$G$130="acoes"))*Inputs!$B$1+((Inputs!$G$5:$G$130&lt;&gt;"moeda")*(Inputs!$G$5:$G$130&lt;&gt;"acoes")))*INDEX(Inputs!$K$5:$AJ$130,0,MATCH(X$2,Inputs!$K$4:$AJ$4,0)))+SUMPRODUCT((Inputs!$C$5:$C$130=$B59)*Inputs!$D$5:$D$130*(((Inputs!$G$5:$G$130="moeda")+(Inputs!$G$5:$G$130="acoes"))*Inputs!$B$1+((Inputs!$G$5:$G$130&lt;&gt;"moeda")*(Inputs!$G$5:$G$130&lt;&gt;"acoes")))*INDEX(Inputs!$K$5:$AJ$130,0,MATCH(X$2,Inputs!$K$4:$AJ$4,0)))+SUMPRODUCT((Inputs!$E$5:$E$130=$B59)*Inputs!$F$5:$F$130*(((Inputs!$G$5:$G$130="moeda")+(Inputs!$G$5:$G$130="acoes"))*Inputs!$B$1+((Inputs!$G$5:$G$130&lt;&gt;"moeda")*(Inputs!$G$5:$G$130&lt;&gt;"acoes")))*INDEX(Inputs!$K$5:$AJ$130,0,MATCH(X$2,Inputs!$K$4:$AJ$4,0)))))</f>
        <v>1501</v>
      </c>
      <c r="Y59" s="263">
        <f>IF(ISNA(MATCH(Y$2,Inputs!$K$4:$AJ$4,0)),NA(),IF(SUMPRODUCT((Inputs!$A$5:$A$130=$B59)*ISNUMBER(INDEX(Inputs!$K$5:$AJ$130,0,MATCH(Y$2,Inputs!$K$4:$AJ$4,0))))+SUMPRODUCT((Inputs!$C$5:$C$130=$B59)*ISNUMBER(INDEX(Inputs!$K$5:$AJ$130,0,MATCH(Y$2,Inputs!$K$4:$AJ$4,0))))+SUMPRODUCT((Inputs!$E$5:$E$130=$B59)*ISNUMBER(INDEX(Inputs!$K$5:$AJ$130,0,MATCH(Y$2,Inputs!$K$4:$AJ$4,0))))=0,NA(),SUMPRODUCT((Inputs!$A$5:$A$130=$B59)*Inputs!$B$5:$B$130*(((Inputs!$G$5:$G$130="moeda")+(Inputs!$G$5:$G$130="acoes"))*Inputs!$B$1+((Inputs!$G$5:$G$130&lt;&gt;"moeda")*(Inputs!$G$5:$G$130&lt;&gt;"acoes")))*INDEX(Inputs!$K$5:$AJ$130,0,MATCH(Y$2,Inputs!$K$4:$AJ$4,0)))+SUMPRODUCT((Inputs!$C$5:$C$130=$B59)*Inputs!$D$5:$D$130*(((Inputs!$G$5:$G$130="moeda")+(Inputs!$G$5:$G$130="acoes"))*Inputs!$B$1+((Inputs!$G$5:$G$130&lt;&gt;"moeda")*(Inputs!$G$5:$G$130&lt;&gt;"acoes")))*INDEX(Inputs!$K$5:$AJ$130,0,MATCH(Y$2,Inputs!$K$4:$AJ$4,0)))+SUMPRODUCT((Inputs!$E$5:$E$130=$B59)*Inputs!$F$5:$F$130*(((Inputs!$G$5:$G$130="moeda")+(Inputs!$G$5:$G$130="acoes"))*Inputs!$B$1+((Inputs!$G$5:$G$130&lt;&gt;"moeda")*(Inputs!$G$5:$G$130&lt;&gt;"acoes")))*INDEX(Inputs!$K$5:$AJ$130,0,MATCH(Y$2,Inputs!$K$4:$AJ$4,0)))))</f>
        <v>1544</v>
      </c>
      <c r="Z59" s="263">
        <f>IF(ISNA(MATCH(Z$2,Inputs!$K$4:$AJ$4,0)),NA(),IF(SUMPRODUCT((Inputs!$A$5:$A$130=$B59)*ISNUMBER(INDEX(Inputs!$K$5:$AJ$130,0,MATCH(Z$2,Inputs!$K$4:$AJ$4,0))))+SUMPRODUCT((Inputs!$C$5:$C$130=$B59)*ISNUMBER(INDEX(Inputs!$K$5:$AJ$130,0,MATCH(Z$2,Inputs!$K$4:$AJ$4,0))))+SUMPRODUCT((Inputs!$E$5:$E$130=$B59)*ISNUMBER(INDEX(Inputs!$K$5:$AJ$130,0,MATCH(Z$2,Inputs!$K$4:$AJ$4,0))))=0,NA(),SUMPRODUCT((Inputs!$A$5:$A$130=$B59)*Inputs!$B$5:$B$130*(((Inputs!$G$5:$G$130="moeda")+(Inputs!$G$5:$G$130="acoes"))*Inputs!$B$1+((Inputs!$G$5:$G$130&lt;&gt;"moeda")*(Inputs!$G$5:$G$130&lt;&gt;"acoes")))*INDEX(Inputs!$K$5:$AJ$130,0,MATCH(Z$2,Inputs!$K$4:$AJ$4,0)))+SUMPRODUCT((Inputs!$C$5:$C$130=$B59)*Inputs!$D$5:$D$130*(((Inputs!$G$5:$G$130="moeda")+(Inputs!$G$5:$G$130="acoes"))*Inputs!$B$1+((Inputs!$G$5:$G$130&lt;&gt;"moeda")*(Inputs!$G$5:$G$130&lt;&gt;"acoes")))*INDEX(Inputs!$K$5:$AJ$130,0,MATCH(Z$2,Inputs!$K$4:$AJ$4,0)))+SUMPRODUCT((Inputs!$E$5:$E$130=$B59)*Inputs!$F$5:$F$130*(((Inputs!$G$5:$G$130="moeda")+(Inputs!$G$5:$G$130="acoes"))*Inputs!$B$1+((Inputs!$G$5:$G$130&lt;&gt;"moeda")*(Inputs!$G$5:$G$130&lt;&gt;"acoes")))*INDEX(Inputs!$K$5:$AJ$130,0,MATCH(Z$2,Inputs!$K$4:$AJ$4,0)))))</f>
        <v>1671</v>
      </c>
      <c r="AA59" s="263">
        <f>IF(ISNA(MATCH(AA$2,Inputs!$K$4:$AJ$4,0)),NA(),IF(SUMPRODUCT((Inputs!$A$5:$A$130=$B59)*ISNUMBER(INDEX(Inputs!$K$5:$AJ$130,0,MATCH(AA$2,Inputs!$K$4:$AJ$4,0))))+SUMPRODUCT((Inputs!$C$5:$C$130=$B59)*ISNUMBER(INDEX(Inputs!$K$5:$AJ$130,0,MATCH(AA$2,Inputs!$K$4:$AJ$4,0))))+SUMPRODUCT((Inputs!$E$5:$E$130=$B59)*ISNUMBER(INDEX(Inputs!$K$5:$AJ$130,0,MATCH(AA$2,Inputs!$K$4:$AJ$4,0))))=0,NA(),SUMPRODUCT((Inputs!$A$5:$A$130=$B59)*Inputs!$B$5:$B$130*(((Inputs!$G$5:$G$130="moeda")+(Inputs!$G$5:$G$130="acoes"))*Inputs!$B$1+((Inputs!$G$5:$G$130&lt;&gt;"moeda")*(Inputs!$G$5:$G$130&lt;&gt;"acoes")))*INDEX(Inputs!$K$5:$AJ$130,0,MATCH(AA$2,Inputs!$K$4:$AJ$4,0)))+SUMPRODUCT((Inputs!$C$5:$C$130=$B59)*Inputs!$D$5:$D$130*(((Inputs!$G$5:$G$130="moeda")+(Inputs!$G$5:$G$130="acoes"))*Inputs!$B$1+((Inputs!$G$5:$G$130&lt;&gt;"moeda")*(Inputs!$G$5:$G$130&lt;&gt;"acoes")))*INDEX(Inputs!$K$5:$AJ$130,0,MATCH(AA$2,Inputs!$K$4:$AJ$4,0)))+SUMPRODUCT((Inputs!$E$5:$E$130=$B59)*Inputs!$F$5:$F$130*(((Inputs!$G$5:$G$130="moeda")+(Inputs!$G$5:$G$130="acoes"))*Inputs!$B$1+((Inputs!$G$5:$G$130&lt;&gt;"moeda")*(Inputs!$G$5:$G$130&lt;&gt;"acoes")))*INDEX(Inputs!$K$5:$AJ$130,0,MATCH(AA$2,Inputs!$K$4:$AJ$4,0)))))</f>
        <v>1488</v>
      </c>
      <c r="AB59" s="264">
        <f>SUM(X59:AA59)</f>
        <v>6204</v>
      </c>
      <c r="AC59" s="263">
        <f>IF(ISNA(MATCH(AC$2,Inputs!$K$4:$AJ$4,0)),NA(),IF(SUMPRODUCT((Inputs!$A$5:$A$130=$B59)*ISNUMBER(INDEX(Inputs!$K$5:$AJ$130,0,MATCH(AC$2,Inputs!$K$4:$AJ$4,0))))+SUMPRODUCT((Inputs!$C$5:$C$130=$B59)*ISNUMBER(INDEX(Inputs!$K$5:$AJ$130,0,MATCH(AC$2,Inputs!$K$4:$AJ$4,0))))+SUMPRODUCT((Inputs!$E$5:$E$130=$B59)*ISNUMBER(INDEX(Inputs!$K$5:$AJ$130,0,MATCH(AC$2,Inputs!$K$4:$AJ$4,0))))=0,NA(),SUMPRODUCT((Inputs!$A$5:$A$130=$B59)*Inputs!$B$5:$B$130*(((Inputs!$G$5:$G$130="moeda")+(Inputs!$G$5:$G$130="acoes"))*Inputs!$B$1+((Inputs!$G$5:$G$130&lt;&gt;"moeda")*(Inputs!$G$5:$G$130&lt;&gt;"acoes")))*INDEX(Inputs!$K$5:$AJ$130,0,MATCH(AC$2,Inputs!$K$4:$AJ$4,0)))+SUMPRODUCT((Inputs!$C$5:$C$130=$B59)*Inputs!$D$5:$D$130*(((Inputs!$G$5:$G$130="moeda")+(Inputs!$G$5:$G$130="acoes"))*Inputs!$B$1+((Inputs!$G$5:$G$130&lt;&gt;"moeda")*(Inputs!$G$5:$G$130&lt;&gt;"acoes")))*INDEX(Inputs!$K$5:$AJ$130,0,MATCH(AC$2,Inputs!$K$4:$AJ$4,0)))+SUMPRODUCT((Inputs!$E$5:$E$130=$B59)*Inputs!$F$5:$F$130*(((Inputs!$G$5:$G$130="moeda")+(Inputs!$G$5:$G$130="acoes"))*Inputs!$B$1+((Inputs!$G$5:$G$130&lt;&gt;"moeda")*(Inputs!$G$5:$G$130&lt;&gt;"acoes")))*INDEX(Inputs!$K$5:$AJ$130,0,MATCH(AC$2,Inputs!$K$4:$AJ$4,0)))))</f>
        <v>1509</v>
      </c>
      <c r="AD59" s="263">
        <f>IF(ISNA(MATCH(AD$2,Inputs!$K$4:$AJ$4,0)),NA(),IF(SUMPRODUCT((Inputs!$A$5:$A$130=$B59)*ISNUMBER(INDEX(Inputs!$K$5:$AJ$130,0,MATCH(AD$2,Inputs!$K$4:$AJ$4,0))))+SUMPRODUCT((Inputs!$C$5:$C$130=$B59)*ISNUMBER(INDEX(Inputs!$K$5:$AJ$130,0,MATCH(AD$2,Inputs!$K$4:$AJ$4,0))))+SUMPRODUCT((Inputs!$E$5:$E$130=$B59)*ISNUMBER(INDEX(Inputs!$K$5:$AJ$130,0,MATCH(AD$2,Inputs!$K$4:$AJ$4,0))))=0,NA(),SUMPRODUCT((Inputs!$A$5:$A$130=$B59)*Inputs!$B$5:$B$130*(((Inputs!$G$5:$G$130="moeda")+(Inputs!$G$5:$G$130="acoes"))*Inputs!$B$1+((Inputs!$G$5:$G$130&lt;&gt;"moeda")*(Inputs!$G$5:$G$130&lt;&gt;"acoes")))*INDEX(Inputs!$K$5:$AJ$130,0,MATCH(AD$2,Inputs!$K$4:$AJ$4,0)))+SUMPRODUCT((Inputs!$C$5:$C$130=$B59)*Inputs!$D$5:$D$130*(((Inputs!$G$5:$G$130="moeda")+(Inputs!$G$5:$G$130="acoes"))*Inputs!$B$1+((Inputs!$G$5:$G$130&lt;&gt;"moeda")*(Inputs!$G$5:$G$130&lt;&gt;"acoes")))*INDEX(Inputs!$K$5:$AJ$130,0,MATCH(AD$2,Inputs!$K$4:$AJ$4,0)))+SUMPRODUCT((Inputs!$E$5:$E$130=$B59)*Inputs!$F$5:$F$130*(((Inputs!$G$5:$G$130="moeda")+(Inputs!$G$5:$G$130="acoes"))*Inputs!$B$1+((Inputs!$G$5:$G$130&lt;&gt;"moeda")*(Inputs!$G$5:$G$130&lt;&gt;"acoes")))*INDEX(Inputs!$K$5:$AJ$130,0,MATCH(AD$2,Inputs!$K$4:$AJ$4,0)))))</f>
        <v>1505</v>
      </c>
      <c r="AE59" s="263" t="e">
        <f>IF(ISNA(MATCH(AE$2,Inputs!$K$4:$AJ$4,0)),NA(),IF(SUMPRODUCT((Inputs!$A$5:$A$130=$B59)*ISNUMBER(INDEX(Inputs!$K$5:$AJ$130,0,MATCH(AE$2,Inputs!$K$4:$AJ$4,0))))+SUMPRODUCT((Inputs!$C$5:$C$130=$B59)*ISNUMBER(INDEX(Inputs!$K$5:$AJ$130,0,MATCH(AE$2,Inputs!$K$4:$AJ$4,0))))+SUMPRODUCT((Inputs!$E$5:$E$130=$B59)*ISNUMBER(INDEX(Inputs!$K$5:$AJ$130,0,MATCH(AE$2,Inputs!$K$4:$AJ$4,0))))=0,NA(),SUMPRODUCT((Inputs!$A$5:$A$130=$B59)*Inputs!$B$5:$B$130*(((Inputs!$G$5:$G$130="moeda")+(Inputs!$G$5:$G$130="acoes"))*Inputs!$B$1+((Inputs!$G$5:$G$130&lt;&gt;"moeda")*(Inputs!$G$5:$G$130&lt;&gt;"acoes")))*INDEX(Inputs!$K$5:$AJ$130,0,MATCH(AE$2,Inputs!$K$4:$AJ$4,0)))+SUMPRODUCT((Inputs!$C$5:$C$130=$B59)*Inputs!$D$5:$D$130*(((Inputs!$G$5:$G$130="moeda")+(Inputs!$G$5:$G$130="acoes"))*Inputs!$B$1+((Inputs!$G$5:$G$130&lt;&gt;"moeda")*(Inputs!$G$5:$G$130&lt;&gt;"acoes")))*INDEX(Inputs!$K$5:$AJ$130,0,MATCH(AE$2,Inputs!$K$4:$AJ$4,0)))+SUMPRODUCT((Inputs!$E$5:$E$130=$B59)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9" s="263" t="e">
        <f>IF(ISNA(MATCH(AF$2,Inputs!$K$4:$AJ$4,0)),NA(),IF(SUMPRODUCT((Inputs!$A$5:$A$130=$B59)*ISNUMBER(INDEX(Inputs!$K$5:$AJ$130,0,MATCH(AF$2,Inputs!$K$4:$AJ$4,0))))+SUMPRODUCT((Inputs!$C$5:$C$130=$B59)*ISNUMBER(INDEX(Inputs!$K$5:$AJ$130,0,MATCH(AF$2,Inputs!$K$4:$AJ$4,0))))+SUMPRODUCT((Inputs!$E$5:$E$130=$B59)*ISNUMBER(INDEX(Inputs!$K$5:$AJ$130,0,MATCH(AF$2,Inputs!$K$4:$AJ$4,0))))=0,NA(),SUMPRODUCT((Inputs!$A$5:$A$130=$B59)*Inputs!$B$5:$B$130*(((Inputs!$G$5:$G$130="moeda")+(Inputs!$G$5:$G$130="acoes"))*Inputs!$B$1+((Inputs!$G$5:$G$130&lt;&gt;"moeda")*(Inputs!$G$5:$G$130&lt;&gt;"acoes")))*INDEX(Inputs!$K$5:$AJ$130,0,MATCH(AF$2,Inputs!$K$4:$AJ$4,0)))+SUMPRODUCT((Inputs!$C$5:$C$130=$B59)*Inputs!$D$5:$D$130*(((Inputs!$G$5:$G$130="moeda")+(Inputs!$G$5:$G$130="acoes"))*Inputs!$B$1+((Inputs!$G$5:$G$130&lt;&gt;"moeda")*(Inputs!$G$5:$G$130&lt;&gt;"acoes")))*INDEX(Inputs!$K$5:$AJ$130,0,MATCH(AF$2,Inputs!$K$4:$AJ$4,0)))+SUMPRODUCT((Inputs!$E$5:$E$130=$B59)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$130=$B59)*ISNUMBER(INDEX(Inputs!$K$5:$AJ$130,0,MATCH(AH$2,Inputs!$K$4:$AJ$4,0))))+SUMPRODUCT((Inputs!$C$5:$C$130=$B59)*ISNUMBER(INDEX(Inputs!$K$5:$AJ$130,0,MATCH(AH$2,Inputs!$K$4:$AJ$4,0))))+SUMPRODUCT((Inputs!$E$5:$E$130=$B59)*ISNUMBER(INDEX(Inputs!$K$5:$AJ$130,0,MATCH(AH$2,Inputs!$K$4:$AJ$4,0))))=0,NA(),SUMPRODUCT((Inputs!$A$5:$A$130=$B59)*Inputs!$B$5:$B$130*(((Inputs!$G$5:$G$130="moeda")+(Inputs!$G$5:$G$130="acoes"))*Inputs!$B$1+((Inputs!$G$5:$G$130&lt;&gt;"moeda")*(Inputs!$G$5:$G$130&lt;&gt;"acoes")))*INDEX(Inputs!$K$5:$AJ$130,0,MATCH(AH$2,Inputs!$K$4:$AJ$4,0)))+SUMPRODUCT((Inputs!$C$5:$C$130=$B59)*Inputs!$D$5:$D$130*(((Inputs!$G$5:$G$130="moeda")+(Inputs!$G$5:$G$130="acoes"))*Inputs!$B$1+((Inputs!$G$5:$G$130&lt;&gt;"moeda")*(Inputs!$G$5:$G$130&lt;&gt;"acoes")))*INDEX(Inputs!$K$5:$AJ$130,0,MATCH(AH$2,Inputs!$K$4:$AJ$4,0)))+SUMPRODUCT((Inputs!$E$5:$E$130=$B59)*Inputs!$F$5:$F$130*(((Inputs!$G$5:$G$130="moeda")+(Inputs!$G$5:$G$130="acoes"))*Inputs!$B$1+((Inputs!$G$5:$G$130&lt;&gt;"moeda")*(Inputs!$G$5:$G$130&lt;&gt;"acoes")))*INDEX(Inputs!$K$5:$AJ$130,0,MATCH(AH$2,Inputs!$K$4:$AJ$4,0)))))</f>
        <v>875</v>
      </c>
      <c r="AI59" s="263">
        <f>IF(ISNA(MATCH(AI$2,Inputs!$K$4:$AJ$4,0)),NA(),IF(SUMPRODUCT((Inputs!$A$5:$A$130=$B59)*ISNUMBER(INDEX(Inputs!$K$5:$AJ$130,0,MATCH(AI$2,Inputs!$K$4:$AJ$4,0))))+SUMPRODUCT((Inputs!$C$5:$C$130=$B59)*ISNUMBER(INDEX(Inputs!$K$5:$AJ$130,0,MATCH(AI$2,Inputs!$K$4:$AJ$4,0))))+SUMPRODUCT((Inputs!$E$5:$E$130=$B59)*ISNUMBER(INDEX(Inputs!$K$5:$AJ$130,0,MATCH(AI$2,Inputs!$K$4:$AJ$4,0))))=0,NA(),SUMPRODUCT((Inputs!$A$5:$A$130=$B59)*Inputs!$B$5:$B$130*(((Inputs!$G$5:$G$130="moeda")+(Inputs!$G$5:$G$130="acoes"))*Inputs!$B$1+((Inputs!$G$5:$G$130&lt;&gt;"moeda")*(Inputs!$G$5:$G$130&lt;&gt;"acoes")))*INDEX(Inputs!$K$5:$AJ$130,0,MATCH(AI$2,Inputs!$K$4:$AJ$4,0)))+SUMPRODUCT((Inputs!$C$5:$C$130=$B59)*Inputs!$D$5:$D$130*(((Inputs!$G$5:$G$130="moeda")+(Inputs!$G$5:$G$130="acoes"))*Inputs!$B$1+((Inputs!$G$5:$G$130&lt;&gt;"moeda")*(Inputs!$G$5:$G$130&lt;&gt;"acoes")))*INDEX(Inputs!$K$5:$AJ$130,0,MATCH(AI$2,Inputs!$K$4:$AJ$4,0)))+SUMPRODUCT((Inputs!$E$5:$E$130=$B59)*Inputs!$F$5:$F$130*(((Inputs!$G$5:$G$130="moeda")+(Inputs!$G$5:$G$130="acoes"))*Inputs!$B$1+((Inputs!$G$5:$G$130&lt;&gt;"moeda")*(Inputs!$G$5:$G$130&lt;&gt;"acoes")))*INDEX(Inputs!$K$5:$AJ$130,0,MATCH(AI$2,Inputs!$K$4:$AJ$4,0)))))</f>
        <v>892</v>
      </c>
      <c r="AJ59" s="263">
        <f>IF(ISNA(MATCH(AJ$2,Inputs!$K$4:$AJ$4,0)),NA(),IF(SUMPRODUCT((Inputs!$A$5:$A$130=$B59)*ISNUMBER(INDEX(Inputs!$K$5:$AJ$130,0,MATCH(AJ$2,Inputs!$K$4:$AJ$4,0))))+SUMPRODUCT((Inputs!$C$5:$C$130=$B59)*ISNUMBER(INDEX(Inputs!$K$5:$AJ$130,0,MATCH(AJ$2,Inputs!$K$4:$AJ$4,0))))+SUMPRODUCT((Inputs!$E$5:$E$130=$B59)*ISNUMBER(INDEX(Inputs!$K$5:$AJ$130,0,MATCH(AJ$2,Inputs!$K$4:$AJ$4,0))))=0,NA(),SUMPRODUCT((Inputs!$A$5:$A$130=$B59)*Inputs!$B$5:$B$130*(((Inputs!$G$5:$G$130="moeda")+(Inputs!$G$5:$G$130="acoes"))*Inputs!$B$1+((Inputs!$G$5:$G$130&lt;&gt;"moeda")*(Inputs!$G$5:$G$130&lt;&gt;"acoes")))*INDEX(Inputs!$K$5:$AJ$130,0,MATCH(AJ$2,Inputs!$K$4:$AJ$4,0)))+SUMPRODUCT((Inputs!$C$5:$C$130=$B59)*Inputs!$D$5:$D$130*(((Inputs!$G$5:$G$130="moeda")+(Inputs!$G$5:$G$130="acoes"))*Inputs!$B$1+((Inputs!$G$5:$G$130&lt;&gt;"moeda")*(Inputs!$G$5:$G$130&lt;&gt;"acoes")))*INDEX(Inputs!$K$5:$AJ$130,0,MATCH(AJ$2,Inputs!$K$4:$AJ$4,0)))+SUMPRODUCT((Inputs!$E$5:$E$130=$B59)*Inputs!$F$5:$F$130*(((Inputs!$G$5:$G$130="moeda")+(Inputs!$G$5:$G$130="acoes"))*Inputs!$B$1+((Inputs!$G$5:$G$130&lt;&gt;"moeda")*(Inputs!$G$5:$G$130&lt;&gt;"acoes")))*INDEX(Inputs!$K$5:$AJ$130,0,MATCH(AJ$2,Inputs!$K$4:$AJ$4,0)))))</f>
        <v>890</v>
      </c>
      <c r="AK59" s="263">
        <f>IF(ISNA(MATCH(AK$2,Inputs!$K$4:$AJ$4,0)),NA(),IF(SUMPRODUCT((Inputs!$A$5:$A$130=$B59)*ISNUMBER(INDEX(Inputs!$K$5:$AJ$130,0,MATCH(AK$2,Inputs!$K$4:$AJ$4,0))))+SUMPRODUCT((Inputs!$C$5:$C$130=$B59)*ISNUMBER(INDEX(Inputs!$K$5:$AJ$130,0,MATCH(AK$2,Inputs!$K$4:$AJ$4,0))))+SUMPRODUCT((Inputs!$E$5:$E$130=$B59)*ISNUMBER(INDEX(Inputs!$K$5:$AJ$130,0,MATCH(AK$2,Inputs!$K$4:$AJ$4,0))))=0,NA(),SUMPRODUCT((Inputs!$A$5:$A$130=$B59)*Inputs!$B$5:$B$130*(((Inputs!$G$5:$G$130="moeda")+(Inputs!$G$5:$G$130="acoes"))*Inputs!$B$1+((Inputs!$G$5:$G$130&lt;&gt;"moeda")*(Inputs!$G$5:$G$130&lt;&gt;"acoes")))*INDEX(Inputs!$K$5:$AJ$130,0,MATCH(AK$2,Inputs!$K$4:$AJ$4,0)))+SUMPRODUCT((Inputs!$C$5:$C$130=$B59)*Inputs!$D$5:$D$130*(((Inputs!$G$5:$G$130="moeda")+(Inputs!$G$5:$G$130="acoes"))*Inputs!$B$1+((Inputs!$G$5:$G$130&lt;&gt;"moeda")*(Inputs!$G$5:$G$130&lt;&gt;"acoes")))*INDEX(Inputs!$K$5:$AJ$130,0,MATCH(AK$2,Inputs!$K$4:$AJ$4,0)))+SUMPRODUCT((Inputs!$E$5:$E$130=$B59)*Inputs!$F$5:$F$130*(((Inputs!$G$5:$G$130="moeda")+(Inputs!$G$5:$G$130="acoes"))*Inputs!$B$1+((Inputs!$G$5:$G$130&lt;&gt;"moeda")*(Inputs!$G$5:$G$130&lt;&gt;"acoes")))*INDEX(Inputs!$K$5:$AJ$130,0,MATCH(AK$2,Inputs!$K$4:$AJ$4,0)))))</f>
        <v>884</v>
      </c>
      <c r="AL59" s="264">
        <f>SUM(AH59:AK59)</f>
        <v>3541</v>
      </c>
    </row>
    <row r="60">
      <c r="B60" s="46" t="n">
        <v>52</v>
      </c>
      <c r="C60" s="29" t="inlineStr">
        <is>
          <t>Financial Services - lucro do segmento (USD)</t>
        </is>
      </c>
      <c r="D60" s="263">
        <f>IF(ISNA(MATCH(D$2,Inputs!$K$4:$AJ$4,0)),NA(),IF(SUMPRODUCT((Inputs!$A$5:$A$130=$B60)*ISNUMBER(INDEX(Inputs!$K$5:$AJ$130,0,MATCH(D$2,Inputs!$K$4:$AJ$4,0))))+SUMPRODUCT((Inputs!$C$5:$C$130=$B60)*ISNUMBER(INDEX(Inputs!$K$5:$AJ$130,0,MATCH(D$2,Inputs!$K$4:$AJ$4,0))))+SUMPRODUCT((Inputs!$E$5:$E$130=$B60)*ISNUMBER(INDEX(Inputs!$K$5:$AJ$130,0,MATCH(D$2,Inputs!$K$4:$AJ$4,0))))=0,NA(),SUMPRODUCT((Inputs!$A$5:$A$130=$B60)*Inputs!$B$5:$B$130*(((Inputs!$G$5:$G$130="moeda")+(Inputs!$G$5:$G$130="acoes"))*Inputs!$B$1+((Inputs!$G$5:$G$130&lt;&gt;"moeda")*(Inputs!$G$5:$G$130&lt;&gt;"acoes")))*INDEX(Inputs!$K$5:$AJ$130,0,MATCH(D$2,Inputs!$K$4:$AJ$4,0)))+SUMPRODUCT((Inputs!$C$5:$C$130=$B60)*Inputs!$D$5:$D$130*(((Inputs!$G$5:$G$130="moeda")+(Inputs!$G$5:$G$130="acoes"))*Inputs!$B$1+((Inputs!$G$5:$G$130&lt;&gt;"moeda")*(Inputs!$G$5:$G$130&lt;&gt;"acoes")))*INDEX(Inputs!$K$5:$AJ$130,0,MATCH(D$2,Inputs!$K$4:$AJ$4,0)))+SUMPRODUCT((Inputs!$E$5:$E$130=$B60)*Inputs!$F$5:$F$130*(((Inputs!$G$5:$G$130="moeda")+(Inputs!$G$5:$G$130="acoes"))*Inputs!$B$1+((Inputs!$G$5:$G$130&lt;&gt;"moeda")*(Inputs!$G$5:$G$130&lt;&gt;"acoes")))*INDEX(Inputs!$K$5:$AJ$130,0,MATCH(D$2,Inputs!$K$4:$AJ$4,0)))))</f>
        <v>295</v>
      </c>
      <c r="E60" s="263">
        <f>IF(ISNA(MATCH(E$2,Inputs!$K$4:$AJ$4,0)),NA(),IF(SUMPRODUCT((Inputs!$A$5:$A$130=$B60)*ISNUMBER(INDEX(Inputs!$K$5:$AJ$130,0,MATCH(E$2,Inputs!$K$4:$AJ$4,0))))+SUMPRODUCT((Inputs!$C$5:$C$130=$B60)*ISNUMBER(INDEX(Inputs!$K$5:$AJ$130,0,MATCH(E$2,Inputs!$K$4:$AJ$4,0))))+SUMPRODUCT((Inputs!$E$5:$E$130=$B60)*ISNUMBER(INDEX(Inputs!$K$5:$AJ$130,0,MATCH(E$2,Inputs!$K$4:$AJ$4,0))))=0,NA(),SUMPRODUCT((Inputs!$A$5:$A$130=$B60)*Inputs!$B$5:$B$130*(((Inputs!$G$5:$G$130="moeda")+(Inputs!$G$5:$G$130="acoes"))*Inputs!$B$1+((Inputs!$G$5:$G$130&lt;&gt;"moeda")*(Inputs!$G$5:$G$130&lt;&gt;"acoes")))*INDEX(Inputs!$K$5:$AJ$130,0,MATCH(E$2,Inputs!$K$4:$AJ$4,0)))+SUMPRODUCT((Inputs!$C$5:$C$130=$B60)*Inputs!$D$5:$D$130*(((Inputs!$G$5:$G$130="moeda")+(Inputs!$G$5:$G$130="acoes"))*Inputs!$B$1+((Inputs!$G$5:$G$130&lt;&gt;"moeda")*(Inputs!$G$5:$G$130&lt;&gt;"acoes")))*INDEX(Inputs!$K$5:$AJ$130,0,MATCH(E$2,Inputs!$K$4:$AJ$4,0)))+SUMPRODUCT((Inputs!$E$5:$E$130=$B60)*Inputs!$F$5:$F$130*(((Inputs!$G$5:$G$130="moeda")+(Inputs!$G$5:$G$130="acoes"))*Inputs!$B$1+((Inputs!$G$5:$G$130&lt;&gt;"moeda")*(Inputs!$G$5:$G$130&lt;&gt;"acoes")))*INDEX(Inputs!$K$5:$AJ$130,0,MATCH(E$2,Inputs!$K$4:$AJ$4,0)))))</f>
        <v>291</v>
      </c>
      <c r="F60" s="263">
        <f>IF(ISNA(MATCH(F$2,Inputs!$K$4:$AJ$4,0)),NA(),IF(SUMPRODUCT((Inputs!$A$5:$A$130=$B60)*ISNUMBER(INDEX(Inputs!$K$5:$AJ$130,0,MATCH(F$2,Inputs!$K$4:$AJ$4,0))))+SUMPRODUCT((Inputs!$C$5:$C$130=$B60)*ISNUMBER(INDEX(Inputs!$K$5:$AJ$130,0,MATCH(F$2,Inputs!$K$4:$AJ$4,0))))+SUMPRODUCT((Inputs!$E$5:$E$130=$B60)*ISNUMBER(INDEX(Inputs!$K$5:$AJ$130,0,MATCH(F$2,Inputs!$K$4:$AJ$4,0))))=0,NA(),SUMPRODUCT((Inputs!$A$5:$A$130=$B60)*Inputs!$B$5:$B$130*(((Inputs!$G$5:$G$130="moeda")+(Inputs!$G$5:$G$130="acoes"))*Inputs!$B$1+((Inputs!$G$5:$G$130&lt;&gt;"moeda")*(Inputs!$G$5:$G$130&lt;&gt;"acoes")))*INDEX(Inputs!$K$5:$AJ$130,0,MATCH(F$2,Inputs!$K$4:$AJ$4,0)))+SUMPRODUCT((Inputs!$C$5:$C$130=$B60)*Inputs!$D$5:$D$130*(((Inputs!$G$5:$G$130="moeda")+(Inputs!$G$5:$G$130="acoes"))*Inputs!$B$1+((Inputs!$G$5:$G$130&lt;&gt;"moeda")*(Inputs!$G$5:$G$130&lt;&gt;"acoes")))*INDEX(Inputs!$K$5:$AJ$130,0,MATCH(F$2,Inputs!$K$4:$AJ$4,0)))+SUMPRODUCT((Inputs!$E$5:$E$130=$B60)*Inputs!$F$5:$F$130*(((Inputs!$G$5:$G$130="moeda")+(Inputs!$G$5:$G$130="acoes"))*Inputs!$B$1+((Inputs!$G$5:$G$130&lt;&gt;"moeda")*(Inputs!$G$5:$G$130&lt;&gt;"acoes")))*INDEX(Inputs!$K$5:$AJ$130,0,MATCH(F$2,Inputs!$K$4:$AJ$4,0)))))</f>
        <v>300</v>
      </c>
      <c r="G60" s="263">
        <f>IF(ISNA(MATCH(G$2,Inputs!$K$4:$AJ$4,0)),NA(),IF(SUMPRODUCT((Inputs!$A$5:$A$130=$B60)*ISNUMBER(INDEX(Inputs!$K$5:$AJ$130,0,MATCH(G$2,Inputs!$K$4:$AJ$4,0))))+SUMPRODUCT((Inputs!$C$5:$C$130=$B60)*ISNUMBER(INDEX(Inputs!$K$5:$AJ$130,0,MATCH(G$2,Inputs!$K$4:$AJ$4,0))))+SUMPRODUCT((Inputs!$E$5:$E$130=$B60)*ISNUMBER(INDEX(Inputs!$K$5:$AJ$130,0,MATCH(G$2,Inputs!$K$4:$AJ$4,0))))=0,NA(),SUMPRODUCT((Inputs!$A$5:$A$130=$B60)*Inputs!$B$5:$B$130*(((Inputs!$G$5:$G$130="moeda")+(Inputs!$G$5:$G$130="acoes"))*Inputs!$B$1+((Inputs!$G$5:$G$130&lt;&gt;"moeda")*(Inputs!$G$5:$G$130&lt;&gt;"acoes")))*INDEX(Inputs!$K$5:$AJ$130,0,MATCH(G$2,Inputs!$K$4:$AJ$4,0)))+SUMPRODUCT((Inputs!$C$5:$C$130=$B60)*Inputs!$D$5:$D$130*(((Inputs!$G$5:$G$130="moeda")+(Inputs!$G$5:$G$130="acoes"))*Inputs!$B$1+((Inputs!$G$5:$G$130&lt;&gt;"moeda")*(Inputs!$G$5:$G$130&lt;&gt;"acoes")))*INDEX(Inputs!$K$5:$AJ$130,0,MATCH(G$2,Inputs!$K$4:$AJ$4,0)))+SUMPRODUCT((Inputs!$E$5:$E$130=$B60)*Inputs!$F$5:$F$130*(((Inputs!$G$5:$G$130="moeda")+(Inputs!$G$5:$G$130="acoes"))*Inputs!$B$1+((Inputs!$G$5:$G$130&lt;&gt;"moeda")*(Inputs!$G$5:$G$130&lt;&gt;"acoes")))*INDEX(Inputs!$K$5:$AJ$130,0,MATCH(G$2,Inputs!$K$4:$AJ$4,0)))))</f>
        <v>296</v>
      </c>
      <c r="H60" s="264">
        <f>SUM(D60:G60)</f>
        <v>1182</v>
      </c>
      <c r="I60" s="263">
        <f>IF(ISNA(MATCH(I$2,Inputs!$K$4:$AJ$4,0)),NA(),IF(SUMPRODUCT((Inputs!$A$5:$A$130=$B60)*ISNUMBER(INDEX(Inputs!$K$5:$AJ$130,0,MATCH(I$2,Inputs!$K$4:$AJ$4,0))))+SUMPRODUCT((Inputs!$C$5:$C$130=$B60)*ISNUMBER(INDEX(Inputs!$K$5:$AJ$130,0,MATCH(I$2,Inputs!$K$4:$AJ$4,0))))+SUMPRODUCT((Inputs!$E$5:$E$130=$B60)*ISNUMBER(INDEX(Inputs!$K$5:$AJ$130,0,MATCH(I$2,Inputs!$K$4:$AJ$4,0))))=0,NA(),SUMPRODUCT((Inputs!$A$5:$A$130=$B60)*Inputs!$B$5:$B$130*(((Inputs!$G$5:$G$130="moeda")+(Inputs!$G$5:$G$130="acoes"))*Inputs!$B$1+((Inputs!$G$5:$G$130&lt;&gt;"moeda")*(Inputs!$G$5:$G$130&lt;&gt;"acoes")))*INDEX(Inputs!$K$5:$AJ$130,0,MATCH(I$2,Inputs!$K$4:$AJ$4,0)))+SUMPRODUCT((Inputs!$C$5:$C$130=$B60)*Inputs!$D$5:$D$130*(((Inputs!$G$5:$G$130="moeda")+(Inputs!$G$5:$G$130="acoes"))*Inputs!$B$1+((Inputs!$G$5:$G$130&lt;&gt;"moeda")*(Inputs!$G$5:$G$130&lt;&gt;"acoes")))*INDEX(Inputs!$K$5:$AJ$130,0,MATCH(I$2,Inputs!$K$4:$AJ$4,0)))+SUMPRODUCT((Inputs!$E$5:$E$130=$B60)*Inputs!$F$5:$F$130*(((Inputs!$G$5:$G$130="moeda")+(Inputs!$G$5:$G$130="acoes"))*Inputs!$B$1+((Inputs!$G$5:$G$130&lt;&gt;"moeda")*(Inputs!$G$5:$G$130&lt;&gt;"acoes")))*INDEX(Inputs!$K$5:$AJ$130,0,MATCH(I$2,Inputs!$K$4:$AJ$4,0)))))</f>
        <v>279</v>
      </c>
      <c r="J60" s="263">
        <f>IF(ISNA(MATCH(J$2,Inputs!$K$4:$AJ$4,0)),NA(),IF(SUMPRODUCT((Inputs!$A$5:$A$130=$B60)*ISNUMBER(INDEX(Inputs!$K$5:$AJ$130,0,MATCH(J$2,Inputs!$K$4:$AJ$4,0))))+SUMPRODUCT((Inputs!$C$5:$C$130=$B60)*ISNUMBER(INDEX(Inputs!$K$5:$AJ$130,0,MATCH(J$2,Inputs!$K$4:$AJ$4,0))))+SUMPRODUCT((Inputs!$E$5:$E$130=$B60)*ISNUMBER(INDEX(Inputs!$K$5:$AJ$130,0,MATCH(J$2,Inputs!$K$4:$AJ$4,0))))=0,NA(),SUMPRODUCT((Inputs!$A$5:$A$130=$B60)*Inputs!$B$5:$B$130*(((Inputs!$G$5:$G$130="moeda")+(Inputs!$G$5:$G$130="acoes"))*Inputs!$B$1+((Inputs!$G$5:$G$130&lt;&gt;"moeda")*(Inputs!$G$5:$G$130&lt;&gt;"acoes")))*INDEX(Inputs!$K$5:$AJ$130,0,MATCH(J$2,Inputs!$K$4:$AJ$4,0)))+SUMPRODUCT((Inputs!$C$5:$C$130=$B60)*Inputs!$D$5:$D$130*(((Inputs!$G$5:$G$130="moeda")+(Inputs!$G$5:$G$130="acoes"))*Inputs!$B$1+((Inputs!$G$5:$G$130&lt;&gt;"moeda")*(Inputs!$G$5:$G$130&lt;&gt;"acoes")))*INDEX(Inputs!$K$5:$AJ$130,0,MATCH(J$2,Inputs!$K$4:$AJ$4,0)))+SUMPRODUCT((Inputs!$E$5:$E$130=$B60)*Inputs!$F$5:$F$130*(((Inputs!$G$5:$G$130="moeda")+(Inputs!$G$5:$G$130="acoes"))*Inputs!$B$1+((Inputs!$G$5:$G$130&lt;&gt;"moeda")*(Inputs!$G$5:$G$130&lt;&gt;"acoes")))*INDEX(Inputs!$K$5:$AJ$130,0,MATCH(J$2,Inputs!$K$4:$AJ$4,0)))))</f>
        <v>287</v>
      </c>
      <c r="K60" s="263">
        <f>IF(ISNA(MATCH(K$2,Inputs!$K$4:$AJ$4,0)),NA(),IF(SUMPRODUCT((Inputs!$A$5:$A$130=$B60)*ISNUMBER(INDEX(Inputs!$K$5:$AJ$130,0,MATCH(K$2,Inputs!$K$4:$AJ$4,0))))+SUMPRODUCT((Inputs!$C$5:$C$130=$B60)*ISNUMBER(INDEX(Inputs!$K$5:$AJ$130,0,MATCH(K$2,Inputs!$K$4:$AJ$4,0))))+SUMPRODUCT((Inputs!$E$5:$E$130=$B60)*ISNUMBER(INDEX(Inputs!$K$5:$AJ$130,0,MATCH(K$2,Inputs!$K$4:$AJ$4,0))))=0,NA(),SUMPRODUCT((Inputs!$A$5:$A$130=$B60)*Inputs!$B$5:$B$130*(((Inputs!$G$5:$G$130="moeda")+(Inputs!$G$5:$G$130="acoes"))*Inputs!$B$1+((Inputs!$G$5:$G$130&lt;&gt;"moeda")*(Inputs!$G$5:$G$130&lt;&gt;"acoes")))*INDEX(Inputs!$K$5:$AJ$130,0,MATCH(K$2,Inputs!$K$4:$AJ$4,0)))+SUMPRODUCT((Inputs!$C$5:$C$130=$B60)*Inputs!$D$5:$D$130*(((Inputs!$G$5:$G$130="moeda")+(Inputs!$G$5:$G$130="acoes"))*Inputs!$B$1+((Inputs!$G$5:$G$130&lt;&gt;"moeda")*(Inputs!$G$5:$G$130&lt;&gt;"acoes")))*INDEX(Inputs!$K$5:$AJ$130,0,MATCH(K$2,Inputs!$K$4:$AJ$4,0)))+SUMPRODUCT((Inputs!$E$5:$E$130=$B60)*Inputs!$F$5:$F$130*(((Inputs!$G$5:$G$130="moeda")+(Inputs!$G$5:$G$130="acoes"))*Inputs!$B$1+((Inputs!$G$5:$G$130&lt;&gt;"moeda")*(Inputs!$G$5:$G$130&lt;&gt;"acoes")))*INDEX(Inputs!$K$5:$AJ$130,0,MATCH(K$2,Inputs!$K$4:$AJ$4,0)))))</f>
        <v>295</v>
      </c>
      <c r="L60" s="263">
        <f>IF(ISNA(MATCH(L$2,Inputs!$K$4:$AJ$4,0)),NA(),IF(SUMPRODUCT((Inputs!$A$5:$A$130=$B60)*ISNUMBER(INDEX(Inputs!$K$5:$AJ$130,0,MATCH(L$2,Inputs!$K$4:$AJ$4,0))))+SUMPRODUCT((Inputs!$C$5:$C$130=$B60)*ISNUMBER(INDEX(Inputs!$K$5:$AJ$130,0,MATCH(L$2,Inputs!$K$4:$AJ$4,0))))+SUMPRODUCT((Inputs!$E$5:$E$130=$B60)*ISNUMBER(INDEX(Inputs!$K$5:$AJ$130,0,MATCH(L$2,Inputs!$K$4:$AJ$4,0))))=0,NA(),SUMPRODUCT((Inputs!$A$5:$A$130=$B60)*Inputs!$B$5:$B$130*(((Inputs!$G$5:$G$130="moeda")+(Inputs!$G$5:$G$130="acoes"))*Inputs!$B$1+((Inputs!$G$5:$G$130&lt;&gt;"moeda")*(Inputs!$G$5:$G$130&lt;&gt;"acoes")))*INDEX(Inputs!$K$5:$AJ$130,0,MATCH(L$2,Inputs!$K$4:$AJ$4,0)))+SUMPRODUCT((Inputs!$C$5:$C$130=$B60)*Inputs!$D$5:$D$130*(((Inputs!$G$5:$G$130="moeda")+(Inputs!$G$5:$G$130="acoes"))*Inputs!$B$1+((Inputs!$G$5:$G$130&lt;&gt;"moeda")*(Inputs!$G$5:$G$130&lt;&gt;"acoes")))*INDEX(Inputs!$K$5:$AJ$130,0,MATCH(L$2,Inputs!$K$4:$AJ$4,0)))+SUMPRODUCT((Inputs!$E$5:$E$130=$B60)*Inputs!$F$5:$F$130*(((Inputs!$G$5:$G$130="moeda")+(Inputs!$G$5:$G$130="acoes"))*Inputs!$B$1+((Inputs!$G$5:$G$130&lt;&gt;"moeda")*(Inputs!$G$5:$G$130&lt;&gt;"acoes")))*INDEX(Inputs!$K$5:$AJ$130,0,MATCH(L$2,Inputs!$K$4:$AJ$4,0)))))</f>
        <v>238</v>
      </c>
      <c r="M60" s="264">
        <f>SUM(I60:L60)</f>
        <v>1099</v>
      </c>
      <c r="N60" s="263">
        <f>IF(ISNA(MATCH(N$2,Inputs!$K$4:$AJ$4,0)),NA(),IF(SUMPRODUCT((Inputs!$A$5:$A$130=$B60)*ISNUMBER(INDEX(Inputs!$K$5:$AJ$130,0,MATCH(N$2,Inputs!$K$4:$AJ$4,0))))+SUMPRODUCT((Inputs!$C$5:$C$130=$B60)*ISNUMBER(INDEX(Inputs!$K$5:$AJ$130,0,MATCH(N$2,Inputs!$K$4:$AJ$4,0))))+SUMPRODUCT((Inputs!$E$5:$E$130=$B60)*ISNUMBER(INDEX(Inputs!$K$5:$AJ$130,0,MATCH(N$2,Inputs!$K$4:$AJ$4,0))))=0,NA(),SUMPRODUCT((Inputs!$A$5:$A$130=$B60)*Inputs!$B$5:$B$130*(((Inputs!$G$5:$G$130="moeda")+(Inputs!$G$5:$G$130="acoes"))*Inputs!$B$1+((Inputs!$G$5:$G$130&lt;&gt;"moeda")*(Inputs!$G$5:$G$130&lt;&gt;"acoes")))*INDEX(Inputs!$K$5:$AJ$130,0,MATCH(N$2,Inputs!$K$4:$AJ$4,0)))+SUMPRODUCT((Inputs!$C$5:$C$130=$B60)*Inputs!$D$5:$D$130*(((Inputs!$G$5:$G$130="moeda")+(Inputs!$G$5:$G$130="acoes"))*Inputs!$B$1+((Inputs!$G$5:$G$130&lt;&gt;"moeda")*(Inputs!$G$5:$G$130&lt;&gt;"acoes")))*INDEX(Inputs!$K$5:$AJ$130,0,MATCH(N$2,Inputs!$K$4:$AJ$4,0)))+SUMPRODUCT((Inputs!$E$5:$E$130=$B60)*Inputs!$F$5:$F$130*(((Inputs!$G$5:$G$130="moeda")+(Inputs!$G$5:$G$130="acoes"))*Inputs!$B$1+((Inputs!$G$5:$G$130&lt;&gt;"moeda")*(Inputs!$G$5:$G$130&lt;&gt;"acoes")))*INDEX(Inputs!$K$5:$AJ$130,0,MATCH(N$2,Inputs!$K$4:$AJ$4,0)))))</f>
        <v>41</v>
      </c>
      <c r="O60" s="263">
        <f>IF(ISNA(MATCH(O$2,Inputs!$K$4:$AJ$4,0)),NA(),IF(SUMPRODUCT((Inputs!$A$5:$A$130=$B60)*ISNUMBER(INDEX(Inputs!$K$5:$AJ$130,0,MATCH(O$2,Inputs!$K$4:$AJ$4,0))))+SUMPRODUCT((Inputs!$C$5:$C$130=$B60)*ISNUMBER(INDEX(Inputs!$K$5:$AJ$130,0,MATCH(O$2,Inputs!$K$4:$AJ$4,0))))+SUMPRODUCT((Inputs!$E$5:$E$130=$B60)*ISNUMBER(INDEX(Inputs!$K$5:$AJ$130,0,MATCH(O$2,Inputs!$K$4:$AJ$4,0))))=0,NA(),SUMPRODUCT((Inputs!$A$5:$A$130=$B60)*Inputs!$B$5:$B$130*(((Inputs!$G$5:$G$130="moeda")+(Inputs!$G$5:$G$130="acoes"))*Inputs!$B$1+((Inputs!$G$5:$G$130&lt;&gt;"moeda")*(Inputs!$G$5:$G$130&lt;&gt;"acoes")))*INDEX(Inputs!$K$5:$AJ$130,0,MATCH(O$2,Inputs!$K$4:$AJ$4,0)))+SUMPRODUCT((Inputs!$C$5:$C$130=$B60)*Inputs!$D$5:$D$130*(((Inputs!$G$5:$G$130="moeda")+(Inputs!$G$5:$G$130="acoes"))*Inputs!$B$1+((Inputs!$G$5:$G$130&lt;&gt;"moeda")*(Inputs!$G$5:$G$130&lt;&gt;"acoes")))*INDEX(Inputs!$K$5:$AJ$130,0,MATCH(O$2,Inputs!$K$4:$AJ$4,0)))+SUMPRODUCT((Inputs!$E$5:$E$130=$B60)*Inputs!$F$5:$F$130*(((Inputs!$G$5:$G$130="moeda")+(Inputs!$G$5:$G$130="acoes"))*Inputs!$B$1+((Inputs!$G$5:$G$130&lt;&gt;"moeda")*(Inputs!$G$5:$G$130&lt;&gt;"acoes")))*INDEX(Inputs!$K$5:$AJ$130,0,MATCH(O$2,Inputs!$K$4:$AJ$4,0)))))</f>
        <v>286</v>
      </c>
      <c r="P60" s="263">
        <f>IF(ISNA(MATCH(P$2,Inputs!$K$4:$AJ$4,0)),NA(),IF(SUMPRODUCT((Inputs!$A$5:$A$130=$B60)*ISNUMBER(INDEX(Inputs!$K$5:$AJ$130,0,MATCH(P$2,Inputs!$K$4:$AJ$4,0))))+SUMPRODUCT((Inputs!$C$5:$C$130=$B60)*ISNUMBER(INDEX(Inputs!$K$5:$AJ$130,0,MATCH(P$2,Inputs!$K$4:$AJ$4,0))))+SUMPRODUCT((Inputs!$E$5:$E$130=$B60)*ISNUMBER(INDEX(Inputs!$K$5:$AJ$130,0,MATCH(P$2,Inputs!$K$4:$AJ$4,0))))=0,NA(),SUMPRODUCT((Inputs!$A$5:$A$130=$B60)*Inputs!$B$5:$B$130*(((Inputs!$G$5:$G$130="moeda")+(Inputs!$G$5:$G$130="acoes"))*Inputs!$B$1+((Inputs!$G$5:$G$130&lt;&gt;"moeda")*(Inputs!$G$5:$G$130&lt;&gt;"acoes")))*INDEX(Inputs!$K$5:$AJ$130,0,MATCH(P$2,Inputs!$K$4:$AJ$4,0)))+SUMPRODUCT((Inputs!$C$5:$C$130=$B60)*Inputs!$D$5:$D$130*(((Inputs!$G$5:$G$130="moeda")+(Inputs!$G$5:$G$130="acoes"))*Inputs!$B$1+((Inputs!$G$5:$G$130&lt;&gt;"moeda")*(Inputs!$G$5:$G$130&lt;&gt;"acoes")))*INDEX(Inputs!$K$5:$AJ$130,0,MATCH(P$2,Inputs!$K$4:$AJ$4,0)))+SUMPRODUCT((Inputs!$E$5:$E$130=$B60)*Inputs!$F$5:$F$130*(((Inputs!$G$5:$G$130="moeda")+(Inputs!$G$5:$G$130="acoes"))*Inputs!$B$1+((Inputs!$G$5:$G$130&lt;&gt;"moeda")*(Inputs!$G$5:$G$130&lt;&gt;"acoes")))*INDEX(Inputs!$K$5:$AJ$130,0,MATCH(P$2,Inputs!$K$4:$AJ$4,0)))))</f>
        <v>230</v>
      </c>
      <c r="Q60" s="263">
        <f>IF(ISNA(MATCH(Q$2,Inputs!$K$4:$AJ$4,0)),NA(),IF(SUMPRODUCT((Inputs!$A$5:$A$130=$B60)*ISNUMBER(INDEX(Inputs!$K$5:$AJ$130,0,MATCH(Q$2,Inputs!$K$4:$AJ$4,0))))+SUMPRODUCT((Inputs!$C$5:$C$130=$B60)*ISNUMBER(INDEX(Inputs!$K$5:$AJ$130,0,MATCH(Q$2,Inputs!$K$4:$AJ$4,0))))+SUMPRODUCT((Inputs!$E$5:$E$130=$B60)*ISNUMBER(INDEX(Inputs!$K$5:$AJ$130,0,MATCH(Q$2,Inputs!$K$4:$AJ$4,0))))=0,NA(),SUMPRODUCT((Inputs!$A$5:$A$130=$B60)*Inputs!$B$5:$B$130*(((Inputs!$G$5:$G$130="moeda")+(Inputs!$G$5:$G$130="acoes"))*Inputs!$B$1+((Inputs!$G$5:$G$130&lt;&gt;"moeda")*(Inputs!$G$5:$G$130&lt;&gt;"acoes")))*INDEX(Inputs!$K$5:$AJ$130,0,MATCH(Q$2,Inputs!$K$4:$AJ$4,0)))+SUMPRODUCT((Inputs!$C$5:$C$130=$B60)*Inputs!$D$5:$D$130*(((Inputs!$G$5:$G$130="moeda")+(Inputs!$G$5:$G$130="acoes"))*Inputs!$B$1+((Inputs!$G$5:$G$130&lt;&gt;"moeda")*(Inputs!$G$5:$G$130&lt;&gt;"acoes")))*INDEX(Inputs!$K$5:$AJ$130,0,MATCH(Q$2,Inputs!$K$4:$AJ$4,0)))+SUMPRODUCT((Inputs!$E$5:$E$130=$B60)*Inputs!$F$5:$F$130*(((Inputs!$G$5:$G$130="moeda")+(Inputs!$G$5:$G$130="acoes"))*Inputs!$B$1+((Inputs!$G$5:$G$130&lt;&gt;"moeda")*(Inputs!$G$5:$G$130&lt;&gt;"acoes")))*INDEX(Inputs!$K$5:$AJ$130,0,MATCH(Q$2,Inputs!$K$4:$AJ$4,0)))))</f>
        <v>257</v>
      </c>
      <c r="R60" s="264">
        <f>SUM(N60:Q60)</f>
        <v>814</v>
      </c>
      <c r="S60" s="263">
        <f>IF(ISNA(MATCH(S$2,Inputs!$K$4:$AJ$4,0)),NA(),IF(SUMPRODUCT((Inputs!$A$5:$A$130=$B60)*ISNUMBER(INDEX(Inputs!$K$5:$AJ$130,0,MATCH(S$2,Inputs!$K$4:$AJ$4,0))))+SUMPRODUCT((Inputs!$C$5:$C$130=$B60)*ISNUMBER(INDEX(Inputs!$K$5:$AJ$130,0,MATCH(S$2,Inputs!$K$4:$AJ$4,0))))+SUMPRODUCT((Inputs!$E$5:$E$130=$B60)*ISNUMBER(INDEX(Inputs!$K$5:$AJ$130,0,MATCH(S$2,Inputs!$K$4:$AJ$4,0))))=0,NA(),SUMPRODUCT((Inputs!$A$5:$A$130=$B60)*Inputs!$B$5:$B$130*(((Inputs!$G$5:$G$130="moeda")+(Inputs!$G$5:$G$130="acoes"))*Inputs!$B$1+((Inputs!$G$5:$G$130&lt;&gt;"moeda")*(Inputs!$G$5:$G$130&lt;&gt;"acoes")))*INDEX(Inputs!$K$5:$AJ$130,0,MATCH(S$2,Inputs!$K$4:$AJ$4,0)))+SUMPRODUCT((Inputs!$C$5:$C$130=$B60)*Inputs!$D$5:$D$130*(((Inputs!$G$5:$G$130="moeda")+(Inputs!$G$5:$G$130="acoes"))*Inputs!$B$1+((Inputs!$G$5:$G$130&lt;&gt;"moeda")*(Inputs!$G$5:$G$130&lt;&gt;"acoes")))*INDEX(Inputs!$K$5:$AJ$130,0,MATCH(S$2,Inputs!$K$4:$AJ$4,0)))+SUMPRODUCT((Inputs!$E$5:$E$130=$B60)*Inputs!$F$5:$F$130*(((Inputs!$G$5:$G$130="moeda")+(Inputs!$G$5:$G$130="acoes"))*Inputs!$B$1+((Inputs!$G$5:$G$130&lt;&gt;"moeda")*(Inputs!$G$5:$G$130&lt;&gt;"acoes")))*INDEX(Inputs!$K$5:$AJ$130,0,MATCH(S$2,Inputs!$K$4:$AJ$4,0)))))</f>
        <v>209</v>
      </c>
      <c r="T60" s="263">
        <f>IF(ISNA(MATCH(T$2,Inputs!$K$4:$AJ$4,0)),NA(),IF(SUMPRODUCT((Inputs!$A$5:$A$130=$B60)*ISNUMBER(INDEX(Inputs!$K$5:$AJ$130,0,MATCH(T$2,Inputs!$K$4:$AJ$4,0))))+SUMPRODUCT((Inputs!$C$5:$C$130=$B60)*ISNUMBER(INDEX(Inputs!$K$5:$AJ$130,0,MATCH(T$2,Inputs!$K$4:$AJ$4,0))))+SUMPRODUCT((Inputs!$E$5:$E$130=$B60)*ISNUMBER(INDEX(Inputs!$K$5:$AJ$130,0,MATCH(T$2,Inputs!$K$4:$AJ$4,0))))=0,NA(),SUMPRODUCT((Inputs!$A$5:$A$130=$B60)*Inputs!$B$5:$B$130*(((Inputs!$G$5:$G$130="moeda")+(Inputs!$G$5:$G$130="acoes"))*Inputs!$B$1+((Inputs!$G$5:$G$130&lt;&gt;"moeda")*(Inputs!$G$5:$G$130&lt;&gt;"acoes")))*INDEX(Inputs!$K$5:$AJ$130,0,MATCH(T$2,Inputs!$K$4:$AJ$4,0)))+SUMPRODUCT((Inputs!$C$5:$C$130=$B60)*Inputs!$D$5:$D$130*(((Inputs!$G$5:$G$130="moeda")+(Inputs!$G$5:$G$130="acoes"))*Inputs!$B$1+((Inputs!$G$5:$G$130&lt;&gt;"moeda")*(Inputs!$G$5:$G$130&lt;&gt;"acoes")))*INDEX(Inputs!$K$5:$AJ$130,0,MATCH(T$2,Inputs!$K$4:$AJ$4,0)))+SUMPRODUCT((Inputs!$E$5:$E$130=$B60)*Inputs!$F$5:$F$130*(((Inputs!$G$5:$G$130="moeda")+(Inputs!$G$5:$G$130="acoes"))*Inputs!$B$1+((Inputs!$G$5:$G$130&lt;&gt;"moeda")*(Inputs!$G$5:$G$130&lt;&gt;"acoes")))*INDEX(Inputs!$K$5:$AJ$130,0,MATCH(T$2,Inputs!$K$4:$AJ$4,0)))))</f>
        <v>191</v>
      </c>
      <c r="U60" s="263">
        <f>IF(ISNA(MATCH(U$2,Inputs!$K$4:$AJ$4,0)),NA(),IF(SUMPRODUCT((Inputs!$A$5:$A$130=$B60)*ISNUMBER(INDEX(Inputs!$K$5:$AJ$130,0,MATCH(U$2,Inputs!$K$4:$AJ$4,0))))+SUMPRODUCT((Inputs!$C$5:$C$130=$B60)*ISNUMBER(INDEX(Inputs!$K$5:$AJ$130,0,MATCH(U$2,Inputs!$K$4:$AJ$4,0))))+SUMPRODUCT((Inputs!$E$5:$E$130=$B60)*ISNUMBER(INDEX(Inputs!$K$5:$AJ$130,0,MATCH(U$2,Inputs!$K$4:$AJ$4,0))))=0,NA(),SUMPRODUCT((Inputs!$A$5:$A$130=$B60)*Inputs!$B$5:$B$130*(((Inputs!$G$5:$G$130="moeda")+(Inputs!$G$5:$G$130="acoes"))*Inputs!$B$1+((Inputs!$G$5:$G$130&lt;&gt;"moeda")*(Inputs!$G$5:$G$130&lt;&gt;"acoes")))*INDEX(Inputs!$K$5:$AJ$130,0,MATCH(U$2,Inputs!$K$4:$AJ$4,0)))+SUMPRODUCT((Inputs!$C$5:$C$130=$B60)*Inputs!$D$5:$D$130*(((Inputs!$G$5:$G$130="moeda")+(Inputs!$G$5:$G$130="acoes"))*Inputs!$B$1+((Inputs!$G$5:$G$130&lt;&gt;"moeda")*(Inputs!$G$5:$G$130&lt;&gt;"acoes")))*INDEX(Inputs!$K$5:$AJ$130,0,MATCH(U$2,Inputs!$K$4:$AJ$4,0)))+SUMPRODUCT((Inputs!$E$5:$E$130=$B60)*Inputs!$F$5:$F$130*(((Inputs!$G$5:$G$130="moeda")+(Inputs!$G$5:$G$130="acoes"))*Inputs!$B$1+((Inputs!$G$5:$G$130&lt;&gt;"moeda")*(Inputs!$G$5:$G$130&lt;&gt;"acoes")))*INDEX(Inputs!$K$5:$AJ$130,0,MATCH(U$2,Inputs!$K$4:$AJ$4,0)))))</f>
        <v>232</v>
      </c>
      <c r="V60" s="263">
        <f>IF(ISNA(MATCH(V$2,Inputs!$K$4:$AJ$4,0)),NA(),IF(SUMPRODUCT((Inputs!$A$5:$A$130=$B60)*ISNUMBER(INDEX(Inputs!$K$5:$AJ$130,0,MATCH(V$2,Inputs!$K$4:$AJ$4,0))))+SUMPRODUCT((Inputs!$C$5:$C$130=$B60)*ISNUMBER(INDEX(Inputs!$K$5:$AJ$130,0,MATCH(V$2,Inputs!$K$4:$AJ$4,0))))+SUMPRODUCT((Inputs!$E$5:$E$130=$B60)*ISNUMBER(INDEX(Inputs!$K$5:$AJ$130,0,MATCH(V$2,Inputs!$K$4:$AJ$4,0))))=0,NA(),SUMPRODUCT((Inputs!$A$5:$A$130=$B60)*Inputs!$B$5:$B$130*(((Inputs!$G$5:$G$130="moeda")+(Inputs!$G$5:$G$130="acoes"))*Inputs!$B$1+((Inputs!$G$5:$G$130&lt;&gt;"moeda")*(Inputs!$G$5:$G$130&lt;&gt;"acoes")))*INDEX(Inputs!$K$5:$AJ$130,0,MATCH(V$2,Inputs!$K$4:$AJ$4,0)))+SUMPRODUCT((Inputs!$C$5:$C$130=$B60)*Inputs!$D$5:$D$130*(((Inputs!$G$5:$G$130="moeda")+(Inputs!$G$5:$G$130="acoes"))*Inputs!$B$1+((Inputs!$G$5:$G$130&lt;&gt;"moeda")*(Inputs!$G$5:$G$130&lt;&gt;"acoes")))*INDEX(Inputs!$K$5:$AJ$130,0,MATCH(V$2,Inputs!$K$4:$AJ$4,0)))+SUMPRODUCT((Inputs!$E$5:$E$130=$B60)*Inputs!$F$5:$F$130*(((Inputs!$G$5:$G$130="moeda")+(Inputs!$G$5:$G$130="acoes"))*Inputs!$B$1+((Inputs!$G$5:$G$130&lt;&gt;"moeda")*(Inputs!$G$5:$G$130&lt;&gt;"acoes")))*INDEX(Inputs!$K$5:$AJ$130,0,MATCH(V$2,Inputs!$K$4:$AJ$4,0)))))</f>
        <v>266</v>
      </c>
      <c r="W60" s="264">
        <f>SUM(S60:V60)</f>
        <v>898</v>
      </c>
      <c r="X60" s="263">
        <f>IF(ISNA(MATCH(X$2,Inputs!$K$4:$AJ$4,0)),NA(),IF(SUMPRODUCT((Inputs!$A$5:$A$130=$B60)*ISNUMBER(INDEX(Inputs!$K$5:$AJ$130,0,MATCH(X$2,Inputs!$K$4:$AJ$4,0))))+SUMPRODUCT((Inputs!$C$5:$C$130=$B60)*ISNUMBER(INDEX(Inputs!$K$5:$AJ$130,0,MATCH(X$2,Inputs!$K$4:$AJ$4,0))))+SUMPRODUCT((Inputs!$E$5:$E$130=$B60)*ISNUMBER(INDEX(Inputs!$K$5:$AJ$130,0,MATCH(X$2,Inputs!$K$4:$AJ$4,0))))=0,NA(),SUMPRODUCT((Inputs!$A$5:$A$130=$B60)*Inputs!$B$5:$B$130*(((Inputs!$G$5:$G$130="moeda")+(Inputs!$G$5:$G$130="acoes"))*Inputs!$B$1+((Inputs!$G$5:$G$130&lt;&gt;"moeda")*(Inputs!$G$5:$G$130&lt;&gt;"acoes")))*INDEX(Inputs!$K$5:$AJ$130,0,MATCH(X$2,Inputs!$K$4:$AJ$4,0)))+SUMPRODUCT((Inputs!$C$5:$C$130=$B60)*Inputs!$D$5:$D$130*(((Inputs!$G$5:$G$130="moeda")+(Inputs!$G$5:$G$130="acoes"))*Inputs!$B$1+((Inputs!$G$5:$G$130&lt;&gt;"moeda")*(Inputs!$G$5:$G$130&lt;&gt;"acoes")))*INDEX(Inputs!$K$5:$AJ$130,0,MATCH(X$2,Inputs!$K$4:$AJ$4,0)))+SUMPRODUCT((Inputs!$E$5:$E$130=$B60)*Inputs!$F$5:$F$130*(((Inputs!$G$5:$G$130="moeda")+(Inputs!$G$5:$G$130="acoes"))*Inputs!$B$1+((Inputs!$G$5:$G$130&lt;&gt;"moeda")*(Inputs!$G$5:$G$130&lt;&gt;"acoes")))*INDEX(Inputs!$K$5:$AJ$130,0,MATCH(X$2,Inputs!$K$4:$AJ$4,0)))))</f>
        <v>207</v>
      </c>
      <c r="Y60" s="263">
        <f>IF(ISNA(MATCH(Y$2,Inputs!$K$4:$AJ$4,0)),NA(),IF(SUMPRODUCT((Inputs!$A$5:$A$130=$B60)*ISNUMBER(INDEX(Inputs!$K$5:$AJ$130,0,MATCH(Y$2,Inputs!$K$4:$AJ$4,0))))+SUMPRODUCT((Inputs!$C$5:$C$130=$B60)*ISNUMBER(INDEX(Inputs!$K$5:$AJ$130,0,MATCH(Y$2,Inputs!$K$4:$AJ$4,0))))+SUMPRODUCT((Inputs!$E$5:$E$130=$B60)*ISNUMBER(INDEX(Inputs!$K$5:$AJ$130,0,MATCH(Y$2,Inputs!$K$4:$AJ$4,0))))=0,NA(),SUMPRODUCT((Inputs!$A$5:$A$130=$B60)*Inputs!$B$5:$B$130*(((Inputs!$G$5:$G$130="moeda")+(Inputs!$G$5:$G$130="acoes"))*Inputs!$B$1+((Inputs!$G$5:$G$130&lt;&gt;"moeda")*(Inputs!$G$5:$G$130&lt;&gt;"acoes")))*INDEX(Inputs!$K$5:$AJ$130,0,MATCH(Y$2,Inputs!$K$4:$AJ$4,0)))+SUMPRODUCT((Inputs!$C$5:$C$130=$B60)*Inputs!$D$5:$D$130*(((Inputs!$G$5:$G$130="moeda")+(Inputs!$G$5:$G$130="acoes"))*Inputs!$B$1+((Inputs!$G$5:$G$130&lt;&gt;"moeda")*(Inputs!$G$5:$G$130&lt;&gt;"acoes")))*INDEX(Inputs!$K$5:$AJ$130,0,MATCH(Y$2,Inputs!$K$4:$AJ$4,0)))+SUMPRODUCT((Inputs!$E$5:$E$130=$B60)*Inputs!$F$5:$F$130*(((Inputs!$G$5:$G$130="moeda")+(Inputs!$G$5:$G$130="acoes"))*Inputs!$B$1+((Inputs!$G$5:$G$130&lt;&gt;"moeda")*(Inputs!$G$5:$G$130&lt;&gt;"acoes")))*INDEX(Inputs!$K$5:$AJ$130,0,MATCH(Y$2,Inputs!$K$4:$AJ$4,0)))))</f>
        <v>266</v>
      </c>
      <c r="Z60" s="263">
        <f>IF(ISNA(MATCH(Z$2,Inputs!$K$4:$AJ$4,0)),NA(),IF(SUMPRODUCT((Inputs!$A$5:$A$130=$B60)*ISNUMBER(INDEX(Inputs!$K$5:$AJ$130,0,MATCH(Z$2,Inputs!$K$4:$AJ$4,0))))+SUMPRODUCT((Inputs!$C$5:$C$130=$B60)*ISNUMBER(INDEX(Inputs!$K$5:$AJ$130,0,MATCH(Z$2,Inputs!$K$4:$AJ$4,0))))+SUMPRODUCT((Inputs!$E$5:$E$130=$B60)*ISNUMBER(INDEX(Inputs!$K$5:$AJ$130,0,MATCH(Z$2,Inputs!$K$4:$AJ$4,0))))=0,NA(),SUMPRODUCT((Inputs!$A$5:$A$130=$B60)*Inputs!$B$5:$B$130*(((Inputs!$G$5:$G$130="moeda")+(Inputs!$G$5:$G$130="acoes"))*Inputs!$B$1+((Inputs!$G$5:$G$130&lt;&gt;"moeda")*(Inputs!$G$5:$G$130&lt;&gt;"acoes")))*INDEX(Inputs!$K$5:$AJ$130,0,MATCH(Z$2,Inputs!$K$4:$AJ$4,0)))+SUMPRODUCT((Inputs!$C$5:$C$130=$B60)*Inputs!$D$5:$D$130*(((Inputs!$G$5:$G$130="moeda")+(Inputs!$G$5:$G$130="acoes"))*Inputs!$B$1+((Inputs!$G$5:$G$130&lt;&gt;"moeda")*(Inputs!$G$5:$G$130&lt;&gt;"acoes")))*INDEX(Inputs!$K$5:$AJ$130,0,MATCH(Z$2,Inputs!$K$4:$AJ$4,0)))+SUMPRODUCT((Inputs!$E$5:$E$130=$B60)*Inputs!$F$5:$F$130*(((Inputs!$G$5:$G$130="moeda")+(Inputs!$G$5:$G$130="acoes"))*Inputs!$B$1+((Inputs!$G$5:$G$130&lt;&gt;"moeda")*(Inputs!$G$5:$G$130&lt;&gt;"acoes")))*INDEX(Inputs!$K$5:$AJ$130,0,MATCH(Z$2,Inputs!$K$4:$AJ$4,0)))))</f>
        <v>374</v>
      </c>
      <c r="AA60" s="263">
        <f>IF(ISNA(MATCH(AA$2,Inputs!$K$4:$AJ$4,0)),NA(),IF(SUMPRODUCT((Inputs!$A$5:$A$130=$B60)*ISNUMBER(INDEX(Inputs!$K$5:$AJ$130,0,MATCH(AA$2,Inputs!$K$4:$AJ$4,0))))+SUMPRODUCT((Inputs!$C$5:$C$130=$B60)*ISNUMBER(INDEX(Inputs!$K$5:$AJ$130,0,MATCH(AA$2,Inputs!$K$4:$AJ$4,0))))+SUMPRODUCT((Inputs!$E$5:$E$130=$B60)*ISNUMBER(INDEX(Inputs!$K$5:$AJ$130,0,MATCH(AA$2,Inputs!$K$4:$AJ$4,0))))=0,NA(),SUMPRODUCT((Inputs!$A$5:$A$130=$B60)*Inputs!$B$5:$B$130*(((Inputs!$G$5:$G$130="moeda")+(Inputs!$G$5:$G$130="acoes"))*Inputs!$B$1+((Inputs!$G$5:$G$130&lt;&gt;"moeda")*(Inputs!$G$5:$G$130&lt;&gt;"acoes")))*INDEX(Inputs!$K$5:$AJ$130,0,MATCH(AA$2,Inputs!$K$4:$AJ$4,0)))+SUMPRODUCT((Inputs!$C$5:$C$130=$B60)*Inputs!$D$5:$D$130*(((Inputs!$G$5:$G$130="moeda")+(Inputs!$G$5:$G$130="acoes"))*Inputs!$B$1+((Inputs!$G$5:$G$130&lt;&gt;"moeda")*(Inputs!$G$5:$G$130&lt;&gt;"acoes")))*INDEX(Inputs!$K$5:$AJ$130,0,MATCH(AA$2,Inputs!$K$4:$AJ$4,0)))+SUMPRODUCT((Inputs!$E$5:$E$130=$B60)*Inputs!$F$5:$F$130*(((Inputs!$G$5:$G$130="moeda")+(Inputs!$G$5:$G$130="acoes"))*Inputs!$B$1+((Inputs!$G$5:$G$130&lt;&gt;"moeda")*(Inputs!$G$5:$G$130&lt;&gt;"acoes")))*INDEX(Inputs!$K$5:$AJ$130,0,MATCH(AA$2,Inputs!$K$4:$AJ$4,0)))))</f>
        <v>301</v>
      </c>
      <c r="AB60" s="264">
        <f>SUM(X60:AA60)</f>
        <v>1148</v>
      </c>
      <c r="AC60" s="263">
        <f>IF(ISNA(MATCH(AC$2,Inputs!$K$4:$AJ$4,0)),NA(),IF(SUMPRODUCT((Inputs!$A$5:$A$130=$B60)*ISNUMBER(INDEX(Inputs!$K$5:$AJ$130,0,MATCH(AC$2,Inputs!$K$4:$AJ$4,0))))+SUMPRODUCT((Inputs!$C$5:$C$130=$B60)*ISNUMBER(INDEX(Inputs!$K$5:$AJ$130,0,MATCH(AC$2,Inputs!$K$4:$AJ$4,0))))+SUMPRODUCT((Inputs!$E$5:$E$130=$B60)*ISNUMBER(INDEX(Inputs!$K$5:$AJ$130,0,MATCH(AC$2,Inputs!$K$4:$AJ$4,0))))=0,NA(),SUMPRODUCT((Inputs!$A$5:$A$130=$B60)*Inputs!$B$5:$B$130*(((Inputs!$G$5:$G$130="moeda")+(Inputs!$G$5:$G$130="acoes"))*Inputs!$B$1+((Inputs!$G$5:$G$130&lt;&gt;"moeda")*(Inputs!$G$5:$G$130&lt;&gt;"acoes")))*INDEX(Inputs!$K$5:$AJ$130,0,MATCH(AC$2,Inputs!$K$4:$AJ$4,0)))+SUMPRODUCT((Inputs!$C$5:$C$130=$B60)*Inputs!$D$5:$D$130*(((Inputs!$G$5:$G$130="moeda")+(Inputs!$G$5:$G$130="acoes"))*Inputs!$B$1+((Inputs!$G$5:$G$130&lt;&gt;"moeda")*(Inputs!$G$5:$G$130&lt;&gt;"acoes")))*INDEX(Inputs!$K$5:$AJ$130,0,MATCH(AC$2,Inputs!$K$4:$AJ$4,0)))+SUMPRODUCT((Inputs!$E$5:$E$130=$B60)*Inputs!$F$5:$F$130*(((Inputs!$G$5:$G$130="moeda")+(Inputs!$G$5:$G$130="acoes"))*Inputs!$B$1+((Inputs!$G$5:$G$130&lt;&gt;"moeda")*(Inputs!$G$5:$G$130&lt;&gt;"acoes")))*INDEX(Inputs!$K$5:$AJ$130,0,MATCH(AC$2,Inputs!$K$4:$AJ$4,0)))))</f>
        <v>251</v>
      </c>
      <c r="AD60" s="263">
        <f>IF(ISNA(MATCH(AD$2,Inputs!$K$4:$AJ$4,0)),NA(),IF(SUMPRODUCT((Inputs!$A$5:$A$130=$B60)*ISNUMBER(INDEX(Inputs!$K$5:$AJ$130,0,MATCH(AD$2,Inputs!$K$4:$AJ$4,0))))+SUMPRODUCT((Inputs!$C$5:$C$130=$B60)*ISNUMBER(INDEX(Inputs!$K$5:$AJ$130,0,MATCH(AD$2,Inputs!$K$4:$AJ$4,0))))+SUMPRODUCT((Inputs!$E$5:$E$130=$B60)*ISNUMBER(INDEX(Inputs!$K$5:$AJ$130,0,MATCH(AD$2,Inputs!$K$4:$AJ$4,0))))=0,NA(),SUMPRODUCT((Inputs!$A$5:$A$130=$B60)*Inputs!$B$5:$B$130*(((Inputs!$G$5:$G$130="moeda")+(Inputs!$G$5:$G$130="acoes"))*Inputs!$B$1+((Inputs!$G$5:$G$130&lt;&gt;"moeda")*(Inputs!$G$5:$G$130&lt;&gt;"acoes")))*INDEX(Inputs!$K$5:$AJ$130,0,MATCH(AD$2,Inputs!$K$4:$AJ$4,0)))+SUMPRODUCT((Inputs!$C$5:$C$130=$B60)*Inputs!$D$5:$D$130*(((Inputs!$G$5:$G$130="moeda")+(Inputs!$G$5:$G$130="acoes"))*Inputs!$B$1+((Inputs!$G$5:$G$130&lt;&gt;"moeda")*(Inputs!$G$5:$G$130&lt;&gt;"acoes")))*INDEX(Inputs!$K$5:$AJ$130,0,MATCH(AD$2,Inputs!$K$4:$AJ$4,0)))+SUMPRODUCT((Inputs!$E$5:$E$130=$B60)*Inputs!$F$5:$F$130*(((Inputs!$G$5:$G$130="moeda")+(Inputs!$G$5:$G$130="acoes"))*Inputs!$B$1+((Inputs!$G$5:$G$130&lt;&gt;"moeda")*(Inputs!$G$5:$G$130&lt;&gt;"acoes")))*INDEX(Inputs!$K$5:$AJ$130,0,MATCH(AD$2,Inputs!$K$4:$AJ$4,0)))))</f>
        <v>271</v>
      </c>
      <c r="AE60" s="263" t="e">
        <f>IF(ISNA(MATCH(AE$2,Inputs!$K$4:$AJ$4,0)),NA(),IF(SUMPRODUCT((Inputs!$A$5:$A$130=$B60)*ISNUMBER(INDEX(Inputs!$K$5:$AJ$130,0,MATCH(AE$2,Inputs!$K$4:$AJ$4,0))))+SUMPRODUCT((Inputs!$C$5:$C$130=$B60)*ISNUMBER(INDEX(Inputs!$K$5:$AJ$130,0,MATCH(AE$2,Inputs!$K$4:$AJ$4,0))))+SUMPRODUCT((Inputs!$E$5:$E$130=$B60)*ISNUMBER(INDEX(Inputs!$K$5:$AJ$130,0,MATCH(AE$2,Inputs!$K$4:$AJ$4,0))))=0,NA(),SUMPRODUCT((Inputs!$A$5:$A$130=$B60)*Inputs!$B$5:$B$130*(((Inputs!$G$5:$G$130="moeda")+(Inputs!$G$5:$G$130="acoes"))*Inputs!$B$1+((Inputs!$G$5:$G$130&lt;&gt;"moeda")*(Inputs!$G$5:$G$130&lt;&gt;"acoes")))*INDEX(Inputs!$K$5:$AJ$130,0,MATCH(AE$2,Inputs!$K$4:$AJ$4,0)))+SUMPRODUCT((Inputs!$C$5:$C$130=$B60)*Inputs!$D$5:$D$130*(((Inputs!$G$5:$G$130="moeda")+(Inputs!$G$5:$G$130="acoes"))*Inputs!$B$1+((Inputs!$G$5:$G$130&lt;&gt;"moeda")*(Inputs!$G$5:$G$130&lt;&gt;"acoes")))*INDEX(Inputs!$K$5:$AJ$130,0,MATCH(AE$2,Inputs!$K$4:$AJ$4,0)))+SUMPRODUCT((Inputs!$E$5:$E$130=$B60)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0" s="263" t="e">
        <f>IF(ISNA(MATCH(AF$2,Inputs!$K$4:$AJ$4,0)),NA(),IF(SUMPRODUCT((Inputs!$A$5:$A$130=$B60)*ISNUMBER(INDEX(Inputs!$K$5:$AJ$130,0,MATCH(AF$2,Inputs!$K$4:$AJ$4,0))))+SUMPRODUCT((Inputs!$C$5:$C$130=$B60)*ISNUMBER(INDEX(Inputs!$K$5:$AJ$130,0,MATCH(AF$2,Inputs!$K$4:$AJ$4,0))))+SUMPRODUCT((Inputs!$E$5:$E$130=$B60)*ISNUMBER(INDEX(Inputs!$K$5:$AJ$130,0,MATCH(AF$2,Inputs!$K$4:$AJ$4,0))))=0,NA(),SUMPRODUCT((Inputs!$A$5:$A$130=$B60)*Inputs!$B$5:$B$130*(((Inputs!$G$5:$G$130="moeda")+(Inputs!$G$5:$G$130="acoes"))*Inputs!$B$1+((Inputs!$G$5:$G$130&lt;&gt;"moeda")*(Inputs!$G$5:$G$130&lt;&gt;"acoes")))*INDEX(Inputs!$K$5:$AJ$130,0,MATCH(AF$2,Inputs!$K$4:$AJ$4,0)))+SUMPRODUCT((Inputs!$C$5:$C$130=$B60)*Inputs!$D$5:$D$130*(((Inputs!$G$5:$G$130="moeda")+(Inputs!$G$5:$G$130="acoes"))*Inputs!$B$1+((Inputs!$G$5:$G$130&lt;&gt;"moeda")*(Inputs!$G$5:$G$130&lt;&gt;"acoes")))*INDEX(Inputs!$K$5:$AJ$130,0,MATCH(AF$2,Inputs!$K$4:$AJ$4,0)))+SUMPRODUCT((Inputs!$E$5:$E$130=$B60)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$130=$B60)*ISNUMBER(INDEX(Inputs!$K$5:$AJ$130,0,MATCH(AH$2,Inputs!$K$4:$AJ$4,0))))+SUMPRODUCT((Inputs!$C$5:$C$130=$B60)*ISNUMBER(INDEX(Inputs!$K$5:$AJ$130,0,MATCH(AH$2,Inputs!$K$4:$AJ$4,0))))+SUMPRODUCT((Inputs!$E$5:$E$130=$B60)*ISNUMBER(INDEX(Inputs!$K$5:$AJ$130,0,MATCH(AH$2,Inputs!$K$4:$AJ$4,0))))=0,NA(),SUMPRODUCT((Inputs!$A$5:$A$130=$B60)*Inputs!$B$5:$B$130*(((Inputs!$G$5:$G$130="moeda")+(Inputs!$G$5:$G$130="acoes"))*Inputs!$B$1+((Inputs!$G$5:$G$130&lt;&gt;"moeda")*(Inputs!$G$5:$G$130&lt;&gt;"acoes")))*INDEX(Inputs!$K$5:$AJ$130,0,MATCH(AH$2,Inputs!$K$4:$AJ$4,0)))+SUMPRODUCT((Inputs!$C$5:$C$130=$B60)*Inputs!$D$5:$D$130*(((Inputs!$G$5:$G$130="moeda")+(Inputs!$G$5:$G$130="acoes"))*Inputs!$B$1+((Inputs!$G$5:$G$130&lt;&gt;"moeda")*(Inputs!$G$5:$G$130&lt;&gt;"acoes")))*INDEX(Inputs!$K$5:$AJ$130,0,MATCH(AH$2,Inputs!$K$4:$AJ$4,0)))+SUMPRODUCT((Inputs!$E$5:$E$130=$B60)*Inputs!$F$5:$F$130*(((Inputs!$G$5:$G$130="moeda")+(Inputs!$G$5:$G$130="acoes"))*Inputs!$B$1+((Inputs!$G$5:$G$130&lt;&gt;"moeda")*(Inputs!$G$5:$G$130&lt;&gt;"acoes")))*INDEX(Inputs!$K$5:$AJ$130,0,MATCH(AH$2,Inputs!$K$4:$AJ$4,0)))))</f>
        <v>75</v>
      </c>
      <c r="AI60" s="263">
        <f>IF(ISNA(MATCH(AI$2,Inputs!$K$4:$AJ$4,0)),NA(),IF(SUMPRODUCT((Inputs!$A$5:$A$130=$B60)*ISNUMBER(INDEX(Inputs!$K$5:$AJ$130,0,MATCH(AI$2,Inputs!$K$4:$AJ$4,0))))+SUMPRODUCT((Inputs!$C$5:$C$130=$B60)*ISNUMBER(INDEX(Inputs!$K$5:$AJ$130,0,MATCH(AI$2,Inputs!$K$4:$AJ$4,0))))+SUMPRODUCT((Inputs!$E$5:$E$130=$B60)*ISNUMBER(INDEX(Inputs!$K$5:$AJ$130,0,MATCH(AI$2,Inputs!$K$4:$AJ$4,0))))=0,NA(),SUMPRODUCT((Inputs!$A$5:$A$130=$B60)*Inputs!$B$5:$B$130*(((Inputs!$G$5:$G$130="moeda")+(Inputs!$G$5:$G$130="acoes"))*Inputs!$B$1+((Inputs!$G$5:$G$130&lt;&gt;"moeda")*(Inputs!$G$5:$G$130&lt;&gt;"acoes")))*INDEX(Inputs!$K$5:$AJ$130,0,MATCH(AI$2,Inputs!$K$4:$AJ$4,0)))+SUMPRODUCT((Inputs!$C$5:$C$130=$B60)*Inputs!$D$5:$D$130*(((Inputs!$G$5:$G$130="moeda")+(Inputs!$G$5:$G$130="acoes"))*Inputs!$B$1+((Inputs!$G$5:$G$130&lt;&gt;"moeda")*(Inputs!$G$5:$G$130&lt;&gt;"acoes")))*INDEX(Inputs!$K$5:$AJ$130,0,MATCH(AI$2,Inputs!$K$4:$AJ$4,0)))+SUMPRODUCT((Inputs!$E$5:$E$130=$B60)*Inputs!$F$5:$F$130*(((Inputs!$G$5:$G$130="moeda")+(Inputs!$G$5:$G$130="acoes"))*Inputs!$B$1+((Inputs!$G$5:$G$130&lt;&gt;"moeda")*(Inputs!$G$5:$G$130&lt;&gt;"acoes")))*INDEX(Inputs!$K$5:$AJ$130,0,MATCH(AI$2,Inputs!$K$4:$AJ$4,0)))))</f>
        <v>243</v>
      </c>
      <c r="AJ60" s="263">
        <f>IF(ISNA(MATCH(AJ$2,Inputs!$K$4:$AJ$4,0)),NA(),IF(SUMPRODUCT((Inputs!$A$5:$A$130=$B60)*ISNUMBER(INDEX(Inputs!$K$5:$AJ$130,0,MATCH(AJ$2,Inputs!$K$4:$AJ$4,0))))+SUMPRODUCT((Inputs!$C$5:$C$130=$B60)*ISNUMBER(INDEX(Inputs!$K$5:$AJ$130,0,MATCH(AJ$2,Inputs!$K$4:$AJ$4,0))))+SUMPRODUCT((Inputs!$E$5:$E$130=$B60)*ISNUMBER(INDEX(Inputs!$K$5:$AJ$130,0,MATCH(AJ$2,Inputs!$K$4:$AJ$4,0))))=0,NA(),SUMPRODUCT((Inputs!$A$5:$A$130=$B60)*Inputs!$B$5:$B$130*(((Inputs!$G$5:$G$130="moeda")+(Inputs!$G$5:$G$130="acoes"))*Inputs!$B$1+((Inputs!$G$5:$G$130&lt;&gt;"moeda")*(Inputs!$G$5:$G$130&lt;&gt;"acoes")))*INDEX(Inputs!$K$5:$AJ$130,0,MATCH(AJ$2,Inputs!$K$4:$AJ$4,0)))+SUMPRODUCT((Inputs!$C$5:$C$130=$B60)*Inputs!$D$5:$D$130*(((Inputs!$G$5:$G$130="moeda")+(Inputs!$G$5:$G$130="acoes"))*Inputs!$B$1+((Inputs!$G$5:$G$130&lt;&gt;"moeda")*(Inputs!$G$5:$G$130&lt;&gt;"acoes")))*INDEX(Inputs!$K$5:$AJ$130,0,MATCH(AJ$2,Inputs!$K$4:$AJ$4,0)))+SUMPRODUCT((Inputs!$E$5:$E$130=$B60)*Inputs!$F$5:$F$130*(((Inputs!$G$5:$G$130="moeda")+(Inputs!$G$5:$G$130="acoes"))*Inputs!$B$1+((Inputs!$G$5:$G$130&lt;&gt;"moeda")*(Inputs!$G$5:$G$130&lt;&gt;"acoes")))*INDEX(Inputs!$K$5:$AJ$130,0,MATCH(AJ$2,Inputs!$K$4:$AJ$4,0)))))</f>
        <v>248</v>
      </c>
      <c r="AK60" s="263">
        <f>IF(ISNA(MATCH(AK$2,Inputs!$K$4:$AJ$4,0)),NA(),IF(SUMPRODUCT((Inputs!$A$5:$A$130=$B60)*ISNUMBER(INDEX(Inputs!$K$5:$AJ$130,0,MATCH(AK$2,Inputs!$K$4:$AJ$4,0))))+SUMPRODUCT((Inputs!$C$5:$C$130=$B60)*ISNUMBER(INDEX(Inputs!$K$5:$AJ$130,0,MATCH(AK$2,Inputs!$K$4:$AJ$4,0))))+SUMPRODUCT((Inputs!$E$5:$E$130=$B60)*ISNUMBER(INDEX(Inputs!$K$5:$AJ$130,0,MATCH(AK$2,Inputs!$K$4:$AJ$4,0))))=0,NA(),SUMPRODUCT((Inputs!$A$5:$A$130=$B60)*Inputs!$B$5:$B$130*(((Inputs!$G$5:$G$130="moeda")+(Inputs!$G$5:$G$130="acoes"))*Inputs!$B$1+((Inputs!$G$5:$G$130&lt;&gt;"moeda")*(Inputs!$G$5:$G$130&lt;&gt;"acoes")))*INDEX(Inputs!$K$5:$AJ$130,0,MATCH(AK$2,Inputs!$K$4:$AJ$4,0)))+SUMPRODUCT((Inputs!$C$5:$C$130=$B60)*Inputs!$D$5:$D$130*(((Inputs!$G$5:$G$130="moeda")+(Inputs!$G$5:$G$130="acoes"))*Inputs!$B$1+((Inputs!$G$5:$G$130&lt;&gt;"moeda")*(Inputs!$G$5:$G$130&lt;&gt;"acoes")))*INDEX(Inputs!$K$5:$AJ$130,0,MATCH(AK$2,Inputs!$K$4:$AJ$4,0)))+SUMPRODUCT((Inputs!$E$5:$E$130=$B60)*Inputs!$F$5:$F$130*(((Inputs!$G$5:$G$130="moeda")+(Inputs!$G$5:$G$130="acoes"))*Inputs!$B$1+((Inputs!$G$5:$G$130&lt;&gt;"moeda")*(Inputs!$G$5:$G$130&lt;&gt;"acoes")))*INDEX(Inputs!$K$5:$AJ$130,0,MATCH(AK$2,Inputs!$K$4:$AJ$4,0)))))</f>
        <v>258</v>
      </c>
      <c r="AL60" s="264">
        <f>SUM(AH60:AK60)</f>
        <v>824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9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ABS(D184-D260)</f>
        <v>0</v>
      </c>
      <c r="E2" s="3">
        <f>ABS(E184-E260)</f>
        <v>0</v>
      </c>
      <c r="F2" s="3">
        <f>ABS(F184-F260)</f>
        <v>0</v>
      </c>
      <c r="G2" s="3">
        <f>ABS(G184-G260)</f>
        <v>0</v>
      </c>
      <c r="H2" s="3">
        <f>ABS(H184-H260)</f>
        <v>0</v>
      </c>
      <c r="I2" s="3">
        <f>ABS(I184-I260)</f>
        <v>0</v>
      </c>
      <c r="J2" s="3">
        <f>ABS(J184-J260)</f>
        <v>0</v>
      </c>
      <c r="K2" s="3">
        <f>ABS(K184-K260)</f>
        <v>0</v>
      </c>
      <c r="L2" s="3">
        <f>ABS(L184-L260)</f>
        <v>0</v>
      </c>
      <c r="M2" s="3">
        <f>ABS(M184-M260)</f>
        <v>0</v>
      </c>
      <c r="N2" s="3">
        <f>ABS(N184-N260)</f>
        <v>0</v>
      </c>
      <c r="O2" s="3">
        <f>ABS(O184-O260)</f>
        <v>0</v>
      </c>
      <c r="P2" s="3">
        <f>ABS(P184-P260)</f>
        <v>0</v>
      </c>
      <c r="Q2" s="3">
        <f>ABS(Q184-Q260)</f>
        <v>0</v>
      </c>
      <c r="R2" s="3">
        <f>ABS(R184-R260)</f>
        <v>0</v>
      </c>
      <c r="S2" s="3">
        <f>ABS(S184-S260)</f>
        <v>0</v>
      </c>
      <c r="T2" s="3">
        <f>ABS(T184-T260)</f>
        <v>0</v>
      </c>
      <c r="U2" s="3">
        <f>ABS(U184-U260)</f>
        <v>0</v>
      </c>
      <c r="V2" s="3">
        <f>ABS(V184-V260)</f>
        <v>0</v>
      </c>
      <c r="W2" s="3">
        <f>ABS(W184-W260)</f>
        <v>0</v>
      </c>
      <c r="X2" s="3">
        <f>ABS(X184-X260)</f>
        <v>0</v>
      </c>
      <c r="Y2" s="3">
        <f>ABS(Y184-Y260)</f>
        <v>0</v>
      </c>
      <c r="Z2" s="3">
        <f>ABS(Z184-Z260)</f>
        <v>0</v>
      </c>
      <c r="AA2" s="3">
        <f>ABS(AA184-AA260)</f>
        <v>0</v>
      </c>
      <c r="AB2" s="3">
        <f>ABS(AB184-AB260)</f>
        <v>0</v>
      </c>
      <c r="AC2" s="3">
        <f>ABS(AC184-AC260)</f>
        <v>0</v>
      </c>
      <c r="AD2" s="3">
        <f>ABS(AD184-AD260)</f>
        <v>0</v>
      </c>
      <c r="AE2" s="3">
        <f>ABS(AE184-AE260)</f>
        <v>0</v>
      </c>
      <c r="AF2" s="3">
        <f>ABS(AF184-AF260)</f>
        <v>0</v>
      </c>
      <c r="AG2" s="3">
        <f>ABS(AG184-AG260)</f>
        <v>0</v>
      </c>
      <c r="AH2" s="3">
        <f>ABS(AH184-AH260)</f>
        <v>0</v>
      </c>
      <c r="AI2" s="3">
        <f>ABS(AI184-AI260)</f>
        <v>0</v>
      </c>
      <c r="AJ2" s="3">
        <f>ABS(AJ184-AJ260)</f>
        <v>0</v>
      </c>
      <c r="AK2" s="3">
        <f>ABS(AK184-AK260)</f>
        <v>0</v>
      </c>
      <c r="AL2" s="3">
        <f>ABS(AL184-AL260)</f>
        <v>0</v>
      </c>
      <c r="AM2" s="3" t="e">
        <f>ABS(AM184-AM260)</f>
        <v>#DIV/0!</v>
      </c>
      <c r="AN2" s="3" t="e">
        <f>ABS(AN184-AN260)</f>
        <v>#DIV/0!</v>
      </c>
      <c r="AO2" s="3" t="e">
        <f>ABS(AO184-AO260)</f>
        <v>#DIV/0!</v>
      </c>
      <c r="AP2" s="3" t="e">
        <f>ABS(AP184-AP260)</f>
        <v>#DIV/0!</v>
      </c>
      <c r="AQ2" s="3" t="e">
        <f>ABS(AQ184-AQ260)</f>
        <v>#DIV/0!</v>
      </c>
      <c r="AR2" s="3" t="e">
        <f>ABS(AR184-AR260)</f>
        <v>#DIV/0!</v>
      </c>
      <c r="AS2" s="3" t="e">
        <f>ABS(AS184-AS260)</f>
        <v>#DIV/0!</v>
      </c>
      <c r="AT2" s="3" t="e">
        <f>ABS(AT184-AT260)</f>
        <v>#DIV/0!</v>
      </c>
      <c r="AU2" s="3" t="e">
        <f>ABS(AU184-AU260)</f>
        <v>#DIV/0!</v>
      </c>
      <c r="AV2" s="3" t="e">
        <f>ABS(AV184-AV260)</f>
        <v>#DIV/0!</v>
      </c>
      <c r="AW2" s="3" t="e">
        <f>ABS(AW184-AW260)</f>
        <v>#DIV/0!</v>
      </c>
      <c r="AX2" s="3" t="e">
        <f>ABS(AX184-AX260)</f>
        <v>#DIV/0!</v>
      </c>
      <c r="AY2" s="3" t="e">
        <f>ABS(AY184-AY260)</f>
        <v>#DIV/0!</v>
      </c>
      <c r="AZ2" s="3" t="e">
        <f>ABS(AZ184-AZ260)</f>
        <v>#DIV/0!</v>
      </c>
      <c r="BA2" s="3" t="e">
        <f>ABS(BA184-BA260)</f>
        <v>#DIV/0!</v>
      </c>
      <c r="BB2" s="3" t="e">
        <f>ABS(BB184-BB260)</f>
        <v>#DIV/0!</v>
      </c>
      <c r="BC2" s="3" t="e">
        <f>ABS(BC184-BC260)</f>
        <v>#DIV/0!</v>
      </c>
      <c r="BD2" s="3" t="e">
        <f>ABS(BD184-BD260)</f>
        <v>#DIV/0!</v>
      </c>
      <c r="BE2" s="3" t="e">
        <f>ABS(BE184-BE260)</f>
        <v>#DIV/0!</v>
      </c>
      <c r="BF2" s="3" t="e">
        <f>ABS(BF184-BF260)</f>
        <v>#DIV/0!</v>
      </c>
      <c r="BG2" s="3" t="e">
        <f>ABS(BG184-BG260)</f>
        <v>#DIV/0!</v>
      </c>
      <c r="BH2" s="3" t="e">
        <f>ABS(BH184-BH260)</f>
        <v>#DIV/0!</v>
      </c>
      <c r="BI2" s="3" t="e">
        <f>ABS(BI184-BI260)</f>
        <v>#DIV/0!</v>
      </c>
      <c r="BJ2" s="3" t="e">
        <f>ABS(BJ184-BJ260)</f>
        <v>#DIV/0!</v>
      </c>
      <c r="BK2" s="3" t="e">
        <f>ABS(BK184-BK260)</f>
        <v>#DIV/0!</v>
      </c>
      <c r="BL2" s="3" t="e">
        <f>ABS(BL184-BL260)</f>
        <v>#DIV/0!</v>
      </c>
      <c r="BM2" s="3" t="e">
        <f>ABS(BM184-BM260)</f>
        <v>#DIV/0!</v>
      </c>
      <c r="BN2" s="3" t="e">
        <f>ABS(BN184-BN260)</f>
        <v>#DIV/0!</v>
      </c>
      <c r="BO2" s="3" t="e">
        <f>ABS(BO184-BO260)</f>
        <v>#DIV/0!</v>
      </c>
      <c r="BP2" s="3" t="e">
        <f>ABS(BP184-BP260)</f>
        <v>#DIV/0!</v>
      </c>
      <c r="BQ2" s="3" t="e">
        <f>ABS(BQ184-BQ260)</f>
        <v>#DIV/0!</v>
      </c>
      <c r="BR2" s="3" t="e">
        <f>ABS(BR184-BR260)</f>
        <v>#DIV/0!</v>
      </c>
      <c r="BS2" s="3" t="e">
        <f>ABS(BS184-BS260)</f>
        <v>#DIV/0!</v>
      </c>
      <c r="BT2" s="3" t="e">
        <f>ABS(BT184-BT260)</f>
        <v>#DIV/0!</v>
      </c>
      <c r="BU2" s="3" t="e">
        <f>ABS(BU184-BU260)</f>
        <v>#DIV/0!</v>
      </c>
      <c r="BV2" s="3" t="e">
        <f>ABS(BV184-BV260)</f>
        <v>#DIV/0!</v>
      </c>
      <c r="BW2" s="3" t="e">
        <f>ABS(BW184-BW260)</f>
        <v>#DIV/0!</v>
      </c>
      <c r="BX2" s="3" t="e">
        <f>ABS(BX184-BX260)</f>
        <v>#DIV/0!</v>
      </c>
      <c r="BY2" s="3" t="e">
        <f>ABS(BY184-BY260)</f>
        <v>#DIV/0!</v>
      </c>
      <c r="BZ2" s="3" t="e">
        <f>ABS(BZ184-BZ260)</f>
        <v>#DIV/0!</v>
      </c>
      <c r="CA2" s="3" t="e">
        <f>ABS(CA184-CA260)</f>
        <v>#DIV/0!</v>
      </c>
      <c r="CB2" s="3" t="e">
        <f>ABS(CB184-CB260)</f>
        <v>#DIV/0!</v>
      </c>
      <c r="CC2" s="3" t="e">
        <f>ABS(CC184-CC260)</f>
        <v>#DIV/0!</v>
      </c>
      <c r="CD2" s="3" t="e">
        <f>ABS(CD184-CD260)</f>
        <v>#DIV/0!</v>
      </c>
      <c r="CE2" s="3" t="e">
        <f>ABS(CE184-CE260)</f>
        <v>#DIV/0!</v>
      </c>
      <c r="CF2" s="3" t="e">
        <f>ABS(CF184-CF260)</f>
        <v>#DIV/0!</v>
      </c>
      <c r="CG2" s="3" t="e">
        <f>ABS(CG184-CG260)</f>
        <v>#DIV/0!</v>
      </c>
      <c r="CH2" s="3" t="e">
        <f>ABS(CH184-CH260)</f>
        <v>#DIV/0!</v>
      </c>
      <c r="CI2" s="3" t="e">
        <f>ABS(CI184-CI260)</f>
        <v>#DIV/0!</v>
      </c>
      <c r="CJ2" s="3" t="e">
        <f>ABS(CJ184-CJ260)</f>
        <v>#DIV/0!</v>
      </c>
      <c r="CK2" s="3" t="e">
        <f>ABS(CK184-CK260)</f>
        <v>#DIV/0!</v>
      </c>
      <c r="CL2" s="3" t="e">
        <f>ABS(CL184-CL260)</f>
        <v>#DIV/0!</v>
      </c>
      <c r="CM2" s="3" t="e">
        <f>ABS(CM184-CM260)</f>
        <v>#DIV/0!</v>
      </c>
      <c r="CN2" s="3" t="e">
        <f>ABS(CN184-CN260)</f>
        <v>#DIV/0!</v>
      </c>
      <c r="CO2" s="3" t="e">
        <f>ABS(CO184-CO260)</f>
        <v>#DIV/0!</v>
      </c>
      <c r="CP2" s="3" t="e">
        <f>ABS(CP184-CP260)</f>
        <v>#DIV/0!</v>
      </c>
      <c r="CQ2" s="3" t="e">
        <f>ABS(CQ184-CQ260)</f>
        <v>#DIV/0!</v>
      </c>
      <c r="CR2" s="3" t="e">
        <f>ABS(CR184-CR260)</f>
        <v>#DIV/0!</v>
      </c>
      <c r="CS2" s="3" t="e">
        <f>ABS(CS184-CS260)</f>
        <v>#DIV/0!</v>
      </c>
      <c r="CT2" s="3" t="e">
        <f>ABS(CT184-CT260)</f>
        <v>#DIV/0!</v>
      </c>
      <c r="CU2" s="3" t="e">
        <f>ABS(CU184-CU260)</f>
        <v>#DIV/0!</v>
      </c>
      <c r="CV2" s="3" t="e">
        <f>ABS(CV184-CV260)</f>
        <v>#DIV/0!</v>
      </c>
      <c r="CW2" s="3" t="e">
        <f>ABS(CW184-CW260)</f>
        <v>#DIV/0!</v>
      </c>
      <c r="CX2" s="3" t="e">
        <f>ABS(CX184-CX260)</f>
        <v>#DIV/0!</v>
      </c>
      <c r="CY2" s="3" t="e">
        <f>ABS(CY184-CY260)</f>
        <v>#DIV/0!</v>
      </c>
    </row>
    <row r="3" outlineLevel="1">
      <c r="C3" s="5" t="inlineStr">
        <is>
          <t>IS</t>
        </is>
      </c>
      <c r="D3" s="3">
        <f>IF(COUNT(D4)=0,"",ABS(D124-D4))</f>
        <v>0</v>
      </c>
      <c r="E3" s="3">
        <f>IF(COUNT(E4)=0,"",ABS(E124-E4))</f>
        <v>0</v>
      </c>
      <c r="F3" s="3">
        <f>IF(COUNT(F4)=0,"",ABS(F124-F4))</f>
        <v>0</v>
      </c>
      <c r="G3" s="3">
        <f>IF(COUNT(G4)=0,"",ABS(G124-G4))</f>
        <v>0</v>
      </c>
      <c r="H3" s="3">
        <f>IF(COUNT(H4)=0,"",ABS(H124-H4))</f>
        <v>0</v>
      </c>
      <c r="I3" s="3">
        <f>IF(COUNT(I4)=0,"",ABS(I124-I4))</f>
        <v>0</v>
      </c>
      <c r="J3" s="3">
        <f>IF(COUNT(J4)=0,"",ABS(J124-J4))</f>
        <v>0</v>
      </c>
      <c r="K3" s="3">
        <f>IF(COUNT(K4)=0,"",ABS(K124-K4))</f>
        <v>0</v>
      </c>
      <c r="L3" s="3">
        <f>IF(COUNT(L4)=0,"",ABS(L124-L4))</f>
        <v>0</v>
      </c>
      <c r="M3" s="3">
        <f>IF(COUNT(M4)=0,"",ABS(M124-M4))</f>
        <v>0</v>
      </c>
      <c r="N3" s="3">
        <f>IF(COUNT(N4)=0,"",ABS(N124-N4))</f>
        <v>0</v>
      </c>
      <c r="O3" s="3">
        <f>IF(COUNT(O4)=0,"",ABS(O124-O4))</f>
        <v>0</v>
      </c>
      <c r="P3" s="3">
        <f>IF(COUNT(P4)=0,"",ABS(P124-P4))</f>
        <v>0</v>
      </c>
      <c r="Q3" s="3">
        <f>IF(COUNT(Q4)=0,"",ABS(Q124-Q4))</f>
        <v>0</v>
      </c>
      <c r="R3" s="3">
        <f>IF(COUNT(R4)=0,"",ABS(R124-R4))</f>
        <v>0</v>
      </c>
      <c r="S3" s="3">
        <f>IF(COUNT(S4)=0,"",ABS(S124-S4))</f>
        <v>0</v>
      </c>
      <c r="T3" s="3">
        <f>IF(COUNT(T4)=0,"",ABS(T124-T4))</f>
        <v>0</v>
      </c>
      <c r="U3" s="3">
        <f>IF(COUNT(U4)=0,"",ABS(U124-U4))</f>
        <v>0</v>
      </c>
      <c r="V3" s="3">
        <f>IF(COUNT(V4)=0,"",ABS(V124-V4))</f>
        <v>0</v>
      </c>
      <c r="W3" s="3">
        <f>IF(COUNT(W4)=0,"",ABS(W124-W4))</f>
        <v>0</v>
      </c>
      <c r="X3" s="3">
        <f>IF(COUNT(X4)=0,"",ABS(X124-X4))</f>
        <v>0</v>
      </c>
      <c r="Y3" s="3">
        <f>IF(COUNT(Y4)=0,"",ABS(Y124-Y4))</f>
        <v>0</v>
      </c>
      <c r="Z3" s="3">
        <f>IF(COUNT(Z4)=0,"",ABS(Z124-Z4))</f>
        <v>0</v>
      </c>
      <c r="AA3" s="3">
        <f>IF(COUNT(AA4)=0,"",ABS(AA124-AA4))</f>
        <v>0</v>
      </c>
      <c r="AB3" s="3">
        <f>IF(COUNT(AB4)=0,"",ABS(AB124-AB4))</f>
        <v>0</v>
      </c>
      <c r="AC3" s="3">
        <f>IF(COUNT(AC4)=0,"",ABS(AC124-AC4))</f>
        <v>0</v>
      </c>
      <c r="AD3" s="3">
        <f>IF(COUNT(AD4)=0,"",ABS(AD124-AD4))</f>
        <v>0</v>
      </c>
      <c r="AE3" s="3">
        <f>IF(COUNT(AE4)=0,"",ABS(AE124-AE4))</f>
        <v>0</v>
      </c>
      <c r="AF3" s="3">
        <f>IF(COUNT(AF4)=0,"",ABS(AF124-AF4))</f>
        <v>0</v>
      </c>
      <c r="AG3" s="3">
        <f>IF(COUNT(AG4)=0,"",ABS(AG124-AG4))</f>
        <v>0</v>
      </c>
      <c r="AH3" s="3">
        <f>IF(COUNT(AH4)=0,"",ABS(AH124-AH4))</f>
        <v>0</v>
      </c>
      <c r="AI3" s="3">
        <f>IF(COUNT(AI4)=0,"",ABS(AI124-AI4))</f>
        <v>0</v>
      </c>
      <c r="AJ3" s="3" t="str">
        <f>IF(COUNT(AJ4)=0,"",ABS(AJ124-AJ4))</f>
        <v/>
      </c>
      <c r="AK3" s="3" t="str">
        <f>IF(COUNT(AK4)=0,"",ABS(AK124-AK4))</f>
        <v/>
      </c>
      <c r="AL3" s="3" t="str">
        <f>IF(COUNT(AL4)=0,"",ABS(AL124-AL4))</f>
        <v/>
      </c>
      <c r="AM3" s="3" t="str">
        <f>IF(COUNT(AM4)=0,"",ABS(AM124-AM4))</f>
        <v/>
      </c>
      <c r="AN3" s="3" t="str">
        <f>IF(COUNT(AN4)=0,"",ABS(AN124-AN4))</f>
        <v/>
      </c>
      <c r="AO3" s="3" t="str">
        <f>IF(COUNT(AO4)=0,"",ABS(AO124-AO4))</f>
        <v/>
      </c>
      <c r="AP3" s="3" t="str">
        <f>IF(COUNT(AP4)=0,"",ABS(AP124-AP4))</f>
        <v/>
      </c>
      <c r="AQ3" s="3" t="str">
        <f>IF(COUNT(AQ4)=0,"",ABS(AQ124-AQ4))</f>
        <v/>
      </c>
      <c r="AR3" s="3" t="str">
        <f>IF(COUNT(AR4)=0,"",ABS(AR124-AR4))</f>
        <v/>
      </c>
      <c r="AS3" s="3" t="str">
        <f>IF(COUNT(AS4)=0,"",ABS(AS124-AS4))</f>
        <v/>
      </c>
      <c r="AT3" s="3" t="str">
        <f>IF(COUNT(AT4)=0,"",ABS(AT124-AT4))</f>
        <v/>
      </c>
      <c r="AU3" s="3" t="str">
        <f>IF(COUNT(AU4)=0,"",ABS(AU124-AU4))</f>
        <v/>
      </c>
      <c r="AV3" s="3" t="str">
        <f>IF(COUNT(AV4)=0,"",ABS(AV124-AV4))</f>
        <v/>
      </c>
      <c r="AW3" s="3" t="str">
        <f>IF(COUNT(AW4)=0,"",ABS(AW124-AW4))</f>
        <v/>
      </c>
      <c r="AX3" s="3" t="str">
        <f>IF(COUNT(AX4)=0,"",ABS(AX124-AX4))</f>
        <v/>
      </c>
      <c r="AY3" s="3" t="str">
        <f>IF(COUNT(AY4)=0,"",ABS(AY124-AY4))</f>
        <v/>
      </c>
      <c r="AZ3" s="3" t="str">
        <f>IF(COUNT(AZ4)=0,"",ABS(AZ124-AZ4))</f>
        <v/>
      </c>
      <c r="BA3" s="3" t="str">
        <f>IF(COUNT(BA4)=0,"",ABS(BA124-BA4))</f>
        <v/>
      </c>
      <c r="BB3" s="3" t="str">
        <f>IF(COUNT(BB4)=0,"",ABS(BB124-BB4))</f>
        <v/>
      </c>
      <c r="BC3" s="3" t="str">
        <f>IF(COUNT(BC4)=0,"",ABS(BC124-BC4))</f>
        <v/>
      </c>
      <c r="BD3" s="3" t="str">
        <f>IF(COUNT(BD4)=0,"",ABS(BD124-BD4))</f>
        <v/>
      </c>
      <c r="BE3" s="3" t="str">
        <f>IF(COUNT(BE4)=0,"",ABS(BE124-BE4))</f>
        <v/>
      </c>
      <c r="BF3" s="3" t="str">
        <f>IF(COUNT(BF4)=0,"",ABS(BF124-BF4))</f>
        <v/>
      </c>
      <c r="BG3" s="3" t="str">
        <f>IF(COUNT(BG4)=0,"",ABS(BG124-BG4))</f>
        <v/>
      </c>
      <c r="BH3" s="3" t="str">
        <f>IF(COUNT(BH4)=0,"",ABS(BH124-BH4))</f>
        <v/>
      </c>
      <c r="BI3" s="3" t="str">
        <f>IF(COUNT(BI4)=0,"",ABS(BI124-BI4))</f>
        <v/>
      </c>
      <c r="BJ3" s="3" t="str">
        <f>IF(COUNT(BJ4)=0,"",ABS(BJ124-BJ4))</f>
        <v/>
      </c>
      <c r="BK3" s="3" t="str">
        <f>IF(COUNT(BK4)=0,"",ABS(BK124-BK4))</f>
        <v/>
      </c>
      <c r="BL3" s="3" t="str">
        <f>IF(COUNT(BL4)=0,"",ABS(BL124-BL4))</f>
        <v/>
      </c>
      <c r="BM3" s="3" t="str">
        <f>IF(COUNT(BM4)=0,"",ABS(BM124-BM4))</f>
        <v/>
      </c>
      <c r="BN3" s="3" t="str">
        <f>IF(COUNT(BN4)=0,"",ABS(BN124-BN4))</f>
        <v/>
      </c>
      <c r="BO3" s="3" t="str">
        <f>IF(COUNT(BO4)=0,"",ABS(BO124-BO4))</f>
        <v/>
      </c>
      <c r="BP3" s="3" t="str">
        <f>IF(COUNT(BP4)=0,"",ABS(BP124-BP4))</f>
        <v/>
      </c>
      <c r="BQ3" s="3" t="str">
        <f>IF(COUNT(BQ4)=0,"",ABS(BQ124-BQ4))</f>
        <v/>
      </c>
      <c r="BR3" s="3" t="str">
        <f>IF(COUNT(BR4)=0,"",ABS(BR124-BR4))</f>
        <v/>
      </c>
      <c r="BS3" s="3" t="str">
        <f>IF(COUNT(BS4)=0,"",ABS(BS124-BS4))</f>
        <v/>
      </c>
      <c r="BT3" s="3" t="str">
        <f>IF(COUNT(BT4)=0,"",ABS(BT124-BT4))</f>
        <v/>
      </c>
      <c r="BU3" s="3" t="str">
        <f>IF(COUNT(BU4)=0,"",ABS(BU124-BU4))</f>
        <v/>
      </c>
      <c r="BV3" s="3" t="str">
        <f>IF(COUNT(BV4)=0,"",ABS(BV124-BV4))</f>
        <v/>
      </c>
      <c r="BW3" s="3" t="str">
        <f>IF(COUNT(BW4)=0,"",ABS(BW124-BW4))</f>
        <v/>
      </c>
      <c r="BX3" s="3" t="str">
        <f>IF(COUNT(BX4)=0,"",ABS(BX124-BX4))</f>
        <v/>
      </c>
      <c r="BY3" s="3" t="str">
        <f>IF(COUNT(BY4)=0,"",ABS(BY124-BY4))</f>
        <v/>
      </c>
      <c r="BZ3" s="3" t="str">
        <f>IF(COUNT(BZ4)=0,"",ABS(BZ124-BZ4))</f>
        <v/>
      </c>
      <c r="CA3" s="3" t="str">
        <f>IF(COUNT(CA4)=0,"",ABS(CA124-CA4))</f>
        <v/>
      </c>
      <c r="CB3" s="3" t="str">
        <f>IF(COUNT(CB4)=0,"",ABS(CB124-CB4))</f>
        <v/>
      </c>
      <c r="CC3" s="3" t="str">
        <f>IF(COUNT(CC4)=0,"",ABS(CC124-CC4))</f>
        <v/>
      </c>
      <c r="CD3" s="3" t="str">
        <f>IF(COUNT(CD4)=0,"",ABS(CD124-CD4))</f>
        <v/>
      </c>
      <c r="CE3" s="3" t="str">
        <f>IF(COUNT(CE4)=0,"",ABS(CE124-CE4))</f>
        <v/>
      </c>
      <c r="CF3" s="3" t="str">
        <f>IF(COUNT(CF4)=0,"",ABS(CF124-CF4))</f>
        <v/>
      </c>
      <c r="CG3" s="3" t="str">
        <f>IF(COUNT(CG4)=0,"",ABS(CG124-CG4))</f>
        <v/>
      </c>
      <c r="CH3" s="3" t="str">
        <f>IF(COUNT(CH4)=0,"",ABS(CH124-CH4))</f>
        <v/>
      </c>
      <c r="CI3" s="3" t="str">
        <f>IF(COUNT(CI4)=0,"",ABS(CI124-CI4))</f>
        <v/>
      </c>
      <c r="CJ3" s="3" t="str">
        <f>IF(COUNT(CJ4)=0,"",ABS(CJ124-CJ4))</f>
        <v/>
      </c>
      <c r="CK3" s="3" t="str">
        <f>IF(COUNT(CK4)=0,"",ABS(CK124-CK4))</f>
        <v/>
      </c>
      <c r="CL3" s="3" t="str">
        <f>IF(COUNT(CL4)=0,"",ABS(CL124-CL4))</f>
        <v/>
      </c>
      <c r="CM3" s="3" t="str">
        <f>IF(COUNT(CM4)=0,"",ABS(CM124-CM4))</f>
        <v/>
      </c>
      <c r="CN3" s="3" t="str">
        <f>IF(COUNT(CN4)=0,"",ABS(CN124-CN4))</f>
        <v/>
      </c>
      <c r="CO3" s="3" t="str">
        <f>IF(COUNT(CO4)=0,"",ABS(CO124-CO4))</f>
        <v/>
      </c>
      <c r="CP3" s="3" t="str">
        <f>IF(COUNT(CP4)=0,"",ABS(CP124-CP4))</f>
        <v/>
      </c>
      <c r="CQ3" s="3" t="str">
        <f>IF(COUNT(CQ4)=0,"",ABS(CQ124-CQ4))</f>
        <v/>
      </c>
      <c r="CR3" s="3" t="str">
        <f>IF(COUNT(CR4)=0,"",ABS(CR124-CR4))</f>
        <v/>
      </c>
      <c r="CS3" s="3" t="str">
        <f>IF(COUNT(CS4)=0,"",ABS(CS124-CS4))</f>
        <v/>
      </c>
      <c r="CT3" s="3" t="str">
        <f>IF(COUNT(CT4)=0,"",ABS(CT124-CT4))</f>
        <v/>
      </c>
      <c r="CU3" s="3" t="str">
        <f>IF(COUNT(CU4)=0,"",ABS(CU124-CU4))</f>
        <v/>
      </c>
      <c r="CV3" s="3" t="str">
        <f>IF(COUNT(CV4)=0,"",ABS(CV124-CV4))</f>
        <v/>
      </c>
      <c r="CW3" s="3" t="str">
        <f>IF(COUNT(CW4)=0,"",ABS(CW124-CW4))</f>
        <v/>
      </c>
      <c r="CX3" s="3" t="str">
        <f>IF(COUNT(CX4)=0,"",ABS(CX124-CX4))</f>
        <v/>
      </c>
      <c r="CY3" s="3" t="str">
        <f>IF(COUNT(CY4)=0,"",ABS(CY124-CY4))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666</v>
      </c>
      <c r="E4" s="16">
        <f>INDEX('Inputs (2)'!$D$50:$AL$50,MATCH(E$7,'Inputs (2)'!$D$2:$AL$2,0))</f>
        <v>811</v>
      </c>
      <c r="F4" s="16">
        <f>INDEX('Inputs (2)'!$D$50:$AL$50,MATCH(F$7,'Inputs (2)'!$D$2:$AL$2,0))</f>
        <v>757</v>
      </c>
      <c r="G4" s="16">
        <f>INDEX('Inputs (2)'!$D$50:$AL$50,MATCH(G$7,'Inputs (2)'!$D$2:$AL$2,0))</f>
        <v>1224</v>
      </c>
      <c r="H4" s="16">
        <f>IF(COUNT(D4:G4)=4,SUM(D4:G4),"")</f>
        <v>3458</v>
      </c>
      <c r="I4" s="16">
        <f>INDEX('Inputs (2)'!$D$50:$AL$50,MATCH(I$7,'Inputs (2)'!$D$2:$AL$2,0))</f>
        <v>1790</v>
      </c>
      <c r="J4" s="16">
        <f>INDEX('Inputs (2)'!$D$50:$AL$50,MATCH(J$7,'Inputs (2)'!$D$2:$AL$2,0))</f>
        <v>1667</v>
      </c>
      <c r="K4" s="16">
        <f>INDEX('Inputs (2)'!$D$50:$AL$50,MATCH(K$7,'Inputs (2)'!$D$2:$AL$2,0))</f>
        <v>1283</v>
      </c>
      <c r="L4" s="16">
        <f>INDEX('Inputs (2)'!$D$50:$AL$50,MATCH(L$7,'Inputs (2)'!$D$2:$AL$2,0))</f>
        <v>903</v>
      </c>
      <c r="M4" s="16">
        <f>IF(COUNT(I4:L4)=4,SUM(I4:L4),"")</f>
        <v>5643</v>
      </c>
      <c r="N4" s="16">
        <f>INDEX('Inputs (2)'!$D$50:$AL$50,MATCH(N$7,'Inputs (2)'!$D$2:$AL$2,0))</f>
        <v>2098</v>
      </c>
      <c r="O4" s="16">
        <f>INDEX('Inputs (2)'!$D$50:$AL$50,MATCH(O$7,'Inputs (2)'!$D$2:$AL$2,0))</f>
        <v>1884</v>
      </c>
      <c r="P4" s="16">
        <f>INDEX('Inputs (2)'!$D$50:$AL$50,MATCH(P$7,'Inputs (2)'!$D$2:$AL$2,0))</f>
        <v>2246</v>
      </c>
      <c r="Q4" s="16">
        <f>INDEX('Inputs (2)'!$D$50:$AL$50,MATCH(Q$7,'Inputs (2)'!$D$2:$AL$2,0))</f>
        <v>1959</v>
      </c>
      <c r="R4" s="16">
        <f>IF(COUNT(N4:Q4)=4,SUM(N4:Q4),"")</f>
        <v>8187</v>
      </c>
      <c r="S4" s="16">
        <f>INDEX('Inputs (2)'!$D$50:$AL$50,MATCH(S$7,'Inputs (2)'!$D$2:$AL$2,0))</f>
        <v>2860</v>
      </c>
      <c r="T4" s="16">
        <f>INDEX('Inputs (2)'!$D$50:$AL$50,MATCH(T$7,'Inputs (2)'!$D$2:$AL$2,0))</f>
        <v>2978</v>
      </c>
      <c r="U4" s="16">
        <f>INDEX('Inputs (2)'!$D$50:$AL$50,MATCH(U$7,'Inputs (2)'!$D$2:$AL$2,0))</f>
        <v>2369</v>
      </c>
      <c r="V4" s="16">
        <f>INDEX('Inputs (2)'!$D$50:$AL$50,MATCH(V$7,'Inputs (2)'!$D$2:$AL$2,0))</f>
        <v>1751</v>
      </c>
      <c r="W4" s="16">
        <f>IF(COUNT(S4:V4)=4,SUM(S4:V4),"")</f>
        <v>9958</v>
      </c>
      <c r="X4" s="16">
        <f>INDEX('Inputs (2)'!$D$50:$AL$50,MATCH(X$7,'Inputs (2)'!$D$2:$AL$2,0))</f>
        <v>2370</v>
      </c>
      <c r="Y4" s="16">
        <f>INDEX('Inputs (2)'!$D$50:$AL$50,MATCH(Y$7,'Inputs (2)'!$D$2:$AL$2,0))</f>
        <v>1734</v>
      </c>
      <c r="Z4" s="16">
        <f>INDEX('Inputs (2)'!$D$50:$AL$50,MATCH(Z$7,'Inputs (2)'!$D$2:$AL$2,0))</f>
        <v>1245</v>
      </c>
      <c r="AA4" s="16">
        <f>INDEX('Inputs (2)'!$D$50:$AL$50,MATCH(AA$7,'Inputs (2)'!$D$2:$AL$2,0))</f>
        <v>869</v>
      </c>
      <c r="AB4" s="16">
        <f>IF(COUNT(X4:AA4)=4,SUM(X4:AA4),"")</f>
        <v>6218</v>
      </c>
      <c r="AC4" s="16">
        <f>INDEX('Inputs (2)'!$D$50:$AL$50,MATCH(AC$7,'Inputs (2)'!$D$2:$AL$2,0))</f>
        <v>1804</v>
      </c>
      <c r="AD4" s="16">
        <f>INDEX('Inputs (2)'!$D$50:$AL$50,MATCH(AD$7,'Inputs (2)'!$D$2:$AL$2,0))</f>
        <v>1289</v>
      </c>
      <c r="AE4" s="16">
        <f>INDEX('Inputs (2)'!$D$50:$AL$50,MATCH(AE$7,'Inputs (2)'!$D$2:$AL$2,0))</f>
        <v>1065</v>
      </c>
      <c r="AF4" s="16">
        <f>INDEX('Inputs (2)'!$D$50:$AL$50,MATCH(AF$7,'Inputs (2)'!$D$2:$AL$2,0))</f>
        <v>656</v>
      </c>
      <c r="AG4" s="16">
        <f>IF(COUNT(AC4:AF4)=4,SUM(AC4:AF4),"")</f>
        <v>4814</v>
      </c>
      <c r="AH4" s="6">
        <f>INDEX('Inputs (2)'!$D$50:$AL$50,MATCH(AH$7,'Inputs (2)'!$D$2:$AL$2,0))</f>
        <v>1773</v>
      </c>
      <c r="AI4" s="6">
        <f>INDEX('Inputs (2)'!$D$50:$AL$50,MATCH(AI$7,'Inputs (2)'!$D$2:$AL$2,0))</f>
        <v>1379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9253</v>
      </c>
      <c r="E15" s="15">
        <f>INDEX('Inputs (2)'!$D$4:$AL$4,MATCH(E$7,'Inputs (2)'!$D$2:$AL$2,0))</f>
        <v>8925</v>
      </c>
      <c r="F15" s="15">
        <f>INDEX('Inputs (2)'!$D$4:$AL$4,MATCH(F$7,'Inputs (2)'!$D$2:$AL$2,0))</f>
        <v>9731</v>
      </c>
      <c r="G15" s="15">
        <f>INDEX('Inputs (2)'!$D$4:$AL$4,MATCH(G$7,'Inputs (2)'!$D$2:$AL$2,0))</f>
        <v>9112</v>
      </c>
      <c r="H15" s="16">
        <f>SUM(D15:G15)</f>
        <v>37021</v>
      </c>
      <c r="I15" s="15">
        <f>INDEX('Inputs (2)'!$D$4:$AL$4,MATCH(I$7,'Inputs (2)'!$D$2:$AL$2,0))</f>
        <v>12058</v>
      </c>
      <c r="J15" s="15">
        <f>INDEX('Inputs (2)'!$D$4:$AL$4,MATCH(J$7,'Inputs (2)'!$D$2:$AL$2,0))</f>
        <v>11527</v>
      </c>
      <c r="K15" s="15">
        <f>INDEX('Inputs (2)'!$D$4:$AL$4,MATCH(K$7,'Inputs (2)'!$D$2:$AL$2,0))</f>
        <v>11327</v>
      </c>
      <c r="L15" s="15">
        <f>INDEX('Inputs (2)'!$D$4:$AL$4,MATCH(L$7,'Inputs (2)'!$D$2:$AL$2,0))</f>
        <v>9569</v>
      </c>
      <c r="M15" s="16">
        <f>SUM(I15:L15)</f>
        <v>44481</v>
      </c>
      <c r="N15" s="15">
        <f>INDEX('Inputs (2)'!$D$4:$AL$4,MATCH(N$7,'Inputs (2)'!$D$2:$AL$2,0))</f>
        <v>13370</v>
      </c>
      <c r="O15" s="15">
        <f>INDEX('Inputs (2)'!$D$4:$AL$4,MATCH(O$7,'Inputs (2)'!$D$2:$AL$2,0))</f>
        <v>14102</v>
      </c>
      <c r="P15" s="15">
        <f>INDEX('Inputs (2)'!$D$4:$AL$4,MATCH(P$7,'Inputs (2)'!$D$2:$AL$2,0))</f>
        <v>15536</v>
      </c>
      <c r="Q15" s="15">
        <f>INDEX('Inputs (2)'!$D$4:$AL$4,MATCH(Q$7,'Inputs (2)'!$D$2:$AL$2,0))</f>
        <v>12652</v>
      </c>
      <c r="R15" s="16">
        <f>SUM(N15:Q15)</f>
        <v>55660</v>
      </c>
      <c r="S15" s="15">
        <f>INDEX('Inputs (2)'!$D$4:$AL$4,MATCH(S$7,'Inputs (2)'!$D$2:$AL$2,0))</f>
        <v>17387</v>
      </c>
      <c r="T15" s="15">
        <f>INDEX('Inputs (2)'!$D$4:$AL$4,MATCH(T$7,'Inputs (2)'!$D$2:$AL$2,0))</f>
        <v>15801</v>
      </c>
      <c r="U15" s="15">
        <f>INDEX('Inputs (2)'!$D$4:$AL$4,MATCH(U$7,'Inputs (2)'!$D$2:$AL$2,0))</f>
        <v>15412</v>
      </c>
      <c r="V15" s="15">
        <f>INDEX('Inputs (2)'!$D$4:$AL$4,MATCH(V$7,'Inputs (2)'!$D$2:$AL$2,0))</f>
        <v>12185</v>
      </c>
      <c r="W15" s="16">
        <f>SUM(S15:V15)</f>
        <v>60785</v>
      </c>
      <c r="X15" s="15">
        <f>INDEX('Inputs (2)'!$D$4:$AL$4,MATCH(X$7,'Inputs (2)'!$D$2:$AL$2,0))</f>
        <v>15235</v>
      </c>
      <c r="Y15" s="15">
        <f>INDEX('Inputs (2)'!$D$4:$AL$4,MATCH(Y$7,'Inputs (2)'!$D$2:$AL$2,0))</f>
        <v>13152</v>
      </c>
      <c r="Z15" s="15">
        <f>INDEX('Inputs (2)'!$D$4:$AL$4,MATCH(Z$7,'Inputs (2)'!$D$2:$AL$2,0))</f>
        <v>11144</v>
      </c>
      <c r="AA15" s="15">
        <f>INDEX('Inputs (2)'!$D$4:$AL$4,MATCH(AA$7,'Inputs (2)'!$D$2:$AL$2,0))</f>
        <v>8508</v>
      </c>
      <c r="AB15" s="16">
        <f>SUM(X15:AA15)</f>
        <v>48039</v>
      </c>
      <c r="AC15" s="15">
        <f>INDEX('Inputs (2)'!$D$4:$AL$4,MATCH(AC$7,'Inputs (2)'!$D$2:$AL$2,0))</f>
        <v>12763</v>
      </c>
      <c r="AD15" s="15">
        <f>INDEX('Inputs (2)'!$D$4:$AL$4,MATCH(AD$7,'Inputs (2)'!$D$2:$AL$2,0))</f>
        <v>12018</v>
      </c>
      <c r="AE15" s="15">
        <f>INDEX('Inputs (2)'!$D$4:$AL$4,MATCH(AE$7,'Inputs (2)'!$D$2:$AL$2,0))</f>
        <v>12394</v>
      </c>
      <c r="AF15" s="15">
        <f>INDEX('Inputs (2)'!$D$4:$AL$4,MATCH(AF$7,'Inputs (2)'!$D$2:$AL$2,0))</f>
        <v>9611</v>
      </c>
      <c r="AG15" s="16">
        <f>SUM(AC15:AF15)</f>
        <v>46786</v>
      </c>
      <c r="AH15" s="16">
        <f>INDEX('Inputs (2)'!$D$4:$AL$4,MATCH(AH$7,'Inputs (2)'!$D$2:$AL$2,0))</f>
        <v>13369</v>
      </c>
      <c r="AI15" s="16">
        <f>INDEX('Inputs (2)'!$D$4:$AL$4,MATCH(AI$7,'Inputs (2)'!$D$2:$AL$2,0))</f>
        <v>12608</v>
      </c>
      <c r="AJ15" s="16">
        <f>AE15*(1+AJ16)</f>
        <v>12394</v>
      </c>
      <c r="AK15" s="16">
        <f>AF15*(1+AK16)</f>
        <v>9611</v>
      </c>
      <c r="AL15" s="16">
        <f>SUM(AH15:AK15)</f>
        <v>47982</v>
      </c>
      <c r="AM15" s="16">
        <f>AH15*(1+AM16)</f>
        <v>13369</v>
      </c>
      <c r="AN15" s="16">
        <f>AI15*(1+AN16)</f>
        <v>12608</v>
      </c>
      <c r="AO15" s="16">
        <f>AJ15*(1+AO16)</f>
        <v>12394</v>
      </c>
      <c r="AP15" s="16">
        <f>AK15*(1+AP16)</f>
        <v>9611</v>
      </c>
      <c r="AQ15" s="16">
        <f>SUM(AM15:AP15)</f>
        <v>47982</v>
      </c>
      <c r="AR15" s="16">
        <f>AM15*(1+AR16)</f>
        <v>13369</v>
      </c>
      <c r="AS15" s="16">
        <f>AN15*(1+AS16)</f>
        <v>12608</v>
      </c>
      <c r="AT15" s="16">
        <f>AO15*(1+AT16)</f>
        <v>12394</v>
      </c>
      <c r="AU15" s="16">
        <f>AP15*(1+AU16)</f>
        <v>9611</v>
      </c>
      <c r="AV15" s="16">
        <f>SUM(AR15:AU15)</f>
        <v>47982</v>
      </c>
      <c r="AW15" s="16">
        <f>AR15*(1+AW16)</f>
        <v>13369</v>
      </c>
      <c r="AX15" s="16">
        <f>AS15*(1+AX16)</f>
        <v>12608</v>
      </c>
      <c r="AY15" s="16">
        <f>AT15*(1+AY16)</f>
        <v>12394</v>
      </c>
      <c r="AZ15" s="16">
        <f>AU15*(1+AZ16)</f>
        <v>9611</v>
      </c>
      <c r="BA15" s="16">
        <f>SUM(AW15:AZ15)</f>
        <v>47982</v>
      </c>
      <c r="BB15" s="16">
        <f>AW15*(1+BB16)</f>
        <v>13369</v>
      </c>
      <c r="BC15" s="16">
        <f>AX15*(1+BC16)</f>
        <v>12608</v>
      </c>
      <c r="BD15" s="16">
        <f>AY15*(1+BD16)</f>
        <v>12394</v>
      </c>
      <c r="BE15" s="16">
        <f>AZ15*(1+BE16)</f>
        <v>9611</v>
      </c>
      <c r="BF15" s="16">
        <f>SUM(BB15:BE15)</f>
        <v>47982</v>
      </c>
      <c r="BG15" s="16">
        <f>BB15*(1+BG16)</f>
        <v>13369</v>
      </c>
      <c r="BH15" s="16">
        <f>BC15*(1+BH16)</f>
        <v>12608</v>
      </c>
      <c r="BI15" s="16">
        <f>BD15*(1+BI16)</f>
        <v>12394</v>
      </c>
      <c r="BJ15" s="16">
        <f>BE15*(1+BJ16)</f>
        <v>9611</v>
      </c>
      <c r="BK15" s="16">
        <f>SUM(BG15:BJ15)</f>
        <v>47982</v>
      </c>
      <c r="BL15" s="16">
        <f>BG15*(1+BL16)</f>
        <v>13369</v>
      </c>
      <c r="BM15" s="16">
        <f>BH15*(1+BM16)</f>
        <v>12608</v>
      </c>
      <c r="BN15" s="16">
        <f>BI15*(1+BN16)</f>
        <v>12394</v>
      </c>
      <c r="BO15" s="16">
        <f>BJ15*(1+BO16)</f>
        <v>9611</v>
      </c>
      <c r="BP15" s="16">
        <f>SUM(BL15:BO15)</f>
        <v>47982</v>
      </c>
      <c r="BQ15" s="16">
        <f>BL15*(1+BQ16)</f>
        <v>13369</v>
      </c>
      <c r="BR15" s="16">
        <f>BM15*(1+BR16)</f>
        <v>12608</v>
      </c>
      <c r="BS15" s="16">
        <f>BN15*(1+BS16)</f>
        <v>12394</v>
      </c>
      <c r="BT15" s="16">
        <f>BO15*(1+BT16)</f>
        <v>9611</v>
      </c>
      <c r="BU15" s="16">
        <f>SUM(BQ15:BT15)</f>
        <v>47982</v>
      </c>
      <c r="BV15" s="16">
        <f>BQ15*(1+BV16)</f>
        <v>13369</v>
      </c>
      <c r="BW15" s="16">
        <f>BR15*(1+BW16)</f>
        <v>12608</v>
      </c>
      <c r="BX15" s="16">
        <f>BS15*(1+BX16)</f>
        <v>12394</v>
      </c>
      <c r="BY15" s="16">
        <f>BT15*(1+BY16)</f>
        <v>9611</v>
      </c>
      <c r="BZ15" s="16">
        <f>SUM(BV15:BY15)</f>
        <v>47982</v>
      </c>
      <c r="CA15" s="16">
        <f>BV15*(1+CA16)</f>
        <v>13369</v>
      </c>
      <c r="CB15" s="16">
        <f>BW15*(1+CB16)</f>
        <v>12608</v>
      </c>
      <c r="CC15" s="16">
        <f>BX15*(1+CC16)</f>
        <v>12394</v>
      </c>
      <c r="CD15" s="16">
        <f>BY15*(1+CD16)</f>
        <v>9611</v>
      </c>
      <c r="CE15" s="16">
        <f>SUM(CA15:CD15)</f>
        <v>47982</v>
      </c>
      <c r="CF15" s="16">
        <f>CA15*(1+CF16)</f>
        <v>13369</v>
      </c>
      <c r="CG15" s="16">
        <f>CB15*(1+CG16)</f>
        <v>12608</v>
      </c>
      <c r="CH15" s="16">
        <f>CC15*(1+CH16)</f>
        <v>12394</v>
      </c>
      <c r="CI15" s="16">
        <f>CD15*(1+CI16)</f>
        <v>9611</v>
      </c>
      <c r="CJ15" s="16">
        <f>SUM(CF15:CI15)</f>
        <v>47982</v>
      </c>
      <c r="CK15" s="16">
        <f>CF15*(1+CK16)</f>
        <v>13369</v>
      </c>
      <c r="CL15" s="16">
        <f>CG15*(1+CL16)</f>
        <v>12608</v>
      </c>
      <c r="CM15" s="16">
        <f>CH15*(1+CM16)</f>
        <v>12394</v>
      </c>
      <c r="CN15" s="16">
        <f>CI15*(1+CN16)</f>
        <v>9611</v>
      </c>
      <c r="CO15" s="16">
        <f>SUM(CK15:CN15)</f>
        <v>47982</v>
      </c>
      <c r="CP15" s="16">
        <f>CK15*(1+CP16)</f>
        <v>13369</v>
      </c>
      <c r="CQ15" s="16">
        <f>CL15*(1+CQ16)</f>
        <v>12608</v>
      </c>
      <c r="CR15" s="16">
        <f>CM15*(1+CR16)</f>
        <v>12394</v>
      </c>
      <c r="CS15" s="16">
        <f>CN15*(1+CS16)</f>
        <v>9611</v>
      </c>
      <c r="CT15" s="16">
        <f>SUM(CP15:CS15)</f>
        <v>47982</v>
      </c>
      <c r="CU15" s="16">
        <f>CP15*(1+CU16)</f>
        <v>13369</v>
      </c>
      <c r="CV15" s="16">
        <f>CQ15*(1+CV16)</f>
        <v>12608</v>
      </c>
      <c r="CW15" s="16">
        <f>CR15*(1+CW16)</f>
        <v>12394</v>
      </c>
      <c r="CX15" s="16">
        <f>CS15*(1+CX16)</f>
        <v>9611</v>
      </c>
      <c r="CY15" s="16">
        <f>SUM(CU15:CX15)</f>
        <v>47982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0.108807430751368</v>
      </c>
      <c r="O16" s="47">
        <f>O15/J15-1</f>
        <v>0.223388565975536</v>
      </c>
      <c r="P16" s="47">
        <f>P15/K15-1</f>
        <v>0.371590006179924</v>
      </c>
      <c r="Q16" s="47">
        <f>Q15/L15-1</f>
        <v>0.322186226355941</v>
      </c>
      <c r="R16" s="47">
        <f>R15/M15-1</f>
        <v>0.251320788651334</v>
      </c>
      <c r="S16" s="47">
        <f>S15/N15-1</f>
        <v>0.300448765893792</v>
      </c>
      <c r="T16" s="47">
        <f>T15/O15-1</f>
        <v>0.120479364629131</v>
      </c>
      <c r="U16" s="47">
        <f>U15/P15-1</f>
        <v>-0.00798146240988673</v>
      </c>
      <c r="V16" s="47">
        <f>V15/Q15-1</f>
        <v>-0.0369111602908631</v>
      </c>
      <c r="W16" s="47">
        <f>W15/R15-1</f>
        <v>0.0920768954365792</v>
      </c>
      <c r="X16" s="47">
        <f>X15/S15-1</f>
        <v>-0.123770633231725</v>
      </c>
      <c r="Y16" s="47">
        <f>Y15/T15-1</f>
        <v>-0.167647617239415</v>
      </c>
      <c r="Z16" s="47">
        <f>Z15/U15-1</f>
        <v>-0.276927069815728</v>
      </c>
      <c r="AA16" s="47">
        <f>AA15/V15-1</f>
        <v>-0.30176446450554</v>
      </c>
      <c r="AB16" s="47">
        <f>AB15/W15-1</f>
        <v>-0.209689890598009</v>
      </c>
      <c r="AC16" s="47">
        <f>AC15/X15-1</f>
        <v>-0.16225795864785</v>
      </c>
      <c r="AD16" s="47">
        <f>AD15/Y15-1</f>
        <v>-0.0862226277372263</v>
      </c>
      <c r="AE16" s="47">
        <f>AE15/Z15-1</f>
        <v>0.112167982770998</v>
      </c>
      <c r="AF16" s="44">
        <f>AF15/AA15-1</f>
        <v>0.129642689233662</v>
      </c>
      <c r="AG16" s="47">
        <f>AG15/AB15-1</f>
        <v>-0.0260829742500884</v>
      </c>
      <c r="AH16" s="44">
        <f>AH15/AC15-1</f>
        <v>0.0474809997649455</v>
      </c>
      <c r="AI16" s="44">
        <f>AI15/AD15-1</f>
        <v>0.0490930271259777</v>
      </c>
      <c r="AJ16" s="44" t="n"/>
      <c r="AK16" s="44" t="n"/>
      <c r="AL16" s="22">
        <f>AL15/AG15-1</f>
        <v>0.0255632026674646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Receita não alocada aos segmentos (linha 15 - soma)</t>
        </is>
      </c>
      <c r="D17" s="15">
        <f>IF(COUNT(D24)=0,"",D24)</f>
        <v>0</v>
      </c>
      <c r="E17" s="15">
        <f>IF(COUNT(E24)=0,"",E24)</f>
        <v>0</v>
      </c>
      <c r="F17" s="15">
        <f>IF(COUNT(F24)=0,"",F24)</f>
        <v>0</v>
      </c>
      <c r="G17" s="15">
        <f>IF(COUNT(G24)=0,"",G24)</f>
        <v>0</v>
      </c>
      <c r="H17" s="16">
        <f>IF(COUNT(H24)=0,"",H24)</f>
        <v>0</v>
      </c>
      <c r="I17" s="15">
        <f>IF(COUNT(I24)=0,"",I24)</f>
        <v>0</v>
      </c>
      <c r="J17" s="15">
        <f>IF(COUNT(J24)=0,"",J24)</f>
        <v>0</v>
      </c>
      <c r="K17" s="15">
        <f>IF(COUNT(K24)=0,"",K24)</f>
        <v>0</v>
      </c>
      <c r="L17" s="15">
        <f>IF(COUNT(L24)=0,"",L24)</f>
        <v>0</v>
      </c>
      <c r="M17" s="16">
        <f>IF(COUNT(M24)=0,"",M24)</f>
        <v>0</v>
      </c>
      <c r="N17" s="15">
        <f>IF(COUNT(N24)=0,"",N24)</f>
        <v>0</v>
      </c>
      <c r="O17" s="15">
        <f>IF(COUNT(O24)=0,"",O24)</f>
        <v>0</v>
      </c>
      <c r="P17" s="15">
        <f>IF(COUNT(P24)=0,"",P24)</f>
        <v>0</v>
      </c>
      <c r="Q17" s="15">
        <f>IF(COUNT(Q24)=0,"",Q24)</f>
        <v>0</v>
      </c>
      <c r="R17" s="16">
        <f>IF(COUNT(R24)=0,"",R24)</f>
        <v>0</v>
      </c>
      <c r="S17" s="15">
        <f>IF(COUNT(S24)=0,"",S24)</f>
        <v>0</v>
      </c>
      <c r="T17" s="15">
        <f>IF(COUNT(T24)=0,"",T24)</f>
        <v>0</v>
      </c>
      <c r="U17" s="15">
        <f>IF(COUNT(U24)=0,"",U24)</f>
        <v>31</v>
      </c>
      <c r="V17" s="15">
        <f>IF(COUNT(V24)=0,"",V24)</f>
        <v>0</v>
      </c>
      <c r="W17" s="16">
        <f>IF(COUNT(W24)=0,"",W24)</f>
        <v>31</v>
      </c>
      <c r="X17" s="15">
        <f>IF(COUNT(X24)=0,"",X24)</f>
        <v>0</v>
      </c>
      <c r="Y17" s="15">
        <f>IF(COUNT(Y24)=0,"",Y24)</f>
        <v>0</v>
      </c>
      <c r="Z17" s="15">
        <f>IF(COUNT(Z24)=0,"",Z24)</f>
        <v>133</v>
      </c>
      <c r="AA17" s="15">
        <f>IF(COUNT(AA24)=0,"",AA24)</f>
        <v>-92</v>
      </c>
      <c r="AB17" s="16">
        <f>IF(COUNT(AB24)=0,"",AB24)</f>
        <v>41</v>
      </c>
      <c r="AC17" s="15">
        <f>IF(COUNT(AC24)=0,"",AC24)</f>
        <v>-112</v>
      </c>
      <c r="AD17" s="15">
        <f>IF(COUNT(AD24)=0,"",AD24)</f>
        <v>-99</v>
      </c>
      <c r="AE17" s="15">
        <f>IF(COUNT(AE24)=0,"",AE24)</f>
        <v>-129</v>
      </c>
      <c r="AF17" s="15">
        <f>IF(COUNT(AF24)=0,"",AF24)</f>
        <v>-117</v>
      </c>
      <c r="AG17" s="16">
        <f>IF(COUNT(AG24)=0,"",AG24)</f>
        <v>-457</v>
      </c>
      <c r="AH17" s="16">
        <f>IF(COUNT(AH24)=0,"",AH24)</f>
        <v>-146</v>
      </c>
      <c r="AI17" s="16">
        <f>IF(COUNT(AI24)=0,"",AI24)</f>
        <v>-129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Segmentos - receita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Production &amp; Precision Agriculture</t>
        </is>
      </c>
      <c r="D19" s="265">
        <f>IFERROR(INDEX('Inputs (2)'!$D$53:$AL$53,MATCH(D$7,'Inputs (2)'!$D$2:$AL$2,0)),"")</f>
        <v>3431</v>
      </c>
      <c r="E19" s="265">
        <f>IFERROR(INDEX('Inputs (2)'!$D$53:$AL$53,MATCH(E$7,'Inputs (2)'!$D$2:$AL$2,0)),"")</f>
        <v>3376</v>
      </c>
      <c r="F19" s="265">
        <f>IFERROR(INDEX('Inputs (2)'!$D$53:$AL$53,MATCH(F$7,'Inputs (2)'!$D$2:$AL$2,0)),"")</f>
        <v>3881</v>
      </c>
      <c r="G19" s="265">
        <f>IFERROR(INDEX('Inputs (2)'!$D$53:$AL$53,MATCH(G$7,'Inputs (2)'!$D$2:$AL$2,0)),"")</f>
        <v>3147</v>
      </c>
      <c r="H19" s="266">
        <f>IF(COUNT(D19:G19)=4,SUM(D19:G19),"")</f>
        <v>13835</v>
      </c>
      <c r="I19" s="265">
        <f>IFERROR(INDEX('Inputs (2)'!$D$53:$AL$53,MATCH(I$7,'Inputs (2)'!$D$2:$AL$2,0)),"")</f>
        <v>4602</v>
      </c>
      <c r="J19" s="265">
        <f>IFERROR(INDEX('Inputs (2)'!$D$53:$AL$53,MATCH(J$7,'Inputs (2)'!$D$2:$AL$2,0)),"")</f>
        <v>4338</v>
      </c>
      <c r="K19" s="265">
        <f>IFERROR(INDEX('Inputs (2)'!$D$53:$AL$53,MATCH(K$7,'Inputs (2)'!$D$2:$AL$2,0)),"")</f>
        <v>4730</v>
      </c>
      <c r="L19" s="265">
        <f>IFERROR(INDEX('Inputs (2)'!$D$53:$AL$53,MATCH(L$7,'Inputs (2)'!$D$2:$AL$2,0)),"")</f>
        <v>3433</v>
      </c>
      <c r="M19" s="266">
        <f>IF(COUNT(I19:L19)=4,SUM(I19:L19),"")</f>
        <v>17103</v>
      </c>
      <c r="N19" s="265">
        <f>IFERROR(INDEX('Inputs (2)'!$D$53:$AL$53,MATCH(N$7,'Inputs (2)'!$D$2:$AL$2,0)),"")</f>
        <v>5176</v>
      </c>
      <c r="O19" s="265">
        <f>IFERROR(INDEX('Inputs (2)'!$D$53:$AL$53,MATCH(O$7,'Inputs (2)'!$D$2:$AL$2,0)),"")</f>
        <v>6185</v>
      </c>
      <c r="P19" s="265">
        <f>IFERROR(INDEX('Inputs (2)'!$D$53:$AL$53,MATCH(P$7,'Inputs (2)'!$D$2:$AL$2,0)),"")</f>
        <v>7524</v>
      </c>
      <c r="Q19" s="265">
        <f>IFERROR(INDEX('Inputs (2)'!$D$53:$AL$53,MATCH(Q$7,'Inputs (2)'!$D$2:$AL$2,0)),"")</f>
        <v>5303</v>
      </c>
      <c r="R19" s="266">
        <f>IF(COUNT(N19:Q19)=4,SUM(N19:Q19),"")</f>
        <v>24188</v>
      </c>
      <c r="S19" s="265">
        <f>IFERROR(INDEX('Inputs (2)'!$D$53:$AL$53,MATCH(S$7,'Inputs (2)'!$D$2:$AL$2,0)),"")</f>
        <v>7912</v>
      </c>
      <c r="T19" s="265">
        <f>IFERROR(INDEX('Inputs (2)'!$D$53:$AL$53,MATCH(T$7,'Inputs (2)'!$D$2:$AL$2,0)),"")</f>
        <v>6972</v>
      </c>
      <c r="U19" s="265">
        <f>IFERROR(INDEX('Inputs (2)'!$D$53:$AL$53,MATCH(U$7,'Inputs (2)'!$D$2:$AL$2,0)),"")</f>
        <v>7103</v>
      </c>
      <c r="V19" s="265">
        <f>IFERROR(INDEX('Inputs (2)'!$D$53:$AL$53,MATCH(V$7,'Inputs (2)'!$D$2:$AL$2,0)),"")</f>
        <v>5043</v>
      </c>
      <c r="W19" s="266">
        <f>IF(COUNT(S19:V19)=4,SUM(S19:V19),"")</f>
        <v>27030</v>
      </c>
      <c r="X19" s="265">
        <f>IFERROR(INDEX('Inputs (2)'!$D$53:$AL$53,MATCH(X$7,'Inputs (2)'!$D$2:$AL$2,0)),"")</f>
        <v>6679</v>
      </c>
      <c r="Y19" s="265">
        <f>IFERROR(INDEX('Inputs (2)'!$D$53:$AL$53,MATCH(Y$7,'Inputs (2)'!$D$2:$AL$2,0)),"")</f>
        <v>5242</v>
      </c>
      <c r="Z19" s="265">
        <f>IFERROR(INDEX('Inputs (2)'!$D$53:$AL$53,MATCH(Z$7,'Inputs (2)'!$D$2:$AL$2,0)),"")</f>
        <v>4416</v>
      </c>
      <c r="AA19" s="265">
        <f>IFERROR(INDEX('Inputs (2)'!$D$53:$AL$53,MATCH(AA$7,'Inputs (2)'!$D$2:$AL$2,0)),"")</f>
        <v>3189</v>
      </c>
      <c r="AB19" s="266">
        <f>IF(COUNT(X19:AA19)=4,SUM(X19:AA19),"")</f>
        <v>19526</v>
      </c>
      <c r="AC19" s="265">
        <f>IFERROR(INDEX('Inputs (2)'!$D$53:$AL$53,MATCH(AC$7,'Inputs (2)'!$D$2:$AL$2,0)),"")</f>
        <v>5334</v>
      </c>
      <c r="AD19" s="265">
        <f>IFERROR(INDEX('Inputs (2)'!$D$53:$AL$53,MATCH(AD$7,'Inputs (2)'!$D$2:$AL$2,0)),"")</f>
        <v>4379</v>
      </c>
      <c r="AE19" s="265">
        <f>IFERROR(INDEX('Inputs (2)'!$D$53:$AL$53,MATCH(AE$7,'Inputs (2)'!$D$2:$AL$2,0)),"")</f>
        <v>4849</v>
      </c>
      <c r="AF19" s="265">
        <f>IFERROR(INDEX('Inputs (2)'!$D$53:$AL$53,MATCH(AF$7,'Inputs (2)'!$D$2:$AL$2,0)),"")</f>
        <v>3286</v>
      </c>
      <c r="AG19" s="266">
        <f>IF(COUNT(AC19:AF19)=4,SUM(AC19:AF19),"")</f>
        <v>17848</v>
      </c>
      <c r="AH19" s="266">
        <f>IFERROR(INDEX('Inputs (2)'!$D$53:$AL$53,MATCH(AH$7,'Inputs (2)'!$D$2:$AL$2,0)),"")</f>
        <v>4612</v>
      </c>
      <c r="AI19" s="266">
        <f>IFERROR(INDEX('Inputs (2)'!$D$53:$AL$53,MATCH(AI$7,'Inputs (2)'!$D$2:$AL$2,0)),"")</f>
        <v>4105</v>
      </c>
    </row>
    <row r="20">
      <c r="C20" s="14" t="inlineStr">
        <is>
          <t xml:space="preserve">   Small Agriculture &amp; Turf</t>
        </is>
      </c>
      <c r="D20" s="265">
        <f>IFERROR(INDEX('Inputs (2)'!$D$55:$AL$55,MATCH(D$7,'Inputs (2)'!$D$2:$AL$2,0)),"")</f>
        <v>2634</v>
      </c>
      <c r="E20" s="265">
        <f>IFERROR(INDEX('Inputs (2)'!$D$55:$AL$55,MATCH(E$7,'Inputs (2)'!$D$2:$AL$2,0)),"")</f>
        <v>2419</v>
      </c>
      <c r="F20" s="265">
        <f>IFERROR(INDEX('Inputs (2)'!$D$55:$AL$55,MATCH(F$7,'Inputs (2)'!$D$2:$AL$2,0)),"")</f>
        <v>2435</v>
      </c>
      <c r="G20" s="265">
        <f>IFERROR(INDEX('Inputs (2)'!$D$55:$AL$55,MATCH(G$7,'Inputs (2)'!$D$2:$AL$2,0)),"")</f>
        <v>2551</v>
      </c>
      <c r="H20" s="266">
        <f>IF(COUNT(D20:G20)=4,SUM(D20:G20),"")</f>
        <v>10039</v>
      </c>
      <c r="I20" s="265">
        <f>IFERROR(INDEX('Inputs (2)'!$D$55:$AL$55,MATCH(I$7,'Inputs (2)'!$D$2:$AL$2,0)),"")</f>
        <v>3427</v>
      </c>
      <c r="J20" s="265">
        <f>IFERROR(INDEX('Inputs (2)'!$D$55:$AL$55,MATCH(J$7,'Inputs (2)'!$D$2:$AL$2,0)),"")</f>
        <v>3212</v>
      </c>
      <c r="K20" s="265">
        <f>IFERROR(INDEX('Inputs (2)'!$D$55:$AL$55,MATCH(K$7,'Inputs (2)'!$D$2:$AL$2,0)),"")</f>
        <v>2857</v>
      </c>
      <c r="L20" s="265">
        <f>IFERROR(INDEX('Inputs (2)'!$D$55:$AL$55,MATCH(L$7,'Inputs (2)'!$D$2:$AL$2,0)),"")</f>
        <v>2674</v>
      </c>
      <c r="M20" s="266">
        <f>IF(COUNT(I20:L20)=4,SUM(I20:L20),"")</f>
        <v>12170</v>
      </c>
      <c r="N20" s="265">
        <f>IFERROR(INDEX('Inputs (2)'!$D$55:$AL$55,MATCH(N$7,'Inputs (2)'!$D$2:$AL$2,0)),"")</f>
        <v>3606</v>
      </c>
      <c r="O20" s="265">
        <f>IFERROR(INDEX('Inputs (2)'!$D$55:$AL$55,MATCH(O$7,'Inputs (2)'!$D$2:$AL$2,0)),"")</f>
        <v>3691</v>
      </c>
      <c r="P20" s="265">
        <f>IFERROR(INDEX('Inputs (2)'!$D$55:$AL$55,MATCH(P$7,'Inputs (2)'!$D$2:$AL$2,0)),"")</f>
        <v>3598</v>
      </c>
      <c r="Q20" s="265">
        <f>IFERROR(INDEX('Inputs (2)'!$D$55:$AL$55,MATCH(Q$7,'Inputs (2)'!$D$2:$AL$2,0)),"")</f>
        <v>3054</v>
      </c>
      <c r="R20" s="266">
        <f>IF(COUNT(N20:Q20)=4,SUM(N20:Q20),"")</f>
        <v>13949</v>
      </c>
      <c r="S20" s="265">
        <f>IFERROR(INDEX('Inputs (2)'!$D$55:$AL$55,MATCH(S$7,'Inputs (2)'!$D$2:$AL$2,0)),"")</f>
        <v>4200</v>
      </c>
      <c r="T20" s="265">
        <f>IFERROR(INDEX('Inputs (2)'!$D$55:$AL$55,MATCH(T$7,'Inputs (2)'!$D$2:$AL$2,0)),"")</f>
        <v>3806</v>
      </c>
      <c r="U20" s="265">
        <f>IFERROR(INDEX('Inputs (2)'!$D$55:$AL$55,MATCH(U$7,'Inputs (2)'!$D$2:$AL$2,0)),"")</f>
        <v>3164</v>
      </c>
      <c r="V20" s="265">
        <f>IFERROR(INDEX('Inputs (2)'!$D$55:$AL$55,MATCH(V$7,'Inputs (2)'!$D$2:$AL$2,0)),"")</f>
        <v>2492</v>
      </c>
      <c r="W20" s="266">
        <f>IF(COUNT(S20:V20)=4,SUM(S20:V20),"")</f>
        <v>13662</v>
      </c>
      <c r="X20" s="265">
        <f>IFERROR(INDEX('Inputs (2)'!$D$55:$AL$55,MATCH(X$7,'Inputs (2)'!$D$2:$AL$2,0)),"")</f>
        <v>3253</v>
      </c>
      <c r="Y20" s="265">
        <f>IFERROR(INDEX('Inputs (2)'!$D$55:$AL$55,MATCH(Y$7,'Inputs (2)'!$D$2:$AL$2,0)),"")</f>
        <v>3128</v>
      </c>
      <c r="Z20" s="265">
        <f>IFERROR(INDEX('Inputs (2)'!$D$55:$AL$55,MATCH(Z$7,'Inputs (2)'!$D$2:$AL$2,0)),"")</f>
        <v>2342</v>
      </c>
      <c r="AA20" s="265">
        <f>IFERROR(INDEX('Inputs (2)'!$D$55:$AL$55,MATCH(AA$7,'Inputs (2)'!$D$2:$AL$2,0)),"")</f>
        <v>1795</v>
      </c>
      <c r="AB20" s="266">
        <f>IF(COUNT(X20:AA20)=4,SUM(X20:AA20),"")</f>
        <v>10518</v>
      </c>
      <c r="AC20" s="265">
        <f>IFERROR(INDEX('Inputs (2)'!$D$55:$AL$55,MATCH(AC$7,'Inputs (2)'!$D$2:$AL$2,0)),"")</f>
        <v>3044</v>
      </c>
      <c r="AD20" s="265">
        <f>IFERROR(INDEX('Inputs (2)'!$D$55:$AL$55,MATCH(AD$7,'Inputs (2)'!$D$2:$AL$2,0)),"")</f>
        <v>3082</v>
      </c>
      <c r="AE20" s="265">
        <f>IFERROR(INDEX('Inputs (2)'!$D$55:$AL$55,MATCH(AE$7,'Inputs (2)'!$D$2:$AL$2,0)),"")</f>
        <v>2511</v>
      </c>
      <c r="AF20" s="265">
        <f>IFERROR(INDEX('Inputs (2)'!$D$55:$AL$55,MATCH(AF$7,'Inputs (2)'!$D$2:$AL$2,0)),"")</f>
        <v>2223</v>
      </c>
      <c r="AG20" s="266">
        <f>IF(COUNT(AC20:AF20)=4,SUM(AC20:AF20),"")</f>
        <v>10860</v>
      </c>
      <c r="AH20" s="266">
        <f>IFERROR(INDEX('Inputs (2)'!$D$55:$AL$55,MATCH(AH$7,'Inputs (2)'!$D$2:$AL$2,0)),"")</f>
        <v>3540</v>
      </c>
      <c r="AI20" s="266">
        <f>IFERROR(INDEX('Inputs (2)'!$D$55:$AL$55,MATCH(AI$7,'Inputs (2)'!$D$2:$AL$2,0)),"")</f>
        <v>3445</v>
      </c>
    </row>
    <row r="21">
      <c r="C21" s="14" t="inlineStr">
        <is>
          <t xml:space="preserve">   Construction &amp; Forestry</t>
        </is>
      </c>
      <c r="D21" s="265">
        <f>IFERROR(INDEX('Inputs (2)'!$D$57:$AL$57,MATCH(D$7,'Inputs (2)'!$D$2:$AL$2,0)),"")</f>
        <v>2313</v>
      </c>
      <c r="E21" s="265">
        <f>IFERROR(INDEX('Inputs (2)'!$D$57:$AL$57,MATCH(E$7,'Inputs (2)'!$D$2:$AL$2,0)),"")</f>
        <v>2238</v>
      </c>
      <c r="F21" s="265">
        <f>IFERROR(INDEX('Inputs (2)'!$D$57:$AL$57,MATCH(F$7,'Inputs (2)'!$D$2:$AL$2,0)),"")</f>
        <v>2525</v>
      </c>
      <c r="G21" s="265">
        <f>IFERROR(INDEX('Inputs (2)'!$D$57:$AL$57,MATCH(G$7,'Inputs (2)'!$D$2:$AL$2,0)),"")</f>
        <v>2530</v>
      </c>
      <c r="H21" s="266">
        <f>IF(COUNT(D21:G21)=4,SUM(D21:G21),"")</f>
        <v>9606</v>
      </c>
      <c r="I21" s="265">
        <f>IFERROR(INDEX('Inputs (2)'!$D$57:$AL$57,MATCH(I$7,'Inputs (2)'!$D$2:$AL$2,0)),"")</f>
        <v>3137</v>
      </c>
      <c r="J21" s="265">
        <f>IFERROR(INDEX('Inputs (2)'!$D$57:$AL$57,MATCH(J$7,'Inputs (2)'!$D$2:$AL$2,0)),"")</f>
        <v>3075</v>
      </c>
      <c r="K21" s="265">
        <f>IFERROR(INDEX('Inputs (2)'!$D$57:$AL$57,MATCH(K$7,'Inputs (2)'!$D$2:$AL$2,0)),"")</f>
        <v>2871</v>
      </c>
      <c r="L21" s="265">
        <f>IFERROR(INDEX('Inputs (2)'!$D$57:$AL$57,MATCH(L$7,'Inputs (2)'!$D$2:$AL$2,0)),"")</f>
        <v>2592</v>
      </c>
      <c r="M21" s="266">
        <f>IF(COUNT(I21:L21)=4,SUM(I21:L21),"")</f>
        <v>11675</v>
      </c>
      <c r="N21" s="265">
        <f>IFERROR(INDEX('Inputs (2)'!$D$57:$AL$57,MATCH(N$7,'Inputs (2)'!$D$2:$AL$2,0)),"")</f>
        <v>3724</v>
      </c>
      <c r="O21" s="265">
        <f>IFERROR(INDEX('Inputs (2)'!$D$57:$AL$57,MATCH(O$7,'Inputs (2)'!$D$2:$AL$2,0)),"")</f>
        <v>3323</v>
      </c>
      <c r="P21" s="265">
        <f>IFERROR(INDEX('Inputs (2)'!$D$57:$AL$57,MATCH(P$7,'Inputs (2)'!$D$2:$AL$2,0)),"")</f>
        <v>3426</v>
      </c>
      <c r="Q21" s="265">
        <f>IFERROR(INDEX('Inputs (2)'!$D$57:$AL$57,MATCH(Q$7,'Inputs (2)'!$D$2:$AL$2,0)),"")</f>
        <v>3255</v>
      </c>
      <c r="R21" s="266">
        <f>IF(COUNT(N21:Q21)=4,SUM(N21:Q21),"")</f>
        <v>13728</v>
      </c>
      <c r="S21" s="265">
        <f>IFERROR(INDEX('Inputs (2)'!$D$57:$AL$57,MATCH(S$7,'Inputs (2)'!$D$2:$AL$2,0)),"")</f>
        <v>4168</v>
      </c>
      <c r="T21" s="265">
        <f>IFERROR(INDEX('Inputs (2)'!$D$57:$AL$57,MATCH(T$7,'Inputs (2)'!$D$2:$AL$2,0)),"")</f>
        <v>3795</v>
      </c>
      <c r="U21" s="265">
        <f>IFERROR(INDEX('Inputs (2)'!$D$57:$AL$57,MATCH(U$7,'Inputs (2)'!$D$2:$AL$2,0)),"")</f>
        <v>3768</v>
      </c>
      <c r="V21" s="265">
        <f>IFERROR(INDEX('Inputs (2)'!$D$57:$AL$57,MATCH(V$7,'Inputs (2)'!$D$2:$AL$2,0)),"")</f>
        <v>3274</v>
      </c>
      <c r="W21" s="266">
        <f>IF(COUNT(S21:V21)=4,SUM(S21:V21),"")</f>
        <v>15005</v>
      </c>
      <c r="X21" s="265">
        <f>IFERROR(INDEX('Inputs (2)'!$D$57:$AL$57,MATCH(X$7,'Inputs (2)'!$D$2:$AL$2,0)),"")</f>
        <v>3908</v>
      </c>
      <c r="Y21" s="265">
        <f>IFERROR(INDEX('Inputs (2)'!$D$57:$AL$57,MATCH(Y$7,'Inputs (2)'!$D$2:$AL$2,0)),"")</f>
        <v>3293</v>
      </c>
      <c r="Z21" s="265">
        <f>IFERROR(INDEX('Inputs (2)'!$D$57:$AL$57,MATCH(Z$7,'Inputs (2)'!$D$2:$AL$2,0)),"")</f>
        <v>2730</v>
      </c>
      <c r="AA21" s="265">
        <f>IFERROR(INDEX('Inputs (2)'!$D$57:$AL$57,MATCH(AA$7,'Inputs (2)'!$D$2:$AL$2,0)),"")</f>
        <v>2043</v>
      </c>
      <c r="AB21" s="266">
        <f>IF(COUNT(X21:AA21)=4,SUM(X21:AA21),"")</f>
        <v>11974</v>
      </c>
      <c r="AC21" s="265">
        <f>IFERROR(INDEX('Inputs (2)'!$D$57:$AL$57,MATCH(AC$7,'Inputs (2)'!$D$2:$AL$2,0)),"")</f>
        <v>2996</v>
      </c>
      <c r="AD21" s="265">
        <f>IFERROR(INDEX('Inputs (2)'!$D$57:$AL$57,MATCH(AD$7,'Inputs (2)'!$D$2:$AL$2,0)),"")</f>
        <v>3112</v>
      </c>
      <c r="AE21" s="265">
        <f>IFERROR(INDEX('Inputs (2)'!$D$57:$AL$57,MATCH(AE$7,'Inputs (2)'!$D$2:$AL$2,0)),"")</f>
        <v>3492</v>
      </c>
      <c r="AF21" s="265">
        <f>IFERROR(INDEX('Inputs (2)'!$D$57:$AL$57,MATCH(AF$7,'Inputs (2)'!$D$2:$AL$2,0)),"")</f>
        <v>2731</v>
      </c>
      <c r="AG21" s="266">
        <f>IF(COUNT(AC21:AF21)=4,SUM(AC21:AF21),"")</f>
        <v>12331</v>
      </c>
      <c r="AH21" s="266">
        <f>IFERROR(INDEX('Inputs (2)'!$D$57:$AL$57,MATCH(AH$7,'Inputs (2)'!$D$2:$AL$2,0)),"")</f>
        <v>3854</v>
      </c>
      <c r="AI21" s="266">
        <f>IFERROR(INDEX('Inputs (2)'!$D$57:$AL$57,MATCH(AI$7,'Inputs (2)'!$D$2:$AL$2,0)),"")</f>
        <v>3682</v>
      </c>
    </row>
    <row r="22">
      <c r="C22" s="14" t="inlineStr">
        <is>
          <t xml:space="preserve">   Financial Services</t>
        </is>
      </c>
      <c r="D22" s="265">
        <f>IFERROR(INDEX('Inputs (2)'!$D$59:$AL$59,MATCH(D$7,'Inputs (2)'!$D$2:$AL$2,0)),"")</f>
        <v>875</v>
      </c>
      <c r="E22" s="265">
        <f>IFERROR(INDEX('Inputs (2)'!$D$59:$AL$59,MATCH(E$7,'Inputs (2)'!$D$2:$AL$2,0)),"")</f>
        <v>892</v>
      </c>
      <c r="F22" s="265">
        <f>IFERROR(INDEX('Inputs (2)'!$D$59:$AL$59,MATCH(F$7,'Inputs (2)'!$D$2:$AL$2,0)),"")</f>
        <v>890</v>
      </c>
      <c r="G22" s="265">
        <f>IFERROR(INDEX('Inputs (2)'!$D$59:$AL$59,MATCH(G$7,'Inputs (2)'!$D$2:$AL$2,0)),"")</f>
        <v>884</v>
      </c>
      <c r="H22" s="266">
        <f>IF(COUNT(D22:G22)=4,SUM(D22:G22),"")</f>
        <v>3541</v>
      </c>
      <c r="I22" s="265">
        <f>IFERROR(INDEX('Inputs (2)'!$D$59:$AL$59,MATCH(I$7,'Inputs (2)'!$D$2:$AL$2,0)),"")</f>
        <v>892</v>
      </c>
      <c r="J22" s="265">
        <f>IFERROR(INDEX('Inputs (2)'!$D$59:$AL$59,MATCH(J$7,'Inputs (2)'!$D$2:$AL$2,0)),"")</f>
        <v>902</v>
      </c>
      <c r="K22" s="265">
        <f>IFERROR(INDEX('Inputs (2)'!$D$59:$AL$59,MATCH(K$7,'Inputs (2)'!$D$2:$AL$2,0)),"")</f>
        <v>869</v>
      </c>
      <c r="L22" s="265">
        <f>IFERROR(INDEX('Inputs (2)'!$D$59:$AL$59,MATCH(L$7,'Inputs (2)'!$D$2:$AL$2,0)),"")</f>
        <v>870</v>
      </c>
      <c r="M22" s="266">
        <f>IF(COUNT(I22:L22)=4,SUM(I22:L22),"")</f>
        <v>3533</v>
      </c>
      <c r="N22" s="265">
        <f>IFERROR(INDEX('Inputs (2)'!$D$59:$AL$59,MATCH(N$7,'Inputs (2)'!$D$2:$AL$2,0)),"")</f>
        <v>864</v>
      </c>
      <c r="O22" s="265">
        <f>IFERROR(INDEX('Inputs (2)'!$D$59:$AL$59,MATCH(O$7,'Inputs (2)'!$D$2:$AL$2,0)),"")</f>
        <v>903</v>
      </c>
      <c r="P22" s="265">
        <f>IFERROR(INDEX('Inputs (2)'!$D$59:$AL$59,MATCH(P$7,'Inputs (2)'!$D$2:$AL$2,0)),"")</f>
        <v>988</v>
      </c>
      <c r="Q22" s="265">
        <f>IFERROR(INDEX('Inputs (2)'!$D$59:$AL$59,MATCH(Q$7,'Inputs (2)'!$D$2:$AL$2,0)),"")</f>
        <v>1040</v>
      </c>
      <c r="R22" s="266">
        <f>IF(COUNT(N22:Q22)=4,SUM(N22:Q22),"")</f>
        <v>3795</v>
      </c>
      <c r="S22" s="265">
        <f>IFERROR(INDEX('Inputs (2)'!$D$59:$AL$59,MATCH(S$7,'Inputs (2)'!$D$2:$AL$2,0)),"")</f>
        <v>1107</v>
      </c>
      <c r="T22" s="265">
        <f>IFERROR(INDEX('Inputs (2)'!$D$59:$AL$59,MATCH(T$7,'Inputs (2)'!$D$2:$AL$2,0)),"")</f>
        <v>1228</v>
      </c>
      <c r="U22" s="265">
        <f>IFERROR(INDEX('Inputs (2)'!$D$59:$AL$59,MATCH(U$7,'Inputs (2)'!$D$2:$AL$2,0)),"")</f>
        <v>1346</v>
      </c>
      <c r="V22" s="265">
        <f>IFERROR(INDEX('Inputs (2)'!$D$59:$AL$59,MATCH(V$7,'Inputs (2)'!$D$2:$AL$2,0)),"")</f>
        <v>1376</v>
      </c>
      <c r="W22" s="266">
        <f>IF(COUNT(S22:V22)=4,SUM(S22:V22),"")</f>
        <v>5057</v>
      </c>
      <c r="X22" s="265">
        <f>IFERROR(INDEX('Inputs (2)'!$D$59:$AL$59,MATCH(X$7,'Inputs (2)'!$D$2:$AL$2,0)),"")</f>
        <v>1395</v>
      </c>
      <c r="Y22" s="265">
        <f>IFERROR(INDEX('Inputs (2)'!$D$59:$AL$59,MATCH(Y$7,'Inputs (2)'!$D$2:$AL$2,0)),"")</f>
        <v>1489</v>
      </c>
      <c r="Z22" s="265">
        <f>IFERROR(INDEX('Inputs (2)'!$D$59:$AL$59,MATCH(Z$7,'Inputs (2)'!$D$2:$AL$2,0)),"")</f>
        <v>1523</v>
      </c>
      <c r="AA22" s="265">
        <f>IFERROR(INDEX('Inputs (2)'!$D$59:$AL$59,MATCH(AA$7,'Inputs (2)'!$D$2:$AL$2,0)),"")</f>
        <v>1573</v>
      </c>
      <c r="AB22" s="266">
        <f>IF(COUNT(X22:AA22)=4,SUM(X22:AA22),"")</f>
        <v>5980</v>
      </c>
      <c r="AC22" s="265">
        <f>IFERROR(INDEX('Inputs (2)'!$D$59:$AL$59,MATCH(AC$7,'Inputs (2)'!$D$2:$AL$2,0)),"")</f>
        <v>1501</v>
      </c>
      <c r="AD22" s="265">
        <f>IFERROR(INDEX('Inputs (2)'!$D$59:$AL$59,MATCH(AD$7,'Inputs (2)'!$D$2:$AL$2,0)),"")</f>
        <v>1544</v>
      </c>
      <c r="AE22" s="265">
        <f>IFERROR(INDEX('Inputs (2)'!$D$59:$AL$59,MATCH(AE$7,'Inputs (2)'!$D$2:$AL$2,0)),"")</f>
        <v>1671</v>
      </c>
      <c r="AF22" s="265">
        <f>IFERROR(INDEX('Inputs (2)'!$D$59:$AL$59,MATCH(AF$7,'Inputs (2)'!$D$2:$AL$2,0)),"")</f>
        <v>1488</v>
      </c>
      <c r="AG22" s="266">
        <f>IF(COUNT(AC22:AF22)=4,SUM(AC22:AF22),"")</f>
        <v>6204</v>
      </c>
      <c r="AH22" s="266">
        <f>IFERROR(INDEX('Inputs (2)'!$D$59:$AL$59,MATCH(AH$7,'Inputs (2)'!$D$2:$AL$2,0)),"")</f>
        <v>1509</v>
      </c>
      <c r="AI22" s="266">
        <f>IFERROR(INDEX('Inputs (2)'!$D$59:$AL$59,MATCH(AI$7,'Inputs (2)'!$D$2:$AL$2,0)),"")</f>
        <v>1505</v>
      </c>
    </row>
    <row r="23">
      <c r="C23" s="267" t="inlineStr">
        <is>
          <t>Receita (soma dos segmentos)</t>
        </is>
      </c>
      <c r="D23" s="265">
        <f>IF(COUNT(D19,D20,D21,D22)=0,"",N(D19)+N(D20)+N(D21)+N(D22))</f>
        <v>9253</v>
      </c>
      <c r="E23" s="265">
        <f>IF(COUNT(E19,E20,E21,E22)=0,"",N(E19)+N(E20)+N(E21)+N(E22))</f>
        <v>8925</v>
      </c>
      <c r="F23" s="265">
        <f>IF(COUNT(F19,F20,F21,F22)=0,"",N(F19)+N(F20)+N(F21)+N(F22))</f>
        <v>9731</v>
      </c>
      <c r="G23" s="265">
        <f>IF(COUNT(G19,G20,G21,G22)=0,"",N(G19)+N(G20)+N(G21)+N(G22))</f>
        <v>9112</v>
      </c>
      <c r="H23" s="266">
        <f>IF(COUNT(H19,H20,H21,H22)=0,"",N(H19)+N(H20)+N(H21)+N(H22))</f>
        <v>37021</v>
      </c>
      <c r="I23" s="265">
        <f>IF(COUNT(I19,I20,I21,I22)=0,"",N(I19)+N(I20)+N(I21)+N(I22))</f>
        <v>12058</v>
      </c>
      <c r="J23" s="265">
        <f>IF(COUNT(J19,J20,J21,J22)=0,"",N(J19)+N(J20)+N(J21)+N(J22))</f>
        <v>11527</v>
      </c>
      <c r="K23" s="265">
        <f>IF(COUNT(K19,K20,K21,K22)=0,"",N(K19)+N(K20)+N(K21)+N(K22))</f>
        <v>11327</v>
      </c>
      <c r="L23" s="265">
        <f>IF(COUNT(L19,L20,L21,L22)=0,"",N(L19)+N(L20)+N(L21)+N(L22))</f>
        <v>9569</v>
      </c>
      <c r="M23" s="266">
        <f>IF(COUNT(M19,M20,M21,M22)=0,"",N(M19)+N(M20)+N(M21)+N(M22))</f>
        <v>44481</v>
      </c>
      <c r="N23" s="265">
        <f>IF(COUNT(N19,N20,N21,N22)=0,"",N(N19)+N(N20)+N(N21)+N(N22))</f>
        <v>13370</v>
      </c>
      <c r="O23" s="265">
        <f>IF(COUNT(O19,O20,O21,O22)=0,"",N(O19)+N(O20)+N(O21)+N(O22))</f>
        <v>14102</v>
      </c>
      <c r="P23" s="265">
        <f>IF(COUNT(P19,P20,P21,P22)=0,"",N(P19)+N(P20)+N(P21)+N(P22))</f>
        <v>15536</v>
      </c>
      <c r="Q23" s="265">
        <f>IF(COUNT(Q19,Q20,Q21,Q22)=0,"",N(Q19)+N(Q20)+N(Q21)+N(Q22))</f>
        <v>12652</v>
      </c>
      <c r="R23" s="266">
        <f>IF(COUNT(R19,R20,R21,R22)=0,"",N(R19)+N(R20)+N(R21)+N(R22))</f>
        <v>55660</v>
      </c>
      <c r="S23" s="265">
        <f>IF(COUNT(S19,S20,S21,S22)=0,"",N(S19)+N(S20)+N(S21)+N(S22))</f>
        <v>17387</v>
      </c>
      <c r="T23" s="265">
        <f>IF(COUNT(T19,T20,T21,T22)=0,"",N(T19)+N(T20)+N(T21)+N(T22))</f>
        <v>15801</v>
      </c>
      <c r="U23" s="265">
        <f>IF(COUNT(U19,U20,U21,U22)=0,"",N(U19)+N(U20)+N(U21)+N(U22))</f>
        <v>15381</v>
      </c>
      <c r="V23" s="265">
        <f>IF(COUNT(V19,V20,V21,V22)=0,"",N(V19)+N(V20)+N(V21)+N(V22))</f>
        <v>12185</v>
      </c>
      <c r="W23" s="266">
        <f>IF(COUNT(W19,W20,W21,W22)=0,"",N(W19)+N(W20)+N(W21)+N(W22))</f>
        <v>60754</v>
      </c>
      <c r="X23" s="265">
        <f>IF(COUNT(X19,X20,X21,X22)=0,"",N(X19)+N(X20)+N(X21)+N(X22))</f>
        <v>15235</v>
      </c>
      <c r="Y23" s="265">
        <f>IF(COUNT(Y19,Y20,Y21,Y22)=0,"",N(Y19)+N(Y20)+N(Y21)+N(Y22))</f>
        <v>13152</v>
      </c>
      <c r="Z23" s="265">
        <f>IF(COUNT(Z19,Z20,Z21,Z22)=0,"",N(Z19)+N(Z20)+N(Z21)+N(Z22))</f>
        <v>11011</v>
      </c>
      <c r="AA23" s="265">
        <f>IF(COUNT(AA19,AA20,AA21,AA22)=0,"",N(AA19)+N(AA20)+N(AA21)+N(AA22))</f>
        <v>8600</v>
      </c>
      <c r="AB23" s="266">
        <f>IF(COUNT(AB19,AB20,AB21,AB22)=0,"",N(AB19)+N(AB20)+N(AB21)+N(AB22))</f>
        <v>47998</v>
      </c>
      <c r="AC23" s="265">
        <f>IF(COUNT(AC19,AC20,AC21,AC22)=0,"",N(AC19)+N(AC20)+N(AC21)+N(AC22))</f>
        <v>12875</v>
      </c>
      <c r="AD23" s="265">
        <f>IF(COUNT(AD19,AD20,AD21,AD22)=0,"",N(AD19)+N(AD20)+N(AD21)+N(AD22))</f>
        <v>12117</v>
      </c>
      <c r="AE23" s="265">
        <f>IF(COUNT(AE19,AE20,AE21,AE22)=0,"",N(AE19)+N(AE20)+N(AE21)+N(AE22))</f>
        <v>12523</v>
      </c>
      <c r="AF23" s="265">
        <f>IF(COUNT(AF19,AF20,AF21,AF22)=0,"",N(AF19)+N(AF20)+N(AF21)+N(AF22))</f>
        <v>9728</v>
      </c>
      <c r="AG23" s="266">
        <f>IF(COUNT(AG19,AG20,AG21,AG22)=0,"",N(AG19)+N(AG20)+N(AG21)+N(AG22))</f>
        <v>47243</v>
      </c>
      <c r="AH23" s="266">
        <f>IF(COUNT(AH19,AH20,AH21,AH22)=0,"",N(AH19)+N(AH20)+N(AH21)+N(AH22))</f>
        <v>13515</v>
      </c>
      <c r="AI23" s="266">
        <f>IF(COUNT(AI19,AI20,AI21,AI22)=0,"",N(AI19)+N(AI20)+N(AI21)+N(AI22))</f>
        <v>12737</v>
      </c>
    </row>
    <row r="24">
      <c r="C24" s="14" t="inlineStr">
        <is>
          <t>Receita não alocada aos segmentos (linha 15 - soma)</t>
        </is>
      </c>
      <c r="D24" s="265">
        <f>IF(COUNT(D23)=0,"",ROUND(D15-D23,1))</f>
        <v>0</v>
      </c>
      <c r="E24" s="265">
        <f>IF(COUNT(E23)=0,"",ROUND(E15-E23,1))</f>
        <v>0</v>
      </c>
      <c r="F24" s="265">
        <f>IF(COUNT(F23)=0,"",ROUND(F15-F23,1))</f>
        <v>0</v>
      </c>
      <c r="G24" s="265">
        <f>IF(COUNT(G23)=0,"",ROUND(G15-G23,1))</f>
        <v>0</v>
      </c>
      <c r="H24" s="266">
        <f>IF(COUNT(H23)=0,"",ROUND(H15-H23,1))</f>
        <v>0</v>
      </c>
      <c r="I24" s="265">
        <f>IF(COUNT(I23)=0,"",ROUND(I15-I23,1))</f>
        <v>0</v>
      </c>
      <c r="J24" s="265">
        <f>IF(COUNT(J23)=0,"",ROUND(J15-J23,1))</f>
        <v>0</v>
      </c>
      <c r="K24" s="265">
        <f>IF(COUNT(K23)=0,"",ROUND(K15-K23,1))</f>
        <v>0</v>
      </c>
      <c r="L24" s="265">
        <f>IF(COUNT(L23)=0,"",ROUND(L15-L23,1))</f>
        <v>0</v>
      </c>
      <c r="M24" s="266">
        <f>IF(COUNT(M23)=0,"",ROUND(M15-M23,1))</f>
        <v>0</v>
      </c>
      <c r="N24" s="265">
        <f>IF(COUNT(N23)=0,"",ROUND(N15-N23,1))</f>
        <v>0</v>
      </c>
      <c r="O24" s="265">
        <f>IF(COUNT(O23)=0,"",ROUND(O15-O23,1))</f>
        <v>0</v>
      </c>
      <c r="P24" s="265">
        <f>IF(COUNT(P23)=0,"",ROUND(P15-P23,1))</f>
        <v>0</v>
      </c>
      <c r="Q24" s="265">
        <f>IF(COUNT(Q23)=0,"",ROUND(Q15-Q23,1))</f>
        <v>0</v>
      </c>
      <c r="R24" s="266">
        <f>IF(COUNT(R23)=0,"",ROUND(R15-R23,1))</f>
        <v>0</v>
      </c>
      <c r="S24" s="265">
        <f>IF(COUNT(S23)=0,"",ROUND(S15-S23,1))</f>
        <v>0</v>
      </c>
      <c r="T24" s="265">
        <f>IF(COUNT(T23)=0,"",ROUND(T15-T23,1))</f>
        <v>0</v>
      </c>
      <c r="U24" s="265">
        <f>IF(COUNT(U23)=0,"",ROUND(U15-U23,1))</f>
        <v>31</v>
      </c>
      <c r="V24" s="265">
        <f>IF(COUNT(V23)=0,"",ROUND(V15-V23,1))</f>
        <v>0</v>
      </c>
      <c r="W24" s="266">
        <f>IF(COUNT(W23)=0,"",ROUND(W15-W23,1))</f>
        <v>31</v>
      </c>
      <c r="X24" s="265">
        <f>IF(COUNT(X23)=0,"",ROUND(X15-X23,1))</f>
        <v>0</v>
      </c>
      <c r="Y24" s="265">
        <f>IF(COUNT(Y23)=0,"",ROUND(Y15-Y23,1))</f>
        <v>0</v>
      </c>
      <c r="Z24" s="265">
        <f>IF(COUNT(Z23)=0,"",ROUND(Z15-Z23,1))</f>
        <v>133</v>
      </c>
      <c r="AA24" s="265">
        <f>IF(COUNT(AA23)=0,"",ROUND(AA15-AA23,1))</f>
        <v>-92</v>
      </c>
      <c r="AB24" s="266">
        <f>IF(COUNT(AB23)=0,"",ROUND(AB15-AB23,1))</f>
        <v>41</v>
      </c>
      <c r="AC24" s="265">
        <f>IF(COUNT(AC23)=0,"",ROUND(AC15-AC23,1))</f>
        <v>-112</v>
      </c>
      <c r="AD24" s="265">
        <f>IF(COUNT(AD23)=0,"",ROUND(AD15-AD23,1))</f>
        <v>-99</v>
      </c>
      <c r="AE24" s="265">
        <f>IF(COUNT(AE23)=0,"",ROUND(AE15-AE23,1))</f>
        <v>-129</v>
      </c>
      <c r="AF24" s="265">
        <f>IF(COUNT(AF23)=0,"",ROUND(AF15-AF23,1))</f>
        <v>-117</v>
      </c>
      <c r="AG24" s="266">
        <f>IF(COUNT(AG23)=0,"",ROUND(AG15-AG23,1))</f>
        <v>-457</v>
      </c>
      <c r="AH24" s="266">
        <f>IF(COUNT(AH23)=0,"",ROUND(AH15-AH23,1))</f>
        <v>-146</v>
      </c>
      <c r="AI24" s="266">
        <f>IF(COUNT(AI23)=0,"",ROUND(AI15-AI23,1))</f>
        <v>-129</v>
      </c>
    </row>
    <row r="25">
      <c r="C25" s="14" t="inlineStr">
        <is>
          <t xml:space="preserve">   % YoY Production &amp; Precision Agriculture</t>
        </is>
      </c>
      <c r="D25" s="268" t="str">
        <f>""</f>
        <v/>
      </c>
      <c r="E25" s="268" t="str">
        <f>""</f>
        <v/>
      </c>
      <c r="F25" s="268" t="str">
        <f>""</f>
        <v/>
      </c>
      <c r="G25" s="268" t="str">
        <f>""</f>
        <v/>
      </c>
      <c r="H25" s="269" t="str">
        <f>""</f>
        <v/>
      </c>
      <c r="I25" s="268">
        <f>IFERROR(I19/D19-1,"")</f>
        <v>0.341299912561935</v>
      </c>
      <c r="J25" s="268">
        <f>IFERROR(J19/E19-1,"")</f>
        <v>0.284952606635071</v>
      </c>
      <c r="K25" s="268">
        <f>IFERROR(K19/F19-1,"")</f>
        <v>0.218758052048441</v>
      </c>
      <c r="L25" s="268">
        <f>IFERROR(L19/G19-1,"")</f>
        <v>0.0908802033682872</v>
      </c>
      <c r="M25" s="269">
        <f>IFERROR(M19/H19-1,"")</f>
        <v>0.236212504517528</v>
      </c>
      <c r="N25" s="268">
        <f>IFERROR(N19/I19-1,"")</f>
        <v>0.124728378965667</v>
      </c>
      <c r="O25" s="268">
        <f>IFERROR(O19/J19-1,"")</f>
        <v>0.42577224527432</v>
      </c>
      <c r="P25" s="268">
        <f>IFERROR(P19/K19-1,"")</f>
        <v>0.590697674418605</v>
      </c>
      <c r="Q25" s="268">
        <f>IFERROR(Q19/L19-1,"")</f>
        <v>0.544713078939703</v>
      </c>
      <c r="R25" s="269">
        <f>IFERROR(R19/M19-1,"")</f>
        <v>0.414254809097819</v>
      </c>
      <c r="S25" s="268">
        <f>IFERROR(S19/N19-1,"")</f>
        <v>0.528593508500773</v>
      </c>
      <c r="T25" s="268">
        <f>IFERROR(T19/O19-1,"")</f>
        <v>0.127243330638642</v>
      </c>
      <c r="U25" s="268">
        <f>IFERROR(U19/P19-1,"")</f>
        <v>-0.0559542796384902</v>
      </c>
      <c r="V25" s="268">
        <f>IFERROR(V19/Q19-1,"")</f>
        <v>-0.0490288515934377</v>
      </c>
      <c r="W25" s="269">
        <f>IFERROR(W19/R19-1,"")</f>
        <v>0.117496279146684</v>
      </c>
      <c r="X25" s="268">
        <f>IFERROR(X19/S19-1,"")</f>
        <v>-0.155839231547017</v>
      </c>
      <c r="Y25" s="268">
        <f>IFERROR(Y19/T19-1,"")</f>
        <v>-0.248135398737808</v>
      </c>
      <c r="Z25" s="268">
        <f>IFERROR(Z19/U19-1,"")</f>
        <v>-0.378290863015627</v>
      </c>
      <c r="AA25" s="268">
        <f>IFERROR(AA19/V19-1,"")</f>
        <v>-0.367638310529447</v>
      </c>
      <c r="AB25" s="269">
        <f>IFERROR(AB19/W19-1,"")</f>
        <v>-0.277617462079171</v>
      </c>
      <c r="AC25" s="268">
        <f>IFERROR(AC19/X19-1,"")</f>
        <v>-0.201377451714329</v>
      </c>
      <c r="AD25" s="268">
        <f>IFERROR(AD19/Y19-1,"")</f>
        <v>-0.164631819916063</v>
      </c>
      <c r="AE25" s="268">
        <f>IFERROR(AE19/Z19-1,"")</f>
        <v>0.098052536231884</v>
      </c>
      <c r="AF25" s="268">
        <f>IFERROR(AF19/AA19-1,"")</f>
        <v>0.0304170586390717</v>
      </c>
      <c r="AG25" s="269">
        <f>IFERROR(AG19/AB19-1,"")</f>
        <v>-0.0859366997849022</v>
      </c>
      <c r="AH25" s="269">
        <f>IFERROR(AH19/AC19-1,"")</f>
        <v>-0.13535808023997</v>
      </c>
      <c r="AI25" s="269">
        <f>IFERROR(AI19/AD19-1,"")</f>
        <v>-0.0625713633249601</v>
      </c>
    </row>
    <row r="26">
      <c r="C26" s="14" t="inlineStr">
        <is>
          <t xml:space="preserve">   % YoY Small Agriculture &amp; Turf</t>
        </is>
      </c>
      <c r="D26" s="268" t="str">
        <f>""</f>
        <v/>
      </c>
      <c r="E26" s="268" t="str">
        <f>""</f>
        <v/>
      </c>
      <c r="F26" s="268" t="str">
        <f>""</f>
        <v/>
      </c>
      <c r="G26" s="268" t="str">
        <f>""</f>
        <v/>
      </c>
      <c r="H26" s="269" t="str">
        <f>""</f>
        <v/>
      </c>
      <c r="I26" s="268">
        <f>IFERROR(I20/D20-1,"")</f>
        <v>0.301063022019742</v>
      </c>
      <c r="J26" s="268">
        <f>IFERROR(J20/E20-1,"")</f>
        <v>0.327821413807359</v>
      </c>
      <c r="K26" s="268">
        <f>IFERROR(K20/F20-1,"")</f>
        <v>0.173305954825462</v>
      </c>
      <c r="L26" s="268">
        <f>IFERROR(L20/G20-1,"")</f>
        <v>0.0482163857310858</v>
      </c>
      <c r="M26" s="269">
        <f>IFERROR(M20/H20-1,"")</f>
        <v>0.212272138659229</v>
      </c>
      <c r="N26" s="268">
        <f>IFERROR(N20/I20-1,"")</f>
        <v>0.0522322731251823</v>
      </c>
      <c r="O26" s="268">
        <f>IFERROR(O20/J20-1,"")</f>
        <v>0.149128268991283</v>
      </c>
      <c r="P26" s="268">
        <f>IFERROR(P20/K20-1,"")</f>
        <v>0.259362968148407</v>
      </c>
      <c r="Q26" s="268">
        <f>IFERROR(Q20/L20-1,"")</f>
        <v>0.142109199700823</v>
      </c>
      <c r="R26" s="269">
        <f>IFERROR(R20/M20-1,"")</f>
        <v>0.146179129005752</v>
      </c>
      <c r="S26" s="268">
        <f>IFERROR(S20/N20-1,"")</f>
        <v>0.164725457570716</v>
      </c>
      <c r="T26" s="268">
        <f>IFERROR(T20/O20-1,"")</f>
        <v>0.031156868057437</v>
      </c>
      <c r="U26" s="268">
        <f>IFERROR(U20/P20-1,"")</f>
        <v>-0.120622568093385</v>
      </c>
      <c r="V26" s="268">
        <f>IFERROR(V20/Q20-1,"")</f>
        <v>-0.184020956123117</v>
      </c>
      <c r="W26" s="269">
        <f>IFERROR(W20/R20-1,"")</f>
        <v>-0.0205749516094343</v>
      </c>
      <c r="X26" s="268">
        <f>IFERROR(X20/S20-1,"")</f>
        <v>-0.225476190476191</v>
      </c>
      <c r="Y26" s="268">
        <f>IFERROR(Y20/T20-1,"")</f>
        <v>-0.178139779295849</v>
      </c>
      <c r="Z26" s="268">
        <f>IFERROR(Z20/U20-1,"")</f>
        <v>-0.259797724399494</v>
      </c>
      <c r="AA26" s="268">
        <f>IFERROR(AA20/V20-1,"")</f>
        <v>-0.279695024077047</v>
      </c>
      <c r="AB26" s="269">
        <f>IFERROR(AB20/W20-1,"")</f>
        <v>-0.230127360562143</v>
      </c>
      <c r="AC26" s="268">
        <f>IFERROR(AC20/X20-1,"")</f>
        <v>-0.0642483861051337</v>
      </c>
      <c r="AD26" s="268">
        <f>IFERROR(AD20/Y20-1,"")</f>
        <v>-0.0147058823529411</v>
      </c>
      <c r="AE26" s="268">
        <f>IFERROR(AE20/Z20-1,"")</f>
        <v>0.0721605465414177</v>
      </c>
      <c r="AF26" s="268">
        <f>IFERROR(AF20/AA20-1,"")</f>
        <v>0.238440111420613</v>
      </c>
      <c r="AG26" s="269">
        <f>IFERROR(AG20/AB20-1,"")</f>
        <v>0.0325156873930406</v>
      </c>
      <c r="AH26" s="269">
        <f>IFERROR(AH20/AC20-1,"")</f>
        <v>0.162943495400788</v>
      </c>
      <c r="AI26" s="269">
        <f>IFERROR(AI20/AD20-1,"")</f>
        <v>0.117780661907852</v>
      </c>
    </row>
    <row r="27">
      <c r="C27" s="14" t="inlineStr">
        <is>
          <t xml:space="preserve">   % YoY Construction &amp; Forestry</t>
        </is>
      </c>
      <c r="D27" s="268" t="str">
        <f>""</f>
        <v/>
      </c>
      <c r="E27" s="268" t="str">
        <f>""</f>
        <v/>
      </c>
      <c r="F27" s="268" t="str">
        <f>""</f>
        <v/>
      </c>
      <c r="G27" s="268" t="str">
        <f>""</f>
        <v/>
      </c>
      <c r="H27" s="269" t="str">
        <f>""</f>
        <v/>
      </c>
      <c r="I27" s="268">
        <f>IFERROR(I21/D21-1,"")</f>
        <v>0.356247297881539</v>
      </c>
      <c r="J27" s="268">
        <f>IFERROR(J21/E21-1,"")</f>
        <v>0.373994638069705</v>
      </c>
      <c r="K27" s="268">
        <f>IFERROR(K21/F21-1,"")</f>
        <v>0.137029702970297</v>
      </c>
      <c r="L27" s="268">
        <f>IFERROR(L21/G21-1,"")</f>
        <v>0.024505928853755</v>
      </c>
      <c r="M27" s="269">
        <f>IFERROR(M21/H21-1,"")</f>
        <v>0.215386216947741</v>
      </c>
      <c r="N27" s="268">
        <f>IFERROR(N21/I21-1,"")</f>
        <v>0.187121453618107</v>
      </c>
      <c r="O27" s="268">
        <f>IFERROR(O21/J21-1,"")</f>
        <v>0.080650406504065</v>
      </c>
      <c r="P27" s="268">
        <f>IFERROR(P21/K21-1,"")</f>
        <v>0.193312434691745</v>
      </c>
      <c r="Q27" s="268">
        <f>IFERROR(Q21/L21-1,"")</f>
        <v>0.255787037037037</v>
      </c>
      <c r="R27" s="269">
        <f>IFERROR(R21/M21-1,"")</f>
        <v>0.175845824411135</v>
      </c>
      <c r="S27" s="268">
        <f>IFERROR(S21/N21-1,"")</f>
        <v>0.11922663802363</v>
      </c>
      <c r="T27" s="268">
        <f>IFERROR(T21/O21-1,"")</f>
        <v>0.142040325007523</v>
      </c>
      <c r="U27" s="268">
        <f>IFERROR(U21/P21-1,"")</f>
        <v>0.0998248686514887</v>
      </c>
      <c r="V27" s="268">
        <f>IFERROR(V21/Q21-1,"")</f>
        <v>0.00583717357910896</v>
      </c>
      <c r="W27" s="269">
        <f>IFERROR(W21/R21-1,"")</f>
        <v>0.0930215617715617</v>
      </c>
      <c r="X27" s="268">
        <f>IFERROR(X21/S21-1,"")</f>
        <v>-0.0623800383877159</v>
      </c>
      <c r="Y27" s="268">
        <f>IFERROR(Y21/T21-1,"")</f>
        <v>-0.132279314888011</v>
      </c>
      <c r="Z27" s="268">
        <f>IFERROR(Z21/U21-1,"")</f>
        <v>-0.275477707006369</v>
      </c>
      <c r="AA27" s="268">
        <f>IFERROR(AA21/V21-1,"")</f>
        <v>-0.37599266951741</v>
      </c>
      <c r="AB27" s="269">
        <f>IFERROR(AB21/W21-1,"")</f>
        <v>-0.201999333555482</v>
      </c>
      <c r="AC27" s="268">
        <f>IFERROR(AC21/X21-1,"")</f>
        <v>-0.233367451381781</v>
      </c>
      <c r="AD27" s="268">
        <f>IFERROR(AD21/Y21-1,"")</f>
        <v>-0.0549650774369875</v>
      </c>
      <c r="AE27" s="268">
        <f>IFERROR(AE21/Z21-1,"")</f>
        <v>0.279120879120879</v>
      </c>
      <c r="AF27" s="268">
        <f>IFERROR(AF21/AA21-1,"")</f>
        <v>0.336759667156143</v>
      </c>
      <c r="AG27" s="269">
        <f>IFERROR(AG21/AB21-1,"")</f>
        <v>0.0298145982963087</v>
      </c>
      <c r="AH27" s="269">
        <f>IFERROR(AH21/AC21-1,"")</f>
        <v>0.286381842456609</v>
      </c>
      <c r="AI27" s="269">
        <f>IFERROR(AI21/AD21-1,"")</f>
        <v>0.183161953727506</v>
      </c>
    </row>
    <row r="28"/>
    <row r="29">
      <c r="C29" s="12" t="inlineStr">
        <is>
          <t>Segmentos - lucro e margem (USD milhões)</t>
        </is>
      </c>
      <c r="D29" s="12" t="str">
        <f>D7</f>
        <v>1Q20</v>
      </c>
      <c r="E29" s="12" t="str">
        <f>E7</f>
        <v>2Q20</v>
      </c>
      <c r="F29" s="12" t="str">
        <f>F7</f>
        <v>3Q20</v>
      </c>
      <c r="G29" s="12" t="str">
        <f>G7</f>
        <v>4Q20</v>
      </c>
      <c r="H29" s="12">
        <f>H7</f>
        <v>2020</v>
      </c>
      <c r="I29" s="12" t="str">
        <f>I7</f>
        <v>1Q21</v>
      </c>
      <c r="J29" s="12" t="str">
        <f>J7</f>
        <v>2Q21</v>
      </c>
      <c r="K29" s="12" t="str">
        <f>K7</f>
        <v>3Q21</v>
      </c>
      <c r="L29" s="12" t="str">
        <f>L7</f>
        <v>4Q21</v>
      </c>
      <c r="M29" s="12">
        <f>M7</f>
        <v>2021</v>
      </c>
      <c r="N29" s="12" t="str">
        <f>N7</f>
        <v>1Q22</v>
      </c>
      <c r="O29" s="12" t="str">
        <f>O7</f>
        <v>2Q22</v>
      </c>
      <c r="P29" s="12" t="str">
        <f>P7</f>
        <v>3Q22</v>
      </c>
      <c r="Q29" s="12" t="str">
        <f>Q7</f>
        <v>4Q22</v>
      </c>
      <c r="R29" s="12">
        <f>R7</f>
        <v>2022</v>
      </c>
      <c r="S29" s="12" t="str">
        <f>S7</f>
        <v>1Q23</v>
      </c>
      <c r="T29" s="12" t="str">
        <f>T7</f>
        <v>2Q23</v>
      </c>
      <c r="U29" s="12" t="str">
        <f>U7</f>
        <v>3Q23</v>
      </c>
      <c r="V29" s="12" t="str">
        <f>V7</f>
        <v>4Q23</v>
      </c>
      <c r="W29" s="12">
        <f>W7</f>
        <v>2023</v>
      </c>
      <c r="X29" s="12" t="str">
        <f>X7</f>
        <v>1Q24</v>
      </c>
      <c r="Y29" s="12" t="str">
        <f>Y7</f>
        <v>2Q24</v>
      </c>
      <c r="Z29" s="12" t="str">
        <f>Z7</f>
        <v>3Q24</v>
      </c>
      <c r="AA29" s="12" t="str">
        <f>AA7</f>
        <v>4Q24</v>
      </c>
      <c r="AB29" s="12">
        <f>AB7</f>
        <v>2024</v>
      </c>
      <c r="AC29" s="12" t="str">
        <f>AC7</f>
        <v>1Q25</v>
      </c>
      <c r="AD29" s="12" t="str">
        <f>AD7</f>
        <v>2Q25</v>
      </c>
      <c r="AE29" s="12" t="str">
        <f>AE7</f>
        <v>3Q25</v>
      </c>
      <c r="AF29" s="12" t="str">
        <f>AF7</f>
        <v>4Q25</v>
      </c>
      <c r="AG29" s="12">
        <f>AG7</f>
        <v>2025</v>
      </c>
      <c r="AH29" s="12" t="str">
        <f>AH7</f>
        <v>1Q26</v>
      </c>
      <c r="AI29" s="12" t="str">
        <f>AI7</f>
        <v>2Q26</v>
      </c>
    </row>
    <row r="30">
      <c r="C30" s="14" t="inlineStr">
        <is>
          <t xml:space="preserve">   Production &amp; Precision Agriculture</t>
        </is>
      </c>
      <c r="D30" s="265">
        <f>IFERROR(INDEX('Inputs (2)'!$D$54:$AL$54,MATCH(D$7,'Inputs (2)'!$D$2:$AL$2,0)),"")</f>
        <v>568</v>
      </c>
      <c r="E30" s="265">
        <f>IFERROR(INDEX('Inputs (2)'!$D$54:$AL$54,MATCH(E$7,'Inputs (2)'!$D$2:$AL$2,0)),"")</f>
        <v>605</v>
      </c>
      <c r="F30" s="265">
        <f>IFERROR(INDEX('Inputs (2)'!$D$54:$AL$54,MATCH(F$7,'Inputs (2)'!$D$2:$AL$2,0)),"")</f>
        <v>578</v>
      </c>
      <c r="G30" s="265">
        <f>IFERROR(INDEX('Inputs (2)'!$D$54:$AL$54,MATCH(G$7,'Inputs (2)'!$D$2:$AL$2,0)),"")</f>
        <v>643</v>
      </c>
      <c r="H30" s="266">
        <f>IF(COUNT(D30:G30)=4,SUM(D30:G30),"")</f>
        <v>2394</v>
      </c>
      <c r="I30" s="265">
        <f>IFERROR(INDEX('Inputs (2)'!$D$54:$AL$54,MATCH(I$7,'Inputs (2)'!$D$2:$AL$2,0)),"")</f>
        <v>1007</v>
      </c>
      <c r="J30" s="265">
        <f>IFERROR(INDEX('Inputs (2)'!$D$54:$AL$54,MATCH(J$7,'Inputs (2)'!$D$2:$AL$2,0)),"")</f>
        <v>906</v>
      </c>
      <c r="K30" s="265">
        <f>IFERROR(INDEX('Inputs (2)'!$D$54:$AL$54,MATCH(K$7,'Inputs (2)'!$D$2:$AL$2,0)),"")</f>
        <v>777</v>
      </c>
      <c r="L30" s="265">
        <f>IFERROR(INDEX('Inputs (2)'!$D$54:$AL$54,MATCH(L$7,'Inputs (2)'!$D$2:$AL$2,0)),"")</f>
        <v>296</v>
      </c>
      <c r="M30" s="266">
        <f>IF(COUNT(I30:L30)=4,SUM(I30:L30),"")</f>
        <v>2986</v>
      </c>
      <c r="N30" s="265">
        <f>IFERROR(INDEX('Inputs (2)'!$D$54:$AL$54,MATCH(N$7,'Inputs (2)'!$D$2:$AL$2,0)),"")</f>
        <v>1057</v>
      </c>
      <c r="O30" s="265">
        <f>IFERROR(INDEX('Inputs (2)'!$D$54:$AL$54,MATCH(O$7,'Inputs (2)'!$D$2:$AL$2,0)),"")</f>
        <v>1293</v>
      </c>
      <c r="P30" s="265">
        <f>IFERROR(INDEX('Inputs (2)'!$D$54:$AL$54,MATCH(P$7,'Inputs (2)'!$D$2:$AL$2,0)),"")</f>
        <v>1740</v>
      </c>
      <c r="Q30" s="265">
        <f>IFERROR(INDEX('Inputs (2)'!$D$54:$AL$54,MATCH(Q$7,'Inputs (2)'!$D$2:$AL$2,0)),"")</f>
        <v>1208</v>
      </c>
      <c r="R30" s="266">
        <f>IF(COUNT(N30:Q30)=4,SUM(N30:Q30),"")</f>
        <v>5298</v>
      </c>
      <c r="S30" s="265">
        <f>IFERROR(INDEX('Inputs (2)'!$D$54:$AL$54,MATCH(S$7,'Inputs (2)'!$D$2:$AL$2,0)),"")</f>
        <v>2170</v>
      </c>
      <c r="T30" s="265">
        <f>IFERROR(INDEX('Inputs (2)'!$D$54:$AL$54,MATCH(T$7,'Inputs (2)'!$D$2:$AL$2,0)),"")</f>
        <v>1782</v>
      </c>
      <c r="U30" s="265">
        <f>IFERROR(INDEX('Inputs (2)'!$D$54:$AL$54,MATCH(U$7,'Inputs (2)'!$D$2:$AL$2,0)),"")</f>
        <v>1836</v>
      </c>
      <c r="V30" s="265">
        <f>IFERROR(INDEX('Inputs (2)'!$D$54:$AL$54,MATCH(V$7,'Inputs (2)'!$D$2:$AL$2,0)),"")</f>
        <v>1045</v>
      </c>
      <c r="W30" s="266">
        <f>IF(COUNT(S30:V30)=4,SUM(S30:V30),"")</f>
        <v>6833</v>
      </c>
      <c r="X30" s="265">
        <f>IFERROR(INDEX('Inputs (2)'!$D$54:$AL$54,MATCH(X$7,'Inputs (2)'!$D$2:$AL$2,0)),"")</f>
        <v>1650</v>
      </c>
      <c r="Y30" s="265">
        <f>IFERROR(INDEX('Inputs (2)'!$D$54:$AL$54,MATCH(Y$7,'Inputs (2)'!$D$2:$AL$2,0)),"")</f>
        <v>1162</v>
      </c>
      <c r="Z30" s="265">
        <f>IFERROR(INDEX('Inputs (2)'!$D$54:$AL$54,MATCH(Z$7,'Inputs (2)'!$D$2:$AL$2,0)),"")</f>
        <v>657</v>
      </c>
      <c r="AA30" s="265">
        <f>IFERROR(INDEX('Inputs (2)'!$D$54:$AL$54,MATCH(AA$7,'Inputs (2)'!$D$2:$AL$2,0)),"")</f>
        <v>338</v>
      </c>
      <c r="AB30" s="266">
        <f>IF(COUNT(X30:AA30)=4,SUM(X30:AA30),"")</f>
        <v>3807</v>
      </c>
      <c r="AC30" s="265">
        <f>IFERROR(INDEX('Inputs (2)'!$D$54:$AL$54,MATCH(AC$7,'Inputs (2)'!$D$2:$AL$2,0)),"")</f>
        <v>1148</v>
      </c>
      <c r="AD30" s="265">
        <f>IFERROR(INDEX('Inputs (2)'!$D$54:$AL$54,MATCH(AD$7,'Inputs (2)'!$D$2:$AL$2,0)),"")</f>
        <v>580</v>
      </c>
      <c r="AE30" s="265">
        <f>IFERROR(INDEX('Inputs (2)'!$D$54:$AL$54,MATCH(AE$7,'Inputs (2)'!$D$2:$AL$2,0)),"")</f>
        <v>605</v>
      </c>
      <c r="AF30" s="265">
        <f>IFERROR(INDEX('Inputs (2)'!$D$54:$AL$54,MATCH(AF$7,'Inputs (2)'!$D$2:$AL$2,0)),"")</f>
        <v>139</v>
      </c>
      <c r="AG30" s="266">
        <f>IF(COUNT(AC30:AF30)=4,SUM(AC30:AF30),"")</f>
        <v>2472</v>
      </c>
      <c r="AH30" s="266">
        <f>IFERROR(INDEX('Inputs (2)'!$D$54:$AL$54,MATCH(AH$7,'Inputs (2)'!$D$2:$AL$2,0)),"")</f>
        <v>706</v>
      </c>
      <c r="AI30" s="266">
        <f>IFERROR(INDEX('Inputs (2)'!$D$54:$AL$54,MATCH(AI$7,'Inputs (2)'!$D$2:$AL$2,0)),"")</f>
        <v>527</v>
      </c>
    </row>
    <row r="31">
      <c r="C31" s="14" t="inlineStr">
        <is>
          <t xml:space="preserve">   Small Agriculture &amp; Turf</t>
        </is>
      </c>
      <c r="D31" s="265">
        <f>IFERROR(INDEX('Inputs (2)'!$D$56:$AL$56,MATCH(D$7,'Inputs (2)'!$D$2:$AL$2,0)),"")</f>
        <v>226</v>
      </c>
      <c r="E31" s="265">
        <f>IFERROR(INDEX('Inputs (2)'!$D$56:$AL$56,MATCH(E$7,'Inputs (2)'!$D$2:$AL$2,0)),"")</f>
        <v>337</v>
      </c>
      <c r="F31" s="265">
        <f>IFERROR(INDEX('Inputs (2)'!$D$56:$AL$56,MATCH(F$7,'Inputs (2)'!$D$2:$AL$2,0)),"")</f>
        <v>282</v>
      </c>
      <c r="G31" s="265">
        <f>IFERROR(INDEX('Inputs (2)'!$D$56:$AL$56,MATCH(G$7,'Inputs (2)'!$D$2:$AL$2,0)),"")</f>
        <v>469</v>
      </c>
      <c r="H31" s="266">
        <f>IF(COUNT(D31:G31)=4,SUM(D31:G31),"")</f>
        <v>1314</v>
      </c>
      <c r="I31" s="265">
        <f>IFERROR(INDEX('Inputs (2)'!$D$56:$AL$56,MATCH(I$7,'Inputs (2)'!$D$2:$AL$2,0)),"")</f>
        <v>648</v>
      </c>
      <c r="J31" s="265">
        <f>IFERROR(INDEX('Inputs (2)'!$D$56:$AL$56,MATCH(J$7,'Inputs (2)'!$D$2:$AL$2,0)),"")</f>
        <v>583</v>
      </c>
      <c r="K31" s="265">
        <f>IFERROR(INDEX('Inputs (2)'!$D$56:$AL$56,MATCH(K$7,'Inputs (2)'!$D$2:$AL$2,0)),"")</f>
        <v>346</v>
      </c>
      <c r="L31" s="265">
        <f>IFERROR(INDEX('Inputs (2)'!$D$56:$AL$56,MATCH(L$7,'Inputs (2)'!$D$2:$AL$2,0)),"")</f>
        <v>371</v>
      </c>
      <c r="M31" s="266">
        <f>IF(COUNT(I31:L31)=4,SUM(I31:L31),"")</f>
        <v>1948</v>
      </c>
      <c r="N31" s="265">
        <f>IFERROR(INDEX('Inputs (2)'!$D$56:$AL$56,MATCH(N$7,'Inputs (2)'!$D$2:$AL$2,0)),"")</f>
        <v>520</v>
      </c>
      <c r="O31" s="265">
        <f>IFERROR(INDEX('Inputs (2)'!$D$56:$AL$56,MATCH(O$7,'Inputs (2)'!$D$2:$AL$2,0)),"")</f>
        <v>552</v>
      </c>
      <c r="P31" s="265">
        <f>IFERROR(INDEX('Inputs (2)'!$D$56:$AL$56,MATCH(P$7,'Inputs (2)'!$D$2:$AL$2,0)),"")</f>
        <v>506</v>
      </c>
      <c r="Q31" s="265">
        <f>IFERROR(INDEX('Inputs (2)'!$D$56:$AL$56,MATCH(Q$7,'Inputs (2)'!$D$2:$AL$2,0)),"")</f>
        <v>447</v>
      </c>
      <c r="R31" s="266">
        <f>IF(COUNT(N31:Q31)=4,SUM(N31:Q31),"")</f>
        <v>2025</v>
      </c>
      <c r="S31" s="265">
        <f>IFERROR(INDEX('Inputs (2)'!$D$56:$AL$56,MATCH(S$7,'Inputs (2)'!$D$2:$AL$2,0)),"")</f>
        <v>849</v>
      </c>
      <c r="T31" s="265">
        <f>IFERROR(INDEX('Inputs (2)'!$D$56:$AL$56,MATCH(T$7,'Inputs (2)'!$D$2:$AL$2,0)),"")</f>
        <v>732</v>
      </c>
      <c r="U31" s="265">
        <f>IFERROR(INDEX('Inputs (2)'!$D$56:$AL$56,MATCH(U$7,'Inputs (2)'!$D$2:$AL$2,0)),"")</f>
        <v>444</v>
      </c>
      <c r="V31" s="265">
        <f>IFERROR(INDEX('Inputs (2)'!$D$56:$AL$56,MATCH(V$7,'Inputs (2)'!$D$2:$AL$2,0)),"")</f>
        <v>326</v>
      </c>
      <c r="W31" s="266">
        <f>IF(COUNT(S31:V31)=4,SUM(S31:V31),"")</f>
        <v>2351</v>
      </c>
      <c r="X31" s="265">
        <f>IFERROR(INDEX('Inputs (2)'!$D$56:$AL$56,MATCH(X$7,'Inputs (2)'!$D$2:$AL$2,0)),"")</f>
        <v>571</v>
      </c>
      <c r="Y31" s="265">
        <f>IFERROR(INDEX('Inputs (2)'!$D$56:$AL$56,MATCH(Y$7,'Inputs (2)'!$D$2:$AL$2,0)),"")</f>
        <v>496</v>
      </c>
      <c r="Z31" s="265">
        <f>IFERROR(INDEX('Inputs (2)'!$D$56:$AL$56,MATCH(Z$7,'Inputs (2)'!$D$2:$AL$2,0)),"")</f>
        <v>234</v>
      </c>
      <c r="AA31" s="265">
        <f>IFERROR(INDEX('Inputs (2)'!$D$56:$AL$56,MATCH(AA$7,'Inputs (2)'!$D$2:$AL$2,0)),"")</f>
        <v>124</v>
      </c>
      <c r="AB31" s="266">
        <f>IF(COUNT(X31:AA31)=4,SUM(X31:AA31),"")</f>
        <v>1425</v>
      </c>
      <c r="AC31" s="265">
        <f>IFERROR(INDEX('Inputs (2)'!$D$56:$AL$56,MATCH(AC$7,'Inputs (2)'!$D$2:$AL$2,0)),"")</f>
        <v>574</v>
      </c>
      <c r="AD31" s="265">
        <f>IFERROR(INDEX('Inputs (2)'!$D$56:$AL$56,MATCH(AD$7,'Inputs (2)'!$D$2:$AL$2,0)),"")</f>
        <v>485</v>
      </c>
      <c r="AE31" s="265">
        <f>IFERROR(INDEX('Inputs (2)'!$D$56:$AL$56,MATCH(AE$7,'Inputs (2)'!$D$2:$AL$2,0)),"")</f>
        <v>25</v>
      </c>
      <c r="AF31" s="265">
        <f>IFERROR(INDEX('Inputs (2)'!$D$56:$AL$56,MATCH(AF$7,'Inputs (2)'!$D$2:$AL$2,0)),"")</f>
        <v>196</v>
      </c>
      <c r="AG31" s="266">
        <f>IF(COUNT(AC31:AF31)=4,SUM(AC31:AF31),"")</f>
        <v>1280</v>
      </c>
      <c r="AH31" s="266">
        <f>IFERROR(INDEX('Inputs (2)'!$D$56:$AL$56,MATCH(AH$7,'Inputs (2)'!$D$2:$AL$2,0)),"")</f>
        <v>719</v>
      </c>
      <c r="AI31" s="266">
        <f>IFERROR(INDEX('Inputs (2)'!$D$56:$AL$56,MATCH(AI$7,'Inputs (2)'!$D$2:$AL$2,0)),"")</f>
        <v>622</v>
      </c>
    </row>
    <row r="32">
      <c r="C32" s="14" t="inlineStr">
        <is>
          <t xml:space="preserve">   Construction &amp; Forestry</t>
        </is>
      </c>
      <c r="D32" s="265">
        <f>IFERROR(INDEX('Inputs (2)'!$D$58:$AL$58,MATCH(D$7,'Inputs (2)'!$D$2:$AL$2,0)),"")</f>
        <v>96</v>
      </c>
      <c r="E32" s="265">
        <f>IFERROR(INDEX('Inputs (2)'!$D$58:$AL$58,MATCH(E$7,'Inputs (2)'!$D$2:$AL$2,0)),"")</f>
        <v>205</v>
      </c>
      <c r="F32" s="265">
        <f>IFERROR(INDEX('Inputs (2)'!$D$58:$AL$58,MATCH(F$7,'Inputs (2)'!$D$2:$AL$2,0)),"")</f>
        <v>196</v>
      </c>
      <c r="G32" s="265">
        <f>IFERROR(INDEX('Inputs (2)'!$D$58:$AL$58,MATCH(G$7,'Inputs (2)'!$D$2:$AL$2,0)),"")</f>
        <v>268</v>
      </c>
      <c r="H32" s="266">
        <f>IF(COUNT(D32:G32)=4,SUM(D32:G32),"")</f>
        <v>765</v>
      </c>
      <c r="I32" s="265">
        <f>IFERROR(INDEX('Inputs (2)'!$D$58:$AL$58,MATCH(I$7,'Inputs (2)'!$D$2:$AL$2,0)),"")</f>
        <v>489</v>
      </c>
      <c r="J32" s="265">
        <f>IFERROR(INDEX('Inputs (2)'!$D$58:$AL$58,MATCH(J$7,'Inputs (2)'!$D$2:$AL$2,0)),"")</f>
        <v>463</v>
      </c>
      <c r="K32" s="265">
        <f>IFERROR(INDEX('Inputs (2)'!$D$58:$AL$58,MATCH(K$7,'Inputs (2)'!$D$2:$AL$2,0)),"")</f>
        <v>269</v>
      </c>
      <c r="L32" s="265">
        <f>IFERROR(INDEX('Inputs (2)'!$D$58:$AL$58,MATCH(L$7,'Inputs (2)'!$D$2:$AL$2,0)),"")</f>
        <v>272</v>
      </c>
      <c r="M32" s="266">
        <f>IF(COUNT(I32:L32)=4,SUM(I32:L32),"")</f>
        <v>1493</v>
      </c>
      <c r="N32" s="265">
        <f>IFERROR(INDEX('Inputs (2)'!$D$58:$AL$58,MATCH(N$7,'Inputs (2)'!$D$2:$AL$2,0)),"")</f>
        <v>814</v>
      </c>
      <c r="O32" s="265">
        <f>IFERROR(INDEX('Inputs (2)'!$D$58:$AL$58,MATCH(O$7,'Inputs (2)'!$D$2:$AL$2,0)),"")</f>
        <v>514</v>
      </c>
      <c r="P32" s="265">
        <f>IFERROR(INDEX('Inputs (2)'!$D$58:$AL$58,MATCH(P$7,'Inputs (2)'!$D$2:$AL$2,0)),"")</f>
        <v>415</v>
      </c>
      <c r="Q32" s="265">
        <f>IFERROR(INDEX('Inputs (2)'!$D$58:$AL$58,MATCH(Q$7,'Inputs (2)'!$D$2:$AL$2,0)),"")</f>
        <v>625</v>
      </c>
      <c r="R32" s="266">
        <f>IF(COUNT(N32:Q32)=4,SUM(N32:Q32),"")</f>
        <v>2368</v>
      </c>
      <c r="S32" s="265">
        <f>IFERROR(INDEX('Inputs (2)'!$D$58:$AL$58,MATCH(S$7,'Inputs (2)'!$D$2:$AL$2,0)),"")</f>
        <v>838</v>
      </c>
      <c r="T32" s="265">
        <f>IFERROR(INDEX('Inputs (2)'!$D$58:$AL$58,MATCH(T$7,'Inputs (2)'!$D$2:$AL$2,0)),"")</f>
        <v>716</v>
      </c>
      <c r="U32" s="265">
        <f>IFERROR(INDEX('Inputs (2)'!$D$58:$AL$58,MATCH(U$7,'Inputs (2)'!$D$2:$AL$2,0)),"")</f>
        <v>516</v>
      </c>
      <c r="V32" s="265">
        <f>IFERROR(INDEX('Inputs (2)'!$D$58:$AL$58,MATCH(V$7,'Inputs (2)'!$D$2:$AL$2,0)),"")</f>
        <v>566</v>
      </c>
      <c r="W32" s="266">
        <f>IF(COUNT(S32:V32)=4,SUM(S32:V32),"")</f>
        <v>2636</v>
      </c>
      <c r="X32" s="265">
        <f>IFERROR(INDEX('Inputs (2)'!$D$58:$AL$58,MATCH(X$7,'Inputs (2)'!$D$2:$AL$2,0)),"")</f>
        <v>668</v>
      </c>
      <c r="Y32" s="265">
        <f>IFERROR(INDEX('Inputs (2)'!$D$58:$AL$58,MATCH(Y$7,'Inputs (2)'!$D$2:$AL$2,0)),"")</f>
        <v>448</v>
      </c>
      <c r="Z32" s="265">
        <f>IFERROR(INDEX('Inputs (2)'!$D$58:$AL$58,MATCH(Z$7,'Inputs (2)'!$D$2:$AL$2,0)),"")</f>
        <v>327</v>
      </c>
      <c r="AA32" s="265">
        <f>IFERROR(INDEX('Inputs (2)'!$D$58:$AL$58,MATCH(AA$7,'Inputs (2)'!$D$2:$AL$2,0)),"")</f>
        <v>65</v>
      </c>
      <c r="AB32" s="266">
        <f>IF(COUNT(X32:AA32)=4,SUM(X32:AA32),"")</f>
        <v>1508</v>
      </c>
      <c r="AC32" s="265">
        <f>IFERROR(INDEX('Inputs (2)'!$D$58:$AL$58,MATCH(AC$7,'Inputs (2)'!$D$2:$AL$2,0)),"")</f>
        <v>379</v>
      </c>
      <c r="AD32" s="265">
        <f>IFERROR(INDEX('Inputs (2)'!$D$58:$AL$58,MATCH(AD$7,'Inputs (2)'!$D$2:$AL$2,0)),"")</f>
        <v>237</v>
      </c>
      <c r="AE32" s="265">
        <f>IFERROR(INDEX('Inputs (2)'!$D$58:$AL$58,MATCH(AE$7,'Inputs (2)'!$D$2:$AL$2,0)),"")</f>
        <v>347</v>
      </c>
      <c r="AF32" s="265">
        <f>IFERROR(INDEX('Inputs (2)'!$D$58:$AL$58,MATCH(AF$7,'Inputs (2)'!$D$2:$AL$2,0)),"")</f>
        <v>137</v>
      </c>
      <c r="AG32" s="266">
        <f>IF(COUNT(AC32:AF32)=4,SUM(AC32:AF32),"")</f>
        <v>1100</v>
      </c>
      <c r="AH32" s="266">
        <f>IFERROR(INDEX('Inputs (2)'!$D$58:$AL$58,MATCH(AH$7,'Inputs (2)'!$D$2:$AL$2,0)),"")</f>
        <v>561</v>
      </c>
      <c r="AI32" s="266">
        <f>IFERROR(INDEX('Inputs (2)'!$D$58:$AL$58,MATCH(AI$7,'Inputs (2)'!$D$2:$AL$2,0)),"")</f>
        <v>436</v>
      </c>
    </row>
    <row r="33">
      <c r="C33" s="14" t="inlineStr">
        <is>
          <t xml:space="preserve">   Financial Services</t>
        </is>
      </c>
      <c r="D33" s="265">
        <f>IFERROR(INDEX('Inputs (2)'!$D$60:$AL$60,MATCH(D$7,'Inputs (2)'!$D$2:$AL$2,0)),"")</f>
        <v>75</v>
      </c>
      <c r="E33" s="265">
        <f>IFERROR(INDEX('Inputs (2)'!$D$60:$AL$60,MATCH(E$7,'Inputs (2)'!$D$2:$AL$2,0)),"")</f>
        <v>243</v>
      </c>
      <c r="F33" s="265">
        <f>IFERROR(INDEX('Inputs (2)'!$D$60:$AL$60,MATCH(F$7,'Inputs (2)'!$D$2:$AL$2,0)),"")</f>
        <v>248</v>
      </c>
      <c r="G33" s="265">
        <f>IFERROR(INDEX('Inputs (2)'!$D$60:$AL$60,MATCH(G$7,'Inputs (2)'!$D$2:$AL$2,0)),"")</f>
        <v>258</v>
      </c>
      <c r="H33" s="266">
        <f>IF(COUNT(D33:G33)=4,SUM(D33:G33),"")</f>
        <v>824</v>
      </c>
      <c r="I33" s="265">
        <f>IFERROR(INDEX('Inputs (2)'!$D$60:$AL$60,MATCH(I$7,'Inputs (2)'!$D$2:$AL$2,0)),"")</f>
        <v>295</v>
      </c>
      <c r="J33" s="265">
        <f>IFERROR(INDEX('Inputs (2)'!$D$60:$AL$60,MATCH(J$7,'Inputs (2)'!$D$2:$AL$2,0)),"")</f>
        <v>291</v>
      </c>
      <c r="K33" s="265">
        <f>IFERROR(INDEX('Inputs (2)'!$D$60:$AL$60,MATCH(K$7,'Inputs (2)'!$D$2:$AL$2,0)),"")</f>
        <v>300</v>
      </c>
      <c r="L33" s="265">
        <f>IFERROR(INDEX('Inputs (2)'!$D$60:$AL$60,MATCH(L$7,'Inputs (2)'!$D$2:$AL$2,0)),"")</f>
        <v>296</v>
      </c>
      <c r="M33" s="266">
        <f>IF(COUNT(I33:L33)=4,SUM(I33:L33),"")</f>
        <v>1182</v>
      </c>
      <c r="N33" s="265">
        <f>IFERROR(INDEX('Inputs (2)'!$D$60:$AL$60,MATCH(N$7,'Inputs (2)'!$D$2:$AL$2,0)),"")</f>
        <v>279</v>
      </c>
      <c r="O33" s="265">
        <f>IFERROR(INDEX('Inputs (2)'!$D$60:$AL$60,MATCH(O$7,'Inputs (2)'!$D$2:$AL$2,0)),"")</f>
        <v>287</v>
      </c>
      <c r="P33" s="265">
        <f>IFERROR(INDEX('Inputs (2)'!$D$60:$AL$60,MATCH(P$7,'Inputs (2)'!$D$2:$AL$2,0)),"")</f>
        <v>295</v>
      </c>
      <c r="Q33" s="265">
        <f>IFERROR(INDEX('Inputs (2)'!$D$60:$AL$60,MATCH(Q$7,'Inputs (2)'!$D$2:$AL$2,0)),"")</f>
        <v>238</v>
      </c>
      <c r="R33" s="266">
        <f>IF(COUNT(N33:Q33)=4,SUM(N33:Q33),"")</f>
        <v>1099</v>
      </c>
      <c r="S33" s="265">
        <f>IFERROR(INDEX('Inputs (2)'!$D$60:$AL$60,MATCH(S$7,'Inputs (2)'!$D$2:$AL$2,0)),"")</f>
        <v>41</v>
      </c>
      <c r="T33" s="265">
        <f>IFERROR(INDEX('Inputs (2)'!$D$60:$AL$60,MATCH(T$7,'Inputs (2)'!$D$2:$AL$2,0)),"")</f>
        <v>286</v>
      </c>
      <c r="U33" s="265">
        <f>IFERROR(INDEX('Inputs (2)'!$D$60:$AL$60,MATCH(U$7,'Inputs (2)'!$D$2:$AL$2,0)),"")</f>
        <v>230</v>
      </c>
      <c r="V33" s="265">
        <f>IFERROR(INDEX('Inputs (2)'!$D$60:$AL$60,MATCH(V$7,'Inputs (2)'!$D$2:$AL$2,0)),"")</f>
        <v>257</v>
      </c>
      <c r="W33" s="266">
        <f>IF(COUNT(S33:V33)=4,SUM(S33:V33),"")</f>
        <v>814</v>
      </c>
      <c r="X33" s="265">
        <f>IFERROR(INDEX('Inputs (2)'!$D$60:$AL$60,MATCH(X$7,'Inputs (2)'!$D$2:$AL$2,0)),"")</f>
        <v>209</v>
      </c>
      <c r="Y33" s="265">
        <f>IFERROR(INDEX('Inputs (2)'!$D$60:$AL$60,MATCH(Y$7,'Inputs (2)'!$D$2:$AL$2,0)),"")</f>
        <v>191</v>
      </c>
      <c r="Z33" s="265">
        <f>IFERROR(INDEX('Inputs (2)'!$D$60:$AL$60,MATCH(Z$7,'Inputs (2)'!$D$2:$AL$2,0)),"")</f>
        <v>232</v>
      </c>
      <c r="AA33" s="265">
        <f>IFERROR(INDEX('Inputs (2)'!$D$60:$AL$60,MATCH(AA$7,'Inputs (2)'!$D$2:$AL$2,0)),"")</f>
        <v>266</v>
      </c>
      <c r="AB33" s="266">
        <f>IF(COUNT(X33:AA33)=4,SUM(X33:AA33),"")</f>
        <v>898</v>
      </c>
      <c r="AC33" s="265">
        <f>IFERROR(INDEX('Inputs (2)'!$D$60:$AL$60,MATCH(AC$7,'Inputs (2)'!$D$2:$AL$2,0)),"")</f>
        <v>207</v>
      </c>
      <c r="AD33" s="265">
        <f>IFERROR(INDEX('Inputs (2)'!$D$60:$AL$60,MATCH(AD$7,'Inputs (2)'!$D$2:$AL$2,0)),"")</f>
        <v>266</v>
      </c>
      <c r="AE33" s="265">
        <f>IFERROR(INDEX('Inputs (2)'!$D$60:$AL$60,MATCH(AE$7,'Inputs (2)'!$D$2:$AL$2,0)),"")</f>
        <v>374</v>
      </c>
      <c r="AF33" s="265">
        <f>IFERROR(INDEX('Inputs (2)'!$D$60:$AL$60,MATCH(AF$7,'Inputs (2)'!$D$2:$AL$2,0)),"")</f>
        <v>301</v>
      </c>
      <c r="AG33" s="266">
        <f>IF(COUNT(AC33:AF33)=4,SUM(AC33:AF33),"")</f>
        <v>1148</v>
      </c>
      <c r="AH33" s="266">
        <f>IFERROR(INDEX('Inputs (2)'!$D$60:$AL$60,MATCH(AH$7,'Inputs (2)'!$D$2:$AL$2,0)),"")</f>
        <v>251</v>
      </c>
      <c r="AI33" s="266">
        <f>IFERROR(INDEX('Inputs (2)'!$D$60:$AL$60,MATCH(AI$7,'Inputs (2)'!$D$2:$AL$2,0)),"")</f>
        <v>271</v>
      </c>
    </row>
    <row r="34">
      <c r="C34" s="14" t="inlineStr">
        <is>
          <t xml:space="preserve">   Margem Production &amp; Precision Agriculture</t>
        </is>
      </c>
      <c r="D34" s="268">
        <f>IFERROR(D30/D19,"")</f>
        <v>0.165549402506558</v>
      </c>
      <c r="E34" s="268">
        <f>IFERROR(E30/E19,"")</f>
        <v>0.179206161137441</v>
      </c>
      <c r="F34" s="268">
        <f>IFERROR(F30/F19,"")</f>
        <v>0.148930687967019</v>
      </c>
      <c r="G34" s="268">
        <f>IFERROR(G30/G19,"")</f>
        <v>0.204321576104226</v>
      </c>
      <c r="H34" s="269">
        <f>IFERROR(H30/H19,"")</f>
        <v>0.173039392844236</v>
      </c>
      <c r="I34" s="268">
        <f>IFERROR(I30/I19,"")</f>
        <v>0.218817905258583</v>
      </c>
      <c r="J34" s="268">
        <f>IFERROR(J30/J19,"")</f>
        <v>0.208852005532503</v>
      </c>
      <c r="K34" s="268">
        <f>IFERROR(K30/K19,"")</f>
        <v>0.164270613107822</v>
      </c>
      <c r="L34" s="268">
        <f>IFERROR(L30/L19,"")</f>
        <v>0.0862219632974075</v>
      </c>
      <c r="M34" s="269">
        <f>IFERROR(M30/M19,"")</f>
        <v>0.174589253347366</v>
      </c>
      <c r="N34" s="268">
        <f>IFERROR(N30/N19,"")</f>
        <v>0.204211746522411</v>
      </c>
      <c r="O34" s="268">
        <f>IFERROR(O30/O19,"")</f>
        <v>0.209054163298302</v>
      </c>
      <c r="P34" s="268">
        <f>IFERROR(P30/P19,"")</f>
        <v>0.231259968102073</v>
      </c>
      <c r="Q34" s="268">
        <f>IFERROR(Q30/Q19,"")</f>
        <v>0.227795587403357</v>
      </c>
      <c r="R34" s="269">
        <f>IFERROR(R30/R19,"")</f>
        <v>0.219034231850504</v>
      </c>
      <c r="S34" s="268">
        <f>IFERROR(S30/S19,"")</f>
        <v>0.274266936299292</v>
      </c>
      <c r="T34" s="268">
        <f>IFERROR(T30/T19,"")</f>
        <v>0.255593803786575</v>
      </c>
      <c r="U34" s="268">
        <f>IFERROR(U30/U19,"")</f>
        <v>0.258482331409264</v>
      </c>
      <c r="V34" s="268">
        <f>IFERROR(V30/V19,"")</f>
        <v>0.207217925837795</v>
      </c>
      <c r="W34" s="269">
        <f>IFERROR(W30/W19,"")</f>
        <v>0.252793192748798</v>
      </c>
      <c r="X34" s="268">
        <f>IFERROR(X30/X19,"")</f>
        <v>0.247042970504567</v>
      </c>
      <c r="Y34" s="268">
        <f>IFERROR(Y30/Y19,"")</f>
        <v>0.221671117893934</v>
      </c>
      <c r="Z34" s="268">
        <f>IFERROR(Z30/Z19,"")</f>
        <v>0.148777173913044</v>
      </c>
      <c r="AA34" s="268">
        <f>IFERROR(AA30/AA19,"")</f>
        <v>0.10598933835058</v>
      </c>
      <c r="AB34" s="269">
        <f>IFERROR(AB30/AB19,"")</f>
        <v>0.194970808153232</v>
      </c>
      <c r="AC34" s="268">
        <f>IFERROR(AC30/AC19,"")</f>
        <v>0.215223097112861</v>
      </c>
      <c r="AD34" s="268">
        <f>IFERROR(AD30/AD19,"")</f>
        <v>0.132450331125828</v>
      </c>
      <c r="AE34" s="268">
        <f>IFERROR(AE30/AE19,"")</f>
        <v>0.124767993400701</v>
      </c>
      <c r="AF34" s="268">
        <f>IFERROR(AF30/AF19,"")</f>
        <v>0.0423006695069994</v>
      </c>
      <c r="AG34" s="269">
        <f>IFERROR(AG30/AG19,"")</f>
        <v>0.138502913491708</v>
      </c>
      <c r="AH34" s="269">
        <f>IFERROR(AH30/AH19,"")</f>
        <v>0.153078924544666</v>
      </c>
      <c r="AI34" s="269">
        <f>IFERROR(AI30/AI19,"")</f>
        <v>0.128380024360536</v>
      </c>
    </row>
    <row r="35">
      <c r="C35" s="14" t="inlineStr">
        <is>
          <t xml:space="preserve">   Margem Small Agriculture &amp; Turf</t>
        </is>
      </c>
      <c r="D35" s="268">
        <f>IFERROR(D31/D20,"")</f>
        <v>0.0858010630220197</v>
      </c>
      <c r="E35" s="268">
        <f>IFERROR(E31/E20,"")</f>
        <v>0.139313766019016</v>
      </c>
      <c r="F35" s="268">
        <f>IFERROR(F31/F20,"")</f>
        <v>0.115811088295688</v>
      </c>
      <c r="G35" s="268">
        <f>IFERROR(G31/G20,"")</f>
        <v>0.183849470795766</v>
      </c>
      <c r="H35" s="269">
        <f>IFERROR(H31/H20,"")</f>
        <v>0.130889530829764</v>
      </c>
      <c r="I35" s="268">
        <f>IFERROR(I31/I20,"")</f>
        <v>0.189086664721331</v>
      </c>
      <c r="J35" s="268">
        <f>IFERROR(J31/J20,"")</f>
        <v>0.181506849315069</v>
      </c>
      <c r="K35" s="268">
        <f>IFERROR(K31/K20,"")</f>
        <v>0.121106055302765</v>
      </c>
      <c r="L35" s="268">
        <f>IFERROR(L31/L20,"")</f>
        <v>0.138743455497382</v>
      </c>
      <c r="M35" s="269">
        <f>IFERROR(M31/M20,"")</f>
        <v>0.160065735414955</v>
      </c>
      <c r="N35" s="268">
        <f>IFERROR(N31/N20,"")</f>
        <v>0.14420410427066</v>
      </c>
      <c r="O35" s="268">
        <f>IFERROR(O31/O20,"")</f>
        <v>0.149552966675698</v>
      </c>
      <c r="P35" s="268">
        <f>IFERROR(P31/P20,"")</f>
        <v>0.140633685380767</v>
      </c>
      <c r="Q35" s="268">
        <f>IFERROR(Q31/Q20,"")</f>
        <v>0.146365422396857</v>
      </c>
      <c r="R35" s="269">
        <f>IFERROR(R31/R20,"")</f>
        <v>0.145171696895835</v>
      </c>
      <c r="S35" s="268">
        <f>IFERROR(S31/S20,"")</f>
        <v>0.202142857142857</v>
      </c>
      <c r="T35" s="268">
        <f>IFERROR(T31/T20,"")</f>
        <v>0.192327903310562</v>
      </c>
      <c r="U35" s="268">
        <f>IFERROR(U31/U20,"")</f>
        <v>0.140328697850822</v>
      </c>
      <c r="V35" s="268">
        <f>IFERROR(V31/V20,"")</f>
        <v>0.130818619582665</v>
      </c>
      <c r="W35" s="269">
        <f>IFERROR(W31/W20,"")</f>
        <v>0.17208315034402</v>
      </c>
      <c r="X35" s="268">
        <f>IFERROR(X31/X20,"")</f>
        <v>0.175530279741777</v>
      </c>
      <c r="Y35" s="268">
        <f>IFERROR(Y31/Y20,"")</f>
        <v>0.158567774936061</v>
      </c>
      <c r="Z35" s="268">
        <f>IFERROR(Z31/Z20,"")</f>
        <v>0.0999146029035013</v>
      </c>
      <c r="AA35" s="268">
        <f>IFERROR(AA31/AA20,"")</f>
        <v>0.0690807799442897</v>
      </c>
      <c r="AB35" s="269">
        <f>IFERROR(AB31/AB20,"")</f>
        <v>0.135482030804335</v>
      </c>
      <c r="AC35" s="268">
        <f>IFERROR(AC31/AC20,"")</f>
        <v>0.188567674113009</v>
      </c>
      <c r="AD35" s="268">
        <f>IFERROR(AD31/AD20,"")</f>
        <v>0.157365347177158</v>
      </c>
      <c r="AE35" s="268">
        <f>IFERROR(AE31/AE20,"")</f>
        <v>0.00995619275189168</v>
      </c>
      <c r="AF35" s="268">
        <f>IFERROR(AF31/AF20,"")</f>
        <v>0.0881691408007198</v>
      </c>
      <c r="AG35" s="269">
        <f>IFERROR(AG31/AG20,"")</f>
        <v>0.117863720073665</v>
      </c>
      <c r="AH35" s="269">
        <f>IFERROR(AH31/AH20,"")</f>
        <v>0.203107344632768</v>
      </c>
      <c r="AI35" s="269">
        <f>IFERROR(AI31/AI20,"")</f>
        <v>0.18055152394775</v>
      </c>
    </row>
    <row r="36">
      <c r="C36" s="14" t="inlineStr">
        <is>
          <t xml:space="preserve">   Margem Construction &amp; Forestry</t>
        </is>
      </c>
      <c r="D36" s="268">
        <f>IFERROR(D32/D21,"")</f>
        <v>0.0415045395590143</v>
      </c>
      <c r="E36" s="268">
        <f>IFERROR(E32/E21,"")</f>
        <v>0.0915996425379803</v>
      </c>
      <c r="F36" s="268">
        <f>IFERROR(F32/F21,"")</f>
        <v>0.0776237623762376</v>
      </c>
      <c r="G36" s="268">
        <f>IFERROR(G32/G21,"")</f>
        <v>0.105928853754941</v>
      </c>
      <c r="H36" s="269">
        <f>IFERROR(H32/H21,"")</f>
        <v>0.0796377264209869</v>
      </c>
      <c r="I36" s="268">
        <f>IFERROR(I32/I21,"")</f>
        <v>0.155881415364998</v>
      </c>
      <c r="J36" s="268">
        <f>IFERROR(J32/J21,"")</f>
        <v>0.150569105691057</v>
      </c>
      <c r="K36" s="268">
        <f>IFERROR(K32/K21,"")</f>
        <v>0.0936955764541971</v>
      </c>
      <c r="L36" s="268">
        <f>IFERROR(L32/L21,"")</f>
        <v>0.104938271604938</v>
      </c>
      <c r="M36" s="269">
        <f>IFERROR(M32/M21,"")</f>
        <v>0.127880085653105</v>
      </c>
      <c r="N36" s="268">
        <f>IFERROR(N32/N21,"")</f>
        <v>0.218582169709989</v>
      </c>
      <c r="O36" s="268">
        <f>IFERROR(O32/O21,"")</f>
        <v>0.154679506470057</v>
      </c>
      <c r="P36" s="268">
        <f>IFERROR(P32/P21,"")</f>
        <v>0.121132516053707</v>
      </c>
      <c r="Q36" s="268">
        <f>IFERROR(Q32/Q21,"")</f>
        <v>0.192012288786482</v>
      </c>
      <c r="R36" s="269">
        <f>IFERROR(R32/R21,"")</f>
        <v>0.172494172494172</v>
      </c>
      <c r="S36" s="268">
        <f>IFERROR(S32/S21,"")</f>
        <v>0.2010556621881</v>
      </c>
      <c r="T36" s="268">
        <f>IFERROR(T32/T21,"")</f>
        <v>0.18866930171278</v>
      </c>
      <c r="U36" s="268">
        <f>IFERROR(U32/U21,"")</f>
        <v>0.136942675159236</v>
      </c>
      <c r="V36" s="268">
        <f>IFERROR(V32/V21,"")</f>
        <v>0.172877214416616</v>
      </c>
      <c r="W36" s="269">
        <f>IFERROR(W32/W21,"")</f>
        <v>0.175674775074975</v>
      </c>
      <c r="X36" s="268">
        <f>IFERROR(X32/X21,"")</f>
        <v>0.17093142272262</v>
      </c>
      <c r="Y36" s="268">
        <f>IFERROR(Y32/Y21,"")</f>
        <v>0.136046158518069</v>
      </c>
      <c r="Z36" s="268">
        <f>IFERROR(Z32/Z21,"")</f>
        <v>0.11978021978022</v>
      </c>
      <c r="AA36" s="268">
        <f>IFERROR(AA32/AA21,"")</f>
        <v>0.0318159569260891</v>
      </c>
      <c r="AB36" s="269">
        <f>IFERROR(AB32/AB21,"")</f>
        <v>0.125939535660598</v>
      </c>
      <c r="AC36" s="268">
        <f>IFERROR(AC32/AC21,"")</f>
        <v>0.126502002670227</v>
      </c>
      <c r="AD36" s="268">
        <f>IFERROR(AD32/AD21,"")</f>
        <v>0.0761568123393316</v>
      </c>
      <c r="AE36" s="268">
        <f>IFERROR(AE32/AE21,"")</f>
        <v>0.0993699885452463</v>
      </c>
      <c r="AF36" s="268">
        <f>IFERROR(AF32/AF21,"")</f>
        <v>0.0501647748077627</v>
      </c>
      <c r="AG36" s="269">
        <f>IFERROR(AG32/AG21,"")</f>
        <v>0.0892060660124888</v>
      </c>
      <c r="AH36" s="269">
        <f>IFERROR(AH32/AH21,"")</f>
        <v>0.145563051375195</v>
      </c>
      <c r="AI36" s="269">
        <f>IFERROR(AI32/AI21,"")</f>
        <v>0.118413905486149</v>
      </c>
    </row>
    <row r="37">
      <c r="C37" s="14" t="inlineStr">
        <is>
          <t xml:space="preserve">   Margem Financial Services</t>
        </is>
      </c>
      <c r="D37" s="268">
        <f>IFERROR(D33/D22,"")</f>
        <v>0.0857142857142857</v>
      </c>
      <c r="E37" s="268">
        <f>IFERROR(E33/E22,"")</f>
        <v>0.272421524663677</v>
      </c>
      <c r="F37" s="268">
        <f>IFERROR(F33/F22,"")</f>
        <v>0.278651685393258</v>
      </c>
      <c r="G37" s="268">
        <f>IFERROR(G33/G22,"")</f>
        <v>0.29185520361991</v>
      </c>
      <c r="H37" s="269">
        <f>IFERROR(H33/H22,"")</f>
        <v>0.23270262637673</v>
      </c>
      <c r="I37" s="268">
        <f>IFERROR(I33/I22,"")</f>
        <v>0.330717488789238</v>
      </c>
      <c r="J37" s="268">
        <f>IFERROR(J33/J22,"")</f>
        <v>0.322616407982262</v>
      </c>
      <c r="K37" s="268">
        <f>IFERROR(K33/K22,"")</f>
        <v>0.345224395857307</v>
      </c>
      <c r="L37" s="268">
        <f>IFERROR(L33/L22,"")</f>
        <v>0.340229885057471</v>
      </c>
      <c r="M37" s="269">
        <f>IFERROR(M33/M22,"")</f>
        <v>0.334559864138126</v>
      </c>
      <c r="N37" s="268">
        <f>IFERROR(N33/N22,"")</f>
        <v>0.322916666666667</v>
      </c>
      <c r="O37" s="268">
        <f>IFERROR(O33/O22,"")</f>
        <v>0.317829457364341</v>
      </c>
      <c r="P37" s="268">
        <f>IFERROR(P33/P22,"")</f>
        <v>0.298582995951417</v>
      </c>
      <c r="Q37" s="268">
        <f>IFERROR(Q33/Q22,"")</f>
        <v>0.228846153846154</v>
      </c>
      <c r="R37" s="269">
        <f>IFERROR(R33/R22,"")</f>
        <v>0.289591567852437</v>
      </c>
      <c r="S37" s="268">
        <f>IFERROR(S33/S22,"")</f>
        <v>0.037037037037037</v>
      </c>
      <c r="T37" s="268">
        <f>IFERROR(T33/T22,"")</f>
        <v>0.232899022801303</v>
      </c>
      <c r="U37" s="268">
        <f>IFERROR(U33/U22,"")</f>
        <v>0.170876671619614</v>
      </c>
      <c r="V37" s="268">
        <f>IFERROR(V33/V22,"")</f>
        <v>0.186773255813954</v>
      </c>
      <c r="W37" s="269">
        <f>IFERROR(W33/W22,"")</f>
        <v>0.160964999011272</v>
      </c>
      <c r="X37" s="268">
        <f>IFERROR(X33/X22,"")</f>
        <v>0.149820788530466</v>
      </c>
      <c r="Y37" s="268">
        <f>IFERROR(Y33/Y22,"")</f>
        <v>0.128274009402283</v>
      </c>
      <c r="Z37" s="268">
        <f>IFERROR(Z33/Z22,"")</f>
        <v>0.152330925804334</v>
      </c>
      <c r="AA37" s="268">
        <f>IFERROR(AA33/AA22,"")</f>
        <v>0.169103623649078</v>
      </c>
      <c r="AB37" s="269">
        <f>IFERROR(AB33/AB22,"")</f>
        <v>0.150167224080268</v>
      </c>
      <c r="AC37" s="268">
        <f>IFERROR(AC33/AC22,"")</f>
        <v>0.137908061292472</v>
      </c>
      <c r="AD37" s="268">
        <f>IFERROR(AD33/AD22,"")</f>
        <v>0.172279792746114</v>
      </c>
      <c r="AE37" s="268">
        <f>IFERROR(AE33/AE22,"")</f>
        <v>0.223818073010174</v>
      </c>
      <c r="AF37" s="268">
        <f>IFERROR(AF33/AF22,"")</f>
        <v>0.202284946236559</v>
      </c>
      <c r="AG37" s="269">
        <f>IFERROR(AG33/AG22,"")</f>
        <v>0.185041908446164</v>
      </c>
      <c r="AH37" s="269">
        <f>IFERROR(AH33/AH22,"")</f>
        <v>0.166335321404904</v>
      </c>
      <c r="AI37" s="269">
        <f>IFERROR(AI33/AI22,"")</f>
        <v>0.180066445182724</v>
      </c>
    </row>
    <row r="38"/>
    <row r="39" hidden="1" outlineLevel="1" customFormat="1" s="23">
      <c r="A39" s="18" t="n"/>
      <c r="B39" s="19" t="n"/>
      <c r="C39" s="20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</row>
    <row r="40" hidden="1" outlineLevel="1" customFormat="1" s="23">
      <c r="A40" s="18" t="n"/>
      <c r="B40" s="19" t="n"/>
      <c r="C40" s="20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</row>
    <row r="41" collapsed="1">
      <c r="C41" s="24" t="inlineStr">
        <is>
          <t>COGS (cash)</t>
        </is>
      </c>
      <c r="D41" s="25">
        <f>INDEX('Inputs (2)'!$D$5:$AL$5,MATCH(D$7,'Inputs (2)'!$D$2:$AL$2,0))</f>
        <v>0</v>
      </c>
      <c r="E41" s="25">
        <f>INDEX('Inputs (2)'!$D$5:$AL$5,MATCH(E$7,'Inputs (2)'!$D$2:$AL$2,0))</f>
        <v>0</v>
      </c>
      <c r="F41" s="25">
        <f>INDEX('Inputs (2)'!$D$5:$AL$5,MATCH(F$7,'Inputs (2)'!$D$2:$AL$2,0))</f>
        <v>0</v>
      </c>
      <c r="G41" s="25">
        <f>INDEX('Inputs (2)'!$D$5:$AL$5,MATCH(G$7,'Inputs (2)'!$D$2:$AL$2,0))</f>
        <v>0</v>
      </c>
      <c r="H41" s="3">
        <f>SUM(D41:G41)</f>
        <v>0</v>
      </c>
      <c r="I41" s="25">
        <f>INDEX('Inputs (2)'!$D$5:$AL$5,MATCH(I$7,'Inputs (2)'!$D$2:$AL$2,0))</f>
        <v>0</v>
      </c>
      <c r="J41" s="25">
        <f>INDEX('Inputs (2)'!$D$5:$AL$5,MATCH(J$7,'Inputs (2)'!$D$2:$AL$2,0))</f>
        <v>0</v>
      </c>
      <c r="K41" s="25">
        <f>INDEX('Inputs (2)'!$D$5:$AL$5,MATCH(K$7,'Inputs (2)'!$D$2:$AL$2,0))</f>
        <v>0</v>
      </c>
      <c r="L41" s="25">
        <f>INDEX('Inputs (2)'!$D$5:$AL$5,MATCH(L$7,'Inputs (2)'!$D$2:$AL$2,0))</f>
        <v>0</v>
      </c>
      <c r="M41" s="3">
        <f>SUM(I41:L41)</f>
        <v>0</v>
      </c>
      <c r="N41" s="25">
        <f>INDEX('Inputs (2)'!$D$5:$AL$5,MATCH(N$7,'Inputs (2)'!$D$2:$AL$2,0))</f>
        <v>0</v>
      </c>
      <c r="O41" s="25">
        <f>INDEX('Inputs (2)'!$D$5:$AL$5,MATCH(O$7,'Inputs (2)'!$D$2:$AL$2,0))</f>
        <v>0</v>
      </c>
      <c r="P41" s="25">
        <f>INDEX('Inputs (2)'!$D$5:$AL$5,MATCH(P$7,'Inputs (2)'!$D$2:$AL$2,0))</f>
        <v>0</v>
      </c>
      <c r="Q41" s="25">
        <f>INDEX('Inputs (2)'!$D$5:$AL$5,MATCH(Q$7,'Inputs (2)'!$D$2:$AL$2,0))</f>
        <v>0</v>
      </c>
      <c r="R41" s="3">
        <f>SUM(N41:Q41)</f>
        <v>0</v>
      </c>
      <c r="S41" s="25">
        <f>INDEX('Inputs (2)'!$D$5:$AL$5,MATCH(S$7,'Inputs (2)'!$D$2:$AL$2,0))</f>
        <v>0</v>
      </c>
      <c r="T41" s="25">
        <f>INDEX('Inputs (2)'!$D$5:$AL$5,MATCH(T$7,'Inputs (2)'!$D$2:$AL$2,0))</f>
        <v>0</v>
      </c>
      <c r="U41" s="25">
        <f>INDEX('Inputs (2)'!$D$5:$AL$5,MATCH(U$7,'Inputs (2)'!$D$2:$AL$2,0))</f>
        <v>0</v>
      </c>
      <c r="V41" s="25">
        <f>INDEX('Inputs (2)'!$D$5:$AL$5,MATCH(V$7,'Inputs (2)'!$D$2:$AL$2,0))</f>
        <v>0</v>
      </c>
      <c r="W41" s="3">
        <f>SUM(S41:V41)</f>
        <v>0</v>
      </c>
      <c r="X41" s="25">
        <f>INDEX('Inputs (2)'!$D$5:$AL$5,MATCH(X$7,'Inputs (2)'!$D$2:$AL$2,0))</f>
        <v>0</v>
      </c>
      <c r="Y41" s="25">
        <f>INDEX('Inputs (2)'!$D$5:$AL$5,MATCH(Y$7,'Inputs (2)'!$D$2:$AL$2,0))</f>
        <v>0</v>
      </c>
      <c r="Z41" s="25">
        <f>INDEX('Inputs (2)'!$D$5:$AL$5,MATCH(Z$7,'Inputs (2)'!$D$2:$AL$2,0))</f>
        <v>0</v>
      </c>
      <c r="AA41" s="25">
        <f>INDEX('Inputs (2)'!$D$5:$AL$5,MATCH(AA$7,'Inputs (2)'!$D$2:$AL$2,0))</f>
        <v>0</v>
      </c>
      <c r="AB41" s="3">
        <f>SUM(X41:AA41)</f>
        <v>0</v>
      </c>
      <c r="AC41" s="25">
        <f>INDEX('Inputs (2)'!$D$5:$AL$5,MATCH(AC$7,'Inputs (2)'!$D$2:$AL$2,0))</f>
        <v>0</v>
      </c>
      <c r="AD41" s="25">
        <f>INDEX('Inputs (2)'!$D$5:$AL$5,MATCH(AD$7,'Inputs (2)'!$D$2:$AL$2,0))</f>
        <v>0</v>
      </c>
      <c r="AE41" s="25">
        <f>INDEX('Inputs (2)'!$D$5:$AL$5,MATCH(AE$7,'Inputs (2)'!$D$2:$AL$2,0))</f>
        <v>0</v>
      </c>
      <c r="AF41" s="25">
        <f>INDEX('Inputs (2)'!$D$5:$AL$5,MATCH(AF$7,'Inputs (2)'!$D$2:$AL$2,0))</f>
        <v>0</v>
      </c>
      <c r="AG41" s="3">
        <f>SUM(AC41:AF41)</f>
        <v>0</v>
      </c>
      <c r="AH41" s="3">
        <f>INDEX('Inputs (2)'!$D$5:$AL$5,MATCH(AH$7,'Inputs (2)'!$D$2:$AL$2,0))</f>
        <v>0</v>
      </c>
      <c r="AI41" s="3">
        <f>INDEX('Inputs (2)'!$D$5:$AL$5,MATCH(AI$7,'Inputs (2)'!$D$2:$AL$2,0))</f>
        <v>0</v>
      </c>
      <c r="AJ41" s="3">
        <f>(100%-AJ42)*-AJ15</f>
        <v>-12394</v>
      </c>
      <c r="AK41" s="3">
        <f>(100%-AK42)*-AK15</f>
        <v>-9611</v>
      </c>
      <c r="AL41" s="3">
        <f>SUM(AH41:AK41)</f>
        <v>-22005</v>
      </c>
      <c r="AM41" s="3">
        <f>(100%-AM42)*-AM15</f>
        <v>-13369</v>
      </c>
      <c r="AN41" s="3">
        <f>(100%-AN42)*-AN15</f>
        <v>-12608</v>
      </c>
      <c r="AO41" s="3">
        <f>(100%-AO42)*-AO15</f>
        <v>-12394</v>
      </c>
      <c r="AP41" s="3">
        <f>(100%-AP42)*-AP15</f>
        <v>-9611</v>
      </c>
      <c r="AQ41" s="3">
        <f>SUM(AM41:AP41)</f>
        <v>-47982</v>
      </c>
      <c r="AR41" s="3">
        <f>(100%-AR42)*-AR15</f>
        <v>-13369</v>
      </c>
      <c r="AS41" s="3">
        <f>(100%-AS42)*-AS15</f>
        <v>-12608</v>
      </c>
      <c r="AT41" s="3">
        <f>(100%-AT42)*-AT15</f>
        <v>-12394</v>
      </c>
      <c r="AU41" s="3">
        <f>(100%-AU42)*-AU15</f>
        <v>-9611</v>
      </c>
      <c r="AV41" s="3">
        <f>SUM(AR41:AU41)</f>
        <v>-47982</v>
      </c>
      <c r="AW41" s="3">
        <f>(100%-AW42)*-AW15</f>
        <v>-13369</v>
      </c>
      <c r="AX41" s="3">
        <f>(100%-AX42)*-AX15</f>
        <v>-12608</v>
      </c>
      <c r="AY41" s="3">
        <f>(100%-AY42)*-AY15</f>
        <v>-12394</v>
      </c>
      <c r="AZ41" s="3">
        <f>(100%-AZ42)*-AZ15</f>
        <v>-9611</v>
      </c>
      <c r="BA41" s="3">
        <f>SUM(AW41:AZ41)</f>
        <v>-47982</v>
      </c>
      <c r="BB41" s="3">
        <f>(100%-BB42)*-BB15</f>
        <v>-13369</v>
      </c>
      <c r="BC41" s="3">
        <f>(100%-BC42)*-BC15</f>
        <v>-12608</v>
      </c>
      <c r="BD41" s="3">
        <f>(100%-BD42)*-BD15</f>
        <v>-12394</v>
      </c>
      <c r="BE41" s="3">
        <f>(100%-BE42)*-BE15</f>
        <v>-9611</v>
      </c>
      <c r="BF41" s="3">
        <f>SUM(BB41:BE41)</f>
        <v>-47982</v>
      </c>
      <c r="BG41" s="3">
        <f>(100%-BG42)*-BG15</f>
        <v>-13369</v>
      </c>
      <c r="BH41" s="3">
        <f>(100%-BH42)*-BH15</f>
        <v>-12608</v>
      </c>
      <c r="BI41" s="3">
        <f>(100%-BI42)*-BI15</f>
        <v>-12394</v>
      </c>
      <c r="BJ41" s="3">
        <f>(100%-BJ42)*-BJ15</f>
        <v>-9611</v>
      </c>
      <c r="BK41" s="3">
        <f>SUM(BG41:BJ41)</f>
        <v>-47982</v>
      </c>
      <c r="BL41" s="3">
        <f>(100%-BL42)*-BL15</f>
        <v>-13369</v>
      </c>
      <c r="BM41" s="3">
        <f>(100%-BM42)*-BM15</f>
        <v>-12608</v>
      </c>
      <c r="BN41" s="3">
        <f>(100%-BN42)*-BN15</f>
        <v>-12394</v>
      </c>
      <c r="BO41" s="3">
        <f>(100%-BO42)*-BO15</f>
        <v>-9611</v>
      </c>
      <c r="BP41" s="3">
        <f>SUM(BL41:BO41)</f>
        <v>-47982</v>
      </c>
      <c r="BQ41" s="3">
        <f>(100%-BQ42)*-BQ15</f>
        <v>-13369</v>
      </c>
      <c r="BR41" s="3">
        <f>(100%-BR42)*-BR15</f>
        <v>-12608</v>
      </c>
      <c r="BS41" s="3">
        <f>(100%-BS42)*-BS15</f>
        <v>-12394</v>
      </c>
      <c r="BT41" s="3">
        <f>(100%-BT42)*-BT15</f>
        <v>-9611</v>
      </c>
      <c r="BU41" s="3">
        <f>SUM(BQ41:BT41)</f>
        <v>-47982</v>
      </c>
      <c r="BV41" s="3">
        <f>(100%-BV42)*-BV15</f>
        <v>-13369</v>
      </c>
      <c r="BW41" s="3">
        <f>(100%-BW42)*-BW15</f>
        <v>-12608</v>
      </c>
      <c r="BX41" s="3">
        <f>(100%-BX42)*-BX15</f>
        <v>-12394</v>
      </c>
      <c r="BY41" s="3">
        <f>(100%-BY42)*-BY15</f>
        <v>-9611</v>
      </c>
      <c r="BZ41" s="3">
        <f>SUM(BV41:BY41)</f>
        <v>-47982</v>
      </c>
      <c r="CA41" s="3">
        <f>(100%-CA42)*-CA15</f>
        <v>-13369</v>
      </c>
      <c r="CB41" s="3">
        <f>(100%-CB42)*-CB15</f>
        <v>-12608</v>
      </c>
      <c r="CC41" s="3">
        <f>(100%-CC42)*-CC15</f>
        <v>-12394</v>
      </c>
      <c r="CD41" s="3">
        <f>(100%-CD42)*-CD15</f>
        <v>-9611</v>
      </c>
      <c r="CE41" s="3">
        <f>SUM(CA41:CD41)</f>
        <v>-47982</v>
      </c>
      <c r="CF41" s="3">
        <f>(100%-CF42)*-CF15</f>
        <v>-13369</v>
      </c>
      <c r="CG41" s="3">
        <f>(100%-CG42)*-CG15</f>
        <v>-12608</v>
      </c>
      <c r="CH41" s="3">
        <f>(100%-CH42)*-CH15</f>
        <v>-12394</v>
      </c>
      <c r="CI41" s="3">
        <f>(100%-CI42)*-CI15</f>
        <v>-9611</v>
      </c>
      <c r="CJ41" s="3">
        <f>SUM(CF41:CI41)</f>
        <v>-47982</v>
      </c>
      <c r="CK41" s="3">
        <f>(100%-CK42)*-CK15</f>
        <v>-13369</v>
      </c>
      <c r="CL41" s="3">
        <f>(100%-CL42)*-CL15</f>
        <v>-12608</v>
      </c>
      <c r="CM41" s="3">
        <f>(100%-CM42)*-CM15</f>
        <v>-12394</v>
      </c>
      <c r="CN41" s="3">
        <f>(100%-CN42)*-CN15</f>
        <v>-9611</v>
      </c>
      <c r="CO41" s="3">
        <f>SUM(CK41:CN41)</f>
        <v>-47982</v>
      </c>
      <c r="CP41" s="3">
        <f>(100%-CP42)*-CP15</f>
        <v>-13369</v>
      </c>
      <c r="CQ41" s="3">
        <f>(100%-CQ42)*-CQ15</f>
        <v>-12608</v>
      </c>
      <c r="CR41" s="3">
        <f>(100%-CR42)*-CR15</f>
        <v>-12394</v>
      </c>
      <c r="CS41" s="3">
        <f>(100%-CS42)*-CS15</f>
        <v>-9611</v>
      </c>
      <c r="CT41" s="3">
        <f>SUM(CP41:CS41)</f>
        <v>-47982</v>
      </c>
      <c r="CU41" s="3">
        <f>(100%-CU42)*-CU15</f>
        <v>-13369</v>
      </c>
      <c r="CV41" s="3">
        <f>(100%-CV42)*-CV15</f>
        <v>-12608</v>
      </c>
      <c r="CW41" s="3">
        <f>(100%-CW42)*-CW15</f>
        <v>-12394</v>
      </c>
      <c r="CX41" s="3">
        <f>(100%-CX42)*-CX15</f>
        <v>-9611</v>
      </c>
      <c r="CY41" s="3">
        <f>SUM(CU41:CX41)</f>
        <v>-47982</v>
      </c>
    </row>
    <row r="42" hidden="1" outlineLevel="1" customFormat="1" s="1">
      <c r="C42" s="57" t="inlineStr">
        <is>
          <t>% Gross Margin</t>
        </is>
      </c>
      <c r="D42" s="54">
        <f>(D15+D41)/D$15</f>
        <v>1</v>
      </c>
      <c r="E42" s="54">
        <f>(E15+E41)/E$15</f>
        <v>1</v>
      </c>
      <c r="F42" s="54">
        <f>(F15+F41)/F$15</f>
        <v>1</v>
      </c>
      <c r="G42" s="54">
        <f>(G15+G41)/G$15</f>
        <v>1</v>
      </c>
      <c r="H42" s="54">
        <f>(H15+H41)/H$15</f>
        <v>1</v>
      </c>
      <c r="I42" s="54">
        <f>(I15+I41)/I$15</f>
        <v>1</v>
      </c>
      <c r="J42" s="54">
        <f>(J15+J41)/J$15</f>
        <v>1</v>
      </c>
      <c r="K42" s="54">
        <f>(K15+K41)/K$15</f>
        <v>1</v>
      </c>
      <c r="L42" s="54">
        <f>(L15+L41)/L$15</f>
        <v>1</v>
      </c>
      <c r="M42" s="54">
        <f>(M15+M41)/M$15</f>
        <v>1</v>
      </c>
      <c r="N42" s="54">
        <f>(N15+N41)/N$15</f>
        <v>1</v>
      </c>
      <c r="O42" s="54">
        <f>(O15+O41)/O$15</f>
        <v>1</v>
      </c>
      <c r="P42" s="54">
        <f>(P15+P41)/P$15</f>
        <v>1</v>
      </c>
      <c r="Q42" s="54">
        <f>(Q15+Q41)/Q$15</f>
        <v>1</v>
      </c>
      <c r="R42" s="54">
        <f>(R15+R41)/R$15</f>
        <v>1</v>
      </c>
      <c r="S42" s="54">
        <f>(S15+S41)/S$15</f>
        <v>1</v>
      </c>
      <c r="T42" s="54">
        <f>(T15+T41)/T$15</f>
        <v>1</v>
      </c>
      <c r="U42" s="54">
        <f>(U15+U41)/U$15</f>
        <v>1</v>
      </c>
      <c r="V42" s="54">
        <f>(V15+V41)/V$15</f>
        <v>1</v>
      </c>
      <c r="W42" s="54">
        <f>(W15+W41)/W$15</f>
        <v>1</v>
      </c>
      <c r="X42" s="54">
        <f>(X15+X41)/X$15</f>
        <v>1</v>
      </c>
      <c r="Y42" s="54">
        <f>(Y15+Y41)/Y$15</f>
        <v>1</v>
      </c>
      <c r="Z42" s="54">
        <f>(Z15+Z41)/Z$15</f>
        <v>1</v>
      </c>
      <c r="AA42" s="54">
        <f>(AA15+AA41)/AA$15</f>
        <v>1</v>
      </c>
      <c r="AB42" s="54">
        <f>(AB15+AB41)/AB$15</f>
        <v>1</v>
      </c>
      <c r="AC42" s="54">
        <f>(AC15+AC41)/AC$15</f>
        <v>1</v>
      </c>
      <c r="AD42" s="54">
        <f>(AD15+AD41)/AD$15</f>
        <v>1</v>
      </c>
      <c r="AE42" s="54">
        <f>(AE15+AE41)/AE$15</f>
        <v>1</v>
      </c>
      <c r="AF42" s="44">
        <f>(AF15+AF41)/AF$15</f>
        <v>1</v>
      </c>
      <c r="AG42" s="54">
        <f>(AG15+AG41)/AG$15</f>
        <v>1</v>
      </c>
      <c r="AH42" s="55">
        <f>(AH15+AH41)/AH$15</f>
        <v>1</v>
      </c>
      <c r="AI42" s="55">
        <f>(AI15+AI41)/AI$15</f>
        <v>1</v>
      </c>
      <c r="AJ42" s="55" t="n"/>
      <c r="AK42" s="55" t="n"/>
      <c r="AL42" s="54">
        <f>(AL15+AL41)/AL$15</f>
        <v>0.541390521445542</v>
      </c>
      <c r="AM42" s="55" t="n"/>
      <c r="AN42" s="55" t="n"/>
      <c r="AO42" s="55" t="n"/>
      <c r="AP42" s="55" t="n"/>
      <c r="AQ42" s="54">
        <f>(AQ15+AQ41)/AQ$15</f>
        <v>0</v>
      </c>
      <c r="AR42" s="55" t="n"/>
      <c r="AS42" s="55" t="n"/>
      <c r="AT42" s="55" t="n"/>
      <c r="AU42" s="55" t="n"/>
      <c r="AV42" s="54">
        <f>(AV15+AV41)/AV$15</f>
        <v>0</v>
      </c>
      <c r="AW42" s="55" t="n"/>
      <c r="AX42" s="55" t="n"/>
      <c r="AY42" s="55" t="n"/>
      <c r="AZ42" s="55" t="n"/>
      <c r="BA42" s="54">
        <f>(BA15+BA41)/BA$15</f>
        <v>0</v>
      </c>
      <c r="BB42" s="55" t="n"/>
      <c r="BC42" s="55" t="n"/>
      <c r="BD42" s="55" t="n"/>
      <c r="BE42" s="55" t="n"/>
      <c r="BF42" s="54">
        <f>(BF15+BF41)/BF$15</f>
        <v>0</v>
      </c>
      <c r="BG42" s="55" t="n"/>
      <c r="BH42" s="55" t="n"/>
      <c r="BI42" s="55" t="n"/>
      <c r="BJ42" s="55" t="n"/>
      <c r="BK42" s="54">
        <f>(BK15+BK41)/BK$15</f>
        <v>0</v>
      </c>
      <c r="BL42" s="55" t="n"/>
      <c r="BM42" s="55" t="n"/>
      <c r="BN42" s="55" t="n"/>
      <c r="BO42" s="55" t="n"/>
      <c r="BP42" s="54">
        <f>(BP15+BP41)/BP$15</f>
        <v>0</v>
      </c>
      <c r="BQ42" s="55" t="n"/>
      <c r="BR42" s="55" t="n"/>
      <c r="BS42" s="55" t="n"/>
      <c r="BT42" s="55" t="n"/>
      <c r="BU42" s="54">
        <f>(BU15+BU41)/BU$15</f>
        <v>0</v>
      </c>
      <c r="BV42" s="55" t="n"/>
      <c r="BW42" s="55" t="n"/>
      <c r="BX42" s="55" t="n"/>
      <c r="BY42" s="55" t="n"/>
      <c r="BZ42" s="54">
        <f>(BZ15+BZ41)/BZ$15</f>
        <v>0</v>
      </c>
      <c r="CA42" s="55" t="n"/>
      <c r="CB42" s="55" t="n"/>
      <c r="CC42" s="55" t="n"/>
      <c r="CD42" s="55" t="n"/>
      <c r="CE42" s="54">
        <f>(CE15+CE41)/CE$15</f>
        <v>0</v>
      </c>
      <c r="CF42" s="55" t="n"/>
      <c r="CG42" s="55" t="n"/>
      <c r="CH42" s="55" t="n"/>
      <c r="CI42" s="55" t="n"/>
      <c r="CJ42" s="54">
        <f>(CJ15+CJ41)/CJ$15</f>
        <v>0</v>
      </c>
      <c r="CK42" s="55" t="n"/>
      <c r="CL42" s="55" t="n"/>
      <c r="CM42" s="55" t="n"/>
      <c r="CN42" s="55" t="n"/>
      <c r="CO42" s="54">
        <f>(CO15+CO41)/CO$15</f>
        <v>0</v>
      </c>
      <c r="CP42" s="55" t="n"/>
      <c r="CQ42" s="55" t="n"/>
      <c r="CR42" s="55" t="n"/>
      <c r="CS42" s="55" t="n"/>
      <c r="CT42" s="54">
        <f>(CT15+CT41)/CT$15</f>
        <v>0</v>
      </c>
      <c r="CU42" s="55" t="n"/>
      <c r="CV42" s="55" t="n"/>
      <c r="CW42" s="55" t="n"/>
      <c r="CX42" s="55" t="n"/>
      <c r="CY42" s="54">
        <f>(CY15+CY41)/CY$15</f>
        <v>0</v>
      </c>
    </row>
    <row r="43" hidden="1" outlineLevel="1"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  <c r="CU43" s="32" t="n"/>
      <c r="CV43" s="32" t="n"/>
      <c r="CW43" s="32" t="n"/>
      <c r="CX43" s="32" t="n"/>
      <c r="CY43" s="32" t="n"/>
    </row>
    <row r="44" hidden="1" outlineLevel="1"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  <c r="AV44" s="32" t="n"/>
      <c r="AW44" s="32" t="n"/>
      <c r="AX44" s="3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  <c r="CO44" s="32" t="n"/>
      <c r="CP44" s="32" t="n"/>
      <c r="CQ44" s="32" t="n"/>
      <c r="CR44" s="32" t="n"/>
      <c r="CS44" s="32" t="n"/>
      <c r="CT44" s="32" t="n"/>
      <c r="CU44" s="32" t="n"/>
      <c r="CV44" s="32" t="n"/>
      <c r="CW44" s="32" t="n"/>
      <c r="CX44" s="32" t="n"/>
      <c r="CY44" s="32" t="n"/>
    </row>
    <row r="45" collapsed="1">
      <c r="C45" s="24" t="inlineStr">
        <is>
          <t>SG&amp;A and Other (cash)</t>
        </is>
      </c>
      <c r="D45" s="25">
        <f>INDEX('Inputs (2)'!$D$6:$AL$6,MATCH(D$7,'Inputs (2)'!$D$2:$AL$2,0))</f>
        <v>-7759</v>
      </c>
      <c r="E45" s="25">
        <f>INDEX('Inputs (2)'!$D$6:$AL$6,MATCH(E$7,'Inputs (2)'!$D$2:$AL$2,0))</f>
        <v>-6988</v>
      </c>
      <c r="F45" s="25">
        <f>INDEX('Inputs (2)'!$D$6:$AL$6,MATCH(F$7,'Inputs (2)'!$D$2:$AL$2,0))</f>
        <v>-7923</v>
      </c>
      <c r="G45" s="25">
        <f>INDEX('Inputs (2)'!$D$6:$AL$6,MATCH(G$7,'Inputs (2)'!$D$2:$AL$2,0))</f>
        <v>-6936</v>
      </c>
      <c r="H45" s="3">
        <f>SUM(D45:G45)</f>
        <v>-29606</v>
      </c>
      <c r="I45" s="25">
        <f>INDEX('Inputs (2)'!$D$6:$AL$6,MATCH(I$7,'Inputs (2)'!$D$2:$AL$2,0))</f>
        <v>-9103</v>
      </c>
      <c r="J45" s="25">
        <f>INDEX('Inputs (2)'!$D$6:$AL$6,MATCH(J$7,'Inputs (2)'!$D$2:$AL$2,0))</f>
        <v>-8769</v>
      </c>
      <c r="K45" s="25">
        <f>INDEX('Inputs (2)'!$D$6:$AL$6,MATCH(K$7,'Inputs (2)'!$D$2:$AL$2,0))</f>
        <v>-9154</v>
      </c>
      <c r="L45" s="25">
        <f>INDEX('Inputs (2)'!$D$6:$AL$6,MATCH(L$7,'Inputs (2)'!$D$2:$AL$2,0))</f>
        <v>-7848</v>
      </c>
      <c r="M45" s="3">
        <f>SUM(I45:L45)</f>
        <v>-34874</v>
      </c>
      <c r="N45" s="25">
        <f>INDEX('Inputs (2)'!$D$6:$AL$6,MATCH(N$7,'Inputs (2)'!$D$2:$AL$2,0))</f>
        <v>-10253</v>
      </c>
      <c r="O45" s="25">
        <f>INDEX('Inputs (2)'!$D$6:$AL$6,MATCH(O$7,'Inputs (2)'!$D$2:$AL$2,0))</f>
        <v>-10946</v>
      </c>
      <c r="P45" s="25">
        <f>INDEX('Inputs (2)'!$D$6:$AL$6,MATCH(P$7,'Inputs (2)'!$D$2:$AL$2,0))</f>
        <v>-12128</v>
      </c>
      <c r="Q45" s="25">
        <f>INDEX('Inputs (2)'!$D$6:$AL$6,MATCH(Q$7,'Inputs (2)'!$D$2:$AL$2,0))</f>
        <v>-9640</v>
      </c>
      <c r="R45" s="3">
        <f>SUM(N45:Q45)</f>
        <v>-42967</v>
      </c>
      <c r="S45" s="25">
        <f>INDEX('Inputs (2)'!$D$6:$AL$6,MATCH(S$7,'Inputs (2)'!$D$2:$AL$2,0))</f>
        <v>-12988</v>
      </c>
      <c r="T45" s="25">
        <f>INDEX('Inputs (2)'!$D$6:$AL$6,MATCH(T$7,'Inputs (2)'!$D$2:$AL$2,0))</f>
        <v>-11753</v>
      </c>
      <c r="U45" s="25">
        <f>INDEX('Inputs (2)'!$D$6:$AL$6,MATCH(U$7,'Inputs (2)'!$D$2:$AL$2,0))</f>
        <v>-11909</v>
      </c>
      <c r="V45" s="25">
        <f>INDEX('Inputs (2)'!$D$6:$AL$6,MATCH(V$7,'Inputs (2)'!$D$2:$AL$2,0))</f>
        <v>-11665</v>
      </c>
      <c r="W45" s="3">
        <f>SUM(S45:V45)</f>
        <v>-48315</v>
      </c>
      <c r="X45" s="25">
        <f>INDEX('Inputs (2)'!$D$6:$AL$6,MATCH(X$7,'Inputs (2)'!$D$2:$AL$2,0))</f>
        <v>-14710</v>
      </c>
      <c r="Y45" s="25">
        <f>INDEX('Inputs (2)'!$D$6:$AL$6,MATCH(Y$7,'Inputs (2)'!$D$2:$AL$2,0))</f>
        <v>-12599</v>
      </c>
      <c r="Z45" s="25">
        <f>INDEX('Inputs (2)'!$D$6:$AL$6,MATCH(Z$7,'Inputs (2)'!$D$2:$AL$2,0))</f>
        <v>-10624</v>
      </c>
      <c r="AA45" s="25">
        <f>INDEX('Inputs (2)'!$D$6:$AL$6,MATCH(AA$7,'Inputs (2)'!$D$2:$AL$2,0))</f>
        <v>-7959</v>
      </c>
      <c r="AB45" s="3">
        <f>SUM(X45:AA45)</f>
        <v>-45892</v>
      </c>
      <c r="AC45" s="25">
        <f>INDEX('Inputs (2)'!$D$6:$AL$6,MATCH(AC$7,'Inputs (2)'!$D$2:$AL$2,0))</f>
        <v>-12208</v>
      </c>
      <c r="AD45" s="25">
        <f>INDEX('Inputs (2)'!$D$6:$AL$6,MATCH(AD$7,'Inputs (2)'!$D$2:$AL$2,0))</f>
        <v>-11454</v>
      </c>
      <c r="AE45" s="25">
        <f>INDEX('Inputs (2)'!$D$6:$AL$6,MATCH(AE$7,'Inputs (2)'!$D$2:$AL$2,0))</f>
        <v>-11833</v>
      </c>
      <c r="AF45" s="25">
        <f>INDEX('Inputs (2)'!$D$6:$AL$6,MATCH(AF$7,'Inputs (2)'!$D$2:$AL$2,0))</f>
        <v>-9021</v>
      </c>
      <c r="AG45" s="3">
        <f>SUM(AC45:AF45)</f>
        <v>-44516</v>
      </c>
      <c r="AH45" s="3">
        <f>INDEX('Inputs (2)'!$D$6:$AL$6,MATCH(AH$7,'Inputs (2)'!$D$2:$AL$2,0))</f>
        <v>-12775</v>
      </c>
      <c r="AI45" s="3">
        <f>INDEX('Inputs (2)'!$D$6:$AL$6,MATCH(AI$7,'Inputs (2)'!$D$2:$AL$2,0))</f>
        <v>-12005</v>
      </c>
      <c r="AJ45" s="3">
        <f>-AJ15*AJ46</f>
        <v>0</v>
      </c>
      <c r="AK45" s="3">
        <f>-AK15*AK46</f>
        <v>0</v>
      </c>
      <c r="AL45" s="3">
        <f>SUM(AH45:AK45)</f>
        <v>-24780</v>
      </c>
      <c r="AM45" s="3">
        <f>-AM15*AM46</f>
        <v>0</v>
      </c>
      <c r="AN45" s="3">
        <f>-AN15*AN46</f>
        <v>0</v>
      </c>
      <c r="AO45" s="3">
        <f>-AO15*AO46</f>
        <v>0</v>
      </c>
      <c r="AP45" s="3">
        <f>-AP15*AP46</f>
        <v>0</v>
      </c>
      <c r="AQ45" s="3">
        <f>SUM(AM45:AP45)</f>
        <v>0</v>
      </c>
      <c r="AR45" s="3">
        <f>-AR15*AR46</f>
        <v>0</v>
      </c>
      <c r="AS45" s="3">
        <f>-AS15*AS46</f>
        <v>0</v>
      </c>
      <c r="AT45" s="3">
        <f>-AT15*AT46</f>
        <v>0</v>
      </c>
      <c r="AU45" s="3">
        <f>-AU15*AU46</f>
        <v>0</v>
      </c>
      <c r="AV45" s="3">
        <f>SUM(AR45:AU45)</f>
        <v>0</v>
      </c>
      <c r="AW45" s="3">
        <f>-AW15*AW46</f>
        <v>0</v>
      </c>
      <c r="AX45" s="3">
        <f>-AX15*AX46</f>
        <v>0</v>
      </c>
      <c r="AY45" s="3">
        <f>-AY15*AY46</f>
        <v>0</v>
      </c>
      <c r="AZ45" s="3">
        <f>-AZ15*AZ46</f>
        <v>0</v>
      </c>
      <c r="BA45" s="3">
        <f>SUM(AW45:AZ45)</f>
        <v>0</v>
      </c>
      <c r="BB45" s="3">
        <f>-BB15*BB46</f>
        <v>0</v>
      </c>
      <c r="BC45" s="3">
        <f>-BC15*BC46</f>
        <v>0</v>
      </c>
      <c r="BD45" s="3">
        <f>-BD15*BD46</f>
        <v>0</v>
      </c>
      <c r="BE45" s="3">
        <f>-BE15*BE46</f>
        <v>0</v>
      </c>
      <c r="BF45" s="3">
        <f>SUM(BB45:BE45)</f>
        <v>0</v>
      </c>
      <c r="BG45" s="3">
        <f>-BG15*BG46</f>
        <v>0</v>
      </c>
      <c r="BH45" s="3">
        <f>-BH15*BH46</f>
        <v>0</v>
      </c>
      <c r="BI45" s="3">
        <f>-BI15*BI46</f>
        <v>0</v>
      </c>
      <c r="BJ45" s="3">
        <f>-BJ15*BJ46</f>
        <v>0</v>
      </c>
      <c r="BK45" s="3">
        <f>SUM(BG45:BJ45)</f>
        <v>0</v>
      </c>
      <c r="BL45" s="3">
        <f>-BL15*BL46</f>
        <v>0</v>
      </c>
      <c r="BM45" s="3">
        <f>-BM15*BM46</f>
        <v>0</v>
      </c>
      <c r="BN45" s="3">
        <f>-BN15*BN46</f>
        <v>0</v>
      </c>
      <c r="BO45" s="3">
        <f>-BO15*BO46</f>
        <v>0</v>
      </c>
      <c r="BP45" s="3">
        <f>SUM(BL45:BO45)</f>
        <v>0</v>
      </c>
      <c r="BQ45" s="3">
        <f>-BQ15*BQ46</f>
        <v>0</v>
      </c>
      <c r="BR45" s="3">
        <f>-BR15*BR46</f>
        <v>0</v>
      </c>
      <c r="BS45" s="3">
        <f>-BS15*BS46</f>
        <v>0</v>
      </c>
      <c r="BT45" s="3">
        <f>-BT15*BT46</f>
        <v>0</v>
      </c>
      <c r="BU45" s="3">
        <f>SUM(BQ45:BT45)</f>
        <v>0</v>
      </c>
      <c r="BV45" s="3">
        <f>-BV15*BV46</f>
        <v>0</v>
      </c>
      <c r="BW45" s="3">
        <f>-BW15*BW46</f>
        <v>0</v>
      </c>
      <c r="BX45" s="3">
        <f>-BX15*BX46</f>
        <v>0</v>
      </c>
      <c r="BY45" s="3">
        <f>-BY15*BY46</f>
        <v>0</v>
      </c>
      <c r="BZ45" s="3">
        <f>SUM(BV45:BY45)</f>
        <v>0</v>
      </c>
      <c r="CA45" s="3">
        <f>-CA15*CA46</f>
        <v>0</v>
      </c>
      <c r="CB45" s="3">
        <f>-CB15*CB46</f>
        <v>0</v>
      </c>
      <c r="CC45" s="3">
        <f>-CC15*CC46</f>
        <v>0</v>
      </c>
      <c r="CD45" s="3">
        <f>-CD15*CD46</f>
        <v>0</v>
      </c>
      <c r="CE45" s="3">
        <f>SUM(CA45:CD45)</f>
        <v>0</v>
      </c>
      <c r="CF45" s="3">
        <f>-CF15*CF46</f>
        <v>0</v>
      </c>
      <c r="CG45" s="3">
        <f>-CG15*CG46</f>
        <v>0</v>
      </c>
      <c r="CH45" s="3">
        <f>-CH15*CH46</f>
        <v>0</v>
      </c>
      <c r="CI45" s="3">
        <f>-CI15*CI46</f>
        <v>0</v>
      </c>
      <c r="CJ45" s="3">
        <f>SUM(CF45:CI45)</f>
        <v>0</v>
      </c>
      <c r="CK45" s="3">
        <f>-CK15*CK46</f>
        <v>0</v>
      </c>
      <c r="CL45" s="3">
        <f>-CL15*CL46</f>
        <v>0</v>
      </c>
      <c r="CM45" s="3">
        <f>-CM15*CM46</f>
        <v>0</v>
      </c>
      <c r="CN45" s="3">
        <f>-CN15*CN46</f>
        <v>0</v>
      </c>
      <c r="CO45" s="3">
        <f>SUM(CK45:CN45)</f>
        <v>0</v>
      </c>
      <c r="CP45" s="3">
        <f>-CP15*CP46</f>
        <v>0</v>
      </c>
      <c r="CQ45" s="3">
        <f>-CQ15*CQ46</f>
        <v>0</v>
      </c>
      <c r="CR45" s="3">
        <f>-CR15*CR46</f>
        <v>0</v>
      </c>
      <c r="CS45" s="3">
        <f>-CS15*CS46</f>
        <v>0</v>
      </c>
      <c r="CT45" s="3">
        <f>SUM(CP45:CS45)</f>
        <v>0</v>
      </c>
      <c r="CU45" s="3">
        <f>-CU15*CU46</f>
        <v>0</v>
      </c>
      <c r="CV45" s="3">
        <f>-CV15*CV46</f>
        <v>0</v>
      </c>
      <c r="CW45" s="3">
        <f>-CW15*CW46</f>
        <v>0</v>
      </c>
      <c r="CX45" s="3">
        <f>-CX15*CX46</f>
        <v>0</v>
      </c>
      <c r="CY45" s="3">
        <f>SUM(CU45:CX45)</f>
        <v>0</v>
      </c>
    </row>
    <row r="46" hidden="1" outlineLevel="1">
      <c r="C46" s="33" t="inlineStr">
        <is>
          <t>% SG&amp;A and Other Margin</t>
        </is>
      </c>
      <c r="D46" s="56">
        <f>-(D45/D$15)</f>
        <v>0.838538852264131</v>
      </c>
      <c r="E46" s="56">
        <f>-(E45/E$15)</f>
        <v>0.78296918767507</v>
      </c>
      <c r="F46" s="56">
        <f>-(F45/F$15)</f>
        <v>0.814202034734354</v>
      </c>
      <c r="G46" s="56">
        <f>-(G45/G$15)</f>
        <v>0.761194029850746</v>
      </c>
      <c r="H46" s="56">
        <f>-(H45/H$15)</f>
        <v>0.799708273682505</v>
      </c>
      <c r="I46" s="56">
        <f>-(I45/I$15)</f>
        <v>0.754934483330569</v>
      </c>
      <c r="J46" s="56">
        <f>-(J45/J$15)</f>
        <v>0.760735664092999</v>
      </c>
      <c r="K46" s="56">
        <f>-(K45/K$15)</f>
        <v>0.808157499779288</v>
      </c>
      <c r="L46" s="56">
        <f>-(L45/L$15)</f>
        <v>0.820148395861637</v>
      </c>
      <c r="M46" s="56">
        <f>-(M45/M$15)</f>
        <v>0.784020143432027</v>
      </c>
      <c r="N46" s="56">
        <f>-(N45/N$15)</f>
        <v>0.766866118175019</v>
      </c>
      <c r="O46" s="56">
        <f>-(O45/O$15)</f>
        <v>0.776201957169196</v>
      </c>
      <c r="P46" s="56">
        <f>-(P45/P$15)</f>
        <v>0.780638516992791</v>
      </c>
      <c r="Q46" s="56">
        <f>-(Q45/Q$15)</f>
        <v>0.761934871957003</v>
      </c>
      <c r="R46" s="56">
        <f>-(R45/R$15)</f>
        <v>0.77195472511678</v>
      </c>
      <c r="S46" s="56">
        <f>-(S45/S$15)</f>
        <v>0.746994881233105</v>
      </c>
      <c r="T46" s="56">
        <f>-(T45/T$15)</f>
        <v>0.743813682678312</v>
      </c>
      <c r="U46" s="56">
        <f>-(U45/U$15)</f>
        <v>0.772709576953024</v>
      </c>
      <c r="V46" s="56">
        <f>-(V45/V$15)</f>
        <v>0.957324579400903</v>
      </c>
      <c r="W46" s="56">
        <f>-(W45/W$15)</f>
        <v>0.794850703298511</v>
      </c>
      <c r="X46" s="56">
        <f>-(X45/X$15)</f>
        <v>0.965539875287168</v>
      </c>
      <c r="Y46" s="56">
        <f>-(Y45/Y$15)</f>
        <v>0.957953163017032</v>
      </c>
      <c r="Z46" s="56">
        <f>-(Z45/Z$15)</f>
        <v>0.953338119167265</v>
      </c>
      <c r="AA46" s="56">
        <f>-(AA45/AA$15)</f>
        <v>0.935472496473907</v>
      </c>
      <c r="AB46" s="56">
        <f>-(AB45/AB$15)</f>
        <v>0.955307146276983</v>
      </c>
      <c r="AC46" s="56">
        <f>-(AC45/AC$15)</f>
        <v>0.956514925957847</v>
      </c>
      <c r="AD46" s="56">
        <f>-(AD45/AD$15)</f>
        <v>0.953070394408387</v>
      </c>
      <c r="AE46" s="56">
        <f>-(AE45/AE$15)</f>
        <v>0.954736162659351</v>
      </c>
      <c r="AF46" s="44">
        <f>-(AF45/AF$15)</f>
        <v>0.938612007075226</v>
      </c>
      <c r="AG46" s="56">
        <f>-(AG45/AG$15)</f>
        <v>0.951481212328474</v>
      </c>
      <c r="AH46" s="45">
        <f>-(AH45/AH$15)</f>
        <v>0.955568853317376</v>
      </c>
      <c r="AI46" s="45">
        <f>-(AI45/AI$15)</f>
        <v>0.952173223350254</v>
      </c>
      <c r="AJ46" s="45" t="n"/>
      <c r="AK46" s="45" t="n"/>
      <c r="AL46" s="56">
        <f>-(AL45/AL$15)</f>
        <v>0.516443666374891</v>
      </c>
      <c r="AM46" s="45" t="n"/>
      <c r="AN46" s="45" t="n"/>
      <c r="AO46" s="45" t="n"/>
      <c r="AP46" s="45" t="n"/>
      <c r="AQ46" s="56">
        <f>-(AQ45/AQ$15)</f>
        <v>0</v>
      </c>
      <c r="AR46" s="45" t="n"/>
      <c r="AS46" s="45" t="n"/>
      <c r="AT46" s="45" t="n"/>
      <c r="AU46" s="45" t="n"/>
      <c r="AV46" s="56">
        <f>-(AV45/AV$15)</f>
        <v>0</v>
      </c>
      <c r="AW46" s="45" t="n"/>
      <c r="AX46" s="45" t="n"/>
      <c r="AY46" s="45" t="n"/>
      <c r="AZ46" s="45" t="n"/>
      <c r="BA46" s="56">
        <f>-(BA45/BA$15)</f>
        <v>0</v>
      </c>
      <c r="BB46" s="45" t="n"/>
      <c r="BC46" s="45" t="n"/>
      <c r="BD46" s="45" t="n"/>
      <c r="BE46" s="45" t="n"/>
      <c r="BF46" s="56">
        <f>-(BF45/BF$15)</f>
        <v>0</v>
      </c>
      <c r="BG46" s="45" t="n"/>
      <c r="BH46" s="45" t="n"/>
      <c r="BI46" s="45" t="n"/>
      <c r="BJ46" s="45" t="n"/>
      <c r="BK46" s="56">
        <f>-(BK45/BK$15)</f>
        <v>0</v>
      </c>
      <c r="BL46" s="45" t="n"/>
      <c r="BM46" s="45" t="n"/>
      <c r="BN46" s="45" t="n"/>
      <c r="BO46" s="45" t="n"/>
      <c r="BP46" s="56">
        <f>-(BP45/BP$15)</f>
        <v>0</v>
      </c>
      <c r="BQ46" s="45" t="n"/>
      <c r="BR46" s="45" t="n"/>
      <c r="BS46" s="45" t="n"/>
      <c r="BT46" s="45" t="n"/>
      <c r="BU46" s="56">
        <f>-(BU45/BU$15)</f>
        <v>0</v>
      </c>
      <c r="BV46" s="45" t="n"/>
      <c r="BW46" s="45" t="n"/>
      <c r="BX46" s="45" t="n"/>
      <c r="BY46" s="45" t="n"/>
      <c r="BZ46" s="56">
        <f>-(BZ45/BZ$15)</f>
        <v>0</v>
      </c>
      <c r="CA46" s="45" t="n"/>
      <c r="CB46" s="45" t="n"/>
      <c r="CC46" s="45" t="n"/>
      <c r="CD46" s="45" t="n"/>
      <c r="CE46" s="56">
        <f>-(CE45/CE$15)</f>
        <v>0</v>
      </c>
      <c r="CF46" s="45" t="n"/>
      <c r="CG46" s="45" t="n"/>
      <c r="CH46" s="45" t="n"/>
      <c r="CI46" s="45" t="n"/>
      <c r="CJ46" s="56">
        <f>-(CJ45/CJ$15)</f>
        <v>0</v>
      </c>
      <c r="CK46" s="45" t="n"/>
      <c r="CL46" s="45" t="n"/>
      <c r="CM46" s="45" t="n"/>
      <c r="CN46" s="45" t="n"/>
      <c r="CO46" s="56">
        <f>-(CO45/CO$15)</f>
        <v>0</v>
      </c>
      <c r="CP46" s="45" t="n"/>
      <c r="CQ46" s="45" t="n"/>
      <c r="CR46" s="45" t="n"/>
      <c r="CS46" s="45" t="n"/>
      <c r="CT46" s="56">
        <f>-(CT45/CT$15)</f>
        <v>0</v>
      </c>
      <c r="CU46" s="45" t="n"/>
      <c r="CV46" s="45" t="n"/>
      <c r="CW46" s="45" t="n"/>
      <c r="CX46" s="45" t="n"/>
      <c r="CY46" s="56">
        <f>-(CY45/CY$15)</f>
        <v>0</v>
      </c>
    </row>
    <row r="47" hidden="1" outlineLevel="1"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  <c r="CU47" s="32" t="n"/>
      <c r="CV47" s="32" t="n"/>
      <c r="CW47" s="32" t="n"/>
      <c r="CX47" s="32" t="n"/>
      <c r="CY47" s="32" t="n"/>
    </row>
    <row r="48" hidden="1" outlineLevel="1">
      <c r="C48" s="32" t="inlineStr">
        <is>
          <t>Com Vendas</t>
        </is>
      </c>
      <c r="D48" s="6" t="n"/>
      <c r="E48" s="6" t="n"/>
      <c r="F48" s="6" t="n"/>
      <c r="G48" s="6" t="n"/>
      <c r="H48" s="32" t="n"/>
      <c r="I48" s="6" t="n"/>
      <c r="J48" s="6" t="n"/>
      <c r="K48" s="6" t="n"/>
      <c r="L48" s="6" t="n"/>
      <c r="M48" s="32" t="n"/>
      <c r="N48" s="6" t="n"/>
      <c r="O48" s="6" t="n"/>
      <c r="P48" s="6" t="n"/>
      <c r="Q48" s="6" t="n"/>
      <c r="R48" s="32" t="n"/>
      <c r="S48" s="6" t="n"/>
      <c r="T48" s="6" t="n"/>
      <c r="U48" s="6" t="n"/>
      <c r="V48" s="6" t="n"/>
      <c r="W48" s="32" t="n"/>
      <c r="X48" s="6" t="n"/>
      <c r="Y48" s="6" t="n"/>
      <c r="Z48" s="6" t="n"/>
      <c r="AA48" s="6" t="n"/>
      <c r="AB48" s="32" t="n"/>
      <c r="AC48" s="6" t="n"/>
      <c r="AD48" s="6" t="n"/>
      <c r="AE48" s="6" t="n"/>
      <c r="AF48" s="6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</row>
    <row r="49" hidden="1" outlineLevel="1">
      <c r="C49" s="32" t="inlineStr">
        <is>
          <t>Gerais &amp; Administrativas</t>
        </is>
      </c>
      <c r="D49" s="6" t="n"/>
      <c r="E49" s="6" t="n"/>
      <c r="F49" s="6" t="n"/>
      <c r="G49" s="6" t="n"/>
      <c r="H49" s="32" t="n"/>
      <c r="I49" s="6" t="n"/>
      <c r="J49" s="6" t="n"/>
      <c r="K49" s="6" t="n"/>
      <c r="L49" s="6" t="n"/>
      <c r="M49" s="32" t="n"/>
      <c r="N49" s="6" t="n"/>
      <c r="O49" s="6" t="n"/>
      <c r="P49" s="6" t="n"/>
      <c r="Q49" s="6" t="n"/>
      <c r="R49" s="32" t="n"/>
      <c r="S49" s="6" t="n"/>
      <c r="T49" s="6" t="n"/>
      <c r="U49" s="6" t="n"/>
      <c r="V49" s="6" t="n"/>
      <c r="W49" s="32" t="n"/>
      <c r="X49" s="6" t="n"/>
      <c r="Y49" s="6" t="n"/>
      <c r="Z49" s="6" t="n"/>
      <c r="AA49" s="6" t="n"/>
      <c r="AB49" s="32" t="n"/>
      <c r="AC49" s="6" t="n"/>
      <c r="AD49" s="6" t="n"/>
      <c r="AE49" s="6" t="n"/>
      <c r="AF49" s="6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  <c r="AV49" s="32" t="n"/>
      <c r="AW49" s="32" t="n"/>
      <c r="AX49" s="3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  <c r="CO49" s="32" t="n"/>
      <c r="CP49" s="32" t="n"/>
      <c r="CQ49" s="32" t="n"/>
      <c r="CR49" s="32" t="n"/>
      <c r="CS49" s="32" t="n"/>
      <c r="CT49" s="32" t="n"/>
      <c r="CU49" s="32" t="n"/>
      <c r="CV49" s="32" t="n"/>
      <c r="CW49" s="32" t="n"/>
      <c r="CX49" s="32" t="n"/>
      <c r="CY49" s="32" t="n"/>
    </row>
    <row r="50" hidden="1" outlineLevel="1">
      <c r="C50" s="32" t="inlineStr">
        <is>
          <t>Outras Receitas (Despesas) Operacionais, Líquidas</t>
        </is>
      </c>
      <c r="D50" s="6" t="n"/>
      <c r="E50" s="6" t="n"/>
      <c r="F50" s="6" t="n"/>
      <c r="G50" s="6" t="n"/>
      <c r="H50" s="32" t="n"/>
      <c r="I50" s="6" t="n"/>
      <c r="J50" s="6" t="n"/>
      <c r="K50" s="6" t="n"/>
      <c r="L50" s="6" t="n"/>
      <c r="M50" s="32" t="n"/>
      <c r="N50" s="6" t="n"/>
      <c r="O50" s="6" t="n"/>
      <c r="P50" s="6" t="n"/>
      <c r="Q50" s="6" t="n"/>
      <c r="R50" s="32" t="n"/>
      <c r="S50" s="6" t="n"/>
      <c r="T50" s="6" t="n"/>
      <c r="U50" s="6" t="n"/>
      <c r="V50" s="6" t="n"/>
      <c r="W50" s="32" t="n"/>
      <c r="X50" s="6" t="n"/>
      <c r="Y50" s="6" t="n"/>
      <c r="Z50" s="6" t="n"/>
      <c r="AA50" s="6" t="n"/>
      <c r="AB50" s="32" t="n"/>
      <c r="AC50" s="6" t="n"/>
      <c r="AD50" s="6" t="n"/>
      <c r="AE50" s="6" t="n"/>
      <c r="AF50" s="6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  <c r="CO50" s="32" t="n"/>
      <c r="CP50" s="32" t="n"/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hidden="1" outlineLevel="1">
      <c r="C52" s="32" t="inlineStr">
        <is>
          <t>Com Vendas (%)</t>
        </is>
      </c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</row>
    <row r="53" hidden="1" outlineLevel="1">
      <c r="C53" s="32" t="inlineStr">
        <is>
          <t>Gerais &amp; Administrativas (%)</t>
        </is>
      </c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  <c r="CO53" s="32" t="n"/>
      <c r="CP53" s="32" t="n"/>
      <c r="CQ53" s="32" t="n"/>
      <c r="CR53" s="32" t="n"/>
      <c r="CS53" s="32" t="n"/>
      <c r="CT53" s="32" t="n"/>
      <c r="CU53" s="32" t="n"/>
      <c r="CV53" s="32" t="n"/>
      <c r="CW53" s="32" t="n"/>
      <c r="CX53" s="32" t="n"/>
      <c r="CY53" s="32" t="n"/>
    </row>
    <row r="54" hidden="1" outlineLevel="1">
      <c r="C54" s="32" t="inlineStr">
        <is>
          <t>Outras Receitas (Despesas) Operacionais, Líquidas (%)</t>
        </is>
      </c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</row>
    <row r="55" hidden="1" outlineLevel="1"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collapsed="1" customFormat="1" s="17">
      <c r="A56" s="13" t="n"/>
      <c r="B56" s="1" t="n"/>
      <c r="C56" s="14" t="inlineStr">
        <is>
          <t>EBITDA</t>
        </is>
      </c>
      <c r="D56" s="16">
        <f>SUM(D15,D41,D45)</f>
        <v>1494</v>
      </c>
      <c r="E56" s="16">
        <f>SUM(E15,E41,E45)</f>
        <v>1937</v>
      </c>
      <c r="F56" s="16">
        <f>SUM(F15,F41,F45)</f>
        <v>1808</v>
      </c>
      <c r="G56" s="16">
        <f>SUM(G15,G41,G45)</f>
        <v>2176</v>
      </c>
      <c r="H56" s="16">
        <f>SUM(D56:G56)</f>
        <v>7415</v>
      </c>
      <c r="I56" s="16">
        <f>SUM(I15,I41,I45)</f>
        <v>2955</v>
      </c>
      <c r="J56" s="16">
        <f>SUM(J15,J41,J45)</f>
        <v>2758</v>
      </c>
      <c r="K56" s="16">
        <f>SUM(K15,K41,K45)</f>
        <v>2173</v>
      </c>
      <c r="L56" s="16">
        <f>SUM(L15,L41,L45)</f>
        <v>1721</v>
      </c>
      <c r="M56" s="16">
        <f>SUM(I56:L56)</f>
        <v>9607</v>
      </c>
      <c r="N56" s="16">
        <f>SUM(N15,N41,N45)</f>
        <v>3117</v>
      </c>
      <c r="O56" s="16">
        <f>SUM(O15,O41,O45)</f>
        <v>3156</v>
      </c>
      <c r="P56" s="16">
        <f>SUM(P15,P41,P45)</f>
        <v>3408</v>
      </c>
      <c r="Q56" s="16">
        <f>SUM(Q15,Q41,Q45)</f>
        <v>3012</v>
      </c>
      <c r="R56" s="16">
        <f>SUM(N56:Q56)</f>
        <v>12693</v>
      </c>
      <c r="S56" s="16">
        <f>SUM(S15,S41,S45)</f>
        <v>4399</v>
      </c>
      <c r="T56" s="16">
        <f>SUM(T15,T41,T45)</f>
        <v>4048</v>
      </c>
      <c r="U56" s="16">
        <f>SUM(U15,U41,U45)</f>
        <v>3503</v>
      </c>
      <c r="V56" s="16">
        <f>SUM(V15,V41,V45)</f>
        <v>520</v>
      </c>
      <c r="W56" s="16">
        <f>SUM(S56:V56)</f>
        <v>12470</v>
      </c>
      <c r="X56" s="16">
        <f>SUM(X15,X41,X45)</f>
        <v>525</v>
      </c>
      <c r="Y56" s="16">
        <f>SUM(Y15,Y41,Y45)</f>
        <v>553</v>
      </c>
      <c r="Z56" s="16">
        <f>SUM(Z15,Z41,Z45)</f>
        <v>520</v>
      </c>
      <c r="AA56" s="16">
        <f>SUM(AA15,AA41,AA45)</f>
        <v>549</v>
      </c>
      <c r="AB56" s="16">
        <f>SUM(X56:AA56)</f>
        <v>2147</v>
      </c>
      <c r="AC56" s="16">
        <f>SUM(AC15,AC41,AC45)</f>
        <v>555</v>
      </c>
      <c r="AD56" s="16">
        <f>SUM(AD15,AD41,AD45)</f>
        <v>564</v>
      </c>
      <c r="AE56" s="16">
        <f>SUM(AE15,AE41,AE45)</f>
        <v>561</v>
      </c>
      <c r="AF56" s="16">
        <f>SUM(AF15,AF41,AF45)</f>
        <v>590</v>
      </c>
      <c r="AG56" s="16">
        <f>SUM(AC56:AF56)</f>
        <v>2270</v>
      </c>
      <c r="AH56" s="16">
        <f>SUM(AH15,AH41,AH45)</f>
        <v>594</v>
      </c>
      <c r="AI56" s="16">
        <f>SUM(AI15,AI41,AI45)</f>
        <v>603</v>
      </c>
      <c r="AJ56" s="16">
        <f>SUM(AJ15,AJ41,AJ45)</f>
        <v>0</v>
      </c>
      <c r="AK56" s="16">
        <f>SUM(AK15,AK41,AK45)</f>
        <v>0</v>
      </c>
      <c r="AL56" s="16">
        <f>SUM(AH56:AK56)</f>
        <v>1197</v>
      </c>
      <c r="AM56" s="16">
        <f>SUM(AM15,AM41,AM45)</f>
        <v>0</v>
      </c>
      <c r="AN56" s="16">
        <f>SUM(AN15,AN41,AN45)</f>
        <v>0</v>
      </c>
      <c r="AO56" s="16">
        <f>SUM(AO15,AO41,AO45)</f>
        <v>0</v>
      </c>
      <c r="AP56" s="16">
        <f>SUM(AP15,AP41,AP45)</f>
        <v>0</v>
      </c>
      <c r="AQ56" s="16">
        <f>SUM(AM56:AP56)</f>
        <v>0</v>
      </c>
      <c r="AR56" s="16">
        <f>SUM(AR15,AR41,AR45)</f>
        <v>0</v>
      </c>
      <c r="AS56" s="16">
        <f>SUM(AS15,AS41,AS45)</f>
        <v>0</v>
      </c>
      <c r="AT56" s="16">
        <f>SUM(AT15,AT41,AT45)</f>
        <v>0</v>
      </c>
      <c r="AU56" s="16">
        <f>SUM(AU15,AU41,AU45)</f>
        <v>0</v>
      </c>
      <c r="AV56" s="16">
        <f>SUM(AR56:AU56)</f>
        <v>0</v>
      </c>
      <c r="AW56" s="16">
        <f>SUM(AW15,AW41,AW45)</f>
        <v>0</v>
      </c>
      <c r="AX56" s="16">
        <f>SUM(AX15,AX41,AX45)</f>
        <v>0</v>
      </c>
      <c r="AY56" s="16">
        <f>SUM(AY15,AY41,AY45)</f>
        <v>0</v>
      </c>
      <c r="AZ56" s="16">
        <f>SUM(AZ15,AZ41,AZ45)</f>
        <v>0</v>
      </c>
      <c r="BA56" s="16">
        <f>SUM(AW56:AZ56)</f>
        <v>0</v>
      </c>
      <c r="BB56" s="16">
        <f>SUM(BB15,BB41,BB45)</f>
        <v>0</v>
      </c>
      <c r="BC56" s="16">
        <f>SUM(BC15,BC41,BC45)</f>
        <v>0</v>
      </c>
      <c r="BD56" s="16">
        <f>SUM(BD15,BD41,BD45)</f>
        <v>0</v>
      </c>
      <c r="BE56" s="16">
        <f>SUM(BE15,BE41,BE45)</f>
        <v>0</v>
      </c>
      <c r="BF56" s="16">
        <f>SUM(BB56:BE56)</f>
        <v>0</v>
      </c>
      <c r="BG56" s="16">
        <f>SUM(BG15,BG41,BG45)</f>
        <v>0</v>
      </c>
      <c r="BH56" s="16">
        <f>SUM(BH15,BH41,BH45)</f>
        <v>0</v>
      </c>
      <c r="BI56" s="16">
        <f>SUM(BI15,BI41,BI45)</f>
        <v>0</v>
      </c>
      <c r="BJ56" s="16">
        <f>SUM(BJ15,BJ41,BJ45)</f>
        <v>0</v>
      </c>
      <c r="BK56" s="16">
        <f>SUM(BG56:BJ56)</f>
        <v>0</v>
      </c>
      <c r="BL56" s="16">
        <f>SUM(BL15,BL41,BL45)</f>
        <v>0</v>
      </c>
      <c r="BM56" s="16">
        <f>SUM(BM15,BM41,BM45)</f>
        <v>0</v>
      </c>
      <c r="BN56" s="16">
        <f>SUM(BN15,BN41,BN45)</f>
        <v>0</v>
      </c>
      <c r="BO56" s="16">
        <f>SUM(BO15,BO41,BO45)</f>
        <v>0</v>
      </c>
      <c r="BP56" s="16">
        <f>SUM(BL56:BO56)</f>
        <v>0</v>
      </c>
      <c r="BQ56" s="16">
        <f>SUM(BQ15,BQ41,BQ45)</f>
        <v>0</v>
      </c>
      <c r="BR56" s="16">
        <f>SUM(BR15,BR41,BR45)</f>
        <v>0</v>
      </c>
      <c r="BS56" s="16">
        <f>SUM(BS15,BS41,BS45)</f>
        <v>0</v>
      </c>
      <c r="BT56" s="16">
        <f>SUM(BT15,BT41,BT45)</f>
        <v>0</v>
      </c>
      <c r="BU56" s="16">
        <f>SUM(BQ56:BT56)</f>
        <v>0</v>
      </c>
      <c r="BV56" s="16">
        <f>SUM(BV15,BV41,BV45)</f>
        <v>0</v>
      </c>
      <c r="BW56" s="16">
        <f>SUM(BW15,BW41,BW45)</f>
        <v>0</v>
      </c>
      <c r="BX56" s="16">
        <f>SUM(BX15,BX41,BX45)</f>
        <v>0</v>
      </c>
      <c r="BY56" s="16">
        <f>SUM(BY15,BY41,BY45)</f>
        <v>0</v>
      </c>
      <c r="BZ56" s="16">
        <f>SUM(BV56:BY56)</f>
        <v>0</v>
      </c>
      <c r="CA56" s="16">
        <f>SUM(CA15,CA41,CA45)</f>
        <v>0</v>
      </c>
      <c r="CB56" s="16">
        <f>SUM(CB15,CB41,CB45)</f>
        <v>0</v>
      </c>
      <c r="CC56" s="16">
        <f>SUM(CC15,CC41,CC45)</f>
        <v>0</v>
      </c>
      <c r="CD56" s="16">
        <f>SUM(CD15,CD41,CD45)</f>
        <v>0</v>
      </c>
      <c r="CE56" s="16">
        <f>SUM(CA56:CD56)</f>
        <v>0</v>
      </c>
      <c r="CF56" s="16">
        <f>SUM(CF15,CF41,CF45)</f>
        <v>0</v>
      </c>
      <c r="CG56" s="16">
        <f>SUM(CG15,CG41,CG45)</f>
        <v>0</v>
      </c>
      <c r="CH56" s="16">
        <f>SUM(CH15,CH41,CH45)</f>
        <v>0</v>
      </c>
      <c r="CI56" s="16">
        <f>SUM(CI15,CI41,CI45)</f>
        <v>0</v>
      </c>
      <c r="CJ56" s="16">
        <f>SUM(CF56:CI56)</f>
        <v>0</v>
      </c>
      <c r="CK56" s="16">
        <f>SUM(CK15,CK41,CK45)</f>
        <v>0</v>
      </c>
      <c r="CL56" s="16">
        <f>SUM(CL15,CL41,CL45)</f>
        <v>0</v>
      </c>
      <c r="CM56" s="16">
        <f>SUM(CM15,CM41,CM45)</f>
        <v>0</v>
      </c>
      <c r="CN56" s="16">
        <f>SUM(CN15,CN41,CN45)</f>
        <v>0</v>
      </c>
      <c r="CO56" s="16">
        <f>SUM(CK56:CN56)</f>
        <v>0</v>
      </c>
      <c r="CP56" s="16">
        <f>SUM(CP15,CP41,CP45)</f>
        <v>0</v>
      </c>
      <c r="CQ56" s="16">
        <f>SUM(CQ15,CQ41,CQ45)</f>
        <v>0</v>
      </c>
      <c r="CR56" s="16">
        <f>SUM(CR15,CR41,CR45)</f>
        <v>0</v>
      </c>
      <c r="CS56" s="16">
        <f>SUM(CS15,CS41,CS45)</f>
        <v>0</v>
      </c>
      <c r="CT56" s="16">
        <f>SUM(CP56:CS56)</f>
        <v>0</v>
      </c>
      <c r="CU56" s="16">
        <f>SUM(CU15,CU41,CU45)</f>
        <v>0</v>
      </c>
      <c r="CV56" s="16">
        <f>SUM(CV15,CV41,CV45)</f>
        <v>0</v>
      </c>
      <c r="CW56" s="16">
        <f>SUM(CW15,CW41,CW45)</f>
        <v>0</v>
      </c>
      <c r="CX56" s="16">
        <f>SUM(CX15,CX41,CX45)</f>
        <v>0</v>
      </c>
      <c r="CY56" s="16">
        <f>SUM(CU56:CX56)</f>
        <v>0</v>
      </c>
    </row>
    <row r="57" ht="13.5" customHeight="1">
      <c r="C57" s="24" t="inlineStr">
        <is>
          <t>D&amp;A</t>
        </is>
      </c>
      <c r="D57" s="25">
        <f>INDEX('Inputs (2)'!$D$7:$AL$7,MATCH(D$7,'Inputs (2)'!$D$2:$AL$2,0))</f>
        <v>-529</v>
      </c>
      <c r="E57" s="25">
        <f>INDEX('Inputs (2)'!$D$7:$AL$7,MATCH(E$7,'Inputs (2)'!$D$2:$AL$2,0))</f>
        <v>-547</v>
      </c>
      <c r="F57" s="25">
        <f>INDEX('Inputs (2)'!$D$7:$AL$7,MATCH(F$7,'Inputs (2)'!$D$2:$AL$2,0))</f>
        <v>-504</v>
      </c>
      <c r="G57" s="25">
        <f>INDEX('Inputs (2)'!$D$7:$AL$7,MATCH(G$7,'Inputs (2)'!$D$2:$AL$2,0))</f>
        <v>-538</v>
      </c>
      <c r="H57" s="3">
        <f>SUM(D57:G57)</f>
        <v>-2118</v>
      </c>
      <c r="I57" s="25">
        <f>INDEX('Inputs (2)'!$D$7:$AL$7,MATCH(I$7,'Inputs (2)'!$D$2:$AL$2,0))</f>
        <v>-516</v>
      </c>
      <c r="J57" s="25">
        <f>INDEX('Inputs (2)'!$D$7:$AL$7,MATCH(J$7,'Inputs (2)'!$D$2:$AL$2,0))</f>
        <v>-515</v>
      </c>
      <c r="K57" s="25">
        <f>INDEX('Inputs (2)'!$D$7:$AL$7,MATCH(K$7,'Inputs (2)'!$D$2:$AL$2,0))</f>
        <v>-481</v>
      </c>
      <c r="L57" s="25">
        <f>INDEX('Inputs (2)'!$D$7:$AL$7,MATCH(L$7,'Inputs (2)'!$D$2:$AL$2,0))</f>
        <v>-486</v>
      </c>
      <c r="M57" s="3">
        <f>SUM(I57:L57)</f>
        <v>-1998</v>
      </c>
      <c r="N57" s="25">
        <f>INDEX('Inputs (2)'!$D$7:$AL$7,MATCH(N$7,'Inputs (2)'!$D$2:$AL$2,0))</f>
        <v>-447</v>
      </c>
      <c r="O57" s="25">
        <f>INDEX('Inputs (2)'!$D$7:$AL$7,MATCH(O$7,'Inputs (2)'!$D$2:$AL$2,0))</f>
        <v>-510</v>
      </c>
      <c r="P57" s="25">
        <f>INDEX('Inputs (2)'!$D$7:$AL$7,MATCH(P$7,'Inputs (2)'!$D$2:$AL$2,0))</f>
        <v>-452</v>
      </c>
      <c r="Q57" s="25">
        <f>INDEX('Inputs (2)'!$D$7:$AL$7,MATCH(Q$7,'Inputs (2)'!$D$2:$AL$2,0))</f>
        <v>-494</v>
      </c>
      <c r="R57" s="3">
        <f>SUM(N57:Q57)</f>
        <v>-1903</v>
      </c>
      <c r="S57" s="25">
        <f>INDEX('Inputs (2)'!$D$7:$AL$7,MATCH(S$7,'Inputs (2)'!$D$2:$AL$2,0))</f>
        <v>-501</v>
      </c>
      <c r="T57" s="25">
        <f>INDEX('Inputs (2)'!$D$7:$AL$7,MATCH(T$7,'Inputs (2)'!$D$2:$AL$2,0))</f>
        <v>-532</v>
      </c>
      <c r="U57" s="25">
        <f>INDEX('Inputs (2)'!$D$7:$AL$7,MATCH(U$7,'Inputs (2)'!$D$2:$AL$2,0))</f>
        <v>-477</v>
      </c>
      <c r="V57" s="25">
        <f>INDEX('Inputs (2)'!$D$7:$AL$7,MATCH(V$7,'Inputs (2)'!$D$2:$AL$2,0))</f>
        <v>-520</v>
      </c>
      <c r="W57" s="3">
        <f>SUM(S57:V57)</f>
        <v>-2030</v>
      </c>
      <c r="X57" s="25">
        <f>INDEX('Inputs (2)'!$D$7:$AL$7,MATCH(X$7,'Inputs (2)'!$D$2:$AL$2,0))</f>
        <v>-525</v>
      </c>
      <c r="Y57" s="25">
        <f>INDEX('Inputs (2)'!$D$7:$AL$7,MATCH(Y$7,'Inputs (2)'!$D$2:$AL$2,0))</f>
        <v>-553</v>
      </c>
      <c r="Z57" s="25">
        <f>INDEX('Inputs (2)'!$D$7:$AL$7,MATCH(Z$7,'Inputs (2)'!$D$2:$AL$2,0))</f>
        <v>-520</v>
      </c>
      <c r="AA57" s="25">
        <f>INDEX('Inputs (2)'!$D$7:$AL$7,MATCH(AA$7,'Inputs (2)'!$D$2:$AL$2,0))</f>
        <v>-549</v>
      </c>
      <c r="AB57" s="3">
        <f>SUM(X57:AA57)</f>
        <v>-2147</v>
      </c>
      <c r="AC57" s="25">
        <f>INDEX('Inputs (2)'!$D$7:$AL$7,MATCH(AC$7,'Inputs (2)'!$D$2:$AL$2,0))</f>
        <v>-555</v>
      </c>
      <c r="AD57" s="25">
        <f>INDEX('Inputs (2)'!$D$7:$AL$7,MATCH(AD$7,'Inputs (2)'!$D$2:$AL$2,0))</f>
        <v>-564</v>
      </c>
      <c r="AE57" s="25">
        <f>INDEX('Inputs (2)'!$D$7:$AL$7,MATCH(AE$7,'Inputs (2)'!$D$2:$AL$2,0))</f>
        <v>-561</v>
      </c>
      <c r="AF57" s="25">
        <f>INDEX('Inputs (2)'!$D$7:$AL$7,MATCH(AF$7,'Inputs (2)'!$D$2:$AL$2,0))</f>
        <v>-590</v>
      </c>
      <c r="AG57" s="3">
        <f>SUM(AC57:AF57)</f>
        <v>-2270</v>
      </c>
      <c r="AH57" s="3">
        <f>INDEX('Inputs (2)'!$D$7:$AL$7,MATCH(AH$7,'Inputs (2)'!$D$2:$AL$2,0))</f>
        <v>-594</v>
      </c>
      <c r="AI57" s="3">
        <f>INDEX('Inputs (2)'!$D$7:$AL$7,MATCH(AI$7,'Inputs (2)'!$D$2:$AL$2,0))</f>
        <v>-603</v>
      </c>
      <c r="AJ57" s="3">
        <f>-AJ58*AJ15</f>
        <v>0</v>
      </c>
      <c r="AK57" s="3">
        <f>-AK58*AK15</f>
        <v>0</v>
      </c>
      <c r="AL57" s="3">
        <f>SUM(AH57:AK57)</f>
        <v>-1197</v>
      </c>
      <c r="AM57" s="3">
        <f>-AM58*AM15</f>
        <v>0</v>
      </c>
      <c r="AN57" s="3">
        <f>-AN58*AN15</f>
        <v>0</v>
      </c>
      <c r="AO57" s="3">
        <f>-AO58*AO15</f>
        <v>0</v>
      </c>
      <c r="AP57" s="3">
        <f>-AP58*AP15</f>
        <v>0</v>
      </c>
      <c r="AQ57" s="3">
        <f>SUM(AM57:AP57)</f>
        <v>0</v>
      </c>
      <c r="AR57" s="3">
        <f>-AR58*AR15</f>
        <v>0</v>
      </c>
      <c r="AS57" s="3">
        <f>-AS58*AS15</f>
        <v>0</v>
      </c>
      <c r="AT57" s="3">
        <f>-AT58*AT15</f>
        <v>0</v>
      </c>
      <c r="AU57" s="3">
        <f>-AU58*AU15</f>
        <v>0</v>
      </c>
      <c r="AV57" s="3">
        <f>SUM(AR57:AU57)</f>
        <v>0</v>
      </c>
      <c r="AW57" s="3">
        <f>-AW58*AW15</f>
        <v>0</v>
      </c>
      <c r="AX57" s="3">
        <f>-AX58*AX15</f>
        <v>0</v>
      </c>
      <c r="AY57" s="3">
        <f>-AY58*AY15</f>
        <v>0</v>
      </c>
      <c r="AZ57" s="3">
        <f>-AZ58*AZ15</f>
        <v>0</v>
      </c>
      <c r="BA57" s="3">
        <f>SUM(AW57:AZ57)</f>
        <v>0</v>
      </c>
      <c r="BB57" s="3">
        <f>-BB58*BB15</f>
        <v>0</v>
      </c>
      <c r="BC57" s="3">
        <f>-BC58*BC15</f>
        <v>0</v>
      </c>
      <c r="BD57" s="3">
        <f>-BD58*BD15</f>
        <v>0</v>
      </c>
      <c r="BE57" s="3">
        <f>-BE58*BE15</f>
        <v>0</v>
      </c>
      <c r="BF57" s="3">
        <f>SUM(BB57:BE57)</f>
        <v>0</v>
      </c>
      <c r="BG57" s="3">
        <f>-BG58*BG15</f>
        <v>0</v>
      </c>
      <c r="BH57" s="3">
        <f>-BH58*BH15</f>
        <v>0</v>
      </c>
      <c r="BI57" s="3">
        <f>-BI58*BI15</f>
        <v>0</v>
      </c>
      <c r="BJ57" s="3">
        <f>-BJ58*BJ15</f>
        <v>0</v>
      </c>
      <c r="BK57" s="3">
        <f>SUM(BG57:BJ57)</f>
        <v>0</v>
      </c>
      <c r="BL57" s="3">
        <f>-BL58*BL15</f>
        <v>0</v>
      </c>
      <c r="BM57" s="3">
        <f>-BM58*BM15</f>
        <v>0</v>
      </c>
      <c r="BN57" s="3">
        <f>-BN58*BN15</f>
        <v>0</v>
      </c>
      <c r="BO57" s="3">
        <f>-BO58*BO15</f>
        <v>0</v>
      </c>
      <c r="BP57" s="3">
        <f>SUM(BL57:BO57)</f>
        <v>0</v>
      </c>
      <c r="BQ57" s="3">
        <f>-BQ58*BQ15</f>
        <v>0</v>
      </c>
      <c r="BR57" s="3">
        <f>-BR58*BR15</f>
        <v>0</v>
      </c>
      <c r="BS57" s="3">
        <f>-BS58*BS15</f>
        <v>0</v>
      </c>
      <c r="BT57" s="3">
        <f>-BT58*BT15</f>
        <v>0</v>
      </c>
      <c r="BU57" s="3">
        <f>SUM(BQ57:BT57)</f>
        <v>0</v>
      </c>
      <c r="BV57" s="3">
        <f>-BV58*BV15</f>
        <v>0</v>
      </c>
      <c r="BW57" s="3">
        <f>-BW58*BW15</f>
        <v>0</v>
      </c>
      <c r="BX57" s="3">
        <f>-BX58*BX15</f>
        <v>0</v>
      </c>
      <c r="BY57" s="3">
        <f>-BY58*BY15</f>
        <v>0</v>
      </c>
      <c r="BZ57" s="3">
        <f>SUM(BV57:BY57)</f>
        <v>0</v>
      </c>
      <c r="CA57" s="3">
        <f>-CA58*CA15</f>
        <v>0</v>
      </c>
      <c r="CB57" s="3">
        <f>-CB58*CB15</f>
        <v>0</v>
      </c>
      <c r="CC57" s="3">
        <f>-CC58*CC15</f>
        <v>0</v>
      </c>
      <c r="CD57" s="3">
        <f>-CD58*CD15</f>
        <v>0</v>
      </c>
      <c r="CE57" s="3">
        <f>SUM(CA57:CD57)</f>
        <v>0</v>
      </c>
      <c r="CF57" s="3">
        <f>-CF58*CF15</f>
        <v>0</v>
      </c>
      <c r="CG57" s="3">
        <f>-CG58*CG15</f>
        <v>0</v>
      </c>
      <c r="CH57" s="3">
        <f>-CH58*CH15</f>
        <v>0</v>
      </c>
      <c r="CI57" s="3">
        <f>-CI58*CI15</f>
        <v>0</v>
      </c>
      <c r="CJ57" s="3">
        <f>SUM(CF57:CI57)</f>
        <v>0</v>
      </c>
      <c r="CK57" s="3">
        <f>-CK58*CK15</f>
        <v>0</v>
      </c>
      <c r="CL57" s="3">
        <f>-CL58*CL15</f>
        <v>0</v>
      </c>
      <c r="CM57" s="3">
        <f>-CM58*CM15</f>
        <v>0</v>
      </c>
      <c r="CN57" s="3">
        <f>-CN58*CN15</f>
        <v>0</v>
      </c>
      <c r="CO57" s="3">
        <f>SUM(CK57:CN57)</f>
        <v>0</v>
      </c>
      <c r="CP57" s="3">
        <f>-CP58*CP15</f>
        <v>0</v>
      </c>
      <c r="CQ57" s="3">
        <f>-CQ58*CQ15</f>
        <v>0</v>
      </c>
      <c r="CR57" s="3">
        <f>-CR58*CR15</f>
        <v>0</v>
      </c>
      <c r="CS57" s="3">
        <f>-CS58*CS15</f>
        <v>0</v>
      </c>
      <c r="CT57" s="3">
        <f>SUM(CP57:CS57)</f>
        <v>0</v>
      </c>
      <c r="CU57" s="3">
        <f>-CU58*CU15</f>
        <v>0</v>
      </c>
      <c r="CV57" s="3">
        <f>-CV58*CV15</f>
        <v>0</v>
      </c>
      <c r="CW57" s="3">
        <f>-CW58*CW15</f>
        <v>0</v>
      </c>
      <c r="CX57" s="3">
        <f>-CX58*CX15</f>
        <v>0</v>
      </c>
      <c r="CY57" s="3">
        <f>SUM(CU57:CX57)</f>
        <v>0</v>
      </c>
    </row>
    <row r="58" hidden="1" outlineLevel="1" customFormat="1" s="247">
      <c r="A58" s="48" t="n"/>
      <c r="B58" s="48" t="n"/>
      <c r="C58" s="246" t="inlineStr">
        <is>
          <t>% of Revenue</t>
        </is>
      </c>
      <c r="D58" s="48">
        <f>-D57/D15</f>
        <v>0.0571706473576138</v>
      </c>
      <c r="E58" s="48">
        <f>-E57/E15</f>
        <v>0.0612885154061625</v>
      </c>
      <c r="F58" s="48">
        <f>-F57/F15</f>
        <v>0.0517932381050252</v>
      </c>
      <c r="G58" s="48">
        <f>-G57/G15</f>
        <v>0.0590430201931519</v>
      </c>
      <c r="H58" s="48" t="n"/>
      <c r="I58" s="48">
        <f>-I57/I15</f>
        <v>0.0427931663625809</v>
      </c>
      <c r="J58" s="48">
        <f>-J57/J15</f>
        <v>0.0446777131951071</v>
      </c>
      <c r="K58" s="48">
        <f>-K57/K15</f>
        <v>0.0424649068597157</v>
      </c>
      <c r="L58" s="48">
        <f>-L57/L15</f>
        <v>0.0507890061657436</v>
      </c>
      <c r="M58" s="48" t="n"/>
      <c r="N58" s="48">
        <f>-N57/N15</f>
        <v>0.0334330590875094</v>
      </c>
      <c r="O58" s="48">
        <f>-O57/O15</f>
        <v>0.036165082966955</v>
      </c>
      <c r="P58" s="48">
        <f>-P57/P15</f>
        <v>0.0290937178166838</v>
      </c>
      <c r="Q58" s="48">
        <f>-Q57/Q15</f>
        <v>0.0390452102434398</v>
      </c>
      <c r="R58" s="48" t="n"/>
      <c r="S58" s="48">
        <f>-S57/S15</f>
        <v>0.0288146316213263</v>
      </c>
      <c r="T58" s="48">
        <f>-T57/T15</f>
        <v>0.0336687551420796</v>
      </c>
      <c r="U58" s="48">
        <f>-U57/U15</f>
        <v>0.0309499091616922</v>
      </c>
      <c r="V58" s="48">
        <f>-V57/V15</f>
        <v>0.0426754205990973</v>
      </c>
      <c r="W58" s="48" t="n"/>
      <c r="X58" s="48">
        <f>-X57/X15</f>
        <v>0.0344601247128323</v>
      </c>
      <c r="Y58" s="48">
        <f>-Y57/Y15</f>
        <v>0.0420468369829684</v>
      </c>
      <c r="Z58" s="48">
        <f>-Z57/Z15</f>
        <v>0.0466618808327351</v>
      </c>
      <c r="AA58" s="48">
        <f>-AA57/AA15</f>
        <v>0.0645275035260931</v>
      </c>
      <c r="AB58" s="48" t="n"/>
      <c r="AC58" s="48">
        <f>-AC57/AC15</f>
        <v>0.0434850740421531</v>
      </c>
      <c r="AD58" s="48">
        <f>-AD57/AD15</f>
        <v>0.0469296055916126</v>
      </c>
      <c r="AE58" s="48">
        <f>-AE57/AE15</f>
        <v>0.0452638373406487</v>
      </c>
      <c r="AF58" s="218">
        <f>-AF57/AF15</f>
        <v>0.0613879929247737</v>
      </c>
      <c r="AG58" s="48" t="n"/>
      <c r="AH58" s="218">
        <f>-AH57/AH15</f>
        <v>0.044431146682624</v>
      </c>
      <c r="AI58" s="218">
        <f>-AI57/AI15</f>
        <v>0.0478267766497462</v>
      </c>
      <c r="AJ58" s="218" t="n"/>
      <c r="AK58" s="218" t="n"/>
      <c r="AL58" s="48" t="n"/>
      <c r="AM58" s="218" t="n"/>
      <c r="AN58" s="218" t="n"/>
      <c r="AO58" s="218" t="n"/>
      <c r="AP58" s="218" t="n"/>
      <c r="AQ58" s="48" t="n"/>
      <c r="AR58" s="218" t="n"/>
      <c r="AS58" s="218" t="n"/>
      <c r="AT58" s="218" t="n"/>
      <c r="AU58" s="218" t="n"/>
      <c r="AV58" s="48" t="n"/>
      <c r="AW58" s="218" t="n"/>
      <c r="AX58" s="218" t="n"/>
      <c r="AY58" s="218" t="n"/>
      <c r="AZ58" s="218" t="n"/>
      <c r="BA58" s="48" t="n"/>
      <c r="BB58" s="218" t="n"/>
      <c r="BC58" s="218" t="n"/>
      <c r="BD58" s="218" t="n"/>
      <c r="BE58" s="218" t="n"/>
      <c r="BF58" s="48" t="n"/>
      <c r="BG58" s="218" t="n"/>
      <c r="BH58" s="218" t="n"/>
      <c r="BI58" s="218" t="n"/>
      <c r="BJ58" s="218" t="n"/>
      <c r="BK58" s="48" t="n"/>
      <c r="BL58" s="218" t="n"/>
      <c r="BM58" s="218" t="n"/>
      <c r="BN58" s="218" t="n"/>
      <c r="BO58" s="218" t="n"/>
      <c r="BP58" s="48" t="n"/>
      <c r="BQ58" s="218" t="n"/>
      <c r="BR58" s="218" t="n"/>
      <c r="BS58" s="218" t="n"/>
      <c r="BT58" s="218" t="n"/>
      <c r="BU58" s="48" t="n"/>
      <c r="BV58" s="218" t="n"/>
      <c r="BW58" s="218" t="n"/>
      <c r="BX58" s="218" t="n"/>
      <c r="BY58" s="218" t="n"/>
      <c r="BZ58" s="48" t="n"/>
      <c r="CA58" s="218" t="n"/>
      <c r="CB58" s="218" t="n"/>
      <c r="CC58" s="218" t="n"/>
      <c r="CD58" s="218" t="n"/>
      <c r="CE58" s="48" t="n"/>
      <c r="CF58" s="218" t="n"/>
      <c r="CG58" s="218" t="n"/>
      <c r="CH58" s="218" t="n"/>
      <c r="CI58" s="218" t="n"/>
      <c r="CJ58" s="48" t="n"/>
      <c r="CK58" s="218" t="n"/>
      <c r="CL58" s="218" t="n"/>
      <c r="CM58" s="218" t="n"/>
      <c r="CN58" s="218" t="n"/>
      <c r="CO58" s="48" t="n"/>
      <c r="CP58" s="218" t="n"/>
      <c r="CQ58" s="218" t="n"/>
      <c r="CR58" s="218" t="n"/>
      <c r="CS58" s="218" t="n"/>
      <c r="CT58" s="48" t="n"/>
      <c r="CU58" s="218" t="n"/>
      <c r="CV58" s="218" t="n"/>
      <c r="CW58" s="218" t="n"/>
      <c r="CX58" s="218" t="n"/>
      <c r="CY58" s="48" t="n"/>
    </row>
    <row r="59" hidden="1" outlineLevel="1">
      <c r="C59" s="32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/>
      <c r="CY59" s="3" t="n"/>
    </row>
    <row r="60" collapsed="1" customFormat="1" s="17">
      <c r="A60" s="13" t="n"/>
      <c r="B60" s="1" t="n"/>
      <c r="C60" s="14" t="inlineStr">
        <is>
          <t>Operating Profit - EBIT</t>
        </is>
      </c>
      <c r="D60" s="16">
        <f>SUM(D56,D57)</f>
        <v>965</v>
      </c>
      <c r="E60" s="16">
        <f>SUM(E56,E57)</f>
        <v>1390</v>
      </c>
      <c r="F60" s="16">
        <f>SUM(F56,F57)</f>
        <v>1304</v>
      </c>
      <c r="G60" s="16">
        <f>SUM(G56,G57)</f>
        <v>1638</v>
      </c>
      <c r="H60" s="16">
        <f>SUM(D60:G60)</f>
        <v>5297</v>
      </c>
      <c r="I60" s="16">
        <f>SUM(I56,I57)</f>
        <v>2439</v>
      </c>
      <c r="J60" s="16">
        <f>SUM(J56,J57)</f>
        <v>2243</v>
      </c>
      <c r="K60" s="16">
        <f>SUM(K56,K57)</f>
        <v>1692</v>
      </c>
      <c r="L60" s="16">
        <f>SUM(L56,L57)</f>
        <v>1235</v>
      </c>
      <c r="M60" s="16">
        <f>SUM(I60:L60)</f>
        <v>7609</v>
      </c>
      <c r="N60" s="16">
        <f>SUM(N56,N57)</f>
        <v>2670</v>
      </c>
      <c r="O60" s="16">
        <f>SUM(O56,O57)</f>
        <v>2646</v>
      </c>
      <c r="P60" s="16">
        <f>SUM(P56,P57)</f>
        <v>2956</v>
      </c>
      <c r="Q60" s="16">
        <f>SUM(Q56,Q57)</f>
        <v>2518</v>
      </c>
      <c r="R60" s="16">
        <f>SUM(N60:Q60)</f>
        <v>10790</v>
      </c>
      <c r="S60" s="16">
        <f>SUM(S56,S57)</f>
        <v>3898</v>
      </c>
      <c r="T60" s="16">
        <f>SUM(T56,T57)</f>
        <v>3516</v>
      </c>
      <c r="U60" s="16">
        <f>SUM(U56,U57)</f>
        <v>3026</v>
      </c>
      <c r="V60" s="16">
        <f>SUM(V56,V57)</f>
        <v>0</v>
      </c>
      <c r="W60" s="16">
        <f>SUM(S60:V60)</f>
        <v>10440</v>
      </c>
      <c r="X60" s="16">
        <f>SUM(X56,X57)</f>
        <v>0</v>
      </c>
      <c r="Y60" s="16">
        <f>SUM(Y56,Y57)</f>
        <v>0</v>
      </c>
      <c r="Z60" s="16">
        <f>SUM(Z56,Z57)</f>
        <v>0</v>
      </c>
      <c r="AA60" s="16">
        <f>SUM(AA56,AA57)</f>
        <v>0</v>
      </c>
      <c r="AB60" s="16">
        <f>SUM(X60:AA60)</f>
        <v>0</v>
      </c>
      <c r="AC60" s="16">
        <f>SUM(AC56,AC57)</f>
        <v>0</v>
      </c>
      <c r="AD60" s="16">
        <f>SUM(AD56,AD57)</f>
        <v>0</v>
      </c>
      <c r="AE60" s="16">
        <f>SUM(AE56,AE57)</f>
        <v>0</v>
      </c>
      <c r="AF60" s="16">
        <f>SUM(AF56,AF57)</f>
        <v>0</v>
      </c>
      <c r="AG60" s="16">
        <f>SUM(AC60:AF60)</f>
        <v>0</v>
      </c>
      <c r="AH60" s="16">
        <f>SUM(AH56,AH57)</f>
        <v>0</v>
      </c>
      <c r="AI60" s="16">
        <f>SUM(AI56,AI57)</f>
        <v>0</v>
      </c>
      <c r="AJ60" s="16">
        <f>SUM(AJ56,AJ57)</f>
        <v>0</v>
      </c>
      <c r="AK60" s="16">
        <f>SUM(AK56,AK57)</f>
        <v>0</v>
      </c>
      <c r="AL60" s="16">
        <f>SUM(AL56,AL57)</f>
        <v>0</v>
      </c>
      <c r="AM60" s="16">
        <f>SUM(AM56,AM57)</f>
        <v>0</v>
      </c>
      <c r="AN60" s="16">
        <f>SUM(AN56,AN57)</f>
        <v>0</v>
      </c>
      <c r="AO60" s="16">
        <f>SUM(AO56,AO57)</f>
        <v>0</v>
      </c>
      <c r="AP60" s="16">
        <f>SUM(AP56,AP57)</f>
        <v>0</v>
      </c>
      <c r="AQ60" s="16">
        <f>SUM(AQ56,AQ57)</f>
        <v>0</v>
      </c>
      <c r="AR60" s="16">
        <f>SUM(AR56,AR57)</f>
        <v>0</v>
      </c>
      <c r="AS60" s="16">
        <f>SUM(AS56,AS57)</f>
        <v>0</v>
      </c>
      <c r="AT60" s="16">
        <f>SUM(AT56,AT57)</f>
        <v>0</v>
      </c>
      <c r="AU60" s="16">
        <f>SUM(AU56,AU57)</f>
        <v>0</v>
      </c>
      <c r="AV60" s="16">
        <f>SUM(AV56,AV57)</f>
        <v>0</v>
      </c>
      <c r="AW60" s="16">
        <f>SUM(AW56,AW57)</f>
        <v>0</v>
      </c>
      <c r="AX60" s="16">
        <f>SUM(AX56,AX57)</f>
        <v>0</v>
      </c>
      <c r="AY60" s="16">
        <f>SUM(AY56,AY57)</f>
        <v>0</v>
      </c>
      <c r="AZ60" s="16">
        <f>SUM(AZ56,AZ57)</f>
        <v>0</v>
      </c>
      <c r="BA60" s="16">
        <f>SUM(BA56,BA57)</f>
        <v>0</v>
      </c>
      <c r="BB60" s="16">
        <f>SUM(BB56,BB57)</f>
        <v>0</v>
      </c>
      <c r="BC60" s="16">
        <f>SUM(BC56,BC57)</f>
        <v>0</v>
      </c>
      <c r="BD60" s="16">
        <f>SUM(BD56,BD57)</f>
        <v>0</v>
      </c>
      <c r="BE60" s="16">
        <f>SUM(BE56,BE57)</f>
        <v>0</v>
      </c>
      <c r="BF60" s="16">
        <f>SUM(BF56,BF57)</f>
        <v>0</v>
      </c>
      <c r="BG60" s="16">
        <f>SUM(BG56,BG57)</f>
        <v>0</v>
      </c>
      <c r="BH60" s="16">
        <f>SUM(BH56,BH57)</f>
        <v>0</v>
      </c>
      <c r="BI60" s="16">
        <f>SUM(BI56,BI57)</f>
        <v>0</v>
      </c>
      <c r="BJ60" s="16">
        <f>SUM(BJ56,BJ57)</f>
        <v>0</v>
      </c>
      <c r="BK60" s="16">
        <f>SUM(BK56,BK57)</f>
        <v>0</v>
      </c>
      <c r="BL60" s="16">
        <f>SUM(BL56,BL57)</f>
        <v>0</v>
      </c>
      <c r="BM60" s="16">
        <f>SUM(BM56,BM57)</f>
        <v>0</v>
      </c>
      <c r="BN60" s="16">
        <f>SUM(BN56,BN57)</f>
        <v>0</v>
      </c>
      <c r="BO60" s="16">
        <f>SUM(BO56,BO57)</f>
        <v>0</v>
      </c>
      <c r="BP60" s="16">
        <f>SUM(BP56,BP57)</f>
        <v>0</v>
      </c>
      <c r="BQ60" s="16">
        <f>SUM(BQ56,BQ57)</f>
        <v>0</v>
      </c>
      <c r="BR60" s="16">
        <f>SUM(BR56,BR57)</f>
        <v>0</v>
      </c>
      <c r="BS60" s="16">
        <f>SUM(BS56,BS57)</f>
        <v>0</v>
      </c>
      <c r="BT60" s="16">
        <f>SUM(BT56,BT57)</f>
        <v>0</v>
      </c>
      <c r="BU60" s="16">
        <f>SUM(BU56,BU57)</f>
        <v>0</v>
      </c>
      <c r="BV60" s="16">
        <f>SUM(BV56,BV57)</f>
        <v>0</v>
      </c>
      <c r="BW60" s="16">
        <f>SUM(BW56,BW57)</f>
        <v>0</v>
      </c>
      <c r="BX60" s="16">
        <f>SUM(BX56,BX57)</f>
        <v>0</v>
      </c>
      <c r="BY60" s="16">
        <f>SUM(BY56,BY57)</f>
        <v>0</v>
      </c>
      <c r="BZ60" s="16">
        <f>SUM(BZ56,BZ57)</f>
        <v>0</v>
      </c>
      <c r="CA60" s="16">
        <f>SUM(CA56,CA57)</f>
        <v>0</v>
      </c>
      <c r="CB60" s="16">
        <f>SUM(CB56,CB57)</f>
        <v>0</v>
      </c>
      <c r="CC60" s="16">
        <f>SUM(CC56,CC57)</f>
        <v>0</v>
      </c>
      <c r="CD60" s="16">
        <f>SUM(CD56,CD57)</f>
        <v>0</v>
      </c>
      <c r="CE60" s="16">
        <f>SUM(CE56,CE57)</f>
        <v>0</v>
      </c>
      <c r="CF60" s="16">
        <f>SUM(CF56,CF57)</f>
        <v>0</v>
      </c>
      <c r="CG60" s="16">
        <f>SUM(CG56,CG57)</f>
        <v>0</v>
      </c>
      <c r="CH60" s="16">
        <f>SUM(CH56,CH57)</f>
        <v>0</v>
      </c>
      <c r="CI60" s="16">
        <f>SUM(CI56,CI57)</f>
        <v>0</v>
      </c>
      <c r="CJ60" s="16">
        <f>SUM(CJ56,CJ57)</f>
        <v>0</v>
      </c>
      <c r="CK60" s="16">
        <f>SUM(CK56,CK57)</f>
        <v>0</v>
      </c>
      <c r="CL60" s="16">
        <f>SUM(CL56,CL57)</f>
        <v>0</v>
      </c>
      <c r="CM60" s="16">
        <f>SUM(CM56,CM57)</f>
        <v>0</v>
      </c>
      <c r="CN60" s="16">
        <f>SUM(CN56,CN57)</f>
        <v>0</v>
      </c>
      <c r="CO60" s="16">
        <f>SUM(CO56,CO57)</f>
        <v>0</v>
      </c>
      <c r="CP60" s="16">
        <f>SUM(CP56,CP57)</f>
        <v>0</v>
      </c>
      <c r="CQ60" s="16">
        <f>SUM(CQ56,CQ57)</f>
        <v>0</v>
      </c>
      <c r="CR60" s="16">
        <f>SUM(CR56,CR57)</f>
        <v>0</v>
      </c>
      <c r="CS60" s="16">
        <f>SUM(CS56,CS57)</f>
        <v>0</v>
      </c>
      <c r="CT60" s="16">
        <f>SUM(CT56,CT57)</f>
        <v>0</v>
      </c>
      <c r="CU60" s="16">
        <f>SUM(CU56,CU57)</f>
        <v>0</v>
      </c>
      <c r="CV60" s="16">
        <f>SUM(CV56,CV57)</f>
        <v>0</v>
      </c>
      <c r="CW60" s="16">
        <f>SUM(CW56,CW57)</f>
        <v>0</v>
      </c>
      <c r="CX60" s="16">
        <f>SUM(CX56,CX57)</f>
        <v>0</v>
      </c>
      <c r="CY60" s="16">
        <f>SUM(CY56,CY57)</f>
        <v>0</v>
      </c>
    </row>
    <row r="61">
      <c r="C61" s="26" t="inlineStr">
        <is>
          <t>Interest Expense</t>
        </is>
      </c>
      <c r="D61" s="25">
        <f>INDEX('Inputs (2)'!$D$8:$AL$8,MATCH(D$7,'Inputs (2)'!$D$2:$AL$2,0))</f>
        <v>-342</v>
      </c>
      <c r="E61" s="25">
        <f>INDEX('Inputs (2)'!$D$8:$AL$8,MATCH(E$7,'Inputs (2)'!$D$2:$AL$2,0))</f>
        <v>-290</v>
      </c>
      <c r="F61" s="25">
        <f>INDEX('Inputs (2)'!$D$8:$AL$8,MATCH(F$7,'Inputs (2)'!$D$2:$AL$2,0))</f>
        <v>-278</v>
      </c>
      <c r="G61" s="25">
        <f>INDEX('Inputs (2)'!$D$8:$AL$8,MATCH(G$7,'Inputs (2)'!$D$2:$AL$2,0))</f>
        <v>-271</v>
      </c>
      <c r="H61" s="3">
        <f>SUM(D61:G61)</f>
        <v>-1181</v>
      </c>
      <c r="I61" s="25">
        <f>INDEX('Inputs (2)'!$D$8:$AL$8,MATCH(I$7,'Inputs (2)'!$D$2:$AL$2,0))</f>
        <v>-268</v>
      </c>
      <c r="J61" s="25">
        <f>INDEX('Inputs (2)'!$D$8:$AL$8,MATCH(J$7,'Inputs (2)'!$D$2:$AL$2,0))</f>
        <v>-244</v>
      </c>
      <c r="K61" s="25">
        <f>INDEX('Inputs (2)'!$D$8:$AL$8,MATCH(K$7,'Inputs (2)'!$D$2:$AL$2,0))</f>
        <v>-210</v>
      </c>
      <c r="L61" s="25">
        <f>INDEX('Inputs (2)'!$D$8:$AL$8,MATCH(L$7,'Inputs (2)'!$D$2:$AL$2,0))</f>
        <v>-229</v>
      </c>
      <c r="M61" s="3">
        <f>SUM(I61:L61)</f>
        <v>-951</v>
      </c>
      <c r="N61" s="25">
        <f>INDEX('Inputs (2)'!$D$8:$AL$8,MATCH(N$7,'Inputs (2)'!$D$2:$AL$2,0))</f>
        <v>-187</v>
      </c>
      <c r="O61" s="25">
        <f>INDEX('Inputs (2)'!$D$8:$AL$8,MATCH(O$7,'Inputs (2)'!$D$2:$AL$2,0))</f>
        <v>-296</v>
      </c>
      <c r="P61" s="25">
        <f>INDEX('Inputs (2)'!$D$8:$AL$8,MATCH(P$7,'Inputs (2)'!$D$2:$AL$2,0))</f>
        <v>-349</v>
      </c>
      <c r="Q61" s="25">
        <f>INDEX('Inputs (2)'!$D$8:$AL$8,MATCH(Q$7,'Inputs (2)'!$D$2:$AL$2,0))</f>
        <v>-479</v>
      </c>
      <c r="R61" s="3">
        <f>SUM(N61:Q61)</f>
        <v>-1311</v>
      </c>
      <c r="S61" s="25">
        <f>INDEX('Inputs (2)'!$D$8:$AL$8,MATCH(S$7,'Inputs (2)'!$D$2:$AL$2,0))</f>
        <v>-569</v>
      </c>
      <c r="T61" s="25">
        <f>INDEX('Inputs (2)'!$D$8:$AL$8,MATCH(T$7,'Inputs (2)'!$D$2:$AL$2,0))</f>
        <v>-623</v>
      </c>
      <c r="U61" s="25">
        <f>INDEX('Inputs (2)'!$D$8:$AL$8,MATCH(U$7,'Inputs (2)'!$D$2:$AL$2,0))</f>
        <v>-782</v>
      </c>
      <c r="V61" s="25">
        <f>INDEX('Inputs (2)'!$D$8:$AL$8,MATCH(V$7,'Inputs (2)'!$D$2:$AL$2,0))</f>
        <v>-802</v>
      </c>
      <c r="W61" s="3">
        <f>SUM(S61:V61)</f>
        <v>-2776</v>
      </c>
      <c r="X61" s="25">
        <f>INDEX('Inputs (2)'!$D$8:$AL$8,MATCH(X$7,'Inputs (2)'!$D$2:$AL$2,0))</f>
        <v>-836</v>
      </c>
      <c r="Y61" s="25">
        <f>INDEX('Inputs (2)'!$D$8:$AL$8,MATCH(Y$7,'Inputs (2)'!$D$2:$AL$2,0))</f>
        <v>-840</v>
      </c>
      <c r="Z61" s="25">
        <f>INDEX('Inputs (2)'!$D$8:$AL$8,MATCH(Z$7,'Inputs (2)'!$D$2:$AL$2,0))</f>
        <v>-870</v>
      </c>
      <c r="AA61" s="25">
        <f>INDEX('Inputs (2)'!$D$8:$AL$8,MATCH(AA$7,'Inputs (2)'!$D$2:$AL$2,0))</f>
        <v>-829</v>
      </c>
      <c r="AB61" s="3">
        <f>SUM(X61:AA61)</f>
        <v>-3375</v>
      </c>
      <c r="AC61" s="25">
        <f>INDEX('Inputs (2)'!$D$8:$AL$8,MATCH(AC$7,'Inputs (2)'!$D$2:$AL$2,0))</f>
        <v>-784</v>
      </c>
      <c r="AD61" s="25">
        <f>INDEX('Inputs (2)'!$D$8:$AL$8,MATCH(AD$7,'Inputs (2)'!$D$2:$AL$2,0))</f>
        <v>-794</v>
      </c>
      <c r="AE61" s="25">
        <f>INDEX('Inputs (2)'!$D$8:$AL$8,MATCH(AE$7,'Inputs (2)'!$D$2:$AL$2,0))</f>
        <v>-762</v>
      </c>
      <c r="AF61" s="25">
        <f>INDEX('Inputs (2)'!$D$8:$AL$8,MATCH(AF$7,'Inputs (2)'!$D$2:$AL$2,0))</f>
        <v>-719</v>
      </c>
      <c r="AG61" s="3">
        <f>SUM(AC61:AF61)</f>
        <v>-3059</v>
      </c>
      <c r="AH61" s="3">
        <f>INDEX('Inputs (2)'!$D$8:$AL$8,MATCH(AH$7,'Inputs (2)'!$D$2:$AL$2,0))</f>
        <v>-712</v>
      </c>
      <c r="AI61" s="3">
        <f>INDEX('Inputs (2)'!$D$8:$AL$8,MATCH(AI$7,'Inputs (2)'!$D$2:$AL$2,0))</f>
        <v>-710</v>
      </c>
      <c r="AJ61" s="3" t="n"/>
      <c r="AK61" s="3" t="n"/>
      <c r="AL61" s="3">
        <f>SUM(AH61:AK61)</f>
        <v>-1422</v>
      </c>
      <c r="AM61" s="3" t="n"/>
      <c r="AN61" s="3" t="n"/>
      <c r="AO61" s="3" t="n"/>
      <c r="AP61" s="3" t="n"/>
      <c r="AQ61" s="3">
        <f>SUM(AM61:AP61)</f>
        <v>0</v>
      </c>
      <c r="AR61" s="3" t="n"/>
      <c r="AS61" s="3" t="n"/>
      <c r="AT61" s="3" t="n"/>
      <c r="AU61" s="3" t="n"/>
      <c r="AV61" s="3">
        <f>SUM(AR61:AU61)</f>
        <v>0</v>
      </c>
      <c r="AW61" s="3" t="n"/>
      <c r="AX61" s="3" t="n"/>
      <c r="AY61" s="3" t="n"/>
      <c r="AZ61" s="3" t="n"/>
      <c r="BA61" s="3">
        <f>SUM(AW61:AZ61)</f>
        <v>0</v>
      </c>
      <c r="BB61" s="3" t="n"/>
      <c r="BC61" s="3" t="n"/>
      <c r="BD61" s="3" t="n"/>
      <c r="BE61" s="3" t="n"/>
      <c r="BF61" s="3">
        <f>SUM(BB61:BE61)</f>
        <v>0</v>
      </c>
      <c r="BG61" s="3" t="n"/>
      <c r="BH61" s="3" t="n"/>
      <c r="BI61" s="3" t="n"/>
      <c r="BJ61" s="3" t="n"/>
      <c r="BK61" s="3">
        <f>SUM(BG61:BJ61)</f>
        <v>0</v>
      </c>
      <c r="BL61" s="3" t="n"/>
      <c r="BM61" s="3" t="n"/>
      <c r="BN61" s="3" t="n"/>
      <c r="BO61" s="3" t="n"/>
      <c r="BP61" s="3">
        <f>SUM(BL61:BO61)</f>
        <v>0</v>
      </c>
      <c r="BQ61" s="3" t="n"/>
      <c r="BR61" s="3" t="n"/>
      <c r="BS61" s="3" t="n"/>
      <c r="BT61" s="3" t="n"/>
      <c r="BU61" s="3">
        <f>SUM(BQ61:BT61)</f>
        <v>0</v>
      </c>
      <c r="BV61" s="3" t="n"/>
      <c r="BW61" s="3" t="n"/>
      <c r="BX61" s="3" t="n"/>
      <c r="BY61" s="3" t="n"/>
      <c r="BZ61" s="3">
        <f>SUM(BV61:BY61)</f>
        <v>0</v>
      </c>
      <c r="CA61" s="3" t="n"/>
      <c r="CB61" s="3" t="n"/>
      <c r="CC61" s="3" t="n"/>
      <c r="CD61" s="3" t="n"/>
      <c r="CE61" s="3">
        <f>SUM(CA61:CD61)</f>
        <v>0</v>
      </c>
      <c r="CF61" s="3" t="n"/>
      <c r="CG61" s="3" t="n"/>
      <c r="CH61" s="3" t="n"/>
      <c r="CI61" s="3" t="n"/>
      <c r="CJ61" s="3">
        <f>SUM(CF61:CI61)</f>
        <v>0</v>
      </c>
      <c r="CK61" s="3" t="n"/>
      <c r="CL61" s="3" t="n"/>
      <c r="CM61" s="3" t="n"/>
      <c r="CN61" s="3" t="n"/>
      <c r="CO61" s="3">
        <f>SUM(CK61:CN61)</f>
        <v>0</v>
      </c>
      <c r="CP61" s="3" t="n"/>
      <c r="CQ61" s="3" t="n"/>
      <c r="CR61" s="3" t="n"/>
      <c r="CS61" s="3" t="n"/>
      <c r="CT61" s="3">
        <f>SUM(CP61:CS61)</f>
        <v>0</v>
      </c>
      <c r="CU61" s="3" t="n"/>
      <c r="CV61" s="3" t="n"/>
      <c r="CW61" s="3" t="n"/>
      <c r="CX61" s="3" t="n"/>
      <c r="CY61" s="3">
        <f>SUM(CU61:CX61)</f>
        <v>0</v>
      </c>
    </row>
    <row r="62" hidden="1" outlineLevel="1">
      <c r="C62" s="32" t="inlineStr">
        <is>
          <t>% of Debt</t>
        </is>
      </c>
      <c r="D62" s="48">
        <f>IFERROR(-D61/SUM(D199+D204),0)</f>
        <v>0.00996387367439692</v>
      </c>
      <c r="E62" s="48">
        <f>IFERROR(-E61/SUM(E199+E204),0)</f>
        <v>0.00852013984781267</v>
      </c>
      <c r="F62" s="48">
        <f>IFERROR(-F61/SUM(F199+F204),0)</f>
        <v>0.00849269872304027</v>
      </c>
      <c r="G62" s="48">
        <f>IFERROR(-G61/SUM(G199+G204),0)</f>
        <v>0.00826925424142561</v>
      </c>
      <c r="H62" s="3" t="n"/>
      <c r="I62" s="48">
        <f>IFERROR(-I61/SUM(I199+I204),0)</f>
        <v>0.008036945960535</v>
      </c>
      <c r="J62" s="48">
        <f>IFERROR(-J61/SUM(J199+J204),0)</f>
        <v>0.00571642770124637</v>
      </c>
      <c r="K62" s="48">
        <f>IFERROR(-K61/SUM(K199+K204),0)</f>
        <v>0.00479375442280914</v>
      </c>
      <c r="L62" s="48">
        <f>IFERROR(-L61/SUM(L199+L204),0)</f>
        <v>0.00522497033859633</v>
      </c>
      <c r="M62" s="3" t="n"/>
      <c r="N62" s="48">
        <f>IFERROR(-N61/SUM(N199+N204),0)</f>
        <v>0.00416852429781543</v>
      </c>
      <c r="O62" s="48">
        <f>IFERROR(-O61/SUM(O199+O204),0)</f>
        <v>0.0208803611738149</v>
      </c>
      <c r="P62" s="48">
        <f>IFERROR(-P61/SUM(P199+P204),0)</f>
        <v>0.0277160101651842</v>
      </c>
      <c r="Q62" s="48">
        <f>IFERROR(-Q61/SUM(Q199+Q204),0)</f>
        <v>0.0339019038856253</v>
      </c>
      <c r="R62" s="3" t="n"/>
      <c r="S62" s="48">
        <f>IFERROR(-S61/SUM(S199+S204),0)</f>
        <v>0.0332573499327839</v>
      </c>
      <c r="T62" s="48">
        <f>IFERROR(-T61/SUM(T199+T204),0)</f>
        <v>0.0363413638219682</v>
      </c>
      <c r="U62" s="48">
        <f>IFERROR(-U61/SUM(U199+U204),0)</f>
        <v>0.0435921734767824</v>
      </c>
      <c r="V62" s="48">
        <f>IFERROR(-V61/SUM(V199+V204),0)</f>
        <v>0.0468540047905591</v>
      </c>
      <c r="W62" s="3" t="n"/>
      <c r="X62" s="48">
        <f>IFERROR(-X61/SUM(X199+X204),0)</f>
        <v>0.0472343070229957</v>
      </c>
      <c r="Y62" s="48">
        <f>IFERROR(-Y61/SUM(Y199+Y204),0)</f>
        <v>0.0549234994115339</v>
      </c>
      <c r="Z62" s="48">
        <f>IFERROR(-Z61/SUM(Z199+Z204),0)</f>
        <v>0.0642872977166925</v>
      </c>
      <c r="AA62" s="48">
        <f>IFERROR(-AA61/SUM(AA199+AA204),0)</f>
        <v>0.0647100148310046</v>
      </c>
      <c r="AB62" s="3" t="n"/>
      <c r="AC62" s="48">
        <f>IFERROR(-AC61/SUM(AC199+AC204),0)</f>
        <v>0.0491597692500627</v>
      </c>
      <c r="AD62" s="48">
        <f>IFERROR(-AD61/SUM(AD199+AD204),0)</f>
        <v>0.0543574998288492</v>
      </c>
      <c r="AE62" s="48">
        <f>IFERROR(-AE61/SUM(AE199+AE204),0)</f>
        <v>0.055233400985793</v>
      </c>
      <c r="AF62" s="231">
        <f>IFERROR(-AF61/SUM(AF199+AF204),0)</f>
        <v>0.049958310172318</v>
      </c>
      <c r="AG62" s="3" t="n"/>
      <c r="AH62" s="6">
        <f>IFERROR(-AH61/SUM(AH199+AH204),0)</f>
        <v>0.0455475946775844</v>
      </c>
      <c r="AI62" s="6">
        <f>IFERROR(-AI61/SUM(AI199+AI204),0)</f>
        <v>0.0414840782938942</v>
      </c>
      <c r="AJ62" s="6" t="n"/>
      <c r="AK62" s="6" t="n"/>
      <c r="AL62" s="3" t="n"/>
      <c r="AM62" s="6" t="n"/>
      <c r="AN62" s="6" t="n"/>
      <c r="AO62" s="6" t="n"/>
      <c r="AP62" s="6" t="n"/>
      <c r="AQ62" s="3" t="n"/>
      <c r="AR62" s="6" t="n"/>
      <c r="AS62" s="6" t="n"/>
      <c r="AT62" s="6" t="n"/>
      <c r="AU62" s="6" t="n"/>
      <c r="AV62" s="3" t="n"/>
      <c r="AW62" s="6" t="n"/>
      <c r="AX62" s="6" t="n"/>
      <c r="AY62" s="6" t="n"/>
      <c r="AZ62" s="6" t="n"/>
      <c r="BA62" s="3" t="n"/>
      <c r="BB62" s="6" t="n"/>
      <c r="BC62" s="6" t="n"/>
      <c r="BD62" s="6" t="n"/>
      <c r="BE62" s="6" t="n"/>
      <c r="BF62" s="3" t="n"/>
      <c r="BG62" s="6" t="n"/>
      <c r="BH62" s="6" t="n"/>
      <c r="BI62" s="6" t="n"/>
      <c r="BJ62" s="6" t="n"/>
      <c r="BK62" s="3" t="n"/>
      <c r="BL62" s="6" t="n"/>
      <c r="BM62" s="6" t="n"/>
      <c r="BN62" s="6" t="n"/>
      <c r="BO62" s="6" t="n"/>
      <c r="BP62" s="3" t="n"/>
      <c r="BQ62" s="6" t="n"/>
      <c r="BR62" s="6" t="n"/>
      <c r="BS62" s="6" t="n"/>
      <c r="BT62" s="6" t="n"/>
      <c r="BU62" s="3" t="n"/>
      <c r="BV62" s="6" t="n"/>
      <c r="BW62" s="6" t="n"/>
      <c r="BX62" s="6" t="n"/>
      <c r="BY62" s="6" t="n"/>
      <c r="BZ62" s="3" t="n"/>
      <c r="CA62" s="6" t="n"/>
      <c r="CB62" s="6" t="n"/>
      <c r="CC62" s="6" t="n"/>
      <c r="CD62" s="6" t="n"/>
      <c r="CE62" s="3" t="n"/>
      <c r="CF62" s="6" t="n"/>
      <c r="CG62" s="6" t="n"/>
      <c r="CH62" s="6" t="n"/>
      <c r="CI62" s="6" t="n"/>
      <c r="CJ62" s="3" t="n"/>
      <c r="CK62" s="6" t="n"/>
      <c r="CL62" s="6" t="n"/>
      <c r="CM62" s="6" t="n"/>
      <c r="CN62" s="6" t="n"/>
      <c r="CO62" s="3" t="n"/>
      <c r="CP62" s="6" t="n"/>
      <c r="CQ62" s="6" t="n"/>
      <c r="CR62" s="6" t="n"/>
      <c r="CS62" s="6" t="n"/>
      <c r="CT62" s="3" t="n"/>
      <c r="CU62" s="6" t="n"/>
      <c r="CV62" s="6" t="n"/>
      <c r="CW62" s="6" t="n"/>
      <c r="CX62" s="6" t="n"/>
      <c r="CY62" s="3" t="n"/>
    </row>
    <row r="63" hidden="1" outlineLevel="1">
      <c r="C63" s="32" t="inlineStr">
        <is>
          <t>%CDI</t>
        </is>
      </c>
      <c r="D63" s="6" t="n"/>
      <c r="E63" s="6" t="n"/>
      <c r="F63" s="6" t="n"/>
      <c r="G63" s="6" t="n"/>
      <c r="H63" s="3" t="n"/>
      <c r="I63" s="6" t="n"/>
      <c r="J63" s="6" t="n"/>
      <c r="K63" s="6" t="n"/>
      <c r="L63" s="6" t="n"/>
      <c r="M63" s="3" t="n"/>
      <c r="N63" s="6" t="n"/>
      <c r="O63" s="6" t="n"/>
      <c r="P63" s="6" t="n"/>
      <c r="Q63" s="6" t="n"/>
      <c r="R63" s="3" t="n"/>
      <c r="S63" s="6" t="n"/>
      <c r="T63" s="6" t="n"/>
      <c r="U63" s="6" t="n"/>
      <c r="V63" s="6" t="n"/>
      <c r="W63" s="3" t="n"/>
      <c r="X63" s="6" t="n"/>
      <c r="Y63" s="6" t="n"/>
      <c r="Z63" s="6" t="n"/>
      <c r="AA63" s="6" t="n"/>
      <c r="AB63" s="3" t="n"/>
      <c r="AC63" s="6" t="n"/>
      <c r="AD63" s="6" t="n"/>
      <c r="AE63" s="6" t="n"/>
      <c r="AF63" s="6" t="n"/>
      <c r="AG63" s="3" t="n"/>
      <c r="AH63" s="6" t="n"/>
      <c r="AI63" s="6" t="n"/>
      <c r="AJ63" s="6" t="n"/>
      <c r="AK63" s="6" t="n"/>
      <c r="AL63" s="3" t="n"/>
      <c r="AM63" s="6" t="n"/>
      <c r="AN63" s="6" t="n"/>
      <c r="AO63" s="6" t="n"/>
      <c r="AP63" s="6" t="n"/>
      <c r="AQ63" s="3" t="n"/>
      <c r="AR63" s="6" t="n"/>
      <c r="AS63" s="6" t="n"/>
      <c r="AT63" s="6" t="n"/>
      <c r="AU63" s="6" t="n"/>
      <c r="AV63" s="3" t="n"/>
      <c r="AW63" s="6" t="n"/>
      <c r="AX63" s="6" t="n"/>
      <c r="AY63" s="6" t="n"/>
      <c r="AZ63" s="6" t="n"/>
      <c r="BA63" s="3" t="n"/>
      <c r="BB63" s="6" t="n"/>
      <c r="BC63" s="6" t="n"/>
      <c r="BD63" s="6" t="n"/>
      <c r="BE63" s="6" t="n"/>
      <c r="BF63" s="3" t="n"/>
      <c r="BG63" s="6" t="n"/>
      <c r="BH63" s="6" t="n"/>
      <c r="BI63" s="6" t="n"/>
      <c r="BJ63" s="6" t="n"/>
      <c r="BK63" s="3" t="n"/>
      <c r="BL63" s="6" t="n"/>
      <c r="BM63" s="6" t="n"/>
      <c r="BN63" s="6" t="n"/>
      <c r="BO63" s="6" t="n"/>
      <c r="BP63" s="3" t="n"/>
      <c r="BQ63" s="6" t="n"/>
      <c r="BR63" s="6" t="n"/>
      <c r="BS63" s="6" t="n"/>
      <c r="BT63" s="6" t="n"/>
      <c r="BU63" s="3" t="n"/>
      <c r="BV63" s="6" t="n"/>
      <c r="BW63" s="6" t="n"/>
      <c r="BX63" s="6" t="n"/>
      <c r="BY63" s="6" t="n"/>
      <c r="BZ63" s="3" t="n"/>
      <c r="CA63" s="6" t="n"/>
      <c r="CB63" s="6" t="n"/>
      <c r="CC63" s="6" t="n"/>
      <c r="CD63" s="6" t="n"/>
      <c r="CE63" s="3" t="n"/>
      <c r="CF63" s="6" t="n"/>
      <c r="CG63" s="6" t="n"/>
      <c r="CH63" s="6" t="n"/>
      <c r="CI63" s="6" t="n"/>
      <c r="CJ63" s="3" t="n"/>
      <c r="CK63" s="6" t="n"/>
      <c r="CL63" s="6" t="n"/>
      <c r="CM63" s="6" t="n"/>
      <c r="CN63" s="6" t="n"/>
      <c r="CO63" s="3" t="n"/>
      <c r="CP63" s="6" t="n"/>
      <c r="CQ63" s="6" t="n"/>
      <c r="CR63" s="6" t="n"/>
      <c r="CS63" s="6" t="n"/>
      <c r="CT63" s="3" t="n"/>
      <c r="CU63" s="6" t="n"/>
      <c r="CV63" s="6" t="n"/>
      <c r="CW63" s="6" t="n"/>
      <c r="CX63" s="6" t="n"/>
      <c r="CY63" s="3" t="n"/>
    </row>
    <row r="64" hidden="1" outlineLevel="1">
      <c r="C64" s="34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</row>
    <row r="65" hidden="1" outlineLevel="1">
      <c r="C65" s="3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</row>
    <row r="66" hidden="1" outlineLevel="1">
      <c r="C66" s="34" t="inlineStr">
        <is>
          <t>RECEITA FINANCEIRA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hidden="1" outlineLevel="1">
      <c r="C67" s="34" t="inlineStr">
        <is>
          <t>DESPESA FINANCEIRA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hidden="1" outlineLevel="1">
      <c r="C68" s="34" t="inlineStr">
        <is>
          <t>OUTROS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inlineStr">
        <is>
          <t>Cash and equivalents (inc. investment securities)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Interest on cash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Average interest rate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% CDI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Current portion of long-term debt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Short term debt (Revolving credit facility)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Long term debt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Convertible debt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Total debt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Interest expense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Average interest rate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Stake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PRE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CDI+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Spread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PRE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CDI+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RECEITAS FINANCEIRAS - Rendimentos de aplicações financeiras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RECEITAS FINANCEIRAS - Variação cambial ativa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RECEITAS FINANCEIRAS - Atualização de contas a pagar por aquisição de empresas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RECEITAS FINANCEIRAS - Resultado positivo com instrumentos derivativos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RECEITAS FINANCEIRAS - Descontos obtidos de fornecedores por antecipação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RECEITAS FINANCEIRAS - Atualização monetária sobre Exclusão ICMS da base de PIS/COFINS (nota explicativa nº 7)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RECEITAS FINANCEIRAS - Outras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DESPESAS FINANCEIRAS - Encargos sobre empréstimos, financiamentos e debêntures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DESPESAS FINANCEIRAS - Variação cambial passiva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DESPESAS FINANCEIRAS - Resultado negativo com instrumentos derivativos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DESPESAS FINANCEIRAS - Juros sobre arrendamento - IFRS16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DESPESAS FINANCEIRAS - Despesas bancárias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DESPESAS FINANCEIRAS - Despesas com obtenção de empréstimos e financiamentos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DESPESAS FINANCEIRAS - Atualização de contas a pagar por aquisição de empresas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DESPESAS FINANCEIRAS - Outras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CHECK [EX IFRS-16]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collapsed="1">
      <c r="C110" s="26" t="inlineStr">
        <is>
          <t>Nonoperating Income / (Loss)</t>
        </is>
      </c>
      <c r="D110" s="25">
        <f>INDEX('Inputs (2)'!$D$9:$AL$9,MATCH(D$7,'Inputs (2)'!$D$2:$AL$2,0))</f>
        <v>305</v>
      </c>
      <c r="E110" s="25">
        <f>INDEX('Inputs (2)'!$D$9:$AL$9,MATCH(E$7,'Inputs (2)'!$D$2:$AL$2,0))</f>
        <v>170</v>
      </c>
      <c r="F110" s="25">
        <f>INDEX('Inputs (2)'!$D$9:$AL$9,MATCH(F$7,'Inputs (2)'!$D$2:$AL$2,0))</f>
        <v>89</v>
      </c>
      <c r="G110" s="25">
        <f>INDEX('Inputs (2)'!$D$9:$AL$9,MATCH(G$7,'Inputs (2)'!$D$2:$AL$2,0))</f>
        <v>161</v>
      </c>
      <c r="H110" s="3">
        <f>SUM(D110:G110)</f>
        <v>725</v>
      </c>
      <c r="I110" s="25">
        <f>INDEX('Inputs (2)'!$D$9:$AL$9,MATCH(I$7,'Inputs (2)'!$D$2:$AL$2,0))</f>
        <v>141</v>
      </c>
      <c r="J110" s="25">
        <f>INDEX('Inputs (2)'!$D$9:$AL$9,MATCH(J$7,'Inputs (2)'!$D$2:$AL$2,0))</f>
        <v>151</v>
      </c>
      <c r="K110" s="25">
        <f>INDEX('Inputs (2)'!$D$9:$AL$9,MATCH(K$7,'Inputs (2)'!$D$2:$AL$2,0))</f>
        <v>131</v>
      </c>
      <c r="L110" s="25">
        <f>INDEX('Inputs (2)'!$D$9:$AL$9,MATCH(L$7,'Inputs (2)'!$D$2:$AL$2,0))</f>
        <v>145</v>
      </c>
      <c r="M110" s="3">
        <f>SUM(I110:L110)</f>
        <v>568</v>
      </c>
      <c r="N110" s="25">
        <f>INDEX('Inputs (2)'!$D$9:$AL$9,MATCH(N$7,'Inputs (2)'!$D$2:$AL$2,0))</f>
        <v>69</v>
      </c>
      <c r="O110" s="25">
        <f>INDEX('Inputs (2)'!$D$9:$AL$9,MATCH(O$7,'Inputs (2)'!$D$2:$AL$2,0))</f>
        <v>189</v>
      </c>
      <c r="P110" s="25">
        <f>INDEX('Inputs (2)'!$D$9:$AL$9,MATCH(P$7,'Inputs (2)'!$D$2:$AL$2,0))</f>
        <v>278</v>
      </c>
      <c r="Q110" s="25">
        <f>INDEX('Inputs (2)'!$D$9:$AL$9,MATCH(Q$7,'Inputs (2)'!$D$2:$AL$2,0))</f>
        <v>454</v>
      </c>
      <c r="R110" s="3">
        <f>SUM(N110:Q110)</f>
        <v>990</v>
      </c>
      <c r="S110" s="25">
        <f>INDEX('Inputs (2)'!$D$9:$AL$9,MATCH(S$7,'Inputs (2)'!$D$2:$AL$2,0))</f>
        <v>519</v>
      </c>
      <c r="T110" s="25">
        <f>INDEX('Inputs (2)'!$D$9:$AL$9,MATCH(T$7,'Inputs (2)'!$D$2:$AL$2,0))</f>
        <v>713</v>
      </c>
      <c r="U110" s="25">
        <f>INDEX('Inputs (2)'!$D$9:$AL$9,MATCH(U$7,'Inputs (2)'!$D$2:$AL$2,0))</f>
        <v>829</v>
      </c>
      <c r="V110" s="25">
        <f>INDEX('Inputs (2)'!$D$9:$AL$9,MATCH(V$7,'Inputs (2)'!$D$2:$AL$2,0))</f>
        <v>3017</v>
      </c>
      <c r="W110" s="3">
        <f>SUM(S110:V110)</f>
        <v>5078</v>
      </c>
      <c r="X110" s="25">
        <f>INDEX('Inputs (2)'!$D$9:$AL$9,MATCH(X$7,'Inputs (2)'!$D$2:$AL$2,0))</f>
        <v>3953</v>
      </c>
      <c r="Y110" s="25">
        <f>INDEX('Inputs (2)'!$D$9:$AL$9,MATCH(Y$7,'Inputs (2)'!$D$2:$AL$2,0))</f>
        <v>3195</v>
      </c>
      <c r="Z110" s="25">
        <f>INDEX('Inputs (2)'!$D$9:$AL$9,MATCH(Z$7,'Inputs (2)'!$D$2:$AL$2,0))</f>
        <v>2389</v>
      </c>
      <c r="AA110" s="25">
        <f>INDEX('Inputs (2)'!$D$9:$AL$9,MATCH(AA$7,'Inputs (2)'!$D$2:$AL$2,0))</f>
        <v>1724</v>
      </c>
      <c r="AB110" s="3">
        <f>SUM(X110:AA110)</f>
        <v>11261</v>
      </c>
      <c r="AC110" s="25">
        <f>INDEX('Inputs (2)'!$D$9:$AL$9,MATCH(AC$7,'Inputs (2)'!$D$2:$AL$2,0))</f>
        <v>3121</v>
      </c>
      <c r="AD110" s="25">
        <f>INDEX('Inputs (2)'!$D$9:$AL$9,MATCH(AD$7,'Inputs (2)'!$D$2:$AL$2,0))</f>
        <v>2394</v>
      </c>
      <c r="AE110" s="25">
        <f>INDEX('Inputs (2)'!$D$9:$AL$9,MATCH(AE$7,'Inputs (2)'!$D$2:$AL$2,0))</f>
        <v>2187</v>
      </c>
      <c r="AF110" s="25">
        <f>INDEX('Inputs (2)'!$D$9:$AL$9,MATCH(AF$7,'Inputs (2)'!$D$2:$AL$2,0))</f>
        <v>1555</v>
      </c>
      <c r="AG110" s="3">
        <f>SUM(AC110:AF110)</f>
        <v>9257</v>
      </c>
      <c r="AH110" s="3">
        <f>INDEX('Inputs (2)'!$D$9:$AL$9,MATCH(AH$7,'Inputs (2)'!$D$2:$AL$2,0))</f>
        <v>3005</v>
      </c>
      <c r="AI110" s="3">
        <f>INDEX('Inputs (2)'!$D$9:$AL$9,MATCH(AI$7,'Inputs (2)'!$D$2:$AL$2,0))</f>
        <v>2592</v>
      </c>
      <c r="AJ110" s="3">
        <f>AH110</f>
        <v>3005</v>
      </c>
      <c r="AK110" s="3">
        <f>AI110</f>
        <v>2592</v>
      </c>
      <c r="AL110" s="3">
        <f>SUM(AH110:AK110)</f>
        <v>11194</v>
      </c>
      <c r="AM110" s="3">
        <f>AK110</f>
        <v>2592</v>
      </c>
      <c r="AN110" s="3">
        <f>AL110</f>
        <v>11194</v>
      </c>
      <c r="AO110" s="3">
        <f>AM110</f>
        <v>2592</v>
      </c>
      <c r="AP110" s="3">
        <f>AN110</f>
        <v>11194</v>
      </c>
      <c r="AQ110" s="3">
        <f>SUM(AM110:AP110)</f>
        <v>27572</v>
      </c>
      <c r="AR110" s="3">
        <f>AP110</f>
        <v>11194</v>
      </c>
      <c r="AS110" s="3">
        <f>AQ110</f>
        <v>27572</v>
      </c>
      <c r="AT110" s="3">
        <f>AR110</f>
        <v>11194</v>
      </c>
      <c r="AU110" s="3">
        <f>AS110</f>
        <v>27572</v>
      </c>
      <c r="AV110" s="3">
        <f>SUM(AR110:AU110)</f>
        <v>77532</v>
      </c>
      <c r="AW110" s="3">
        <f>AU110</f>
        <v>27572</v>
      </c>
      <c r="AX110" s="3">
        <f>AV110</f>
        <v>77532</v>
      </c>
      <c r="AY110" s="3">
        <f>AW110</f>
        <v>27572</v>
      </c>
      <c r="AZ110" s="3">
        <f>AX110</f>
        <v>77532</v>
      </c>
      <c r="BA110" s="3">
        <f>SUM(AW110:AZ110)</f>
        <v>210208</v>
      </c>
      <c r="BB110" s="3">
        <f>AZ110</f>
        <v>77532</v>
      </c>
      <c r="BC110" s="3">
        <f>BA110</f>
        <v>210208</v>
      </c>
      <c r="BD110" s="3">
        <f>BB110</f>
        <v>77532</v>
      </c>
      <c r="BE110" s="3">
        <f>BC110</f>
        <v>210208</v>
      </c>
      <c r="BF110" s="3">
        <f>SUM(BB110:BE110)</f>
        <v>575480</v>
      </c>
      <c r="BG110" s="3">
        <f>BE110</f>
        <v>210208</v>
      </c>
      <c r="BH110" s="3">
        <f>BF110</f>
        <v>575480</v>
      </c>
      <c r="BI110" s="3">
        <f>BG110</f>
        <v>210208</v>
      </c>
      <c r="BJ110" s="3">
        <f>BH110</f>
        <v>575480</v>
      </c>
      <c r="BK110" s="3">
        <f>SUM(BG110:BJ110)</f>
        <v>1571376</v>
      </c>
      <c r="BL110" s="3">
        <f>BJ110</f>
        <v>575480</v>
      </c>
      <c r="BM110" s="3">
        <f>BK110</f>
        <v>1571376</v>
      </c>
      <c r="BN110" s="3">
        <f>BL110</f>
        <v>575480</v>
      </c>
      <c r="BO110" s="3">
        <f>BM110</f>
        <v>1571376</v>
      </c>
      <c r="BP110" s="3">
        <f>SUM(BL110:BO110)</f>
        <v>4293712</v>
      </c>
      <c r="BQ110" s="3">
        <f>BO110</f>
        <v>1571376</v>
      </c>
      <c r="BR110" s="3">
        <f>BP110</f>
        <v>4293712</v>
      </c>
      <c r="BS110" s="3">
        <f>BQ110</f>
        <v>1571376</v>
      </c>
      <c r="BT110" s="3">
        <f>BR110</f>
        <v>4293712</v>
      </c>
      <c r="BU110" s="3">
        <f>SUM(BQ110:BT110)</f>
        <v>11730176</v>
      </c>
      <c r="BV110" s="3">
        <f>BT110</f>
        <v>4293712</v>
      </c>
      <c r="BW110" s="3">
        <f>BU110</f>
        <v>11730176</v>
      </c>
      <c r="BX110" s="3">
        <f>BV110</f>
        <v>4293712</v>
      </c>
      <c r="BY110" s="3">
        <f>BW110</f>
        <v>11730176</v>
      </c>
      <c r="BZ110" s="3">
        <f>SUM(BV110:BY110)</f>
        <v>32047776</v>
      </c>
      <c r="CA110" s="3">
        <f>BY110</f>
        <v>11730176</v>
      </c>
      <c r="CB110" s="3">
        <f>BZ110</f>
        <v>32047776</v>
      </c>
      <c r="CC110" s="3">
        <f>CA110</f>
        <v>11730176</v>
      </c>
      <c r="CD110" s="3">
        <f>CB110</f>
        <v>32047776</v>
      </c>
      <c r="CE110" s="3">
        <f>SUM(CA110:CD110)</f>
        <v>87555904</v>
      </c>
      <c r="CF110" s="3">
        <f>CD110</f>
        <v>32047776</v>
      </c>
      <c r="CG110" s="3">
        <f>CE110</f>
        <v>87555904</v>
      </c>
      <c r="CH110" s="3">
        <f>CF110</f>
        <v>32047776</v>
      </c>
      <c r="CI110" s="3">
        <f>CG110</f>
        <v>87555904</v>
      </c>
      <c r="CJ110" s="3">
        <f>SUM(CF110:CI110)</f>
        <v>239207360</v>
      </c>
      <c r="CK110" s="3">
        <f>CI110</f>
        <v>87555904</v>
      </c>
      <c r="CL110" s="3">
        <f>CJ110</f>
        <v>239207360</v>
      </c>
      <c r="CM110" s="3">
        <f>CK110</f>
        <v>87555904</v>
      </c>
      <c r="CN110" s="3">
        <f>CL110</f>
        <v>239207360</v>
      </c>
      <c r="CO110" s="3">
        <f>SUM(CK110:CN110)</f>
        <v>653526528</v>
      </c>
      <c r="CP110" s="3">
        <f>CN110</f>
        <v>239207360</v>
      </c>
      <c r="CQ110" s="3">
        <f>CO110</f>
        <v>653526528</v>
      </c>
      <c r="CR110" s="3">
        <f>CP110</f>
        <v>239207360</v>
      </c>
      <c r="CS110" s="3">
        <f>CQ110</f>
        <v>653526528</v>
      </c>
      <c r="CT110" s="3">
        <f>SUM(CP110:CS110)</f>
        <v>1785467776</v>
      </c>
      <c r="CU110" s="3">
        <f>CS110</f>
        <v>653526528</v>
      </c>
      <c r="CV110" s="3">
        <f>CT110</f>
        <v>1785467776</v>
      </c>
      <c r="CW110" s="3">
        <f>CU110</f>
        <v>653526528</v>
      </c>
      <c r="CX110" s="3">
        <f>CV110</f>
        <v>1785467776</v>
      </c>
      <c r="CY110" s="3">
        <f>SUM(CU110:CX110)</f>
        <v>4877988608</v>
      </c>
    </row>
    <row r="111" hidden="1" outlineLevel="1">
      <c r="C111" s="3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2" t="inlineStr">
        <is>
          <t>Resultado Não Recorrente</t>
        </is>
      </c>
      <c r="D112" s="6" t="n"/>
      <c r="E112" s="6" t="n"/>
      <c r="F112" s="6" t="n"/>
      <c r="G112" s="6" t="n"/>
      <c r="H112" s="3" t="n"/>
      <c r="I112" s="6" t="n"/>
      <c r="J112" s="6" t="n"/>
      <c r="K112" s="6" t="n"/>
      <c r="L112" s="6" t="n"/>
      <c r="M112" s="3" t="n"/>
      <c r="N112" s="6" t="n"/>
      <c r="O112" s="6" t="n"/>
      <c r="P112" s="6" t="n"/>
      <c r="Q112" s="6" t="n"/>
      <c r="R112" s="3" t="n"/>
      <c r="S112" s="6" t="n"/>
      <c r="T112" s="6" t="n"/>
      <c r="U112" s="6" t="n"/>
      <c r="V112" s="6" t="n"/>
      <c r="W112" s="3" t="n"/>
      <c r="X112" s="6" t="n"/>
      <c r="Y112" s="6" t="n"/>
      <c r="Z112" s="6" t="n"/>
      <c r="AA112" s="6" t="n"/>
      <c r="AB112" s="3" t="n"/>
      <c r="AC112" s="6" t="n"/>
      <c r="AD112" s="6" t="n"/>
      <c r="AE112" s="6" t="n"/>
      <c r="AF112" s="6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2" t="inlineStr">
        <is>
          <t>Plano de Opção de Compra de Ações</t>
        </is>
      </c>
      <c r="D113" s="6" t="n"/>
      <c r="E113" s="6" t="n"/>
      <c r="F113" s="6" t="n"/>
      <c r="G113" s="6" t="n"/>
      <c r="H113" s="3" t="n"/>
      <c r="I113" s="6" t="n"/>
      <c r="J113" s="6" t="n"/>
      <c r="K113" s="6" t="n"/>
      <c r="L113" s="6" t="n"/>
      <c r="M113" s="3" t="n"/>
      <c r="N113" s="6" t="n"/>
      <c r="O113" s="6" t="n"/>
      <c r="P113" s="6" t="n"/>
      <c r="Q113" s="6" t="n"/>
      <c r="R113" s="3" t="n"/>
      <c r="S113" s="6" t="n"/>
      <c r="T113" s="6" t="n"/>
      <c r="U113" s="6" t="n"/>
      <c r="V113" s="6" t="n"/>
      <c r="W113" s="3" t="n"/>
      <c r="X113" s="6" t="n"/>
      <c r="Y113" s="6" t="n"/>
      <c r="Z113" s="6" t="n"/>
      <c r="AA113" s="6" t="n"/>
      <c r="AB113" s="3" t="n"/>
      <c r="AC113" s="6" t="n"/>
      <c r="AD113" s="6" t="n"/>
      <c r="AE113" s="6" t="n"/>
      <c r="AF113" s="6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2" t="inlineStr">
        <is>
          <t>Baixa Imobilizado</t>
        </is>
      </c>
      <c r="D114" s="6" t="n"/>
      <c r="E114" s="6" t="n"/>
      <c r="F114" s="6" t="n"/>
      <c r="G114" s="6" t="n"/>
      <c r="H114" s="3" t="n"/>
      <c r="I114" s="6" t="n"/>
      <c r="J114" s="6" t="n"/>
      <c r="K114" s="6" t="n"/>
      <c r="L114" s="6" t="n"/>
      <c r="M114" s="3" t="n"/>
      <c r="N114" s="6" t="n"/>
      <c r="O114" s="6" t="n"/>
      <c r="P114" s="6" t="n"/>
      <c r="Q114" s="6" t="n"/>
      <c r="R114" s="3" t="n"/>
      <c r="S114" s="6" t="n"/>
      <c r="T114" s="6" t="n"/>
      <c r="U114" s="6" t="n"/>
      <c r="V114" s="6" t="n"/>
      <c r="W114" s="3" t="n"/>
      <c r="X114" s="6" t="n"/>
      <c r="Y114" s="6" t="n"/>
      <c r="Z114" s="6" t="n"/>
      <c r="AA114" s="6" t="n"/>
      <c r="AB114" s="3" t="n"/>
      <c r="AC114" s="6" t="n"/>
      <c r="AD114" s="6" t="n"/>
      <c r="AE114" s="6" t="n"/>
      <c r="AF114" s="6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collapsed="1" customFormat="1" s="17">
      <c r="A117" s="13" t="n"/>
      <c r="B117" s="1" t="n"/>
      <c r="C117" s="14" t="inlineStr">
        <is>
          <t>Pretax Income - EBT</t>
        </is>
      </c>
      <c r="D117" s="16">
        <f>SUM(D60,D61,D110)</f>
        <v>928</v>
      </c>
      <c r="E117" s="16">
        <f>SUM(E60,E61,E110)</f>
        <v>1270</v>
      </c>
      <c r="F117" s="16">
        <f>SUM(F60,F61,F110)</f>
        <v>1115</v>
      </c>
      <c r="G117" s="16">
        <f>SUM(G60,G61,G110)</f>
        <v>1528</v>
      </c>
      <c r="H117" s="16">
        <f>SUM(D117:G117)</f>
        <v>4841</v>
      </c>
      <c r="I117" s="16">
        <f>SUM(I60,I61,I110)</f>
        <v>2312</v>
      </c>
      <c r="J117" s="16">
        <f>SUM(J60,J61,J110)</f>
        <v>2150</v>
      </c>
      <c r="K117" s="16">
        <f>SUM(K60,K61,K110)</f>
        <v>1613</v>
      </c>
      <c r="L117" s="16">
        <f>SUM(L60,L61,L110)</f>
        <v>1151</v>
      </c>
      <c r="M117" s="16">
        <f>SUM(I117:L117)</f>
        <v>7226</v>
      </c>
      <c r="N117" s="16">
        <f>SUM(N60,N61,N110)</f>
        <v>2552</v>
      </c>
      <c r="O117" s="16">
        <f>SUM(O60,O61,O110)</f>
        <v>2539</v>
      </c>
      <c r="P117" s="16">
        <f>SUM(P60,P61,P110)</f>
        <v>2885</v>
      </c>
      <c r="Q117" s="16">
        <f>SUM(Q60,Q61,Q110)</f>
        <v>2493</v>
      </c>
      <c r="R117" s="16">
        <f>SUM(N117:Q117)</f>
        <v>10469</v>
      </c>
      <c r="S117" s="16">
        <f>SUM(S60,S61,S110)</f>
        <v>3848</v>
      </c>
      <c r="T117" s="16">
        <f>SUM(T60,T61,T110)</f>
        <v>3606</v>
      </c>
      <c r="U117" s="16">
        <f>SUM(U60,U61,U110)</f>
        <v>3073</v>
      </c>
      <c r="V117" s="16">
        <f>SUM(V60,V61,V110)</f>
        <v>2215</v>
      </c>
      <c r="W117" s="16">
        <f>SUM(S117:V117)</f>
        <v>12742</v>
      </c>
      <c r="X117" s="16">
        <f>SUM(X60,X61,X110)</f>
        <v>3117</v>
      </c>
      <c r="Y117" s="16">
        <f>SUM(Y60,Y61,Y110)</f>
        <v>2355</v>
      </c>
      <c r="Z117" s="16">
        <f>SUM(Z60,Z61,Z110)</f>
        <v>1519</v>
      </c>
      <c r="AA117" s="16">
        <f>SUM(AA60,AA61,AA110)</f>
        <v>895</v>
      </c>
      <c r="AB117" s="16">
        <f>SUM(X117:AA117)</f>
        <v>7886</v>
      </c>
      <c r="AC117" s="16">
        <f>SUM(AC60,AC61,AC110)</f>
        <v>2337</v>
      </c>
      <c r="AD117" s="16">
        <f>SUM(AD60,AD61,AD110)</f>
        <v>1600</v>
      </c>
      <c r="AE117" s="16">
        <f>SUM(AE60,AE61,AE110)</f>
        <v>1425</v>
      </c>
      <c r="AF117" s="16">
        <f>SUM(AF60,AF61,AF110)</f>
        <v>836</v>
      </c>
      <c r="AG117" s="16">
        <f>SUM(AC117:AF117)</f>
        <v>6198</v>
      </c>
      <c r="AH117" s="16">
        <f>SUM(AH60,AH61,AH110)</f>
        <v>2293</v>
      </c>
      <c r="AI117" s="16">
        <f>SUM(AI60,AI61,AI110)</f>
        <v>1882</v>
      </c>
      <c r="AJ117" s="16">
        <f>SUM(AJ60,AJ61,AJ110)</f>
        <v>3005</v>
      </c>
      <c r="AK117" s="16">
        <f>SUM(AK60,AK61,AK110)</f>
        <v>2592</v>
      </c>
      <c r="AL117" s="16">
        <f>SUM(AH117:AK117)</f>
        <v>9772</v>
      </c>
      <c r="AM117" s="16">
        <f>SUM(AM60,AM61,AM110)</f>
        <v>2592</v>
      </c>
      <c r="AN117" s="16">
        <f>SUM(AN60,AN61,AN110)</f>
        <v>11194</v>
      </c>
      <c r="AO117" s="16">
        <f>SUM(AO60,AO61,AO110)</f>
        <v>2592</v>
      </c>
      <c r="AP117" s="16">
        <f>SUM(AP60,AP61,AP110)</f>
        <v>11194</v>
      </c>
      <c r="AQ117" s="16">
        <f>SUM(AM117:AP117)</f>
        <v>27572</v>
      </c>
      <c r="AR117" s="16">
        <f>SUM(AR60,AR61,AR110)</f>
        <v>11194</v>
      </c>
      <c r="AS117" s="16">
        <f>SUM(AS60,AS61,AS110)</f>
        <v>27572</v>
      </c>
      <c r="AT117" s="16">
        <f>SUM(AT60,AT61,AT110)</f>
        <v>11194</v>
      </c>
      <c r="AU117" s="16">
        <f>SUM(AU60,AU61,AU110)</f>
        <v>27572</v>
      </c>
      <c r="AV117" s="16">
        <f>SUM(AR117:AU117)</f>
        <v>77532</v>
      </c>
      <c r="AW117" s="16">
        <f>SUM(AW60,AW61,AW110)</f>
        <v>27572</v>
      </c>
      <c r="AX117" s="16">
        <f>SUM(AX60,AX61,AX110)</f>
        <v>77532</v>
      </c>
      <c r="AY117" s="16">
        <f>SUM(AY60,AY61,AY110)</f>
        <v>27572</v>
      </c>
      <c r="AZ117" s="16">
        <f>SUM(AZ60,AZ61,AZ110)</f>
        <v>77532</v>
      </c>
      <c r="BA117" s="16">
        <f>SUM(AW117:AZ117)</f>
        <v>210208</v>
      </c>
      <c r="BB117" s="16">
        <f>SUM(BB60,BB61,BB110)</f>
        <v>77532</v>
      </c>
      <c r="BC117" s="16">
        <f>SUM(BC60,BC61,BC110)</f>
        <v>210208</v>
      </c>
      <c r="BD117" s="16">
        <f>SUM(BD60,BD61,BD110)</f>
        <v>77532</v>
      </c>
      <c r="BE117" s="16">
        <f>SUM(BE60,BE61,BE110)</f>
        <v>210208</v>
      </c>
      <c r="BF117" s="16">
        <f>SUM(BB117:BE117)</f>
        <v>575480</v>
      </c>
      <c r="BG117" s="16">
        <f>SUM(BG60,BG61,BG110)</f>
        <v>210208</v>
      </c>
      <c r="BH117" s="16">
        <f>SUM(BH60,BH61,BH110)</f>
        <v>575480</v>
      </c>
      <c r="BI117" s="16">
        <f>SUM(BI60,BI61,BI110)</f>
        <v>210208</v>
      </c>
      <c r="BJ117" s="16">
        <f>SUM(BJ60,BJ61,BJ110)</f>
        <v>575480</v>
      </c>
      <c r="BK117" s="16">
        <f>SUM(BG117:BJ117)</f>
        <v>1571376</v>
      </c>
      <c r="BL117" s="16">
        <f>SUM(BL60,BL61,BL110)</f>
        <v>575480</v>
      </c>
      <c r="BM117" s="16">
        <f>SUM(BM60,BM61,BM110)</f>
        <v>1571376</v>
      </c>
      <c r="BN117" s="16">
        <f>SUM(BN60,BN61,BN110)</f>
        <v>575480</v>
      </c>
      <c r="BO117" s="16">
        <f>SUM(BO60,BO61,BO110)</f>
        <v>1571376</v>
      </c>
      <c r="BP117" s="16">
        <f>SUM(BL117:BO117)</f>
        <v>4293712</v>
      </c>
      <c r="BQ117" s="16">
        <f>SUM(BQ60,BQ61,BQ110)</f>
        <v>1571376</v>
      </c>
      <c r="BR117" s="16">
        <f>SUM(BR60,BR61,BR110)</f>
        <v>4293712</v>
      </c>
      <c r="BS117" s="16">
        <f>SUM(BS60,BS61,BS110)</f>
        <v>1571376</v>
      </c>
      <c r="BT117" s="16">
        <f>SUM(BT60,BT61,BT110)</f>
        <v>4293712</v>
      </c>
      <c r="BU117" s="16">
        <f>SUM(BQ117:BT117)</f>
        <v>11730176</v>
      </c>
      <c r="BV117" s="16">
        <f>SUM(BV60,BV61,BV110)</f>
        <v>4293712</v>
      </c>
      <c r="BW117" s="16">
        <f>SUM(BW60,BW61,BW110)</f>
        <v>11730176</v>
      </c>
      <c r="BX117" s="16">
        <f>SUM(BX60,BX61,BX110)</f>
        <v>4293712</v>
      </c>
      <c r="BY117" s="16">
        <f>SUM(BY60,BY61,BY110)</f>
        <v>11730176</v>
      </c>
      <c r="BZ117" s="16">
        <f>SUM(BV117:BY117)</f>
        <v>32047776</v>
      </c>
      <c r="CA117" s="16">
        <f>SUM(CA60,CA61,CA110)</f>
        <v>11730176</v>
      </c>
      <c r="CB117" s="16">
        <f>SUM(CB60,CB61,CB110)</f>
        <v>32047776</v>
      </c>
      <c r="CC117" s="16">
        <f>SUM(CC60,CC61,CC110)</f>
        <v>11730176</v>
      </c>
      <c r="CD117" s="16">
        <f>SUM(CD60,CD61,CD110)</f>
        <v>32047776</v>
      </c>
      <c r="CE117" s="16">
        <f>SUM(CA117:CD117)</f>
        <v>87555904</v>
      </c>
      <c r="CF117" s="16">
        <f>SUM(CF60,CF61,CF110)</f>
        <v>32047776</v>
      </c>
      <c r="CG117" s="16">
        <f>SUM(CG60,CG61,CG110)</f>
        <v>87555904</v>
      </c>
      <c r="CH117" s="16">
        <f>SUM(CH60,CH61,CH110)</f>
        <v>32047776</v>
      </c>
      <c r="CI117" s="16">
        <f>SUM(CI60,CI61,CI110)</f>
        <v>87555904</v>
      </c>
      <c r="CJ117" s="16">
        <f>SUM(CF117:CI117)</f>
        <v>239207360</v>
      </c>
      <c r="CK117" s="16">
        <f>SUM(CK60,CK61,CK110)</f>
        <v>87555904</v>
      </c>
      <c r="CL117" s="16">
        <f>SUM(CL60,CL61,CL110)</f>
        <v>239207360</v>
      </c>
      <c r="CM117" s="16">
        <f>SUM(CM60,CM61,CM110)</f>
        <v>87555904</v>
      </c>
      <c r="CN117" s="16">
        <f>SUM(CN60,CN61,CN110)</f>
        <v>239207360</v>
      </c>
      <c r="CO117" s="16">
        <f>SUM(CK117:CN117)</f>
        <v>653526528</v>
      </c>
      <c r="CP117" s="16">
        <f>SUM(CP60,CP61,CP110)</f>
        <v>239207360</v>
      </c>
      <c r="CQ117" s="16">
        <f>SUM(CQ60,CQ61,CQ110)</f>
        <v>653526528</v>
      </c>
      <c r="CR117" s="16">
        <f>SUM(CR60,CR61,CR110)</f>
        <v>239207360</v>
      </c>
      <c r="CS117" s="16">
        <f>SUM(CS60,CS61,CS110)</f>
        <v>653526528</v>
      </c>
      <c r="CT117" s="16">
        <f>SUM(CP117:CS117)</f>
        <v>1785467776</v>
      </c>
      <c r="CU117" s="16">
        <f>SUM(CU60,CU61,CU110)</f>
        <v>653526528</v>
      </c>
      <c r="CV117" s="16">
        <f>SUM(CV60,CV61,CV110)</f>
        <v>1785467776</v>
      </c>
      <c r="CW117" s="16">
        <f>SUM(CW60,CW61,CW110)</f>
        <v>653526528</v>
      </c>
      <c r="CX117" s="16">
        <f>SUM(CX60,CX61,CX110)</f>
        <v>1785467776</v>
      </c>
      <c r="CY117" s="16">
        <f>SUM(CU117:CX117)</f>
        <v>4877988608</v>
      </c>
    </row>
    <row r="118">
      <c r="C118" s="26" t="inlineStr">
        <is>
          <t>Taxes</t>
        </is>
      </c>
      <c r="D118" s="25">
        <f>INDEX('Inputs (2)'!$D$10:$AL$10,MATCH(D$7,'Inputs (2)'!$D$2:$AL$2,0))</f>
        <v>-245</v>
      </c>
      <c r="E118" s="25">
        <f>INDEX('Inputs (2)'!$D$10:$AL$10,MATCH(E$7,'Inputs (2)'!$D$2:$AL$2,0))</f>
        <v>-457</v>
      </c>
      <c r="F118" s="25">
        <f>INDEX('Inputs (2)'!$D$10:$AL$10,MATCH(F$7,'Inputs (2)'!$D$2:$AL$2,0))</f>
        <v>-330</v>
      </c>
      <c r="G118" s="25">
        <f>INDEX('Inputs (2)'!$D$10:$AL$10,MATCH(G$7,'Inputs (2)'!$D$2:$AL$2,0))</f>
        <v>-308</v>
      </c>
      <c r="H118" s="3">
        <f>SUM(D118:G118)</f>
        <v>-1340</v>
      </c>
      <c r="I118" s="25">
        <f>INDEX('Inputs (2)'!$D$10:$AL$10,MATCH(I$7,'Inputs (2)'!$D$2:$AL$2,0))</f>
        <v>-530</v>
      </c>
      <c r="J118" s="25">
        <f>INDEX('Inputs (2)'!$D$10:$AL$10,MATCH(J$7,'Inputs (2)'!$D$2:$AL$2,0))</f>
        <v>-491</v>
      </c>
      <c r="K118" s="25">
        <f>INDEX('Inputs (2)'!$D$10:$AL$10,MATCH(K$7,'Inputs (2)'!$D$2:$AL$2,0))</f>
        <v>-330</v>
      </c>
      <c r="L118" s="25">
        <f>INDEX('Inputs (2)'!$D$10:$AL$10,MATCH(L$7,'Inputs (2)'!$D$2:$AL$2,0))</f>
        <v>-250</v>
      </c>
      <c r="M118" s="3">
        <f>SUM(I118:L118)</f>
        <v>-1601</v>
      </c>
      <c r="N118" s="25">
        <f>INDEX('Inputs (2)'!$D$10:$AL$10,MATCH(N$7,'Inputs (2)'!$D$2:$AL$2,0))</f>
        <v>-461</v>
      </c>
      <c r="O118" s="25">
        <f>INDEX('Inputs (2)'!$D$10:$AL$10,MATCH(O$7,'Inputs (2)'!$D$2:$AL$2,0))</f>
        <v>-654</v>
      </c>
      <c r="P118" s="25">
        <f>INDEX('Inputs (2)'!$D$10:$AL$10,MATCH(P$7,'Inputs (2)'!$D$2:$AL$2,0))</f>
        <v>-643</v>
      </c>
      <c r="Q118" s="25">
        <f>INDEX('Inputs (2)'!$D$10:$AL$10,MATCH(Q$7,'Inputs (2)'!$D$2:$AL$2,0))</f>
        <v>-537</v>
      </c>
      <c r="R118" s="3">
        <f>SUM(N118:Q118)</f>
        <v>-2295</v>
      </c>
      <c r="S118" s="25">
        <f>INDEX('Inputs (2)'!$D$10:$AL$10,MATCH(S$7,'Inputs (2)'!$D$2:$AL$2,0))</f>
        <v>-991</v>
      </c>
      <c r="T118" s="25">
        <f>INDEX('Inputs (2)'!$D$10:$AL$10,MATCH(T$7,'Inputs (2)'!$D$2:$AL$2,0))</f>
        <v>-636</v>
      </c>
      <c r="U118" s="25">
        <f>INDEX('Inputs (2)'!$D$10:$AL$10,MATCH(U$7,'Inputs (2)'!$D$2:$AL$2,0))</f>
        <v>-707</v>
      </c>
      <c r="V118" s="25">
        <f>INDEX('Inputs (2)'!$D$10:$AL$10,MATCH(V$7,'Inputs (2)'!$D$2:$AL$2,0))</f>
        <v>-469</v>
      </c>
      <c r="W118" s="3">
        <f>SUM(S118:V118)</f>
        <v>-2803</v>
      </c>
      <c r="X118" s="25">
        <f>INDEX('Inputs (2)'!$D$10:$AL$10,MATCH(X$7,'Inputs (2)'!$D$2:$AL$2,0))</f>
        <v>-751</v>
      </c>
      <c r="Y118" s="25">
        <f>INDEX('Inputs (2)'!$D$10:$AL$10,MATCH(Y$7,'Inputs (2)'!$D$2:$AL$2,0))</f>
        <v>-625</v>
      </c>
      <c r="Z118" s="25">
        <f>INDEX('Inputs (2)'!$D$10:$AL$10,MATCH(Z$7,'Inputs (2)'!$D$2:$AL$2,0))</f>
        <v>-249</v>
      </c>
      <c r="AA118" s="25">
        <f>INDEX('Inputs (2)'!$D$10:$AL$10,MATCH(AA$7,'Inputs (2)'!$D$2:$AL$2,0))</f>
        <v>-27</v>
      </c>
      <c r="AB118" s="3">
        <f>SUM(X118:AA118)</f>
        <v>-1652</v>
      </c>
      <c r="AC118" s="25">
        <f>INDEX('Inputs (2)'!$D$10:$AL$10,MATCH(AC$7,'Inputs (2)'!$D$2:$AL$2,0))</f>
        <v>-539</v>
      </c>
      <c r="AD118" s="25">
        <f>INDEX('Inputs (2)'!$D$10:$AL$10,MATCH(AD$7,'Inputs (2)'!$D$2:$AL$2,0))</f>
        <v>-339</v>
      </c>
      <c r="AE118" s="25">
        <f>INDEX('Inputs (2)'!$D$10:$AL$10,MATCH(AE$7,'Inputs (2)'!$D$2:$AL$2,0))</f>
        <v>-354</v>
      </c>
      <c r="AF118" s="25">
        <f>INDEX('Inputs (2)'!$D$10:$AL$10,MATCH(AF$7,'Inputs (2)'!$D$2:$AL$2,0))</f>
        <v>-196</v>
      </c>
      <c r="AG118" s="3">
        <f>SUM(AC118:AF118)</f>
        <v>-1428</v>
      </c>
      <c r="AH118" s="3">
        <f>INDEX('Inputs (2)'!$D$10:$AL$10,MATCH(AH$7,'Inputs (2)'!$D$2:$AL$2,0))</f>
        <v>-518</v>
      </c>
      <c r="AI118" s="3">
        <f>INDEX('Inputs (2)'!$D$10:$AL$10,MATCH(AI$7,'Inputs (2)'!$D$2:$AL$2,0))</f>
        <v>-529</v>
      </c>
      <c r="AJ118" s="3">
        <f>AJ119*-AJ117</f>
        <v>0</v>
      </c>
      <c r="AK118" s="3">
        <f>AK119*-AK117</f>
        <v>0</v>
      </c>
      <c r="AL118" s="3">
        <f>SUM(AH118:AK118)</f>
        <v>-1047</v>
      </c>
      <c r="AM118" s="3">
        <f>AM119*-AM117</f>
        <v>0</v>
      </c>
      <c r="AN118" s="3">
        <f>AN119*-AN117</f>
        <v>0</v>
      </c>
      <c r="AO118" s="3">
        <f>AO119*-AO117</f>
        <v>0</v>
      </c>
      <c r="AP118" s="3">
        <f>AP119*-AP117</f>
        <v>0</v>
      </c>
      <c r="AQ118" s="3">
        <f>SUM(AM118:AP118)</f>
        <v>0</v>
      </c>
      <c r="AR118" s="3">
        <f>AR119*-AR117</f>
        <v>0</v>
      </c>
      <c r="AS118" s="3">
        <f>AS119*-AS117</f>
        <v>0</v>
      </c>
      <c r="AT118" s="3">
        <f>AT119*-AT117</f>
        <v>0</v>
      </c>
      <c r="AU118" s="3">
        <f>AU119*-AU117</f>
        <v>0</v>
      </c>
      <c r="AV118" s="3">
        <f>SUM(AR118:AU118)</f>
        <v>0</v>
      </c>
      <c r="AW118" s="3">
        <f>AW119*-AW117</f>
        <v>0</v>
      </c>
      <c r="AX118" s="3">
        <f>AX119*-AX117</f>
        <v>0</v>
      </c>
      <c r="AY118" s="3">
        <f>AY119*-AY117</f>
        <v>0</v>
      </c>
      <c r="AZ118" s="3">
        <f>AZ119*-AZ117</f>
        <v>0</v>
      </c>
      <c r="BA118" s="3">
        <f>SUM(AW118:AZ118)</f>
        <v>0</v>
      </c>
      <c r="BB118" s="3">
        <f>BB119*-BB117</f>
        <v>0</v>
      </c>
      <c r="BC118" s="3">
        <f>BC119*-BC117</f>
        <v>0</v>
      </c>
      <c r="BD118" s="3">
        <f>BD119*-BD117</f>
        <v>0</v>
      </c>
      <c r="BE118" s="3">
        <f>BE119*-BE117</f>
        <v>0</v>
      </c>
      <c r="BF118" s="3">
        <f>SUM(BB118:BE118)</f>
        <v>0</v>
      </c>
      <c r="BG118" s="3">
        <f>BG119*-BG117</f>
        <v>0</v>
      </c>
      <c r="BH118" s="3">
        <f>BH119*-BH117</f>
        <v>0</v>
      </c>
      <c r="BI118" s="3">
        <f>BI119*-BI117</f>
        <v>0</v>
      </c>
      <c r="BJ118" s="3">
        <f>BJ119*-BJ117</f>
        <v>0</v>
      </c>
      <c r="BK118" s="3">
        <f>SUM(BG118:BJ118)</f>
        <v>0</v>
      </c>
      <c r="BL118" s="3">
        <f>BL119*-BL117</f>
        <v>0</v>
      </c>
      <c r="BM118" s="3">
        <f>BM119*-BM117</f>
        <v>0</v>
      </c>
      <c r="BN118" s="3">
        <f>BN119*-BN117</f>
        <v>0</v>
      </c>
      <c r="BO118" s="3">
        <f>BO119*-BO117</f>
        <v>0</v>
      </c>
      <c r="BP118" s="3">
        <f>SUM(BL118:BO118)</f>
        <v>0</v>
      </c>
      <c r="BQ118" s="3">
        <f>BQ119*-BQ117</f>
        <v>0</v>
      </c>
      <c r="BR118" s="3">
        <f>BR119*-BR117</f>
        <v>0</v>
      </c>
      <c r="BS118" s="3">
        <f>BS119*-BS117</f>
        <v>0</v>
      </c>
      <c r="BT118" s="3">
        <f>BT119*-BT117</f>
        <v>0</v>
      </c>
      <c r="BU118" s="3">
        <f>SUM(BQ118:BT118)</f>
        <v>0</v>
      </c>
      <c r="BV118" s="3">
        <f>BV119*-BV117</f>
        <v>0</v>
      </c>
      <c r="BW118" s="3">
        <f>BW119*-BW117</f>
        <v>0</v>
      </c>
      <c r="BX118" s="3">
        <f>BX119*-BX117</f>
        <v>0</v>
      </c>
      <c r="BY118" s="3">
        <f>BY119*-BY117</f>
        <v>0</v>
      </c>
      <c r="BZ118" s="3">
        <f>SUM(BV118:BY118)</f>
        <v>0</v>
      </c>
      <c r="CA118" s="3">
        <f>CA119*-CA117</f>
        <v>0</v>
      </c>
      <c r="CB118" s="3">
        <f>CB119*-CB117</f>
        <v>0</v>
      </c>
      <c r="CC118" s="3">
        <f>CC119*-CC117</f>
        <v>0</v>
      </c>
      <c r="CD118" s="3">
        <f>CD119*-CD117</f>
        <v>0</v>
      </c>
      <c r="CE118" s="3">
        <f>SUM(CA118:CD118)</f>
        <v>0</v>
      </c>
      <c r="CF118" s="3">
        <f>CF119*-CF117</f>
        <v>0</v>
      </c>
      <c r="CG118" s="3">
        <f>CG119*-CG117</f>
        <v>0</v>
      </c>
      <c r="CH118" s="3">
        <f>CH119*-CH117</f>
        <v>0</v>
      </c>
      <c r="CI118" s="3">
        <f>CI119*-CI117</f>
        <v>0</v>
      </c>
      <c r="CJ118" s="3">
        <f>SUM(CF118:CI118)</f>
        <v>0</v>
      </c>
      <c r="CK118" s="3">
        <f>CK119*-CK117</f>
        <v>0</v>
      </c>
      <c r="CL118" s="3">
        <f>CL119*-CL117</f>
        <v>0</v>
      </c>
      <c r="CM118" s="3">
        <f>CM119*-CM117</f>
        <v>0</v>
      </c>
      <c r="CN118" s="3">
        <f>CN119*-CN117</f>
        <v>0</v>
      </c>
      <c r="CO118" s="3">
        <f>SUM(CK118:CN118)</f>
        <v>0</v>
      </c>
      <c r="CP118" s="3">
        <f>CP119*-CP117</f>
        <v>0</v>
      </c>
      <c r="CQ118" s="3">
        <f>CQ119*-CQ117</f>
        <v>0</v>
      </c>
      <c r="CR118" s="3">
        <f>CR119*-CR117</f>
        <v>0</v>
      </c>
      <c r="CS118" s="3">
        <f>CS119*-CS117</f>
        <v>0</v>
      </c>
      <c r="CT118" s="3">
        <f>SUM(CP118:CS118)</f>
        <v>0</v>
      </c>
      <c r="CU118" s="3">
        <f>CU119*-CU117</f>
        <v>0</v>
      </c>
      <c r="CV118" s="3">
        <f>CV119*-CV117</f>
        <v>0</v>
      </c>
      <c r="CW118" s="3">
        <f>CW119*-CW117</f>
        <v>0</v>
      </c>
      <c r="CX118" s="3">
        <f>CX119*-CX117</f>
        <v>0</v>
      </c>
      <c r="CY118" s="3">
        <f>SUM(CU118:CX118)</f>
        <v>0</v>
      </c>
    </row>
    <row r="119" hidden="1" outlineLevel="1">
      <c r="C119" s="34" t="inlineStr">
        <is>
          <t>% ETR</t>
        </is>
      </c>
      <c r="D119" s="48">
        <f>-D118/D117</f>
        <v>0.264008620689655</v>
      </c>
      <c r="E119" s="48">
        <f>-E118/E117</f>
        <v>0.359842519685039</v>
      </c>
      <c r="F119" s="48">
        <f>-F118/F117</f>
        <v>0.295964125560538</v>
      </c>
      <c r="G119" s="48">
        <f>-G118/G117</f>
        <v>0.201570680628272</v>
      </c>
      <c r="H119" s="48">
        <f>-H118/H117</f>
        <v>0.276802313571576</v>
      </c>
      <c r="I119" s="48">
        <f>-I118/I117</f>
        <v>0.22923875432526</v>
      </c>
      <c r="J119" s="48">
        <f>-J118/J117</f>
        <v>0.228372093023256</v>
      </c>
      <c r="K119" s="48">
        <f>-K118/K117</f>
        <v>0.204587724736516</v>
      </c>
      <c r="L119" s="48">
        <f>-L118/L117</f>
        <v>0.217202432667246</v>
      </c>
      <c r="M119" s="48">
        <f>-M118/M117</f>
        <v>0.221561029615278</v>
      </c>
      <c r="N119" s="48">
        <f>-N118/N117</f>
        <v>0.18064263322884</v>
      </c>
      <c r="O119" s="48">
        <f>-O118/O117</f>
        <v>0.257581725088618</v>
      </c>
      <c r="P119" s="48">
        <f>-P118/P117</f>
        <v>0.222876949740035</v>
      </c>
      <c r="Q119" s="48">
        <f>-Q118/Q117</f>
        <v>0.215403128760529</v>
      </c>
      <c r="R119" s="48">
        <f>-R118/R117</f>
        <v>0.219218645524883</v>
      </c>
      <c r="S119" s="48">
        <f>-S118/S117</f>
        <v>0.257536382536383</v>
      </c>
      <c r="T119" s="48">
        <f>-T118/T117</f>
        <v>0.176372712146423</v>
      </c>
      <c r="U119" s="48">
        <f>-U118/U117</f>
        <v>0.230068337129841</v>
      </c>
      <c r="V119" s="48">
        <f>-V118/V117</f>
        <v>0.211738148984199</v>
      </c>
      <c r="W119" s="48">
        <f>-W118/W117</f>
        <v>0.219981164652331</v>
      </c>
      <c r="X119" s="48">
        <f>-X118/X117</f>
        <v>0.240936798203401</v>
      </c>
      <c r="Y119" s="48">
        <f>-Y118/Y117</f>
        <v>0.265392781316348</v>
      </c>
      <c r="Z119" s="48">
        <f>-Z118/Z117</f>
        <v>0.163923633969717</v>
      </c>
      <c r="AA119" s="48">
        <f>-AA118/AA117</f>
        <v>0.0301675977653631</v>
      </c>
      <c r="AB119" s="48">
        <f>-AB118/AB117</f>
        <v>0.20948516358103</v>
      </c>
      <c r="AC119" s="48">
        <f>-AC118/AC117</f>
        <v>0.23063756953359</v>
      </c>
      <c r="AD119" s="48">
        <f>-AD118/AD117</f>
        <v>0.211875</v>
      </c>
      <c r="AE119" s="48">
        <f>-AE118/AE117</f>
        <v>0.248421052631579</v>
      </c>
      <c r="AF119" s="44">
        <f>-AF118/AF117</f>
        <v>0.23444976076555</v>
      </c>
      <c r="AG119" s="48">
        <f>-AG118/AG117</f>
        <v>0.230396902226525</v>
      </c>
      <c r="AH119" s="44">
        <f>-AH118/AH117</f>
        <v>0.225904928041867</v>
      </c>
      <c r="AI119" s="44">
        <f>-AI118/AI117</f>
        <v>0.281083953241233</v>
      </c>
      <c r="AJ119" s="44" t="n"/>
      <c r="AK119" s="44" t="n"/>
      <c r="AL119" s="48">
        <f>-AL118/AL117</f>
        <v>0.107142857142857</v>
      </c>
      <c r="AM119" s="44" t="n"/>
      <c r="AN119" s="44" t="n"/>
      <c r="AO119" s="44" t="n"/>
      <c r="AP119" s="44" t="n"/>
      <c r="AQ119" s="48">
        <f>-AQ118/AQ117</f>
        <v>0</v>
      </c>
      <c r="AR119" s="44" t="n"/>
      <c r="AS119" s="44" t="n"/>
      <c r="AT119" s="44" t="n"/>
      <c r="AU119" s="44" t="n"/>
      <c r="AV119" s="48">
        <f>-AV118/AV117</f>
        <v>0</v>
      </c>
      <c r="AW119" s="44" t="n"/>
      <c r="AX119" s="44" t="n"/>
      <c r="AY119" s="44" t="n"/>
      <c r="AZ119" s="44" t="n"/>
      <c r="BA119" s="48">
        <f>-BA118/BA117</f>
        <v>0</v>
      </c>
      <c r="BB119" s="44" t="n"/>
      <c r="BC119" s="44" t="n"/>
      <c r="BD119" s="44" t="n"/>
      <c r="BE119" s="44" t="n"/>
      <c r="BF119" s="48">
        <f>-BF118/BF117</f>
        <v>0</v>
      </c>
      <c r="BG119" s="44" t="n"/>
      <c r="BH119" s="44" t="n"/>
      <c r="BI119" s="44" t="n"/>
      <c r="BJ119" s="44" t="n"/>
      <c r="BK119" s="48">
        <f>-BK118/BK117</f>
        <v>0</v>
      </c>
      <c r="BL119" s="44" t="n"/>
      <c r="BM119" s="44" t="n"/>
      <c r="BN119" s="44" t="n"/>
      <c r="BO119" s="44" t="n"/>
      <c r="BP119" s="48">
        <f>-BP118/BP117</f>
        <v>0</v>
      </c>
      <c r="BQ119" s="44" t="n"/>
      <c r="BR119" s="44" t="n"/>
      <c r="BS119" s="44" t="n"/>
      <c r="BT119" s="44" t="n"/>
      <c r="BU119" s="48">
        <f>-BU118/BU117</f>
        <v>0</v>
      </c>
      <c r="BV119" s="44" t="n"/>
      <c r="BW119" s="44" t="n"/>
      <c r="BX119" s="44" t="n"/>
      <c r="BY119" s="44" t="n"/>
      <c r="BZ119" s="48">
        <f>-BZ118/BZ117</f>
        <v>0</v>
      </c>
      <c r="CA119" s="44" t="n"/>
      <c r="CB119" s="44" t="n"/>
      <c r="CC119" s="44" t="n"/>
      <c r="CD119" s="44" t="n"/>
      <c r="CE119" s="48">
        <f>-CE118/CE117</f>
        <v>0</v>
      </c>
      <c r="CF119" s="44" t="n"/>
      <c r="CG119" s="44" t="n"/>
      <c r="CH119" s="44" t="n"/>
      <c r="CI119" s="44" t="n"/>
      <c r="CJ119" s="48">
        <f>-CJ118/CJ117</f>
        <v>0</v>
      </c>
      <c r="CK119" s="44" t="n"/>
      <c r="CL119" s="44" t="n"/>
      <c r="CM119" s="44" t="n"/>
      <c r="CN119" s="44" t="n"/>
      <c r="CO119" s="48">
        <f>-CO118/CO117</f>
        <v>0</v>
      </c>
      <c r="CP119" s="44" t="n"/>
      <c r="CQ119" s="44" t="n"/>
      <c r="CR119" s="44" t="n"/>
      <c r="CS119" s="44" t="n"/>
      <c r="CT119" s="48">
        <f>-CT118/CT117</f>
        <v>0</v>
      </c>
      <c r="CU119" s="44" t="n"/>
      <c r="CV119" s="44" t="n"/>
      <c r="CW119" s="44" t="n"/>
      <c r="CX119" s="44" t="n"/>
      <c r="CY119" s="48">
        <f>-CY118/CY117</f>
        <v>0</v>
      </c>
    </row>
    <row r="120" hidden="1" outlineLevel="1">
      <c r="C120" s="3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collapsed="1">
      <c r="C122" s="26" t="inlineStr">
        <is>
          <t>Equity in Income of Affiliates, after tax (enter as +)</t>
        </is>
      </c>
      <c r="D122" s="25">
        <f>INDEX('Inputs (2)'!$D$11:$AL$11,MATCH(D$7,'Inputs (2)'!$D$2:$AL$2,0))</f>
        <v>-17</v>
      </c>
      <c r="E122" s="25">
        <f>INDEX('Inputs (2)'!$D$11:$AL$11,MATCH(E$7,'Inputs (2)'!$D$2:$AL$2,0))</f>
        <v>-2</v>
      </c>
      <c r="F122" s="25">
        <f>INDEX('Inputs (2)'!$D$11:$AL$11,MATCH(F$7,'Inputs (2)'!$D$2:$AL$2,0))</f>
        <v>-28</v>
      </c>
      <c r="G122" s="25">
        <f>INDEX('Inputs (2)'!$D$11:$AL$11,MATCH(G$7,'Inputs (2)'!$D$2:$AL$2,0))</f>
        <v>4</v>
      </c>
      <c r="H122" s="3">
        <f>SUM(D122:G122)</f>
        <v>-43</v>
      </c>
      <c r="I122" s="25">
        <f>INDEX('Inputs (2)'!$D$11:$AL$11,MATCH(I$7,'Inputs (2)'!$D$2:$AL$2,0))</f>
        <v>9</v>
      </c>
      <c r="J122" s="25">
        <f>INDEX('Inputs (2)'!$D$11:$AL$11,MATCH(J$7,'Inputs (2)'!$D$2:$AL$2,0))</f>
        <v>9</v>
      </c>
      <c r="K122" s="25">
        <f>INDEX('Inputs (2)'!$D$11:$AL$11,MATCH(K$7,'Inputs (2)'!$D$2:$AL$2,0))</f>
        <v>0</v>
      </c>
      <c r="L122" s="25">
        <f>INDEX('Inputs (2)'!$D$11:$AL$11,MATCH(L$7,'Inputs (2)'!$D$2:$AL$2,0))</f>
        <v>3</v>
      </c>
      <c r="M122" s="3">
        <f>SUM(I122:L122)</f>
        <v>21</v>
      </c>
      <c r="N122" s="25">
        <f>INDEX('Inputs (2)'!$D$11:$AL$11,MATCH(N$7,'Inputs (2)'!$D$2:$AL$2,0))</f>
        <v>6</v>
      </c>
      <c r="O122" s="25">
        <f>INDEX('Inputs (2)'!$D$11:$AL$11,MATCH(O$7,'Inputs (2)'!$D$2:$AL$2,0))</f>
        <v>0</v>
      </c>
      <c r="P122" s="25">
        <f>INDEX('Inputs (2)'!$D$11:$AL$11,MATCH(P$7,'Inputs (2)'!$D$2:$AL$2,0))</f>
        <v>2</v>
      </c>
      <c r="Q122" s="25">
        <f>INDEX('Inputs (2)'!$D$11:$AL$11,MATCH(Q$7,'Inputs (2)'!$D$2:$AL$2,0))</f>
        <v>1</v>
      </c>
      <c r="R122" s="3">
        <f>SUM(N122:Q122)</f>
        <v>9</v>
      </c>
      <c r="S122" s="25">
        <f>INDEX('Inputs (2)'!$D$11:$AL$11,MATCH(S$7,'Inputs (2)'!$D$2:$AL$2,0))</f>
        <v>2</v>
      </c>
      <c r="T122" s="25">
        <f>INDEX('Inputs (2)'!$D$11:$AL$11,MATCH(T$7,'Inputs (2)'!$D$2:$AL$2,0))</f>
        <v>2</v>
      </c>
      <c r="U122" s="25">
        <f>INDEX('Inputs (2)'!$D$11:$AL$11,MATCH(U$7,'Inputs (2)'!$D$2:$AL$2,0))</f>
        <v>2</v>
      </c>
      <c r="V122" s="25">
        <f>INDEX('Inputs (2)'!$D$11:$AL$11,MATCH(V$7,'Inputs (2)'!$D$2:$AL$2,0))</f>
        <v>2</v>
      </c>
      <c r="W122" s="3">
        <f>SUM(S122:V122)</f>
        <v>8</v>
      </c>
      <c r="X122" s="25">
        <f>INDEX('Inputs (2)'!$D$11:$AL$11,MATCH(X$7,'Inputs (2)'!$D$2:$AL$2,0))</f>
        <v>2</v>
      </c>
      <c r="Y122" s="25">
        <f>INDEX('Inputs (2)'!$D$11:$AL$11,MATCH(Y$7,'Inputs (2)'!$D$2:$AL$2,0))</f>
        <v>1</v>
      </c>
      <c r="Z122" s="25">
        <f>INDEX('Inputs (2)'!$D$11:$AL$11,MATCH(Z$7,'Inputs (2)'!$D$2:$AL$2,0))</f>
        <v>-28</v>
      </c>
      <c r="AA122" s="25">
        <f>INDEX('Inputs (2)'!$D$11:$AL$11,MATCH(AA$7,'Inputs (2)'!$D$2:$AL$2,0))</f>
        <v>-1</v>
      </c>
      <c r="AB122" s="3">
        <f>SUM(X122:AA122)</f>
        <v>-26</v>
      </c>
      <c r="AC122" s="25">
        <f>INDEX('Inputs (2)'!$D$11:$AL$11,MATCH(AC$7,'Inputs (2)'!$D$2:$AL$2,0))</f>
        <v>3</v>
      </c>
      <c r="AD122" s="25">
        <f>INDEX('Inputs (2)'!$D$11:$AL$11,MATCH(AD$7,'Inputs (2)'!$D$2:$AL$2,0))</f>
        <v>10</v>
      </c>
      <c r="AE122" s="25">
        <f>INDEX('Inputs (2)'!$D$11:$AL$11,MATCH(AE$7,'Inputs (2)'!$D$2:$AL$2,0))</f>
        <v>-11</v>
      </c>
      <c r="AF122" s="25">
        <f>INDEX('Inputs (2)'!$D$11:$AL$11,MATCH(AF$7,'Inputs (2)'!$D$2:$AL$2,0))</f>
        <v>15</v>
      </c>
      <c r="AG122" s="3">
        <f>SUM(AC122:AF122)</f>
        <v>17</v>
      </c>
      <c r="AH122" s="3">
        <f>INDEX('Inputs (2)'!$D$11:$AL$11,MATCH(AH$7,'Inputs (2)'!$D$2:$AL$2,0))</f>
        <v>-5</v>
      </c>
      <c r="AI122" s="3">
        <f>INDEX('Inputs (2)'!$D$11:$AL$11,MATCH(AI$7,'Inputs (2)'!$D$2:$AL$2,0))</f>
        <v>24</v>
      </c>
      <c r="AJ122" s="3">
        <f>AE122*(1+AJ150)</f>
        <v>-11</v>
      </c>
      <c r="AK122" s="3">
        <f>AF122*(1+AK150)</f>
        <v>15</v>
      </c>
      <c r="AL122" s="3">
        <f>SUM(AH122:AK122)</f>
        <v>23</v>
      </c>
      <c r="AM122" s="3">
        <f>AH122*(1+AM150)</f>
        <v>-5</v>
      </c>
      <c r="AN122" s="3">
        <f>AI122*(1+AN150)</f>
        <v>24</v>
      </c>
      <c r="AO122" s="3">
        <f>AJ122*(1+AO150)</f>
        <v>-11</v>
      </c>
      <c r="AP122" s="3">
        <f>AK122*(1+AP150)</f>
        <v>15</v>
      </c>
      <c r="AQ122" s="3">
        <f>SUM(AM122:AP122)</f>
        <v>23</v>
      </c>
      <c r="AR122" s="3">
        <f>AM122*(1+AR150)</f>
        <v>-5</v>
      </c>
      <c r="AS122" s="3">
        <f>AN122*(1+AS150)</f>
        <v>24</v>
      </c>
      <c r="AT122" s="3">
        <f>AO122*(1+AT150)</f>
        <v>-11</v>
      </c>
      <c r="AU122" s="3">
        <f>AP122*(1+AU150)</f>
        <v>15</v>
      </c>
      <c r="AV122" s="3">
        <f>SUM(AR122:AU122)</f>
        <v>23</v>
      </c>
      <c r="AW122" s="3">
        <f>AR122*(1+AW150)</f>
        <v>-5</v>
      </c>
      <c r="AX122" s="3">
        <f>AS122*(1+AX150)</f>
        <v>24</v>
      </c>
      <c r="AY122" s="3">
        <f>AT122*(1+AY150)</f>
        <v>-11</v>
      </c>
      <c r="AZ122" s="3">
        <f>AU122*(1+AZ150)</f>
        <v>15</v>
      </c>
      <c r="BA122" s="3">
        <f>SUM(AW122:AZ122)</f>
        <v>23</v>
      </c>
      <c r="BB122" s="3">
        <f>AW122*(1+BB150)</f>
        <v>-5</v>
      </c>
      <c r="BC122" s="3">
        <f>AX122*(1+BC150)</f>
        <v>24</v>
      </c>
      <c r="BD122" s="3">
        <f>AY122*(1+BD150)</f>
        <v>-11</v>
      </c>
      <c r="BE122" s="3">
        <f>AZ122*(1+BE150)</f>
        <v>15</v>
      </c>
      <c r="BF122" s="3">
        <f>SUM(BB122:BE122)</f>
        <v>23</v>
      </c>
      <c r="BG122" s="3">
        <f>BB122*(1+BG150)</f>
        <v>-5</v>
      </c>
      <c r="BH122" s="3">
        <f>BC122*(1+BH150)</f>
        <v>24</v>
      </c>
      <c r="BI122" s="3">
        <f>BD122*(1+BI150)</f>
        <v>-11</v>
      </c>
      <c r="BJ122" s="3">
        <f>BE122*(1+BJ150)</f>
        <v>15</v>
      </c>
      <c r="BK122" s="3">
        <f>SUM(BG122:BJ122)</f>
        <v>23</v>
      </c>
      <c r="BL122" s="3">
        <f>BG122*(1+BL150)</f>
        <v>-5</v>
      </c>
      <c r="BM122" s="3">
        <f>BH122*(1+BM150)</f>
        <v>24</v>
      </c>
      <c r="BN122" s="3">
        <f>BI122*(1+BN150)</f>
        <v>-11</v>
      </c>
      <c r="BO122" s="3">
        <f>BJ122*(1+BO150)</f>
        <v>15</v>
      </c>
      <c r="BP122" s="3">
        <f>SUM(BL122:BO122)</f>
        <v>23</v>
      </c>
      <c r="BQ122" s="3">
        <f>BL122*(1+BQ150)</f>
        <v>-5</v>
      </c>
      <c r="BR122" s="3">
        <f>BM122*(1+BR150)</f>
        <v>24</v>
      </c>
      <c r="BS122" s="3">
        <f>BN122*(1+BS150)</f>
        <v>-11</v>
      </c>
      <c r="BT122" s="3">
        <f>BO122*(1+BT150)</f>
        <v>15</v>
      </c>
      <c r="BU122" s="3">
        <f>SUM(BQ122:BT122)</f>
        <v>23</v>
      </c>
      <c r="BV122" s="3">
        <f>BQ122*(1+BV150)</f>
        <v>-5</v>
      </c>
      <c r="BW122" s="3">
        <f>BR122*(1+BW150)</f>
        <v>24</v>
      </c>
      <c r="BX122" s="3">
        <f>BS122*(1+BX150)</f>
        <v>-11</v>
      </c>
      <c r="BY122" s="3">
        <f>BT122*(1+BY150)</f>
        <v>15</v>
      </c>
      <c r="BZ122" s="3">
        <f>SUM(BV122:BY122)</f>
        <v>23</v>
      </c>
      <c r="CA122" s="3">
        <f>BV122*(1+CA150)</f>
        <v>-5</v>
      </c>
      <c r="CB122" s="3">
        <f>BW122*(1+CB150)</f>
        <v>24</v>
      </c>
      <c r="CC122" s="3">
        <f>BX122*(1+CC150)</f>
        <v>-11</v>
      </c>
      <c r="CD122" s="3">
        <f>BY122*(1+CD150)</f>
        <v>15</v>
      </c>
      <c r="CE122" s="3">
        <f>SUM(CA122:CD122)</f>
        <v>23</v>
      </c>
      <c r="CF122" s="3">
        <f>CA122*(1+CF150)</f>
        <v>-5</v>
      </c>
      <c r="CG122" s="3">
        <f>CB122*(1+CG150)</f>
        <v>24</v>
      </c>
      <c r="CH122" s="3">
        <f>CC122*(1+CH150)</f>
        <v>-11</v>
      </c>
      <c r="CI122" s="3">
        <f>CD122*(1+CI150)</f>
        <v>15</v>
      </c>
      <c r="CJ122" s="3">
        <f>SUM(CF122:CI122)</f>
        <v>23</v>
      </c>
      <c r="CK122" s="3">
        <f>CF122*(1+CK150)</f>
        <v>-5</v>
      </c>
      <c r="CL122" s="3">
        <f>CG122*(1+CL150)</f>
        <v>24</v>
      </c>
      <c r="CM122" s="3">
        <f>CH122*(1+CM150)</f>
        <v>-11</v>
      </c>
      <c r="CN122" s="3">
        <f>CI122*(1+CN150)</f>
        <v>15</v>
      </c>
      <c r="CO122" s="3">
        <f>SUM(CK122:CN122)</f>
        <v>23</v>
      </c>
      <c r="CP122" s="3">
        <f>CK122*(1+CP150)</f>
        <v>-5</v>
      </c>
      <c r="CQ122" s="3">
        <f>CL122*(1+CQ150)</f>
        <v>24</v>
      </c>
      <c r="CR122" s="3">
        <f>CM122*(1+CR150)</f>
        <v>-11</v>
      </c>
      <c r="CS122" s="3">
        <f>CN122*(1+CS150)</f>
        <v>15</v>
      </c>
      <c r="CT122" s="3">
        <f>SUM(CP122:CS122)</f>
        <v>23</v>
      </c>
      <c r="CU122" s="3">
        <f>CP122*(1+CU150)</f>
        <v>-5</v>
      </c>
      <c r="CV122" s="3">
        <f>CQ122*(1+CV150)</f>
        <v>24</v>
      </c>
      <c r="CW122" s="3">
        <f>CR122*(1+CW150)</f>
        <v>-11</v>
      </c>
      <c r="CX122" s="3">
        <f>CS122*(1+CX150)</f>
        <v>15</v>
      </c>
      <c r="CY122" s="3">
        <f>SUM(CU122:CX122)</f>
        <v>23</v>
      </c>
    </row>
    <row r="123">
      <c r="C123" s="26" t="inlineStr">
        <is>
          <t>Minority Interest Expense, after tax (enter as - )</t>
        </is>
      </c>
      <c r="D123" s="25">
        <f>INDEX('Inputs (2)'!$D$12:$AL$12,MATCH(D$7,'Inputs (2)'!$D$2:$AL$2,0))</f>
        <v>0</v>
      </c>
      <c r="E123" s="25">
        <f>INDEX('Inputs (2)'!$D$12:$AL$12,MATCH(E$7,'Inputs (2)'!$D$2:$AL$2,0))</f>
        <v>0</v>
      </c>
      <c r="F123" s="25">
        <f>INDEX('Inputs (2)'!$D$12:$AL$12,MATCH(F$7,'Inputs (2)'!$D$2:$AL$2,0))</f>
        <v>0</v>
      </c>
      <c r="G123" s="25">
        <f>INDEX('Inputs (2)'!$D$12:$AL$12,MATCH(G$7,'Inputs (2)'!$D$2:$AL$2,0))</f>
        <v>0</v>
      </c>
      <c r="H123" s="3">
        <f>SUM(D123:G123)</f>
        <v>0</v>
      </c>
      <c r="I123" s="25">
        <f>INDEX('Inputs (2)'!$D$12:$AL$12,MATCH(I$7,'Inputs (2)'!$D$2:$AL$2,0))</f>
        <v>-1</v>
      </c>
      <c r="J123" s="25">
        <f>INDEX('Inputs (2)'!$D$12:$AL$12,MATCH(J$7,'Inputs (2)'!$D$2:$AL$2,0))</f>
        <v>-1</v>
      </c>
      <c r="K123" s="25">
        <f>INDEX('Inputs (2)'!$D$12:$AL$12,MATCH(K$7,'Inputs (2)'!$D$2:$AL$2,0))</f>
        <v>0</v>
      </c>
      <c r="L123" s="25">
        <f>INDEX('Inputs (2)'!$D$12:$AL$12,MATCH(L$7,'Inputs (2)'!$D$2:$AL$2,0))</f>
        <v>-1</v>
      </c>
      <c r="M123" s="3">
        <f>SUM(I123:L123)</f>
        <v>-3</v>
      </c>
      <c r="N123" s="25">
        <f>INDEX('Inputs (2)'!$D$12:$AL$12,MATCH(N$7,'Inputs (2)'!$D$2:$AL$2,0))</f>
        <v>1</v>
      </c>
      <c r="O123" s="25">
        <f>INDEX('Inputs (2)'!$D$12:$AL$12,MATCH(O$7,'Inputs (2)'!$D$2:$AL$2,0))</f>
        <v>-1</v>
      </c>
      <c r="P123" s="25">
        <f>INDEX('Inputs (2)'!$D$12:$AL$12,MATCH(P$7,'Inputs (2)'!$D$2:$AL$2,0))</f>
        <v>2</v>
      </c>
      <c r="Q123" s="25">
        <f>INDEX('Inputs (2)'!$D$12:$AL$12,MATCH(Q$7,'Inputs (2)'!$D$2:$AL$2,0))</f>
        <v>2</v>
      </c>
      <c r="R123" s="3">
        <f>SUM(N123:Q123)</f>
        <v>4</v>
      </c>
      <c r="S123" s="25">
        <f>INDEX('Inputs (2)'!$D$12:$AL$12,MATCH(S$7,'Inputs (2)'!$D$2:$AL$2,0))</f>
        <v>1</v>
      </c>
      <c r="T123" s="25">
        <f>INDEX('Inputs (2)'!$D$12:$AL$12,MATCH(T$7,'Inputs (2)'!$D$2:$AL$2,0))</f>
        <v>6</v>
      </c>
      <c r="U123" s="25">
        <f>INDEX('Inputs (2)'!$D$12:$AL$12,MATCH(U$7,'Inputs (2)'!$D$2:$AL$2,0))</f>
        <v>1</v>
      </c>
      <c r="V123" s="25">
        <f>INDEX('Inputs (2)'!$D$12:$AL$12,MATCH(V$7,'Inputs (2)'!$D$2:$AL$2,0))</f>
        <v>3</v>
      </c>
      <c r="W123" s="3">
        <f>SUM(S123:V123)</f>
        <v>11</v>
      </c>
      <c r="X123" s="25">
        <f>INDEX('Inputs (2)'!$D$12:$AL$12,MATCH(X$7,'Inputs (2)'!$D$2:$AL$2,0))</f>
        <v>2</v>
      </c>
      <c r="Y123" s="25">
        <f>INDEX('Inputs (2)'!$D$12:$AL$12,MATCH(Y$7,'Inputs (2)'!$D$2:$AL$2,0))</f>
        <v>3</v>
      </c>
      <c r="Z123" s="25">
        <f>INDEX('Inputs (2)'!$D$12:$AL$12,MATCH(Z$7,'Inputs (2)'!$D$2:$AL$2,0))</f>
        <v>3</v>
      </c>
      <c r="AA123" s="25">
        <f>INDEX('Inputs (2)'!$D$12:$AL$12,MATCH(AA$7,'Inputs (2)'!$D$2:$AL$2,0))</f>
        <v>2</v>
      </c>
      <c r="AB123" s="3">
        <f>SUM(X123:AA123)</f>
        <v>10</v>
      </c>
      <c r="AC123" s="25">
        <f>INDEX('Inputs (2)'!$D$12:$AL$12,MATCH(AC$7,'Inputs (2)'!$D$2:$AL$2,0))</f>
        <v>3</v>
      </c>
      <c r="AD123" s="25">
        <f>INDEX('Inputs (2)'!$D$12:$AL$12,MATCH(AD$7,'Inputs (2)'!$D$2:$AL$2,0))</f>
        <v>18</v>
      </c>
      <c r="AE123" s="25">
        <f>INDEX('Inputs (2)'!$D$12:$AL$12,MATCH(AE$7,'Inputs (2)'!$D$2:$AL$2,0))</f>
        <v>5</v>
      </c>
      <c r="AF123" s="25">
        <f>INDEX('Inputs (2)'!$D$12:$AL$12,MATCH(AF$7,'Inputs (2)'!$D$2:$AL$2,0))</f>
        <v>1</v>
      </c>
      <c r="AG123" s="3">
        <f>SUM(AC123:AF123)</f>
        <v>27</v>
      </c>
      <c r="AH123" s="3">
        <f>INDEX('Inputs (2)'!$D$12:$AL$12,MATCH(AH$7,'Inputs (2)'!$D$2:$AL$2,0))</f>
        <v>3</v>
      </c>
      <c r="AI123" s="3">
        <f>INDEX('Inputs (2)'!$D$12:$AL$12,MATCH(AI$7,'Inputs (2)'!$D$2:$AL$2,0))</f>
        <v>2</v>
      </c>
      <c r="AJ123" s="3">
        <f>AE123*(1+AJ237)</f>
        <v>5</v>
      </c>
      <c r="AK123" s="3">
        <f>AF123*(1+AK237)</f>
        <v>1</v>
      </c>
      <c r="AL123" s="3">
        <f>SUM(AH123:AK123)</f>
        <v>11</v>
      </c>
      <c r="AM123" s="3">
        <f>AH123*(1+AM237)</f>
        <v>3</v>
      </c>
      <c r="AN123" s="3">
        <f>AI123*(1+AN237)</f>
        <v>2</v>
      </c>
      <c r="AO123" s="3">
        <f>AJ123*(1+AO237)</f>
        <v>5</v>
      </c>
      <c r="AP123" s="3">
        <f>AK123*(1+AP237)</f>
        <v>1</v>
      </c>
      <c r="AQ123" s="3">
        <f>SUM(AM123:AP123)</f>
        <v>11</v>
      </c>
      <c r="AR123" s="3">
        <f>AM123*(1+AR237)</f>
        <v>3</v>
      </c>
      <c r="AS123" s="3">
        <f>AN123*(1+AS237)</f>
        <v>2</v>
      </c>
      <c r="AT123" s="3">
        <f>AO123*(1+AT237)</f>
        <v>5</v>
      </c>
      <c r="AU123" s="3">
        <f>AP123*(1+AU237)</f>
        <v>1</v>
      </c>
      <c r="AV123" s="3">
        <f>SUM(AR123:AU123)</f>
        <v>11</v>
      </c>
      <c r="AW123" s="3">
        <f>AR123*(1+AW237)</f>
        <v>3</v>
      </c>
      <c r="AX123" s="3">
        <f>AS123*(1+AX237)</f>
        <v>2</v>
      </c>
      <c r="AY123" s="3">
        <f>AT123*(1+AY237)</f>
        <v>5</v>
      </c>
      <c r="AZ123" s="3">
        <f>AU123*(1+AZ237)</f>
        <v>1</v>
      </c>
      <c r="BA123" s="3">
        <f>SUM(AW123:AZ123)</f>
        <v>11</v>
      </c>
      <c r="BB123" s="3">
        <f>AW123*(1+BB237)</f>
        <v>3</v>
      </c>
      <c r="BC123" s="3">
        <f>AX123*(1+BC237)</f>
        <v>2</v>
      </c>
      <c r="BD123" s="3">
        <f>AY123*(1+BD237)</f>
        <v>5</v>
      </c>
      <c r="BE123" s="3">
        <f>AZ123*(1+BE237)</f>
        <v>1</v>
      </c>
      <c r="BF123" s="3">
        <f>SUM(BB123:BE123)</f>
        <v>11</v>
      </c>
      <c r="BG123" s="3">
        <f>BB123*(1+BG237)</f>
        <v>3</v>
      </c>
      <c r="BH123" s="3">
        <f>BC123*(1+BH237)</f>
        <v>2</v>
      </c>
      <c r="BI123" s="3">
        <f>BD123*(1+BI237)</f>
        <v>5</v>
      </c>
      <c r="BJ123" s="3">
        <f>BE123*(1+BJ237)</f>
        <v>1</v>
      </c>
      <c r="BK123" s="3">
        <f>SUM(BG123:BJ123)</f>
        <v>11</v>
      </c>
      <c r="BL123" s="3">
        <f>BG123*(1+BL237)</f>
        <v>3</v>
      </c>
      <c r="BM123" s="3">
        <f>BH123*(1+BM237)</f>
        <v>2</v>
      </c>
      <c r="BN123" s="3">
        <f>BI123*(1+BN237)</f>
        <v>5</v>
      </c>
      <c r="BO123" s="3">
        <f>BJ123*(1+BO237)</f>
        <v>1</v>
      </c>
      <c r="BP123" s="3">
        <f>SUM(BL123:BO123)</f>
        <v>11</v>
      </c>
      <c r="BQ123" s="3">
        <f>BL123*(1+BQ237)</f>
        <v>3</v>
      </c>
      <c r="BR123" s="3">
        <f>BM123*(1+BR237)</f>
        <v>2</v>
      </c>
      <c r="BS123" s="3">
        <f>BN123*(1+BS237)</f>
        <v>5</v>
      </c>
      <c r="BT123" s="3">
        <f>BO123*(1+BT237)</f>
        <v>1</v>
      </c>
      <c r="BU123" s="3">
        <f>SUM(BQ123:BT123)</f>
        <v>11</v>
      </c>
      <c r="BV123" s="3">
        <f>BQ123*(1+BV237)</f>
        <v>3</v>
      </c>
      <c r="BW123" s="3">
        <f>BR123*(1+BW237)</f>
        <v>2</v>
      </c>
      <c r="BX123" s="3">
        <f>BS123*(1+BX237)</f>
        <v>5</v>
      </c>
      <c r="BY123" s="3">
        <f>BT123*(1+BY237)</f>
        <v>1</v>
      </c>
      <c r="BZ123" s="3">
        <f>SUM(BV123:BY123)</f>
        <v>11</v>
      </c>
      <c r="CA123" s="3">
        <f>BV123*(1+CA237)</f>
        <v>3</v>
      </c>
      <c r="CB123" s="3">
        <f>BW123*(1+CB237)</f>
        <v>2</v>
      </c>
      <c r="CC123" s="3">
        <f>BX123*(1+CC237)</f>
        <v>5</v>
      </c>
      <c r="CD123" s="3">
        <f>BY123*(1+CD237)</f>
        <v>1</v>
      </c>
      <c r="CE123" s="3">
        <f>SUM(CA123:CD123)</f>
        <v>11</v>
      </c>
      <c r="CF123" s="3">
        <f>CA123*(1+CF237)</f>
        <v>3</v>
      </c>
      <c r="CG123" s="3">
        <f>CB123*(1+CG237)</f>
        <v>2</v>
      </c>
      <c r="CH123" s="3">
        <f>CC123*(1+CH237)</f>
        <v>5</v>
      </c>
      <c r="CI123" s="3">
        <f>CD123*(1+CI237)</f>
        <v>1</v>
      </c>
      <c r="CJ123" s="3">
        <f>SUM(CF123:CI123)</f>
        <v>11</v>
      </c>
      <c r="CK123" s="3">
        <f>CF123*(1+CK237)</f>
        <v>3</v>
      </c>
      <c r="CL123" s="3">
        <f>CG123*(1+CL237)</f>
        <v>2</v>
      </c>
      <c r="CM123" s="3">
        <f>CH123*(1+CM237)</f>
        <v>5</v>
      </c>
      <c r="CN123" s="3">
        <f>CI123*(1+CN237)</f>
        <v>1</v>
      </c>
      <c r="CO123" s="3">
        <f>SUM(CK123:CN123)</f>
        <v>11</v>
      </c>
      <c r="CP123" s="3">
        <f>CK123*(1+CP237)</f>
        <v>3</v>
      </c>
      <c r="CQ123" s="3">
        <f>CL123*(1+CQ237)</f>
        <v>2</v>
      </c>
      <c r="CR123" s="3">
        <f>CM123*(1+CR237)</f>
        <v>5</v>
      </c>
      <c r="CS123" s="3">
        <f>CN123*(1+CS237)</f>
        <v>1</v>
      </c>
      <c r="CT123" s="3">
        <f>SUM(CP123:CS123)</f>
        <v>11</v>
      </c>
      <c r="CU123" s="3">
        <f>CP123*(1+CU237)</f>
        <v>3</v>
      </c>
      <c r="CV123" s="3">
        <f>CQ123*(1+CV237)</f>
        <v>2</v>
      </c>
      <c r="CW123" s="3">
        <f>CR123*(1+CW237)</f>
        <v>5</v>
      </c>
      <c r="CX123" s="3">
        <f>CS123*(1+CX237)</f>
        <v>1</v>
      </c>
      <c r="CY123" s="3">
        <f>SUM(CU123:CX123)</f>
        <v>11</v>
      </c>
    </row>
    <row r="124" customFormat="1" s="17">
      <c r="A124" s="13" t="n"/>
      <c r="B124" s="1" t="n"/>
      <c r="C124" s="14" t="inlineStr">
        <is>
          <t>Net Income</t>
        </is>
      </c>
      <c r="D124" s="16">
        <f>SUM(D117,D118,D122,D123)</f>
        <v>666</v>
      </c>
      <c r="E124" s="16">
        <f>SUM(E117,E118,E122,E123)</f>
        <v>811</v>
      </c>
      <c r="F124" s="16">
        <f>SUM(F117,F118,F122,F123)</f>
        <v>757</v>
      </c>
      <c r="G124" s="16">
        <f>SUM(G117,G118,G122,G123)</f>
        <v>1224</v>
      </c>
      <c r="H124" s="16">
        <f>SUM(D124:G124)</f>
        <v>3458</v>
      </c>
      <c r="I124" s="16">
        <f>SUM(I117,I118,I122,I123)</f>
        <v>1790</v>
      </c>
      <c r="J124" s="16">
        <f>SUM(J117,J118,J122,J123)</f>
        <v>1667</v>
      </c>
      <c r="K124" s="16">
        <f>SUM(K117,K118,K122,K123)</f>
        <v>1283</v>
      </c>
      <c r="L124" s="16">
        <f>SUM(L117,L118,L122,L123)</f>
        <v>903</v>
      </c>
      <c r="M124" s="16">
        <f>SUM(I124:L124)</f>
        <v>5643</v>
      </c>
      <c r="N124" s="16">
        <f>SUM(N117,N118,N122,N123)</f>
        <v>2098</v>
      </c>
      <c r="O124" s="16">
        <f>SUM(O117,O118,O122,O123)</f>
        <v>1884</v>
      </c>
      <c r="P124" s="16">
        <f>SUM(P117,P118,P122,P123)</f>
        <v>2246</v>
      </c>
      <c r="Q124" s="16">
        <f>SUM(Q117,Q118,Q122,Q123)</f>
        <v>1959</v>
      </c>
      <c r="R124" s="16">
        <f>SUM(N124:Q124)</f>
        <v>8187</v>
      </c>
      <c r="S124" s="16">
        <f>SUM(S117,S118,S122,S123)</f>
        <v>2860</v>
      </c>
      <c r="T124" s="16">
        <f>SUM(T117,T118,T122,T123)</f>
        <v>2978</v>
      </c>
      <c r="U124" s="16">
        <f>SUM(U117,U118,U122,U123)</f>
        <v>2369</v>
      </c>
      <c r="V124" s="16">
        <f>SUM(V117,V118,V122,V123)</f>
        <v>1751</v>
      </c>
      <c r="W124" s="16">
        <f>SUM(S124:V124)</f>
        <v>9958</v>
      </c>
      <c r="X124" s="16">
        <f>SUM(X117,X118,X122,X123)</f>
        <v>2370</v>
      </c>
      <c r="Y124" s="16">
        <f>SUM(Y117,Y118,Y122,Y123)</f>
        <v>1734</v>
      </c>
      <c r="Z124" s="16">
        <f>SUM(Z117,Z118,Z122,Z123)</f>
        <v>1245</v>
      </c>
      <c r="AA124" s="16">
        <f>SUM(AA117,AA118,AA122,AA123)</f>
        <v>869</v>
      </c>
      <c r="AB124" s="16">
        <f>SUM(X124:AA124)</f>
        <v>6218</v>
      </c>
      <c r="AC124" s="16">
        <f>SUM(AC117,AC118,AC122,AC123)</f>
        <v>1804</v>
      </c>
      <c r="AD124" s="16">
        <f>SUM(AD117,AD118,AD122,AD123)</f>
        <v>1289</v>
      </c>
      <c r="AE124" s="16">
        <f>SUM(AE117,AE118,AE122,AE123)</f>
        <v>1065</v>
      </c>
      <c r="AF124" s="16">
        <f>SUM(AF117,AF118,AF122,AF123)</f>
        <v>656</v>
      </c>
      <c r="AG124" s="16">
        <f>SUM(AC124:AF124)</f>
        <v>4814</v>
      </c>
      <c r="AH124" s="16">
        <f>SUM(AH117,AH118,AH122,AH123)</f>
        <v>1773</v>
      </c>
      <c r="AI124" s="16">
        <f>SUM(AI117,AI118,AI122,AI123)</f>
        <v>1379</v>
      </c>
      <c r="AJ124" s="16">
        <f>SUM(AJ117,AJ118,AJ122,AJ123)</f>
        <v>2999</v>
      </c>
      <c r="AK124" s="16">
        <f>SUM(AK117,AK118,AK122,AK123)</f>
        <v>2608</v>
      </c>
      <c r="AL124" s="16">
        <f>SUM(AH124:AK124)</f>
        <v>8759</v>
      </c>
      <c r="AM124" s="16">
        <f>SUM(AM117,AM118,AM122,AM123)</f>
        <v>2590</v>
      </c>
      <c r="AN124" s="16">
        <f>SUM(AN117,AN118,AN122,AN123)</f>
        <v>11220</v>
      </c>
      <c r="AO124" s="16">
        <f>SUM(AO117,AO118,AO122,AO123)</f>
        <v>2586</v>
      </c>
      <c r="AP124" s="16">
        <f>SUM(AP117,AP118,AP122,AP123)</f>
        <v>11210</v>
      </c>
      <c r="AQ124" s="16">
        <f>SUM(AM124:AP124)</f>
        <v>27606</v>
      </c>
      <c r="AR124" s="16">
        <f>SUM(AR117,AR118,AR122,AR123)</f>
        <v>11192</v>
      </c>
      <c r="AS124" s="16">
        <f>SUM(AS117,AS118,AS122,AS123)</f>
        <v>27598</v>
      </c>
      <c r="AT124" s="16">
        <f>SUM(AT117,AT118,AT122,AT123)</f>
        <v>11188</v>
      </c>
      <c r="AU124" s="16">
        <f>SUM(AU117,AU118,AU122,AU123)</f>
        <v>27588</v>
      </c>
      <c r="AV124" s="16">
        <f>SUM(AR124:AU124)</f>
        <v>77566</v>
      </c>
      <c r="AW124" s="16">
        <f>SUM(AW117,AW118,AW122,AW123)</f>
        <v>27570</v>
      </c>
      <c r="AX124" s="16">
        <f>SUM(AX117,AX118,AX122,AX123)</f>
        <v>77558</v>
      </c>
      <c r="AY124" s="16">
        <f>SUM(AY117,AY118,AY122,AY123)</f>
        <v>27566</v>
      </c>
      <c r="AZ124" s="16">
        <f>SUM(AZ117,AZ118,AZ122,AZ123)</f>
        <v>77548</v>
      </c>
      <c r="BA124" s="16">
        <f>SUM(AW124:AZ124)</f>
        <v>210242</v>
      </c>
      <c r="BB124" s="16">
        <f>SUM(BB117,BB118,BB122,BB123)</f>
        <v>77530</v>
      </c>
      <c r="BC124" s="16">
        <f>SUM(BC117,BC118,BC122,BC123)</f>
        <v>210234</v>
      </c>
      <c r="BD124" s="16">
        <f>SUM(BD117,BD118,BD122,BD123)</f>
        <v>77526</v>
      </c>
      <c r="BE124" s="16">
        <f>SUM(BE117,BE118,BE122,BE123)</f>
        <v>210224</v>
      </c>
      <c r="BF124" s="16">
        <f>SUM(BB124:BE124)</f>
        <v>575514</v>
      </c>
      <c r="BG124" s="16">
        <f>SUM(BG117,BG118,BG122,BG123)</f>
        <v>210206</v>
      </c>
      <c r="BH124" s="16">
        <f>SUM(BH117,BH118,BH122,BH123)</f>
        <v>575506</v>
      </c>
      <c r="BI124" s="16">
        <f>SUM(BI117,BI118,BI122,BI123)</f>
        <v>210202</v>
      </c>
      <c r="BJ124" s="16">
        <f>SUM(BJ117,BJ118,BJ122,BJ123)</f>
        <v>575496</v>
      </c>
      <c r="BK124" s="16">
        <f>SUM(BG124:BJ124)</f>
        <v>1571410</v>
      </c>
      <c r="BL124" s="16">
        <f>SUM(BL117,BL118,BL122,BL123)</f>
        <v>575478</v>
      </c>
      <c r="BM124" s="16">
        <f>SUM(BM117,BM118,BM122,BM123)</f>
        <v>1571402</v>
      </c>
      <c r="BN124" s="16">
        <f>SUM(BN117,BN118,BN122,BN123)</f>
        <v>575474</v>
      </c>
      <c r="BO124" s="16">
        <f>SUM(BO117,BO118,BO122,BO123)</f>
        <v>1571392</v>
      </c>
      <c r="BP124" s="16">
        <f>SUM(BL124:BO124)</f>
        <v>4293746</v>
      </c>
      <c r="BQ124" s="16">
        <f>SUM(BQ117,BQ118,BQ122,BQ123)</f>
        <v>1571374</v>
      </c>
      <c r="BR124" s="16">
        <f>SUM(BR117,BR118,BR122,BR123)</f>
        <v>4293738</v>
      </c>
      <c r="BS124" s="16">
        <f>SUM(BS117,BS118,BS122,BS123)</f>
        <v>1571370</v>
      </c>
      <c r="BT124" s="16">
        <f>SUM(BT117,BT118,BT122,BT123)</f>
        <v>4293728</v>
      </c>
      <c r="BU124" s="16">
        <f>SUM(BQ124:BT124)</f>
        <v>11730210</v>
      </c>
      <c r="BV124" s="16">
        <f>SUM(BV117,BV118,BV122,BV123)</f>
        <v>4293710</v>
      </c>
      <c r="BW124" s="16">
        <f>SUM(BW117,BW118,BW122,BW123)</f>
        <v>11730202</v>
      </c>
      <c r="BX124" s="16">
        <f>SUM(BX117,BX118,BX122,BX123)</f>
        <v>4293706</v>
      </c>
      <c r="BY124" s="16">
        <f>SUM(BY117,BY118,BY122,BY123)</f>
        <v>11730192</v>
      </c>
      <c r="BZ124" s="16">
        <f>SUM(BV124:BY124)</f>
        <v>32047810</v>
      </c>
      <c r="CA124" s="16">
        <f>SUM(CA117,CA118,CA122,CA123)</f>
        <v>11730174</v>
      </c>
      <c r="CB124" s="16">
        <f>SUM(CB117,CB118,CB122,CB123)</f>
        <v>32047802</v>
      </c>
      <c r="CC124" s="16">
        <f>SUM(CC117,CC118,CC122,CC123)</f>
        <v>11730170</v>
      </c>
      <c r="CD124" s="16">
        <f>SUM(CD117,CD118,CD122,CD123)</f>
        <v>32047792</v>
      </c>
      <c r="CE124" s="16">
        <f>SUM(CA124:CD124)</f>
        <v>87555938</v>
      </c>
      <c r="CF124" s="16">
        <f>SUM(CF117,CF118,CF122,CF123)</f>
        <v>32047774</v>
      </c>
      <c r="CG124" s="16">
        <f>SUM(CG117,CG118,CG122,CG123)</f>
        <v>87555930</v>
      </c>
      <c r="CH124" s="16">
        <f>SUM(CH117,CH118,CH122,CH123)</f>
        <v>32047770</v>
      </c>
      <c r="CI124" s="16">
        <f>SUM(CI117,CI118,CI122,CI123)</f>
        <v>87555920</v>
      </c>
      <c r="CJ124" s="16">
        <f>SUM(CF124:CI124)</f>
        <v>239207394</v>
      </c>
      <c r="CK124" s="16">
        <f>SUM(CK117,CK118,CK122,CK123)</f>
        <v>87555902</v>
      </c>
      <c r="CL124" s="16">
        <f>SUM(CL117,CL118,CL122,CL123)</f>
        <v>239207386</v>
      </c>
      <c r="CM124" s="16">
        <f>SUM(CM117,CM118,CM122,CM123)</f>
        <v>87555898</v>
      </c>
      <c r="CN124" s="16">
        <f>SUM(CN117,CN118,CN122,CN123)</f>
        <v>239207376</v>
      </c>
      <c r="CO124" s="16">
        <f>SUM(CK124:CN124)</f>
        <v>653526562</v>
      </c>
      <c r="CP124" s="16">
        <f>SUM(CP117,CP118,CP122,CP123)</f>
        <v>239207358</v>
      </c>
      <c r="CQ124" s="16">
        <f>SUM(CQ117,CQ118,CQ122,CQ123)</f>
        <v>653526554</v>
      </c>
      <c r="CR124" s="16">
        <f>SUM(CR117,CR118,CR122,CR123)</f>
        <v>239207354</v>
      </c>
      <c r="CS124" s="16">
        <f>SUM(CS117,CS118,CS122,CS123)</f>
        <v>653526544</v>
      </c>
      <c r="CT124" s="16">
        <f>SUM(CP124:CS124)</f>
        <v>1785467810</v>
      </c>
      <c r="CU124" s="16">
        <f>SUM(CU117,CU118,CU122,CU123)</f>
        <v>653526526</v>
      </c>
      <c r="CV124" s="16">
        <f>SUM(CV117,CV118,CV122,CV123)</f>
        <v>1785467802</v>
      </c>
      <c r="CW124" s="16">
        <f>SUM(CW117,CW118,CW122,CW123)</f>
        <v>653526522</v>
      </c>
      <c r="CX124" s="16">
        <f>SUM(CX117,CX118,CX122,CX123)</f>
        <v>1785467792</v>
      </c>
      <c r="CY124" s="16">
        <f>SUM(CU124:CX124)</f>
        <v>4877988642</v>
      </c>
    </row>
    <row r="125">
      <c r="C125" s="24" t="inlineStr">
        <is>
          <t>Common Dividends</t>
        </is>
      </c>
      <c r="D125" s="25">
        <f>INDEX('Inputs (2)'!$D$13:$AL$13,MATCH(D$7,'Inputs (2)'!$D$2:$AL$2,0))</f>
        <v>-239</v>
      </c>
      <c r="E125" s="25">
        <f>INDEX('Inputs (2)'!$D$13:$AL$13,MATCH(E$7,'Inputs (2)'!$D$2:$AL$2,0))</f>
        <v>-237</v>
      </c>
      <c r="F125" s="25">
        <f>INDEX('Inputs (2)'!$D$13:$AL$13,MATCH(F$7,'Inputs (2)'!$D$2:$AL$2,0))</f>
        <v>-238</v>
      </c>
      <c r="G125" s="25">
        <f>INDEX('Inputs (2)'!$D$13:$AL$13,MATCH(G$7,'Inputs (2)'!$D$2:$AL$2,0))</f>
        <v>-242</v>
      </c>
      <c r="H125" s="3">
        <f>SUM(D125:G125)</f>
        <v>-956</v>
      </c>
      <c r="I125" s="25">
        <f>INDEX('Inputs (2)'!$D$13:$AL$13,MATCH(I$7,'Inputs (2)'!$D$2:$AL$2,0))</f>
        <v>-238</v>
      </c>
      <c r="J125" s="25">
        <f>INDEX('Inputs (2)'!$D$13:$AL$13,MATCH(J$7,'Inputs (2)'!$D$2:$AL$2,0))</f>
        <v>-281</v>
      </c>
      <c r="K125" s="25">
        <f>INDEX('Inputs (2)'!$D$13:$AL$13,MATCH(K$7,'Inputs (2)'!$D$2:$AL$2,0))</f>
        <v>-279</v>
      </c>
      <c r="L125" s="25">
        <f>INDEX('Inputs (2)'!$D$13:$AL$13,MATCH(L$7,'Inputs (2)'!$D$2:$AL$2,0))</f>
        <v>-327</v>
      </c>
      <c r="M125" s="3">
        <f>SUM(I125:L125)</f>
        <v>-1125</v>
      </c>
      <c r="N125" s="25">
        <f>INDEX('Inputs (2)'!$D$13:$AL$13,MATCH(N$7,'Inputs (2)'!$D$2:$AL$2,0))</f>
        <v>-322</v>
      </c>
      <c r="O125" s="25">
        <f>INDEX('Inputs (2)'!$D$13:$AL$13,MATCH(O$7,'Inputs (2)'!$D$2:$AL$2,0))</f>
        <v>-322</v>
      </c>
      <c r="P125" s="25">
        <f>INDEX('Inputs (2)'!$D$13:$AL$13,MATCH(P$7,'Inputs (2)'!$D$2:$AL$2,0))</f>
        <v>-342</v>
      </c>
      <c r="Q125" s="25">
        <f>INDEX('Inputs (2)'!$D$13:$AL$13,MATCH(Q$7,'Inputs (2)'!$D$2:$AL$2,0))</f>
        <v>-341</v>
      </c>
      <c r="R125" s="3">
        <f>SUM(N125:Q125)</f>
        <v>-1327</v>
      </c>
      <c r="S125" s="25">
        <f>INDEX('Inputs (2)'!$D$13:$AL$13,MATCH(S$7,'Inputs (2)'!$D$2:$AL$2,0))</f>
        <v>-356</v>
      </c>
      <c r="T125" s="25">
        <f>INDEX('Inputs (2)'!$D$13:$AL$13,MATCH(T$7,'Inputs (2)'!$D$2:$AL$2,0))</f>
        <v>-368</v>
      </c>
      <c r="U125" s="25">
        <f>INDEX('Inputs (2)'!$D$13:$AL$13,MATCH(U$7,'Inputs (2)'!$D$2:$AL$2,0))</f>
        <v>-362</v>
      </c>
      <c r="V125" s="25">
        <f>INDEX('Inputs (2)'!$D$13:$AL$13,MATCH(V$7,'Inputs (2)'!$D$2:$AL$2,0))</f>
        <v>-386</v>
      </c>
      <c r="W125" s="3">
        <f>SUM(S125:V125)</f>
        <v>-1472</v>
      </c>
      <c r="X125" s="25">
        <f>INDEX('Inputs (2)'!$D$13:$AL$13,MATCH(X$7,'Inputs (2)'!$D$2:$AL$2,0))</f>
        <v>-410</v>
      </c>
      <c r="Y125" s="25">
        <f>INDEX('Inputs (2)'!$D$13:$AL$13,MATCH(Y$7,'Inputs (2)'!$D$2:$AL$2,0))</f>
        <v>-406</v>
      </c>
      <c r="Z125" s="25">
        <f>INDEX('Inputs (2)'!$D$13:$AL$13,MATCH(Z$7,'Inputs (2)'!$D$2:$AL$2,0))</f>
        <v>-403</v>
      </c>
      <c r="AA125" s="25">
        <f>INDEX('Inputs (2)'!$D$13:$AL$13,MATCH(AA$7,'Inputs (2)'!$D$2:$AL$2,0))</f>
        <v>-403</v>
      </c>
      <c r="AB125" s="3">
        <f>SUM(X125:AA125)</f>
        <v>-1622</v>
      </c>
      <c r="AC125" s="25">
        <f>INDEX('Inputs (2)'!$D$13:$AL$13,MATCH(AC$7,'Inputs (2)'!$D$2:$AL$2,0))</f>
        <v>-440</v>
      </c>
      <c r="AD125" s="25">
        <f>INDEX('Inputs (2)'!$D$13:$AL$13,MATCH(AD$7,'Inputs (2)'!$D$2:$AL$2,0))</f>
        <v>-439</v>
      </c>
      <c r="AE125" s="25">
        <f>INDEX('Inputs (2)'!$D$13:$AL$13,MATCH(AE$7,'Inputs (2)'!$D$2:$AL$2,0))</f>
        <v>-438</v>
      </c>
      <c r="AF125" s="25">
        <f>INDEX('Inputs (2)'!$D$13:$AL$13,MATCH(AF$7,'Inputs (2)'!$D$2:$AL$2,0))</f>
        <v>-441</v>
      </c>
      <c r="AG125" s="3">
        <f>SUM(AC125:AF125)</f>
        <v>-1758</v>
      </c>
      <c r="AH125" s="3">
        <f>INDEX('Inputs (2)'!$D$13:$AL$13,MATCH(AH$7,'Inputs (2)'!$D$2:$AL$2,0))</f>
        <v>-437</v>
      </c>
      <c r="AI125" s="3">
        <f>INDEX('Inputs (2)'!$D$13:$AL$13,MATCH(AI$7,'Inputs (2)'!$D$2:$AL$2,0))</f>
        <v>-438</v>
      </c>
      <c r="AJ125" s="3" t="n"/>
      <c r="AK125" s="3" t="n"/>
      <c r="AL125" s="3">
        <f>SUM(AH125:AK125)</f>
        <v>-875</v>
      </c>
      <c r="AM125" s="3" t="n"/>
      <c r="AN125" s="3" t="n"/>
      <c r="AO125" s="3" t="n"/>
      <c r="AP125" s="3" t="n"/>
      <c r="AQ125" s="3">
        <f>SUM(AM125:AP125)</f>
        <v>0</v>
      </c>
      <c r="AR125" s="3" t="n"/>
      <c r="AS125" s="3" t="n"/>
      <c r="AT125" s="3" t="n"/>
      <c r="AU125" s="3" t="n"/>
      <c r="AV125" s="3">
        <f>SUM(AR125:AU125)</f>
        <v>0</v>
      </c>
      <c r="AW125" s="3" t="n"/>
      <c r="AX125" s="3" t="n"/>
      <c r="AY125" s="3" t="n"/>
      <c r="AZ125" s="3" t="n"/>
      <c r="BA125" s="3">
        <f>SUM(AW125:AZ125)</f>
        <v>0</v>
      </c>
      <c r="BB125" s="3" t="n"/>
      <c r="BC125" s="3" t="n"/>
      <c r="BD125" s="3" t="n"/>
      <c r="BE125" s="3" t="n"/>
      <c r="BF125" s="3">
        <f>SUM(BB125:BE125)</f>
        <v>0</v>
      </c>
      <c r="BG125" s="3" t="n"/>
      <c r="BH125" s="3" t="n"/>
      <c r="BI125" s="3" t="n"/>
      <c r="BJ125" s="3" t="n"/>
      <c r="BK125" s="3">
        <f>SUM(BG125:BJ125)</f>
        <v>0</v>
      </c>
      <c r="BL125" s="3" t="n"/>
      <c r="BM125" s="3" t="n"/>
      <c r="BN125" s="3" t="n"/>
      <c r="BO125" s="3" t="n"/>
      <c r="BP125" s="3">
        <f>SUM(BL125:BO125)</f>
        <v>0</v>
      </c>
      <c r="BQ125" s="3" t="n"/>
      <c r="BR125" s="3" t="n"/>
      <c r="BS125" s="3" t="n"/>
      <c r="BT125" s="3" t="n"/>
      <c r="BU125" s="3">
        <f>SUM(BQ125:BT125)</f>
        <v>0</v>
      </c>
      <c r="BV125" s="3" t="n"/>
      <c r="BW125" s="3" t="n"/>
      <c r="BX125" s="3" t="n"/>
      <c r="BY125" s="3" t="n"/>
      <c r="BZ125" s="3">
        <f>SUM(BV125:BY125)</f>
        <v>0</v>
      </c>
      <c r="CA125" s="3" t="n"/>
      <c r="CB125" s="3" t="n"/>
      <c r="CC125" s="3" t="n"/>
      <c r="CD125" s="3" t="n"/>
      <c r="CE125" s="3">
        <f>SUM(CA125:CD125)</f>
        <v>0</v>
      </c>
      <c r="CF125" s="3" t="n"/>
      <c r="CG125" s="3" t="n"/>
      <c r="CH125" s="3" t="n"/>
      <c r="CI125" s="3" t="n"/>
      <c r="CJ125" s="3">
        <f>SUM(CF125:CI125)</f>
        <v>0</v>
      </c>
      <c r="CK125" s="3" t="n"/>
      <c r="CL125" s="3" t="n"/>
      <c r="CM125" s="3" t="n"/>
      <c r="CN125" s="3" t="n"/>
      <c r="CO125" s="3">
        <f>SUM(CK125:CN125)</f>
        <v>0</v>
      </c>
      <c r="CP125" s="3" t="n"/>
      <c r="CQ125" s="3" t="n"/>
      <c r="CR125" s="3" t="n"/>
      <c r="CS125" s="3" t="n"/>
      <c r="CT125" s="3">
        <f>SUM(CP125:CS125)</f>
        <v>0</v>
      </c>
      <c r="CU125" s="3" t="n"/>
      <c r="CV125" s="3" t="n"/>
      <c r="CW125" s="3" t="n"/>
      <c r="CX125" s="3" t="n"/>
      <c r="CY125" s="3">
        <f>SUM(CU125:CX125)</f>
        <v>0</v>
      </c>
    </row>
    <row r="126" hidden="1" outlineLevel="1">
      <c r="C126" s="32" t="inlineStr">
        <is>
          <t>% DVD Payout</t>
        </is>
      </c>
      <c r="D126" s="40">
        <f>-D125/D124</f>
        <v>0.358858858858859</v>
      </c>
      <c r="E126" s="40">
        <f>-E125/E124</f>
        <v>0.292231812577065</v>
      </c>
      <c r="F126" s="40">
        <f>-F125/F124</f>
        <v>0.31439894319683</v>
      </c>
      <c r="G126" s="40">
        <f>-G125/G124</f>
        <v>0.197712418300654</v>
      </c>
      <c r="H126" s="40">
        <f>-H125/H124</f>
        <v>0.27646038172354</v>
      </c>
      <c r="I126" s="40">
        <f>-I125/I124</f>
        <v>0.132960893854749</v>
      </c>
      <c r="J126" s="40">
        <f>-J125/J124</f>
        <v>0.168566286742651</v>
      </c>
      <c r="K126" s="40">
        <f>-K125/K124</f>
        <v>0.217459080280592</v>
      </c>
      <c r="L126" s="40">
        <f>-L125/L124</f>
        <v>0.362126245847176</v>
      </c>
      <c r="M126" s="40">
        <f>-M125/M124</f>
        <v>0.199362041467305</v>
      </c>
      <c r="N126" s="40">
        <f>-N125/N124</f>
        <v>0.1534795042898</v>
      </c>
      <c r="O126" s="40">
        <f>-O125/O124</f>
        <v>0.170912951167728</v>
      </c>
      <c r="P126" s="40">
        <f>-P125/P124</f>
        <v>0.152270703472841</v>
      </c>
      <c r="Q126" s="40">
        <f>-Q125/Q124</f>
        <v>0.174068402246044</v>
      </c>
      <c r="R126" s="40">
        <f>-R125/R124</f>
        <v>0.162086234273849</v>
      </c>
      <c r="S126" s="40">
        <f>-S125/S124</f>
        <v>0.124475524475524</v>
      </c>
      <c r="T126" s="40">
        <f>-T125/T124</f>
        <v>0.123572867696441</v>
      </c>
      <c r="U126" s="40">
        <f>-U125/U124</f>
        <v>0.152807091599831</v>
      </c>
      <c r="V126" s="40">
        <f>-V125/V124</f>
        <v>0.220445459737293</v>
      </c>
      <c r="W126" s="40">
        <f>-W125/W124</f>
        <v>0.147820847559751</v>
      </c>
      <c r="X126" s="40">
        <f>-X125/X124</f>
        <v>0.172995780590717</v>
      </c>
      <c r="Y126" s="40">
        <f>-Y125/Y124</f>
        <v>0.234140715109573</v>
      </c>
      <c r="Z126" s="40">
        <f>-Z125/Z124</f>
        <v>0.323694779116466</v>
      </c>
      <c r="AA126" s="40">
        <f>-AA125/AA124</f>
        <v>0.463751438434983</v>
      </c>
      <c r="AB126" s="40">
        <f>-AB125/AB124</f>
        <v>0.260855580572531</v>
      </c>
      <c r="AC126" s="40">
        <f>-AC125/AC124</f>
        <v>0.24390243902439</v>
      </c>
      <c r="AD126" s="40">
        <f>-AD125/AD124</f>
        <v>0.340574088440652</v>
      </c>
      <c r="AE126" s="40">
        <f>-AE125/AE124</f>
        <v>0.411267605633803</v>
      </c>
      <c r="AF126" s="44">
        <f>-AF125/AF124</f>
        <v>0.672256097560976</v>
      </c>
      <c r="AG126" s="3" t="n"/>
      <c r="AH126" s="44">
        <f>-AH125/AH124</f>
        <v>0.246474901297236</v>
      </c>
      <c r="AI126" s="44">
        <f>-AI125/AI124</f>
        <v>0.317621464829587</v>
      </c>
      <c r="AJ126" s="44" t="n"/>
      <c r="AK126" s="44" t="n"/>
      <c r="AL126" s="3">
        <f>-AL125/AL124</f>
        <v>0.0998972485443544</v>
      </c>
      <c r="AM126" s="44" t="n"/>
      <c r="AN126" s="44" t="n"/>
      <c r="AO126" s="44" t="n"/>
      <c r="AP126" s="44" t="n"/>
      <c r="AQ126" s="3">
        <f>-AQ125/AQ124</f>
        <v>0</v>
      </c>
      <c r="AR126" s="44" t="n"/>
      <c r="AS126" s="44" t="n"/>
      <c r="AT126" s="44" t="n"/>
      <c r="AU126" s="44" t="n"/>
      <c r="AV126" s="3">
        <f>-AV125/AV124</f>
        <v>0</v>
      </c>
      <c r="AW126" s="44" t="n"/>
      <c r="AX126" s="44" t="n"/>
      <c r="AY126" s="44" t="n"/>
      <c r="AZ126" s="44" t="n"/>
      <c r="BA126" s="3">
        <f>-BA125/BA124</f>
        <v>0</v>
      </c>
      <c r="BB126" s="44" t="n"/>
      <c r="BC126" s="44" t="n"/>
      <c r="BD126" s="44" t="n"/>
      <c r="BE126" s="44" t="n"/>
      <c r="BF126" s="3">
        <f>-BF125/BF124</f>
        <v>0</v>
      </c>
      <c r="BG126" s="44" t="n"/>
      <c r="BH126" s="44" t="n"/>
      <c r="BI126" s="44" t="n"/>
      <c r="BJ126" s="44" t="n"/>
      <c r="BK126" s="3">
        <f>-BK125/BK124</f>
        <v>0</v>
      </c>
      <c r="BL126" s="44" t="n"/>
      <c r="BM126" s="44" t="n"/>
      <c r="BN126" s="44" t="n"/>
      <c r="BO126" s="44" t="n"/>
      <c r="BP126" s="3">
        <f>-BP125/BP124</f>
        <v>0</v>
      </c>
      <c r="BQ126" s="44" t="n"/>
      <c r="BR126" s="44" t="n"/>
      <c r="BS126" s="44" t="n"/>
      <c r="BT126" s="44" t="n"/>
      <c r="BU126" s="3">
        <f>-BU125/BU124</f>
        <v>0</v>
      </c>
      <c r="BV126" s="44" t="n"/>
      <c r="BW126" s="44" t="n"/>
      <c r="BX126" s="44" t="n"/>
      <c r="BY126" s="44" t="n"/>
      <c r="BZ126" s="3">
        <f>-BZ125/BZ124</f>
        <v>0</v>
      </c>
      <c r="CA126" s="44" t="n"/>
      <c r="CB126" s="44" t="n"/>
      <c r="CC126" s="44" t="n"/>
      <c r="CD126" s="44" t="n"/>
      <c r="CE126" s="3">
        <f>-CE125/CE124</f>
        <v>0</v>
      </c>
      <c r="CF126" s="44" t="n"/>
      <c r="CG126" s="44" t="n"/>
      <c r="CH126" s="44" t="n"/>
      <c r="CI126" s="44" t="n"/>
      <c r="CJ126" s="3">
        <f>-CJ125/CJ124</f>
        <v>0</v>
      </c>
      <c r="CK126" s="44" t="n"/>
      <c r="CL126" s="44" t="n"/>
      <c r="CM126" s="44" t="n"/>
      <c r="CN126" s="44" t="n"/>
      <c r="CO126" s="3">
        <f>-CO125/CO124</f>
        <v>0</v>
      </c>
      <c r="CP126" s="44" t="n"/>
      <c r="CQ126" s="44" t="n"/>
      <c r="CR126" s="44" t="n"/>
      <c r="CS126" s="44" t="n"/>
      <c r="CT126" s="3">
        <f>-CT125/CT124</f>
        <v>0</v>
      </c>
      <c r="CU126" s="44" t="n"/>
      <c r="CV126" s="44" t="n"/>
      <c r="CW126" s="44" t="n"/>
      <c r="CX126" s="44" t="n"/>
      <c r="CY126" s="3">
        <f>-CY125/CY124</f>
        <v>0</v>
      </c>
    </row>
    <row r="127" hidden="1" outlineLevel="1">
      <c r="C127" s="5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</row>
    <row r="128" hidden="1" outlineLevel="1">
      <c r="C128" s="5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</row>
    <row r="129" collapsed="1" ht="11.25" customHeight="1">
      <c r="C129" s="12" t="inlineStr">
        <is>
          <t>Balance Sheet</t>
        </is>
      </c>
      <c r="D129" s="12" t="str">
        <f>D13</f>
        <v>1Q20</v>
      </c>
      <c r="E129" s="12" t="str">
        <f>E13</f>
        <v>2Q20</v>
      </c>
      <c r="F129" s="12" t="str">
        <f>F13</f>
        <v>3Q20</v>
      </c>
      <c r="G129" s="12" t="str">
        <f>G13</f>
        <v>4Q20</v>
      </c>
      <c r="H129" s="12">
        <f>H13</f>
        <v>2020</v>
      </c>
      <c r="I129" s="12" t="str">
        <f>I13</f>
        <v>1Q21</v>
      </c>
      <c r="J129" s="12" t="str">
        <f>J13</f>
        <v>2Q21</v>
      </c>
      <c r="K129" s="12" t="str">
        <f>K13</f>
        <v>3Q21</v>
      </c>
      <c r="L129" s="12" t="str">
        <f>L13</f>
        <v>4Q21</v>
      </c>
      <c r="M129" s="12">
        <f>M13</f>
        <v>2021</v>
      </c>
      <c r="N129" s="12" t="str">
        <f>N13</f>
        <v>1Q22</v>
      </c>
      <c r="O129" s="12" t="str">
        <f>O13</f>
        <v>2Q22</v>
      </c>
      <c r="P129" s="12" t="str">
        <f>P13</f>
        <v>3Q22</v>
      </c>
      <c r="Q129" s="12" t="str">
        <f>Q13</f>
        <v>4Q22</v>
      </c>
      <c r="R129" s="12">
        <f>R13</f>
        <v>2022</v>
      </c>
      <c r="S129" s="12" t="str">
        <f>S13</f>
        <v>1Q23</v>
      </c>
      <c r="T129" s="12" t="str">
        <f>T13</f>
        <v>2Q23</v>
      </c>
      <c r="U129" s="12" t="str">
        <f>U13</f>
        <v>3Q23</v>
      </c>
      <c r="V129" s="12" t="str">
        <f>V13</f>
        <v>4Q23</v>
      </c>
      <c r="W129" s="12">
        <f>W13</f>
        <v>2023</v>
      </c>
      <c r="X129" s="12" t="str">
        <f>X13</f>
        <v>1Q24</v>
      </c>
      <c r="Y129" s="12" t="str">
        <f>Y13</f>
        <v>2Q24</v>
      </c>
      <c r="Z129" s="12" t="str">
        <f>Z13</f>
        <v>3Q24</v>
      </c>
      <c r="AA129" s="12" t="str">
        <f>AA13</f>
        <v>4Q24</v>
      </c>
      <c r="AB129" s="12">
        <f>AB13</f>
        <v>2024</v>
      </c>
      <c r="AC129" s="12" t="str">
        <f>AC13</f>
        <v>1Q25</v>
      </c>
      <c r="AD129" s="12" t="str">
        <f>AD13</f>
        <v>2Q25</v>
      </c>
      <c r="AE129" s="12" t="str">
        <f>AE13</f>
        <v>3Q25</v>
      </c>
      <c r="AF129" s="12" t="str">
        <f>AF13</f>
        <v>4Q25</v>
      </c>
      <c r="AG129" s="12">
        <f>AG13</f>
        <v>2025</v>
      </c>
      <c r="AH129" s="12" t="str">
        <f>AH13</f>
        <v>1Q26</v>
      </c>
      <c r="AI129" s="12" t="str">
        <f>AI13</f>
        <v>2Q26</v>
      </c>
      <c r="AJ129" s="12" t="str">
        <f>AJ13</f>
        <v>3Q26</v>
      </c>
      <c r="AK129" s="12" t="str">
        <f>AK13</f>
        <v>4Q26</v>
      </c>
      <c r="AL129" s="12">
        <f>AL13</f>
        <v>2026</v>
      </c>
      <c r="AM129" s="12" t="str">
        <f>AM13</f>
        <v>1Q27</v>
      </c>
      <c r="AN129" s="12" t="str">
        <f>AN13</f>
        <v>2Q27</v>
      </c>
      <c r="AO129" s="12" t="str">
        <f>AO13</f>
        <v>3Q27</v>
      </c>
      <c r="AP129" s="12" t="str">
        <f>AP13</f>
        <v>4Q27</v>
      </c>
      <c r="AQ129" s="12">
        <f>AQ13</f>
        <v>2027</v>
      </c>
      <c r="AR129" s="12" t="str">
        <f>AR13</f>
        <v>1Q28</v>
      </c>
      <c r="AS129" s="12" t="str">
        <f>AS13</f>
        <v>2Q28</v>
      </c>
      <c r="AT129" s="12" t="str">
        <f>AT13</f>
        <v>3Q28</v>
      </c>
      <c r="AU129" s="12" t="str">
        <f>AU13</f>
        <v>4Q28</v>
      </c>
      <c r="AV129" s="12">
        <f>AV13</f>
        <v>2028</v>
      </c>
      <c r="AW129" s="12" t="str">
        <f>AW13</f>
        <v>1Q29</v>
      </c>
      <c r="AX129" s="12" t="str">
        <f>AX13</f>
        <v>2Q29</v>
      </c>
      <c r="AY129" s="12" t="str">
        <f>AY13</f>
        <v>3Q29</v>
      </c>
      <c r="AZ129" s="12" t="str">
        <f>AZ13</f>
        <v>4Q29</v>
      </c>
      <c r="BA129" s="12">
        <f>BA13</f>
        <v>2029</v>
      </c>
      <c r="BB129" s="12" t="str">
        <f>BB13</f>
        <v>1Q30</v>
      </c>
      <c r="BC129" s="12" t="str">
        <f>BC13</f>
        <v>2Q30</v>
      </c>
      <c r="BD129" s="12" t="str">
        <f>BD13</f>
        <v>3Q30</v>
      </c>
      <c r="BE129" s="12" t="str">
        <f>BE13</f>
        <v>4Q30</v>
      </c>
      <c r="BF129" s="12">
        <f>BF13</f>
        <v>2030</v>
      </c>
      <c r="BG129" s="12" t="str">
        <f>BG13</f>
        <v>1Q31</v>
      </c>
      <c r="BH129" s="12" t="str">
        <f>BH13</f>
        <v>2Q31</v>
      </c>
      <c r="BI129" s="12" t="str">
        <f>BI13</f>
        <v>3Q31</v>
      </c>
      <c r="BJ129" s="12" t="str">
        <f>BJ13</f>
        <v>4Q31</v>
      </c>
      <c r="BK129" s="12">
        <f>BK13</f>
        <v>2031</v>
      </c>
      <c r="BL129" s="12" t="str">
        <f>BL13</f>
        <v>1Q32</v>
      </c>
      <c r="BM129" s="12" t="str">
        <f>BM13</f>
        <v>2Q32</v>
      </c>
      <c r="BN129" s="12" t="str">
        <f>BN13</f>
        <v>3Q32</v>
      </c>
      <c r="BO129" s="12" t="str">
        <f>BO13</f>
        <v>4Q32</v>
      </c>
      <c r="BP129" s="12">
        <f>BP13</f>
        <v>2032</v>
      </c>
      <c r="BQ129" s="12" t="str">
        <f>BQ13</f>
        <v>1Q33</v>
      </c>
      <c r="BR129" s="12" t="str">
        <f>BR13</f>
        <v>2Q33</v>
      </c>
      <c r="BS129" s="12" t="str">
        <f>BS13</f>
        <v>3Q33</v>
      </c>
      <c r="BT129" s="12" t="str">
        <f>BT13</f>
        <v>4Q33</v>
      </c>
      <c r="BU129" s="12">
        <f>BU13</f>
        <v>2033</v>
      </c>
      <c r="BV129" s="12" t="str">
        <f>BV13</f>
        <v>1Q34</v>
      </c>
      <c r="BW129" s="12" t="str">
        <f>BW13</f>
        <v>2Q34</v>
      </c>
      <c r="BX129" s="12" t="str">
        <f>BX13</f>
        <v>3Q34</v>
      </c>
      <c r="BY129" s="12" t="str">
        <f>BY13</f>
        <v>4Q34</v>
      </c>
      <c r="BZ129" s="12">
        <f>BZ13</f>
        <v>2034</v>
      </c>
      <c r="CA129" s="12" t="str">
        <f>CA13</f>
        <v>1Q35</v>
      </c>
      <c r="CB129" s="12" t="str">
        <f>CB13</f>
        <v>2Q35</v>
      </c>
      <c r="CC129" s="12" t="str">
        <f>CC13</f>
        <v>3Q35</v>
      </c>
      <c r="CD129" s="12" t="str">
        <f>CD13</f>
        <v>4Q35</v>
      </c>
      <c r="CE129" s="12">
        <f>CE13</f>
        <v>2035</v>
      </c>
      <c r="CF129" s="12" t="str">
        <f>CF13</f>
        <v>1Q36</v>
      </c>
      <c r="CG129" s="12" t="str">
        <f>CG13</f>
        <v>2Q36</v>
      </c>
      <c r="CH129" s="12" t="str">
        <f>CH13</f>
        <v>3Q36</v>
      </c>
      <c r="CI129" s="12" t="str">
        <f>CI13</f>
        <v>4Q36</v>
      </c>
      <c r="CJ129" s="12">
        <f>CJ13</f>
        <v>2036</v>
      </c>
      <c r="CK129" s="12" t="str">
        <f>CK13</f>
        <v>1Q37</v>
      </c>
      <c r="CL129" s="12" t="str">
        <f>CL13</f>
        <v>2Q37</v>
      </c>
      <c r="CM129" s="12" t="str">
        <f>CM13</f>
        <v>3Q37</v>
      </c>
      <c r="CN129" s="12" t="str">
        <f>CN13</f>
        <v>4Q37</v>
      </c>
      <c r="CO129" s="12">
        <f>CO13</f>
        <v>2037</v>
      </c>
      <c r="CP129" s="12" t="str">
        <f>CP13</f>
        <v>1Q38</v>
      </c>
      <c r="CQ129" s="12" t="str">
        <f>CQ13</f>
        <v>2Q38</v>
      </c>
      <c r="CR129" s="12" t="str">
        <f>CR13</f>
        <v>3Q38</v>
      </c>
      <c r="CS129" s="12" t="str">
        <f>CS13</f>
        <v>4Q38</v>
      </c>
      <c r="CT129" s="12">
        <f>CT13</f>
        <v>2038</v>
      </c>
      <c r="CU129" s="12" t="str">
        <f>CU13</f>
        <v>1Q39</v>
      </c>
      <c r="CV129" s="12" t="str">
        <f>CV13</f>
        <v>2Q39</v>
      </c>
      <c r="CW129" s="12" t="str">
        <f>CW13</f>
        <v>3Q39</v>
      </c>
      <c r="CX129" s="12" t="str">
        <f>CX13</f>
        <v>4Q39</v>
      </c>
      <c r="CY129" s="12">
        <f>CY13</f>
        <v>2039</v>
      </c>
    </row>
    <row r="130">
      <c r="C130" s="5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</row>
    <row r="131">
      <c r="C131" s="24" t="inlineStr">
        <is>
          <t>Cash and equivalents (inc. investment securities)</t>
        </is>
      </c>
      <c r="D131" s="25">
        <f>INDEX('Inputs (2)'!$D$15:$AL$15,MATCH(D$7,'Inputs (2)'!$D$2:$AL$2,0))</f>
        <v>8900</v>
      </c>
      <c r="E131" s="25">
        <f>INDEX('Inputs (2)'!$D$15:$AL$15,MATCH(E$7,'Inputs (2)'!$D$2:$AL$2,0))</f>
        <v>8190</v>
      </c>
      <c r="F131" s="25">
        <f>INDEX('Inputs (2)'!$D$15:$AL$15,MATCH(F$7,'Inputs (2)'!$D$2:$AL$2,0))</f>
        <v>7066</v>
      </c>
      <c r="G131" s="25">
        <f>INDEX('Inputs (2)'!$D$15:$AL$15,MATCH(G$7,'Inputs (2)'!$D$2:$AL$2,0))</f>
        <v>6962</v>
      </c>
      <c r="H131" s="3">
        <f>G131</f>
        <v>6962</v>
      </c>
      <c r="I131" s="25">
        <f>INDEX('Inputs (2)'!$D$15:$AL$15,MATCH(I$7,'Inputs (2)'!$D$2:$AL$2,0))</f>
        <v>7182</v>
      </c>
      <c r="J131" s="25">
        <f>INDEX('Inputs (2)'!$D$15:$AL$15,MATCH(J$7,'Inputs (2)'!$D$2:$AL$2,0))</f>
        <v>7519</v>
      </c>
      <c r="K131" s="25">
        <f>INDEX('Inputs (2)'!$D$15:$AL$15,MATCH(K$7,'Inputs (2)'!$D$2:$AL$2,0))</f>
        <v>8017</v>
      </c>
      <c r="L131" s="25">
        <f>INDEX('Inputs (2)'!$D$15:$AL$15,MATCH(L$7,'Inputs (2)'!$D$2:$AL$2,0))</f>
        <v>4472</v>
      </c>
      <c r="M131" s="3">
        <f>L131</f>
        <v>4472</v>
      </c>
      <c r="N131" s="25">
        <f>INDEX('Inputs (2)'!$D$15:$AL$15,MATCH(N$7,'Inputs (2)'!$D$2:$AL$2,0))</f>
        <v>3878</v>
      </c>
      <c r="O131" s="25">
        <f>INDEX('Inputs (2)'!$D$15:$AL$15,MATCH(O$7,'Inputs (2)'!$D$2:$AL$2,0))</f>
        <v>4359</v>
      </c>
      <c r="P131" s="25">
        <f>INDEX('Inputs (2)'!$D$15:$AL$15,MATCH(P$7,'Inputs (2)'!$D$2:$AL$2,0))</f>
        <v>4774</v>
      </c>
      <c r="Q131" s="25">
        <f>INDEX('Inputs (2)'!$D$15:$AL$15,MATCH(Q$7,'Inputs (2)'!$D$2:$AL$2,0))</f>
        <v>3976</v>
      </c>
      <c r="R131" s="3">
        <f>Q131</f>
        <v>3976</v>
      </c>
      <c r="S131" s="25">
        <f>INDEX('Inputs (2)'!$D$15:$AL$15,MATCH(S$7,'Inputs (2)'!$D$2:$AL$2,0))</f>
        <v>5267</v>
      </c>
      <c r="T131" s="25">
        <f>INDEX('Inputs (2)'!$D$15:$AL$15,MATCH(T$7,'Inputs (2)'!$D$2:$AL$2,0))</f>
        <v>6576</v>
      </c>
      <c r="U131" s="25">
        <f>INDEX('Inputs (2)'!$D$15:$AL$15,MATCH(U$7,'Inputs (2)'!$D$2:$AL$2,0))</f>
        <v>7458</v>
      </c>
      <c r="V131" s="25">
        <f>INDEX('Inputs (2)'!$D$15:$AL$15,MATCH(V$7,'Inputs (2)'!$D$2:$AL$2,0))</f>
        <v>5137</v>
      </c>
      <c r="W131" s="3">
        <f>V131</f>
        <v>5137</v>
      </c>
      <c r="X131" s="25">
        <f>INDEX('Inputs (2)'!$D$15:$AL$15,MATCH(X$7,'Inputs (2)'!$D$2:$AL$2,0))</f>
        <v>5553</v>
      </c>
      <c r="Y131" s="25">
        <f>INDEX('Inputs (2)'!$D$15:$AL$15,MATCH(Y$7,'Inputs (2)'!$D$2:$AL$2,0))</f>
        <v>7004</v>
      </c>
      <c r="Z131" s="25">
        <f>INDEX('Inputs (2)'!$D$15:$AL$15,MATCH(Z$7,'Inputs (2)'!$D$2:$AL$2,0))</f>
        <v>7324</v>
      </c>
      <c r="AA131" s="25">
        <f>INDEX('Inputs (2)'!$D$15:$AL$15,MATCH(AA$7,'Inputs (2)'!$D$2:$AL$2,0))</f>
        <v>6601</v>
      </c>
      <c r="AB131" s="3">
        <f>AA131</f>
        <v>6601</v>
      </c>
      <c r="AC131" s="25">
        <f>INDEX('Inputs (2)'!$D$15:$AL$15,MATCH(AC$7,'Inputs (2)'!$D$2:$AL$2,0))</f>
        <v>7991</v>
      </c>
      <c r="AD131" s="25">
        <f>INDEX('Inputs (2)'!$D$15:$AL$15,MATCH(AD$7,'Inputs (2)'!$D$2:$AL$2,0))</f>
        <v>8580</v>
      </c>
      <c r="AE131" s="25">
        <f>INDEX('Inputs (2)'!$D$15:$AL$15,MATCH(AE$7,'Inputs (2)'!$D$2:$AL$2,0))</f>
        <v>8276</v>
      </c>
      <c r="AF131" s="25">
        <f>INDEX('Inputs (2)'!$D$15:$AL$15,MATCH(AF$7,'Inputs (2)'!$D$2:$AL$2,0))</f>
        <v>6798</v>
      </c>
      <c r="AG131" s="3">
        <f>AF131</f>
        <v>6798</v>
      </c>
      <c r="AH131" s="3">
        <f>INDEX('Inputs (2)'!$D$15:$AL$15,MATCH(AH$7,'Inputs (2)'!$D$2:$AL$2,0))</f>
        <v>7905</v>
      </c>
      <c r="AI131" s="3">
        <f>INDEX('Inputs (2)'!$D$15:$AL$15,MATCH(AI$7,'Inputs (2)'!$D$2:$AL$2,0))</f>
        <v>8928</v>
      </c>
      <c r="AJ131" s="3">
        <f>AI131+AJ301</f>
        <v>20684</v>
      </c>
      <c r="AK131" s="3">
        <f>AJ131+AK301</f>
        <v>23276</v>
      </c>
      <c r="AL131" s="3">
        <f>AK131</f>
        <v>23276</v>
      </c>
      <c r="AM131" s="3" t="e">
        <f>AL131+AM301</f>
        <v>#DIV/0!</v>
      </c>
      <c r="AN131" s="3" t="e">
        <f>AM131+AN301</f>
        <v>#DIV/0!</v>
      </c>
      <c r="AO131" s="3" t="e">
        <f>AN131+AO301</f>
        <v>#DIV/0!</v>
      </c>
      <c r="AP131" s="3" t="e">
        <f>AO131+AP301</f>
        <v>#DIV/0!</v>
      </c>
      <c r="AQ131" s="3" t="e">
        <f>AP131</f>
        <v>#DIV/0!</v>
      </c>
      <c r="AR131" s="3" t="e">
        <f>AQ131+AR301</f>
        <v>#DIV/0!</v>
      </c>
      <c r="AS131" s="3" t="e">
        <f>AR131+AS301</f>
        <v>#DIV/0!</v>
      </c>
      <c r="AT131" s="3" t="e">
        <f>AS131+AT301</f>
        <v>#DIV/0!</v>
      </c>
      <c r="AU131" s="3" t="e">
        <f>AT131+AU301</f>
        <v>#DIV/0!</v>
      </c>
      <c r="AV131" s="3" t="e">
        <f>AU131</f>
        <v>#DIV/0!</v>
      </c>
      <c r="AW131" s="3" t="e">
        <f>AV131+AW301</f>
        <v>#DIV/0!</v>
      </c>
      <c r="AX131" s="3" t="e">
        <f>AW131+AX301</f>
        <v>#DIV/0!</v>
      </c>
      <c r="AY131" s="3" t="e">
        <f>AX131+AY301</f>
        <v>#DIV/0!</v>
      </c>
      <c r="AZ131" s="3" t="e">
        <f>AY131+AZ301</f>
        <v>#DIV/0!</v>
      </c>
      <c r="BA131" s="3" t="e">
        <f>AZ131</f>
        <v>#DIV/0!</v>
      </c>
      <c r="BB131" s="3" t="e">
        <f>BA131+BB301</f>
        <v>#DIV/0!</v>
      </c>
      <c r="BC131" s="3" t="e">
        <f>BB131+BC301</f>
        <v>#DIV/0!</v>
      </c>
      <c r="BD131" s="3" t="e">
        <f>BC131+BD301</f>
        <v>#DIV/0!</v>
      </c>
      <c r="BE131" s="3" t="e">
        <f>BD131+BE301</f>
        <v>#DIV/0!</v>
      </c>
      <c r="BF131" s="3" t="e">
        <f>BE131</f>
        <v>#DIV/0!</v>
      </c>
      <c r="BG131" s="3" t="e">
        <f>BF131+BG301</f>
        <v>#DIV/0!</v>
      </c>
      <c r="BH131" s="3" t="e">
        <f>BG131+BH301</f>
        <v>#DIV/0!</v>
      </c>
      <c r="BI131" s="3" t="e">
        <f>BH131+BI301</f>
        <v>#DIV/0!</v>
      </c>
      <c r="BJ131" s="3" t="e">
        <f>BI131+BJ301</f>
        <v>#DIV/0!</v>
      </c>
      <c r="BK131" s="3" t="e">
        <f>BJ131</f>
        <v>#DIV/0!</v>
      </c>
      <c r="BL131" s="3" t="e">
        <f>BK131+BL301</f>
        <v>#DIV/0!</v>
      </c>
      <c r="BM131" s="3" t="e">
        <f>BL131+BM301</f>
        <v>#DIV/0!</v>
      </c>
      <c r="BN131" s="3" t="e">
        <f>BM131+BN301</f>
        <v>#DIV/0!</v>
      </c>
      <c r="BO131" s="3" t="e">
        <f>BN131+BO301</f>
        <v>#DIV/0!</v>
      </c>
      <c r="BP131" s="3" t="e">
        <f>BO131</f>
        <v>#DIV/0!</v>
      </c>
      <c r="BQ131" s="3" t="e">
        <f>BP131+BQ301</f>
        <v>#DIV/0!</v>
      </c>
      <c r="BR131" s="3" t="e">
        <f>BQ131+BR301</f>
        <v>#DIV/0!</v>
      </c>
      <c r="BS131" s="3" t="e">
        <f>BR131+BS301</f>
        <v>#DIV/0!</v>
      </c>
      <c r="BT131" s="3" t="e">
        <f>BS131+BT301</f>
        <v>#DIV/0!</v>
      </c>
      <c r="BU131" s="3" t="e">
        <f>BT131</f>
        <v>#DIV/0!</v>
      </c>
      <c r="BV131" s="3" t="e">
        <f>BU131+BV301</f>
        <v>#DIV/0!</v>
      </c>
      <c r="BW131" s="3" t="e">
        <f>BV131+BW301</f>
        <v>#DIV/0!</v>
      </c>
      <c r="BX131" s="3" t="e">
        <f>BW131+BX301</f>
        <v>#DIV/0!</v>
      </c>
      <c r="BY131" s="3" t="e">
        <f>BX131+BY301</f>
        <v>#DIV/0!</v>
      </c>
      <c r="BZ131" s="3" t="e">
        <f>BY131</f>
        <v>#DIV/0!</v>
      </c>
      <c r="CA131" s="3" t="e">
        <f>BZ131+CA301</f>
        <v>#DIV/0!</v>
      </c>
      <c r="CB131" s="3" t="e">
        <f>CA131+CB301</f>
        <v>#DIV/0!</v>
      </c>
      <c r="CC131" s="3" t="e">
        <f>CB131+CC301</f>
        <v>#DIV/0!</v>
      </c>
      <c r="CD131" s="3" t="e">
        <f>CC131+CD301</f>
        <v>#DIV/0!</v>
      </c>
      <c r="CE131" s="3" t="e">
        <f>CD131</f>
        <v>#DIV/0!</v>
      </c>
      <c r="CF131" s="3" t="e">
        <f>CE131+CF301</f>
        <v>#DIV/0!</v>
      </c>
      <c r="CG131" s="3" t="e">
        <f>CF131+CG301</f>
        <v>#DIV/0!</v>
      </c>
      <c r="CH131" s="3" t="e">
        <f>CG131+CH301</f>
        <v>#DIV/0!</v>
      </c>
      <c r="CI131" s="3" t="e">
        <f>CH131+CI301</f>
        <v>#DIV/0!</v>
      </c>
      <c r="CJ131" s="3" t="e">
        <f>CI131</f>
        <v>#DIV/0!</v>
      </c>
      <c r="CK131" s="3" t="e">
        <f>CJ131+CK301</f>
        <v>#DIV/0!</v>
      </c>
      <c r="CL131" s="3" t="e">
        <f>CK131+CL301</f>
        <v>#DIV/0!</v>
      </c>
      <c r="CM131" s="3" t="e">
        <f>CL131+CM301</f>
        <v>#DIV/0!</v>
      </c>
      <c r="CN131" s="3" t="e">
        <f>CM131+CN301</f>
        <v>#DIV/0!</v>
      </c>
      <c r="CO131" s="3" t="e">
        <f>CN131</f>
        <v>#DIV/0!</v>
      </c>
      <c r="CP131" s="3" t="e">
        <f>CO131+CP301</f>
        <v>#DIV/0!</v>
      </c>
      <c r="CQ131" s="3" t="e">
        <f>CP131+CQ301</f>
        <v>#DIV/0!</v>
      </c>
      <c r="CR131" s="3" t="e">
        <f>CQ131+CR301</f>
        <v>#DIV/0!</v>
      </c>
      <c r="CS131" s="3" t="e">
        <f>CR131+CS301</f>
        <v>#DIV/0!</v>
      </c>
      <c r="CT131" s="3" t="e">
        <f>CS131</f>
        <v>#DIV/0!</v>
      </c>
      <c r="CU131" s="3" t="e">
        <f>CT131+CU301</f>
        <v>#DIV/0!</v>
      </c>
      <c r="CV131" s="3" t="e">
        <f>CU131+CV301</f>
        <v>#DIV/0!</v>
      </c>
      <c r="CW131" s="3" t="e">
        <f>CV131+CW301</f>
        <v>#DIV/0!</v>
      </c>
      <c r="CX131" s="3" t="e">
        <f>CW131+CX301</f>
        <v>#DIV/0!</v>
      </c>
      <c r="CY131" s="3" t="e">
        <f>CX131</f>
        <v>#DIV/0!</v>
      </c>
    </row>
    <row r="132">
      <c r="C132" s="26" t="inlineStr">
        <is>
          <t>Accounts receivable</t>
        </is>
      </c>
      <c r="D132" s="25">
        <f>INDEX('Inputs (2)'!$D$16:$AL$16,MATCH(D$7,'Inputs (2)'!$D$2:$AL$2,0))</f>
        <v>0</v>
      </c>
      <c r="E132" s="25">
        <f>INDEX('Inputs (2)'!$D$16:$AL$16,MATCH(E$7,'Inputs (2)'!$D$2:$AL$2,0))</f>
        <v>0</v>
      </c>
      <c r="F132" s="25">
        <f>INDEX('Inputs (2)'!$D$16:$AL$16,MATCH(F$7,'Inputs (2)'!$D$2:$AL$2,0))</f>
        <v>0</v>
      </c>
      <c r="G132" s="25">
        <f>INDEX('Inputs (2)'!$D$16:$AL$16,MATCH(G$7,'Inputs (2)'!$D$2:$AL$2,0))</f>
        <v>0</v>
      </c>
      <c r="H132" s="3">
        <f>G132</f>
        <v>0</v>
      </c>
      <c r="I132" s="25">
        <f>INDEX('Inputs (2)'!$D$16:$AL$16,MATCH(I$7,'Inputs (2)'!$D$2:$AL$2,0))</f>
        <v>0</v>
      </c>
      <c r="J132" s="25">
        <f>INDEX('Inputs (2)'!$D$16:$AL$16,MATCH(J$7,'Inputs (2)'!$D$2:$AL$2,0))</f>
        <v>0</v>
      </c>
      <c r="K132" s="25">
        <f>INDEX('Inputs (2)'!$D$16:$AL$16,MATCH(K$7,'Inputs (2)'!$D$2:$AL$2,0))</f>
        <v>0</v>
      </c>
      <c r="L132" s="25">
        <f>INDEX('Inputs (2)'!$D$16:$AL$16,MATCH(L$7,'Inputs (2)'!$D$2:$AL$2,0))</f>
        <v>0</v>
      </c>
      <c r="M132" s="3">
        <f>L132</f>
        <v>0</v>
      </c>
      <c r="N132" s="25">
        <f>INDEX('Inputs (2)'!$D$16:$AL$16,MATCH(N$7,'Inputs (2)'!$D$2:$AL$2,0))</f>
        <v>0</v>
      </c>
      <c r="O132" s="25">
        <f>INDEX('Inputs (2)'!$D$16:$AL$16,MATCH(O$7,'Inputs (2)'!$D$2:$AL$2,0))</f>
        <v>0</v>
      </c>
      <c r="P132" s="25">
        <f>INDEX('Inputs (2)'!$D$16:$AL$16,MATCH(P$7,'Inputs (2)'!$D$2:$AL$2,0))</f>
        <v>0</v>
      </c>
      <c r="Q132" s="25">
        <f>INDEX('Inputs (2)'!$D$16:$AL$16,MATCH(Q$7,'Inputs (2)'!$D$2:$AL$2,0))</f>
        <v>0</v>
      </c>
      <c r="R132" s="3">
        <f>Q132</f>
        <v>0</v>
      </c>
      <c r="S132" s="25">
        <f>INDEX('Inputs (2)'!$D$16:$AL$16,MATCH(S$7,'Inputs (2)'!$D$2:$AL$2,0))</f>
        <v>0</v>
      </c>
      <c r="T132" s="25">
        <f>INDEX('Inputs (2)'!$D$16:$AL$16,MATCH(T$7,'Inputs (2)'!$D$2:$AL$2,0))</f>
        <v>0</v>
      </c>
      <c r="U132" s="25">
        <f>INDEX('Inputs (2)'!$D$16:$AL$16,MATCH(U$7,'Inputs (2)'!$D$2:$AL$2,0))</f>
        <v>0</v>
      </c>
      <c r="V132" s="25">
        <f>INDEX('Inputs (2)'!$D$16:$AL$16,MATCH(V$7,'Inputs (2)'!$D$2:$AL$2,0))</f>
        <v>0</v>
      </c>
      <c r="W132" s="3">
        <f>V132</f>
        <v>0</v>
      </c>
      <c r="X132" s="25">
        <f>INDEX('Inputs (2)'!$D$16:$AL$16,MATCH(X$7,'Inputs (2)'!$D$2:$AL$2,0))</f>
        <v>0</v>
      </c>
      <c r="Y132" s="25">
        <f>INDEX('Inputs (2)'!$D$16:$AL$16,MATCH(Y$7,'Inputs (2)'!$D$2:$AL$2,0))</f>
        <v>0</v>
      </c>
      <c r="Z132" s="25">
        <f>INDEX('Inputs (2)'!$D$16:$AL$16,MATCH(Z$7,'Inputs (2)'!$D$2:$AL$2,0))</f>
        <v>0</v>
      </c>
      <c r="AA132" s="25">
        <f>INDEX('Inputs (2)'!$D$16:$AL$16,MATCH(AA$7,'Inputs (2)'!$D$2:$AL$2,0))</f>
        <v>0</v>
      </c>
      <c r="AB132" s="3">
        <f>AA132</f>
        <v>0</v>
      </c>
      <c r="AC132" s="25">
        <f>INDEX('Inputs (2)'!$D$16:$AL$16,MATCH(AC$7,'Inputs (2)'!$D$2:$AL$2,0))</f>
        <v>0</v>
      </c>
      <c r="AD132" s="25">
        <f>INDEX('Inputs (2)'!$D$16:$AL$16,MATCH(AD$7,'Inputs (2)'!$D$2:$AL$2,0))</f>
        <v>0</v>
      </c>
      <c r="AE132" s="25">
        <f>INDEX('Inputs (2)'!$D$16:$AL$16,MATCH(AE$7,'Inputs (2)'!$D$2:$AL$2,0))</f>
        <v>0</v>
      </c>
      <c r="AF132" s="25">
        <f>INDEX('Inputs (2)'!$D$16:$AL$16,MATCH(AF$7,'Inputs (2)'!$D$2:$AL$2,0))</f>
        <v>0</v>
      </c>
      <c r="AG132" s="3">
        <f>AF132</f>
        <v>0</v>
      </c>
      <c r="AH132" s="3">
        <f>INDEX('Inputs (2)'!$D$16:$AL$16,MATCH(AH$7,'Inputs (2)'!$D$2:$AL$2,0))</f>
        <v>0</v>
      </c>
      <c r="AI132" s="3">
        <f>INDEX('Inputs (2)'!$D$16:$AL$16,MATCH(AI$7,'Inputs (2)'!$D$2:$AL$2,0))</f>
        <v>0</v>
      </c>
      <c r="AJ132" s="3">
        <f>(AJ133/(AJ$5-AI$5))*AJ$15</f>
        <v>0</v>
      </c>
      <c r="AK132" s="3">
        <f>(AK133/(AK$5-AJ$5))*AK$15</f>
        <v>0</v>
      </c>
      <c r="AL132" s="3">
        <f>AK132</f>
        <v>0</v>
      </c>
      <c r="AM132" s="3">
        <f>(AM133/(AM$5-AL$5))*AM$15</f>
        <v>0</v>
      </c>
      <c r="AN132" s="3">
        <f>(AN133/(AN$5-AM$5))*AN$15</f>
        <v>0</v>
      </c>
      <c r="AO132" s="3">
        <f>(AO133/(AO$5-AN$5))*AO$15</f>
        <v>0</v>
      </c>
      <c r="AP132" s="3">
        <f>(AP133/(AP$5-AO$5))*AP$15</f>
        <v>0</v>
      </c>
      <c r="AQ132" s="3">
        <f>AP132</f>
        <v>0</v>
      </c>
      <c r="AR132" s="3">
        <f>(AR133/(AR$5-AQ$5))*AR$15</f>
        <v>0</v>
      </c>
      <c r="AS132" s="3">
        <f>(AS133/(AS$5-AR$5))*AS$15</f>
        <v>0</v>
      </c>
      <c r="AT132" s="3">
        <f>(AT133/(AT$5-AS$5))*AT$15</f>
        <v>0</v>
      </c>
      <c r="AU132" s="3">
        <f>(AU133/(AU$5-AT$5))*AU$15</f>
        <v>0</v>
      </c>
      <c r="AV132" s="3">
        <f>AU132</f>
        <v>0</v>
      </c>
      <c r="AW132" s="3">
        <f>(AW133/(AW$5-AV$5))*AW$15</f>
        <v>0</v>
      </c>
      <c r="AX132" s="3">
        <f>(AX133/(AX$5-AW$5))*AX$15</f>
        <v>0</v>
      </c>
      <c r="AY132" s="3">
        <f>(AY133/(AY$5-AX$5))*AY$15</f>
        <v>0</v>
      </c>
      <c r="AZ132" s="3">
        <f>(AZ133/(AZ$5-AY$5))*AZ$15</f>
        <v>0</v>
      </c>
      <c r="BA132" s="3">
        <f>AZ132</f>
        <v>0</v>
      </c>
      <c r="BB132" s="3">
        <f>(BB133/(BB$5-BA$5))*BB$15</f>
        <v>0</v>
      </c>
      <c r="BC132" s="3">
        <f>(BC133/(BC$5-BB$5))*BC$15</f>
        <v>0</v>
      </c>
      <c r="BD132" s="3">
        <f>(BD133/(BD$5-BC$5))*BD$15</f>
        <v>0</v>
      </c>
      <c r="BE132" s="3">
        <f>(BE133/(BE$5-BD$5))*BE$15</f>
        <v>0</v>
      </c>
      <c r="BF132" s="3">
        <f>BE132</f>
        <v>0</v>
      </c>
      <c r="BG132" s="3">
        <f>(BG133/(BG$5-BF$5))*BG$15</f>
        <v>0</v>
      </c>
      <c r="BH132" s="3">
        <f>(BH133/(BH$5-BG$5))*BH$15</f>
        <v>0</v>
      </c>
      <c r="BI132" s="3">
        <f>(BI133/(BI$5-BH$5))*BI$15</f>
        <v>0</v>
      </c>
      <c r="BJ132" s="3">
        <f>(BJ133/(BJ$5-BI$5))*BJ$15</f>
        <v>0</v>
      </c>
      <c r="BK132" s="3">
        <f>BJ132</f>
        <v>0</v>
      </c>
      <c r="BL132" s="3">
        <f>(BL133/(BL$5-BK$5))*BL$15</f>
        <v>0</v>
      </c>
      <c r="BM132" s="3">
        <f>(BM133/(BM$5-BL$5))*BM$15</f>
        <v>0</v>
      </c>
      <c r="BN132" s="3">
        <f>(BN133/(BN$5-BM$5))*BN$15</f>
        <v>0</v>
      </c>
      <c r="BO132" s="3">
        <f>(BO133/(BO$5-BN$5))*BO$15</f>
        <v>0</v>
      </c>
      <c r="BP132" s="3">
        <f>BO132</f>
        <v>0</v>
      </c>
      <c r="BQ132" s="3">
        <f>(BQ133/(BQ$5-BP$5))*BQ$15</f>
        <v>0</v>
      </c>
      <c r="BR132" s="3">
        <f>(BR133/(BR$5-BQ$5))*BR$15</f>
        <v>0</v>
      </c>
      <c r="BS132" s="3">
        <f>(BS133/(BS$5-BR$5))*BS$15</f>
        <v>0</v>
      </c>
      <c r="BT132" s="3">
        <f>(BT133/(BT$5-BS$5))*BT$15</f>
        <v>0</v>
      </c>
      <c r="BU132" s="3">
        <f>BT132</f>
        <v>0</v>
      </c>
      <c r="BV132" s="3">
        <f>(BV133/(BV$5-BU$5))*BV$15</f>
        <v>0</v>
      </c>
      <c r="BW132" s="3">
        <f>(BW133/(BW$5-BV$5))*BW$15</f>
        <v>0</v>
      </c>
      <c r="BX132" s="3">
        <f>(BX133/(BX$5-BW$5))*BX$15</f>
        <v>0</v>
      </c>
      <c r="BY132" s="3">
        <f>(BY133/(BY$5-BX$5))*BY$15</f>
        <v>0</v>
      </c>
      <c r="BZ132" s="3">
        <f>BY132</f>
        <v>0</v>
      </c>
      <c r="CA132" s="3">
        <f>(CA133/(CA$5-BZ$5))*CA$15</f>
        <v>0</v>
      </c>
      <c r="CB132" s="3">
        <f>(CB133/(CB$5-CA$5))*CB$15</f>
        <v>0</v>
      </c>
      <c r="CC132" s="3">
        <f>(CC133/(CC$5-CB$5))*CC$15</f>
        <v>0</v>
      </c>
      <c r="CD132" s="3">
        <f>(CD133/(CD$5-CC$5))*CD$15</f>
        <v>0</v>
      </c>
      <c r="CE132" s="3">
        <f>CD132</f>
        <v>0</v>
      </c>
      <c r="CF132" s="3">
        <f>(CF133/(CF$5-CE$5))*CF$15</f>
        <v>0</v>
      </c>
      <c r="CG132" s="3">
        <f>(CG133/(CG$5-CF$5))*CG$15</f>
        <v>0</v>
      </c>
      <c r="CH132" s="3">
        <f>(CH133/(CH$5-CG$5))*CH$15</f>
        <v>0</v>
      </c>
      <c r="CI132" s="3">
        <f>(CI133/(CI$5-CH$5))*CI$15</f>
        <v>0</v>
      </c>
      <c r="CJ132" s="3">
        <f>CI132</f>
        <v>0</v>
      </c>
      <c r="CK132" s="3">
        <f>(CK133/(CK$5-CJ$5))*CK$15</f>
        <v>0</v>
      </c>
      <c r="CL132" s="3">
        <f>(CL133/(CL$5-CK$5))*CL$15</f>
        <v>0</v>
      </c>
      <c r="CM132" s="3">
        <f>(CM133/(CM$5-CL$5))*CM$15</f>
        <v>0</v>
      </c>
      <c r="CN132" s="3">
        <f>(CN133/(CN$5-CM$5))*CN$15</f>
        <v>0</v>
      </c>
      <c r="CO132" s="3">
        <f>CN132</f>
        <v>0</v>
      </c>
      <c r="CP132" s="3">
        <f>(CP133/(CP$5-CO$5))*CP$15</f>
        <v>0</v>
      </c>
      <c r="CQ132" s="3">
        <f>(CQ133/(CQ$5-CP$5))*CQ$15</f>
        <v>0</v>
      </c>
      <c r="CR132" s="3">
        <f>(CR133/(CR$5-CQ$5))*CR$15</f>
        <v>0</v>
      </c>
      <c r="CS132" s="3">
        <f>(CS133/(CS$5-CR$5))*CS$15</f>
        <v>0</v>
      </c>
      <c r="CT132" s="3">
        <f>CS132</f>
        <v>0</v>
      </c>
      <c r="CU132" s="3">
        <f>(CU133/(CU$5-CT$5))*CU$15</f>
        <v>0</v>
      </c>
      <c r="CV132" s="3">
        <f>(CV133/(CV$5-CU$5))*CV$15</f>
        <v>0</v>
      </c>
      <c r="CW132" s="3">
        <f>(CW133/(CW$5-CV$5))*CW$15</f>
        <v>0</v>
      </c>
      <c r="CX132" s="3">
        <f>(CX133/(CX$5-CW$5))*CX$15</f>
        <v>0</v>
      </c>
      <c r="CY132" s="3">
        <f>CX132</f>
        <v>0</v>
      </c>
    </row>
    <row r="133" hidden="1" outlineLevel="1">
      <c r="C133" s="34" t="inlineStr">
        <is>
          <t>DSO</t>
        </is>
      </c>
      <c r="D133" s="3" t="n"/>
      <c r="E133" s="3">
        <f>(E132/E$15)*(E$5-D$5)</f>
        <v>0</v>
      </c>
      <c r="F133" s="3">
        <f>(F132/F$15)*(F$5-E$5)</f>
        <v>0</v>
      </c>
      <c r="G133" s="3">
        <f>(G132/G$15)*(G$5-F$5)</f>
        <v>0</v>
      </c>
      <c r="H133" s="3" t="n"/>
      <c r="I133" s="3">
        <f>(I132/I$15)*(I$5-H$5)</f>
        <v>0</v>
      </c>
      <c r="J133" s="3">
        <f>(J132/J$15)*(J$5-I$5)</f>
        <v>0</v>
      </c>
      <c r="K133" s="3">
        <f>(K132/K$15)*(K$5-J$5)</f>
        <v>0</v>
      </c>
      <c r="L133" s="3">
        <f>(L132/L$15)*(L$5-K$5)</f>
        <v>0</v>
      </c>
      <c r="M133" s="3" t="n"/>
      <c r="N133" s="3">
        <f>(N132/N$15)*(N$5-M$5)</f>
        <v>0</v>
      </c>
      <c r="O133" s="3">
        <f>(O132/O$15)*(O$5-N$5)</f>
        <v>0</v>
      </c>
      <c r="P133" s="3">
        <f>(P132/P$15)*(P$5-O$5)</f>
        <v>0</v>
      </c>
      <c r="Q133" s="3">
        <f>(Q132/Q$15)*(Q$5-P$5)</f>
        <v>0</v>
      </c>
      <c r="R133" s="3" t="n"/>
      <c r="S133" s="3">
        <f>(S132/S$15)*(S$5-R$5)</f>
        <v>0</v>
      </c>
      <c r="T133" s="3">
        <f>(T132/T$15)*(T$5-S$5)</f>
        <v>0</v>
      </c>
      <c r="U133" s="3">
        <f>(U132/U$15)*(U$5-T$5)</f>
        <v>0</v>
      </c>
      <c r="V133" s="3">
        <f>(V132/V$15)*(V$5-U$5)</f>
        <v>0</v>
      </c>
      <c r="W133" s="3" t="n"/>
      <c r="X133" s="3">
        <f>(X132/X$15)*(X$5-W$5)</f>
        <v>0</v>
      </c>
      <c r="Y133" s="3">
        <f>(Y132/Y$15)*(Y$5-X$5)</f>
        <v>0</v>
      </c>
      <c r="Z133" s="3">
        <f>(Z132/Z$15)*(Z$5-Y$5)</f>
        <v>0</v>
      </c>
      <c r="AA133" s="3">
        <f>(AA132/AA$15)*(AA$5-Z$5)</f>
        <v>0</v>
      </c>
      <c r="AB133" s="3" t="n"/>
      <c r="AC133" s="3">
        <f>(AC132/AC$15)*(AC$5-AB$5)</f>
        <v>0</v>
      </c>
      <c r="AD133" s="3">
        <f>(AD132/AD$15)*(AD$5-AC$5)</f>
        <v>0</v>
      </c>
      <c r="AE133" s="3">
        <f>(AE132/AE$15)*(AE$5-AD$5)</f>
        <v>0</v>
      </c>
      <c r="AF133" s="6">
        <f>(AF132/AF$15)*(AF$5-AE$5)</f>
        <v>0</v>
      </c>
      <c r="AG133" s="3" t="n"/>
      <c r="AH133" s="6">
        <f>(AH132/AH$15)*(AH$5-AG$5)</f>
        <v>0</v>
      </c>
      <c r="AI133" s="6">
        <f>(AI132/AI$15)*(AI$5-AH$5)</f>
        <v>0</v>
      </c>
      <c r="AJ133" s="6" t="n"/>
      <c r="AK133" s="6" t="n"/>
      <c r="AL133" s="3" t="n"/>
      <c r="AM133" s="6" t="n"/>
      <c r="AN133" s="6" t="n"/>
      <c r="AO133" s="6" t="n"/>
      <c r="AP133" s="6" t="n"/>
      <c r="AQ133" s="3" t="n"/>
      <c r="AR133" s="6" t="n"/>
      <c r="AS133" s="6" t="n"/>
      <c r="AT133" s="6" t="n"/>
      <c r="AU133" s="6" t="n"/>
      <c r="AV133" s="3" t="n"/>
      <c r="AW133" s="6" t="n"/>
      <c r="AX133" s="6" t="n"/>
      <c r="AY133" s="6" t="n"/>
      <c r="AZ133" s="6" t="n"/>
      <c r="BA133" s="3" t="n"/>
      <c r="BB133" s="6" t="n"/>
      <c r="BC133" s="6" t="n"/>
      <c r="BD133" s="6" t="n"/>
      <c r="BE133" s="6" t="n"/>
      <c r="BF133" s="3" t="n"/>
      <c r="BG133" s="6" t="n"/>
      <c r="BH133" s="6" t="n"/>
      <c r="BI133" s="6" t="n"/>
      <c r="BJ133" s="6" t="n"/>
      <c r="BK133" s="3" t="n"/>
      <c r="BL133" s="6" t="n"/>
      <c r="BM133" s="6" t="n"/>
      <c r="BN133" s="6" t="n"/>
      <c r="BO133" s="6" t="n"/>
      <c r="BP133" s="3" t="n"/>
      <c r="BQ133" s="6" t="n"/>
      <c r="BR133" s="6" t="n"/>
      <c r="BS133" s="6" t="n"/>
      <c r="BT133" s="6" t="n"/>
      <c r="BU133" s="3" t="n"/>
      <c r="BV133" s="6" t="n"/>
      <c r="BW133" s="6" t="n"/>
      <c r="BX133" s="6" t="n"/>
      <c r="BY133" s="6" t="n"/>
      <c r="BZ133" s="3" t="n"/>
      <c r="CA133" s="6" t="n"/>
      <c r="CB133" s="6" t="n"/>
      <c r="CC133" s="6" t="n"/>
      <c r="CD133" s="6" t="n"/>
      <c r="CE133" s="3" t="n"/>
      <c r="CF133" s="6" t="n"/>
      <c r="CG133" s="6" t="n"/>
      <c r="CH133" s="6" t="n"/>
      <c r="CI133" s="6" t="n"/>
      <c r="CJ133" s="3" t="n"/>
      <c r="CK133" s="6" t="n"/>
      <c r="CL133" s="6" t="n"/>
      <c r="CM133" s="6" t="n"/>
      <c r="CN133" s="6" t="n"/>
      <c r="CO133" s="3" t="n"/>
      <c r="CP133" s="6" t="n"/>
      <c r="CQ133" s="6" t="n"/>
      <c r="CR133" s="6" t="n"/>
      <c r="CS133" s="6" t="n"/>
      <c r="CT133" s="3" t="n"/>
      <c r="CU133" s="6" t="n"/>
      <c r="CV133" s="6" t="n"/>
      <c r="CW133" s="6" t="n"/>
      <c r="CX133" s="6" t="n"/>
      <c r="CY133" s="3" t="n"/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collapsed="1">
      <c r="C136" s="26" t="inlineStr">
        <is>
          <t>Inventories</t>
        </is>
      </c>
      <c r="D136" s="25">
        <f>INDEX('Inputs (2)'!$D$17:$AL$17,MATCH(D$7,'Inputs (2)'!$D$2:$AL$2,0))</f>
        <v>6171</v>
      </c>
      <c r="E136" s="25">
        <f>INDEX('Inputs (2)'!$D$17:$AL$17,MATCH(E$7,'Inputs (2)'!$D$2:$AL$2,0))</f>
        <v>5650</v>
      </c>
      <c r="F136" s="25">
        <f>INDEX('Inputs (2)'!$D$17:$AL$17,MATCH(F$7,'Inputs (2)'!$D$2:$AL$2,0))</f>
        <v>4999</v>
      </c>
      <c r="G136" s="25">
        <f>INDEX('Inputs (2)'!$D$17:$AL$17,MATCH(G$7,'Inputs (2)'!$D$2:$AL$2,0))</f>
        <v>5956</v>
      </c>
      <c r="H136" s="3">
        <f>G136</f>
        <v>5956</v>
      </c>
      <c r="I136" s="25">
        <f>INDEX('Inputs (2)'!$D$17:$AL$17,MATCH(I$7,'Inputs (2)'!$D$2:$AL$2,0))</f>
        <v>6042</v>
      </c>
      <c r="J136" s="25">
        <f>INDEX('Inputs (2)'!$D$17:$AL$17,MATCH(J$7,'Inputs (2)'!$D$2:$AL$2,0))</f>
        <v>6410</v>
      </c>
      <c r="K136" s="25">
        <f>INDEX('Inputs (2)'!$D$17:$AL$17,MATCH(K$7,'Inputs (2)'!$D$2:$AL$2,0))</f>
        <v>6781</v>
      </c>
      <c r="L136" s="25">
        <f>INDEX('Inputs (2)'!$D$17:$AL$17,MATCH(L$7,'Inputs (2)'!$D$2:$AL$2,0))</f>
        <v>7935</v>
      </c>
      <c r="M136" s="3">
        <f>L136</f>
        <v>7935</v>
      </c>
      <c r="N136" s="25">
        <f>INDEX('Inputs (2)'!$D$17:$AL$17,MATCH(N$7,'Inputs (2)'!$D$2:$AL$2,0))</f>
        <v>9030</v>
      </c>
      <c r="O136" s="25">
        <f>INDEX('Inputs (2)'!$D$17:$AL$17,MATCH(O$7,'Inputs (2)'!$D$2:$AL$2,0))</f>
        <v>9121</v>
      </c>
      <c r="P136" s="25">
        <f>INDEX('Inputs (2)'!$D$17:$AL$17,MATCH(P$7,'Inputs (2)'!$D$2:$AL$2,0))</f>
        <v>8495</v>
      </c>
      <c r="Q136" s="25">
        <f>INDEX('Inputs (2)'!$D$17:$AL$17,MATCH(Q$7,'Inputs (2)'!$D$2:$AL$2,0))</f>
        <v>10056</v>
      </c>
      <c r="R136" s="3">
        <f>Q136</f>
        <v>10056</v>
      </c>
      <c r="S136" s="25">
        <f>INDEX('Inputs (2)'!$D$17:$AL$17,MATCH(S$7,'Inputs (2)'!$D$2:$AL$2,0))</f>
        <v>9713</v>
      </c>
      <c r="T136" s="25">
        <f>INDEX('Inputs (2)'!$D$17:$AL$17,MATCH(T$7,'Inputs (2)'!$D$2:$AL$2,0))</f>
        <v>9350</v>
      </c>
      <c r="U136" s="25">
        <f>INDEX('Inputs (2)'!$D$17:$AL$17,MATCH(U$7,'Inputs (2)'!$D$2:$AL$2,0))</f>
        <v>8160</v>
      </c>
      <c r="V136" s="25">
        <f>INDEX('Inputs (2)'!$D$17:$AL$17,MATCH(V$7,'Inputs (2)'!$D$2:$AL$2,0))</f>
        <v>8937</v>
      </c>
      <c r="W136" s="3">
        <f>V136</f>
        <v>8937</v>
      </c>
      <c r="X136" s="25">
        <f>INDEX('Inputs (2)'!$D$17:$AL$17,MATCH(X$7,'Inputs (2)'!$D$2:$AL$2,0))</f>
        <v>8443</v>
      </c>
      <c r="Y136" s="25">
        <f>INDEX('Inputs (2)'!$D$17:$AL$17,MATCH(Y$7,'Inputs (2)'!$D$2:$AL$2,0))</f>
        <v>7696</v>
      </c>
      <c r="Z136" s="25">
        <f>INDEX('Inputs (2)'!$D$17:$AL$17,MATCH(Z$7,'Inputs (2)'!$D$2:$AL$2,0))</f>
        <v>7093</v>
      </c>
      <c r="AA136" s="25">
        <f>INDEX('Inputs (2)'!$D$17:$AL$17,MATCH(AA$7,'Inputs (2)'!$D$2:$AL$2,0))</f>
        <v>7744</v>
      </c>
      <c r="AB136" s="3">
        <f>AA136</f>
        <v>7744</v>
      </c>
      <c r="AC136" s="25">
        <f>INDEX('Inputs (2)'!$D$17:$AL$17,MATCH(AC$7,'Inputs (2)'!$D$2:$AL$2,0))</f>
        <v>7870</v>
      </c>
      <c r="AD136" s="25">
        <f>INDEX('Inputs (2)'!$D$17:$AL$17,MATCH(AD$7,'Inputs (2)'!$D$2:$AL$2,0))</f>
        <v>7713</v>
      </c>
      <c r="AE136" s="25">
        <f>INDEX('Inputs (2)'!$D$17:$AL$17,MATCH(AE$7,'Inputs (2)'!$D$2:$AL$2,0))</f>
        <v>7406</v>
      </c>
      <c r="AF136" s="25">
        <f>INDEX('Inputs (2)'!$D$17:$AL$17,MATCH(AF$7,'Inputs (2)'!$D$2:$AL$2,0))</f>
        <v>8286</v>
      </c>
      <c r="AG136" s="3">
        <f>AF136</f>
        <v>8286</v>
      </c>
      <c r="AH136" s="3">
        <f>INDEX('Inputs (2)'!$D$17:$AL$17,MATCH(AH$7,'Inputs (2)'!$D$2:$AL$2,0))</f>
        <v>8188</v>
      </c>
      <c r="AI136" s="3">
        <f>INDEX('Inputs (2)'!$D$17:$AL$17,MATCH(AI$7,'Inputs (2)'!$D$2:$AL$2,0))</f>
        <v>7811</v>
      </c>
      <c r="AJ136" s="3">
        <f>(AJ137/(AJ$5-AI$5))*-AJ$41</f>
        <v>0</v>
      </c>
      <c r="AK136" s="3">
        <f>(AK137/(AK$5-AJ$5))*-AK$41</f>
        <v>0</v>
      </c>
      <c r="AL136" s="3">
        <f>AK136</f>
        <v>0</v>
      </c>
      <c r="AM136" s="3">
        <f>(AM137/(AM$5-AL$5))*-AM$41</f>
        <v>0</v>
      </c>
      <c r="AN136" s="3">
        <f>(AN137/(AN$5-AM$5))*-AN$41</f>
        <v>0</v>
      </c>
      <c r="AO136" s="3">
        <f>(AO137/(AO$5-AN$5))*-AO$41</f>
        <v>0</v>
      </c>
      <c r="AP136" s="3">
        <f>(AP137/(AP$5-AO$5))*-AP$41</f>
        <v>0</v>
      </c>
      <c r="AQ136" s="3">
        <f>AP136</f>
        <v>0</v>
      </c>
      <c r="AR136" s="3">
        <f>(AR137/(AR$5-AQ$5))*-AR$41</f>
        <v>0</v>
      </c>
      <c r="AS136" s="3">
        <f>(AS137/(AS$5-AR$5))*-AS$41</f>
        <v>0</v>
      </c>
      <c r="AT136" s="3">
        <f>(AT137/(AT$5-AS$5))*-AT$41</f>
        <v>0</v>
      </c>
      <c r="AU136" s="3">
        <f>(AU137/(AU$5-AT$5))*-AU$41</f>
        <v>0</v>
      </c>
      <c r="AV136" s="3">
        <f>AU136</f>
        <v>0</v>
      </c>
      <c r="AW136" s="3">
        <f>(AW137/(AW$5-AV$5))*-AW$41</f>
        <v>0</v>
      </c>
      <c r="AX136" s="3">
        <f>(AX137/(AX$5-AW$5))*-AX$41</f>
        <v>0</v>
      </c>
      <c r="AY136" s="3">
        <f>(AY137/(AY$5-AX$5))*-AY$41</f>
        <v>0</v>
      </c>
      <c r="AZ136" s="3">
        <f>(AZ137/(AZ$5-AY$5))*-AZ$41</f>
        <v>0</v>
      </c>
      <c r="BA136" s="3">
        <f>AZ136</f>
        <v>0</v>
      </c>
      <c r="BB136" s="3">
        <f>(BB137/(BB$5-BA$5))*-BB$41</f>
        <v>0</v>
      </c>
      <c r="BC136" s="3">
        <f>(BC137/(BC$5-BB$5))*-BC$41</f>
        <v>0</v>
      </c>
      <c r="BD136" s="3">
        <f>(BD137/(BD$5-BC$5))*-BD$41</f>
        <v>0</v>
      </c>
      <c r="BE136" s="3">
        <f>(BE137/(BE$5-BD$5))*-BE$41</f>
        <v>0</v>
      </c>
      <c r="BF136" s="3">
        <f>BE136</f>
        <v>0</v>
      </c>
      <c r="BG136" s="3">
        <f>(BG137/(BG$5-BF$5))*-BG$41</f>
        <v>0</v>
      </c>
      <c r="BH136" s="3">
        <f>(BH137/(BH$5-BG$5))*-BH$41</f>
        <v>0</v>
      </c>
      <c r="BI136" s="3">
        <f>(BI137/(BI$5-BH$5))*-BI$41</f>
        <v>0</v>
      </c>
      <c r="BJ136" s="3">
        <f>(BJ137/(BJ$5-BI$5))*-BJ$41</f>
        <v>0</v>
      </c>
      <c r="BK136" s="3">
        <f>BJ136</f>
        <v>0</v>
      </c>
      <c r="BL136" s="3">
        <f>(BL137/(BL$5-BK$5))*-BL$41</f>
        <v>0</v>
      </c>
      <c r="BM136" s="3">
        <f>(BM137/(BM$5-BL$5))*-BM$41</f>
        <v>0</v>
      </c>
      <c r="BN136" s="3">
        <f>(BN137/(BN$5-BM$5))*-BN$41</f>
        <v>0</v>
      </c>
      <c r="BO136" s="3">
        <f>(BO137/(BO$5-BN$5))*-BO$41</f>
        <v>0</v>
      </c>
      <c r="BP136" s="3">
        <f>BO136</f>
        <v>0</v>
      </c>
      <c r="BQ136" s="3">
        <f>(BQ137/(BQ$5-BP$5))*-BQ$41</f>
        <v>0</v>
      </c>
      <c r="BR136" s="3">
        <f>(BR137/(BR$5-BQ$5))*-BR$41</f>
        <v>0</v>
      </c>
      <c r="BS136" s="3">
        <f>(BS137/(BS$5-BR$5))*-BS$41</f>
        <v>0</v>
      </c>
      <c r="BT136" s="3">
        <f>(BT137/(BT$5-BS$5))*-BT$41</f>
        <v>0</v>
      </c>
      <c r="BU136" s="3">
        <f>BT136</f>
        <v>0</v>
      </c>
      <c r="BV136" s="3">
        <f>(BV137/(BV$5-BU$5))*-BV$41</f>
        <v>0</v>
      </c>
      <c r="BW136" s="3">
        <f>(BW137/(BW$5-BV$5))*-BW$41</f>
        <v>0</v>
      </c>
      <c r="BX136" s="3">
        <f>(BX137/(BX$5-BW$5))*-BX$41</f>
        <v>0</v>
      </c>
      <c r="BY136" s="3">
        <f>(BY137/(BY$5-BX$5))*-BY$41</f>
        <v>0</v>
      </c>
      <c r="BZ136" s="3">
        <f>BY136</f>
        <v>0</v>
      </c>
      <c r="CA136" s="3">
        <f>(CA137/(CA$5-BZ$5))*-CA$41</f>
        <v>0</v>
      </c>
      <c r="CB136" s="3">
        <f>(CB137/(CB$5-CA$5))*-CB$41</f>
        <v>0</v>
      </c>
      <c r="CC136" s="3">
        <f>(CC137/(CC$5-CB$5))*-CC$41</f>
        <v>0</v>
      </c>
      <c r="CD136" s="3">
        <f>(CD137/(CD$5-CC$5))*-CD$41</f>
        <v>0</v>
      </c>
      <c r="CE136" s="3">
        <f>CD136</f>
        <v>0</v>
      </c>
      <c r="CF136" s="3">
        <f>(CF137/(CF$5-CE$5))*-CF$41</f>
        <v>0</v>
      </c>
      <c r="CG136" s="3">
        <f>(CG137/(CG$5-CF$5))*-CG$41</f>
        <v>0</v>
      </c>
      <c r="CH136" s="3">
        <f>(CH137/(CH$5-CG$5))*-CH$41</f>
        <v>0</v>
      </c>
      <c r="CI136" s="3">
        <f>(CI137/(CI$5-CH$5))*-CI$41</f>
        <v>0</v>
      </c>
      <c r="CJ136" s="3">
        <f>CI136</f>
        <v>0</v>
      </c>
      <c r="CK136" s="3">
        <f>(CK137/(CK$5-CJ$5))*-CK$41</f>
        <v>0</v>
      </c>
      <c r="CL136" s="3">
        <f>(CL137/(CL$5-CK$5))*-CL$41</f>
        <v>0</v>
      </c>
      <c r="CM136" s="3">
        <f>(CM137/(CM$5-CL$5))*-CM$41</f>
        <v>0</v>
      </c>
      <c r="CN136" s="3">
        <f>(CN137/(CN$5-CM$5))*-CN$41</f>
        <v>0</v>
      </c>
      <c r="CO136" s="3">
        <f>CN136</f>
        <v>0</v>
      </c>
      <c r="CP136" s="3">
        <f>(CP137/(CP$5-CO$5))*-CP$41</f>
        <v>0</v>
      </c>
      <c r="CQ136" s="3">
        <f>(CQ137/(CQ$5-CP$5))*-CQ$41</f>
        <v>0</v>
      </c>
      <c r="CR136" s="3">
        <f>(CR137/(CR$5-CQ$5))*-CR$41</f>
        <v>0</v>
      </c>
      <c r="CS136" s="3">
        <f>(CS137/(CS$5-CR$5))*-CS$41</f>
        <v>0</v>
      </c>
      <c r="CT136" s="3">
        <f>CS136</f>
        <v>0</v>
      </c>
      <c r="CU136" s="3">
        <f>(CU137/(CU$5-CT$5))*-CU$41</f>
        <v>0</v>
      </c>
      <c r="CV136" s="3">
        <f>(CV137/(CV$5-CU$5))*-CV$41</f>
        <v>0</v>
      </c>
      <c r="CW136" s="3">
        <f>(CW137/(CW$5-CV$5))*-CW$41</f>
        <v>0</v>
      </c>
      <c r="CX136" s="3">
        <f>(CX137/(CX$5-CW$5))*-CX$41</f>
        <v>0</v>
      </c>
      <c r="CY136" s="3">
        <f>CX136</f>
        <v>0</v>
      </c>
    </row>
    <row r="137" hidden="1" outlineLevel="1">
      <c r="C137" s="34" t="inlineStr">
        <is>
          <t>DIO</t>
        </is>
      </c>
      <c r="D137" s="3" t="n"/>
      <c r="E137" s="3" t="str">
        <f>IFERROR(((E136/E$41)*(E$5-D$5))*-1,"")</f>
        <v/>
      </c>
      <c r="F137" s="3" t="str">
        <f>IFERROR(((F136/F$41)*(F$5-E$5))*-1,"")</f>
        <v/>
      </c>
      <c r="G137" s="3" t="str">
        <f>IFERROR(((G136/G$41)*(G$5-F$5))*-1,"")</f>
        <v/>
      </c>
      <c r="H137" s="3" t="n"/>
      <c r="I137" s="3" t="str">
        <f>IFERROR(((I136/I$41)*(I$5-H$5))*-1,"")</f>
        <v/>
      </c>
      <c r="J137" s="3" t="str">
        <f>IFERROR(((J136/J$41)*(J$5-I$5))*-1,"")</f>
        <v/>
      </c>
      <c r="K137" s="3" t="str">
        <f>IFERROR(((K136/K$41)*(K$5-J$5))*-1,"")</f>
        <v/>
      </c>
      <c r="L137" s="3" t="str">
        <f>IFERROR(((L136/L$41)*(L$5-K$5))*-1,"")</f>
        <v/>
      </c>
      <c r="M137" s="3" t="n"/>
      <c r="N137" s="3" t="str">
        <f>IFERROR(((N136/N$41)*(N$5-M$5))*-1,"")</f>
        <v/>
      </c>
      <c r="O137" s="3" t="str">
        <f>IFERROR(((O136/O$41)*(O$5-N$5))*-1,"")</f>
        <v/>
      </c>
      <c r="P137" s="3" t="str">
        <f>IFERROR(((P136/P$41)*(P$5-O$5))*-1,"")</f>
        <v/>
      </c>
      <c r="Q137" s="3" t="str">
        <f>IFERROR(((Q136/Q$41)*(Q$5-P$5))*-1,"")</f>
        <v/>
      </c>
      <c r="R137" s="3" t="n"/>
      <c r="S137" s="3" t="str">
        <f>IFERROR(((S136/S$41)*(S$5-R$5))*-1,"")</f>
        <v/>
      </c>
      <c r="T137" s="3" t="str">
        <f>IFERROR(((T136/T$41)*(T$5-S$5))*-1,"")</f>
        <v/>
      </c>
      <c r="U137" s="3" t="str">
        <f>IFERROR(((U136/U$41)*(U$5-T$5))*-1,"")</f>
        <v/>
      </c>
      <c r="V137" s="3" t="str">
        <f>IFERROR(((V136/V$41)*(V$5-U$5))*-1,"")</f>
        <v/>
      </c>
      <c r="W137" s="3" t="n"/>
      <c r="X137" s="3" t="str">
        <f>IFERROR(((X136/X$41)*(X$5-W$5))*-1,"")</f>
        <v/>
      </c>
      <c r="Y137" s="3" t="str">
        <f>IFERROR(((Y136/Y$41)*(Y$5-X$5))*-1,"")</f>
        <v/>
      </c>
      <c r="Z137" s="3" t="str">
        <f>IFERROR(((Z136/Z$41)*(Z$5-Y$5))*-1,"")</f>
        <v/>
      </c>
      <c r="AA137" s="3" t="str">
        <f>IFERROR(((AA136/AA$41)*(AA$5-Z$5))*-1,"")</f>
        <v/>
      </c>
      <c r="AB137" s="3" t="n"/>
      <c r="AC137" s="3" t="str">
        <f>IFERROR(((AC136/AC$41)*(AC$5-AB$5))*-1,"")</f>
        <v/>
      </c>
      <c r="AD137" s="3" t="str">
        <f>IFERROR(((AD136/AD$41)*(AD$5-AC$5))*-1,"")</f>
        <v/>
      </c>
      <c r="AE137" s="3" t="str">
        <f>IFERROR(((AE136/AE$41)*(AE$5-AD$5))*-1,"")</f>
        <v/>
      </c>
      <c r="AF137" s="6" t="str">
        <f>IFERROR(((AF136/AF$41)*(AF$5-AE$5))*-1,"")</f>
        <v/>
      </c>
      <c r="AG137" s="3" t="n"/>
      <c r="AH137" s="6" t="str">
        <f>IFERROR(((AH136/AH$41)*(AH$5-AG$5))*-1,"")</f>
        <v/>
      </c>
      <c r="AI137" s="6" t="str">
        <f>IFERROR(((AI136/AI$41)*(AI$5-AH$5))*-1,"")</f>
        <v/>
      </c>
      <c r="AJ137" s="6" t="n"/>
      <c r="AK137" s="6" t="n"/>
      <c r="AL137" s="3" t="n"/>
      <c r="AM137" s="6" t="n"/>
      <c r="AN137" s="6" t="n"/>
      <c r="AO137" s="6" t="n"/>
      <c r="AP137" s="6" t="n"/>
      <c r="AQ137" s="3" t="n"/>
      <c r="AR137" s="6" t="n"/>
      <c r="AS137" s="6" t="n"/>
      <c r="AT137" s="6" t="n"/>
      <c r="AU137" s="6" t="n"/>
      <c r="AV137" s="3" t="n"/>
      <c r="AW137" s="6" t="n"/>
      <c r="AX137" s="6" t="n"/>
      <c r="AY137" s="6" t="n"/>
      <c r="AZ137" s="6" t="n"/>
      <c r="BA137" s="3" t="n"/>
      <c r="BB137" s="6" t="n"/>
      <c r="BC137" s="6" t="n"/>
      <c r="BD137" s="6" t="n"/>
      <c r="BE137" s="6" t="n"/>
      <c r="BF137" s="3" t="n"/>
      <c r="BG137" s="6" t="n"/>
      <c r="BH137" s="6" t="n"/>
      <c r="BI137" s="6" t="n"/>
      <c r="BJ137" s="6" t="n"/>
      <c r="BK137" s="3" t="n"/>
      <c r="BL137" s="6" t="n"/>
      <c r="BM137" s="6" t="n"/>
      <c r="BN137" s="6" t="n"/>
      <c r="BO137" s="6" t="n"/>
      <c r="BP137" s="3" t="n"/>
      <c r="BQ137" s="6" t="n"/>
      <c r="BR137" s="6" t="n"/>
      <c r="BS137" s="6" t="n"/>
      <c r="BT137" s="6" t="n"/>
      <c r="BU137" s="3" t="n"/>
      <c r="BV137" s="6" t="n"/>
      <c r="BW137" s="6" t="n"/>
      <c r="BX137" s="6" t="n"/>
      <c r="BY137" s="6" t="n"/>
      <c r="BZ137" s="3" t="n"/>
      <c r="CA137" s="6" t="n"/>
      <c r="CB137" s="6" t="n"/>
      <c r="CC137" s="6" t="n"/>
      <c r="CD137" s="6" t="n"/>
      <c r="CE137" s="3" t="n"/>
      <c r="CF137" s="6" t="n"/>
      <c r="CG137" s="6" t="n"/>
      <c r="CH137" s="6" t="n"/>
      <c r="CI137" s="6" t="n"/>
      <c r="CJ137" s="3" t="n"/>
      <c r="CK137" s="6" t="n"/>
      <c r="CL137" s="6" t="n"/>
      <c r="CM137" s="6" t="n"/>
      <c r="CN137" s="6" t="n"/>
      <c r="CO137" s="3" t="n"/>
      <c r="CP137" s="6" t="n"/>
      <c r="CQ137" s="6" t="n"/>
      <c r="CR137" s="6" t="n"/>
      <c r="CS137" s="6" t="n"/>
      <c r="CT137" s="3" t="n"/>
      <c r="CU137" s="6" t="n"/>
      <c r="CV137" s="6" t="n"/>
      <c r="CW137" s="6" t="n"/>
      <c r="CX137" s="6" t="n"/>
      <c r="CY137" s="3" t="n"/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collapsed="1">
      <c r="C140" s="26" t="inlineStr">
        <is>
          <t>Deferred income taxes</t>
        </is>
      </c>
      <c r="D140" s="25">
        <f>INDEX('Inputs (2)'!$D$18:$AL$18,MATCH(D$7,'Inputs (2)'!$D$2:$AL$2,0))</f>
        <v>1435</v>
      </c>
      <c r="E140" s="25">
        <f>INDEX('Inputs (2)'!$D$18:$AL$18,MATCH(E$7,'Inputs (2)'!$D$2:$AL$2,0))</f>
        <v>1534</v>
      </c>
      <c r="F140" s="25">
        <f>INDEX('Inputs (2)'!$D$18:$AL$18,MATCH(F$7,'Inputs (2)'!$D$2:$AL$2,0))</f>
        <v>1499</v>
      </c>
      <c r="G140" s="25">
        <f>INDEX('Inputs (2)'!$D$18:$AL$18,MATCH(G$7,'Inputs (2)'!$D$2:$AL$2,0))</f>
        <v>1556</v>
      </c>
      <c r="H140" s="3">
        <f>G140</f>
        <v>1556</v>
      </c>
      <c r="I140" s="25">
        <f>INDEX('Inputs (2)'!$D$18:$AL$18,MATCH(I$7,'Inputs (2)'!$D$2:$AL$2,0))</f>
        <v>1724</v>
      </c>
      <c r="J140" s="25">
        <f>INDEX('Inputs (2)'!$D$18:$AL$18,MATCH(J$7,'Inputs (2)'!$D$2:$AL$2,0))</f>
        <v>1767</v>
      </c>
      <c r="K140" s="25">
        <f>INDEX('Inputs (2)'!$D$18:$AL$18,MATCH(K$7,'Inputs (2)'!$D$2:$AL$2,0))</f>
        <v>1037</v>
      </c>
      <c r="L140" s="25">
        <f>INDEX('Inputs (2)'!$D$18:$AL$18,MATCH(L$7,'Inputs (2)'!$D$2:$AL$2,0))</f>
        <v>923</v>
      </c>
      <c r="M140" s="3">
        <f>L140</f>
        <v>923</v>
      </c>
      <c r="N140" s="25">
        <f>INDEX('Inputs (2)'!$D$18:$AL$18,MATCH(N$7,'Inputs (2)'!$D$2:$AL$2,0))</f>
        <v>1104</v>
      </c>
      <c r="O140" s="25">
        <f>INDEX('Inputs (2)'!$D$18:$AL$18,MATCH(O$7,'Inputs (2)'!$D$2:$AL$2,0))</f>
        <v>1110</v>
      </c>
      <c r="P140" s="25">
        <f>INDEX('Inputs (2)'!$D$18:$AL$18,MATCH(P$7,'Inputs (2)'!$D$2:$AL$2,0))</f>
        <v>824</v>
      </c>
      <c r="Q140" s="25">
        <f>INDEX('Inputs (2)'!$D$18:$AL$18,MATCH(Q$7,'Inputs (2)'!$D$2:$AL$2,0))</f>
        <v>914</v>
      </c>
      <c r="R140" s="3">
        <f>Q140</f>
        <v>914</v>
      </c>
      <c r="S140" s="25">
        <f>INDEX('Inputs (2)'!$D$18:$AL$18,MATCH(S$7,'Inputs (2)'!$D$2:$AL$2,0))</f>
        <v>1308</v>
      </c>
      <c r="T140" s="25">
        <f>INDEX('Inputs (2)'!$D$18:$AL$18,MATCH(T$7,'Inputs (2)'!$D$2:$AL$2,0))</f>
        <v>1360</v>
      </c>
      <c r="U140" s="25">
        <f>INDEX('Inputs (2)'!$D$18:$AL$18,MATCH(U$7,'Inputs (2)'!$D$2:$AL$2,0))</f>
        <v>1814</v>
      </c>
      <c r="V140" s="25">
        <f>INDEX('Inputs (2)'!$D$18:$AL$18,MATCH(V$7,'Inputs (2)'!$D$2:$AL$2,0))</f>
        <v>1833</v>
      </c>
      <c r="W140" s="3">
        <f>V140</f>
        <v>1833</v>
      </c>
      <c r="X140" s="25">
        <f>INDEX('Inputs (2)'!$D$18:$AL$18,MATCH(X$7,'Inputs (2)'!$D$2:$AL$2,0))</f>
        <v>1936</v>
      </c>
      <c r="Y140" s="25">
        <f>INDEX('Inputs (2)'!$D$18:$AL$18,MATCH(Y$7,'Inputs (2)'!$D$2:$AL$2,0))</f>
        <v>1898</v>
      </c>
      <c r="Z140" s="25">
        <f>INDEX('Inputs (2)'!$D$18:$AL$18,MATCH(Z$7,'Inputs (2)'!$D$2:$AL$2,0))</f>
        <v>2086</v>
      </c>
      <c r="AA140" s="25">
        <f>INDEX('Inputs (2)'!$D$18:$AL$18,MATCH(AA$7,'Inputs (2)'!$D$2:$AL$2,0))</f>
        <v>1852</v>
      </c>
      <c r="AB140" s="3">
        <f>AA140</f>
        <v>1852</v>
      </c>
      <c r="AC140" s="25">
        <f>INDEX('Inputs (2)'!$D$18:$AL$18,MATCH(AC$7,'Inputs (2)'!$D$2:$AL$2,0))</f>
        <v>2088</v>
      </c>
      <c r="AD140" s="25">
        <f>INDEX('Inputs (2)'!$D$18:$AL$18,MATCH(AD$7,'Inputs (2)'!$D$2:$AL$2,0))</f>
        <v>2209</v>
      </c>
      <c r="AE140" s="25">
        <f>INDEX('Inputs (2)'!$D$18:$AL$18,MATCH(AE$7,'Inputs (2)'!$D$2:$AL$2,0))</f>
        <v>2284</v>
      </c>
      <c r="AF140" s="25">
        <f>INDEX('Inputs (2)'!$D$18:$AL$18,MATCH(AF$7,'Inputs (2)'!$D$2:$AL$2,0))</f>
        <v>2268</v>
      </c>
      <c r="AG140" s="3">
        <f>AF140</f>
        <v>2268</v>
      </c>
      <c r="AH140" s="3">
        <f>INDEX('Inputs (2)'!$D$18:$AL$18,MATCH(AH$7,'Inputs (2)'!$D$2:$AL$2,0))</f>
        <v>2361</v>
      </c>
      <c r="AI140" s="3">
        <f>INDEX('Inputs (2)'!$D$18:$AL$18,MATCH(AI$7,'Inputs (2)'!$D$2:$AL$2,0))</f>
        <v>2343</v>
      </c>
      <c r="AJ140" s="3">
        <f>AI140</f>
        <v>2343</v>
      </c>
      <c r="AK140" s="3">
        <f>AJ140</f>
        <v>2343</v>
      </c>
      <c r="AL140" s="3">
        <f>AK140</f>
        <v>2343</v>
      </c>
      <c r="AM140" s="3">
        <f>AL140</f>
        <v>2343</v>
      </c>
      <c r="AN140" s="3">
        <f>AM140</f>
        <v>2343</v>
      </c>
      <c r="AO140" s="3">
        <f>AN140</f>
        <v>2343</v>
      </c>
      <c r="AP140" s="3">
        <f>AO140</f>
        <v>2343</v>
      </c>
      <c r="AQ140" s="3">
        <f>AP140</f>
        <v>2343</v>
      </c>
      <c r="AR140" s="3">
        <f>AQ140</f>
        <v>2343</v>
      </c>
      <c r="AS140" s="3">
        <f>AR140</f>
        <v>2343</v>
      </c>
      <c r="AT140" s="3">
        <f>AS140</f>
        <v>2343</v>
      </c>
      <c r="AU140" s="3">
        <f>AT140</f>
        <v>2343</v>
      </c>
      <c r="AV140" s="3">
        <f>AU140</f>
        <v>2343</v>
      </c>
      <c r="AW140" s="3">
        <f>AV140</f>
        <v>2343</v>
      </c>
      <c r="AX140" s="3">
        <f>AW140</f>
        <v>2343</v>
      </c>
      <c r="AY140" s="3">
        <f>AX140</f>
        <v>2343</v>
      </c>
      <c r="AZ140" s="3">
        <f>AY140</f>
        <v>2343</v>
      </c>
      <c r="BA140" s="3">
        <f>AZ140</f>
        <v>2343</v>
      </c>
      <c r="BB140" s="3">
        <f>BA140</f>
        <v>2343</v>
      </c>
      <c r="BC140" s="3">
        <f>BB140</f>
        <v>2343</v>
      </c>
      <c r="BD140" s="3">
        <f>BC140</f>
        <v>2343</v>
      </c>
      <c r="BE140" s="3">
        <f>BD140</f>
        <v>2343</v>
      </c>
      <c r="BF140" s="3">
        <f>BE140</f>
        <v>2343</v>
      </c>
      <c r="BG140" s="3">
        <f>BF140</f>
        <v>2343</v>
      </c>
      <c r="BH140" s="3">
        <f>BG140</f>
        <v>2343</v>
      </c>
      <c r="BI140" s="3">
        <f>BH140</f>
        <v>2343</v>
      </c>
      <c r="BJ140" s="3">
        <f>BI140</f>
        <v>2343</v>
      </c>
      <c r="BK140" s="3">
        <f>BJ140</f>
        <v>2343</v>
      </c>
      <c r="BL140" s="3">
        <f>BK140</f>
        <v>2343</v>
      </c>
      <c r="BM140" s="3">
        <f>BL140</f>
        <v>2343</v>
      </c>
      <c r="BN140" s="3">
        <f>BM140</f>
        <v>2343</v>
      </c>
      <c r="BO140" s="3">
        <f>BN140</f>
        <v>2343</v>
      </c>
      <c r="BP140" s="3">
        <f>BO140</f>
        <v>2343</v>
      </c>
      <c r="BQ140" s="3">
        <f>BP140</f>
        <v>2343</v>
      </c>
      <c r="BR140" s="3">
        <f>BQ140</f>
        <v>2343</v>
      </c>
      <c r="BS140" s="3">
        <f>BR140</f>
        <v>2343</v>
      </c>
      <c r="BT140" s="3">
        <f>BS140</f>
        <v>2343</v>
      </c>
      <c r="BU140" s="3">
        <f>BT140</f>
        <v>2343</v>
      </c>
      <c r="BV140" s="3">
        <f>BU140</f>
        <v>2343</v>
      </c>
      <c r="BW140" s="3">
        <f>BV140</f>
        <v>2343</v>
      </c>
      <c r="BX140" s="3">
        <f>BW140</f>
        <v>2343</v>
      </c>
      <c r="BY140" s="3">
        <f>BX140</f>
        <v>2343</v>
      </c>
      <c r="BZ140" s="3">
        <f>BY140</f>
        <v>2343</v>
      </c>
      <c r="CA140" s="3">
        <f>BZ140</f>
        <v>2343</v>
      </c>
      <c r="CB140" s="3">
        <f>CA140</f>
        <v>2343</v>
      </c>
      <c r="CC140" s="3">
        <f>CB140</f>
        <v>2343</v>
      </c>
      <c r="CD140" s="3">
        <f>CC140</f>
        <v>2343</v>
      </c>
      <c r="CE140" s="3">
        <f>CD140</f>
        <v>2343</v>
      </c>
      <c r="CF140" s="3">
        <f>CE140</f>
        <v>2343</v>
      </c>
      <c r="CG140" s="3">
        <f>CF140</f>
        <v>2343</v>
      </c>
      <c r="CH140" s="3">
        <f>CG140</f>
        <v>2343</v>
      </c>
      <c r="CI140" s="3">
        <f>CH140</f>
        <v>2343</v>
      </c>
      <c r="CJ140" s="3">
        <f>CI140</f>
        <v>2343</v>
      </c>
      <c r="CK140" s="3">
        <f>CJ140</f>
        <v>2343</v>
      </c>
      <c r="CL140" s="3">
        <f>CK140</f>
        <v>2343</v>
      </c>
      <c r="CM140" s="3">
        <f>CL140</f>
        <v>2343</v>
      </c>
      <c r="CN140" s="3">
        <f>CM140</f>
        <v>2343</v>
      </c>
      <c r="CO140" s="3">
        <f>CN140</f>
        <v>2343</v>
      </c>
      <c r="CP140" s="3">
        <f>CO140</f>
        <v>2343</v>
      </c>
      <c r="CQ140" s="3">
        <f>CP140</f>
        <v>2343</v>
      </c>
      <c r="CR140" s="3">
        <f>CQ140</f>
        <v>2343</v>
      </c>
      <c r="CS140" s="3">
        <f>CR140</f>
        <v>2343</v>
      </c>
      <c r="CT140" s="3">
        <f>CS140</f>
        <v>2343</v>
      </c>
      <c r="CU140" s="3">
        <f>CT140</f>
        <v>2343</v>
      </c>
      <c r="CV140" s="3">
        <f>CU140</f>
        <v>2343</v>
      </c>
      <c r="CW140" s="3">
        <f>CV140</f>
        <v>2343</v>
      </c>
      <c r="CX140" s="3">
        <f>CW140</f>
        <v>2343</v>
      </c>
      <c r="CY140" s="3">
        <f>CX140</f>
        <v>2343</v>
      </c>
    </row>
    <row r="141">
      <c r="C141" s="26" t="inlineStr">
        <is>
          <t>Prepaid expenses</t>
        </is>
      </c>
      <c r="D141" s="25">
        <f>INDEX('Inputs (2)'!$D$19:$AL$19,MATCH(D$7,'Inputs (2)'!$D$2:$AL$2,0))</f>
        <v>0</v>
      </c>
      <c r="E141" s="25">
        <f>INDEX('Inputs (2)'!$D$19:$AL$19,MATCH(E$7,'Inputs (2)'!$D$2:$AL$2,0))</f>
        <v>0</v>
      </c>
      <c r="F141" s="25">
        <f>INDEX('Inputs (2)'!$D$19:$AL$19,MATCH(F$7,'Inputs (2)'!$D$2:$AL$2,0))</f>
        <v>0</v>
      </c>
      <c r="G141" s="25">
        <f>INDEX('Inputs (2)'!$D$19:$AL$19,MATCH(G$7,'Inputs (2)'!$D$2:$AL$2,0))</f>
        <v>0</v>
      </c>
      <c r="H141" s="3">
        <f>G141</f>
        <v>0</v>
      </c>
      <c r="I141" s="25">
        <f>INDEX('Inputs (2)'!$D$19:$AL$19,MATCH(I$7,'Inputs (2)'!$D$2:$AL$2,0))</f>
        <v>0</v>
      </c>
      <c r="J141" s="25">
        <f>INDEX('Inputs (2)'!$D$19:$AL$19,MATCH(J$7,'Inputs (2)'!$D$2:$AL$2,0))</f>
        <v>0</v>
      </c>
      <c r="K141" s="25">
        <f>INDEX('Inputs (2)'!$D$19:$AL$19,MATCH(K$7,'Inputs (2)'!$D$2:$AL$2,0))</f>
        <v>0</v>
      </c>
      <c r="L141" s="25">
        <f>INDEX('Inputs (2)'!$D$19:$AL$19,MATCH(L$7,'Inputs (2)'!$D$2:$AL$2,0))</f>
        <v>0</v>
      </c>
      <c r="M141" s="3">
        <f>L141</f>
        <v>0</v>
      </c>
      <c r="N141" s="25">
        <f>INDEX('Inputs (2)'!$D$19:$AL$19,MATCH(N$7,'Inputs (2)'!$D$2:$AL$2,0))</f>
        <v>0</v>
      </c>
      <c r="O141" s="25">
        <f>INDEX('Inputs (2)'!$D$19:$AL$19,MATCH(O$7,'Inputs (2)'!$D$2:$AL$2,0))</f>
        <v>0</v>
      </c>
      <c r="P141" s="25">
        <f>INDEX('Inputs (2)'!$D$19:$AL$19,MATCH(P$7,'Inputs (2)'!$D$2:$AL$2,0))</f>
        <v>0</v>
      </c>
      <c r="Q141" s="25">
        <f>INDEX('Inputs (2)'!$D$19:$AL$19,MATCH(Q$7,'Inputs (2)'!$D$2:$AL$2,0))</f>
        <v>0</v>
      </c>
      <c r="R141" s="3">
        <f>Q141</f>
        <v>0</v>
      </c>
      <c r="S141" s="25">
        <f>INDEX('Inputs (2)'!$D$19:$AL$19,MATCH(S$7,'Inputs (2)'!$D$2:$AL$2,0))</f>
        <v>0</v>
      </c>
      <c r="T141" s="25">
        <f>INDEX('Inputs (2)'!$D$19:$AL$19,MATCH(T$7,'Inputs (2)'!$D$2:$AL$2,0))</f>
        <v>0</v>
      </c>
      <c r="U141" s="25">
        <f>INDEX('Inputs (2)'!$D$19:$AL$19,MATCH(U$7,'Inputs (2)'!$D$2:$AL$2,0))</f>
        <v>0</v>
      </c>
      <c r="V141" s="25">
        <f>INDEX('Inputs (2)'!$D$19:$AL$19,MATCH(V$7,'Inputs (2)'!$D$2:$AL$2,0))</f>
        <v>0</v>
      </c>
      <c r="W141" s="3">
        <f>V141</f>
        <v>0</v>
      </c>
      <c r="X141" s="25">
        <f>INDEX('Inputs (2)'!$D$19:$AL$19,MATCH(X$7,'Inputs (2)'!$D$2:$AL$2,0))</f>
        <v>0</v>
      </c>
      <c r="Y141" s="25">
        <f>INDEX('Inputs (2)'!$D$19:$AL$19,MATCH(Y$7,'Inputs (2)'!$D$2:$AL$2,0))</f>
        <v>0</v>
      </c>
      <c r="Z141" s="25">
        <f>INDEX('Inputs (2)'!$D$19:$AL$19,MATCH(Z$7,'Inputs (2)'!$D$2:$AL$2,0))</f>
        <v>0</v>
      </c>
      <c r="AA141" s="25">
        <f>INDEX('Inputs (2)'!$D$19:$AL$19,MATCH(AA$7,'Inputs (2)'!$D$2:$AL$2,0))</f>
        <v>0</v>
      </c>
      <c r="AB141" s="3">
        <f>AA141</f>
        <v>0</v>
      </c>
      <c r="AC141" s="25">
        <f>INDEX('Inputs (2)'!$D$19:$AL$19,MATCH(AC$7,'Inputs (2)'!$D$2:$AL$2,0))</f>
        <v>0</v>
      </c>
      <c r="AD141" s="25">
        <f>INDEX('Inputs (2)'!$D$19:$AL$19,MATCH(AD$7,'Inputs (2)'!$D$2:$AL$2,0))</f>
        <v>0</v>
      </c>
      <c r="AE141" s="25">
        <f>INDEX('Inputs (2)'!$D$19:$AL$19,MATCH(AE$7,'Inputs (2)'!$D$2:$AL$2,0))</f>
        <v>0</v>
      </c>
      <c r="AF141" s="25">
        <f>INDEX('Inputs (2)'!$D$19:$AL$19,MATCH(AF$7,'Inputs (2)'!$D$2:$AL$2,0))</f>
        <v>0</v>
      </c>
      <c r="AG141" s="3">
        <f>AF141</f>
        <v>0</v>
      </c>
      <c r="AH141" s="3">
        <f>INDEX('Inputs (2)'!$D$19:$AL$19,MATCH(AH$7,'Inputs (2)'!$D$2:$AL$2,0))</f>
        <v>0</v>
      </c>
      <c r="AI141" s="3">
        <f>INDEX('Inputs (2)'!$D$19:$AL$19,MATCH(AI$7,'Inputs (2)'!$D$2:$AL$2,0))</f>
        <v>0</v>
      </c>
      <c r="AJ141" s="3">
        <f>AI141</f>
        <v>0</v>
      </c>
      <c r="AK141" s="3">
        <f>AJ141</f>
        <v>0</v>
      </c>
      <c r="AL141" s="3">
        <f>AK141</f>
        <v>0</v>
      </c>
      <c r="AM141" s="3">
        <f>AL141</f>
        <v>0</v>
      </c>
      <c r="AN141" s="3">
        <f>AM141</f>
        <v>0</v>
      </c>
      <c r="AO141" s="3">
        <f>AN141</f>
        <v>0</v>
      </c>
      <c r="AP141" s="3">
        <f>AO141</f>
        <v>0</v>
      </c>
      <c r="AQ141" s="3">
        <f>AP141</f>
        <v>0</v>
      </c>
      <c r="AR141" s="3">
        <f>AQ141</f>
        <v>0</v>
      </c>
      <c r="AS141" s="3">
        <f>AR141</f>
        <v>0</v>
      </c>
      <c r="AT141" s="3">
        <f>AS141</f>
        <v>0</v>
      </c>
      <c r="AU141" s="3">
        <f>AT141</f>
        <v>0</v>
      </c>
      <c r="AV141" s="3">
        <f>AU141</f>
        <v>0</v>
      </c>
      <c r="AW141" s="3">
        <f>AV141</f>
        <v>0</v>
      </c>
      <c r="AX141" s="3">
        <f>AW141</f>
        <v>0</v>
      </c>
      <c r="AY141" s="3">
        <f>AX141</f>
        <v>0</v>
      </c>
      <c r="AZ141" s="3">
        <f>AY141</f>
        <v>0</v>
      </c>
      <c r="BA141" s="3">
        <f>AZ141</f>
        <v>0</v>
      </c>
      <c r="BB141" s="3">
        <f>BA141</f>
        <v>0</v>
      </c>
      <c r="BC141" s="3">
        <f>BB141</f>
        <v>0</v>
      </c>
      <c r="BD141" s="3">
        <f>BC141</f>
        <v>0</v>
      </c>
      <c r="BE141" s="3">
        <f>BD141</f>
        <v>0</v>
      </c>
      <c r="BF141" s="3">
        <f>BE141</f>
        <v>0</v>
      </c>
      <c r="BG141" s="3">
        <f>BF141</f>
        <v>0</v>
      </c>
      <c r="BH141" s="3">
        <f>BG141</f>
        <v>0</v>
      </c>
      <c r="BI141" s="3">
        <f>BH141</f>
        <v>0</v>
      </c>
      <c r="BJ141" s="3">
        <f>BI141</f>
        <v>0</v>
      </c>
      <c r="BK141" s="3">
        <f>BJ141</f>
        <v>0</v>
      </c>
      <c r="BL141" s="3">
        <f>BK141</f>
        <v>0</v>
      </c>
      <c r="BM141" s="3">
        <f>BL141</f>
        <v>0</v>
      </c>
      <c r="BN141" s="3">
        <f>BM141</f>
        <v>0</v>
      </c>
      <c r="BO141" s="3">
        <f>BN141</f>
        <v>0</v>
      </c>
      <c r="BP141" s="3">
        <f>BO141</f>
        <v>0</v>
      </c>
      <c r="BQ141" s="3">
        <f>BP141</f>
        <v>0</v>
      </c>
      <c r="BR141" s="3">
        <f>BQ141</f>
        <v>0</v>
      </c>
      <c r="BS141" s="3">
        <f>BR141</f>
        <v>0</v>
      </c>
      <c r="BT141" s="3">
        <f>BS141</f>
        <v>0</v>
      </c>
      <c r="BU141" s="3">
        <f>BT141</f>
        <v>0</v>
      </c>
      <c r="BV141" s="3">
        <f>BU141</f>
        <v>0</v>
      </c>
      <c r="BW141" s="3">
        <f>BV141</f>
        <v>0</v>
      </c>
      <c r="BX141" s="3">
        <f>BW141</f>
        <v>0</v>
      </c>
      <c r="BY141" s="3">
        <f>BX141</f>
        <v>0</v>
      </c>
      <c r="BZ141" s="3">
        <f>BY141</f>
        <v>0</v>
      </c>
      <c r="CA141" s="3">
        <f>BZ141</f>
        <v>0</v>
      </c>
      <c r="CB141" s="3">
        <f>CA141</f>
        <v>0</v>
      </c>
      <c r="CC141" s="3">
        <f>CB141</f>
        <v>0</v>
      </c>
      <c r="CD141" s="3">
        <f>CC141</f>
        <v>0</v>
      </c>
      <c r="CE141" s="3">
        <f>CD141</f>
        <v>0</v>
      </c>
      <c r="CF141" s="3">
        <f>CE141</f>
        <v>0</v>
      </c>
      <c r="CG141" s="3">
        <f>CF141</f>
        <v>0</v>
      </c>
      <c r="CH141" s="3">
        <f>CG141</f>
        <v>0</v>
      </c>
      <c r="CI141" s="3">
        <f>CH141</f>
        <v>0</v>
      </c>
      <c r="CJ141" s="3">
        <f>CI141</f>
        <v>0</v>
      </c>
      <c r="CK141" s="3">
        <f>CJ141</f>
        <v>0</v>
      </c>
      <c r="CL141" s="3">
        <f>CK141</f>
        <v>0</v>
      </c>
      <c r="CM141" s="3">
        <f>CL141</f>
        <v>0</v>
      </c>
      <c r="CN141" s="3">
        <f>CM141</f>
        <v>0</v>
      </c>
      <c r="CO141" s="3">
        <f>CN141</f>
        <v>0</v>
      </c>
      <c r="CP141" s="3">
        <f>CO141</f>
        <v>0</v>
      </c>
      <c r="CQ141" s="3">
        <f>CP141</f>
        <v>0</v>
      </c>
      <c r="CR141" s="3">
        <f>CQ141</f>
        <v>0</v>
      </c>
      <c r="CS141" s="3">
        <f>CR141</f>
        <v>0</v>
      </c>
      <c r="CT141" s="3">
        <f>CS141</f>
        <v>0</v>
      </c>
      <c r="CU141" s="3">
        <f>CT141</f>
        <v>0</v>
      </c>
      <c r="CV141" s="3">
        <f>CU141</f>
        <v>0</v>
      </c>
      <c r="CW141" s="3">
        <f>CV141</f>
        <v>0</v>
      </c>
      <c r="CX141" s="3">
        <f>CW141</f>
        <v>0</v>
      </c>
      <c r="CY141" s="3">
        <f>CX141</f>
        <v>0</v>
      </c>
    </row>
    <row r="142">
      <c r="C142" s="26" t="inlineStr">
        <is>
          <t>Other current assets</t>
        </is>
      </c>
      <c r="D142" s="25">
        <f>INDEX('Inputs (2)'!$D$20:$AL$20,MATCH(D$7,'Inputs (2)'!$D$2:$AL$2,0))</f>
        <v>50907</v>
      </c>
      <c r="E142" s="25">
        <f>INDEX('Inputs (2)'!$D$20:$AL$20,MATCH(E$7,'Inputs (2)'!$D$2:$AL$2,0))</f>
        <v>51851</v>
      </c>
      <c r="F142" s="25">
        <f>INDEX('Inputs (2)'!$D$20:$AL$20,MATCH(F$7,'Inputs (2)'!$D$2:$AL$2,0))</f>
        <v>51302</v>
      </c>
      <c r="G142" s="25">
        <f>INDEX('Inputs (2)'!$D$20:$AL$20,MATCH(G$7,'Inputs (2)'!$D$2:$AL$2,0))</f>
        <v>50729</v>
      </c>
      <c r="H142" s="3">
        <f>G142</f>
        <v>50729</v>
      </c>
      <c r="I142" s="25">
        <f>INDEX('Inputs (2)'!$D$20:$AL$20,MATCH(I$7,'Inputs (2)'!$D$2:$AL$2,0))</f>
        <v>59531</v>
      </c>
      <c r="J142" s="25">
        <f>INDEX('Inputs (2)'!$D$20:$AL$20,MATCH(J$7,'Inputs (2)'!$D$2:$AL$2,0))</f>
        <v>60577</v>
      </c>
      <c r="K142" s="25">
        <f>INDEX('Inputs (2)'!$D$20:$AL$20,MATCH(K$7,'Inputs (2)'!$D$2:$AL$2,0))</f>
        <v>63713</v>
      </c>
      <c r="L142" s="25">
        <f>INDEX('Inputs (2)'!$D$20:$AL$20,MATCH(L$7,'Inputs (2)'!$D$2:$AL$2,0))</f>
        <v>61883</v>
      </c>
      <c r="M142" s="3">
        <f>L142</f>
        <v>61883</v>
      </c>
      <c r="N142" s="25">
        <f>INDEX('Inputs (2)'!$D$20:$AL$20,MATCH(N$7,'Inputs (2)'!$D$2:$AL$2,0))</f>
        <v>64923</v>
      </c>
      <c r="O142" s="25">
        <f>INDEX('Inputs (2)'!$D$20:$AL$20,MATCH(O$7,'Inputs (2)'!$D$2:$AL$2,0))</f>
        <v>26995</v>
      </c>
      <c r="P142" s="25">
        <f>INDEX('Inputs (2)'!$D$20:$AL$20,MATCH(P$7,'Inputs (2)'!$D$2:$AL$2,0))</f>
        <v>28462</v>
      </c>
      <c r="Q142" s="25">
        <f>INDEX('Inputs (2)'!$D$20:$AL$20,MATCH(Q$7,'Inputs (2)'!$D$2:$AL$2,0))</f>
        <v>29557</v>
      </c>
      <c r="R142" s="3">
        <f>Q142</f>
        <v>29557</v>
      </c>
      <c r="S142" s="25">
        <f>INDEX('Inputs (2)'!$D$20:$AL$20,MATCH(S$7,'Inputs (2)'!$D$2:$AL$2,0))</f>
        <v>32261</v>
      </c>
      <c r="T142" s="25">
        <f>INDEX('Inputs (2)'!$D$20:$AL$20,MATCH(T$7,'Inputs (2)'!$D$2:$AL$2,0))</f>
        <v>32615</v>
      </c>
      <c r="U142" s="25">
        <f>INDEX('Inputs (2)'!$D$20:$AL$20,MATCH(U$7,'Inputs (2)'!$D$2:$AL$2,0))</f>
        <v>30614</v>
      </c>
      <c r="V142" s="25">
        <f>INDEX('Inputs (2)'!$D$20:$AL$20,MATCH(V$7,'Inputs (2)'!$D$2:$AL$2,0))</f>
        <v>30278</v>
      </c>
      <c r="W142" s="3">
        <f>V142</f>
        <v>30278</v>
      </c>
      <c r="X142" s="25">
        <f>INDEX('Inputs (2)'!$D$20:$AL$20,MATCH(X$7,'Inputs (2)'!$D$2:$AL$2,0))</f>
        <v>32156</v>
      </c>
      <c r="Y142" s="25">
        <f>INDEX('Inputs (2)'!$D$20:$AL$20,MATCH(Y$7,'Inputs (2)'!$D$2:$AL$2,0))</f>
        <v>34083</v>
      </c>
      <c r="Z142" s="25">
        <f>INDEX('Inputs (2)'!$D$20:$AL$20,MATCH(Z$7,'Inputs (2)'!$D$2:$AL$2,0))</f>
        <v>32827</v>
      </c>
      <c r="AA142" s="25">
        <f>INDEX('Inputs (2)'!$D$20:$AL$20,MATCH(AA$7,'Inputs (2)'!$D$2:$AL$2,0))</f>
        <v>32460</v>
      </c>
      <c r="AB142" s="3">
        <f>AA142</f>
        <v>32460</v>
      </c>
      <c r="AC142" s="25">
        <f>INDEX('Inputs (2)'!$D$20:$AL$20,MATCH(AC$7,'Inputs (2)'!$D$2:$AL$2,0))</f>
        <v>32502</v>
      </c>
      <c r="AD142" s="25">
        <f>INDEX('Inputs (2)'!$D$20:$AL$20,MATCH(AD$7,'Inputs (2)'!$D$2:$AL$2,0))</f>
        <v>32302</v>
      </c>
      <c r="AE142" s="25">
        <f>INDEX('Inputs (2)'!$D$20:$AL$20,MATCH(AE$7,'Inputs (2)'!$D$2:$AL$2,0))</f>
        <v>31544</v>
      </c>
      <c r="AF142" s="25">
        <f>INDEX('Inputs (2)'!$D$20:$AL$20,MATCH(AF$7,'Inputs (2)'!$D$2:$AL$2,0))</f>
        <v>32332</v>
      </c>
      <c r="AG142" s="3">
        <f>AF142</f>
        <v>32332</v>
      </c>
      <c r="AH142" s="3">
        <f>INDEX('Inputs (2)'!$D$20:$AL$20,MATCH(AH$7,'Inputs (2)'!$D$2:$AL$2,0))</f>
        <v>34043</v>
      </c>
      <c r="AI142" s="3">
        <f>INDEX('Inputs (2)'!$D$20:$AL$20,MATCH(AI$7,'Inputs (2)'!$D$2:$AL$2,0))</f>
        <v>33943</v>
      </c>
      <c r="AJ142" s="3">
        <f>AI142</f>
        <v>33943</v>
      </c>
      <c r="AK142" s="3">
        <f>AJ142</f>
        <v>33943</v>
      </c>
      <c r="AL142" s="3">
        <f>AK142</f>
        <v>33943</v>
      </c>
      <c r="AM142" s="3">
        <f>AL142</f>
        <v>33943</v>
      </c>
      <c r="AN142" s="3">
        <f>AM142</f>
        <v>33943</v>
      </c>
      <c r="AO142" s="3">
        <f>AN142</f>
        <v>33943</v>
      </c>
      <c r="AP142" s="3">
        <f>AO142</f>
        <v>33943</v>
      </c>
      <c r="AQ142" s="3">
        <f>AP142</f>
        <v>33943</v>
      </c>
      <c r="AR142" s="3">
        <f>AQ142</f>
        <v>33943</v>
      </c>
      <c r="AS142" s="3">
        <f>AR142</f>
        <v>33943</v>
      </c>
      <c r="AT142" s="3">
        <f>AS142</f>
        <v>33943</v>
      </c>
      <c r="AU142" s="3">
        <f>AT142</f>
        <v>33943</v>
      </c>
      <c r="AV142" s="3">
        <f>AU142</f>
        <v>33943</v>
      </c>
      <c r="AW142" s="3">
        <f>AV142</f>
        <v>33943</v>
      </c>
      <c r="AX142" s="3">
        <f>AW142</f>
        <v>33943</v>
      </c>
      <c r="AY142" s="3">
        <f>AX142</f>
        <v>33943</v>
      </c>
      <c r="AZ142" s="3">
        <f>AY142</f>
        <v>33943</v>
      </c>
      <c r="BA142" s="3">
        <f>AZ142</f>
        <v>33943</v>
      </c>
      <c r="BB142" s="3">
        <f>BA142</f>
        <v>33943</v>
      </c>
      <c r="BC142" s="3">
        <f>BB142</f>
        <v>33943</v>
      </c>
      <c r="BD142" s="3">
        <f>BC142</f>
        <v>33943</v>
      </c>
      <c r="BE142" s="3">
        <f>BD142</f>
        <v>33943</v>
      </c>
      <c r="BF142" s="3">
        <f>BE142</f>
        <v>33943</v>
      </c>
      <c r="BG142" s="3">
        <f>BF142</f>
        <v>33943</v>
      </c>
      <c r="BH142" s="3">
        <f>BG142</f>
        <v>33943</v>
      </c>
      <c r="BI142" s="3">
        <f>BH142</f>
        <v>33943</v>
      </c>
      <c r="BJ142" s="3">
        <f>BI142</f>
        <v>33943</v>
      </c>
      <c r="BK142" s="3">
        <f>BJ142</f>
        <v>33943</v>
      </c>
      <c r="BL142" s="3">
        <f>BK142</f>
        <v>33943</v>
      </c>
      <c r="BM142" s="3">
        <f>BL142</f>
        <v>33943</v>
      </c>
      <c r="BN142" s="3">
        <f>BM142</f>
        <v>33943</v>
      </c>
      <c r="BO142" s="3">
        <f>BN142</f>
        <v>33943</v>
      </c>
      <c r="BP142" s="3">
        <f>BO142</f>
        <v>33943</v>
      </c>
      <c r="BQ142" s="3">
        <f>BP142</f>
        <v>33943</v>
      </c>
      <c r="BR142" s="3">
        <f>BQ142</f>
        <v>33943</v>
      </c>
      <c r="BS142" s="3">
        <f>BR142</f>
        <v>33943</v>
      </c>
      <c r="BT142" s="3">
        <f>BS142</f>
        <v>33943</v>
      </c>
      <c r="BU142" s="3">
        <f>BT142</f>
        <v>33943</v>
      </c>
      <c r="BV142" s="3">
        <f>BU142</f>
        <v>33943</v>
      </c>
      <c r="BW142" s="3">
        <f>BV142</f>
        <v>33943</v>
      </c>
      <c r="BX142" s="3">
        <f>BW142</f>
        <v>33943</v>
      </c>
      <c r="BY142" s="3">
        <f>BX142</f>
        <v>33943</v>
      </c>
      <c r="BZ142" s="3">
        <f>BY142</f>
        <v>33943</v>
      </c>
      <c r="CA142" s="3">
        <f>BZ142</f>
        <v>33943</v>
      </c>
      <c r="CB142" s="3">
        <f>CA142</f>
        <v>33943</v>
      </c>
      <c r="CC142" s="3">
        <f>CB142</f>
        <v>33943</v>
      </c>
      <c r="CD142" s="3">
        <f>CC142</f>
        <v>33943</v>
      </c>
      <c r="CE142" s="3">
        <f>CD142</f>
        <v>33943</v>
      </c>
      <c r="CF142" s="3">
        <f>CE142</f>
        <v>33943</v>
      </c>
      <c r="CG142" s="3">
        <f>CF142</f>
        <v>33943</v>
      </c>
      <c r="CH142" s="3">
        <f>CG142</f>
        <v>33943</v>
      </c>
      <c r="CI142" s="3">
        <f>CH142</f>
        <v>33943</v>
      </c>
      <c r="CJ142" s="3">
        <f>CI142</f>
        <v>33943</v>
      </c>
      <c r="CK142" s="3">
        <f>CJ142</f>
        <v>33943</v>
      </c>
      <c r="CL142" s="3">
        <f>CK142</f>
        <v>33943</v>
      </c>
      <c r="CM142" s="3">
        <f>CL142</f>
        <v>33943</v>
      </c>
      <c r="CN142" s="3">
        <f>CM142</f>
        <v>33943</v>
      </c>
      <c r="CO142" s="3">
        <f>CN142</f>
        <v>33943</v>
      </c>
      <c r="CP142" s="3">
        <f>CO142</f>
        <v>33943</v>
      </c>
      <c r="CQ142" s="3">
        <f>CP142</f>
        <v>33943</v>
      </c>
      <c r="CR142" s="3">
        <f>CQ142</f>
        <v>33943</v>
      </c>
      <c r="CS142" s="3">
        <f>CR142</f>
        <v>33943</v>
      </c>
      <c r="CT142" s="3">
        <f>CS142</f>
        <v>33943</v>
      </c>
      <c r="CU142" s="3">
        <f>CT142</f>
        <v>33943</v>
      </c>
      <c r="CV142" s="3">
        <f>CU142</f>
        <v>33943</v>
      </c>
      <c r="CW142" s="3">
        <f>CV142</f>
        <v>33943</v>
      </c>
      <c r="CX142" s="3">
        <f>CW142</f>
        <v>33943</v>
      </c>
      <c r="CY142" s="3">
        <f>CX142</f>
        <v>33943</v>
      </c>
    </row>
    <row r="143" hidden="1" outlineLevel="1">
      <c r="C143" s="38" t="inlineStr">
        <is>
          <t>%(Var.)</t>
        </is>
      </c>
      <c r="D143" s="3" t="n"/>
      <c r="E143" s="47">
        <f>(E142-D142)/D142</f>
        <v>0.0185436187557703</v>
      </c>
      <c r="F143" s="47">
        <f>(F142-E142)/E142</f>
        <v>-0.0105880310890822</v>
      </c>
      <c r="G143" s="47">
        <f>(G142-F142)/F142</f>
        <v>-0.0111691551986277</v>
      </c>
      <c r="H143" s="3" t="n"/>
      <c r="I143" s="47">
        <f>(I142-H142)/H142</f>
        <v>0.173510220978139</v>
      </c>
      <c r="J143" s="47">
        <f>(J142-I142)/I142</f>
        <v>0.0175706774621626</v>
      </c>
      <c r="K143" s="47">
        <f>(K142-J142)/J142</f>
        <v>0.0517688231507008</v>
      </c>
      <c r="L143" s="47">
        <f>(L142-K142)/K142</f>
        <v>-0.0287225526972517</v>
      </c>
      <c r="M143" s="3" t="n"/>
      <c r="N143" s="47">
        <f>(N142-M142)/M142</f>
        <v>0.0491249616211237</v>
      </c>
      <c r="O143" s="47">
        <f>(O142-N142)/N142</f>
        <v>-0.584199744312493</v>
      </c>
      <c r="P143" s="47">
        <f>(P142-O142)/O142</f>
        <v>0.0543433969253566</v>
      </c>
      <c r="Q143" s="47">
        <f>(Q142-P142)/P142</f>
        <v>0.0384723490970417</v>
      </c>
      <c r="R143" s="3" t="n"/>
      <c r="S143" s="47">
        <f>(S142-R142)/R142</f>
        <v>0.0914842507696992</v>
      </c>
      <c r="T143" s="47">
        <f>(T142-S142)/S142</f>
        <v>0.0109730014568674</v>
      </c>
      <c r="U143" s="47">
        <f>(U142-T142)/T142</f>
        <v>-0.0613521385865399</v>
      </c>
      <c r="V143" s="47">
        <f>(V142-U142)/U142</f>
        <v>-0.0109753707454106</v>
      </c>
      <c r="W143" s="3" t="n"/>
      <c r="X143" s="47">
        <f>(X142-W142)/W142</f>
        <v>0.0620252328423278</v>
      </c>
      <c r="Y143" s="47">
        <f>(Y142-X142)/X142</f>
        <v>0.0599266077870382</v>
      </c>
      <c r="Z143" s="47">
        <f>(Z142-Y142)/Y142</f>
        <v>-0.0368512161488132</v>
      </c>
      <c r="AA143" s="47">
        <f>(AA142-Z142)/Z142</f>
        <v>-0.0111798214884089</v>
      </c>
      <c r="AB143" s="3" t="n"/>
      <c r="AC143" s="47">
        <f>(AC142-AB142)/AB142</f>
        <v>0.00129390018484288</v>
      </c>
      <c r="AD143" s="47">
        <f>(AD142-AC142)/AC142</f>
        <v>-0.00615346747892437</v>
      </c>
      <c r="AE143" s="47">
        <f>(AE142-AD142)/AD142</f>
        <v>-0.0234660392545353</v>
      </c>
      <c r="AF143" s="218">
        <f>(AF142-AE142)/AE142</f>
        <v>0.024980978950038</v>
      </c>
      <c r="AG143" s="3" t="n"/>
      <c r="AH143" s="3">
        <f>(AH142-AG142)/AG142</f>
        <v>0.0529197080291971</v>
      </c>
      <c r="AI143" s="3">
        <f>(AI142-AH142)/AH142</f>
        <v>-0.00293746144581852</v>
      </c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hidden="1" outlineLevel="1">
      <c r="C144" s="34" t="n"/>
      <c r="D144" s="3" t="n"/>
      <c r="E144" s="47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hidden="1" outlineLevel="1">
      <c r="C145" s="52" t="inlineStr">
        <is>
          <t xml:space="preserve">Impostos e Contribuições a Recuperar </t>
        </is>
      </c>
      <c r="D145" s="6" t="n"/>
      <c r="E145" s="6" t="n"/>
      <c r="F145" s="6" t="n"/>
      <c r="G145" s="6" t="n"/>
      <c r="H145" s="3" t="n"/>
      <c r="I145" s="6" t="n"/>
      <c r="J145" s="6" t="n"/>
      <c r="K145" s="6" t="n"/>
      <c r="L145" s="6" t="n"/>
      <c r="M145" s="3" t="n"/>
      <c r="N145" s="6" t="n"/>
      <c r="O145" s="6" t="n"/>
      <c r="P145" s="6" t="n"/>
      <c r="Q145" s="6" t="n"/>
      <c r="R145" s="3" t="n"/>
      <c r="S145" s="6" t="n"/>
      <c r="T145" s="6" t="n"/>
      <c r="U145" s="6" t="n"/>
      <c r="V145" s="6" t="n"/>
      <c r="W145" s="3" t="n"/>
      <c r="X145" s="6" t="n"/>
      <c r="Y145" s="6" t="n"/>
      <c r="Z145" s="6" t="n"/>
      <c r="AA145" s="6" t="n"/>
      <c r="AB145" s="3" t="n"/>
      <c r="AC145" s="6" t="n"/>
      <c r="AD145" s="6" t="n"/>
      <c r="AE145" s="6" t="n"/>
      <c r="AF145" s="6" t="n"/>
      <c r="AG145" s="3">
        <f>AF145</f>
        <v>0</v>
      </c>
      <c r="AH145" s="216">
        <f>AG145*AH15/AG15</f>
        <v>0</v>
      </c>
      <c r="AI145" s="216">
        <f>AH145*AI15/AH15</f>
        <v>0</v>
      </c>
      <c r="AJ145" s="216">
        <f>AI145*AJ15/AI15</f>
        <v>0</v>
      </c>
      <c r="AK145" s="216">
        <f>AJ145*AK15/AJ15</f>
        <v>0</v>
      </c>
      <c r="AL145" s="3">
        <f>AK145</f>
        <v>0</v>
      </c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  <c r="CU145" s="3" t="n"/>
      <c r="CV145" s="3" t="n"/>
      <c r="CW145" s="3" t="n"/>
      <c r="CX145" s="3" t="n"/>
      <c r="CY145" s="3" t="n"/>
    </row>
    <row r="146" hidden="1" outlineLevel="1">
      <c r="C146" s="52" t="inlineStr">
        <is>
          <t>Outros Créditos</t>
        </is>
      </c>
      <c r="D146" s="6" t="n"/>
      <c r="E146" s="6" t="n"/>
      <c r="F146" s="6" t="n"/>
      <c r="G146" s="6" t="n"/>
      <c r="H146" s="3" t="n"/>
      <c r="I146" s="6" t="n"/>
      <c r="J146" s="6" t="n"/>
      <c r="K146" s="6" t="n"/>
      <c r="L146" s="6" t="n"/>
      <c r="M146" s="3" t="n"/>
      <c r="N146" s="6" t="n"/>
      <c r="O146" s="6" t="n"/>
      <c r="P146" s="6" t="n"/>
      <c r="Q146" s="6" t="n"/>
      <c r="R146" s="3" t="n"/>
      <c r="S146" s="6" t="n"/>
      <c r="T146" s="6" t="n"/>
      <c r="U146" s="6" t="n"/>
      <c r="V146" s="6" t="n"/>
      <c r="W146" s="3" t="n"/>
      <c r="X146" s="6" t="n"/>
      <c r="Y146" s="6" t="n"/>
      <c r="Z146" s="6" t="n"/>
      <c r="AA146" s="6" t="n"/>
      <c r="AB146" s="3" t="n"/>
      <c r="AC146" s="6" t="n"/>
      <c r="AD146" s="6" t="n"/>
      <c r="AE146" s="6" t="n"/>
      <c r="AF146" s="6" t="n"/>
      <c r="AG146" s="3">
        <f>AF146</f>
        <v>0</v>
      </c>
      <c r="AH146" s="3">
        <f>AG146</f>
        <v>0</v>
      </c>
      <c r="AI146" s="3">
        <f>AH146</f>
        <v>0</v>
      </c>
      <c r="AJ146" s="3">
        <f>AI146</f>
        <v>0</v>
      </c>
      <c r="AK146" s="3">
        <f>AJ146</f>
        <v>0</v>
      </c>
      <c r="AL146" s="3">
        <f>AK146</f>
        <v>0</v>
      </c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collapsed="1">
      <c r="C148" s="26" t="inlineStr">
        <is>
          <t>Equity in affiliates</t>
        </is>
      </c>
      <c r="D148" s="25">
        <f>INDEX('Inputs (2)'!$D$21:$AL$21,MATCH(D$7,'Inputs (2)'!$D$2:$AL$2,0))</f>
        <v>0</v>
      </c>
      <c r="E148" s="25">
        <f>INDEX('Inputs (2)'!$D$21:$AL$21,MATCH(E$7,'Inputs (2)'!$D$2:$AL$2,0))</f>
        <v>0</v>
      </c>
      <c r="F148" s="25">
        <f>INDEX('Inputs (2)'!$D$21:$AL$21,MATCH(F$7,'Inputs (2)'!$D$2:$AL$2,0))</f>
        <v>0</v>
      </c>
      <c r="G148" s="25">
        <f>INDEX('Inputs (2)'!$D$21:$AL$21,MATCH(G$7,'Inputs (2)'!$D$2:$AL$2,0))</f>
        <v>0</v>
      </c>
      <c r="H148" s="3">
        <f>G148</f>
        <v>0</v>
      </c>
      <c r="I148" s="25">
        <f>INDEX('Inputs (2)'!$D$21:$AL$21,MATCH(I$7,'Inputs (2)'!$D$2:$AL$2,0))</f>
        <v>0</v>
      </c>
      <c r="J148" s="25">
        <f>INDEX('Inputs (2)'!$D$21:$AL$21,MATCH(J$7,'Inputs (2)'!$D$2:$AL$2,0))</f>
        <v>0</v>
      </c>
      <c r="K148" s="25">
        <f>INDEX('Inputs (2)'!$D$21:$AL$21,MATCH(K$7,'Inputs (2)'!$D$2:$AL$2,0))</f>
        <v>0</v>
      </c>
      <c r="L148" s="25">
        <f>INDEX('Inputs (2)'!$D$21:$AL$21,MATCH(L$7,'Inputs (2)'!$D$2:$AL$2,0))</f>
        <v>0</v>
      </c>
      <c r="M148" s="3">
        <f>L148</f>
        <v>0</v>
      </c>
      <c r="N148" s="25">
        <f>INDEX('Inputs (2)'!$D$21:$AL$21,MATCH(N$7,'Inputs (2)'!$D$2:$AL$2,0))</f>
        <v>0</v>
      </c>
      <c r="O148" s="25">
        <f>INDEX('Inputs (2)'!$D$21:$AL$21,MATCH(O$7,'Inputs (2)'!$D$2:$AL$2,0))</f>
        <v>0</v>
      </c>
      <c r="P148" s="25">
        <f>INDEX('Inputs (2)'!$D$21:$AL$21,MATCH(P$7,'Inputs (2)'!$D$2:$AL$2,0))</f>
        <v>0</v>
      </c>
      <c r="Q148" s="25">
        <f>INDEX('Inputs (2)'!$D$21:$AL$21,MATCH(Q$7,'Inputs (2)'!$D$2:$AL$2,0))</f>
        <v>0</v>
      </c>
      <c r="R148" s="3">
        <f>Q148</f>
        <v>0</v>
      </c>
      <c r="S148" s="25">
        <f>INDEX('Inputs (2)'!$D$21:$AL$21,MATCH(S$7,'Inputs (2)'!$D$2:$AL$2,0))</f>
        <v>0</v>
      </c>
      <c r="T148" s="25">
        <f>INDEX('Inputs (2)'!$D$21:$AL$21,MATCH(T$7,'Inputs (2)'!$D$2:$AL$2,0))</f>
        <v>0</v>
      </c>
      <c r="U148" s="25">
        <f>INDEX('Inputs (2)'!$D$21:$AL$21,MATCH(U$7,'Inputs (2)'!$D$2:$AL$2,0))</f>
        <v>0</v>
      </c>
      <c r="V148" s="25">
        <f>INDEX('Inputs (2)'!$D$21:$AL$21,MATCH(V$7,'Inputs (2)'!$D$2:$AL$2,0))</f>
        <v>0</v>
      </c>
      <c r="W148" s="3">
        <f>V148</f>
        <v>0</v>
      </c>
      <c r="X148" s="25">
        <f>INDEX('Inputs (2)'!$D$21:$AL$21,MATCH(X$7,'Inputs (2)'!$D$2:$AL$2,0))</f>
        <v>0</v>
      </c>
      <c r="Y148" s="25">
        <f>INDEX('Inputs (2)'!$D$21:$AL$21,MATCH(Y$7,'Inputs (2)'!$D$2:$AL$2,0))</f>
        <v>0</v>
      </c>
      <c r="Z148" s="25">
        <f>INDEX('Inputs (2)'!$D$21:$AL$21,MATCH(Z$7,'Inputs (2)'!$D$2:$AL$2,0))</f>
        <v>0</v>
      </c>
      <c r="AA148" s="25">
        <f>INDEX('Inputs (2)'!$D$21:$AL$21,MATCH(AA$7,'Inputs (2)'!$D$2:$AL$2,0))</f>
        <v>0</v>
      </c>
      <c r="AB148" s="3">
        <f>AA148</f>
        <v>0</v>
      </c>
      <c r="AC148" s="25">
        <f>INDEX('Inputs (2)'!$D$21:$AL$21,MATCH(AC$7,'Inputs (2)'!$D$2:$AL$2,0))</f>
        <v>0</v>
      </c>
      <c r="AD148" s="25">
        <f>INDEX('Inputs (2)'!$D$21:$AL$21,MATCH(AD$7,'Inputs (2)'!$D$2:$AL$2,0))</f>
        <v>0</v>
      </c>
      <c r="AE148" s="25">
        <f>INDEX('Inputs (2)'!$D$21:$AL$21,MATCH(AE$7,'Inputs (2)'!$D$2:$AL$2,0))</f>
        <v>0</v>
      </c>
      <c r="AF148" s="25">
        <f>INDEX('Inputs (2)'!$D$21:$AL$21,MATCH(AF$7,'Inputs (2)'!$D$2:$AL$2,0))</f>
        <v>0</v>
      </c>
      <c r="AG148" s="3">
        <f>AF148</f>
        <v>0</v>
      </c>
      <c r="AH148" s="3">
        <f>INDEX('Inputs (2)'!$D$21:$AL$21,MATCH(AH$7,'Inputs (2)'!$D$2:$AL$2,0))</f>
        <v>0</v>
      </c>
      <c r="AI148" s="3">
        <f>INDEX('Inputs (2)'!$D$21:$AL$21,MATCH(AI$7,'Inputs (2)'!$D$2:$AL$2,0))</f>
        <v>0</v>
      </c>
      <c r="AJ148" s="3">
        <f>AI148+AJ122+AJ151</f>
        <v>-11</v>
      </c>
      <c r="AK148" s="3">
        <f>AJ148+AK122+AK151</f>
        <v>4</v>
      </c>
      <c r="AL148" s="3">
        <f>AK148</f>
        <v>4</v>
      </c>
      <c r="AM148" s="3">
        <f>AL148+AM122+AM151</f>
        <v>-1</v>
      </c>
      <c r="AN148" s="3">
        <f>AM148+AN122+AN151</f>
        <v>23</v>
      </c>
      <c r="AO148" s="3">
        <f>AN148+AO122+AO151</f>
        <v>12</v>
      </c>
      <c r="AP148" s="3">
        <f>AO148+AP122+AP151</f>
        <v>27</v>
      </c>
      <c r="AQ148" s="3">
        <f>AP148</f>
        <v>27</v>
      </c>
      <c r="AR148" s="3">
        <f>AQ148+AR122+AR151</f>
        <v>22</v>
      </c>
      <c r="AS148" s="3">
        <f>AR148+AS122+AS151</f>
        <v>46</v>
      </c>
      <c r="AT148" s="3">
        <f>AS148+AT122+AT151</f>
        <v>35</v>
      </c>
      <c r="AU148" s="3">
        <f>AT148+AU122+AU151</f>
        <v>50</v>
      </c>
      <c r="AV148" s="3">
        <f>AU148</f>
        <v>50</v>
      </c>
      <c r="AW148" s="3">
        <f>AV148+AW122+AW151</f>
        <v>45</v>
      </c>
      <c r="AX148" s="3">
        <f>AW148+AX122+AX151</f>
        <v>69</v>
      </c>
      <c r="AY148" s="3">
        <f>AX148+AY122+AY151</f>
        <v>58</v>
      </c>
      <c r="AZ148" s="3">
        <f>AY148+AZ122+AZ151</f>
        <v>73</v>
      </c>
      <c r="BA148" s="3">
        <f>AZ148</f>
        <v>73</v>
      </c>
      <c r="BB148" s="3">
        <f>BA148+BB122+BB151</f>
        <v>68</v>
      </c>
      <c r="BC148" s="3">
        <f>BB148+BC122+BC151</f>
        <v>92</v>
      </c>
      <c r="BD148" s="3">
        <f>BC148+BD122+BD151</f>
        <v>81</v>
      </c>
      <c r="BE148" s="3">
        <f>BD148+BE122+BE151</f>
        <v>96</v>
      </c>
      <c r="BF148" s="3">
        <f>BE148</f>
        <v>96</v>
      </c>
      <c r="BG148" s="3">
        <f>BF148+BG122+BG151</f>
        <v>91</v>
      </c>
      <c r="BH148" s="3">
        <f>BG148+BH122+BH151</f>
        <v>115</v>
      </c>
      <c r="BI148" s="3">
        <f>BH148+BI122+BI151</f>
        <v>104</v>
      </c>
      <c r="BJ148" s="3">
        <f>BI148+BJ122+BJ151</f>
        <v>119</v>
      </c>
      <c r="BK148" s="3">
        <f>BJ148</f>
        <v>119</v>
      </c>
      <c r="BL148" s="3">
        <f>BK148+BL122+BL151</f>
        <v>114</v>
      </c>
      <c r="BM148" s="3">
        <f>BL148+BM122+BM151</f>
        <v>138</v>
      </c>
      <c r="BN148" s="3">
        <f>BM148+BN122+BN151</f>
        <v>127</v>
      </c>
      <c r="BO148" s="3">
        <f>BN148+BO122+BO151</f>
        <v>142</v>
      </c>
      <c r="BP148" s="3">
        <f>BO148</f>
        <v>142</v>
      </c>
      <c r="BQ148" s="3">
        <f>BP148+BQ122+BQ151</f>
        <v>137</v>
      </c>
      <c r="BR148" s="3">
        <f>BQ148+BR122+BR151</f>
        <v>161</v>
      </c>
      <c r="BS148" s="3">
        <f>BR148+BS122+BS151</f>
        <v>150</v>
      </c>
      <c r="BT148" s="3">
        <f>BS148+BT122+BT151</f>
        <v>165</v>
      </c>
      <c r="BU148" s="3">
        <f>BT148</f>
        <v>165</v>
      </c>
      <c r="BV148" s="3">
        <f>BU148+BV122+BV151</f>
        <v>160</v>
      </c>
      <c r="BW148" s="3">
        <f>BV148+BW122+BW151</f>
        <v>184</v>
      </c>
      <c r="BX148" s="3">
        <f>BW148+BX122+BX151</f>
        <v>173</v>
      </c>
      <c r="BY148" s="3">
        <f>BX148+BY122+BY151</f>
        <v>188</v>
      </c>
      <c r="BZ148" s="3">
        <f>BY148</f>
        <v>188</v>
      </c>
      <c r="CA148" s="3">
        <f>BZ148+CA122+CA151</f>
        <v>183</v>
      </c>
      <c r="CB148" s="3">
        <f>CA148+CB122+CB151</f>
        <v>207</v>
      </c>
      <c r="CC148" s="3">
        <f>CB148+CC122+CC151</f>
        <v>196</v>
      </c>
      <c r="CD148" s="3">
        <f>CC148+CD122+CD151</f>
        <v>211</v>
      </c>
      <c r="CE148" s="3">
        <f>CD148</f>
        <v>211</v>
      </c>
      <c r="CF148" s="3">
        <f>CE148+CF122+CF151</f>
        <v>206</v>
      </c>
      <c r="CG148" s="3">
        <f>CF148+CG122+CG151</f>
        <v>230</v>
      </c>
      <c r="CH148" s="3">
        <f>CG148+CH122+CH151</f>
        <v>219</v>
      </c>
      <c r="CI148" s="3">
        <f>CH148+CI122+CI151</f>
        <v>234</v>
      </c>
      <c r="CJ148" s="3">
        <f>CI148</f>
        <v>234</v>
      </c>
      <c r="CK148" s="3">
        <f>CJ148+CK122+CK151</f>
        <v>229</v>
      </c>
      <c r="CL148" s="3">
        <f>CK148+CL122+CL151</f>
        <v>253</v>
      </c>
      <c r="CM148" s="3">
        <f>CL148+CM122+CM151</f>
        <v>242</v>
      </c>
      <c r="CN148" s="3">
        <f>CM148+CN122+CN151</f>
        <v>257</v>
      </c>
      <c r="CO148" s="3">
        <f>CN148</f>
        <v>257</v>
      </c>
      <c r="CP148" s="3">
        <f>CO148+CP122+CP151</f>
        <v>252</v>
      </c>
      <c r="CQ148" s="3">
        <f>CP148+CQ122+CQ151</f>
        <v>276</v>
      </c>
      <c r="CR148" s="3">
        <f>CQ148+CR122+CR151</f>
        <v>265</v>
      </c>
      <c r="CS148" s="3">
        <f>CR148+CS122+CS151</f>
        <v>280</v>
      </c>
      <c r="CT148" s="3">
        <f>CS148</f>
        <v>280</v>
      </c>
      <c r="CU148" s="3">
        <f>CT148+CU122+CU151</f>
        <v>275</v>
      </c>
      <c r="CV148" s="3">
        <f>CU148+CV122+CV151</f>
        <v>299</v>
      </c>
      <c r="CW148" s="3">
        <f>CV148+CW122+CW151</f>
        <v>288</v>
      </c>
      <c r="CX148" s="3">
        <f>CW148+CX122+CX151</f>
        <v>303</v>
      </c>
      <c r="CY148" s="3">
        <f>CX148</f>
        <v>303</v>
      </c>
    </row>
    <row r="149" hidden="1" outlineLevel="1">
      <c r="C149" s="34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 hidden="1" outlineLevel="1">
      <c r="C150" s="34" t="inlineStr">
        <is>
          <t>Equity in Income - % YoY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>
        <f>IF(I122=0,0,N122/I122-1)</f>
        <v>-0.333333333333333</v>
      </c>
      <c r="O150" s="3">
        <f>IF(J122=0,0,O122/J122-1)</f>
        <v>-1</v>
      </c>
      <c r="P150" s="3">
        <f>IF(K122=0,0,P122/K122-1)</f>
        <v>0</v>
      </c>
      <c r="Q150" s="3">
        <f>IF(L122=0,0,Q122/L122-1)</f>
        <v>-0.666666666666667</v>
      </c>
      <c r="R150" s="3" t="n"/>
      <c r="S150" s="3">
        <f>IF(N122=0,0,S122/N122-1)</f>
        <v>-0.666666666666667</v>
      </c>
      <c r="T150" s="3">
        <f>IF(O122=0,0,T122/O122-1)</f>
        <v>0</v>
      </c>
      <c r="U150" s="3">
        <f>IF(P122=0,0,U122/P122-1)</f>
        <v>0</v>
      </c>
      <c r="V150" s="3">
        <f>IF(Q122=0,0,V122/Q122-1)</f>
        <v>1</v>
      </c>
      <c r="W150" s="3" t="n"/>
      <c r="X150" s="3">
        <f>IF(S122=0,0,X122/S122-1)</f>
        <v>0</v>
      </c>
      <c r="Y150" s="3">
        <f>IF(T122=0,0,Y122/T122-1)</f>
        <v>-0.5</v>
      </c>
      <c r="Z150" s="3">
        <f>IF(U122=0,0,Z122/U122-1)</f>
        <v>-15</v>
      </c>
      <c r="AA150" s="3">
        <f>IF(V122=0,0,AA122/V122-1)</f>
        <v>-1.5</v>
      </c>
      <c r="AB150" s="3" t="n"/>
      <c r="AC150" s="3">
        <f>IF(X122=0,0,AC122/X122-1)</f>
        <v>0.5</v>
      </c>
      <c r="AD150" s="3">
        <f>IF(Y122=0,0,AD122/Y122-1)</f>
        <v>9</v>
      </c>
      <c r="AE150" s="3">
        <f>IF(Z122=0,0,AE122/Z122-1)</f>
        <v>-0.607142857142857</v>
      </c>
      <c r="AF150" s="3">
        <f>IF(AA122=0,0,AF122/AA122-1)</f>
        <v>-16</v>
      </c>
      <c r="AG150" s="3" t="n"/>
      <c r="AH150" s="6">
        <f>IF(AC122=0,0,AH122/AC122-1)</f>
        <v>-2.66666666666667</v>
      </c>
      <c r="AI150" s="6">
        <f>IF(AD122=0,0,AI122/AD122-1)</f>
        <v>1.4</v>
      </c>
      <c r="AJ150" s="6" t="n"/>
      <c r="AK150" s="6" t="n"/>
      <c r="AL150" s="3" t="n"/>
      <c r="AM150" s="6" t="n"/>
      <c r="AN150" s="6" t="n"/>
      <c r="AO150" s="6" t="n"/>
      <c r="AP150" s="6" t="n"/>
      <c r="AQ150" s="3" t="n"/>
      <c r="AR150" s="6" t="n"/>
      <c r="AS150" s="6" t="n"/>
      <c r="AT150" s="6" t="n"/>
      <c r="AU150" s="6" t="n"/>
      <c r="AV150" s="3" t="n"/>
      <c r="AW150" s="6" t="n"/>
      <c r="AX150" s="6" t="n"/>
      <c r="AY150" s="6" t="n"/>
      <c r="AZ150" s="6" t="n"/>
      <c r="BA150" s="3" t="n"/>
      <c r="BB150" s="6" t="n"/>
      <c r="BC150" s="6" t="n"/>
      <c r="BD150" s="6" t="n"/>
      <c r="BE150" s="6" t="n"/>
      <c r="BF150" s="3" t="n"/>
      <c r="BG150" s="6" t="n"/>
      <c r="BH150" s="6" t="n"/>
      <c r="BI150" s="6" t="n"/>
      <c r="BJ150" s="6" t="n"/>
      <c r="BK150" s="3" t="n"/>
      <c r="BL150" s="6" t="n"/>
      <c r="BM150" s="6" t="n"/>
      <c r="BN150" s="6" t="n"/>
      <c r="BO150" s="6" t="n"/>
      <c r="BP150" s="3" t="n"/>
      <c r="BQ150" s="6" t="n"/>
      <c r="BR150" s="6" t="n"/>
      <c r="BS150" s="6" t="n"/>
      <c r="BT150" s="6" t="n"/>
      <c r="BU150" s="3" t="n"/>
      <c r="BV150" s="6" t="n"/>
      <c r="BW150" s="6" t="n"/>
      <c r="BX150" s="6" t="n"/>
      <c r="BY150" s="6" t="n"/>
      <c r="BZ150" s="3" t="n"/>
      <c r="CA150" s="6" t="n"/>
      <c r="CB150" s="6" t="n"/>
      <c r="CC150" s="6" t="n"/>
      <c r="CD150" s="6" t="n"/>
      <c r="CE150" s="3" t="n"/>
      <c r="CF150" s="6" t="n"/>
      <c r="CG150" s="6" t="n"/>
      <c r="CH150" s="6" t="n"/>
      <c r="CI150" s="6" t="n"/>
      <c r="CJ150" s="3" t="n"/>
      <c r="CK150" s="6" t="n"/>
      <c r="CL150" s="6" t="n"/>
      <c r="CM150" s="6" t="n"/>
      <c r="CN150" s="6" t="n"/>
      <c r="CO150" s="3" t="n"/>
      <c r="CP150" s="6" t="n"/>
      <c r="CQ150" s="6" t="n"/>
      <c r="CR150" s="6" t="n"/>
      <c r="CS150" s="6" t="n"/>
      <c r="CT150" s="3" t="n"/>
      <c r="CU150" s="6" t="n"/>
      <c r="CV150" s="6" t="n"/>
      <c r="CW150" s="6" t="n"/>
      <c r="CX150" s="6" t="n"/>
      <c r="CY150" s="3" t="n"/>
    </row>
    <row r="151" hidden="1" outlineLevel="1">
      <c r="C151" s="34" t="inlineStr">
        <is>
          <t>Dividends (enter as -)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6" t="n"/>
      <c r="AI151" s="6" t="n"/>
      <c r="AJ151" s="6" t="n"/>
      <c r="AK151" s="6" t="n"/>
      <c r="AL151" s="3" t="n"/>
      <c r="AM151" s="6" t="n"/>
      <c r="AN151" s="6" t="n"/>
      <c r="AO151" s="6" t="n"/>
      <c r="AP151" s="6" t="n"/>
      <c r="AQ151" s="3" t="n"/>
      <c r="AR151" s="6" t="n"/>
      <c r="AS151" s="6" t="n"/>
      <c r="AT151" s="6" t="n"/>
      <c r="AU151" s="6" t="n"/>
      <c r="AV151" s="3" t="n"/>
      <c r="AW151" s="6" t="n"/>
      <c r="AX151" s="6" t="n"/>
      <c r="AY151" s="6" t="n"/>
      <c r="AZ151" s="6" t="n"/>
      <c r="BA151" s="3" t="n"/>
      <c r="BB151" s="6" t="n"/>
      <c r="BC151" s="6" t="n"/>
      <c r="BD151" s="6" t="n"/>
      <c r="BE151" s="6" t="n"/>
      <c r="BF151" s="3" t="n"/>
      <c r="BG151" s="6" t="n"/>
      <c r="BH151" s="6" t="n"/>
      <c r="BI151" s="6" t="n"/>
      <c r="BJ151" s="6" t="n"/>
      <c r="BK151" s="3" t="n"/>
      <c r="BL151" s="6" t="n"/>
      <c r="BM151" s="6" t="n"/>
      <c r="BN151" s="6" t="n"/>
      <c r="BO151" s="6" t="n"/>
      <c r="BP151" s="3" t="n"/>
      <c r="BQ151" s="6" t="n"/>
      <c r="BR151" s="6" t="n"/>
      <c r="BS151" s="6" t="n"/>
      <c r="BT151" s="6" t="n"/>
      <c r="BU151" s="3" t="n"/>
      <c r="BV151" s="6" t="n"/>
      <c r="BW151" s="6" t="n"/>
      <c r="BX151" s="6" t="n"/>
      <c r="BY151" s="6" t="n"/>
      <c r="BZ151" s="3" t="n"/>
      <c r="CA151" s="6" t="n"/>
      <c r="CB151" s="6" t="n"/>
      <c r="CC151" s="6" t="n"/>
      <c r="CD151" s="6" t="n"/>
      <c r="CE151" s="3" t="n"/>
      <c r="CF151" s="6" t="n"/>
      <c r="CG151" s="6" t="n"/>
      <c r="CH151" s="6" t="n"/>
      <c r="CI151" s="6" t="n"/>
      <c r="CJ151" s="3" t="n"/>
      <c r="CK151" s="6" t="n"/>
      <c r="CL151" s="6" t="n"/>
      <c r="CM151" s="6" t="n"/>
      <c r="CN151" s="6" t="n"/>
      <c r="CO151" s="3" t="n"/>
      <c r="CP151" s="6" t="n"/>
      <c r="CQ151" s="6" t="n"/>
      <c r="CR151" s="6" t="n"/>
      <c r="CS151" s="6" t="n"/>
      <c r="CT151" s="3" t="n"/>
      <c r="CU151" s="6" t="n"/>
      <c r="CV151" s="6" t="n"/>
      <c r="CW151" s="6" t="n"/>
      <c r="CX151" s="6" t="n"/>
      <c r="CY151" s="3" t="n"/>
    </row>
    <row r="152" hidden="1" outlineLevel="1">
      <c r="C152" s="34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collapsed="1">
      <c r="C153" s="26" t="inlineStr">
        <is>
          <t>PP&amp;E</t>
        </is>
      </c>
      <c r="D153" s="25">
        <f>INDEX('Inputs (2)'!$D$22:$AL$22,MATCH(D$7,'Inputs (2)'!$D$2:$AL$2,0))</f>
        <v>5685</v>
      </c>
      <c r="E153" s="25">
        <f>INDEX('Inputs (2)'!$D$22:$AL$22,MATCH(E$7,'Inputs (2)'!$D$2:$AL$2,0))</f>
        <v>5754</v>
      </c>
      <c r="F153" s="25">
        <f>INDEX('Inputs (2)'!$D$22:$AL$22,MATCH(F$7,'Inputs (2)'!$D$2:$AL$2,0))</f>
        <v>5817</v>
      </c>
      <c r="G153" s="25">
        <f>INDEX('Inputs (2)'!$D$22:$AL$22,MATCH(G$7,'Inputs (2)'!$D$2:$AL$2,0))</f>
        <v>5741</v>
      </c>
      <c r="H153" s="3">
        <f>G153</f>
        <v>5741</v>
      </c>
      <c r="I153" s="25">
        <f>INDEX('Inputs (2)'!$D$22:$AL$22,MATCH(I$7,'Inputs (2)'!$D$2:$AL$2,0))</f>
        <v>0</v>
      </c>
      <c r="J153" s="25">
        <f>INDEX('Inputs (2)'!$D$22:$AL$22,MATCH(J$7,'Inputs (2)'!$D$2:$AL$2,0))</f>
        <v>0</v>
      </c>
      <c r="K153" s="25">
        <f>INDEX('Inputs (2)'!$D$22:$AL$22,MATCH(K$7,'Inputs (2)'!$D$2:$AL$2,0))</f>
        <v>0</v>
      </c>
      <c r="L153" s="25">
        <f>INDEX('Inputs (2)'!$D$22:$AL$22,MATCH(L$7,'Inputs (2)'!$D$2:$AL$2,0))</f>
        <v>0</v>
      </c>
      <c r="M153" s="3">
        <f>L153</f>
        <v>0</v>
      </c>
      <c r="N153" s="25">
        <f>INDEX('Inputs (2)'!$D$22:$AL$22,MATCH(N$7,'Inputs (2)'!$D$2:$AL$2,0))</f>
        <v>0</v>
      </c>
      <c r="O153" s="25">
        <f>INDEX('Inputs (2)'!$D$22:$AL$22,MATCH(O$7,'Inputs (2)'!$D$2:$AL$2,0))</f>
        <v>0</v>
      </c>
      <c r="P153" s="25">
        <f>INDEX('Inputs (2)'!$D$22:$AL$22,MATCH(P$7,'Inputs (2)'!$D$2:$AL$2,0))</f>
        <v>0</v>
      </c>
      <c r="Q153" s="25">
        <f>INDEX('Inputs (2)'!$D$22:$AL$22,MATCH(Q$7,'Inputs (2)'!$D$2:$AL$2,0))</f>
        <v>0</v>
      </c>
      <c r="R153" s="3">
        <f>Q153</f>
        <v>0</v>
      </c>
      <c r="S153" s="25">
        <f>INDEX('Inputs (2)'!$D$22:$AL$22,MATCH(S$7,'Inputs (2)'!$D$2:$AL$2,0))</f>
        <v>0</v>
      </c>
      <c r="T153" s="25">
        <f>INDEX('Inputs (2)'!$D$22:$AL$22,MATCH(T$7,'Inputs (2)'!$D$2:$AL$2,0))</f>
        <v>0</v>
      </c>
      <c r="U153" s="25">
        <f>INDEX('Inputs (2)'!$D$22:$AL$22,MATCH(U$7,'Inputs (2)'!$D$2:$AL$2,0))</f>
        <v>0</v>
      </c>
      <c r="V153" s="25">
        <f>INDEX('Inputs (2)'!$D$22:$AL$22,MATCH(V$7,'Inputs (2)'!$D$2:$AL$2,0))</f>
        <v>0</v>
      </c>
      <c r="W153" s="3">
        <f>V153</f>
        <v>0</v>
      </c>
      <c r="X153" s="25">
        <f>INDEX('Inputs (2)'!$D$22:$AL$22,MATCH(X$7,'Inputs (2)'!$D$2:$AL$2,0))</f>
        <v>0</v>
      </c>
      <c r="Y153" s="25">
        <f>INDEX('Inputs (2)'!$D$22:$AL$22,MATCH(Y$7,'Inputs (2)'!$D$2:$AL$2,0))</f>
        <v>0</v>
      </c>
      <c r="Z153" s="25">
        <f>INDEX('Inputs (2)'!$D$22:$AL$22,MATCH(Z$7,'Inputs (2)'!$D$2:$AL$2,0))</f>
        <v>0</v>
      </c>
      <c r="AA153" s="25">
        <f>INDEX('Inputs (2)'!$D$22:$AL$22,MATCH(AA$7,'Inputs (2)'!$D$2:$AL$2,0))</f>
        <v>0</v>
      </c>
      <c r="AB153" s="3">
        <f>AA153</f>
        <v>0</v>
      </c>
      <c r="AC153" s="25">
        <f>INDEX('Inputs (2)'!$D$22:$AL$22,MATCH(AC$7,'Inputs (2)'!$D$2:$AL$2,0))</f>
        <v>0</v>
      </c>
      <c r="AD153" s="25">
        <f>INDEX('Inputs (2)'!$D$22:$AL$22,MATCH(AD$7,'Inputs (2)'!$D$2:$AL$2,0))</f>
        <v>0</v>
      </c>
      <c r="AE153" s="25">
        <f>INDEX('Inputs (2)'!$D$22:$AL$22,MATCH(AE$7,'Inputs (2)'!$D$2:$AL$2,0))</f>
        <v>0</v>
      </c>
      <c r="AF153" s="25">
        <f>INDEX('Inputs (2)'!$D$22:$AL$22,MATCH(AF$7,'Inputs (2)'!$D$2:$AL$2,0))</f>
        <v>0</v>
      </c>
      <c r="AG153" s="3">
        <f>AF153</f>
        <v>0</v>
      </c>
      <c r="AH153" s="3">
        <f>INDEX('Inputs (2)'!$D$22:$AL$22,MATCH(AH$7,'Inputs (2)'!$D$2:$AL$2,0))</f>
        <v>0</v>
      </c>
      <c r="AI153" s="3">
        <f>INDEX('Inputs (2)'!$D$22:$AL$22,MATCH(AI$7,'Inputs (2)'!$D$2:$AL$2,0))</f>
        <v>0</v>
      </c>
      <c r="AJ153" s="3">
        <f>AJ158</f>
        <v>0</v>
      </c>
      <c r="AK153" s="3">
        <f>AK158</f>
        <v>0</v>
      </c>
      <c r="AL153" s="3">
        <f>AK153</f>
        <v>0</v>
      </c>
      <c r="AM153" s="3">
        <f>AM158</f>
        <v>0</v>
      </c>
      <c r="AN153" s="3">
        <f>AN158</f>
        <v>0</v>
      </c>
      <c r="AO153" s="3">
        <f>AO158</f>
        <v>0</v>
      </c>
      <c r="AP153" s="3">
        <f>AP158</f>
        <v>0</v>
      </c>
      <c r="AQ153" s="3">
        <f>AP153</f>
        <v>0</v>
      </c>
      <c r="AR153" s="3">
        <f>AR158</f>
        <v>0</v>
      </c>
      <c r="AS153" s="3">
        <f>AS158</f>
        <v>0</v>
      </c>
      <c r="AT153" s="3">
        <f>AT158</f>
        <v>0</v>
      </c>
      <c r="AU153" s="3">
        <f>AU158</f>
        <v>0</v>
      </c>
      <c r="AV153" s="3">
        <f>AU153</f>
        <v>0</v>
      </c>
      <c r="AW153" s="3">
        <f>AW158</f>
        <v>0</v>
      </c>
      <c r="AX153" s="3">
        <f>AX158</f>
        <v>0</v>
      </c>
      <c r="AY153" s="3">
        <f>AY158</f>
        <v>0</v>
      </c>
      <c r="AZ153" s="3">
        <f>AZ158</f>
        <v>0</v>
      </c>
      <c r="BA153" s="3">
        <f>AZ153</f>
        <v>0</v>
      </c>
      <c r="BB153" s="3">
        <f>BB158</f>
        <v>0</v>
      </c>
      <c r="BC153" s="3">
        <f>BC158</f>
        <v>0</v>
      </c>
      <c r="BD153" s="3">
        <f>BD158</f>
        <v>0</v>
      </c>
      <c r="BE153" s="3">
        <f>BE158</f>
        <v>0</v>
      </c>
      <c r="BF153" s="3">
        <f>BE153</f>
        <v>0</v>
      </c>
      <c r="BG153" s="3">
        <f>BG158</f>
        <v>0</v>
      </c>
      <c r="BH153" s="3">
        <f>BH158</f>
        <v>0</v>
      </c>
      <c r="BI153" s="3">
        <f>BI158</f>
        <v>0</v>
      </c>
      <c r="BJ153" s="3">
        <f>BJ158</f>
        <v>0</v>
      </c>
      <c r="BK153" s="3">
        <f>BJ153</f>
        <v>0</v>
      </c>
      <c r="BL153" s="3">
        <f>BL158</f>
        <v>0</v>
      </c>
      <c r="BM153" s="3">
        <f>BM158</f>
        <v>0</v>
      </c>
      <c r="BN153" s="3">
        <f>BN158</f>
        <v>0</v>
      </c>
      <c r="BO153" s="3">
        <f>BO158</f>
        <v>0</v>
      </c>
      <c r="BP153" s="3">
        <f>BO153</f>
        <v>0</v>
      </c>
      <c r="BQ153" s="3">
        <f>BQ158</f>
        <v>0</v>
      </c>
      <c r="BR153" s="3">
        <f>BR158</f>
        <v>0</v>
      </c>
      <c r="BS153" s="3">
        <f>BS158</f>
        <v>0</v>
      </c>
      <c r="BT153" s="3">
        <f>BT158</f>
        <v>0</v>
      </c>
      <c r="BU153" s="3">
        <f>BT153</f>
        <v>0</v>
      </c>
      <c r="BV153" s="3">
        <f>BV158</f>
        <v>0</v>
      </c>
      <c r="BW153" s="3">
        <f>BW158</f>
        <v>0</v>
      </c>
      <c r="BX153" s="3">
        <f>BX158</f>
        <v>0</v>
      </c>
      <c r="BY153" s="3">
        <f>BY158</f>
        <v>0</v>
      </c>
      <c r="BZ153" s="3">
        <f>BY153</f>
        <v>0</v>
      </c>
      <c r="CA153" s="3">
        <f>CA158</f>
        <v>0</v>
      </c>
      <c r="CB153" s="3">
        <f>CB158</f>
        <v>0</v>
      </c>
      <c r="CC153" s="3">
        <f>CC158</f>
        <v>0</v>
      </c>
      <c r="CD153" s="3">
        <f>CD158</f>
        <v>0</v>
      </c>
      <c r="CE153" s="3">
        <f>CD153</f>
        <v>0</v>
      </c>
      <c r="CF153" s="3">
        <f>CF158</f>
        <v>0</v>
      </c>
      <c r="CG153" s="3">
        <f>CG158</f>
        <v>0</v>
      </c>
      <c r="CH153" s="3">
        <f>CH158</f>
        <v>0</v>
      </c>
      <c r="CI153" s="3">
        <f>CI158</f>
        <v>0</v>
      </c>
      <c r="CJ153" s="3">
        <f>CI153</f>
        <v>0</v>
      </c>
      <c r="CK153" s="3">
        <f>CK158</f>
        <v>0</v>
      </c>
      <c r="CL153" s="3">
        <f>CL158</f>
        <v>0</v>
      </c>
      <c r="CM153" s="3">
        <f>CM158</f>
        <v>0</v>
      </c>
      <c r="CN153" s="3">
        <f>CN158</f>
        <v>0</v>
      </c>
      <c r="CO153" s="3">
        <f>CN153</f>
        <v>0</v>
      </c>
      <c r="CP153" s="3">
        <f>CP158</f>
        <v>0</v>
      </c>
      <c r="CQ153" s="3">
        <f>CQ158</f>
        <v>0</v>
      </c>
      <c r="CR153" s="3">
        <f>CR158</f>
        <v>0</v>
      </c>
      <c r="CS153" s="3">
        <f>CS158</f>
        <v>0</v>
      </c>
      <c r="CT153" s="3">
        <f>CS153</f>
        <v>0</v>
      </c>
      <c r="CU153" s="3">
        <f>CU158</f>
        <v>0</v>
      </c>
      <c r="CV153" s="3">
        <f>CV158</f>
        <v>0</v>
      </c>
      <c r="CW153" s="3">
        <f>CW158</f>
        <v>0</v>
      </c>
      <c r="CX153" s="3">
        <f>CX158</f>
        <v>0</v>
      </c>
      <c r="CY153" s="3">
        <f>CX153</f>
        <v>0</v>
      </c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hidden="1" outlineLevel="1">
      <c r="C155" s="34" t="inlineStr">
        <is>
          <t>Capital expenditures</t>
        </is>
      </c>
      <c r="D155" s="3" t="n"/>
      <c r="E155" s="3">
        <f>E153-D153-E57</f>
        <v>616</v>
      </c>
      <c r="F155" s="3">
        <f>F153-E153-F57</f>
        <v>567</v>
      </c>
      <c r="G155" s="3">
        <f>G153-F153-G57</f>
        <v>462</v>
      </c>
      <c r="H155" s="3" t="n"/>
      <c r="I155" s="3">
        <f>I153-H153-I57</f>
        <v>-5225</v>
      </c>
      <c r="J155" s="3">
        <f>J153-I153-J57</f>
        <v>515</v>
      </c>
      <c r="K155" s="3">
        <f>K153-J153-K57</f>
        <v>481</v>
      </c>
      <c r="L155" s="3">
        <f>L153-K153-L57</f>
        <v>486</v>
      </c>
      <c r="M155" s="3" t="n"/>
      <c r="N155" s="3">
        <f>N153-M153-N57</f>
        <v>447</v>
      </c>
      <c r="O155" s="3">
        <f>O153-N153-O57</f>
        <v>510</v>
      </c>
      <c r="P155" s="3">
        <f>P153-O153-P57</f>
        <v>452</v>
      </c>
      <c r="Q155" s="3">
        <f>Q153-P153-Q57</f>
        <v>494</v>
      </c>
      <c r="R155" s="3" t="n"/>
      <c r="S155" s="3">
        <f>S153-R153-S57</f>
        <v>501</v>
      </c>
      <c r="T155" s="3">
        <f>T153-S153-T57</f>
        <v>532</v>
      </c>
      <c r="U155" s="3">
        <f>U153-T153-U57</f>
        <v>477</v>
      </c>
      <c r="V155" s="3">
        <f>V153-U153-V57</f>
        <v>520</v>
      </c>
      <c r="W155" s="3" t="n"/>
      <c r="X155" s="3">
        <f>X153-W153-X57</f>
        <v>525</v>
      </c>
      <c r="Y155" s="3">
        <f>Y153-X153-Y57</f>
        <v>553</v>
      </c>
      <c r="Z155" s="3">
        <f>Z153-Y153-Z57</f>
        <v>520</v>
      </c>
      <c r="AA155" s="3">
        <f>AA153-Z153-AA57</f>
        <v>549</v>
      </c>
      <c r="AB155" s="3" t="n"/>
      <c r="AC155" s="3">
        <f>AC153-AB153-AC57</f>
        <v>555</v>
      </c>
      <c r="AD155" s="3">
        <f>AD153-AC153-AD57</f>
        <v>564</v>
      </c>
      <c r="AE155" s="3">
        <f>AE153-AD153-AE57</f>
        <v>561</v>
      </c>
      <c r="AF155" s="6">
        <f>AF153-AE153-AF57</f>
        <v>590</v>
      </c>
      <c r="AG155" s="3">
        <f>SUM(AC155:AF155)</f>
        <v>2270</v>
      </c>
      <c r="AH155" s="6">
        <f>AH153-AG153-AH57</f>
        <v>594</v>
      </c>
      <c r="AI155" s="6">
        <f>AI153-AH153-AI57</f>
        <v>603</v>
      </c>
      <c r="AJ155" s="6" t="n"/>
      <c r="AK155" s="6" t="n"/>
      <c r="AL155" s="3" t="n"/>
      <c r="AM155" s="6" t="n"/>
      <c r="AN155" s="6" t="n"/>
      <c r="AO155" s="6" t="n"/>
      <c r="AP155" s="6" t="n"/>
      <c r="AQ155" s="3" t="n"/>
      <c r="AR155" s="6" t="n"/>
      <c r="AS155" s="6" t="n"/>
      <c r="AT155" s="6" t="n"/>
      <c r="AU155" s="6" t="n"/>
      <c r="AV155" s="3" t="n"/>
      <c r="AW155" s="6" t="n"/>
      <c r="AX155" s="6" t="n"/>
      <c r="AY155" s="6" t="n"/>
      <c r="AZ155" s="6" t="n"/>
      <c r="BA155" s="3" t="n"/>
      <c r="BB155" s="6" t="n"/>
      <c r="BC155" s="6" t="n"/>
      <c r="BD155" s="6" t="n"/>
      <c r="BE155" s="6" t="n"/>
      <c r="BF155" s="3" t="n"/>
      <c r="BG155" s="6" t="n"/>
      <c r="BH155" s="6" t="n"/>
      <c r="BI155" s="6" t="n"/>
      <c r="BJ155" s="6" t="n"/>
      <c r="BK155" s="3" t="n"/>
      <c r="BL155" s="6" t="n"/>
      <c r="BM155" s="6" t="n"/>
      <c r="BN155" s="6" t="n"/>
      <c r="BO155" s="6" t="n"/>
      <c r="BP155" s="3" t="n"/>
      <c r="BQ155" s="6" t="n"/>
      <c r="BR155" s="6" t="n"/>
      <c r="BS155" s="6" t="n"/>
      <c r="BT155" s="6" t="n"/>
      <c r="BU155" s="3" t="n"/>
      <c r="BV155" s="6" t="n"/>
      <c r="BW155" s="6" t="n"/>
      <c r="BX155" s="6" t="n"/>
      <c r="BY155" s="6" t="n"/>
      <c r="BZ155" s="3" t="n"/>
      <c r="CA155" s="6" t="n"/>
      <c r="CB155" s="6" t="n"/>
      <c r="CC155" s="6" t="n"/>
      <c r="CD155" s="6" t="n"/>
      <c r="CE155" s="3" t="n"/>
      <c r="CF155" s="6" t="n"/>
      <c r="CG155" s="6" t="n"/>
      <c r="CH155" s="6" t="n"/>
      <c r="CI155" s="6" t="n"/>
      <c r="CJ155" s="3" t="n"/>
      <c r="CK155" s="6" t="n"/>
      <c r="CL155" s="6" t="n"/>
      <c r="CM155" s="6" t="n"/>
      <c r="CN155" s="6" t="n"/>
      <c r="CO155" s="3" t="n"/>
      <c r="CP155" s="6" t="n"/>
      <c r="CQ155" s="6" t="n"/>
      <c r="CR155" s="6" t="n"/>
      <c r="CS155" s="6" t="n"/>
      <c r="CT155" s="3" t="n"/>
      <c r="CU155" s="6" t="n"/>
      <c r="CV155" s="6" t="n"/>
      <c r="CW155" s="6" t="n"/>
      <c r="CX155" s="6" t="n"/>
      <c r="CY155" s="3" t="n"/>
    </row>
    <row r="156" hidden="1" outlineLevel="1">
      <c r="C156" s="34" t="inlineStr">
        <is>
          <t>Recurring asset sales (enter as -)</t>
        </is>
      </c>
      <c r="D156" s="3" t="n"/>
      <c r="E156" s="3" t="n"/>
      <c r="F156" s="3" t="n"/>
      <c r="G156" s="3" t="n"/>
      <c r="H156" s="3">
        <f>SUM(D156:G156)</f>
        <v>0</v>
      </c>
      <c r="I156" s="3" t="n"/>
      <c r="J156" s="3" t="n"/>
      <c r="K156" s="3" t="n"/>
      <c r="L156" s="3" t="n"/>
      <c r="M156" s="3">
        <f>SUM(I156:L156)</f>
        <v>0</v>
      </c>
      <c r="N156" s="3" t="n"/>
      <c r="O156" s="3" t="n"/>
      <c r="P156" s="3" t="n"/>
      <c r="Q156" s="3" t="n"/>
      <c r="R156" s="3">
        <f>SUM(N156:Q156)</f>
        <v>0</v>
      </c>
      <c r="S156" s="3" t="n"/>
      <c r="T156" s="3" t="n"/>
      <c r="U156" s="3" t="n"/>
      <c r="V156" s="3" t="n"/>
      <c r="W156" s="3">
        <f>SUM(S156:V156)</f>
        <v>0</v>
      </c>
      <c r="X156" s="3" t="n"/>
      <c r="Y156" s="3" t="n"/>
      <c r="Z156" s="3" t="n"/>
      <c r="AA156" s="3" t="n"/>
      <c r="AB156" s="3">
        <f>SUM(X156:AA156)</f>
        <v>0</v>
      </c>
      <c r="AC156" s="3" t="n"/>
      <c r="AD156" s="3" t="n"/>
      <c r="AE156" s="3" t="n"/>
      <c r="AF156" s="6" t="n"/>
      <c r="AG156" s="3" t="n"/>
      <c r="AH156" s="6" t="n"/>
      <c r="AI156" s="6" t="n"/>
      <c r="AJ156" s="6" t="n"/>
      <c r="AK156" s="6" t="n"/>
      <c r="AL156" s="3" t="n"/>
      <c r="AM156" s="6" t="n"/>
      <c r="AN156" s="6" t="n"/>
      <c r="AO156" s="6" t="n"/>
      <c r="AP156" s="6" t="n"/>
      <c r="AQ156" s="3" t="n"/>
      <c r="AR156" s="6" t="n"/>
      <c r="AS156" s="6" t="n"/>
      <c r="AT156" s="6" t="n"/>
      <c r="AU156" s="6" t="n"/>
      <c r="AV156" s="3" t="n"/>
      <c r="AW156" s="6" t="n"/>
      <c r="AX156" s="6" t="n"/>
      <c r="AY156" s="6" t="n"/>
      <c r="AZ156" s="6" t="n"/>
      <c r="BA156" s="3" t="n"/>
      <c r="BB156" s="6" t="n"/>
      <c r="BC156" s="6" t="n"/>
      <c r="BD156" s="6" t="n"/>
      <c r="BE156" s="6" t="n"/>
      <c r="BF156" s="3" t="n"/>
      <c r="BG156" s="6" t="n"/>
      <c r="BH156" s="6" t="n"/>
      <c r="BI156" s="6" t="n"/>
      <c r="BJ156" s="6" t="n"/>
      <c r="BK156" s="3" t="n"/>
      <c r="BL156" s="6" t="n"/>
      <c r="BM156" s="6" t="n"/>
      <c r="BN156" s="6" t="n"/>
      <c r="BO156" s="6" t="n"/>
      <c r="BP156" s="3" t="n"/>
      <c r="BQ156" s="6" t="n"/>
      <c r="BR156" s="6" t="n"/>
      <c r="BS156" s="6" t="n"/>
      <c r="BT156" s="6" t="n"/>
      <c r="BU156" s="3" t="n"/>
      <c r="BV156" s="6" t="n"/>
      <c r="BW156" s="6" t="n"/>
      <c r="BX156" s="6" t="n"/>
      <c r="BY156" s="6" t="n"/>
      <c r="BZ156" s="3" t="n"/>
      <c r="CA156" s="6" t="n"/>
      <c r="CB156" s="6" t="n"/>
      <c r="CC156" s="6" t="n"/>
      <c r="CD156" s="6" t="n"/>
      <c r="CE156" s="3" t="n"/>
      <c r="CF156" s="6" t="n"/>
      <c r="CG156" s="6" t="n"/>
      <c r="CH156" s="6" t="n"/>
      <c r="CI156" s="6" t="n"/>
      <c r="CJ156" s="3" t="n"/>
      <c r="CK156" s="6" t="n"/>
      <c r="CL156" s="6" t="n"/>
      <c r="CM156" s="6" t="n"/>
      <c r="CN156" s="6" t="n"/>
      <c r="CO156" s="3" t="n"/>
      <c r="CP156" s="6" t="n"/>
      <c r="CQ156" s="6" t="n"/>
      <c r="CR156" s="6" t="n"/>
      <c r="CS156" s="6" t="n"/>
      <c r="CT156" s="3" t="n"/>
      <c r="CU156" s="6" t="n"/>
      <c r="CV156" s="6" t="n"/>
      <c r="CW156" s="6" t="n"/>
      <c r="CX156" s="6" t="n"/>
      <c r="CY156" s="3" t="n"/>
    </row>
    <row r="157" hidden="1" outlineLevel="1">
      <c r="C157" s="34" t="inlineStr">
        <is>
          <t>Depreciation</t>
        </is>
      </c>
      <c r="D157" s="3">
        <f>D57</f>
        <v>-529</v>
      </c>
      <c r="E157" s="3">
        <f>E57</f>
        <v>-547</v>
      </c>
      <c r="F157" s="3">
        <f>F57</f>
        <v>-504</v>
      </c>
      <c r="G157" s="3">
        <f>G57</f>
        <v>-538</v>
      </c>
      <c r="H157" s="3" t="n"/>
      <c r="I157" s="3">
        <f>I57</f>
        <v>-516</v>
      </c>
      <c r="J157" s="3">
        <f>J57</f>
        <v>-515</v>
      </c>
      <c r="K157" s="3">
        <f>K57</f>
        <v>-481</v>
      </c>
      <c r="L157" s="3">
        <f>L57</f>
        <v>-486</v>
      </c>
      <c r="M157" s="3" t="n"/>
      <c r="N157" s="3">
        <f>N57</f>
        <v>-447</v>
      </c>
      <c r="O157" s="3">
        <f>O57</f>
        <v>-510</v>
      </c>
      <c r="P157" s="3">
        <f>P57</f>
        <v>-452</v>
      </c>
      <c r="Q157" s="3">
        <f>Q57</f>
        <v>-494</v>
      </c>
      <c r="R157" s="3" t="n"/>
      <c r="S157" s="3">
        <f>S57</f>
        <v>-501</v>
      </c>
      <c r="T157" s="3">
        <f>T57</f>
        <v>-532</v>
      </c>
      <c r="U157" s="3">
        <f>U57</f>
        <v>-477</v>
      </c>
      <c r="V157" s="3">
        <f>V57</f>
        <v>-520</v>
      </c>
      <c r="W157" s="3" t="n"/>
      <c r="X157" s="3">
        <f>X57</f>
        <v>-525</v>
      </c>
      <c r="Y157" s="3">
        <f>Y57</f>
        <v>-553</v>
      </c>
      <c r="Z157" s="3">
        <f>Z57</f>
        <v>-520</v>
      </c>
      <c r="AA157" s="3">
        <f>AA57</f>
        <v>-549</v>
      </c>
      <c r="AB157" s="3" t="n"/>
      <c r="AC157" s="3">
        <f>AC57</f>
        <v>-555</v>
      </c>
      <c r="AD157" s="3">
        <f>AD57</f>
        <v>-564</v>
      </c>
      <c r="AE157" s="3">
        <f>AE57</f>
        <v>-561</v>
      </c>
      <c r="AF157" s="3">
        <f>AF57</f>
        <v>-590</v>
      </c>
      <c r="AG157" s="3" t="n"/>
      <c r="AH157" s="3">
        <f>AH57</f>
        <v>-594</v>
      </c>
      <c r="AI157" s="3">
        <f>AI57</f>
        <v>-603</v>
      </c>
      <c r="AJ157" s="3">
        <f>AJ57</f>
        <v>0</v>
      </c>
      <c r="AK157" s="3">
        <f>AK57</f>
        <v>0</v>
      </c>
      <c r="AL157" s="3" t="n"/>
      <c r="AM157" s="3">
        <f>AM57</f>
        <v>0</v>
      </c>
      <c r="AN157" s="3">
        <f>AN57</f>
        <v>0</v>
      </c>
      <c r="AO157" s="3">
        <f>AO57</f>
        <v>0</v>
      </c>
      <c r="AP157" s="3">
        <f>AP57</f>
        <v>0</v>
      </c>
      <c r="AQ157" s="3" t="n"/>
      <c r="AR157" s="3">
        <f>AR57</f>
        <v>0</v>
      </c>
      <c r="AS157" s="3">
        <f>AS57</f>
        <v>0</v>
      </c>
      <c r="AT157" s="3">
        <f>AT57</f>
        <v>0</v>
      </c>
      <c r="AU157" s="3">
        <f>AU57</f>
        <v>0</v>
      </c>
      <c r="AV157" s="3" t="n"/>
      <c r="AW157" s="3">
        <f>AW57</f>
        <v>0</v>
      </c>
      <c r="AX157" s="3">
        <f>AX57</f>
        <v>0</v>
      </c>
      <c r="AY157" s="3">
        <f>AY57</f>
        <v>0</v>
      </c>
      <c r="AZ157" s="3">
        <f>AZ57</f>
        <v>0</v>
      </c>
      <c r="BA157" s="3" t="n"/>
      <c r="BB157" s="3">
        <f>BB57</f>
        <v>0</v>
      </c>
      <c r="BC157" s="3">
        <f>BC57</f>
        <v>0</v>
      </c>
      <c r="BD157" s="3">
        <f>BD57</f>
        <v>0</v>
      </c>
      <c r="BE157" s="3">
        <f>BE57</f>
        <v>0</v>
      </c>
      <c r="BF157" s="3" t="n"/>
      <c r="BG157" s="3">
        <f>BG57</f>
        <v>0</v>
      </c>
      <c r="BH157" s="3">
        <f>BH57</f>
        <v>0</v>
      </c>
      <c r="BI157" s="3">
        <f>BI57</f>
        <v>0</v>
      </c>
      <c r="BJ157" s="3">
        <f>BJ57</f>
        <v>0</v>
      </c>
      <c r="BK157" s="3" t="n"/>
      <c r="BL157" s="3">
        <f>BL57</f>
        <v>0</v>
      </c>
      <c r="BM157" s="3">
        <f>BM57</f>
        <v>0</v>
      </c>
      <c r="BN157" s="3">
        <f>BN57</f>
        <v>0</v>
      </c>
      <c r="BO157" s="3">
        <f>BO57</f>
        <v>0</v>
      </c>
      <c r="BP157" s="3" t="n"/>
      <c r="BQ157" s="3">
        <f>BQ57</f>
        <v>0</v>
      </c>
      <c r="BR157" s="3">
        <f>BR57</f>
        <v>0</v>
      </c>
      <c r="BS157" s="3">
        <f>BS57</f>
        <v>0</v>
      </c>
      <c r="BT157" s="3">
        <f>BT57</f>
        <v>0</v>
      </c>
      <c r="BU157" s="3" t="n"/>
      <c r="BV157" s="3">
        <f>BV57</f>
        <v>0</v>
      </c>
      <c r="BW157" s="3">
        <f>BW57</f>
        <v>0</v>
      </c>
      <c r="BX157" s="3">
        <f>BX57</f>
        <v>0</v>
      </c>
      <c r="BY157" s="3">
        <f>BY57</f>
        <v>0</v>
      </c>
      <c r="BZ157" s="3" t="n"/>
      <c r="CA157" s="3">
        <f>CA57</f>
        <v>0</v>
      </c>
      <c r="CB157" s="3">
        <f>CB57</f>
        <v>0</v>
      </c>
      <c r="CC157" s="3">
        <f>CC57</f>
        <v>0</v>
      </c>
      <c r="CD157" s="3">
        <f>CD57</f>
        <v>0</v>
      </c>
      <c r="CE157" s="3" t="n"/>
      <c r="CF157" s="3">
        <f>CF57</f>
        <v>0</v>
      </c>
      <c r="CG157" s="3">
        <f>CG57</f>
        <v>0</v>
      </c>
      <c r="CH157" s="3">
        <f>CH57</f>
        <v>0</v>
      </c>
      <c r="CI157" s="3">
        <f>CI57</f>
        <v>0</v>
      </c>
      <c r="CJ157" s="3" t="n"/>
      <c r="CK157" s="3">
        <f>CK57</f>
        <v>0</v>
      </c>
      <c r="CL157" s="3">
        <f>CL57</f>
        <v>0</v>
      </c>
      <c r="CM157" s="3">
        <f>CM57</f>
        <v>0</v>
      </c>
      <c r="CN157" s="3">
        <f>CN57</f>
        <v>0</v>
      </c>
      <c r="CO157" s="3" t="n"/>
      <c r="CP157" s="3">
        <f>CP57</f>
        <v>0</v>
      </c>
      <c r="CQ157" s="3">
        <f>CQ57</f>
        <v>0</v>
      </c>
      <c r="CR157" s="3">
        <f>CR57</f>
        <v>0</v>
      </c>
      <c r="CS157" s="3">
        <f>CS57</f>
        <v>0</v>
      </c>
      <c r="CT157" s="3" t="n"/>
      <c r="CU157" s="3">
        <f>CU57</f>
        <v>0</v>
      </c>
      <c r="CV157" s="3">
        <f>CV57</f>
        <v>0</v>
      </c>
      <c r="CW157" s="3">
        <f>CW57</f>
        <v>0</v>
      </c>
      <c r="CX157" s="3">
        <f>CX57</f>
        <v>0</v>
      </c>
      <c r="CY157" s="3" t="n"/>
    </row>
    <row r="158" hidden="1" outlineLevel="1">
      <c r="C158" s="34" t="inlineStr">
        <is>
          <t>PP&amp;E</t>
        </is>
      </c>
      <c r="D158" s="3">
        <f>D153</f>
        <v>5685</v>
      </c>
      <c r="E158" s="3">
        <f>E153</f>
        <v>5754</v>
      </c>
      <c r="F158" s="3">
        <f>F153</f>
        <v>5817</v>
      </c>
      <c r="G158" s="3">
        <f>G153</f>
        <v>5741</v>
      </c>
      <c r="H158" s="3" t="n"/>
      <c r="I158" s="3">
        <f>I153</f>
        <v>0</v>
      </c>
      <c r="J158" s="3">
        <f>J153</f>
        <v>0</v>
      </c>
      <c r="K158" s="3">
        <f>K153</f>
        <v>0</v>
      </c>
      <c r="L158" s="3">
        <f>L153</f>
        <v>0</v>
      </c>
      <c r="M158" s="3" t="n"/>
      <c r="N158" s="3">
        <f>N153</f>
        <v>0</v>
      </c>
      <c r="O158" s="3">
        <f>O153</f>
        <v>0</v>
      </c>
      <c r="P158" s="3">
        <f>P153</f>
        <v>0</v>
      </c>
      <c r="Q158" s="3">
        <f>Q153</f>
        <v>0</v>
      </c>
      <c r="R158" s="3" t="n"/>
      <c r="S158" s="3">
        <f>S153</f>
        <v>0</v>
      </c>
      <c r="T158" s="3">
        <f>T153</f>
        <v>0</v>
      </c>
      <c r="U158" s="3">
        <f>U153</f>
        <v>0</v>
      </c>
      <c r="V158" s="3">
        <f>V153</f>
        <v>0</v>
      </c>
      <c r="W158" s="3" t="n"/>
      <c r="X158" s="3">
        <f>X153</f>
        <v>0</v>
      </c>
      <c r="Y158" s="3">
        <f>Y153</f>
        <v>0</v>
      </c>
      <c r="Z158" s="3">
        <f>Z153</f>
        <v>0</v>
      </c>
      <c r="AA158" s="3">
        <f>Y158+SUM(AA155:AA157)</f>
        <v>0</v>
      </c>
      <c r="AB158" s="3" t="n"/>
      <c r="AC158" s="3">
        <f>AC153</f>
        <v>0</v>
      </c>
      <c r="AD158" s="3">
        <f>AD153</f>
        <v>0</v>
      </c>
      <c r="AE158" s="3">
        <f>AE153</f>
        <v>0</v>
      </c>
      <c r="AF158" s="3">
        <f>AE158+SUM(AF155:AF157)</f>
        <v>0</v>
      </c>
      <c r="AG158" s="3" t="n"/>
      <c r="AH158" s="3">
        <f>AH153</f>
        <v>0</v>
      </c>
      <c r="AI158" s="3">
        <f>AI153</f>
        <v>0</v>
      </c>
      <c r="AJ158" s="3">
        <f>AI158+SUM(AJ155:AJ157)</f>
        <v>0</v>
      </c>
      <c r="AK158" s="3">
        <f>AJ158+SUM(AK155:AK157)</f>
        <v>0</v>
      </c>
      <c r="AL158" s="3" t="n"/>
      <c r="AM158" s="3">
        <f>AK158+SUM(AM155:AM157)</f>
        <v>0</v>
      </c>
      <c r="AN158" s="3">
        <f>AM158+SUM(AN155:AN157)</f>
        <v>0</v>
      </c>
      <c r="AO158" s="3">
        <f>AN158+SUM(AO155:AO157)</f>
        <v>0</v>
      </c>
      <c r="AP158" s="3">
        <f>AO158+SUM(AP155:AP157)</f>
        <v>0</v>
      </c>
      <c r="AQ158" s="3" t="n"/>
      <c r="AR158" s="3">
        <f>AP158+SUM(AR155:AR157)</f>
        <v>0</v>
      </c>
      <c r="AS158" s="3">
        <f>AR158+SUM(AS155:AS157)</f>
        <v>0</v>
      </c>
      <c r="AT158" s="3">
        <f>AS158+SUM(AT155:AT157)</f>
        <v>0</v>
      </c>
      <c r="AU158" s="3">
        <f>AT158+SUM(AU155:AU157)</f>
        <v>0</v>
      </c>
      <c r="AV158" s="3" t="n"/>
      <c r="AW158" s="3">
        <f>AU158+SUM(AW155:AW157)</f>
        <v>0</v>
      </c>
      <c r="AX158" s="3">
        <f>AW158+SUM(AX155:AX157)</f>
        <v>0</v>
      </c>
      <c r="AY158" s="3">
        <f>AX158+SUM(AY155:AY157)</f>
        <v>0</v>
      </c>
      <c r="AZ158" s="3">
        <f>AY158+SUM(AZ155:AZ157)</f>
        <v>0</v>
      </c>
      <c r="BA158" s="3" t="n"/>
      <c r="BB158" s="3">
        <f>AZ158+SUM(BB155:BB157)</f>
        <v>0</v>
      </c>
      <c r="BC158" s="3">
        <f>BB158+SUM(BC155:BC157)</f>
        <v>0</v>
      </c>
      <c r="BD158" s="3">
        <f>BC158+SUM(BD155:BD157)</f>
        <v>0</v>
      </c>
      <c r="BE158" s="3">
        <f>BD158+SUM(BE155:BE157)</f>
        <v>0</v>
      </c>
      <c r="BF158" s="3" t="n"/>
      <c r="BG158" s="3">
        <f>BE158+SUM(BG155:BG157)</f>
        <v>0</v>
      </c>
      <c r="BH158" s="3">
        <f>BG158+SUM(BH155:BH157)</f>
        <v>0</v>
      </c>
      <c r="BI158" s="3">
        <f>BH158+SUM(BI155:BI157)</f>
        <v>0</v>
      </c>
      <c r="BJ158" s="3">
        <f>BI158+SUM(BJ155:BJ157)</f>
        <v>0</v>
      </c>
      <c r="BK158" s="3" t="n"/>
      <c r="BL158" s="3">
        <f>BJ158+SUM(BL155:BL157)</f>
        <v>0</v>
      </c>
      <c r="BM158" s="3">
        <f>BL158+SUM(BM155:BM157)</f>
        <v>0</v>
      </c>
      <c r="BN158" s="3">
        <f>BM158+SUM(BN155:BN157)</f>
        <v>0</v>
      </c>
      <c r="BO158" s="3">
        <f>BN158+SUM(BO155:BO157)</f>
        <v>0</v>
      </c>
      <c r="BP158" s="3" t="n"/>
      <c r="BQ158" s="3">
        <f>BO158+SUM(BQ155:BQ157)</f>
        <v>0</v>
      </c>
      <c r="BR158" s="3">
        <f>BQ158+SUM(BR155:BR157)</f>
        <v>0</v>
      </c>
      <c r="BS158" s="3">
        <f>BR158+SUM(BS155:BS157)</f>
        <v>0</v>
      </c>
      <c r="BT158" s="3">
        <f>BS158+SUM(BT155:BT157)</f>
        <v>0</v>
      </c>
      <c r="BU158" s="3" t="n"/>
      <c r="BV158" s="3">
        <f>BT158+SUM(BV155:BV157)</f>
        <v>0</v>
      </c>
      <c r="BW158" s="3">
        <f>BV158+SUM(BW155:BW157)</f>
        <v>0</v>
      </c>
      <c r="BX158" s="3">
        <f>BW158+SUM(BX155:BX157)</f>
        <v>0</v>
      </c>
      <c r="BY158" s="3">
        <f>BX158+SUM(BY155:BY157)</f>
        <v>0</v>
      </c>
      <c r="BZ158" s="3" t="n"/>
      <c r="CA158" s="3">
        <f>BY158+SUM(CA155:CA157)</f>
        <v>0</v>
      </c>
      <c r="CB158" s="3">
        <f>CA158+SUM(CB155:CB157)</f>
        <v>0</v>
      </c>
      <c r="CC158" s="3">
        <f>CB158+SUM(CC155:CC157)</f>
        <v>0</v>
      </c>
      <c r="CD158" s="3">
        <f>CC158+SUM(CD155:CD157)</f>
        <v>0</v>
      </c>
      <c r="CE158" s="3" t="n"/>
      <c r="CF158" s="3">
        <f>CD158+SUM(CF155:CF157)</f>
        <v>0</v>
      </c>
      <c r="CG158" s="3">
        <f>CF158+SUM(CG155:CG157)</f>
        <v>0</v>
      </c>
      <c r="CH158" s="3">
        <f>CG158+SUM(CH155:CH157)</f>
        <v>0</v>
      </c>
      <c r="CI158" s="3">
        <f>CH158+SUM(CI155:CI157)</f>
        <v>0</v>
      </c>
      <c r="CJ158" s="3" t="n"/>
      <c r="CK158" s="3">
        <f>CI158+SUM(CK155:CK157)</f>
        <v>0</v>
      </c>
      <c r="CL158" s="3">
        <f>CK158+SUM(CL155:CL157)</f>
        <v>0</v>
      </c>
      <c r="CM158" s="3">
        <f>CL158+SUM(CM155:CM157)</f>
        <v>0</v>
      </c>
      <c r="CN158" s="3">
        <f>CM158+SUM(CN155:CN157)</f>
        <v>0</v>
      </c>
      <c r="CO158" s="3" t="n"/>
      <c r="CP158" s="3">
        <f>CN158+SUM(CP155:CP157)</f>
        <v>0</v>
      </c>
      <c r="CQ158" s="3">
        <f>CP158+SUM(CQ155:CQ157)</f>
        <v>0</v>
      </c>
      <c r="CR158" s="3">
        <f>CQ158+SUM(CR155:CR157)</f>
        <v>0</v>
      </c>
      <c r="CS158" s="3">
        <f>CR158+SUM(CS155:CS157)</f>
        <v>0</v>
      </c>
      <c r="CT158" s="3" t="n"/>
      <c r="CU158" s="3">
        <f>CS158+SUM(CU155:CU157)</f>
        <v>0</v>
      </c>
      <c r="CV158" s="3">
        <f>CU158+SUM(CV155:CV157)</f>
        <v>0</v>
      </c>
      <c r="CW158" s="3">
        <f>CV158+SUM(CW155:CW157)</f>
        <v>0</v>
      </c>
      <c r="CX158" s="3">
        <f>CW158+SUM(CX155:CX157)</f>
        <v>0</v>
      </c>
      <c r="CY158" s="3" t="n"/>
      <c r="CZ158">
        <f>CX158+SUM(CZ155:CZ157)</f>
        <v>0</v>
      </c>
      <c r="DA158">
        <f>CZ158+SUM(DA155:DA157)</f>
        <v>0</v>
      </c>
      <c r="DB158">
        <f>DA158+SUM(DB155:DB157)</f>
        <v>0</v>
      </c>
      <c r="DC158">
        <f>DB158+SUM(DC155:DC157)</f>
        <v>0</v>
      </c>
    </row>
    <row r="159" hidden="1" outlineLevel="1">
      <c r="C159" s="34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34" t="inlineStr">
        <is>
          <t>Capital expenditures (% Net Revenues)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40">
        <f>AF155/AF15</f>
        <v>0.0613879929247737</v>
      </c>
      <c r="AG160" s="40">
        <f>AG155/AG15</f>
        <v>0.0485187876715257</v>
      </c>
      <c r="AH160" s="40">
        <f>AH155/AH15</f>
        <v>0.044431146682624</v>
      </c>
      <c r="AI160" s="40">
        <f>AI155/AI15</f>
        <v>0.0478267766497462</v>
      </c>
      <c r="AJ160" s="40">
        <f>AJ155/AJ15</f>
        <v>0</v>
      </c>
      <c r="AK160" s="40">
        <f>AK155/AK15</f>
        <v>0</v>
      </c>
      <c r="AL160" s="40">
        <f>AL155/AL15</f>
        <v>0</v>
      </c>
      <c r="AM160" s="40">
        <f>AM155/AM15</f>
        <v>0</v>
      </c>
      <c r="AN160" s="40">
        <f>AN155/AN15</f>
        <v>0</v>
      </c>
      <c r="AO160" s="40">
        <f>AO155/AO15</f>
        <v>0</v>
      </c>
      <c r="AP160" s="40">
        <f>AP155/AP15</f>
        <v>0</v>
      </c>
      <c r="AQ160" s="40">
        <f>AQ155/AQ15</f>
        <v>0</v>
      </c>
      <c r="AR160" s="40">
        <f>AR155/AR15</f>
        <v>0</v>
      </c>
      <c r="AS160" s="40">
        <f>AS155/AS15</f>
        <v>0</v>
      </c>
      <c r="AT160" s="40">
        <f>AT155/AT15</f>
        <v>0</v>
      </c>
      <c r="AU160" s="40">
        <f>AU155/AU15</f>
        <v>0</v>
      </c>
      <c r="AV160" s="40">
        <f>AV155/AV15</f>
        <v>0</v>
      </c>
      <c r="AW160" s="40">
        <f>AW155/AW15</f>
        <v>0</v>
      </c>
      <c r="AX160" s="40">
        <f>AX155/AX15</f>
        <v>0</v>
      </c>
      <c r="AY160" s="40">
        <f>AY155/AY15</f>
        <v>0</v>
      </c>
      <c r="AZ160" s="40">
        <f>AZ155/AZ15</f>
        <v>0</v>
      </c>
      <c r="BA160" s="40">
        <f>BA155/BA15</f>
        <v>0</v>
      </c>
      <c r="BB160" s="40">
        <f>BB155/BB15</f>
        <v>0</v>
      </c>
      <c r="BC160" s="40">
        <f>BC155/BC15</f>
        <v>0</v>
      </c>
      <c r="BD160" s="40">
        <f>BD155/BD15</f>
        <v>0</v>
      </c>
      <c r="BE160" s="40">
        <f>BE155/BE15</f>
        <v>0</v>
      </c>
      <c r="BF160" s="40">
        <f>BF155/BF15</f>
        <v>0</v>
      </c>
      <c r="BG160" s="40">
        <f>BG155/BG15</f>
        <v>0</v>
      </c>
      <c r="BH160" s="40">
        <f>BH155/BH15</f>
        <v>0</v>
      </c>
      <c r="BI160" s="40">
        <f>BI155/BI15</f>
        <v>0</v>
      </c>
      <c r="BJ160" s="40">
        <f>BJ155/BJ15</f>
        <v>0</v>
      </c>
      <c r="BK160" s="40">
        <f>BK155/BK15</f>
        <v>0</v>
      </c>
      <c r="BL160" s="40">
        <f>BL155/BL15</f>
        <v>0</v>
      </c>
      <c r="BM160" s="40">
        <f>BM155/BM15</f>
        <v>0</v>
      </c>
      <c r="BN160" s="40">
        <f>BN155/BN15</f>
        <v>0</v>
      </c>
      <c r="BO160" s="40">
        <f>BO155/BO15</f>
        <v>0</v>
      </c>
      <c r="BP160" s="40">
        <f>BP155/BP15</f>
        <v>0</v>
      </c>
      <c r="BQ160" s="40">
        <f>BQ155/BQ15</f>
        <v>0</v>
      </c>
      <c r="BR160" s="40">
        <f>BR155/BR15</f>
        <v>0</v>
      </c>
      <c r="BS160" s="40">
        <f>BS155/BS15</f>
        <v>0</v>
      </c>
      <c r="BT160" s="40">
        <f>BT155/BT15</f>
        <v>0</v>
      </c>
      <c r="BU160" s="40">
        <f>BU155/BU15</f>
        <v>0</v>
      </c>
      <c r="BV160" s="40">
        <f>BV155/BV15</f>
        <v>0</v>
      </c>
      <c r="BW160" s="40">
        <f>BW155/BW15</f>
        <v>0</v>
      </c>
      <c r="BX160" s="40">
        <f>BX155/BX15</f>
        <v>0</v>
      </c>
      <c r="BY160" s="40">
        <f>BY155/BY15</f>
        <v>0</v>
      </c>
      <c r="BZ160" s="40">
        <f>BZ155/BZ15</f>
        <v>0</v>
      </c>
      <c r="CA160" s="40">
        <f>CA155/CA15</f>
        <v>0</v>
      </c>
      <c r="CB160" s="40">
        <f>CB155/CB15</f>
        <v>0</v>
      </c>
      <c r="CC160" s="40">
        <f>CC155/CC15</f>
        <v>0</v>
      </c>
      <c r="CD160" s="40">
        <f>CD155/CD15</f>
        <v>0</v>
      </c>
      <c r="CE160" s="40">
        <f>CE155/CE15</f>
        <v>0</v>
      </c>
      <c r="CF160" s="40">
        <f>CF155/CF15</f>
        <v>0</v>
      </c>
      <c r="CG160" s="40">
        <f>CG155/CG15</f>
        <v>0</v>
      </c>
      <c r="CH160" s="40">
        <f>CH155/CH15</f>
        <v>0</v>
      </c>
      <c r="CI160" s="40">
        <f>CI155/CI15</f>
        <v>0</v>
      </c>
      <c r="CJ160" s="40">
        <f>CJ155/CJ15</f>
        <v>0</v>
      </c>
      <c r="CK160" s="40">
        <f>CK155/CK15</f>
        <v>0</v>
      </c>
      <c r="CL160" s="40">
        <f>CL155/CL15</f>
        <v>0</v>
      </c>
      <c r="CM160" s="40">
        <f>CM155/CM15</f>
        <v>0</v>
      </c>
      <c r="CN160" s="40">
        <f>CN155/CN15</f>
        <v>0</v>
      </c>
      <c r="CO160" s="40">
        <f>CO155/CO15</f>
        <v>0</v>
      </c>
      <c r="CP160" s="40">
        <f>CP155/CP15</f>
        <v>0</v>
      </c>
      <c r="CQ160" s="40">
        <f>CQ155/CQ15</f>
        <v>0</v>
      </c>
      <c r="CR160" s="40">
        <f>CR155/CR15</f>
        <v>0</v>
      </c>
      <c r="CS160" s="40">
        <f>CS155/CS15</f>
        <v>0</v>
      </c>
      <c r="CT160" s="40">
        <f>CT155/CT15</f>
        <v>0</v>
      </c>
      <c r="CU160" s="40">
        <f>CU155/CU15</f>
        <v>0</v>
      </c>
      <c r="CV160" s="40">
        <f>CV155/CV15</f>
        <v>0</v>
      </c>
      <c r="CW160" s="40">
        <f>CW155/CW15</f>
        <v>0</v>
      </c>
      <c r="CX160" s="40">
        <f>CX155/CX15</f>
        <v>0</v>
      </c>
      <c r="CY160" s="40">
        <f>CY155/CY15</f>
        <v>0</v>
      </c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>
      <c r="C163" s="26" t="inlineStr">
        <is>
          <t>Right-of-use-assets</t>
        </is>
      </c>
      <c r="D163" s="25">
        <f>INDEX('Inputs (2)'!$D$23:$AL$23,MATCH(D$7,'Inputs (2)'!$D$2:$AL$2,0))</f>
        <v>0</v>
      </c>
      <c r="E163" s="25">
        <f>INDEX('Inputs (2)'!$D$23:$AL$23,MATCH(E$7,'Inputs (2)'!$D$2:$AL$2,0))</f>
        <v>0</v>
      </c>
      <c r="F163" s="25">
        <f>INDEX('Inputs (2)'!$D$23:$AL$23,MATCH(F$7,'Inputs (2)'!$D$2:$AL$2,0))</f>
        <v>0</v>
      </c>
      <c r="G163" s="25">
        <f>INDEX('Inputs (2)'!$D$23:$AL$23,MATCH(G$7,'Inputs (2)'!$D$2:$AL$2,0))</f>
        <v>0</v>
      </c>
      <c r="H163" s="3">
        <f>G163</f>
        <v>0</v>
      </c>
      <c r="I163" s="25">
        <f>INDEX('Inputs (2)'!$D$23:$AL$23,MATCH(I$7,'Inputs (2)'!$D$2:$AL$2,0))</f>
        <v>0</v>
      </c>
      <c r="J163" s="25">
        <f>INDEX('Inputs (2)'!$D$23:$AL$23,MATCH(J$7,'Inputs (2)'!$D$2:$AL$2,0))</f>
        <v>0</v>
      </c>
      <c r="K163" s="25">
        <f>INDEX('Inputs (2)'!$D$23:$AL$23,MATCH(K$7,'Inputs (2)'!$D$2:$AL$2,0))</f>
        <v>0</v>
      </c>
      <c r="L163" s="25">
        <f>INDEX('Inputs (2)'!$D$23:$AL$23,MATCH(L$7,'Inputs (2)'!$D$2:$AL$2,0))</f>
        <v>0</v>
      </c>
      <c r="M163" s="3">
        <f>L163</f>
        <v>0</v>
      </c>
      <c r="N163" s="25">
        <f>INDEX('Inputs (2)'!$D$23:$AL$23,MATCH(N$7,'Inputs (2)'!$D$2:$AL$2,0))</f>
        <v>0</v>
      </c>
      <c r="O163" s="25">
        <f>INDEX('Inputs (2)'!$D$23:$AL$23,MATCH(O$7,'Inputs (2)'!$D$2:$AL$2,0))</f>
        <v>0</v>
      </c>
      <c r="P163" s="25">
        <f>INDEX('Inputs (2)'!$D$23:$AL$23,MATCH(P$7,'Inputs (2)'!$D$2:$AL$2,0))</f>
        <v>0</v>
      </c>
      <c r="Q163" s="25">
        <f>INDEX('Inputs (2)'!$D$23:$AL$23,MATCH(Q$7,'Inputs (2)'!$D$2:$AL$2,0))</f>
        <v>0</v>
      </c>
      <c r="R163" s="3">
        <f>Q163</f>
        <v>0</v>
      </c>
      <c r="S163" s="25">
        <f>INDEX('Inputs (2)'!$D$23:$AL$23,MATCH(S$7,'Inputs (2)'!$D$2:$AL$2,0))</f>
        <v>0</v>
      </c>
      <c r="T163" s="25">
        <f>INDEX('Inputs (2)'!$D$23:$AL$23,MATCH(T$7,'Inputs (2)'!$D$2:$AL$2,0))</f>
        <v>0</v>
      </c>
      <c r="U163" s="25">
        <f>INDEX('Inputs (2)'!$D$23:$AL$23,MATCH(U$7,'Inputs (2)'!$D$2:$AL$2,0))</f>
        <v>0</v>
      </c>
      <c r="V163" s="25">
        <f>INDEX('Inputs (2)'!$D$23:$AL$23,MATCH(V$7,'Inputs (2)'!$D$2:$AL$2,0))</f>
        <v>0</v>
      </c>
      <c r="W163" s="3">
        <f>V163</f>
        <v>0</v>
      </c>
      <c r="X163" s="25">
        <f>INDEX('Inputs (2)'!$D$23:$AL$23,MATCH(X$7,'Inputs (2)'!$D$2:$AL$2,0))</f>
        <v>0</v>
      </c>
      <c r="Y163" s="25">
        <f>INDEX('Inputs (2)'!$D$23:$AL$23,MATCH(Y$7,'Inputs (2)'!$D$2:$AL$2,0))</f>
        <v>0</v>
      </c>
      <c r="Z163" s="25">
        <f>INDEX('Inputs (2)'!$D$23:$AL$23,MATCH(Z$7,'Inputs (2)'!$D$2:$AL$2,0))</f>
        <v>0</v>
      </c>
      <c r="AA163" s="25">
        <f>INDEX('Inputs (2)'!$D$23:$AL$23,MATCH(AA$7,'Inputs (2)'!$D$2:$AL$2,0))</f>
        <v>0</v>
      </c>
      <c r="AB163" s="3">
        <f>AA163</f>
        <v>0</v>
      </c>
      <c r="AC163" s="25">
        <f>INDEX('Inputs (2)'!$D$23:$AL$23,MATCH(AC$7,'Inputs (2)'!$D$2:$AL$2,0))</f>
        <v>0</v>
      </c>
      <c r="AD163" s="25">
        <f>INDEX('Inputs (2)'!$D$23:$AL$23,MATCH(AD$7,'Inputs (2)'!$D$2:$AL$2,0))</f>
        <v>0</v>
      </c>
      <c r="AE163" s="25">
        <f>INDEX('Inputs (2)'!$D$23:$AL$23,MATCH(AE$7,'Inputs (2)'!$D$2:$AL$2,0))</f>
        <v>0</v>
      </c>
      <c r="AF163" s="25">
        <f>INDEX('Inputs (2)'!$D$23:$AL$23,MATCH(AF$7,'Inputs (2)'!$D$2:$AL$2,0))</f>
        <v>0</v>
      </c>
      <c r="AG163" s="3">
        <f>AF163</f>
        <v>0</v>
      </c>
      <c r="AH163" s="3">
        <f>INDEX('Inputs (2)'!$D$23:$AL$23,MATCH(AH$7,'Inputs (2)'!$D$2:$AL$2,0))</f>
        <v>0</v>
      </c>
      <c r="AI163" s="3">
        <f>INDEX('Inputs (2)'!$D$23:$AL$23,MATCH(AI$7,'Inputs (2)'!$D$2:$AL$2,0))</f>
        <v>0</v>
      </c>
      <c r="AJ163" s="3">
        <f>AI163</f>
        <v>0</v>
      </c>
      <c r="AK163" s="3">
        <f>AJ163</f>
        <v>0</v>
      </c>
      <c r="AL163" s="3">
        <f>AK163</f>
        <v>0</v>
      </c>
      <c r="AM163" s="3">
        <f>AL163</f>
        <v>0</v>
      </c>
      <c r="AN163" s="3">
        <f>AM163</f>
        <v>0</v>
      </c>
      <c r="AO163" s="3">
        <f>AN163</f>
        <v>0</v>
      </c>
      <c r="AP163" s="3">
        <f>AO163</f>
        <v>0</v>
      </c>
      <c r="AQ163" s="3">
        <f>AP163</f>
        <v>0</v>
      </c>
      <c r="AR163" s="3">
        <f>AQ163</f>
        <v>0</v>
      </c>
      <c r="AS163" s="3">
        <f>AR163</f>
        <v>0</v>
      </c>
      <c r="AT163" s="3">
        <f>AS163</f>
        <v>0</v>
      </c>
      <c r="AU163" s="3">
        <f>AT163</f>
        <v>0</v>
      </c>
      <c r="AV163" s="3">
        <f>AU163</f>
        <v>0</v>
      </c>
      <c r="AW163" s="3">
        <f>AV163</f>
        <v>0</v>
      </c>
      <c r="AX163" s="3">
        <f>AW163</f>
        <v>0</v>
      </c>
      <c r="AY163" s="3">
        <f>AX163</f>
        <v>0</v>
      </c>
      <c r="AZ163" s="3">
        <f>AY163</f>
        <v>0</v>
      </c>
      <c r="BA163" s="3">
        <f>AZ163</f>
        <v>0</v>
      </c>
      <c r="BB163" s="3">
        <f>BA163</f>
        <v>0</v>
      </c>
      <c r="BC163" s="3">
        <f>BB163</f>
        <v>0</v>
      </c>
      <c r="BD163" s="3">
        <f>BC163</f>
        <v>0</v>
      </c>
      <c r="BE163" s="3">
        <f>BD163</f>
        <v>0</v>
      </c>
      <c r="BF163" s="3">
        <f>BE163</f>
        <v>0</v>
      </c>
      <c r="BG163" s="3">
        <f>BF163</f>
        <v>0</v>
      </c>
      <c r="BH163" s="3">
        <f>BG163</f>
        <v>0</v>
      </c>
      <c r="BI163" s="3">
        <f>BH163</f>
        <v>0</v>
      </c>
      <c r="BJ163" s="3">
        <f>BI163</f>
        <v>0</v>
      </c>
      <c r="BK163" s="3">
        <f>BJ163</f>
        <v>0</v>
      </c>
      <c r="BL163" s="3">
        <f>BK163</f>
        <v>0</v>
      </c>
      <c r="BM163" s="3">
        <f>BL163</f>
        <v>0</v>
      </c>
      <c r="BN163" s="3">
        <f>BM163</f>
        <v>0</v>
      </c>
      <c r="BO163" s="3">
        <f>BN163</f>
        <v>0</v>
      </c>
      <c r="BP163" s="3">
        <f>BO163</f>
        <v>0</v>
      </c>
      <c r="BQ163" s="3">
        <f>BP163</f>
        <v>0</v>
      </c>
      <c r="BR163" s="3">
        <f>BQ163</f>
        <v>0</v>
      </c>
      <c r="BS163" s="3">
        <f>BR163</f>
        <v>0</v>
      </c>
      <c r="BT163" s="3">
        <f>BS163</f>
        <v>0</v>
      </c>
      <c r="BU163" s="3">
        <f>BT163</f>
        <v>0</v>
      </c>
      <c r="BV163" s="3">
        <f>BU163</f>
        <v>0</v>
      </c>
      <c r="BW163" s="3">
        <f>BV163</f>
        <v>0</v>
      </c>
      <c r="BX163" s="3">
        <f>BW163</f>
        <v>0</v>
      </c>
      <c r="BY163" s="3">
        <f>BX163</f>
        <v>0</v>
      </c>
      <c r="BZ163" s="3">
        <f>BY163</f>
        <v>0</v>
      </c>
      <c r="CA163" s="3">
        <f>BZ163</f>
        <v>0</v>
      </c>
      <c r="CB163" s="3">
        <f>CA163</f>
        <v>0</v>
      </c>
      <c r="CC163" s="3">
        <f>CB163</f>
        <v>0</v>
      </c>
      <c r="CD163" s="3">
        <f>CC163</f>
        <v>0</v>
      </c>
      <c r="CE163" s="3">
        <f>CD163</f>
        <v>0</v>
      </c>
      <c r="CF163" s="3">
        <f>CE163</f>
        <v>0</v>
      </c>
      <c r="CG163" s="3">
        <f>CF163</f>
        <v>0</v>
      </c>
      <c r="CH163" s="3">
        <f>CG163</f>
        <v>0</v>
      </c>
      <c r="CI163" s="3">
        <f>CH163</f>
        <v>0</v>
      </c>
      <c r="CJ163" s="3">
        <f>CI163</f>
        <v>0</v>
      </c>
      <c r="CK163" s="3">
        <f>CJ163</f>
        <v>0</v>
      </c>
      <c r="CL163" s="3">
        <f>CK163</f>
        <v>0</v>
      </c>
      <c r="CM163" s="3">
        <f>CL163</f>
        <v>0</v>
      </c>
      <c r="CN163" s="3">
        <f>CM163</f>
        <v>0</v>
      </c>
      <c r="CO163" s="3">
        <f>CN163</f>
        <v>0</v>
      </c>
      <c r="CP163" s="3">
        <f>CO163</f>
        <v>0</v>
      </c>
      <c r="CQ163" s="3">
        <f>CP163</f>
        <v>0</v>
      </c>
      <c r="CR163" s="3">
        <f>CQ163</f>
        <v>0</v>
      </c>
      <c r="CS163" s="3">
        <f>CR163</f>
        <v>0</v>
      </c>
      <c r="CT163" s="3">
        <f>CS163</f>
        <v>0</v>
      </c>
      <c r="CU163" s="3">
        <f>CT163</f>
        <v>0</v>
      </c>
      <c r="CV163" s="3">
        <f>CU163</f>
        <v>0</v>
      </c>
      <c r="CW163" s="3">
        <f>CV163</f>
        <v>0</v>
      </c>
      <c r="CX163" s="3">
        <f>CW163</f>
        <v>0</v>
      </c>
      <c r="CY163" s="3">
        <f>CX163</f>
        <v>0</v>
      </c>
    </row>
    <row r="164" hidden="1" outlineLevel="1">
      <c r="C164" s="38" t="inlineStr">
        <is>
          <t>%(Var.)</t>
        </is>
      </c>
      <c r="D164" s="3" t="n"/>
      <c r="E164" s="47">
        <f>IFERROR((E163-D163)/D163,0)</f>
        <v>0</v>
      </c>
      <c r="F164" s="47">
        <f>IFERROR((F163-E163)/E163,0)</f>
        <v>0</v>
      </c>
      <c r="G164" s="47">
        <f>IFERROR((G163-F163)/F163,0)</f>
        <v>0</v>
      </c>
      <c r="H164" s="3" t="n"/>
      <c r="I164" s="47">
        <f>IFERROR((I163-H163)/H163,0)</f>
        <v>0</v>
      </c>
      <c r="J164" s="47">
        <f>IFERROR((J163-I163)/I163,0)</f>
        <v>0</v>
      </c>
      <c r="K164" s="47">
        <f>IFERROR((K163-J163)/J163,0)</f>
        <v>0</v>
      </c>
      <c r="L164" s="47">
        <f>IFERROR((L163-K163)/K163,0)</f>
        <v>0</v>
      </c>
      <c r="M164" s="3" t="n"/>
      <c r="N164" s="47">
        <f>IFERROR((N163-M163)/M163,0)</f>
        <v>0</v>
      </c>
      <c r="O164" s="47">
        <f>IFERROR((O163-N163)/N163,0)</f>
        <v>0</v>
      </c>
      <c r="P164" s="47">
        <f>IFERROR((P163-O163)/O163,0)</f>
        <v>0</v>
      </c>
      <c r="Q164" s="47">
        <f>IFERROR((Q163-P163)/P163,0)</f>
        <v>0</v>
      </c>
      <c r="R164" s="3" t="n"/>
      <c r="S164" s="47">
        <f>IFERROR((S163-R163)/R163,0)</f>
        <v>0</v>
      </c>
      <c r="T164" s="47">
        <f>IFERROR((T163-S163)/S163,0)</f>
        <v>0</v>
      </c>
      <c r="U164" s="47">
        <f>IFERROR((U163-T163)/T163,0)</f>
        <v>0</v>
      </c>
      <c r="V164" s="47">
        <f>IFERROR((V163-U163)/U163,0)</f>
        <v>0</v>
      </c>
      <c r="W164" s="3" t="n"/>
      <c r="X164" s="47">
        <f>IFERROR((X163-W163)/W163,0)</f>
        <v>0</v>
      </c>
      <c r="Y164" s="47">
        <f>IFERROR((Y163-X163)/X163,0)</f>
        <v>0</v>
      </c>
      <c r="Z164" s="47">
        <f>IFERROR((Z163-Y163)/Y163,0)</f>
        <v>0</v>
      </c>
      <c r="AA164" s="47">
        <f>IFERROR((AA163-Z163)/Z163,0)</f>
        <v>0</v>
      </c>
      <c r="AB164" s="3" t="n"/>
      <c r="AC164" s="47">
        <f>IFERROR((AC163-AB163)/AB163,0)</f>
        <v>0</v>
      </c>
      <c r="AD164" s="47">
        <f>IFERROR((AD163-AC163)/AC163,0)</f>
        <v>0</v>
      </c>
      <c r="AE164" s="47">
        <f>IFERROR((AE163-AD163)/AD163,0)</f>
        <v>0</v>
      </c>
      <c r="AF164" s="218">
        <f>IFERROR((AF163-AE163)/AE163,0)</f>
        <v>0</v>
      </c>
      <c r="AG164" s="3" t="n"/>
      <c r="AH164" s="218">
        <f>IFERROR((AH163-AG163)/AG163,0)</f>
        <v>0</v>
      </c>
      <c r="AI164" s="218">
        <f>IFERROR((AI163-AH163)/AH163,0)</f>
        <v>0</v>
      </c>
      <c r="AJ164" s="218" t="n"/>
      <c r="AK164" s="218" t="n"/>
      <c r="AL164" s="3" t="n"/>
      <c r="AM164" s="218" t="n"/>
      <c r="AN164" s="218" t="n"/>
      <c r="AO164" s="218" t="n"/>
      <c r="AP164" s="218" t="n"/>
      <c r="AQ164" s="3" t="n"/>
      <c r="AR164" s="218" t="n"/>
      <c r="AS164" s="218" t="n"/>
      <c r="AT164" s="218" t="n"/>
      <c r="AU164" s="218" t="n"/>
      <c r="AV164" s="3" t="n"/>
      <c r="AW164" s="218" t="n"/>
      <c r="AX164" s="218" t="n"/>
      <c r="AY164" s="218" t="n"/>
      <c r="AZ164" s="218" t="n"/>
      <c r="BA164" s="3" t="n"/>
      <c r="BB164" s="218" t="n"/>
      <c r="BC164" s="218" t="n"/>
      <c r="BD164" s="218" t="n"/>
      <c r="BE164" s="218" t="n"/>
      <c r="BF164" s="3" t="n"/>
      <c r="BG164" s="218" t="n"/>
      <c r="BH164" s="218" t="n"/>
      <c r="BI164" s="218" t="n"/>
      <c r="BJ164" s="218" t="n"/>
      <c r="BK164" s="3" t="n"/>
      <c r="BL164" s="218" t="n"/>
      <c r="BM164" s="218" t="n"/>
      <c r="BN164" s="218" t="n"/>
      <c r="BO164" s="218" t="n"/>
      <c r="BP164" s="3" t="n"/>
      <c r="BQ164" s="218" t="n"/>
      <c r="BR164" s="218" t="n"/>
      <c r="BS164" s="218" t="n"/>
      <c r="BT164" s="218" t="n"/>
      <c r="BU164" s="3" t="n"/>
      <c r="BV164" s="218" t="n"/>
      <c r="BW164" s="218" t="n"/>
      <c r="BX164" s="218" t="n"/>
      <c r="BY164" s="218" t="n"/>
      <c r="BZ164" s="3" t="n"/>
      <c r="CA164" s="218" t="n"/>
      <c r="CB164" s="218" t="n"/>
      <c r="CC164" s="218" t="n"/>
      <c r="CD164" s="218" t="n"/>
      <c r="CE164" s="3" t="n"/>
      <c r="CF164" s="218" t="n"/>
      <c r="CG164" s="218" t="n"/>
      <c r="CH164" s="218" t="n"/>
      <c r="CI164" s="218" t="n"/>
      <c r="CJ164" s="3" t="n"/>
      <c r="CK164" s="218" t="n"/>
      <c r="CL164" s="218" t="n"/>
      <c r="CM164" s="218" t="n"/>
      <c r="CN164" s="218" t="n"/>
      <c r="CO164" s="3" t="n"/>
      <c r="CP164" s="218" t="n"/>
      <c r="CQ164" s="218" t="n"/>
      <c r="CR164" s="218" t="n"/>
      <c r="CS164" s="218" t="n"/>
      <c r="CT164" s="3" t="n"/>
      <c r="CU164" s="218" t="n"/>
      <c r="CV164" s="218" t="n"/>
      <c r="CW164" s="218" t="n"/>
      <c r="CX164" s="218" t="n"/>
      <c r="CY164" s="3" t="n"/>
    </row>
    <row r="165" hidden="1" outlineLevel="1">
      <c r="C165" s="3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  <c r="CU165" s="3" t="n"/>
      <c r="CV165" s="3" t="n"/>
      <c r="CW165" s="3" t="n"/>
      <c r="CX165" s="3" t="n"/>
      <c r="CY165" s="3" t="n"/>
    </row>
    <row r="166" collapsed="1">
      <c r="C166" s="26" t="inlineStr">
        <is>
          <t>Goodwill</t>
        </is>
      </c>
      <c r="D166" s="25">
        <f>INDEX('Inputs (2)'!$D$24:$AL$24,MATCH(D$7,'Inputs (2)'!$D$2:$AL$2,0))</f>
        <v>2917</v>
      </c>
      <c r="E166" s="25">
        <f>INDEX('Inputs (2)'!$D$24:$AL$24,MATCH(E$7,'Inputs (2)'!$D$2:$AL$2,0))</f>
        <v>2984</v>
      </c>
      <c r="F166" s="25">
        <f>INDEX('Inputs (2)'!$D$24:$AL$24,MATCH(F$7,'Inputs (2)'!$D$2:$AL$2,0))</f>
        <v>3081</v>
      </c>
      <c r="G166" s="25">
        <f>INDEX('Inputs (2)'!$D$24:$AL$24,MATCH(G$7,'Inputs (2)'!$D$2:$AL$2,0))</f>
        <v>3194</v>
      </c>
      <c r="H166" s="3">
        <f>G166</f>
        <v>3194</v>
      </c>
      <c r="I166" s="25">
        <f>INDEX('Inputs (2)'!$D$24:$AL$24,MATCH(I$7,'Inputs (2)'!$D$2:$AL$2,0))</f>
        <v>3190</v>
      </c>
      <c r="J166" s="25">
        <f>INDEX('Inputs (2)'!$D$24:$AL$24,MATCH(J$7,'Inputs (2)'!$D$2:$AL$2,0))</f>
        <v>3148</v>
      </c>
      <c r="K166" s="25">
        <f>INDEX('Inputs (2)'!$D$24:$AL$24,MATCH(K$7,'Inputs (2)'!$D$2:$AL$2,0))</f>
        <v>3291</v>
      </c>
      <c r="L166" s="25">
        <f>INDEX('Inputs (2)'!$D$24:$AL$24,MATCH(L$7,'Inputs (2)'!$D$2:$AL$2,0))</f>
        <v>3192</v>
      </c>
      <c r="M166" s="3">
        <f>L166</f>
        <v>3192</v>
      </c>
      <c r="N166" s="25">
        <f>INDEX('Inputs (2)'!$D$24:$AL$24,MATCH(N$7,'Inputs (2)'!$D$2:$AL$2,0))</f>
        <v>3812</v>
      </c>
      <c r="O166" s="25">
        <f>INDEX('Inputs (2)'!$D$24:$AL$24,MATCH(O$7,'Inputs (2)'!$D$2:$AL$2,0))</f>
        <v>3754</v>
      </c>
      <c r="P166" s="25">
        <f>INDEX('Inputs (2)'!$D$24:$AL$24,MATCH(P$7,'Inputs (2)'!$D$2:$AL$2,0))</f>
        <v>3687</v>
      </c>
      <c r="Q166" s="25">
        <f>INDEX('Inputs (2)'!$D$24:$AL$24,MATCH(Q$7,'Inputs (2)'!$D$2:$AL$2,0))</f>
        <v>3891</v>
      </c>
      <c r="R166" s="3">
        <f>Q166</f>
        <v>3891</v>
      </c>
      <c r="S166" s="25">
        <f>INDEX('Inputs (2)'!$D$24:$AL$24,MATCH(S$7,'Inputs (2)'!$D$2:$AL$2,0))</f>
        <v>3963</v>
      </c>
      <c r="T166" s="25">
        <f>INDEX('Inputs (2)'!$D$24:$AL$24,MATCH(T$7,'Inputs (2)'!$D$2:$AL$2,0))</f>
        <v>3994</v>
      </c>
      <c r="U166" s="25">
        <f>INDEX('Inputs (2)'!$D$24:$AL$24,MATCH(U$7,'Inputs (2)'!$D$2:$AL$2,0))</f>
        <v>3900</v>
      </c>
      <c r="V166" s="25">
        <f>INDEX('Inputs (2)'!$D$24:$AL$24,MATCH(V$7,'Inputs (2)'!$D$2:$AL$2,0))</f>
        <v>3966</v>
      </c>
      <c r="W166" s="3">
        <f>V166</f>
        <v>3966</v>
      </c>
      <c r="X166" s="25">
        <f>INDEX('Inputs (2)'!$D$24:$AL$24,MATCH(X$7,'Inputs (2)'!$D$2:$AL$2,0))</f>
        <v>3936</v>
      </c>
      <c r="Y166" s="25">
        <f>INDEX('Inputs (2)'!$D$24:$AL$24,MATCH(Y$7,'Inputs (2)'!$D$2:$AL$2,0))</f>
        <v>3960</v>
      </c>
      <c r="Z166" s="25">
        <f>INDEX('Inputs (2)'!$D$24:$AL$24,MATCH(Z$7,'Inputs (2)'!$D$2:$AL$2,0))</f>
        <v>3959</v>
      </c>
      <c r="AA166" s="25">
        <f>INDEX('Inputs (2)'!$D$24:$AL$24,MATCH(AA$7,'Inputs (2)'!$D$2:$AL$2,0))</f>
        <v>3872</v>
      </c>
      <c r="AB166" s="3">
        <f>AA166</f>
        <v>3872</v>
      </c>
      <c r="AC166" s="25">
        <f>INDEX('Inputs (2)'!$D$24:$AL$24,MATCH(AC$7,'Inputs (2)'!$D$2:$AL$2,0))</f>
        <v>4094</v>
      </c>
      <c r="AD166" s="25">
        <f>INDEX('Inputs (2)'!$D$24:$AL$24,MATCH(AD$7,'Inputs (2)'!$D$2:$AL$2,0))</f>
        <v>4209</v>
      </c>
      <c r="AE166" s="25">
        <f>INDEX('Inputs (2)'!$D$24:$AL$24,MATCH(AE$7,'Inputs (2)'!$D$2:$AL$2,0))</f>
        <v>4188</v>
      </c>
      <c r="AF166" s="25">
        <f>INDEX('Inputs (2)'!$D$24:$AL$24,MATCH(AF$7,'Inputs (2)'!$D$2:$AL$2,0))</f>
        <v>4280</v>
      </c>
      <c r="AG166" s="3">
        <f>AF166</f>
        <v>4280</v>
      </c>
      <c r="AH166" s="3">
        <f>INDEX('Inputs (2)'!$D$24:$AL$24,MATCH(AH$7,'Inputs (2)'!$D$2:$AL$2,0))</f>
        <v>4513</v>
      </c>
      <c r="AI166" s="3">
        <f>INDEX('Inputs (2)'!$D$24:$AL$24,MATCH(AI$7,'Inputs (2)'!$D$2:$AL$2,0))</f>
        <v>4466</v>
      </c>
      <c r="AJ166" s="3">
        <f>AI166</f>
        <v>4466</v>
      </c>
      <c r="AK166" s="3">
        <f>AJ166</f>
        <v>4466</v>
      </c>
      <c r="AL166" s="3">
        <f>AK166</f>
        <v>4466</v>
      </c>
      <c r="AM166" s="3">
        <f>AL166</f>
        <v>4466</v>
      </c>
      <c r="AN166" s="3">
        <f>AM166</f>
        <v>4466</v>
      </c>
      <c r="AO166" s="3">
        <f>AN166</f>
        <v>4466</v>
      </c>
      <c r="AP166" s="3">
        <f>AO166</f>
        <v>4466</v>
      </c>
      <c r="AQ166" s="3">
        <f>AP166</f>
        <v>4466</v>
      </c>
      <c r="AR166" s="3">
        <f>AQ166</f>
        <v>4466</v>
      </c>
      <c r="AS166" s="3">
        <f>AR166</f>
        <v>4466</v>
      </c>
      <c r="AT166" s="3">
        <f>AS166</f>
        <v>4466</v>
      </c>
      <c r="AU166" s="3">
        <f>AT166</f>
        <v>4466</v>
      </c>
      <c r="AV166" s="3">
        <f>AU166</f>
        <v>4466</v>
      </c>
      <c r="AW166" s="3">
        <f>AV166</f>
        <v>4466</v>
      </c>
      <c r="AX166" s="3">
        <f>AW166</f>
        <v>4466</v>
      </c>
      <c r="AY166" s="3">
        <f>AX166</f>
        <v>4466</v>
      </c>
      <c r="AZ166" s="3">
        <f>AY166</f>
        <v>4466</v>
      </c>
      <c r="BA166" s="3">
        <f>AZ166</f>
        <v>4466</v>
      </c>
      <c r="BB166" s="3">
        <f>BA166</f>
        <v>4466</v>
      </c>
      <c r="BC166" s="3">
        <f>BB166</f>
        <v>4466</v>
      </c>
      <c r="BD166" s="3">
        <f>BC166</f>
        <v>4466</v>
      </c>
      <c r="BE166" s="3">
        <f>BD166</f>
        <v>4466</v>
      </c>
      <c r="BF166" s="3">
        <f>BE166</f>
        <v>4466</v>
      </c>
      <c r="BG166" s="3">
        <f>BF166</f>
        <v>4466</v>
      </c>
      <c r="BH166" s="3">
        <f>BG166</f>
        <v>4466</v>
      </c>
      <c r="BI166" s="3">
        <f>BH166</f>
        <v>4466</v>
      </c>
      <c r="BJ166" s="3">
        <f>BI166</f>
        <v>4466</v>
      </c>
      <c r="BK166" s="3">
        <f>BJ166</f>
        <v>4466</v>
      </c>
      <c r="BL166" s="3">
        <f>BK166</f>
        <v>4466</v>
      </c>
      <c r="BM166" s="3">
        <f>BL166</f>
        <v>4466</v>
      </c>
      <c r="BN166" s="3">
        <f>BM166</f>
        <v>4466</v>
      </c>
      <c r="BO166" s="3">
        <f>BN166</f>
        <v>4466</v>
      </c>
      <c r="BP166" s="3">
        <f>BO166</f>
        <v>4466</v>
      </c>
      <c r="BQ166" s="3">
        <f>BP166</f>
        <v>4466</v>
      </c>
      <c r="BR166" s="3">
        <f>BQ166</f>
        <v>4466</v>
      </c>
      <c r="BS166" s="3">
        <f>BR166</f>
        <v>4466</v>
      </c>
      <c r="BT166" s="3">
        <f>BS166</f>
        <v>4466</v>
      </c>
      <c r="BU166" s="3">
        <f>BT166</f>
        <v>4466</v>
      </c>
      <c r="BV166" s="3">
        <f>BU166</f>
        <v>4466</v>
      </c>
      <c r="BW166" s="3">
        <f>BV166</f>
        <v>4466</v>
      </c>
      <c r="BX166" s="3">
        <f>BW166</f>
        <v>4466</v>
      </c>
      <c r="BY166" s="3">
        <f>BX166</f>
        <v>4466</v>
      </c>
      <c r="BZ166" s="3">
        <f>BY166</f>
        <v>4466</v>
      </c>
      <c r="CA166" s="3">
        <f>BZ166</f>
        <v>4466</v>
      </c>
      <c r="CB166" s="3">
        <f>CA166</f>
        <v>4466</v>
      </c>
      <c r="CC166" s="3">
        <f>CB166</f>
        <v>4466</v>
      </c>
      <c r="CD166" s="3">
        <f>CC166</f>
        <v>4466</v>
      </c>
      <c r="CE166" s="3">
        <f>CD166</f>
        <v>4466</v>
      </c>
      <c r="CF166" s="3">
        <f>CE166</f>
        <v>4466</v>
      </c>
      <c r="CG166" s="3">
        <f>CF166</f>
        <v>4466</v>
      </c>
      <c r="CH166" s="3">
        <f>CG166</f>
        <v>4466</v>
      </c>
      <c r="CI166" s="3">
        <f>CH166</f>
        <v>4466</v>
      </c>
      <c r="CJ166" s="3">
        <f>CI166</f>
        <v>4466</v>
      </c>
      <c r="CK166" s="3">
        <f>CJ166</f>
        <v>4466</v>
      </c>
      <c r="CL166" s="3">
        <f>CK166</f>
        <v>4466</v>
      </c>
      <c r="CM166" s="3">
        <f>CL166</f>
        <v>4466</v>
      </c>
      <c r="CN166" s="3">
        <f>CM166</f>
        <v>4466</v>
      </c>
      <c r="CO166" s="3">
        <f>CN166</f>
        <v>4466</v>
      </c>
      <c r="CP166" s="3">
        <f>CO166</f>
        <v>4466</v>
      </c>
      <c r="CQ166" s="3">
        <f>CP166</f>
        <v>4466</v>
      </c>
      <c r="CR166" s="3">
        <f>CQ166</f>
        <v>4466</v>
      </c>
      <c r="CS166" s="3">
        <f>CR166</f>
        <v>4466</v>
      </c>
      <c r="CT166" s="3">
        <f>CS166</f>
        <v>4466</v>
      </c>
      <c r="CU166" s="3">
        <f>CT166</f>
        <v>4466</v>
      </c>
      <c r="CV166" s="3">
        <f>CU166</f>
        <v>4466</v>
      </c>
      <c r="CW166" s="3">
        <f>CV166</f>
        <v>4466</v>
      </c>
      <c r="CX166" s="3">
        <f>CW166</f>
        <v>4466</v>
      </c>
      <c r="CY166" s="3">
        <f>CX166</f>
        <v>4466</v>
      </c>
    </row>
    <row r="167">
      <c r="C167" s="26" t="inlineStr">
        <is>
          <t>Intangibles</t>
        </is>
      </c>
      <c r="D167" s="25">
        <f>INDEX('Inputs (2)'!$D$25:$AL$25,MATCH(D$7,'Inputs (2)'!$D$2:$AL$2,0))</f>
        <v>1311</v>
      </c>
      <c r="E167" s="25">
        <f>INDEX('Inputs (2)'!$D$25:$AL$25,MATCH(E$7,'Inputs (2)'!$D$2:$AL$2,0))</f>
        <v>1301</v>
      </c>
      <c r="F167" s="25">
        <f>INDEX('Inputs (2)'!$D$25:$AL$25,MATCH(F$7,'Inputs (2)'!$D$2:$AL$2,0))</f>
        <v>1327</v>
      </c>
      <c r="G167" s="25">
        <f>INDEX('Inputs (2)'!$D$25:$AL$25,MATCH(G$7,'Inputs (2)'!$D$2:$AL$2,0))</f>
        <v>1342</v>
      </c>
      <c r="H167" s="3">
        <f>G167</f>
        <v>1342</v>
      </c>
      <c r="I167" s="25">
        <f>INDEX('Inputs (2)'!$D$25:$AL$25,MATCH(I$7,'Inputs (2)'!$D$2:$AL$2,0))</f>
        <v>1310</v>
      </c>
      <c r="J167" s="25">
        <f>INDEX('Inputs (2)'!$D$25:$AL$25,MATCH(J$7,'Inputs (2)'!$D$2:$AL$2,0))</f>
        <v>1267</v>
      </c>
      <c r="K167" s="25">
        <f>INDEX('Inputs (2)'!$D$25:$AL$25,MATCH(K$7,'Inputs (2)'!$D$2:$AL$2,0))</f>
        <v>1275</v>
      </c>
      <c r="L167" s="25">
        <f>INDEX('Inputs (2)'!$D$25:$AL$25,MATCH(L$7,'Inputs (2)'!$D$2:$AL$2,0))</f>
        <v>1209</v>
      </c>
      <c r="M167" s="3">
        <f>L167</f>
        <v>1209</v>
      </c>
      <c r="N167" s="25">
        <f>INDEX('Inputs (2)'!$D$25:$AL$25,MATCH(N$7,'Inputs (2)'!$D$2:$AL$2,0))</f>
        <v>1352</v>
      </c>
      <c r="O167" s="25">
        <f>INDEX('Inputs (2)'!$D$25:$AL$25,MATCH(O$7,'Inputs (2)'!$D$2:$AL$2,0))</f>
        <v>1281</v>
      </c>
      <c r="P167" s="25">
        <f>INDEX('Inputs (2)'!$D$25:$AL$25,MATCH(P$7,'Inputs (2)'!$D$2:$AL$2,0))</f>
        <v>1218</v>
      </c>
      <c r="Q167" s="25">
        <f>INDEX('Inputs (2)'!$D$25:$AL$25,MATCH(Q$7,'Inputs (2)'!$D$2:$AL$2,0))</f>
        <v>1255</v>
      </c>
      <c r="R167" s="3">
        <f>Q167</f>
        <v>1255</v>
      </c>
      <c r="S167" s="25">
        <f>INDEX('Inputs (2)'!$D$25:$AL$25,MATCH(S$7,'Inputs (2)'!$D$2:$AL$2,0))</f>
        <v>1222</v>
      </c>
      <c r="T167" s="25">
        <f>INDEX('Inputs (2)'!$D$25:$AL$25,MATCH(T$7,'Inputs (2)'!$D$2:$AL$2,0))</f>
        <v>1199</v>
      </c>
      <c r="U167" s="25">
        <f>INDEX('Inputs (2)'!$D$25:$AL$25,MATCH(U$7,'Inputs (2)'!$D$2:$AL$2,0))</f>
        <v>1133</v>
      </c>
      <c r="V167" s="25">
        <f>INDEX('Inputs (2)'!$D$25:$AL$25,MATCH(V$7,'Inputs (2)'!$D$2:$AL$2,0))</f>
        <v>1112</v>
      </c>
      <c r="W167" s="3">
        <f>V167</f>
        <v>1112</v>
      </c>
      <c r="X167" s="25">
        <f>INDEX('Inputs (2)'!$D$25:$AL$25,MATCH(X$7,'Inputs (2)'!$D$2:$AL$2,0))</f>
        <v>1064</v>
      </c>
      <c r="Y167" s="25">
        <f>INDEX('Inputs (2)'!$D$25:$AL$25,MATCH(Y$7,'Inputs (2)'!$D$2:$AL$2,0))</f>
        <v>1030</v>
      </c>
      <c r="Z167" s="25">
        <f>INDEX('Inputs (2)'!$D$25:$AL$25,MATCH(Z$7,'Inputs (2)'!$D$2:$AL$2,0))</f>
        <v>999</v>
      </c>
      <c r="AA167" s="25">
        <f>INDEX('Inputs (2)'!$D$25:$AL$25,MATCH(AA$7,'Inputs (2)'!$D$2:$AL$2,0))</f>
        <v>937</v>
      </c>
      <c r="AB167" s="3">
        <f>AA167</f>
        <v>937</v>
      </c>
      <c r="AC167" s="25">
        <f>INDEX('Inputs (2)'!$D$25:$AL$25,MATCH(AC$7,'Inputs (2)'!$D$2:$AL$2,0))</f>
        <v>964</v>
      </c>
      <c r="AD167" s="25">
        <f>INDEX('Inputs (2)'!$D$25:$AL$25,MATCH(AD$7,'Inputs (2)'!$D$2:$AL$2,0))</f>
        <v>926</v>
      </c>
      <c r="AE167" s="25">
        <f>INDEX('Inputs (2)'!$D$25:$AL$25,MATCH(AE$7,'Inputs (2)'!$D$2:$AL$2,0))</f>
        <v>892</v>
      </c>
      <c r="AF167" s="25">
        <f>INDEX('Inputs (2)'!$D$25:$AL$25,MATCH(AF$7,'Inputs (2)'!$D$2:$AL$2,0))</f>
        <v>880</v>
      </c>
      <c r="AG167" s="3">
        <f>AF167</f>
        <v>880</v>
      </c>
      <c r="AH167" s="3">
        <f>INDEX('Inputs (2)'!$D$25:$AL$25,MATCH(AH$7,'Inputs (2)'!$D$2:$AL$2,0))</f>
        <v>975</v>
      </c>
      <c r="AI167" s="3">
        <f>INDEX('Inputs (2)'!$D$25:$AL$25,MATCH(AI$7,'Inputs (2)'!$D$2:$AL$2,0))</f>
        <v>940</v>
      </c>
      <c r="AJ167" s="3" t="n"/>
      <c r="AK167" s="3" t="n"/>
      <c r="AL167" s="3">
        <f>AK167</f>
        <v>0</v>
      </c>
      <c r="AN167" s="3" t="n"/>
      <c r="AO167" s="3" t="n"/>
      <c r="AP167" s="3" t="n"/>
      <c r="AQ167" s="3">
        <f>AP167</f>
        <v>0</v>
      </c>
      <c r="AS167" s="3" t="n"/>
      <c r="AT167" s="3" t="n"/>
      <c r="AU167" s="3" t="n"/>
      <c r="AV167" s="3">
        <f>AU167</f>
        <v>0</v>
      </c>
      <c r="AX167" s="3" t="n"/>
      <c r="AY167" s="3" t="n"/>
      <c r="AZ167" s="3" t="n"/>
      <c r="BA167" s="3">
        <f>AZ167</f>
        <v>0</v>
      </c>
      <c r="BC167" s="3" t="n"/>
      <c r="BD167" s="3" t="n"/>
      <c r="BE167" s="3" t="n"/>
      <c r="BF167" s="3">
        <f>BE167</f>
        <v>0</v>
      </c>
      <c r="BH167" s="3" t="n"/>
      <c r="BI167" s="3" t="n"/>
      <c r="BJ167" s="3" t="n"/>
      <c r="BK167" s="3">
        <f>BJ167</f>
        <v>0</v>
      </c>
      <c r="BM167" s="3" t="n"/>
      <c r="BN167" s="3" t="n"/>
      <c r="BO167" s="3" t="n"/>
      <c r="BP167" s="3">
        <f>BO167</f>
        <v>0</v>
      </c>
      <c r="BR167" s="3" t="n"/>
      <c r="BS167" s="3" t="n"/>
      <c r="BT167" s="3" t="n"/>
      <c r="BU167" s="3">
        <f>BT167</f>
        <v>0</v>
      </c>
      <c r="BW167" s="3" t="n"/>
      <c r="BX167" s="3" t="n"/>
      <c r="BY167" s="3" t="n"/>
      <c r="BZ167" s="3">
        <f>BY167</f>
        <v>0</v>
      </c>
      <c r="CB167" s="3" t="n"/>
      <c r="CC167" s="3" t="n"/>
      <c r="CD167" s="3" t="n"/>
      <c r="CE167" s="3">
        <f>CD167</f>
        <v>0</v>
      </c>
      <c r="CG167" s="3" t="n"/>
      <c r="CH167" s="3" t="n"/>
      <c r="CI167" s="3" t="n"/>
      <c r="CJ167" s="3">
        <f>CI167</f>
        <v>0</v>
      </c>
      <c r="CL167" s="3" t="n"/>
      <c r="CM167" s="3" t="n"/>
      <c r="CN167" s="3" t="n"/>
      <c r="CO167" s="3">
        <f>CN167</f>
        <v>0</v>
      </c>
      <c r="CQ167" s="3" t="n"/>
      <c r="CR167" s="3" t="n"/>
      <c r="CS167" s="3" t="n"/>
      <c r="CT167" s="3">
        <f>CS167</f>
        <v>0</v>
      </c>
      <c r="CV167" s="3" t="n"/>
      <c r="CW167" s="3" t="n"/>
      <c r="CX167" s="3" t="n"/>
      <c r="CY167" s="3">
        <f>CX167</f>
        <v>0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inlineStr">
        <is>
          <t>Purchase of intangible assets</t>
        </is>
      </c>
      <c r="D169" s="3" t="n"/>
      <c r="E169" s="3">
        <f>E167-D167-E71</f>
        <v>-10</v>
      </c>
      <c r="F169" s="3">
        <f>F167-E167-F71</f>
        <v>26</v>
      </c>
      <c r="G169" s="3">
        <f>G167-F167-G71</f>
        <v>15</v>
      </c>
      <c r="H169" s="3" t="n"/>
      <c r="I169" s="3">
        <f>I167-H167-I71</f>
        <v>-32</v>
      </c>
      <c r="J169" s="3">
        <f>J167-I167-J71</f>
        <v>-43</v>
      </c>
      <c r="K169" s="3">
        <f>K167-J167-K71</f>
        <v>8</v>
      </c>
      <c r="L169" s="3">
        <f>L167-K167-L71</f>
        <v>-66</v>
      </c>
      <c r="M169" s="3" t="n"/>
      <c r="N169" s="3">
        <f>N167-M167-N71</f>
        <v>143</v>
      </c>
      <c r="O169" s="3">
        <f>O167-N167-O71</f>
        <v>-71</v>
      </c>
      <c r="P169" s="3">
        <f>P167-O167-P71</f>
        <v>-63</v>
      </c>
      <c r="Q169" s="3">
        <f>Q167-P167-Q71</f>
        <v>37</v>
      </c>
      <c r="R169" s="3" t="n"/>
      <c r="S169" s="3">
        <f>S167-R167-S71</f>
        <v>-33</v>
      </c>
      <c r="T169" s="3">
        <f>T167-S167-T71</f>
        <v>-23</v>
      </c>
      <c r="U169" s="3">
        <f>U167-T167-U71</f>
        <v>-66</v>
      </c>
      <c r="V169" s="3">
        <f>V167-U167-V71</f>
        <v>-21</v>
      </c>
      <c r="W169" s="3" t="n"/>
      <c r="X169" s="3">
        <f>X167-W167-X71</f>
        <v>-48</v>
      </c>
      <c r="Y169" s="3">
        <f>Y167-X167-Y71</f>
        <v>-34</v>
      </c>
      <c r="Z169" s="3">
        <f>Z167-Y167-Z71</f>
        <v>-31</v>
      </c>
      <c r="AA169" s="3">
        <f>AA167-Z167-AA71</f>
        <v>-62</v>
      </c>
      <c r="AB169" s="3" t="n"/>
      <c r="AC169" s="3">
        <f>AC167-AB167-AC71</f>
        <v>27</v>
      </c>
      <c r="AD169" s="3">
        <f>AD167-AC167-AD71</f>
        <v>-38</v>
      </c>
      <c r="AE169" s="3">
        <f>AE167-AD167-AE71</f>
        <v>-34</v>
      </c>
      <c r="AF169" s="3" t="n"/>
      <c r="AG169" s="3" t="n"/>
      <c r="AH169" s="6">
        <f>AH167-AG167-AH71</f>
        <v>95</v>
      </c>
      <c r="AI169" s="6">
        <f>AI167-AH167-AI71</f>
        <v>-35</v>
      </c>
      <c r="AJ169" s="6" t="n"/>
      <c r="AK169" s="6" t="n"/>
      <c r="AL169" s="3" t="n"/>
      <c r="AM169" s="6" t="n"/>
      <c r="AN169" s="6" t="n"/>
      <c r="AO169" s="6" t="n"/>
      <c r="AP169" s="6" t="n"/>
      <c r="AQ169" s="3" t="n"/>
      <c r="AR169" s="6" t="n"/>
      <c r="AS169" s="6" t="n"/>
      <c r="AT169" s="6" t="n"/>
      <c r="AU169" s="6" t="n"/>
      <c r="AV169" s="3" t="n"/>
      <c r="AW169" s="6" t="n"/>
      <c r="AX169" s="6" t="n"/>
      <c r="AY169" s="6" t="n"/>
      <c r="AZ169" s="6" t="n"/>
      <c r="BA169" s="3" t="n"/>
      <c r="BB169" s="6" t="n"/>
      <c r="BC169" s="6" t="n"/>
      <c r="BD169" s="6" t="n"/>
      <c r="BE169" s="6" t="n"/>
      <c r="BF169" s="3" t="n"/>
      <c r="BG169" s="6" t="n"/>
      <c r="BH169" s="6" t="n"/>
      <c r="BI169" s="6" t="n"/>
      <c r="BJ169" s="6" t="n"/>
      <c r="BK169" s="3" t="n"/>
      <c r="BL169" s="6" t="n"/>
      <c r="BM169" s="6" t="n"/>
      <c r="BN169" s="6" t="n"/>
      <c r="BO169" s="6" t="n"/>
      <c r="BP169" s="3" t="n"/>
      <c r="BQ169" s="6" t="n"/>
      <c r="BR169" s="6" t="n"/>
      <c r="BS169" s="6" t="n"/>
      <c r="BT169" s="6" t="n"/>
      <c r="BU169" s="3" t="n"/>
      <c r="BV169" s="6" t="n"/>
      <c r="BW169" s="6" t="n"/>
      <c r="BX169" s="6" t="n"/>
      <c r="BY169" s="6" t="n"/>
      <c r="BZ169" s="3" t="n"/>
      <c r="CA169" s="6" t="n"/>
      <c r="CB169" s="6" t="n"/>
      <c r="CC169" s="6" t="n"/>
      <c r="CD169" s="6" t="n"/>
      <c r="CE169" s="3" t="n"/>
      <c r="CF169" s="6" t="n"/>
      <c r="CG169" s="6" t="n"/>
      <c r="CH169" s="6" t="n"/>
      <c r="CI169" s="6" t="n"/>
      <c r="CJ169" s="3" t="n"/>
      <c r="CK169" s="6" t="n"/>
      <c r="CL169" s="6" t="n"/>
      <c r="CM169" s="6" t="n"/>
      <c r="CN169" s="6" t="n"/>
      <c r="CO169" s="3" t="n"/>
      <c r="CP169" s="6" t="n"/>
      <c r="CQ169" s="6" t="n"/>
      <c r="CR169" s="6" t="n"/>
      <c r="CS169" s="6" t="n"/>
      <c r="CT169" s="3" t="n"/>
      <c r="CU169" s="6" t="n"/>
      <c r="CV169" s="6" t="n"/>
      <c r="CW169" s="6" t="n"/>
      <c r="CX169" s="6" t="n"/>
      <c r="CY169" s="3" t="n"/>
    </row>
    <row r="170" hidden="1" outlineLevel="1">
      <c r="C170" s="34" t="inlineStr">
        <is>
          <t>Amortization (enter as -)</t>
        </is>
      </c>
      <c r="D170" s="3" t="n"/>
      <c r="E170" s="3">
        <f>E70</f>
        <v>0</v>
      </c>
      <c r="F170" s="3">
        <f>F70</f>
        <v>0</v>
      </c>
      <c r="G170" s="3">
        <f>G70</f>
        <v>0</v>
      </c>
      <c r="H170" s="3" t="n"/>
      <c r="I170" s="3">
        <f>I70</f>
        <v>0</v>
      </c>
      <c r="J170" s="3">
        <f>J70</f>
        <v>0</v>
      </c>
      <c r="K170" s="3">
        <f>K70</f>
        <v>0</v>
      </c>
      <c r="L170" s="3">
        <f>L70</f>
        <v>0</v>
      </c>
      <c r="M170" s="3" t="n"/>
      <c r="N170" s="3">
        <f>N70</f>
        <v>0</v>
      </c>
      <c r="O170" s="3">
        <f>O70</f>
        <v>0</v>
      </c>
      <c r="P170" s="3">
        <f>P70</f>
        <v>0</v>
      </c>
      <c r="Q170" s="3">
        <f>Q70</f>
        <v>0</v>
      </c>
      <c r="R170" s="3" t="n"/>
      <c r="S170" s="3">
        <f>S70</f>
        <v>0</v>
      </c>
      <c r="T170" s="3">
        <f>T70</f>
        <v>0</v>
      </c>
      <c r="U170" s="3">
        <f>U70</f>
        <v>0</v>
      </c>
      <c r="V170" s="3">
        <f>V70</f>
        <v>0</v>
      </c>
      <c r="W170" s="3" t="n"/>
      <c r="X170" s="3">
        <f>X70</f>
        <v>0</v>
      </c>
      <c r="Y170" s="3">
        <f>Y70</f>
        <v>0</v>
      </c>
      <c r="Z170" s="3">
        <f>Z70</f>
        <v>0</v>
      </c>
      <c r="AA170" s="3">
        <f>AA70</f>
        <v>0</v>
      </c>
      <c r="AB170" s="3" t="n"/>
      <c r="AC170" s="3">
        <f>AC70</f>
        <v>0</v>
      </c>
      <c r="AD170" s="3">
        <f>AD70</f>
        <v>0</v>
      </c>
      <c r="AE170" s="3">
        <f>AE70</f>
        <v>0</v>
      </c>
      <c r="AF170" s="3" t="n"/>
      <c r="AG170" s="3" t="n"/>
      <c r="AH170" s="3">
        <f>AH70</f>
        <v>0</v>
      </c>
      <c r="AI170" s="6">
        <f>AI70</f>
        <v>0</v>
      </c>
      <c r="AJ170" s="6" t="n"/>
      <c r="AK170" s="6" t="n"/>
      <c r="AL170" s="3" t="n"/>
      <c r="AM170" s="6" t="n"/>
      <c r="AN170" s="6" t="n"/>
      <c r="AO170" s="6" t="n"/>
      <c r="AP170" s="6" t="n"/>
      <c r="AQ170" s="3" t="n"/>
      <c r="AR170" s="6" t="n"/>
      <c r="AS170" s="6" t="n"/>
      <c r="AT170" s="6" t="n"/>
      <c r="AU170" s="6" t="n"/>
      <c r="AV170" s="3" t="n"/>
      <c r="AW170" s="6" t="n"/>
      <c r="AX170" s="6" t="n"/>
      <c r="AY170" s="6" t="n"/>
      <c r="AZ170" s="6" t="n"/>
      <c r="BA170" s="3" t="n"/>
      <c r="BB170" s="6" t="n"/>
      <c r="BC170" s="6" t="n"/>
      <c r="BD170" s="6" t="n"/>
      <c r="BE170" s="6" t="n"/>
      <c r="BF170" s="3" t="n"/>
      <c r="BG170" s="6" t="n"/>
      <c r="BH170" s="6" t="n"/>
      <c r="BI170" s="6" t="n"/>
      <c r="BJ170" s="6" t="n"/>
      <c r="BK170" s="3" t="n"/>
      <c r="BL170" s="6" t="n"/>
      <c r="BM170" s="6" t="n"/>
      <c r="BN170" s="6" t="n"/>
      <c r="BO170" s="6" t="n"/>
      <c r="BP170" s="3" t="n"/>
      <c r="BQ170" s="6" t="n"/>
      <c r="BR170" s="6" t="n"/>
      <c r="BS170" s="6" t="n"/>
      <c r="BT170" s="6" t="n"/>
      <c r="BU170" s="3" t="n"/>
      <c r="BV170" s="6" t="n"/>
      <c r="BW170" s="6" t="n"/>
      <c r="BX170" s="6" t="n"/>
      <c r="BY170" s="6" t="n"/>
      <c r="BZ170" s="3" t="n"/>
      <c r="CA170" s="6" t="n"/>
      <c r="CB170" s="6" t="n"/>
      <c r="CC170" s="6" t="n"/>
      <c r="CD170" s="6" t="n"/>
      <c r="CE170" s="3" t="n"/>
      <c r="CF170" s="6" t="n"/>
      <c r="CG170" s="6" t="n"/>
      <c r="CH170" s="6" t="n"/>
      <c r="CI170" s="6" t="n"/>
      <c r="CJ170" s="3" t="n"/>
      <c r="CK170" s="6" t="n"/>
      <c r="CL170" s="6" t="n"/>
      <c r="CM170" s="6" t="n"/>
      <c r="CN170" s="6" t="n"/>
      <c r="CO170" s="3" t="n"/>
      <c r="CP170" s="6" t="n"/>
      <c r="CQ170" s="6" t="n"/>
      <c r="CR170" s="6" t="n"/>
      <c r="CS170" s="6" t="n"/>
      <c r="CT170" s="3" t="n"/>
      <c r="CU170" s="6" t="n"/>
      <c r="CV170" s="6" t="n"/>
      <c r="CW170" s="6" t="n"/>
      <c r="CX170" s="6" t="n"/>
      <c r="CY170" s="3" t="n"/>
    </row>
    <row r="171" hidden="1" outlineLevel="1">
      <c r="C171" s="34" t="inlineStr">
        <is>
          <t>Intangibles</t>
        </is>
      </c>
      <c r="D171" s="3" t="n"/>
      <c r="E171" s="3">
        <f>E167</f>
        <v>1301</v>
      </c>
      <c r="F171" s="3">
        <f>F167</f>
        <v>1327</v>
      </c>
      <c r="G171" s="3">
        <f>G167</f>
        <v>1342</v>
      </c>
      <c r="H171" s="3" t="n"/>
      <c r="I171" s="3">
        <f>I167</f>
        <v>1310</v>
      </c>
      <c r="J171" s="3">
        <f>J167</f>
        <v>1267</v>
      </c>
      <c r="K171" s="3">
        <f>K167</f>
        <v>1275</v>
      </c>
      <c r="L171" s="3">
        <f>L167</f>
        <v>1209</v>
      </c>
      <c r="M171" s="3" t="n"/>
      <c r="N171" s="3">
        <f>N167</f>
        <v>1352</v>
      </c>
      <c r="O171" s="3">
        <f>O167</f>
        <v>1281</v>
      </c>
      <c r="P171" s="3">
        <f>P167</f>
        <v>1218</v>
      </c>
      <c r="Q171" s="3">
        <f>Q167</f>
        <v>1255</v>
      </c>
      <c r="R171" s="3" t="n"/>
      <c r="S171" s="3">
        <f>S167</f>
        <v>1222</v>
      </c>
      <c r="T171" s="3">
        <f>T167</f>
        <v>1199</v>
      </c>
      <c r="U171" s="3">
        <f>U167</f>
        <v>1133</v>
      </c>
      <c r="V171" s="3">
        <f>V167</f>
        <v>1112</v>
      </c>
      <c r="W171" s="3" t="n"/>
      <c r="X171" s="3">
        <f>X167</f>
        <v>1064</v>
      </c>
      <c r="Y171" s="3">
        <f>Y167</f>
        <v>1030</v>
      </c>
      <c r="Z171" s="3">
        <f>Z167</f>
        <v>999</v>
      </c>
      <c r="AA171" s="3">
        <f>AA167</f>
        <v>937</v>
      </c>
      <c r="AB171" s="3" t="n"/>
      <c r="AC171" s="3">
        <f>AC167</f>
        <v>964</v>
      </c>
      <c r="AD171" s="3">
        <f>AD167</f>
        <v>926</v>
      </c>
      <c r="AE171" s="3">
        <f>AE167</f>
        <v>892</v>
      </c>
      <c r="AF171" s="3">
        <f>AF167</f>
        <v>880</v>
      </c>
      <c r="AG171" s="3" t="n"/>
      <c r="AH171" s="3">
        <f>AH167</f>
        <v>975</v>
      </c>
      <c r="AI171" s="3">
        <f>AI167</f>
        <v>940</v>
      </c>
      <c r="AJ171" s="3">
        <f>AI171+SUM(AJ169:AJ170)</f>
        <v>940</v>
      </c>
      <c r="AK171" s="3">
        <f>AJ171+SUM(AK169:AK170)</f>
        <v>940</v>
      </c>
      <c r="AL171" s="3" t="n"/>
      <c r="AM171" s="3">
        <f>AK171+SUM(AM169:AM170)</f>
        <v>940</v>
      </c>
      <c r="AN171" s="3">
        <f>AM171+SUM(AN169:AN170)</f>
        <v>940</v>
      </c>
      <c r="AO171" s="3">
        <f>AN171+SUM(AO169:AO170)</f>
        <v>940</v>
      </c>
      <c r="AP171" s="3">
        <f>AO171+SUM(AP169:AP170)</f>
        <v>940</v>
      </c>
      <c r="AQ171" s="3" t="n"/>
      <c r="AR171" s="3">
        <f>AP171+SUM(AR169:AR170)</f>
        <v>940</v>
      </c>
      <c r="AS171" s="3">
        <f>AR171+SUM(AS169:AS170)</f>
        <v>940</v>
      </c>
      <c r="AT171" s="3">
        <f>AS171+SUM(AT169:AT170)</f>
        <v>940</v>
      </c>
      <c r="AU171" s="3">
        <f>AT171+SUM(AU169:AU170)</f>
        <v>940</v>
      </c>
      <c r="AV171" s="3" t="n"/>
      <c r="AW171" s="3">
        <f>AU171+SUM(AW169:AW170)</f>
        <v>940</v>
      </c>
      <c r="AX171" s="3">
        <f>AW171+SUM(AX169:AX170)</f>
        <v>940</v>
      </c>
      <c r="AY171" s="3">
        <f>AX171+SUM(AY169:AY170)</f>
        <v>940</v>
      </c>
      <c r="AZ171" s="3">
        <f>AY171+SUM(AZ169:AZ170)</f>
        <v>940</v>
      </c>
      <c r="BA171" s="3" t="n"/>
      <c r="BB171" s="3">
        <f>AZ171+SUM(BB169:BB170)</f>
        <v>940</v>
      </c>
      <c r="BC171" s="3">
        <f>BB171+SUM(BC169:BC170)</f>
        <v>940</v>
      </c>
      <c r="BD171" s="3">
        <f>BC171+SUM(BD169:BD170)</f>
        <v>940</v>
      </c>
      <c r="BE171" s="3">
        <f>BD171+SUM(BE169:BE170)</f>
        <v>940</v>
      </c>
      <c r="BF171" s="3" t="n"/>
      <c r="BG171" s="3">
        <f>BE171+SUM(BG169:BG170)</f>
        <v>940</v>
      </c>
      <c r="BH171" s="3">
        <f>BG171+SUM(BH169:BH170)</f>
        <v>940</v>
      </c>
      <c r="BI171" s="3">
        <f>BH171+SUM(BI169:BI170)</f>
        <v>940</v>
      </c>
      <c r="BJ171" s="3">
        <f>BI171+SUM(BJ169:BJ170)</f>
        <v>940</v>
      </c>
      <c r="BK171" s="3" t="n"/>
      <c r="BL171" s="3">
        <f>BJ171+SUM(BL169:BL170)</f>
        <v>940</v>
      </c>
      <c r="BM171" s="3">
        <f>BL171+SUM(BM169:BM170)</f>
        <v>940</v>
      </c>
      <c r="BN171" s="3">
        <f>BM171+SUM(BN169:BN170)</f>
        <v>940</v>
      </c>
      <c r="BO171" s="3">
        <f>BN171+SUM(BO169:BO170)</f>
        <v>940</v>
      </c>
      <c r="BP171" s="3" t="n"/>
      <c r="BQ171" s="3">
        <f>BO171+SUM(BQ169:BQ170)</f>
        <v>940</v>
      </c>
      <c r="BR171" s="3">
        <f>BQ171+SUM(BR169:BR170)</f>
        <v>940</v>
      </c>
      <c r="BS171" s="3">
        <f>BR171+SUM(BS169:BS170)</f>
        <v>940</v>
      </c>
      <c r="BT171" s="3">
        <f>BS171+SUM(BT169:BT170)</f>
        <v>940</v>
      </c>
      <c r="BU171" s="3" t="n"/>
      <c r="BV171" s="3">
        <f>BT171+SUM(BV169:BV170)</f>
        <v>940</v>
      </c>
      <c r="BW171" s="3">
        <f>BV171+SUM(BW169:BW170)</f>
        <v>940</v>
      </c>
      <c r="BX171" s="3">
        <f>BW171+SUM(BX169:BX170)</f>
        <v>940</v>
      </c>
      <c r="BY171" s="3">
        <f>BX171+SUM(BY169:BY170)</f>
        <v>940</v>
      </c>
      <c r="BZ171" s="3" t="n"/>
      <c r="CA171" s="3">
        <f>BY171+SUM(CA169:CA170)</f>
        <v>940</v>
      </c>
      <c r="CB171" s="3">
        <f>CA171+SUM(CB169:CB170)</f>
        <v>940</v>
      </c>
      <c r="CC171" s="3">
        <f>CB171+SUM(CC169:CC170)</f>
        <v>940</v>
      </c>
      <c r="CD171" s="3">
        <f>CC171+SUM(CD169:CD170)</f>
        <v>940</v>
      </c>
      <c r="CE171" s="3" t="n"/>
      <c r="CF171" s="3">
        <f>CD171+SUM(CF169:CF170)</f>
        <v>940</v>
      </c>
      <c r="CG171" s="3">
        <f>CF171+SUM(CG169:CG170)</f>
        <v>940</v>
      </c>
      <c r="CH171" s="3">
        <f>CG171+SUM(CH169:CH170)</f>
        <v>940</v>
      </c>
      <c r="CI171" s="3">
        <f>CH171+SUM(CI169:CI170)</f>
        <v>940</v>
      </c>
      <c r="CJ171" s="3" t="n"/>
      <c r="CK171" s="3">
        <f>CI171+SUM(CK169:CK170)</f>
        <v>940</v>
      </c>
      <c r="CL171" s="3">
        <f>CK171+SUM(CL169:CL170)</f>
        <v>940</v>
      </c>
      <c r="CM171" s="3">
        <f>CL171+SUM(CM169:CM170)</f>
        <v>940</v>
      </c>
      <c r="CN171" s="3">
        <f>CM171+SUM(CN169:CN170)</f>
        <v>940</v>
      </c>
      <c r="CO171" s="3" t="n"/>
      <c r="CP171" s="3">
        <f>CN171+SUM(CP169:CP170)</f>
        <v>940</v>
      </c>
      <c r="CQ171" s="3">
        <f>CP171+SUM(CQ169:CQ170)</f>
        <v>940</v>
      </c>
      <c r="CR171" s="3">
        <f>CQ171+SUM(CR169:CR170)</f>
        <v>940</v>
      </c>
      <c r="CS171" s="3">
        <f>CR171+SUM(CS169:CS170)</f>
        <v>940</v>
      </c>
      <c r="CT171" s="3" t="n"/>
      <c r="CU171" s="3">
        <f>CS171+SUM(CU169:CU170)</f>
        <v>940</v>
      </c>
      <c r="CV171" s="3">
        <f>CU171+SUM(CV169:CV170)</f>
        <v>940</v>
      </c>
      <c r="CW171" s="3">
        <f>CV171+SUM(CW169:CW170)</f>
        <v>940</v>
      </c>
      <c r="CX171" s="3">
        <f>CW171+SUM(CX169:CX170)</f>
        <v>940</v>
      </c>
      <c r="CY171" s="3" t="n"/>
      <c r="CZ171">
        <f>CX171+SUM(CZ169:CZ170)</f>
        <v>940</v>
      </c>
      <c r="DA171">
        <f>CZ171+SUM(DA169:DA170)</f>
        <v>940</v>
      </c>
      <c r="DB171">
        <f>DA171+SUM(DB169:DB170)</f>
        <v>940</v>
      </c>
      <c r="DC171">
        <f>DB171+SUM(DC169:DC170)</f>
        <v>940</v>
      </c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hidden="1" outlineLevel="1">
      <c r="C173" s="34" t="inlineStr">
        <is>
          <t>Definir % do D&amp;A No PPE and Intagibles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hidden="1" outlineLevel="1">
      <c r="C175" s="3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collapsed="1">
      <c r="C176" s="26" t="inlineStr">
        <is>
          <t>Other non-current assets</t>
        </is>
      </c>
      <c r="D176" s="25">
        <f>INDEX('Inputs (2)'!$D$26:$AL$26,MATCH(D$7,'Inputs (2)'!$D$2:$AL$2,0))</f>
        <v>0</v>
      </c>
      <c r="E176" s="25">
        <f>INDEX('Inputs (2)'!$D$26:$AL$26,MATCH(E$7,'Inputs (2)'!$D$2:$AL$2,0))</f>
        <v>0</v>
      </c>
      <c r="F176" s="25">
        <f>INDEX('Inputs (2)'!$D$26:$AL$26,MATCH(F$7,'Inputs (2)'!$D$2:$AL$2,0))</f>
        <v>0</v>
      </c>
      <c r="G176" s="25">
        <f>INDEX('Inputs (2)'!$D$26:$AL$26,MATCH(G$7,'Inputs (2)'!$D$2:$AL$2,0))</f>
        <v>0</v>
      </c>
      <c r="H176" s="3">
        <f>G176</f>
        <v>0</v>
      </c>
      <c r="I176" s="25">
        <f>INDEX('Inputs (2)'!$D$26:$AL$26,MATCH(I$7,'Inputs (2)'!$D$2:$AL$2,0))</f>
        <v>0</v>
      </c>
      <c r="J176" s="25">
        <f>INDEX('Inputs (2)'!$D$26:$AL$26,MATCH(J$7,'Inputs (2)'!$D$2:$AL$2,0))</f>
        <v>0</v>
      </c>
      <c r="K176" s="25">
        <f>INDEX('Inputs (2)'!$D$26:$AL$26,MATCH(K$7,'Inputs (2)'!$D$2:$AL$2,0))</f>
        <v>0</v>
      </c>
      <c r="L176" s="25">
        <f>INDEX('Inputs (2)'!$D$26:$AL$26,MATCH(L$7,'Inputs (2)'!$D$2:$AL$2,0))</f>
        <v>0</v>
      </c>
      <c r="M176" s="3">
        <f>L176</f>
        <v>0</v>
      </c>
      <c r="N176" s="25">
        <f>INDEX('Inputs (2)'!$D$26:$AL$26,MATCH(N$7,'Inputs (2)'!$D$2:$AL$2,0))</f>
        <v>0</v>
      </c>
      <c r="O176" s="25">
        <f>INDEX('Inputs (2)'!$D$26:$AL$26,MATCH(O$7,'Inputs (2)'!$D$2:$AL$2,0))</f>
        <v>40197</v>
      </c>
      <c r="P176" s="25">
        <f>INDEX('Inputs (2)'!$D$26:$AL$26,MATCH(P$7,'Inputs (2)'!$D$2:$AL$2,0))</f>
        <v>42570</v>
      </c>
      <c r="Q176" s="25">
        <f>INDEX('Inputs (2)'!$D$26:$AL$26,MATCH(Q$7,'Inputs (2)'!$D$2:$AL$2,0))</f>
        <v>41971</v>
      </c>
      <c r="R176" s="3">
        <f>Q176</f>
        <v>41971</v>
      </c>
      <c r="S176" s="25">
        <f>INDEX('Inputs (2)'!$D$26:$AL$26,MATCH(S$7,'Inputs (2)'!$D$2:$AL$2,0))</f>
        <v>44613</v>
      </c>
      <c r="T176" s="25">
        <f>INDEX('Inputs (2)'!$D$26:$AL$26,MATCH(T$7,'Inputs (2)'!$D$2:$AL$2,0))</f>
        <v>48303</v>
      </c>
      <c r="U176" s="25">
        <f>INDEX('Inputs (2)'!$D$26:$AL$26,MATCH(U$7,'Inputs (2)'!$D$2:$AL$2,0))</f>
        <v>51008</v>
      </c>
      <c r="V176" s="25">
        <f>INDEX('Inputs (2)'!$D$26:$AL$26,MATCH(V$7,'Inputs (2)'!$D$2:$AL$2,0))</f>
        <v>50108</v>
      </c>
      <c r="W176" s="3">
        <f>V176</f>
        <v>50108</v>
      </c>
      <c r="X176" s="25">
        <f>INDEX('Inputs (2)'!$D$26:$AL$26,MATCH(X$7,'Inputs (2)'!$D$2:$AL$2,0))</f>
        <v>52540</v>
      </c>
      <c r="Y176" s="25">
        <f>INDEX('Inputs (2)'!$D$26:$AL$26,MATCH(Y$7,'Inputs (2)'!$D$2:$AL$2,0))</f>
        <v>52170</v>
      </c>
      <c r="Z176" s="25">
        <f>INDEX('Inputs (2)'!$D$26:$AL$26,MATCH(Z$7,'Inputs (2)'!$D$2:$AL$2,0))</f>
        <v>53032</v>
      </c>
      <c r="AA176" s="25">
        <f>INDEX('Inputs (2)'!$D$26:$AL$26,MATCH(AA$7,'Inputs (2)'!$D$2:$AL$2,0))</f>
        <v>49653</v>
      </c>
      <c r="AB176" s="3">
        <f>AA176</f>
        <v>49653</v>
      </c>
      <c r="AC176" s="25">
        <f>INDEX('Inputs (2)'!$D$26:$AL$26,MATCH(AC$7,'Inputs (2)'!$D$2:$AL$2,0))</f>
        <v>50794</v>
      </c>
      <c r="AD176" s="25">
        <f>INDEX('Inputs (2)'!$D$26:$AL$26,MATCH(AD$7,'Inputs (2)'!$D$2:$AL$2,0))</f>
        <v>51878</v>
      </c>
      <c r="AE176" s="25">
        <f>INDEX('Inputs (2)'!$D$26:$AL$26,MATCH(AE$7,'Inputs (2)'!$D$2:$AL$2,0))</f>
        <v>51406</v>
      </c>
      <c r="AF176" s="25">
        <f>INDEX('Inputs (2)'!$D$26:$AL$26,MATCH(AF$7,'Inputs (2)'!$D$2:$AL$2,0))</f>
        <v>48592</v>
      </c>
      <c r="AG176" s="3">
        <f>AF176</f>
        <v>48592</v>
      </c>
      <c r="AH176" s="3">
        <f>INDEX('Inputs (2)'!$D$26:$AL$26,MATCH(AH$7,'Inputs (2)'!$D$2:$AL$2,0))</f>
        <v>49016</v>
      </c>
      <c r="AI176" s="3">
        <f>INDEX('Inputs (2)'!$D$26:$AL$26,MATCH(AI$7,'Inputs (2)'!$D$2:$AL$2,0))</f>
        <v>49176</v>
      </c>
      <c r="AJ176" s="3">
        <f>AI176</f>
        <v>49176</v>
      </c>
      <c r="AK176" s="3">
        <f>AJ176</f>
        <v>49176</v>
      </c>
      <c r="AL176" s="3">
        <f>AK176</f>
        <v>49176</v>
      </c>
      <c r="AM176" s="3">
        <f>AL176</f>
        <v>49176</v>
      </c>
      <c r="AN176" s="3">
        <f>AM176</f>
        <v>49176</v>
      </c>
      <c r="AO176" s="3">
        <f>AN176</f>
        <v>49176</v>
      </c>
      <c r="AP176" s="3">
        <f>AO176</f>
        <v>49176</v>
      </c>
      <c r="AQ176" s="3">
        <f>AP176</f>
        <v>49176</v>
      </c>
      <c r="AR176" s="3">
        <f>AQ176</f>
        <v>49176</v>
      </c>
      <c r="AS176" s="3">
        <f>AR176</f>
        <v>49176</v>
      </c>
      <c r="AT176" s="3">
        <f>AS176</f>
        <v>49176</v>
      </c>
      <c r="AU176" s="3">
        <f>AT176</f>
        <v>49176</v>
      </c>
      <c r="AV176" s="3">
        <f>AU176</f>
        <v>49176</v>
      </c>
      <c r="AW176" s="3">
        <f>AV176</f>
        <v>49176</v>
      </c>
      <c r="AX176" s="3">
        <f>AW176</f>
        <v>49176</v>
      </c>
      <c r="AY176" s="3">
        <f>AX176</f>
        <v>49176</v>
      </c>
      <c r="AZ176" s="3">
        <f>AY176</f>
        <v>49176</v>
      </c>
      <c r="BA176" s="3">
        <f>AZ176</f>
        <v>49176</v>
      </c>
      <c r="BB176" s="3">
        <f>BA176</f>
        <v>49176</v>
      </c>
      <c r="BC176" s="3">
        <f>BB176</f>
        <v>49176</v>
      </c>
      <c r="BD176" s="3">
        <f>BC176</f>
        <v>49176</v>
      </c>
      <c r="BE176" s="3">
        <f>BD176</f>
        <v>49176</v>
      </c>
      <c r="BF176" s="3">
        <f>BE176</f>
        <v>49176</v>
      </c>
      <c r="BG176" s="3">
        <f>BF176</f>
        <v>49176</v>
      </c>
      <c r="BH176" s="3">
        <f>BG176</f>
        <v>49176</v>
      </c>
      <c r="BI176" s="3">
        <f>BH176</f>
        <v>49176</v>
      </c>
      <c r="BJ176" s="3">
        <f>BI176</f>
        <v>49176</v>
      </c>
      <c r="BK176" s="3">
        <f>BJ176</f>
        <v>49176</v>
      </c>
      <c r="BL176" s="3">
        <f>BK176</f>
        <v>49176</v>
      </c>
      <c r="BM176" s="3">
        <f>BL176</f>
        <v>49176</v>
      </c>
      <c r="BN176" s="3">
        <f>BM176</f>
        <v>49176</v>
      </c>
      <c r="BO176" s="3">
        <f>BN176</f>
        <v>49176</v>
      </c>
      <c r="BP176" s="3">
        <f>BO176</f>
        <v>49176</v>
      </c>
      <c r="BQ176" s="3">
        <f>BP176</f>
        <v>49176</v>
      </c>
      <c r="BR176" s="3">
        <f>BQ176</f>
        <v>49176</v>
      </c>
      <c r="BS176" s="3">
        <f>BR176</f>
        <v>49176</v>
      </c>
      <c r="BT176" s="3">
        <f>BS176</f>
        <v>49176</v>
      </c>
      <c r="BU176" s="3">
        <f>BT176</f>
        <v>49176</v>
      </c>
      <c r="BV176" s="3">
        <f>BU176</f>
        <v>49176</v>
      </c>
      <c r="BW176" s="3">
        <f>BV176</f>
        <v>49176</v>
      </c>
      <c r="BX176" s="3">
        <f>BW176</f>
        <v>49176</v>
      </c>
      <c r="BY176" s="3">
        <f>BX176</f>
        <v>49176</v>
      </c>
      <c r="BZ176" s="3">
        <f>BY176</f>
        <v>49176</v>
      </c>
      <c r="CA176" s="3">
        <f>BZ176</f>
        <v>49176</v>
      </c>
      <c r="CB176" s="3">
        <f>CA176</f>
        <v>49176</v>
      </c>
      <c r="CC176" s="3">
        <f>CB176</f>
        <v>49176</v>
      </c>
      <c r="CD176" s="3">
        <f>CC176</f>
        <v>49176</v>
      </c>
      <c r="CE176" s="3">
        <f>CD176</f>
        <v>49176</v>
      </c>
      <c r="CF176" s="3">
        <f>CE176</f>
        <v>49176</v>
      </c>
      <c r="CG176" s="3">
        <f>CF176</f>
        <v>49176</v>
      </c>
      <c r="CH176" s="3">
        <f>CG176</f>
        <v>49176</v>
      </c>
      <c r="CI176" s="3">
        <f>CH176</f>
        <v>49176</v>
      </c>
      <c r="CJ176" s="3">
        <f>CI176</f>
        <v>49176</v>
      </c>
      <c r="CK176" s="3">
        <f>CJ176</f>
        <v>49176</v>
      </c>
      <c r="CL176" s="3">
        <f>CK176</f>
        <v>49176</v>
      </c>
      <c r="CM176" s="3">
        <f>CL176</f>
        <v>49176</v>
      </c>
      <c r="CN176" s="3">
        <f>CM176</f>
        <v>49176</v>
      </c>
      <c r="CO176" s="3">
        <f>CN176</f>
        <v>49176</v>
      </c>
      <c r="CP176" s="3">
        <f>CO176</f>
        <v>49176</v>
      </c>
      <c r="CQ176" s="3">
        <f>CP176</f>
        <v>49176</v>
      </c>
      <c r="CR176" s="3">
        <f>CQ176</f>
        <v>49176</v>
      </c>
      <c r="CS176" s="3">
        <f>CR176</f>
        <v>49176</v>
      </c>
      <c r="CT176" s="3">
        <f>CS176</f>
        <v>49176</v>
      </c>
      <c r="CU176" s="3">
        <f>CT176</f>
        <v>49176</v>
      </c>
      <c r="CV176" s="3">
        <f>CU176</f>
        <v>49176</v>
      </c>
      <c r="CW176" s="3">
        <f>CV176</f>
        <v>49176</v>
      </c>
      <c r="CX176" s="3">
        <f>CW176</f>
        <v>49176</v>
      </c>
      <c r="CY176" s="3">
        <f>CX176</f>
        <v>49176</v>
      </c>
    </row>
    <row r="177" hidden="1" outlineLevel="1">
      <c r="C177" s="38" t="inlineStr">
        <is>
          <t>%(Var.)</t>
        </is>
      </c>
      <c r="D177" s="3" t="n"/>
      <c r="E177" s="47" t="str">
        <f>IFERROR((E176-D176)/D176,"")</f>
        <v/>
      </c>
      <c r="F177" s="47" t="str">
        <f>IFERROR((F176-E176)/E176,"")</f>
        <v/>
      </c>
      <c r="G177" s="47" t="str">
        <f>IFERROR((G176-F176)/F176,"")</f>
        <v/>
      </c>
      <c r="H177" s="3" t="n"/>
      <c r="I177" s="47" t="str">
        <f>IFERROR((I176-H176)/H176,"")</f>
        <v/>
      </c>
      <c r="J177" s="47" t="str">
        <f>IFERROR((J176-I176)/I176,"")</f>
        <v/>
      </c>
      <c r="K177" s="47" t="str">
        <f>IFERROR((K176-J176)/J176,"")</f>
        <v/>
      </c>
      <c r="L177" s="47" t="str">
        <f>IFERROR((L176-K176)/K176,"")</f>
        <v/>
      </c>
      <c r="M177" s="3" t="n"/>
      <c r="N177" s="47" t="str">
        <f>IFERROR((N176-M176)/M176,"")</f>
        <v/>
      </c>
      <c r="O177" s="47" t="str">
        <f>IFERROR((O176-N176)/N176,"")</f>
        <v/>
      </c>
      <c r="P177" s="47">
        <f>IFERROR((P176-O176)/O176,"")</f>
        <v>0.0590342562877827</v>
      </c>
      <c r="Q177" s="47">
        <f>IFERROR((Q176-P176)/P176,"")</f>
        <v>-0.0140709419779187</v>
      </c>
      <c r="R177" s="3" t="n"/>
      <c r="S177" s="47">
        <f>IFERROR((S176-R176)/R176,"")</f>
        <v>0.0629482261561555</v>
      </c>
      <c r="T177" s="47">
        <f>IFERROR((T176-S176)/S176,"")</f>
        <v>0.0827113173290297</v>
      </c>
      <c r="U177" s="47">
        <f>IFERROR((U176-T176)/T176,"")</f>
        <v>0.0560006624847318</v>
      </c>
      <c r="V177" s="47">
        <f>IFERROR((V176-U176)/U176,"")</f>
        <v>-0.0176442910915935</v>
      </c>
      <c r="W177" s="3" t="n"/>
      <c r="X177" s="47">
        <f>IFERROR((X176-W176)/W176,"")</f>
        <v>0.0485351640456614</v>
      </c>
      <c r="Y177" s="47">
        <f>IFERROR((Y176-X176)/X176,"")</f>
        <v>-0.00704225352112676</v>
      </c>
      <c r="Z177" s="47">
        <f>IFERROR((Z176-Y176)/Y176,"")</f>
        <v>0.016522905884608</v>
      </c>
      <c r="AA177" s="47">
        <f>IFERROR((AA176-Z176)/Z176,"")</f>
        <v>-0.0637162467943883</v>
      </c>
      <c r="AB177" s="3" t="n"/>
      <c r="AC177" s="47">
        <f>IFERROR((AC176-AB176)/AB176,"")</f>
        <v>0.0229794775743661</v>
      </c>
      <c r="AD177" s="47">
        <f>IFERROR((AD176-AC176)/AC176,"")</f>
        <v>0.021341103279915</v>
      </c>
      <c r="AE177" s="47">
        <f>IFERROR((AE176-AD176)/AD176,"")</f>
        <v>-0.00909826901576776</v>
      </c>
      <c r="AF177" s="218">
        <f>IFERROR((AF176-AE176)/AE176,"")</f>
        <v>-0.054740691748045</v>
      </c>
      <c r="AG177" s="3" t="n"/>
      <c r="AH177" s="218">
        <f>IFERROR((AH176-AG176)/AG176,"")</f>
        <v>0.00872571616727033</v>
      </c>
      <c r="AI177" s="218">
        <f>IFERROR((AI176-AH176)/AH176,"")</f>
        <v>0.00326424024808226</v>
      </c>
      <c r="AJ177" s="218" t="n"/>
      <c r="AK177" s="218" t="n"/>
      <c r="AL177" s="3" t="n"/>
      <c r="AM177" s="218" t="n"/>
      <c r="AN177" s="218" t="n"/>
      <c r="AO177" s="218" t="n"/>
      <c r="AP177" s="218" t="n"/>
      <c r="AQ177" s="3" t="n"/>
      <c r="AR177" s="218" t="n"/>
      <c r="AS177" s="218" t="n"/>
      <c r="AT177" s="218" t="n"/>
      <c r="AU177" s="218" t="n"/>
      <c r="AV177" s="3" t="n"/>
      <c r="AW177" s="218" t="n"/>
      <c r="AX177" s="218" t="n"/>
      <c r="AY177" s="218" t="n"/>
      <c r="AZ177" s="218" t="n"/>
      <c r="BA177" s="3" t="n"/>
      <c r="BB177" s="218" t="n"/>
      <c r="BC177" s="218" t="n"/>
      <c r="BD177" s="218" t="n"/>
      <c r="BE177" s="218" t="n"/>
      <c r="BF177" s="3" t="n"/>
      <c r="BG177" s="218" t="n"/>
      <c r="BH177" s="218" t="n"/>
      <c r="BI177" s="218" t="n"/>
      <c r="BJ177" s="218" t="n"/>
      <c r="BK177" s="3" t="n"/>
      <c r="BL177" s="218" t="n"/>
      <c r="BM177" s="218" t="n"/>
      <c r="BN177" s="218" t="n"/>
      <c r="BO177" s="218" t="n"/>
      <c r="BP177" s="3" t="n"/>
      <c r="BQ177" s="218" t="n"/>
      <c r="BR177" s="218" t="n"/>
      <c r="BS177" s="218" t="n"/>
      <c r="BT177" s="218" t="n"/>
      <c r="BU177" s="3" t="n"/>
      <c r="BV177" s="218" t="n"/>
      <c r="BW177" s="218" t="n"/>
      <c r="BX177" s="218" t="n"/>
      <c r="BY177" s="218" t="n"/>
      <c r="BZ177" s="3" t="n"/>
      <c r="CA177" s="218" t="n"/>
      <c r="CB177" s="218" t="n"/>
      <c r="CC177" s="218" t="n"/>
      <c r="CD177" s="218" t="n"/>
      <c r="CE177" s="3" t="n"/>
      <c r="CF177" s="218" t="n"/>
      <c r="CG177" s="218" t="n"/>
      <c r="CH177" s="218" t="n"/>
      <c r="CI177" s="218" t="n"/>
      <c r="CJ177" s="3" t="n"/>
      <c r="CK177" s="218" t="n"/>
      <c r="CL177" s="218" t="n"/>
      <c r="CM177" s="218" t="n"/>
      <c r="CN177" s="218" t="n"/>
      <c r="CO177" s="3" t="n"/>
      <c r="CP177" s="218" t="n"/>
      <c r="CQ177" s="218" t="n"/>
      <c r="CR177" s="218" t="n"/>
      <c r="CS177" s="218" t="n"/>
      <c r="CT177" s="3" t="n"/>
      <c r="CU177" s="218" t="n"/>
      <c r="CV177" s="218" t="n"/>
      <c r="CW177" s="218" t="n"/>
      <c r="CX177" s="218" t="n"/>
      <c r="CY177" s="3" t="n"/>
    </row>
    <row r="178" hidden="1" outlineLevel="1">
      <c r="C178" s="34" t="n"/>
      <c r="D178" s="3" t="n"/>
      <c r="E178" s="47" t="n"/>
      <c r="F178" s="47" t="n"/>
      <c r="G178" s="47" t="n"/>
      <c r="H178" s="3" t="n"/>
      <c r="I178" s="47" t="n"/>
      <c r="J178" s="47" t="n"/>
      <c r="K178" s="47" t="n"/>
      <c r="L178" s="47" t="n"/>
      <c r="M178" s="3" t="n"/>
      <c r="N178" s="47" t="n"/>
      <c r="O178" s="47" t="n"/>
      <c r="P178" s="47" t="n"/>
      <c r="Q178" s="47" t="n"/>
      <c r="R178" s="3" t="n"/>
      <c r="S178" s="47" t="n"/>
      <c r="T178" s="47" t="n"/>
      <c r="U178" s="47" t="n"/>
      <c r="V178" s="47" t="n"/>
      <c r="W178" s="3" t="n"/>
      <c r="X178" s="47" t="n"/>
      <c r="Y178" s="47" t="n"/>
      <c r="Z178" s="47" t="n"/>
      <c r="AA178" s="47" t="n"/>
      <c r="AB178" s="3" t="n"/>
      <c r="AC178" s="47" t="n"/>
      <c r="AD178" s="47" t="n"/>
      <c r="AE178" s="47" t="n"/>
      <c r="AF178" s="218" t="n"/>
      <c r="AG178" s="3" t="n"/>
      <c r="AH178" s="218" t="n"/>
      <c r="AI178" s="218" t="n"/>
      <c r="AJ178" s="218" t="n"/>
      <c r="AK178" s="218" t="n"/>
      <c r="AL178" s="3" t="n"/>
      <c r="AM178" s="218" t="n"/>
      <c r="AN178" s="218" t="n"/>
      <c r="AO178" s="218" t="n"/>
      <c r="AP178" s="218" t="n"/>
      <c r="AQ178" s="3" t="n"/>
      <c r="AR178" s="218" t="n"/>
      <c r="AS178" s="218" t="n"/>
      <c r="AT178" s="218" t="n"/>
      <c r="AU178" s="218" t="n"/>
      <c r="AV178" s="3" t="n"/>
      <c r="AW178" s="218" t="n"/>
      <c r="AX178" s="218" t="n"/>
      <c r="AY178" s="218" t="n"/>
      <c r="AZ178" s="218" t="n"/>
      <c r="BA178" s="3" t="n"/>
      <c r="BB178" s="218" t="n"/>
      <c r="BC178" s="218" t="n"/>
      <c r="BD178" s="218" t="n"/>
      <c r="BE178" s="218" t="n"/>
      <c r="BF178" s="3" t="n"/>
      <c r="BG178" s="218" t="n"/>
      <c r="BH178" s="218" t="n"/>
      <c r="BI178" s="218" t="n"/>
      <c r="BJ178" s="218" t="n"/>
      <c r="BK178" s="3" t="n"/>
      <c r="BL178" s="218" t="n"/>
      <c r="BM178" s="218" t="n"/>
      <c r="BN178" s="218" t="n"/>
      <c r="BO178" s="218" t="n"/>
      <c r="BP178" s="3" t="n"/>
      <c r="BQ178" s="218" t="n"/>
      <c r="BR178" s="218" t="n"/>
      <c r="BS178" s="218" t="n"/>
      <c r="BT178" s="218" t="n"/>
      <c r="BU178" s="3" t="n"/>
      <c r="BV178" s="218" t="n"/>
      <c r="BW178" s="218" t="n"/>
      <c r="BX178" s="218" t="n"/>
      <c r="BY178" s="218" t="n"/>
      <c r="BZ178" s="3" t="n"/>
      <c r="CA178" s="218" t="n"/>
      <c r="CB178" s="218" t="n"/>
      <c r="CC178" s="218" t="n"/>
      <c r="CD178" s="218" t="n"/>
      <c r="CE178" s="3" t="n"/>
      <c r="CF178" s="218" t="n"/>
      <c r="CG178" s="218" t="n"/>
      <c r="CH178" s="218" t="n"/>
      <c r="CI178" s="218" t="n"/>
      <c r="CJ178" s="3" t="n"/>
      <c r="CK178" s="218" t="n"/>
      <c r="CL178" s="218" t="n"/>
      <c r="CM178" s="218" t="n"/>
      <c r="CN178" s="218" t="n"/>
      <c r="CO178" s="3" t="n"/>
      <c r="CP178" s="218" t="n"/>
      <c r="CQ178" s="218" t="n"/>
      <c r="CR178" s="218" t="n"/>
      <c r="CS178" s="218" t="n"/>
      <c r="CT178" s="3" t="n"/>
      <c r="CU178" s="218" t="n"/>
      <c r="CV178" s="218" t="n"/>
      <c r="CW178" s="218" t="n"/>
      <c r="CX178" s="218" t="n"/>
      <c r="CY178" s="3" t="n"/>
    </row>
    <row r="179" hidden="1" outlineLevel="1">
      <c r="C179" s="52" t="inlineStr">
        <is>
          <t>Outros Créditos - LP</t>
        </is>
      </c>
      <c r="D179" s="6" t="n"/>
      <c r="E179" s="6" t="n"/>
      <c r="F179" s="6" t="n"/>
      <c r="G179" s="6" t="n"/>
      <c r="H179" s="3" t="n"/>
      <c r="I179" s="6" t="n"/>
      <c r="J179" s="6" t="n"/>
      <c r="K179" s="6" t="n"/>
      <c r="L179" s="6" t="n"/>
      <c r="M179" s="3" t="n"/>
      <c r="N179" s="6" t="n"/>
      <c r="O179" s="6" t="n"/>
      <c r="P179" s="6" t="n"/>
      <c r="Q179" s="6" t="n"/>
      <c r="R179" s="3" t="n"/>
      <c r="S179" s="6" t="n"/>
      <c r="T179" s="6" t="n"/>
      <c r="U179" s="6" t="n"/>
      <c r="V179" s="6" t="n"/>
      <c r="W179" s="3" t="n"/>
      <c r="X179" s="6" t="n"/>
      <c r="Y179" s="6" t="n"/>
      <c r="Z179" s="6" t="n"/>
      <c r="AA179" s="6" t="n"/>
      <c r="AB179" s="3" t="n"/>
      <c r="AC179" s="6" t="n"/>
      <c r="AD179" s="6" t="n"/>
      <c r="AE179" s="6" t="n"/>
      <c r="AF179" s="6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hidden="1" outlineLevel="1">
      <c r="C180" s="52" t="inlineStr">
        <is>
          <t xml:space="preserve">Impostos e Contribuições a Recuperar </t>
        </is>
      </c>
      <c r="D180" s="6" t="n"/>
      <c r="E180" s="6" t="n"/>
      <c r="F180" s="6" t="n"/>
      <c r="G180" s="6" t="n"/>
      <c r="H180" s="3" t="n"/>
      <c r="I180" s="6" t="n"/>
      <c r="J180" s="6" t="n"/>
      <c r="K180" s="6" t="n"/>
      <c r="L180" s="6" t="n"/>
      <c r="M180" s="3" t="n"/>
      <c r="N180" s="6" t="n"/>
      <c r="O180" s="6" t="n"/>
      <c r="P180" s="6" t="n"/>
      <c r="Q180" s="6" t="n"/>
      <c r="R180" s="3" t="n"/>
      <c r="S180" s="6" t="n"/>
      <c r="T180" s="6" t="n"/>
      <c r="U180" s="6" t="n"/>
      <c r="V180" s="6" t="n"/>
      <c r="W180" s="3" t="n"/>
      <c r="X180" s="6" t="n"/>
      <c r="Y180" s="6" t="n"/>
      <c r="Z180" s="6" t="n"/>
      <c r="AA180" s="6" t="n"/>
      <c r="AB180" s="3" t="n"/>
      <c r="AC180" s="6" t="n"/>
      <c r="AD180" s="6" t="n"/>
      <c r="AE180" s="6" t="n"/>
      <c r="AF180" s="6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52" t="inlineStr">
        <is>
          <t xml:space="preserve">Imposto de Renda e Contribuição Social Diferidos </t>
        </is>
      </c>
      <c r="D181" s="6" t="n"/>
      <c r="E181" s="6" t="n"/>
      <c r="F181" s="6" t="n"/>
      <c r="G181" s="6" t="n"/>
      <c r="H181" s="3" t="n"/>
      <c r="I181" s="6" t="n"/>
      <c r="J181" s="6" t="n"/>
      <c r="K181" s="6" t="n"/>
      <c r="L181" s="6" t="n"/>
      <c r="M181" s="3" t="n"/>
      <c r="N181" s="6" t="n"/>
      <c r="O181" s="6" t="n"/>
      <c r="P181" s="6" t="n"/>
      <c r="Q181" s="6" t="n"/>
      <c r="R181" s="3" t="n"/>
      <c r="S181" s="6" t="n"/>
      <c r="T181" s="6" t="n"/>
      <c r="U181" s="6" t="n"/>
      <c r="V181" s="6" t="n"/>
      <c r="W181" s="3" t="n"/>
      <c r="X181" s="6" t="n"/>
      <c r="Y181" s="6" t="n"/>
      <c r="Z181" s="6" t="n"/>
      <c r="AA181" s="6" t="n"/>
      <c r="AB181" s="3" t="n"/>
      <c r="AC181" s="6" t="n"/>
      <c r="AD181" s="6" t="n"/>
      <c r="AE181" s="6" t="n"/>
      <c r="AF181" s="6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52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collapsed="1" customFormat="1" s="17">
      <c r="A184" s="13" t="n"/>
      <c r="B184" s="1" t="n"/>
      <c r="C184" s="14" t="inlineStr">
        <is>
          <t>Total Assets</t>
        </is>
      </c>
      <c r="D184" s="16">
        <f>(D131+D132+D136+D140+D141+D142+D148+D153+D163+D166+D167+D176)</f>
        <v>77326</v>
      </c>
      <c r="E184" s="16">
        <f>(E131+E132+E136+E140+E141+E142+E148+E153+E163+E166+E167+E176)</f>
        <v>77264</v>
      </c>
      <c r="F184" s="16">
        <f>(F131+F132+F136+F140+F141+F142+F148+F153+F163+F166+F167+F176)</f>
        <v>75091</v>
      </c>
      <c r="G184" s="16">
        <f>(G131+G132+G136+G140+G141+G142+G148+G153+G163+G166+G167+G176)</f>
        <v>75480</v>
      </c>
      <c r="H184" s="16">
        <f>SUM(H131,H132,H136,H140,H141,H142,H148,H163,H166,H167,H176,H153)</f>
        <v>75480</v>
      </c>
      <c r="I184" s="16">
        <f>(I131+I132+I136+I140+I141+I142+I148+I153+I163+I166+I167+I176)</f>
        <v>78979</v>
      </c>
      <c r="J184" s="16">
        <f>(J131+J132+J136+J140+J141+J142+J148+J153+J163+J166+J167+J176)</f>
        <v>80688</v>
      </c>
      <c r="K184" s="16">
        <f>(K131+K132+K136+K140+K141+K142+K148+K153+K163+K166+K167+K176)</f>
        <v>84114</v>
      </c>
      <c r="L184" s="16">
        <f>(L131+L132+L136+L140+L141+L142+L148+L153+L163+L166+L167+L176)</f>
        <v>79614</v>
      </c>
      <c r="M184" s="16">
        <f>SUM(M131,M132,M136,M140,M141,M142,M148,M163,M166,M167,M176,M153)</f>
        <v>79614</v>
      </c>
      <c r="N184" s="16">
        <f>(N131+N132+N136+N140+N141+N142+N148+N153+N163+N166+N167+N176)</f>
        <v>84099</v>
      </c>
      <c r="O184" s="16">
        <f>(O131+O132+O136+O140+O141+O142+O148+O153+O163+O166+O167+O176)</f>
        <v>86817</v>
      </c>
      <c r="P184" s="16">
        <f>(P131+P132+P136+P140+P141+P142+P148+P153+P163+P166+P167+P176)</f>
        <v>90030</v>
      </c>
      <c r="Q184" s="16">
        <f>(Q131+Q132+Q136+Q140+Q141+Q142+Q148+Q153+Q163+Q166+Q167+Q176)</f>
        <v>91620</v>
      </c>
      <c r="R184" s="16">
        <f>SUM(R131,R132,R136,R140,R141,R142,R148,R163,R166,R167,R176,R153)</f>
        <v>91620</v>
      </c>
      <c r="S184" s="16">
        <f>(S131+S132+S136+S140+S141+S142+S148+S153+S163+S166+S167+S176)</f>
        <v>98347</v>
      </c>
      <c r="T184" s="16">
        <f>(T131+T132+T136+T140+T141+T142+T148+T153+T163+T166+T167+T176)</f>
        <v>103397</v>
      </c>
      <c r="U184" s="16">
        <f>(U131+U132+U136+U140+U141+U142+U148+U153+U163+U166+U167+U176)</f>
        <v>104087</v>
      </c>
      <c r="V184" s="16">
        <f>(V131+V132+V136+V140+V141+V142+V148+V153+V163+V166+V167+V176)</f>
        <v>101371</v>
      </c>
      <c r="W184" s="16">
        <f>SUM(W131,W132,W136,W140,W141,W142,W148,W163,W166,W167,W176,W153)</f>
        <v>101371</v>
      </c>
      <c r="X184" s="16">
        <f>(X131+X132+X136+X140+X141+X142+X148+X153+X163+X166+X167+X176)</f>
        <v>105628</v>
      </c>
      <c r="Y184" s="16">
        <f>(Y131+Y132+Y136+Y140+Y141+Y142+Y148+Y153+Y163+Y166+Y167+Y176)</f>
        <v>107841</v>
      </c>
      <c r="Z184" s="16">
        <f>(Z131+Z132+Z136+Z140+Z141+Z142+Z148+Z153+Z163+Z166+Z167+Z176)</f>
        <v>107320</v>
      </c>
      <c r="AA184" s="16">
        <f>(AA131+AA132+AA136+AA140+AA141+AA142+AA148+AA153+AA163+AA166+AA167+AA176)</f>
        <v>103119</v>
      </c>
      <c r="AB184" s="16">
        <f>SUM(AB131,AB132,AB136,AB140,AB141,AB142,AB148,AB163,AB166,AB167,AB176,AB153)</f>
        <v>103119</v>
      </c>
      <c r="AC184" s="16">
        <f>(AC131+AC132+AC136+AC140+AC141+AC142+AC148+AC153+AC163+AC166+AC167+AC176)</f>
        <v>106303</v>
      </c>
      <c r="AD184" s="16">
        <f>(AD131+AD132+AD136+AD140+AD141+AD142+AD148+AD153+AD163+AD166+AD167+AD176)</f>
        <v>107817</v>
      </c>
      <c r="AE184" s="16">
        <f>(AE131+AE132+AE136+AE140+AE141+AE142+AE148+AE153+AE163+AE166+AE167+AE176)</f>
        <v>105996</v>
      </c>
      <c r="AF184" s="16">
        <f>(AF131+AF132+AF136+AF140+AF141+AF142+AF148+AF153+AF163+AF166+AF167+AF176)</f>
        <v>103436</v>
      </c>
      <c r="AG184" s="16">
        <f>SUM(AG131,AG132,AG136,AG140,AG141,AG142,AG148,AG163,AG166,AG167,AG176,AG153)</f>
        <v>103436</v>
      </c>
      <c r="AH184" s="16">
        <f>(AH131+AH132+AH136+AH140+AH141+AH142+AH148+AH153+AH163+AH166+AH167+AH176)</f>
        <v>107001</v>
      </c>
      <c r="AI184" s="16">
        <f>(AI131+AI132+AI136+AI140+AI141+AI142+AI148+AI153+AI163+AI166+AI167+AI176)</f>
        <v>107607</v>
      </c>
      <c r="AJ184" s="16">
        <f>(AJ131+AJ132+AJ136+AJ140+AJ141+AJ142+AJ148+AJ153+AJ163+AJ166+AJ167+AJ176)</f>
        <v>110601</v>
      </c>
      <c r="AK184" s="16">
        <f>(AK131+AK132+AK136+AK140+AK141+AK142+AK148+AK153+AK163+AK166+AK167+AK176)</f>
        <v>113208</v>
      </c>
      <c r="AL184" s="16">
        <f>SUM(AL131,AL132,AL136,AL140,AL141,AL142,AL148,AL163,AL166,AL167,AL176,AL153)</f>
        <v>113208</v>
      </c>
      <c r="AM184" s="16" t="e">
        <f>(AM131+AM132+AM136+AM140+AM141+AM142+AM148+AM153+AM163+AM166+AM167+AM176)</f>
        <v>#DIV/0!</v>
      </c>
      <c r="AN184" s="16" t="e">
        <f>(AN131+AN132+AN136+AN140+AN141+AN142+AN148+AN153+AN163+AN166+AN167+AN176)</f>
        <v>#DIV/0!</v>
      </c>
      <c r="AO184" s="16" t="e">
        <f>(AO131+AO132+AO136+AO140+AO141+AO142+AO148+AO153+AO163+AO166+AO167+AO176)</f>
        <v>#DIV/0!</v>
      </c>
      <c r="AP184" s="16" t="e">
        <f>(AP131+AP132+AP136+AP140+AP141+AP142+AP148+AP153+AP163+AP166+AP167+AP176)</f>
        <v>#DIV/0!</v>
      </c>
      <c r="AQ184" s="16" t="e">
        <f>SUM(AQ131,AQ132,AQ136,AQ140,AQ141,AQ142,AQ148,AQ163,AQ166,AQ167,AQ176,AQ153)</f>
        <v>#DIV/0!</v>
      </c>
      <c r="AR184" s="16" t="e">
        <f>(AR131+AR132+AR136+AR140+AR141+AR142+AR148+AR153+AR163+AR166+AR167+AR176)</f>
        <v>#DIV/0!</v>
      </c>
      <c r="AS184" s="16" t="e">
        <f>(AS131+AS132+AS136+AS140+AS141+AS142+AS148+AS153+AS163+AS166+AS167+AS176)</f>
        <v>#DIV/0!</v>
      </c>
      <c r="AT184" s="16" t="e">
        <f>(AT131+AT132+AT136+AT140+AT141+AT142+AT148+AT153+AT163+AT166+AT167+AT176)</f>
        <v>#DIV/0!</v>
      </c>
      <c r="AU184" s="16" t="e">
        <f>(AU131+AU132+AU136+AU140+AU141+AU142+AU148+AU153+AU163+AU166+AU167+AU176)</f>
        <v>#DIV/0!</v>
      </c>
      <c r="AV184" s="16" t="e">
        <f>SUM(AV131,AV132,AV136,AV140,AV141,AV142,AV148,AV163,AV166,AV167,AV176,AV153)</f>
        <v>#DIV/0!</v>
      </c>
      <c r="AW184" s="16" t="e">
        <f>(AW131+AW132+AW136+AW140+AW141+AW142+AW148+AW153+AW163+AW166+AW167+AW176)</f>
        <v>#DIV/0!</v>
      </c>
      <c r="AX184" s="16" t="e">
        <f>(AX131+AX132+AX136+AX140+AX141+AX142+AX148+AX153+AX163+AX166+AX167+AX176)</f>
        <v>#DIV/0!</v>
      </c>
      <c r="AY184" s="16" t="e">
        <f>(AY131+AY132+AY136+AY140+AY141+AY142+AY148+AY153+AY163+AY166+AY167+AY176)</f>
        <v>#DIV/0!</v>
      </c>
      <c r="AZ184" s="16" t="e">
        <f>(AZ131+AZ132+AZ136+AZ140+AZ141+AZ142+AZ148+AZ153+AZ163+AZ166+AZ167+AZ176)</f>
        <v>#DIV/0!</v>
      </c>
      <c r="BA184" s="16" t="e">
        <f>SUM(BA131,BA132,BA136,BA140,BA141,BA142,BA148,BA163,BA166,BA167,BA176,BA153)</f>
        <v>#DIV/0!</v>
      </c>
      <c r="BB184" s="16" t="e">
        <f>(BB131+BB132+BB136+BB140+BB141+BB142+BB148+BB153+BB163+BB166+BB167+BB176)</f>
        <v>#DIV/0!</v>
      </c>
      <c r="BC184" s="16" t="e">
        <f>(BC131+BC132+BC136+BC140+BC141+BC142+BC148+BC153+BC163+BC166+BC167+BC176)</f>
        <v>#DIV/0!</v>
      </c>
      <c r="BD184" s="16" t="e">
        <f>(BD131+BD132+BD136+BD140+BD141+BD142+BD148+BD153+BD163+BD166+BD167+BD176)</f>
        <v>#DIV/0!</v>
      </c>
      <c r="BE184" s="16" t="e">
        <f>(BE131+BE132+BE136+BE140+BE141+BE142+BE148+BE153+BE163+BE166+BE167+BE176)</f>
        <v>#DIV/0!</v>
      </c>
      <c r="BF184" s="16" t="e">
        <f>SUM(BF131,BF132,BF136,BF140,BF141,BF142,BF148,BF163,BF166,BF167,BF176,BF153)</f>
        <v>#DIV/0!</v>
      </c>
      <c r="BG184" s="16" t="e">
        <f>(BG131+BG132+BG136+BG140+BG141+BG142+BG148+BG153+BG163+BG166+BG167+BG176)</f>
        <v>#DIV/0!</v>
      </c>
      <c r="BH184" s="16" t="e">
        <f>(BH131+BH132+BH136+BH140+BH141+BH142+BH148+BH153+BH163+BH166+BH167+BH176)</f>
        <v>#DIV/0!</v>
      </c>
      <c r="BI184" s="16" t="e">
        <f>(BI131+BI132+BI136+BI140+BI141+BI142+BI148+BI153+BI163+BI166+BI167+BI176)</f>
        <v>#DIV/0!</v>
      </c>
      <c r="BJ184" s="16" t="e">
        <f>(BJ131+BJ132+BJ136+BJ140+BJ141+BJ142+BJ148+BJ153+BJ163+BJ166+BJ167+BJ176)</f>
        <v>#DIV/0!</v>
      </c>
      <c r="BK184" s="16" t="e">
        <f>SUM(BK131,BK132,BK136,BK140,BK141,BK142,BK148,BK163,BK166,BK167,BK176,BK153)</f>
        <v>#DIV/0!</v>
      </c>
      <c r="BL184" s="16" t="e">
        <f>(BL131+BL132+BL136+BL140+BL141+BL142+BL148+BL153+BL163+BL166+BL167+BL176)</f>
        <v>#DIV/0!</v>
      </c>
      <c r="BM184" s="16" t="e">
        <f>(BM131+BM132+BM136+BM140+BM141+BM142+BM148+BM153+BM163+BM166+BM167+BM176)</f>
        <v>#DIV/0!</v>
      </c>
      <c r="BN184" s="16" t="e">
        <f>(BN131+BN132+BN136+BN140+BN141+BN142+BN148+BN153+BN163+BN166+BN167+BN176)</f>
        <v>#DIV/0!</v>
      </c>
      <c r="BO184" s="16" t="e">
        <f>(BO131+BO132+BO136+BO140+BO141+BO142+BO148+BO153+BO163+BO166+BO167+BO176)</f>
        <v>#DIV/0!</v>
      </c>
      <c r="BP184" s="16" t="e">
        <f>SUM(BP131,BP132,BP136,BP140,BP141,BP142,BP148,BP163,BP166,BP167,BP176,BP153)</f>
        <v>#DIV/0!</v>
      </c>
      <c r="BQ184" s="16" t="e">
        <f>(BQ131+BQ132+BQ136+BQ140+BQ141+BQ142+BQ148+BQ153+BQ163+BQ166+BQ167+BQ176)</f>
        <v>#DIV/0!</v>
      </c>
      <c r="BR184" s="16" t="e">
        <f>(BR131+BR132+BR136+BR140+BR141+BR142+BR148+BR153+BR163+BR166+BR167+BR176)</f>
        <v>#DIV/0!</v>
      </c>
      <c r="BS184" s="16" t="e">
        <f>(BS131+BS132+BS136+BS140+BS141+BS142+BS148+BS153+BS163+BS166+BS167+BS176)</f>
        <v>#DIV/0!</v>
      </c>
      <c r="BT184" s="16" t="e">
        <f>(BT131+BT132+BT136+BT140+BT141+BT142+BT148+BT153+BT163+BT166+BT167+BT176)</f>
        <v>#DIV/0!</v>
      </c>
      <c r="BU184" s="16" t="e">
        <f>SUM(BU131,BU132,BU136,BU140,BU141,BU142,BU148,BU163,BU166,BU167,BU176,BU153)</f>
        <v>#DIV/0!</v>
      </c>
      <c r="BV184" s="16" t="e">
        <f>(BV131+BV132+BV136+BV140+BV141+BV142+BV148+BV153+BV163+BV166+BV167+BV176)</f>
        <v>#DIV/0!</v>
      </c>
      <c r="BW184" s="16" t="e">
        <f>(BW131+BW132+BW136+BW140+BW141+BW142+BW148+BW153+BW163+BW166+BW167+BW176)</f>
        <v>#DIV/0!</v>
      </c>
      <c r="BX184" s="16" t="e">
        <f>(BX131+BX132+BX136+BX140+BX141+BX142+BX148+BX153+BX163+BX166+BX167+BX176)</f>
        <v>#DIV/0!</v>
      </c>
      <c r="BY184" s="16" t="e">
        <f>(BY131+BY132+BY136+BY140+BY141+BY142+BY148+BY153+BY163+BY166+BY167+BY176)</f>
        <v>#DIV/0!</v>
      </c>
      <c r="BZ184" s="16" t="e">
        <f>SUM(BZ131,BZ132,BZ136,BZ140,BZ141,BZ142,BZ148,BZ163,BZ166,BZ167,BZ176,BZ153)</f>
        <v>#DIV/0!</v>
      </c>
      <c r="CA184" s="16" t="e">
        <f>(CA131+CA132+CA136+CA140+CA141+CA142+CA148+CA153+CA163+CA166+CA167+CA176)</f>
        <v>#DIV/0!</v>
      </c>
      <c r="CB184" s="16" t="e">
        <f>(CB131+CB132+CB136+CB140+CB141+CB142+CB148+CB153+CB163+CB166+CB167+CB176)</f>
        <v>#DIV/0!</v>
      </c>
      <c r="CC184" s="16" t="e">
        <f>(CC131+CC132+CC136+CC140+CC141+CC142+CC148+CC153+CC163+CC166+CC167+CC176)</f>
        <v>#DIV/0!</v>
      </c>
      <c r="CD184" s="16" t="e">
        <f>(CD131+CD132+CD136+CD140+CD141+CD142+CD148+CD153+CD163+CD166+CD167+CD176)</f>
        <v>#DIV/0!</v>
      </c>
      <c r="CE184" s="16" t="e">
        <f>SUM(CE131,CE132,CE136,CE140,CE141,CE142,CE148,CE163,CE166,CE167,CE176,CE153)</f>
        <v>#DIV/0!</v>
      </c>
      <c r="CF184" s="16" t="e">
        <f>(CF131+CF132+CF136+CF140+CF141+CF142+CF148+CF153+CF163+CF166+CF167+CF176)</f>
        <v>#DIV/0!</v>
      </c>
      <c r="CG184" s="16" t="e">
        <f>(CG131+CG132+CG136+CG140+CG141+CG142+CG148+CG153+CG163+CG166+CG167+CG176)</f>
        <v>#DIV/0!</v>
      </c>
      <c r="CH184" s="16" t="e">
        <f>(CH131+CH132+CH136+CH140+CH141+CH142+CH148+CH153+CH163+CH166+CH167+CH176)</f>
        <v>#DIV/0!</v>
      </c>
      <c r="CI184" s="16" t="e">
        <f>(CI131+CI132+CI136+CI140+CI141+CI142+CI148+CI153+CI163+CI166+CI167+CI176)</f>
        <v>#DIV/0!</v>
      </c>
      <c r="CJ184" s="16" t="e">
        <f>SUM(CJ131,CJ132,CJ136,CJ140,CJ141,CJ142,CJ148,CJ163,CJ166,CJ167,CJ176,CJ153)</f>
        <v>#DIV/0!</v>
      </c>
      <c r="CK184" s="16" t="e">
        <f>(CK131+CK132+CK136+CK140+CK141+CK142+CK148+CK153+CK163+CK166+CK167+CK176)</f>
        <v>#DIV/0!</v>
      </c>
      <c r="CL184" s="16" t="e">
        <f>(CL131+CL132+CL136+CL140+CL141+CL142+CL148+CL153+CL163+CL166+CL167+CL176)</f>
        <v>#DIV/0!</v>
      </c>
      <c r="CM184" s="16" t="e">
        <f>(CM131+CM132+CM136+CM140+CM141+CM142+CM148+CM153+CM163+CM166+CM167+CM176)</f>
        <v>#DIV/0!</v>
      </c>
      <c r="CN184" s="16" t="e">
        <f>(CN131+CN132+CN136+CN140+CN141+CN142+CN148+CN153+CN163+CN166+CN167+CN176)</f>
        <v>#DIV/0!</v>
      </c>
      <c r="CO184" s="16" t="e">
        <f>SUM(CO131,CO132,CO136,CO140,CO141,CO142,CO148,CO163,CO166,CO167,CO176,CO153)</f>
        <v>#DIV/0!</v>
      </c>
      <c r="CP184" s="16" t="e">
        <f>(CP131+CP132+CP136+CP140+CP141+CP142+CP148+CP153+CP163+CP166+CP167+CP176)</f>
        <v>#DIV/0!</v>
      </c>
      <c r="CQ184" s="16" t="e">
        <f>(CQ131+CQ132+CQ136+CQ140+CQ141+CQ142+CQ148+CQ153+CQ163+CQ166+CQ167+CQ176)</f>
        <v>#DIV/0!</v>
      </c>
      <c r="CR184" s="16" t="e">
        <f>(CR131+CR132+CR136+CR140+CR141+CR142+CR148+CR153+CR163+CR166+CR167+CR176)</f>
        <v>#DIV/0!</v>
      </c>
      <c r="CS184" s="16" t="e">
        <f>(CS131+CS132+CS136+CS140+CS141+CS142+CS148+CS153+CS163+CS166+CS167+CS176)</f>
        <v>#DIV/0!</v>
      </c>
      <c r="CT184" s="16" t="e">
        <f>SUM(CT131,CT132,CT136,CT140,CT141,CT142,CT148,CT163,CT166,CT167,CT176,CT153)</f>
        <v>#DIV/0!</v>
      </c>
      <c r="CU184" s="16" t="e">
        <f>(CU131+CU132+CU136+CU140+CU141+CU142+CU148+CU153+CU163+CU166+CU167+CU176)</f>
        <v>#DIV/0!</v>
      </c>
      <c r="CV184" s="16" t="e">
        <f>(CV131+CV132+CV136+CV140+CV141+CV142+CV148+CV153+CV163+CV166+CV167+CV176)</f>
        <v>#DIV/0!</v>
      </c>
      <c r="CW184" s="16" t="e">
        <f>(CW131+CW132+CW136+CW140+CW141+CW142+CW148+CW153+CW163+CW166+CW167+CW176)</f>
        <v>#DIV/0!</v>
      </c>
      <c r="CX184" s="16" t="e">
        <f>(CX131+CX132+CX136+CX140+CX141+CX142+CX148+CX153+CX163+CX166+CX167+CX176)</f>
        <v>#DIV/0!</v>
      </c>
      <c r="CY184" s="16" t="e">
        <f>SUM(CY131,CY132,CY136,CY140,CY141,CY142,CY148,CY163,CY166,CY167,CY176,CY153)</f>
        <v>#DIV/0!</v>
      </c>
    </row>
    <row r="185">
      <c r="C185" s="26" t="inlineStr">
        <is>
          <t>Accounts payable</t>
        </is>
      </c>
      <c r="D185" s="25">
        <f>INDEX('Inputs (2)'!$D$28:$AL$28,MATCH(D$7,'Inputs (2)'!$D$2:$AL$2,0))</f>
        <v>0</v>
      </c>
      <c r="E185" s="25">
        <f>INDEX('Inputs (2)'!$D$28:$AL$28,MATCH(E$7,'Inputs (2)'!$D$2:$AL$2,0))</f>
        <v>0</v>
      </c>
      <c r="F185" s="25">
        <f>INDEX('Inputs (2)'!$D$28:$AL$28,MATCH(F$7,'Inputs (2)'!$D$2:$AL$2,0))</f>
        <v>0</v>
      </c>
      <c r="G185" s="25">
        <f>INDEX('Inputs (2)'!$D$28:$AL$28,MATCH(G$7,'Inputs (2)'!$D$2:$AL$2,0))</f>
        <v>0</v>
      </c>
      <c r="H185" s="3">
        <f>G185</f>
        <v>0</v>
      </c>
      <c r="I185" s="25">
        <f>INDEX('Inputs (2)'!$D$28:$AL$28,MATCH(I$7,'Inputs (2)'!$D$2:$AL$2,0))</f>
        <v>0</v>
      </c>
      <c r="J185" s="25">
        <f>INDEX('Inputs (2)'!$D$28:$AL$28,MATCH(J$7,'Inputs (2)'!$D$2:$AL$2,0))</f>
        <v>0</v>
      </c>
      <c r="K185" s="25">
        <f>INDEX('Inputs (2)'!$D$28:$AL$28,MATCH(K$7,'Inputs (2)'!$D$2:$AL$2,0))</f>
        <v>0</v>
      </c>
      <c r="L185" s="25">
        <f>INDEX('Inputs (2)'!$D$28:$AL$28,MATCH(L$7,'Inputs (2)'!$D$2:$AL$2,0))</f>
        <v>0</v>
      </c>
      <c r="M185" s="3">
        <f>L185</f>
        <v>0</v>
      </c>
      <c r="N185" s="25">
        <f>INDEX('Inputs (2)'!$D$28:$AL$28,MATCH(N$7,'Inputs (2)'!$D$2:$AL$2,0))</f>
        <v>0</v>
      </c>
      <c r="O185" s="25">
        <f>INDEX('Inputs (2)'!$D$28:$AL$28,MATCH(O$7,'Inputs (2)'!$D$2:$AL$2,0))</f>
        <v>0</v>
      </c>
      <c r="P185" s="25">
        <f>INDEX('Inputs (2)'!$D$28:$AL$28,MATCH(P$7,'Inputs (2)'!$D$2:$AL$2,0))</f>
        <v>0</v>
      </c>
      <c r="Q185" s="25">
        <f>INDEX('Inputs (2)'!$D$28:$AL$28,MATCH(Q$7,'Inputs (2)'!$D$2:$AL$2,0))</f>
        <v>0</v>
      </c>
      <c r="R185" s="3">
        <f>Q185</f>
        <v>0</v>
      </c>
      <c r="S185" s="25">
        <f>INDEX('Inputs (2)'!$D$28:$AL$28,MATCH(S$7,'Inputs (2)'!$D$2:$AL$2,0))</f>
        <v>0</v>
      </c>
      <c r="T185" s="25">
        <f>INDEX('Inputs (2)'!$D$28:$AL$28,MATCH(T$7,'Inputs (2)'!$D$2:$AL$2,0))</f>
        <v>0</v>
      </c>
      <c r="U185" s="25">
        <f>INDEX('Inputs (2)'!$D$28:$AL$28,MATCH(U$7,'Inputs (2)'!$D$2:$AL$2,0))</f>
        <v>0</v>
      </c>
      <c r="V185" s="25">
        <f>INDEX('Inputs (2)'!$D$28:$AL$28,MATCH(V$7,'Inputs (2)'!$D$2:$AL$2,0))</f>
        <v>0</v>
      </c>
      <c r="W185" s="3">
        <f>V185</f>
        <v>0</v>
      </c>
      <c r="X185" s="25">
        <f>INDEX('Inputs (2)'!$D$28:$AL$28,MATCH(X$7,'Inputs (2)'!$D$2:$AL$2,0))</f>
        <v>0</v>
      </c>
      <c r="Y185" s="25">
        <f>INDEX('Inputs (2)'!$D$28:$AL$28,MATCH(Y$7,'Inputs (2)'!$D$2:$AL$2,0))</f>
        <v>0</v>
      </c>
      <c r="Z185" s="25">
        <f>INDEX('Inputs (2)'!$D$28:$AL$28,MATCH(Z$7,'Inputs (2)'!$D$2:$AL$2,0))</f>
        <v>0</v>
      </c>
      <c r="AA185" s="25">
        <f>INDEX('Inputs (2)'!$D$28:$AL$28,MATCH(AA$7,'Inputs (2)'!$D$2:$AL$2,0))</f>
        <v>0</v>
      </c>
      <c r="AB185" s="3">
        <f>AA185</f>
        <v>0</v>
      </c>
      <c r="AC185" s="25">
        <f>INDEX('Inputs (2)'!$D$28:$AL$28,MATCH(AC$7,'Inputs (2)'!$D$2:$AL$2,0))</f>
        <v>0</v>
      </c>
      <c r="AD185" s="25">
        <f>INDEX('Inputs (2)'!$D$28:$AL$28,MATCH(AD$7,'Inputs (2)'!$D$2:$AL$2,0))</f>
        <v>0</v>
      </c>
      <c r="AE185" s="25">
        <f>INDEX('Inputs (2)'!$D$28:$AL$28,MATCH(AE$7,'Inputs (2)'!$D$2:$AL$2,0))</f>
        <v>0</v>
      </c>
      <c r="AF185" s="25">
        <f>INDEX('Inputs (2)'!$D$28:$AL$28,MATCH(AF$7,'Inputs (2)'!$D$2:$AL$2,0))</f>
        <v>0</v>
      </c>
      <c r="AG185" s="3">
        <f>AF185</f>
        <v>0</v>
      </c>
      <c r="AH185" s="3">
        <f>INDEX('Inputs (2)'!$D$28:$AL$28,MATCH(AH$7,'Inputs (2)'!$D$2:$AL$2,0))</f>
        <v>0</v>
      </c>
      <c r="AI185" s="3">
        <f>INDEX('Inputs (2)'!$D$28:$AL$28,MATCH(AI$7,'Inputs (2)'!$D$2:$AL$2,0))</f>
        <v>0</v>
      </c>
      <c r="AJ185" s="3">
        <f>(AJ186/(AJ$5-AI$5))*-AJ41</f>
        <v>0</v>
      </c>
      <c r="AK185" s="3">
        <f>(AK186/(AK$5-AJ$5))*-AK41</f>
        <v>0</v>
      </c>
      <c r="AL185" s="3">
        <f>AK185</f>
        <v>0</v>
      </c>
      <c r="AM185" s="3">
        <f>(AM186/(AM$5-AL$5))*-AM41</f>
        <v>0</v>
      </c>
      <c r="AN185" s="3">
        <f>(AN186/(AN$5-AM$5))*-AN41</f>
        <v>0</v>
      </c>
      <c r="AO185" s="3">
        <f>(AO186/(AO$5-AN$5))*-AO41</f>
        <v>0</v>
      </c>
      <c r="AP185" s="3">
        <f>(AP186/(AP$5-AO$5))*-AP41</f>
        <v>0</v>
      </c>
      <c r="AQ185" s="3">
        <f>AP185</f>
        <v>0</v>
      </c>
      <c r="AR185" s="3">
        <f>(AR186/(AR$5-AQ$5))*-AR41</f>
        <v>0</v>
      </c>
      <c r="AS185" s="3">
        <f>(AS186/(AS$5-AR$5))*-AS41</f>
        <v>0</v>
      </c>
      <c r="AT185" s="3">
        <f>(AT186/(AT$5-AS$5))*-AT41</f>
        <v>0</v>
      </c>
      <c r="AU185" s="3">
        <f>(AU186/(AU$5-AT$5))*-AU41</f>
        <v>0</v>
      </c>
      <c r="AV185" s="3">
        <f>AU185</f>
        <v>0</v>
      </c>
      <c r="AW185" s="3">
        <f>(AW186/(AW$5-AV$5))*-AW41</f>
        <v>0</v>
      </c>
      <c r="AX185" s="3">
        <f>(AX186/(AX$5-AW$5))*-AX41</f>
        <v>0</v>
      </c>
      <c r="AY185" s="3">
        <f>(AY186/(AY$5-AX$5))*-AY41</f>
        <v>0</v>
      </c>
      <c r="AZ185" s="3">
        <f>(AZ186/(AZ$5-AY$5))*-AZ41</f>
        <v>0</v>
      </c>
      <c r="BA185" s="3">
        <f>AZ185</f>
        <v>0</v>
      </c>
      <c r="BB185" s="3">
        <f>(BB186/(BB$5-BA$5))*-BB41</f>
        <v>0</v>
      </c>
      <c r="BC185" s="3">
        <f>(BC186/(BC$5-BB$5))*-BC41</f>
        <v>0</v>
      </c>
      <c r="BD185" s="3">
        <f>(BD186/(BD$5-BC$5))*-BD41</f>
        <v>0</v>
      </c>
      <c r="BE185" s="3">
        <f>(BE186/(BE$5-BD$5))*-BE41</f>
        <v>0</v>
      </c>
      <c r="BF185" s="3">
        <f>BE185</f>
        <v>0</v>
      </c>
      <c r="BG185" s="3">
        <f>(BG186/(BG$5-BF$5))*-BG41</f>
        <v>0</v>
      </c>
      <c r="BH185" s="3">
        <f>(BH186/(BH$5-BG$5))*-BH41</f>
        <v>0</v>
      </c>
      <c r="BI185" s="3">
        <f>(BI186/(BI$5-BH$5))*-BI41</f>
        <v>0</v>
      </c>
      <c r="BJ185" s="3">
        <f>(BJ186/(BJ$5-BI$5))*-BJ41</f>
        <v>0</v>
      </c>
      <c r="BK185" s="3">
        <f>BJ185</f>
        <v>0</v>
      </c>
      <c r="BL185" s="3">
        <f>(BL186/(BL$5-BK$5))*-BL41</f>
        <v>0</v>
      </c>
      <c r="BM185" s="3">
        <f>(BM186/(BM$5-BL$5))*-BM41</f>
        <v>0</v>
      </c>
      <c r="BN185" s="3">
        <f>(BN186/(BN$5-BM$5))*-BN41</f>
        <v>0</v>
      </c>
      <c r="BO185" s="3">
        <f>(BO186/(BO$5-BN$5))*-BO41</f>
        <v>0</v>
      </c>
      <c r="BP185" s="3">
        <f>BO185</f>
        <v>0</v>
      </c>
      <c r="BQ185" s="3">
        <f>(BQ186/(BQ$5-BP$5))*-BQ41</f>
        <v>0</v>
      </c>
      <c r="BR185" s="3">
        <f>(BR186/(BR$5-BQ$5))*-BR41</f>
        <v>0</v>
      </c>
      <c r="BS185" s="3">
        <f>(BS186/(BS$5-BR$5))*-BS41</f>
        <v>0</v>
      </c>
      <c r="BT185" s="3">
        <f>(BT186/(BT$5-BS$5))*-BT41</f>
        <v>0</v>
      </c>
      <c r="BU185" s="3">
        <f>BT185</f>
        <v>0</v>
      </c>
      <c r="BV185" s="3">
        <f>(BV186/(BV$5-BU$5))*-BV41</f>
        <v>0</v>
      </c>
      <c r="BW185" s="3">
        <f>(BW186/(BW$5-BV$5))*-BW41</f>
        <v>0</v>
      </c>
      <c r="BX185" s="3">
        <f>(BX186/(BX$5-BW$5))*-BX41</f>
        <v>0</v>
      </c>
      <c r="BY185" s="3">
        <f>(BY186/(BY$5-BX$5))*-BY41</f>
        <v>0</v>
      </c>
      <c r="BZ185" s="3">
        <f>BY185</f>
        <v>0</v>
      </c>
      <c r="CA185" s="3">
        <f>(CA186/(CA$5-BZ$5))*-CA41</f>
        <v>0</v>
      </c>
      <c r="CB185" s="3">
        <f>(CB186/(CB$5-CA$5))*-CB41</f>
        <v>0</v>
      </c>
      <c r="CC185" s="3">
        <f>(CC186/(CC$5-CB$5))*-CC41</f>
        <v>0</v>
      </c>
      <c r="CD185" s="3">
        <f>(CD186/(CD$5-CC$5))*-CD41</f>
        <v>0</v>
      </c>
      <c r="CE185" s="3">
        <f>CD185</f>
        <v>0</v>
      </c>
      <c r="CF185" s="3">
        <f>(CF186/(CF$5-CE$5))*-CF41</f>
        <v>0</v>
      </c>
      <c r="CG185" s="3">
        <f>(CG186/(CG$5-CF$5))*-CG41</f>
        <v>0</v>
      </c>
      <c r="CH185" s="3">
        <f>(CH186/(CH$5-CG$5))*-CH41</f>
        <v>0</v>
      </c>
      <c r="CI185" s="3">
        <f>(CI186/(CI$5-CH$5))*-CI41</f>
        <v>0</v>
      </c>
      <c r="CJ185" s="3">
        <f>CI185</f>
        <v>0</v>
      </c>
      <c r="CK185" s="3">
        <f>(CK186/(CK$5-CJ$5))*-CK41</f>
        <v>0</v>
      </c>
      <c r="CL185" s="3">
        <f>(CL186/(CL$5-CK$5))*-CL41</f>
        <v>0</v>
      </c>
      <c r="CM185" s="3">
        <f>(CM186/(CM$5-CL$5))*-CM41</f>
        <v>0</v>
      </c>
      <c r="CN185" s="3">
        <f>(CN186/(CN$5-CM$5))*-CN41</f>
        <v>0</v>
      </c>
      <c r="CO185" s="3">
        <f>CN185</f>
        <v>0</v>
      </c>
      <c r="CP185" s="3">
        <f>(CP186/(CP$5-CO$5))*-CP41</f>
        <v>0</v>
      </c>
      <c r="CQ185" s="3">
        <f>(CQ186/(CQ$5-CP$5))*-CQ41</f>
        <v>0</v>
      </c>
      <c r="CR185" s="3">
        <f>(CR186/(CR$5-CQ$5))*-CR41</f>
        <v>0</v>
      </c>
      <c r="CS185" s="3">
        <f>(CS186/(CS$5-CR$5))*-CS41</f>
        <v>0</v>
      </c>
      <c r="CT185" s="3">
        <f>CS185</f>
        <v>0</v>
      </c>
      <c r="CU185" s="3">
        <f>(CU186/(CU$5-CT$5))*-CU41</f>
        <v>0</v>
      </c>
      <c r="CV185" s="3">
        <f>(CV186/(CV$5-CU$5))*-CV41</f>
        <v>0</v>
      </c>
      <c r="CW185" s="3">
        <f>(CW186/(CW$5-CV$5))*-CW41</f>
        <v>0</v>
      </c>
      <c r="CX185" s="3">
        <f>(CX186/(CX$5-CW$5))*-CX41</f>
        <v>0</v>
      </c>
      <c r="CY185" s="3">
        <f>CX185</f>
        <v>0</v>
      </c>
    </row>
    <row r="186" hidden="1" outlineLevel="1">
      <c r="C186" s="34" t="inlineStr">
        <is>
          <t>DPO</t>
        </is>
      </c>
      <c r="D186" s="3" t="n"/>
      <c r="E186" s="3" t="str">
        <f>IFERROR(-(E185/E$41)*(E$5-D$5),"")</f>
        <v/>
      </c>
      <c r="F186" s="3" t="str">
        <f>IFERROR(-(F185/F$41)*(F$5-E$5),"")</f>
        <v/>
      </c>
      <c r="G186" s="3" t="str">
        <f>IFERROR(-(G185/G$41)*(G$5-F$5),"")</f>
        <v/>
      </c>
      <c r="H186" s="3" t="n"/>
      <c r="I186" s="3" t="str">
        <f>IFERROR(-(I185/I$41)*(I$5-H$5),"")</f>
        <v/>
      </c>
      <c r="J186" s="3" t="str">
        <f>IFERROR(-(J185/J$41)*(J$5-I$5),"")</f>
        <v/>
      </c>
      <c r="K186" s="3" t="str">
        <f>IFERROR(-(K185/K$41)*(K$5-J$5),"")</f>
        <v/>
      </c>
      <c r="L186" s="3" t="str">
        <f>IFERROR(-(L185/L$41)*(L$5-K$5),"")</f>
        <v/>
      </c>
      <c r="M186" s="3" t="n"/>
      <c r="N186" s="3" t="str">
        <f>IFERROR(-(N185/N$41)*(N$5-M$5),"")</f>
        <v/>
      </c>
      <c r="O186" s="3" t="str">
        <f>IFERROR(-(O185/O$41)*(O$5-N$5),"")</f>
        <v/>
      </c>
      <c r="P186" s="3" t="str">
        <f>IFERROR(-(P185/P$41)*(P$5-O$5),"")</f>
        <v/>
      </c>
      <c r="Q186" s="3" t="str">
        <f>IFERROR(-(Q185/Q$41)*(Q$5-P$5),"")</f>
        <v/>
      </c>
      <c r="R186" s="3" t="n"/>
      <c r="S186" s="3" t="str">
        <f>IFERROR(-(S185/S$41)*(S$5-R$5),"")</f>
        <v/>
      </c>
      <c r="T186" s="3" t="str">
        <f>IFERROR(-(T185/T$41)*(T$5-S$5),"")</f>
        <v/>
      </c>
      <c r="U186" s="3" t="str">
        <f>IFERROR(-(U185/U$41)*(U$5-T$5),"")</f>
        <v/>
      </c>
      <c r="V186" s="3" t="str">
        <f>IFERROR(-(V185/V$41)*(V$5-U$5),"")</f>
        <v/>
      </c>
      <c r="W186" s="3" t="n"/>
      <c r="X186" s="3" t="str">
        <f>IFERROR(-(X185/X$41)*(X$5-W$5),"")</f>
        <v/>
      </c>
      <c r="Y186" s="3" t="str">
        <f>IFERROR(-(Y185/Y$41)*(Y$5-X$5),"")</f>
        <v/>
      </c>
      <c r="Z186" s="3" t="str">
        <f>IFERROR(-(Z185/Z$41)*(Z$5-Y$5),"")</f>
        <v/>
      </c>
      <c r="AA186" s="3" t="str">
        <f>IFERROR(-(AA185/AA$41)*(AA$5-Z$5),"")</f>
        <v/>
      </c>
      <c r="AB186" s="3" t="n"/>
      <c r="AC186" s="3" t="str">
        <f>IFERROR(-(AC185/AC$41)*(AC$5-AB$5),"")</f>
        <v/>
      </c>
      <c r="AD186" s="3" t="str">
        <f>IFERROR(-(AD185/AD$41)*(AD$5-AC$5),"")</f>
        <v/>
      </c>
      <c r="AE186" s="3" t="str">
        <f>IFERROR(-(AE185/AE$41)*(AE$5-AD$5),"")</f>
        <v/>
      </c>
      <c r="AF186" s="6" t="str">
        <f>IFERROR(-(AF185/AF$41)*(AF$5-AE$5),"")</f>
        <v/>
      </c>
      <c r="AG186" s="3" t="n"/>
      <c r="AH186" s="6" t="str">
        <f>IFERROR(-(AH185/AH$41)*(AH$5-AG$5),"")</f>
        <v/>
      </c>
      <c r="AI186" s="6" t="str">
        <f>IFERROR(-(AI185/AI$41)*(AI$5-AH$5),"")</f>
        <v/>
      </c>
      <c r="AJ186" s="6" t="n"/>
      <c r="AK186" s="6" t="n"/>
      <c r="AL186" s="3" t="n"/>
      <c r="AM186" s="6" t="n"/>
      <c r="AN186" s="6" t="n"/>
      <c r="AO186" s="6" t="n"/>
      <c r="AP186" s="6" t="n"/>
      <c r="AQ186" s="3" t="n"/>
      <c r="AR186" s="6" t="n"/>
      <c r="AS186" s="6" t="n"/>
      <c r="AT186" s="6" t="n"/>
      <c r="AU186" s="6" t="n"/>
      <c r="AV186" s="3" t="n"/>
      <c r="AW186" s="6" t="n"/>
      <c r="AX186" s="6" t="n"/>
      <c r="AY186" s="6" t="n"/>
      <c r="AZ186" s="6" t="n"/>
      <c r="BA186" s="3" t="n"/>
      <c r="BB186" s="6" t="n"/>
      <c r="BC186" s="6" t="n"/>
      <c r="BD186" s="6" t="n"/>
      <c r="BE186" s="6" t="n"/>
      <c r="BF186" s="3" t="n"/>
      <c r="BG186" s="6" t="n"/>
      <c r="BH186" s="6" t="n"/>
      <c r="BI186" s="6" t="n"/>
      <c r="BJ186" s="6" t="n"/>
      <c r="BK186" s="3" t="n"/>
      <c r="BL186" s="6" t="n"/>
      <c r="BM186" s="6" t="n"/>
      <c r="BN186" s="6" t="n"/>
      <c r="BO186" s="6" t="n"/>
      <c r="BP186" s="3" t="n"/>
      <c r="BQ186" s="6" t="n"/>
      <c r="BR186" s="6" t="n"/>
      <c r="BS186" s="6" t="n"/>
      <c r="BT186" s="6" t="n"/>
      <c r="BU186" s="3" t="n"/>
      <c r="BV186" s="6" t="n"/>
      <c r="BW186" s="6" t="n"/>
      <c r="BX186" s="6" t="n"/>
      <c r="BY186" s="6" t="n"/>
      <c r="BZ186" s="3" t="n"/>
      <c r="CA186" s="6" t="n"/>
      <c r="CB186" s="6" t="n"/>
      <c r="CC186" s="6" t="n"/>
      <c r="CD186" s="6" t="n"/>
      <c r="CE186" s="3" t="n"/>
      <c r="CF186" s="6" t="n"/>
      <c r="CG186" s="6" t="n"/>
      <c r="CH186" s="6" t="n"/>
      <c r="CI186" s="6" t="n"/>
      <c r="CJ186" s="3" t="n"/>
      <c r="CK186" s="6" t="n"/>
      <c r="CL186" s="6" t="n"/>
      <c r="CM186" s="6" t="n"/>
      <c r="CN186" s="6" t="n"/>
      <c r="CO186" s="3" t="n"/>
      <c r="CP186" s="6" t="n"/>
      <c r="CQ186" s="6" t="n"/>
      <c r="CR186" s="6" t="n"/>
      <c r="CS186" s="6" t="n"/>
      <c r="CT186" s="3" t="n"/>
      <c r="CU186" s="6" t="n"/>
      <c r="CV186" s="6" t="n"/>
      <c r="CW186" s="6" t="n"/>
      <c r="CX186" s="6" t="n"/>
      <c r="CY186" s="3" t="n"/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collapsed="1">
      <c r="C189" s="26" t="inlineStr">
        <is>
          <t>Accrued expenses</t>
        </is>
      </c>
      <c r="D189" s="25">
        <f>INDEX('Inputs (2)'!$D$29:$AL$29,MATCH(D$7,'Inputs (2)'!$D$2:$AL$2,0))</f>
        <v>0</v>
      </c>
      <c r="E189" s="25">
        <f>INDEX('Inputs (2)'!$D$29:$AL$29,MATCH(E$7,'Inputs (2)'!$D$2:$AL$2,0))</f>
        <v>0</v>
      </c>
      <c r="F189" s="25">
        <f>INDEX('Inputs (2)'!$D$29:$AL$29,MATCH(F$7,'Inputs (2)'!$D$2:$AL$2,0))</f>
        <v>0</v>
      </c>
      <c r="G189" s="25">
        <f>INDEX('Inputs (2)'!$D$29:$AL$29,MATCH(G$7,'Inputs (2)'!$D$2:$AL$2,0))</f>
        <v>0</v>
      </c>
      <c r="H189" s="3">
        <f>G189</f>
        <v>0</v>
      </c>
      <c r="I189" s="25">
        <f>INDEX('Inputs (2)'!$D$29:$AL$29,MATCH(I$7,'Inputs (2)'!$D$2:$AL$2,0))</f>
        <v>0</v>
      </c>
      <c r="J189" s="25">
        <f>INDEX('Inputs (2)'!$D$29:$AL$29,MATCH(J$7,'Inputs (2)'!$D$2:$AL$2,0))</f>
        <v>0</v>
      </c>
      <c r="K189" s="25">
        <f>INDEX('Inputs (2)'!$D$29:$AL$29,MATCH(K$7,'Inputs (2)'!$D$2:$AL$2,0))</f>
        <v>0</v>
      </c>
      <c r="L189" s="25">
        <f>INDEX('Inputs (2)'!$D$29:$AL$29,MATCH(L$7,'Inputs (2)'!$D$2:$AL$2,0))</f>
        <v>0</v>
      </c>
      <c r="M189" s="3">
        <f>L189</f>
        <v>0</v>
      </c>
      <c r="N189" s="25">
        <f>INDEX('Inputs (2)'!$D$29:$AL$29,MATCH(N$7,'Inputs (2)'!$D$2:$AL$2,0))</f>
        <v>0</v>
      </c>
      <c r="O189" s="25">
        <f>INDEX('Inputs (2)'!$D$29:$AL$29,MATCH(O$7,'Inputs (2)'!$D$2:$AL$2,0))</f>
        <v>0</v>
      </c>
      <c r="P189" s="25">
        <f>INDEX('Inputs (2)'!$D$29:$AL$29,MATCH(P$7,'Inputs (2)'!$D$2:$AL$2,0))</f>
        <v>0</v>
      </c>
      <c r="Q189" s="25">
        <f>INDEX('Inputs (2)'!$D$29:$AL$29,MATCH(Q$7,'Inputs (2)'!$D$2:$AL$2,0))</f>
        <v>0</v>
      </c>
      <c r="R189" s="3">
        <f>Q189</f>
        <v>0</v>
      </c>
      <c r="S189" s="25">
        <f>INDEX('Inputs (2)'!$D$29:$AL$29,MATCH(S$7,'Inputs (2)'!$D$2:$AL$2,0))</f>
        <v>0</v>
      </c>
      <c r="T189" s="25">
        <f>INDEX('Inputs (2)'!$D$29:$AL$29,MATCH(T$7,'Inputs (2)'!$D$2:$AL$2,0))</f>
        <v>0</v>
      </c>
      <c r="U189" s="25">
        <f>INDEX('Inputs (2)'!$D$29:$AL$29,MATCH(U$7,'Inputs (2)'!$D$2:$AL$2,0))</f>
        <v>0</v>
      </c>
      <c r="V189" s="25">
        <f>INDEX('Inputs (2)'!$D$29:$AL$29,MATCH(V$7,'Inputs (2)'!$D$2:$AL$2,0))</f>
        <v>0</v>
      </c>
      <c r="W189" s="3">
        <f>V189</f>
        <v>0</v>
      </c>
      <c r="X189" s="25">
        <f>INDEX('Inputs (2)'!$D$29:$AL$29,MATCH(X$7,'Inputs (2)'!$D$2:$AL$2,0))</f>
        <v>0</v>
      </c>
      <c r="Y189" s="25">
        <f>INDEX('Inputs (2)'!$D$29:$AL$29,MATCH(Y$7,'Inputs (2)'!$D$2:$AL$2,0))</f>
        <v>0</v>
      </c>
      <c r="Z189" s="25">
        <f>INDEX('Inputs (2)'!$D$29:$AL$29,MATCH(Z$7,'Inputs (2)'!$D$2:$AL$2,0))</f>
        <v>0</v>
      </c>
      <c r="AA189" s="25">
        <f>INDEX('Inputs (2)'!$D$29:$AL$29,MATCH(AA$7,'Inputs (2)'!$D$2:$AL$2,0))</f>
        <v>0</v>
      </c>
      <c r="AB189" s="3">
        <f>AA189</f>
        <v>0</v>
      </c>
      <c r="AC189" s="25">
        <f>INDEX('Inputs (2)'!$D$29:$AL$29,MATCH(AC$7,'Inputs (2)'!$D$2:$AL$2,0))</f>
        <v>0</v>
      </c>
      <c r="AD189" s="25">
        <f>INDEX('Inputs (2)'!$D$29:$AL$29,MATCH(AD$7,'Inputs (2)'!$D$2:$AL$2,0))</f>
        <v>0</v>
      </c>
      <c r="AE189" s="25">
        <f>INDEX('Inputs (2)'!$D$29:$AL$29,MATCH(AE$7,'Inputs (2)'!$D$2:$AL$2,0))</f>
        <v>0</v>
      </c>
      <c r="AF189" s="25">
        <f>INDEX('Inputs (2)'!$D$29:$AL$29,MATCH(AF$7,'Inputs (2)'!$D$2:$AL$2,0))</f>
        <v>0</v>
      </c>
      <c r="AG189" s="3">
        <f>AF189</f>
        <v>0</v>
      </c>
      <c r="AH189" s="3">
        <f>INDEX('Inputs (2)'!$D$29:$AL$29,MATCH(AH$7,'Inputs (2)'!$D$2:$AL$2,0))</f>
        <v>0</v>
      </c>
      <c r="AI189" s="3">
        <f>INDEX('Inputs (2)'!$D$29:$AL$29,MATCH(AI$7,'Inputs (2)'!$D$2:$AL$2,0))</f>
        <v>0</v>
      </c>
      <c r="AJ189" s="3">
        <f>AH189*AJ45/AH45</f>
        <v>0</v>
      </c>
      <c r="AK189" s="3">
        <f>AI189*AK45/AI45</f>
        <v>0</v>
      </c>
      <c r="AL189" s="3">
        <f>AK189</f>
        <v>0</v>
      </c>
      <c r="AM189" s="3" t="e">
        <f>AK189*AM45/AK45</f>
        <v>#DIV/0!</v>
      </c>
      <c r="AN189" s="3">
        <f>AL189*AN45/AL45</f>
        <v>0</v>
      </c>
      <c r="AO189" s="3" t="e">
        <f>AM189*AO45/AM45</f>
        <v>#DIV/0!</v>
      </c>
      <c r="AP189" s="3" t="e">
        <f>AN189*AP45/AN45</f>
        <v>#DIV/0!</v>
      </c>
      <c r="AQ189" s="3" t="e">
        <f>AP189</f>
        <v>#DIV/0!</v>
      </c>
      <c r="AR189" s="3" t="e">
        <f>AP189*AR45/AP45</f>
        <v>#DIV/0!</v>
      </c>
      <c r="AS189" s="3" t="e">
        <f>AQ189*AS45/AQ45</f>
        <v>#DIV/0!</v>
      </c>
      <c r="AT189" s="3" t="e">
        <f>AR189*AT45/AR45</f>
        <v>#DIV/0!</v>
      </c>
      <c r="AU189" s="3" t="e">
        <f>AS189*AU45/AS45</f>
        <v>#DIV/0!</v>
      </c>
      <c r="AV189" s="3" t="e">
        <f>AU189</f>
        <v>#DIV/0!</v>
      </c>
      <c r="AW189" s="3" t="e">
        <f>AU189*AW45/AU45</f>
        <v>#DIV/0!</v>
      </c>
      <c r="AX189" s="3" t="e">
        <f>AV189*AX45/AV45</f>
        <v>#DIV/0!</v>
      </c>
      <c r="AY189" s="3" t="e">
        <f>AW189*AY45/AW45</f>
        <v>#DIV/0!</v>
      </c>
      <c r="AZ189" s="3" t="e">
        <f>AX189*AZ45/AX45</f>
        <v>#DIV/0!</v>
      </c>
      <c r="BA189" s="3" t="e">
        <f>AZ189</f>
        <v>#DIV/0!</v>
      </c>
      <c r="BB189" s="3" t="e">
        <f>AZ189*BB45/AZ45</f>
        <v>#DIV/0!</v>
      </c>
      <c r="BC189" s="3" t="e">
        <f>BA189*BC45/BA45</f>
        <v>#DIV/0!</v>
      </c>
      <c r="BD189" s="3" t="e">
        <f>BB189*BD45/BB45</f>
        <v>#DIV/0!</v>
      </c>
      <c r="BE189" s="3" t="e">
        <f>BC189*BE45/BC45</f>
        <v>#DIV/0!</v>
      </c>
      <c r="BF189" s="3" t="e">
        <f>BE189</f>
        <v>#DIV/0!</v>
      </c>
      <c r="BG189" s="3" t="e">
        <f>BE189*BG45/BE45</f>
        <v>#DIV/0!</v>
      </c>
      <c r="BH189" s="3" t="e">
        <f>BF189*BH45/BF45</f>
        <v>#DIV/0!</v>
      </c>
      <c r="BI189" s="3" t="e">
        <f>BG189*BI45/BG45</f>
        <v>#DIV/0!</v>
      </c>
      <c r="BJ189" s="3" t="e">
        <f>BH189*BJ45/BH45</f>
        <v>#DIV/0!</v>
      </c>
      <c r="BK189" s="3" t="e">
        <f>BJ189</f>
        <v>#DIV/0!</v>
      </c>
      <c r="BL189" s="3" t="e">
        <f>BJ189*BL45/BJ45</f>
        <v>#DIV/0!</v>
      </c>
      <c r="BM189" s="3" t="e">
        <f>BK189*BM45/BK45</f>
        <v>#DIV/0!</v>
      </c>
      <c r="BN189" s="3" t="e">
        <f>BL189*BN45/BL45</f>
        <v>#DIV/0!</v>
      </c>
      <c r="BO189" s="3" t="e">
        <f>BM189*BO45/BM45</f>
        <v>#DIV/0!</v>
      </c>
      <c r="BP189" s="3" t="e">
        <f>BO189</f>
        <v>#DIV/0!</v>
      </c>
      <c r="BQ189" s="3" t="e">
        <f>BO189*BQ45/BO45</f>
        <v>#DIV/0!</v>
      </c>
      <c r="BR189" s="3" t="e">
        <f>BP189*BR45/BP45</f>
        <v>#DIV/0!</v>
      </c>
      <c r="BS189" s="3" t="e">
        <f>BQ189*BS45/BQ45</f>
        <v>#DIV/0!</v>
      </c>
      <c r="BT189" s="3" t="e">
        <f>BR189*BT45/BR45</f>
        <v>#DIV/0!</v>
      </c>
      <c r="BU189" s="3" t="e">
        <f>BT189</f>
        <v>#DIV/0!</v>
      </c>
      <c r="BV189" s="3" t="e">
        <f>BT189*BV45/BT45</f>
        <v>#DIV/0!</v>
      </c>
      <c r="BW189" s="3" t="e">
        <f>BU189*BW45/BU45</f>
        <v>#DIV/0!</v>
      </c>
      <c r="BX189" s="3" t="e">
        <f>BV189*BX45/BV45</f>
        <v>#DIV/0!</v>
      </c>
      <c r="BY189" s="3" t="e">
        <f>BW189*BY45/BW45</f>
        <v>#DIV/0!</v>
      </c>
      <c r="BZ189" s="3" t="e">
        <f>BY189</f>
        <v>#DIV/0!</v>
      </c>
      <c r="CA189" s="3" t="e">
        <f>BY189*CA45/BY45</f>
        <v>#DIV/0!</v>
      </c>
      <c r="CB189" s="3" t="e">
        <f>BZ189*CB45/BZ45</f>
        <v>#DIV/0!</v>
      </c>
      <c r="CC189" s="3" t="e">
        <f>CA189*CC45/CA45</f>
        <v>#DIV/0!</v>
      </c>
      <c r="CD189" s="3" t="e">
        <f>CB189*CD45/CB45</f>
        <v>#DIV/0!</v>
      </c>
      <c r="CE189" s="3" t="e">
        <f>CD189</f>
        <v>#DIV/0!</v>
      </c>
      <c r="CF189" s="3" t="e">
        <f>CD189*CF45/CD45</f>
        <v>#DIV/0!</v>
      </c>
      <c r="CG189" s="3" t="e">
        <f>CE189*CG45/CE45</f>
        <v>#DIV/0!</v>
      </c>
      <c r="CH189" s="3" t="e">
        <f>CF189*CH45/CF45</f>
        <v>#DIV/0!</v>
      </c>
      <c r="CI189" s="3" t="e">
        <f>CG189*CI45/CG45</f>
        <v>#DIV/0!</v>
      </c>
      <c r="CJ189" s="3" t="e">
        <f>CI189</f>
        <v>#DIV/0!</v>
      </c>
      <c r="CK189" s="3" t="e">
        <f>CI189*CK45/CI45</f>
        <v>#DIV/0!</v>
      </c>
      <c r="CL189" s="3" t="e">
        <f>CJ189*CL45/CJ45</f>
        <v>#DIV/0!</v>
      </c>
      <c r="CM189" s="3" t="e">
        <f>CK189*CM45/CK45</f>
        <v>#DIV/0!</v>
      </c>
      <c r="CN189" s="3" t="e">
        <f>CL189*CN45/CL45</f>
        <v>#DIV/0!</v>
      </c>
      <c r="CO189" s="3" t="e">
        <f>CN189</f>
        <v>#DIV/0!</v>
      </c>
      <c r="CP189" s="3" t="e">
        <f>CN189*CP45/CN45</f>
        <v>#DIV/0!</v>
      </c>
      <c r="CQ189" s="3" t="e">
        <f>CO189*CQ45/CO45</f>
        <v>#DIV/0!</v>
      </c>
      <c r="CR189" s="3" t="e">
        <f>CP189*CR45/CP45</f>
        <v>#DIV/0!</v>
      </c>
      <c r="CS189" s="3" t="e">
        <f>CQ189*CS45/CQ45</f>
        <v>#DIV/0!</v>
      </c>
      <c r="CT189" s="3" t="e">
        <f>CS189</f>
        <v>#DIV/0!</v>
      </c>
      <c r="CU189" s="3" t="e">
        <f>CS189*CU45/CS45</f>
        <v>#DIV/0!</v>
      </c>
      <c r="CV189" s="3" t="e">
        <f>CT189*CV45/CT45</f>
        <v>#DIV/0!</v>
      </c>
      <c r="CW189" s="3" t="e">
        <f>CU189*CW45/CU45</f>
        <v>#DIV/0!</v>
      </c>
      <c r="CX189" s="3" t="e">
        <f>CV189*CX45/CV45</f>
        <v>#DIV/0!</v>
      </c>
      <c r="CY189" s="3" t="e">
        <f>CX189</f>
        <v>#DIV/0!</v>
      </c>
    </row>
    <row r="190" hidden="1" outlineLevel="1">
      <c r="C190" s="38" t="inlineStr">
        <is>
          <t>%(Var.)</t>
        </is>
      </c>
      <c r="D190" s="3" t="n"/>
      <c r="E190" s="47" t="str">
        <f>IFERROR((E189-D189)/D189,"")</f>
        <v/>
      </c>
      <c r="F190" s="47" t="str">
        <f>IFERROR((F189-E189)/E189,"")</f>
        <v/>
      </c>
      <c r="G190" s="47" t="str">
        <f>IFERROR((G189-F189)/F189,"")</f>
        <v/>
      </c>
      <c r="H190" s="3" t="n"/>
      <c r="I190" s="47" t="str">
        <f>IFERROR((I189-H189)/H189,"")</f>
        <v/>
      </c>
      <c r="J190" s="47" t="str">
        <f>IFERROR((J189-I189)/I189,"")</f>
        <v/>
      </c>
      <c r="K190" s="47" t="str">
        <f>IFERROR((K189-J189)/J189,"")</f>
        <v/>
      </c>
      <c r="L190" s="47" t="str">
        <f>IFERROR((L189-K189)/K189,"")</f>
        <v/>
      </c>
      <c r="M190" s="3" t="n"/>
      <c r="N190" s="47" t="str">
        <f>IFERROR((N189-M189)/M189,"")</f>
        <v/>
      </c>
      <c r="O190" s="47" t="str">
        <f>IFERROR((O189-N189)/N189,"")</f>
        <v/>
      </c>
      <c r="P190" s="47" t="str">
        <f>IFERROR((P189-O189)/O189,"")</f>
        <v/>
      </c>
      <c r="Q190" s="47" t="str">
        <f>IFERROR((Q189-P189)/P189,"")</f>
        <v/>
      </c>
      <c r="R190" s="3" t="n"/>
      <c r="S190" s="47" t="str">
        <f>IFERROR((S189-R189)/R189,"")</f>
        <v/>
      </c>
      <c r="T190" s="47" t="str">
        <f>IFERROR((T189-S189)/S189,"")</f>
        <v/>
      </c>
      <c r="U190" s="47" t="str">
        <f>IFERROR((U189-T189)/T189,"")</f>
        <v/>
      </c>
      <c r="V190" s="47" t="str">
        <f>IFERROR((V189-U189)/U189,"")</f>
        <v/>
      </c>
      <c r="W190" s="3" t="n"/>
      <c r="X190" s="47" t="str">
        <f>IFERROR((X189-W189)/W189,"")</f>
        <v/>
      </c>
      <c r="Y190" s="47" t="str">
        <f>IFERROR((Y189-X189)/X189,"")</f>
        <v/>
      </c>
      <c r="Z190" s="47" t="str">
        <f>IFERROR((Z189-Y189)/Y189,"")</f>
        <v/>
      </c>
      <c r="AA190" s="47" t="str">
        <f>IFERROR((AA189-Z189)/Z189,"")</f>
        <v/>
      </c>
      <c r="AB190" s="3" t="n"/>
      <c r="AC190" s="47" t="str">
        <f>IFERROR((AC189-AB189)/AB189,"")</f>
        <v/>
      </c>
      <c r="AD190" s="47" t="str">
        <f>IFERROR((AD189-AC189)/AC189,"")</f>
        <v/>
      </c>
      <c r="AE190" s="47" t="str">
        <f>IFERROR((AE189-AD189)/AD189,"")</f>
        <v/>
      </c>
      <c r="AF190" s="218" t="str">
        <f>IFERROR((AF189-AE189)/AE189,"")</f>
        <v/>
      </c>
      <c r="AG190" s="3" t="n"/>
      <c r="AH190" s="218" t="str">
        <f>IFERROR((AH189-AG189)/AG189,"")</f>
        <v/>
      </c>
      <c r="AI190" s="218" t="str">
        <f>IFERROR((AI189-AH189)/AH189,"")</f>
        <v/>
      </c>
      <c r="AJ190" s="218" t="n"/>
      <c r="AK190" s="218" t="n"/>
      <c r="AL190" s="3" t="n"/>
      <c r="AM190" s="218" t="n"/>
      <c r="AN190" s="218" t="n"/>
      <c r="AO190" s="218" t="n"/>
      <c r="AP190" s="218" t="n"/>
      <c r="AQ190" s="3" t="n"/>
      <c r="AR190" s="218" t="n"/>
      <c r="AS190" s="218" t="n"/>
      <c r="AT190" s="218" t="n"/>
      <c r="AU190" s="218" t="n"/>
      <c r="AV190" s="3" t="n"/>
      <c r="AW190" s="218" t="n"/>
      <c r="AX190" s="218" t="n"/>
      <c r="AY190" s="218" t="n"/>
      <c r="AZ190" s="218" t="n"/>
      <c r="BA190" s="3" t="n"/>
      <c r="BB190" s="218" t="n"/>
      <c r="BC190" s="218" t="n"/>
      <c r="BD190" s="218" t="n"/>
      <c r="BE190" s="218" t="n"/>
      <c r="BF190" s="3" t="n"/>
      <c r="BG190" s="218" t="n"/>
      <c r="BH190" s="218" t="n"/>
      <c r="BI190" s="218" t="n"/>
      <c r="BJ190" s="218" t="n"/>
      <c r="BK190" s="3" t="n"/>
      <c r="BL190" s="218" t="n"/>
      <c r="BM190" s="218" t="n"/>
      <c r="BN190" s="218" t="n"/>
      <c r="BO190" s="218" t="n"/>
      <c r="BP190" s="3" t="n"/>
      <c r="BQ190" s="218" t="n"/>
      <c r="BR190" s="218" t="n"/>
      <c r="BS190" s="218" t="n"/>
      <c r="BT190" s="218" t="n"/>
      <c r="BU190" s="3" t="n"/>
      <c r="BV190" s="218" t="n"/>
      <c r="BW190" s="218" t="n"/>
      <c r="BX190" s="218" t="n"/>
      <c r="BY190" s="218" t="n"/>
      <c r="BZ190" s="3" t="n"/>
      <c r="CA190" s="218" t="n"/>
      <c r="CB190" s="218" t="n"/>
      <c r="CC190" s="218" t="n"/>
      <c r="CD190" s="218" t="n"/>
      <c r="CE190" s="3" t="n"/>
      <c r="CF190" s="218" t="n"/>
      <c r="CG190" s="218" t="n"/>
      <c r="CH190" s="218" t="n"/>
      <c r="CI190" s="218" t="n"/>
      <c r="CJ190" s="3" t="n"/>
      <c r="CK190" s="218" t="n"/>
      <c r="CL190" s="218" t="n"/>
      <c r="CM190" s="218" t="n"/>
      <c r="CN190" s="218" t="n"/>
      <c r="CO190" s="3" t="n"/>
      <c r="CP190" s="218" t="n"/>
      <c r="CQ190" s="218" t="n"/>
      <c r="CR190" s="218" t="n"/>
      <c r="CS190" s="218" t="n"/>
      <c r="CT190" s="3" t="n"/>
      <c r="CU190" s="218" t="n"/>
      <c r="CV190" s="218" t="n"/>
      <c r="CW190" s="218" t="n"/>
      <c r="CX190" s="218" t="n"/>
      <c r="CY190" s="3" t="n"/>
    </row>
    <row r="191" collapsed="1">
      <c r="C191" s="26" t="inlineStr">
        <is>
          <t>Taxes payable</t>
        </is>
      </c>
      <c r="D191" s="25">
        <f>INDEX('Inputs (2)'!$D$30:$AL$30,MATCH(D$7,'Inputs (2)'!$D$2:$AL$2,0))</f>
        <v>0</v>
      </c>
      <c r="E191" s="25">
        <f>INDEX('Inputs (2)'!$D$30:$AL$30,MATCH(E$7,'Inputs (2)'!$D$2:$AL$2,0))</f>
        <v>0</v>
      </c>
      <c r="F191" s="25">
        <f>INDEX('Inputs (2)'!$D$30:$AL$30,MATCH(F$7,'Inputs (2)'!$D$2:$AL$2,0))</f>
        <v>0</v>
      </c>
      <c r="G191" s="25">
        <f>INDEX('Inputs (2)'!$D$30:$AL$30,MATCH(G$7,'Inputs (2)'!$D$2:$AL$2,0))</f>
        <v>0</v>
      </c>
      <c r="H191" s="3">
        <f>G191</f>
        <v>0</v>
      </c>
      <c r="I191" s="25">
        <f>INDEX('Inputs (2)'!$D$30:$AL$30,MATCH(I$7,'Inputs (2)'!$D$2:$AL$2,0))</f>
        <v>0</v>
      </c>
      <c r="J191" s="25">
        <f>INDEX('Inputs (2)'!$D$30:$AL$30,MATCH(J$7,'Inputs (2)'!$D$2:$AL$2,0))</f>
        <v>0</v>
      </c>
      <c r="K191" s="25">
        <f>INDEX('Inputs (2)'!$D$30:$AL$30,MATCH(K$7,'Inputs (2)'!$D$2:$AL$2,0))</f>
        <v>0</v>
      </c>
      <c r="L191" s="25">
        <f>INDEX('Inputs (2)'!$D$30:$AL$30,MATCH(L$7,'Inputs (2)'!$D$2:$AL$2,0))</f>
        <v>0</v>
      </c>
      <c r="M191" s="3">
        <f>L191</f>
        <v>0</v>
      </c>
      <c r="N191" s="25">
        <f>INDEX('Inputs (2)'!$D$30:$AL$30,MATCH(N$7,'Inputs (2)'!$D$2:$AL$2,0))</f>
        <v>0</v>
      </c>
      <c r="O191" s="25">
        <f>INDEX('Inputs (2)'!$D$30:$AL$30,MATCH(O$7,'Inputs (2)'!$D$2:$AL$2,0))</f>
        <v>0</v>
      </c>
      <c r="P191" s="25">
        <f>INDEX('Inputs (2)'!$D$30:$AL$30,MATCH(P$7,'Inputs (2)'!$D$2:$AL$2,0))</f>
        <v>0</v>
      </c>
      <c r="Q191" s="25">
        <f>INDEX('Inputs (2)'!$D$30:$AL$30,MATCH(Q$7,'Inputs (2)'!$D$2:$AL$2,0))</f>
        <v>0</v>
      </c>
      <c r="R191" s="3">
        <f>Q191</f>
        <v>0</v>
      </c>
      <c r="S191" s="25">
        <f>INDEX('Inputs (2)'!$D$30:$AL$30,MATCH(S$7,'Inputs (2)'!$D$2:$AL$2,0))</f>
        <v>0</v>
      </c>
      <c r="T191" s="25">
        <f>INDEX('Inputs (2)'!$D$30:$AL$30,MATCH(T$7,'Inputs (2)'!$D$2:$AL$2,0))</f>
        <v>0</v>
      </c>
      <c r="U191" s="25">
        <f>INDEX('Inputs (2)'!$D$30:$AL$30,MATCH(U$7,'Inputs (2)'!$D$2:$AL$2,0))</f>
        <v>0</v>
      </c>
      <c r="V191" s="25">
        <f>INDEX('Inputs (2)'!$D$30:$AL$30,MATCH(V$7,'Inputs (2)'!$D$2:$AL$2,0))</f>
        <v>0</v>
      </c>
      <c r="W191" s="3">
        <f>V191</f>
        <v>0</v>
      </c>
      <c r="X191" s="25">
        <f>INDEX('Inputs (2)'!$D$30:$AL$30,MATCH(X$7,'Inputs (2)'!$D$2:$AL$2,0))</f>
        <v>0</v>
      </c>
      <c r="Y191" s="25">
        <f>INDEX('Inputs (2)'!$D$30:$AL$30,MATCH(Y$7,'Inputs (2)'!$D$2:$AL$2,0))</f>
        <v>0</v>
      </c>
      <c r="Z191" s="25">
        <f>INDEX('Inputs (2)'!$D$30:$AL$30,MATCH(Z$7,'Inputs (2)'!$D$2:$AL$2,0))</f>
        <v>0</v>
      </c>
      <c r="AA191" s="25">
        <f>INDEX('Inputs (2)'!$D$30:$AL$30,MATCH(AA$7,'Inputs (2)'!$D$2:$AL$2,0))</f>
        <v>0</v>
      </c>
      <c r="AB191" s="3">
        <f>AA191</f>
        <v>0</v>
      </c>
      <c r="AC191" s="25">
        <f>INDEX('Inputs (2)'!$D$30:$AL$30,MATCH(AC$7,'Inputs (2)'!$D$2:$AL$2,0))</f>
        <v>0</v>
      </c>
      <c r="AD191" s="25">
        <f>INDEX('Inputs (2)'!$D$30:$AL$30,MATCH(AD$7,'Inputs (2)'!$D$2:$AL$2,0))</f>
        <v>0</v>
      </c>
      <c r="AE191" s="25">
        <f>INDEX('Inputs (2)'!$D$30:$AL$30,MATCH(AE$7,'Inputs (2)'!$D$2:$AL$2,0))</f>
        <v>0</v>
      </c>
      <c r="AF191" s="25">
        <f>INDEX('Inputs (2)'!$D$30:$AL$30,MATCH(AF$7,'Inputs (2)'!$D$2:$AL$2,0))</f>
        <v>0</v>
      </c>
      <c r="AG191" s="3">
        <f>AF191</f>
        <v>0</v>
      </c>
      <c r="AH191" s="3">
        <f>INDEX('Inputs (2)'!$D$30:$AL$30,MATCH(AH$7,'Inputs (2)'!$D$2:$AL$2,0))</f>
        <v>0</v>
      </c>
      <c r="AI191" s="3">
        <f>INDEX('Inputs (2)'!$D$30:$AL$30,MATCH(AI$7,'Inputs (2)'!$D$2:$AL$2,0))</f>
        <v>0</v>
      </c>
      <c r="AJ191" s="3">
        <f>AH191*AJ118/AH118</f>
        <v>0</v>
      </c>
      <c r="AK191" s="3">
        <f>AI191*AK118/AI118</f>
        <v>0</v>
      </c>
      <c r="AL191" s="3">
        <f>AK191</f>
        <v>0</v>
      </c>
      <c r="AM191" s="3" t="e">
        <f>AK191*AM118/AK118</f>
        <v>#DIV/0!</v>
      </c>
      <c r="AN191" s="3">
        <f>AL191*AN118/AL118</f>
        <v>0</v>
      </c>
      <c r="AO191" s="3" t="e">
        <f>AM191*AO118/AM118</f>
        <v>#DIV/0!</v>
      </c>
      <c r="AP191" s="3" t="e">
        <f>AN191*AP118/AN118</f>
        <v>#DIV/0!</v>
      </c>
      <c r="AQ191" s="3" t="e">
        <f>AP191</f>
        <v>#DIV/0!</v>
      </c>
      <c r="AR191" s="3" t="e">
        <f>AP191*AR118/AP118</f>
        <v>#DIV/0!</v>
      </c>
      <c r="AS191" s="3" t="e">
        <f>AQ191*AS118/AQ118</f>
        <v>#DIV/0!</v>
      </c>
      <c r="AT191" s="3" t="e">
        <f>AR191*AT118/AR118</f>
        <v>#DIV/0!</v>
      </c>
      <c r="AU191" s="3" t="e">
        <f>AS191*AU118/AS118</f>
        <v>#DIV/0!</v>
      </c>
      <c r="AV191" s="3" t="e">
        <f>AU191</f>
        <v>#DIV/0!</v>
      </c>
      <c r="AW191" s="3" t="e">
        <f>AU191*AW118/AU118</f>
        <v>#DIV/0!</v>
      </c>
      <c r="AX191" s="3" t="e">
        <f>AV191*AX118/AV118</f>
        <v>#DIV/0!</v>
      </c>
      <c r="AY191" s="3" t="e">
        <f>AW191*AY118/AW118</f>
        <v>#DIV/0!</v>
      </c>
      <c r="AZ191" s="3" t="e">
        <f>AX191*AZ118/AX118</f>
        <v>#DIV/0!</v>
      </c>
      <c r="BA191" s="3" t="e">
        <f>AZ191</f>
        <v>#DIV/0!</v>
      </c>
      <c r="BB191" s="3" t="e">
        <f>AZ191*BB118/AZ118</f>
        <v>#DIV/0!</v>
      </c>
      <c r="BC191" s="3" t="e">
        <f>BA191*BC118/BA118</f>
        <v>#DIV/0!</v>
      </c>
      <c r="BD191" s="3" t="e">
        <f>BB191*BD118/BB118</f>
        <v>#DIV/0!</v>
      </c>
      <c r="BE191" s="3" t="e">
        <f>BC191*BE118/BC118</f>
        <v>#DIV/0!</v>
      </c>
      <c r="BF191" s="3" t="e">
        <f>BE191</f>
        <v>#DIV/0!</v>
      </c>
      <c r="BG191" s="3" t="e">
        <f>BE191*BG118/BE118</f>
        <v>#DIV/0!</v>
      </c>
      <c r="BH191" s="3" t="e">
        <f>BF191*BH118/BF118</f>
        <v>#DIV/0!</v>
      </c>
      <c r="BI191" s="3" t="e">
        <f>BG191*BI118/BG118</f>
        <v>#DIV/0!</v>
      </c>
      <c r="BJ191" s="3" t="e">
        <f>BH191*BJ118/BH118</f>
        <v>#DIV/0!</v>
      </c>
      <c r="BK191" s="3" t="e">
        <f>BJ191</f>
        <v>#DIV/0!</v>
      </c>
      <c r="BL191" s="3" t="e">
        <f>BJ191*BL118/BJ118</f>
        <v>#DIV/0!</v>
      </c>
      <c r="BM191" s="3" t="e">
        <f>BK191*BM118/BK118</f>
        <v>#DIV/0!</v>
      </c>
      <c r="BN191" s="3" t="e">
        <f>BL191*BN118/BL118</f>
        <v>#DIV/0!</v>
      </c>
      <c r="BO191" s="3" t="e">
        <f>BM191*BO118/BM118</f>
        <v>#DIV/0!</v>
      </c>
      <c r="BP191" s="3" t="e">
        <f>BO191</f>
        <v>#DIV/0!</v>
      </c>
      <c r="BQ191" s="3" t="e">
        <f>BO191*BQ118/BO118</f>
        <v>#DIV/0!</v>
      </c>
      <c r="BR191" s="3" t="e">
        <f>BP191*BR118/BP118</f>
        <v>#DIV/0!</v>
      </c>
      <c r="BS191" s="3" t="e">
        <f>BQ191*BS118/BQ118</f>
        <v>#DIV/0!</v>
      </c>
      <c r="BT191" s="3" t="e">
        <f>BR191*BT118/BR118</f>
        <v>#DIV/0!</v>
      </c>
      <c r="BU191" s="3" t="e">
        <f>BT191</f>
        <v>#DIV/0!</v>
      </c>
      <c r="BV191" s="3" t="e">
        <f>BT191*BV118/BT118</f>
        <v>#DIV/0!</v>
      </c>
      <c r="BW191" s="3" t="e">
        <f>BU191*BW118/BU118</f>
        <v>#DIV/0!</v>
      </c>
      <c r="BX191" s="3" t="e">
        <f>BV191*BX118/BV118</f>
        <v>#DIV/0!</v>
      </c>
      <c r="BY191" s="3" t="e">
        <f>BW191*BY118/BW118</f>
        <v>#DIV/0!</v>
      </c>
      <c r="BZ191" s="3" t="e">
        <f>BY191</f>
        <v>#DIV/0!</v>
      </c>
      <c r="CA191" s="3" t="e">
        <f>BY191*CA118/BY118</f>
        <v>#DIV/0!</v>
      </c>
      <c r="CB191" s="3" t="e">
        <f>BZ191*CB118/BZ118</f>
        <v>#DIV/0!</v>
      </c>
      <c r="CC191" s="3" t="e">
        <f>CA191*CC118/CA118</f>
        <v>#DIV/0!</v>
      </c>
      <c r="CD191" s="3" t="e">
        <f>CB191*CD118/CB118</f>
        <v>#DIV/0!</v>
      </c>
      <c r="CE191" s="3" t="e">
        <f>CD191</f>
        <v>#DIV/0!</v>
      </c>
      <c r="CF191" s="3" t="e">
        <f>CD191*CF118/CD118</f>
        <v>#DIV/0!</v>
      </c>
      <c r="CG191" s="3" t="e">
        <f>CE191*CG118/CE118</f>
        <v>#DIV/0!</v>
      </c>
      <c r="CH191" s="3" t="e">
        <f>CF191*CH118/CF118</f>
        <v>#DIV/0!</v>
      </c>
      <c r="CI191" s="3" t="e">
        <f>CG191*CI118/CG118</f>
        <v>#DIV/0!</v>
      </c>
      <c r="CJ191" s="3" t="e">
        <f>CI191</f>
        <v>#DIV/0!</v>
      </c>
      <c r="CK191" s="3" t="e">
        <f>CI191*CK118/CI118</f>
        <v>#DIV/0!</v>
      </c>
      <c r="CL191" s="3" t="e">
        <f>CJ191*CL118/CJ118</f>
        <v>#DIV/0!</v>
      </c>
      <c r="CM191" s="3" t="e">
        <f>CK191*CM118/CK118</f>
        <v>#DIV/0!</v>
      </c>
      <c r="CN191" s="3" t="e">
        <f>CL191*CN118/CL118</f>
        <v>#DIV/0!</v>
      </c>
      <c r="CO191" s="3" t="e">
        <f>CN191</f>
        <v>#DIV/0!</v>
      </c>
      <c r="CP191" s="3" t="e">
        <f>CN191*CP118/CN118</f>
        <v>#DIV/0!</v>
      </c>
      <c r="CQ191" s="3" t="e">
        <f>CO191*CQ118/CO118</f>
        <v>#DIV/0!</v>
      </c>
      <c r="CR191" s="3" t="e">
        <f>CP191*CR118/CP118</f>
        <v>#DIV/0!</v>
      </c>
      <c r="CS191" s="3" t="e">
        <f>CQ191*CS118/CQ118</f>
        <v>#DIV/0!</v>
      </c>
      <c r="CT191" s="3" t="e">
        <f>CS191</f>
        <v>#DIV/0!</v>
      </c>
      <c r="CU191" s="3" t="e">
        <f>CS191*CU118/CS118</f>
        <v>#DIV/0!</v>
      </c>
      <c r="CV191" s="3" t="e">
        <f>CT191*CV118/CT118</f>
        <v>#DIV/0!</v>
      </c>
      <c r="CW191" s="3" t="e">
        <f>CU191*CW118/CU118</f>
        <v>#DIV/0!</v>
      </c>
      <c r="CX191" s="3" t="e">
        <f>CV191*CX118/CV118</f>
        <v>#DIV/0!</v>
      </c>
      <c r="CY191" s="3" t="e">
        <f>CX191</f>
        <v>#DIV/0!</v>
      </c>
    </row>
    <row r="192">
      <c r="C192" s="26" t="inlineStr">
        <is>
          <t>Other current liabilities (non-debt)</t>
        </is>
      </c>
      <c r="D192" s="25">
        <f>INDEX('Inputs (2)'!$D$31:$AL$31,MATCH(D$7,'Inputs (2)'!$D$2:$AL$2,0))</f>
        <v>30662</v>
      </c>
      <c r="E192" s="25">
        <f>INDEX('Inputs (2)'!$D$31:$AL$31,MATCH(E$7,'Inputs (2)'!$D$2:$AL$2,0))</f>
        <v>29857</v>
      </c>
      <c r="F192" s="25">
        <f>INDEX('Inputs (2)'!$D$31:$AL$31,MATCH(F$7,'Inputs (2)'!$D$2:$AL$2,0))</f>
        <v>28894</v>
      </c>
      <c r="G192" s="25">
        <f>INDEX('Inputs (2)'!$D$31:$AL$31,MATCH(G$7,'Inputs (2)'!$D$2:$AL$2,0))</f>
        <v>28090</v>
      </c>
      <c r="H192" s="3">
        <f>G192</f>
        <v>28090</v>
      </c>
      <c r="I192" s="25">
        <f>INDEX('Inputs (2)'!$D$31:$AL$31,MATCH(I$7,'Inputs (2)'!$D$2:$AL$2,0))</f>
        <v>30004</v>
      </c>
      <c r="J192" s="25">
        <f>INDEX('Inputs (2)'!$D$31:$AL$31,MATCH(J$7,'Inputs (2)'!$D$2:$AL$2,0))</f>
        <v>21756</v>
      </c>
      <c r="K192" s="25">
        <f>INDEX('Inputs (2)'!$D$31:$AL$31,MATCH(K$7,'Inputs (2)'!$D$2:$AL$2,0))</f>
        <v>21297</v>
      </c>
      <c r="L192" s="25">
        <f>INDEX('Inputs (2)'!$D$31:$AL$31,MATCH(L$7,'Inputs (2)'!$D$2:$AL$2,0))</f>
        <v>17422</v>
      </c>
      <c r="M192" s="3">
        <f>L192</f>
        <v>17422</v>
      </c>
      <c r="N192" s="25">
        <f>INDEX('Inputs (2)'!$D$31:$AL$31,MATCH(N$7,'Inputs (2)'!$D$2:$AL$2,0))</f>
        <v>19649</v>
      </c>
      <c r="O192" s="25">
        <f>INDEX('Inputs (2)'!$D$31:$AL$31,MATCH(O$7,'Inputs (2)'!$D$2:$AL$2,0))</f>
        <v>52949</v>
      </c>
      <c r="P192" s="25">
        <f>INDEX('Inputs (2)'!$D$31:$AL$31,MATCH(P$7,'Inputs (2)'!$D$2:$AL$2,0))</f>
        <v>56586</v>
      </c>
      <c r="Q192" s="25">
        <f>INDEX('Inputs (2)'!$D$31:$AL$31,MATCH(Q$7,'Inputs (2)'!$D$2:$AL$2,0))</f>
        <v>55536</v>
      </c>
      <c r="R192" s="3">
        <f>Q192</f>
        <v>55536</v>
      </c>
      <c r="S192" s="25">
        <f>INDEX('Inputs (2)'!$D$31:$AL$31,MATCH(S$7,'Inputs (2)'!$D$2:$AL$2,0))</f>
        <v>58226</v>
      </c>
      <c r="T192" s="25">
        <f>INDEX('Inputs (2)'!$D$31:$AL$31,MATCH(T$7,'Inputs (2)'!$D$2:$AL$2,0))</f>
        <v>62596</v>
      </c>
      <c r="U192" s="25">
        <f>INDEX('Inputs (2)'!$D$31:$AL$31,MATCH(U$7,'Inputs (2)'!$D$2:$AL$2,0))</f>
        <v>63742</v>
      </c>
      <c r="V192" s="25">
        <f>INDEX('Inputs (2)'!$D$31:$AL$31,MATCH(V$7,'Inputs (2)'!$D$2:$AL$2,0))</f>
        <v>61525</v>
      </c>
      <c r="W192" s="3">
        <f>V192</f>
        <v>61525</v>
      </c>
      <c r="X192" s="25">
        <f>INDEX('Inputs (2)'!$D$31:$AL$31,MATCH(X$7,'Inputs (2)'!$D$2:$AL$2,0))</f>
        <v>64652</v>
      </c>
      <c r="Y192" s="25">
        <f>INDEX('Inputs (2)'!$D$31:$AL$31,MATCH(Y$7,'Inputs (2)'!$D$2:$AL$2,0))</f>
        <v>68917</v>
      </c>
      <c r="Z192" s="25">
        <f>INDEX('Inputs (2)'!$D$31:$AL$31,MATCH(Z$7,'Inputs (2)'!$D$2:$AL$2,0))</f>
        <v>70384</v>
      </c>
      <c r="AA192" s="25">
        <f>INDEX('Inputs (2)'!$D$31:$AL$31,MATCH(AA$7,'Inputs (2)'!$D$2:$AL$2,0))</f>
        <v>67296</v>
      </c>
      <c r="AB192" s="3">
        <f>AA192</f>
        <v>67296</v>
      </c>
      <c r="AC192" s="25">
        <f>INDEX('Inputs (2)'!$D$31:$AL$31,MATCH(AC$7,'Inputs (2)'!$D$2:$AL$2,0))</f>
        <v>65481</v>
      </c>
      <c r="AD192" s="25">
        <f>INDEX('Inputs (2)'!$D$31:$AL$31,MATCH(AD$7,'Inputs (2)'!$D$2:$AL$2,0))</f>
        <v>67457</v>
      </c>
      <c r="AE192" s="25">
        <f>INDEX('Inputs (2)'!$D$31:$AL$31,MATCH(AE$7,'Inputs (2)'!$D$2:$AL$2,0))</f>
        <v>65759</v>
      </c>
      <c r="AF192" s="25">
        <f>INDEX('Inputs (2)'!$D$31:$AL$31,MATCH(AF$7,'Inputs (2)'!$D$2:$AL$2,0))</f>
        <v>62253</v>
      </c>
      <c r="AG192" s="3">
        <f>AF192</f>
        <v>62253</v>
      </c>
      <c r="AH192" s="3">
        <f>INDEX('Inputs (2)'!$D$31:$AL$31,MATCH(AH$7,'Inputs (2)'!$D$2:$AL$2,0))</f>
        <v>63487</v>
      </c>
      <c r="AI192" s="3">
        <f>INDEX('Inputs (2)'!$D$31:$AL$31,MATCH(AI$7,'Inputs (2)'!$D$2:$AL$2,0))</f>
        <v>62040</v>
      </c>
      <c r="AJ192" s="3">
        <f>AI192</f>
        <v>62040</v>
      </c>
      <c r="AK192" s="3">
        <f>AJ192</f>
        <v>62040</v>
      </c>
      <c r="AL192" s="3">
        <f>AK192</f>
        <v>62040</v>
      </c>
      <c r="AM192" s="3">
        <f>AL192</f>
        <v>62040</v>
      </c>
      <c r="AN192" s="3">
        <f>AM192</f>
        <v>62040</v>
      </c>
      <c r="AO192" s="3">
        <f>AN192</f>
        <v>62040</v>
      </c>
      <c r="AP192" s="3">
        <f>AO192</f>
        <v>62040</v>
      </c>
      <c r="AQ192" s="3">
        <f>AP192</f>
        <v>62040</v>
      </c>
      <c r="AR192" s="3">
        <f>AQ192</f>
        <v>62040</v>
      </c>
      <c r="AS192" s="3">
        <f>AR192</f>
        <v>62040</v>
      </c>
      <c r="AT192" s="3">
        <f>AS192</f>
        <v>62040</v>
      </c>
      <c r="AU192" s="3">
        <f>AT192</f>
        <v>62040</v>
      </c>
      <c r="AV192" s="3">
        <f>AU192</f>
        <v>62040</v>
      </c>
      <c r="AW192" s="3">
        <f>AV192</f>
        <v>62040</v>
      </c>
      <c r="AX192" s="3">
        <f>AW192</f>
        <v>62040</v>
      </c>
      <c r="AY192" s="3">
        <f>AX192</f>
        <v>62040</v>
      </c>
      <c r="AZ192" s="3">
        <f>AY192</f>
        <v>62040</v>
      </c>
      <c r="BA192" s="3">
        <f>AZ192</f>
        <v>62040</v>
      </c>
      <c r="BB192" s="3">
        <f>BA192</f>
        <v>62040</v>
      </c>
      <c r="BC192" s="3">
        <f>BB192</f>
        <v>62040</v>
      </c>
      <c r="BD192" s="3">
        <f>BC192</f>
        <v>62040</v>
      </c>
      <c r="BE192" s="3">
        <f>BD192</f>
        <v>62040</v>
      </c>
      <c r="BF192" s="3">
        <f>BE192</f>
        <v>62040</v>
      </c>
      <c r="BG192" s="3">
        <f>BF192</f>
        <v>62040</v>
      </c>
      <c r="BH192" s="3">
        <f>BG192</f>
        <v>62040</v>
      </c>
      <c r="BI192" s="3">
        <f>BH192</f>
        <v>62040</v>
      </c>
      <c r="BJ192" s="3">
        <f>BI192</f>
        <v>62040</v>
      </c>
      <c r="BK192" s="3">
        <f>BJ192</f>
        <v>62040</v>
      </c>
      <c r="BL192" s="3">
        <f>BK192</f>
        <v>62040</v>
      </c>
      <c r="BM192" s="3">
        <f>BL192</f>
        <v>62040</v>
      </c>
      <c r="BN192" s="3">
        <f>BM192</f>
        <v>62040</v>
      </c>
      <c r="BO192" s="3">
        <f>BN192</f>
        <v>62040</v>
      </c>
      <c r="BP192" s="3">
        <f>BO192</f>
        <v>62040</v>
      </c>
      <c r="BQ192" s="3">
        <f>BP192</f>
        <v>62040</v>
      </c>
      <c r="BR192" s="3">
        <f>BQ192</f>
        <v>62040</v>
      </c>
      <c r="BS192" s="3">
        <f>BR192</f>
        <v>62040</v>
      </c>
      <c r="BT192" s="3">
        <f>BS192</f>
        <v>62040</v>
      </c>
      <c r="BU192" s="3">
        <f>BT192</f>
        <v>62040</v>
      </c>
      <c r="BV192" s="3">
        <f>BU192</f>
        <v>62040</v>
      </c>
      <c r="BW192" s="3">
        <f>BV192</f>
        <v>62040</v>
      </c>
      <c r="BX192" s="3">
        <f>BW192</f>
        <v>62040</v>
      </c>
      <c r="BY192" s="3">
        <f>BX192</f>
        <v>62040</v>
      </c>
      <c r="BZ192" s="3">
        <f>BY192</f>
        <v>62040</v>
      </c>
      <c r="CA192" s="3">
        <f>BZ192</f>
        <v>62040</v>
      </c>
      <c r="CB192" s="3">
        <f>CA192</f>
        <v>62040</v>
      </c>
      <c r="CC192" s="3">
        <f>CB192</f>
        <v>62040</v>
      </c>
      <c r="CD192" s="3">
        <f>CC192</f>
        <v>62040</v>
      </c>
      <c r="CE192" s="3">
        <f>CD192</f>
        <v>62040</v>
      </c>
      <c r="CF192" s="3">
        <f>CE192</f>
        <v>62040</v>
      </c>
      <c r="CG192" s="3">
        <f>CF192</f>
        <v>62040</v>
      </c>
      <c r="CH192" s="3">
        <f>CG192</f>
        <v>62040</v>
      </c>
      <c r="CI192" s="3">
        <f>CH192</f>
        <v>62040</v>
      </c>
      <c r="CJ192" s="3">
        <f>CI192</f>
        <v>62040</v>
      </c>
      <c r="CK192" s="3">
        <f>CJ192</f>
        <v>62040</v>
      </c>
      <c r="CL192" s="3">
        <f>CK192</f>
        <v>62040</v>
      </c>
      <c r="CM192" s="3">
        <f>CL192</f>
        <v>62040</v>
      </c>
      <c r="CN192" s="3">
        <f>CM192</f>
        <v>62040</v>
      </c>
      <c r="CO192" s="3">
        <f>CN192</f>
        <v>62040</v>
      </c>
      <c r="CP192" s="3">
        <f>CO192</f>
        <v>62040</v>
      </c>
      <c r="CQ192" s="3">
        <f>CP192</f>
        <v>62040</v>
      </c>
      <c r="CR192" s="3">
        <f>CQ192</f>
        <v>62040</v>
      </c>
      <c r="CS192" s="3">
        <f>CR192</f>
        <v>62040</v>
      </c>
      <c r="CT192" s="3">
        <f>CS192</f>
        <v>62040</v>
      </c>
      <c r="CU192" s="3">
        <f>CT192</f>
        <v>62040</v>
      </c>
      <c r="CV192" s="3">
        <f>CU192</f>
        <v>62040</v>
      </c>
      <c r="CW192" s="3">
        <f>CV192</f>
        <v>62040</v>
      </c>
      <c r="CX192" s="3">
        <f>CW192</f>
        <v>62040</v>
      </c>
      <c r="CY192" s="3">
        <f>CX192</f>
        <v>62040</v>
      </c>
    </row>
    <row r="193" hidden="1" outlineLevel="1">
      <c r="C193" s="38" t="inlineStr">
        <is>
          <t>%(Var.)</t>
        </is>
      </c>
      <c r="D193" s="3" t="n"/>
      <c r="E193" s="47">
        <f>(E192-D192)/D192</f>
        <v>-0.0262539951731785</v>
      </c>
      <c r="F193" s="47">
        <f>(F192-E192)/E192</f>
        <v>-0.0322537428408748</v>
      </c>
      <c r="G193" s="47">
        <f>(G192-F192)/F192</f>
        <v>-0.0278258461964422</v>
      </c>
      <c r="H193" s="3" t="n"/>
      <c r="I193" s="47">
        <f>(I192-H192)/H192</f>
        <v>0.0681381274474902</v>
      </c>
      <c r="J193" s="47">
        <f>(J192-I192)/I192</f>
        <v>-0.274896680442608</v>
      </c>
      <c r="K193" s="47">
        <f>(K192-J192)/J192</f>
        <v>-0.0210976282404854</v>
      </c>
      <c r="L193" s="47">
        <f>(L192-K192)/K192</f>
        <v>-0.181950509461427</v>
      </c>
      <c r="M193" s="3" t="n"/>
      <c r="N193" s="47">
        <f>(N192-M192)/M192</f>
        <v>0.12782688554701</v>
      </c>
      <c r="O193" s="47">
        <f>(O192-N192)/N192</f>
        <v>1.69474273499924</v>
      </c>
      <c r="P193" s="47">
        <f>(P192-O192)/O192</f>
        <v>0.0686887382197964</v>
      </c>
      <c r="Q193" s="47">
        <f>(Q192-P192)/P192</f>
        <v>-0.0185558265295303</v>
      </c>
      <c r="R193" s="3" t="n"/>
      <c r="S193" s="47">
        <f>(S192-R192)/R192</f>
        <v>0.0484370498415442</v>
      </c>
      <c r="T193" s="47">
        <f>(T192-S192)/S192</f>
        <v>0.0750523820973448</v>
      </c>
      <c r="U193" s="47">
        <f>(U192-T192)/T192</f>
        <v>0.0183078790977059</v>
      </c>
      <c r="V193" s="47">
        <f>(V192-U192)/U192</f>
        <v>-0.0347808352420696</v>
      </c>
      <c r="W193" s="3" t="n"/>
      <c r="X193" s="47">
        <f>(X192-W192)/W192</f>
        <v>0.0508248679398618</v>
      </c>
      <c r="Y193" s="47">
        <f>(Y192-X192)/X192</f>
        <v>0.0659685701911774</v>
      </c>
      <c r="Z193" s="47">
        <f>(Z192-Y192)/Y192</f>
        <v>0.0212864750351873</v>
      </c>
      <c r="AA193" s="47">
        <f>(AA192-Z192)/Z192</f>
        <v>-0.0438736076380996</v>
      </c>
      <c r="AB193" s="3" t="n"/>
      <c r="AC193" s="47">
        <f>(AC192-AB192)/AB192</f>
        <v>-0.0269703994293866</v>
      </c>
      <c r="AD193" s="47">
        <f>(AD192-AC192)/AC192</f>
        <v>0.03017669247568</v>
      </c>
      <c r="AE193" s="47">
        <f>(AE192-AD192)/AD192</f>
        <v>-0.0251715907911707</v>
      </c>
      <c r="AF193" s="218">
        <f>(AF192-AE192)/AE192</f>
        <v>-0.0533158959229915</v>
      </c>
      <c r="AG193" s="3" t="n"/>
      <c r="AH193" s="218">
        <f>(AH192-AG192)/AG192</f>
        <v>0.019822337879299</v>
      </c>
      <c r="AI193" s="218">
        <f>(AI192-AH192)/AH192</f>
        <v>-0.0227920676673965</v>
      </c>
      <c r="AJ193" s="218" t="n"/>
      <c r="AK193" s="218" t="n"/>
      <c r="AL193" s="3" t="n"/>
      <c r="AM193" s="218" t="n"/>
      <c r="AN193" s="218" t="n"/>
      <c r="AO193" s="218" t="n"/>
      <c r="AP193" s="218" t="n"/>
      <c r="AQ193" s="3" t="n"/>
      <c r="AR193" s="218" t="n"/>
      <c r="AS193" s="218" t="n"/>
      <c r="AT193" s="218" t="n"/>
      <c r="AU193" s="218" t="n"/>
      <c r="AV193" s="3" t="n"/>
      <c r="AW193" s="218" t="n"/>
      <c r="AX193" s="218" t="n"/>
      <c r="AY193" s="218" t="n"/>
      <c r="AZ193" s="218" t="n"/>
      <c r="BA193" s="3" t="n"/>
      <c r="BB193" s="218" t="n"/>
      <c r="BC193" s="218" t="n"/>
      <c r="BD193" s="218" t="n"/>
      <c r="BE193" s="218" t="n"/>
      <c r="BF193" s="3" t="n"/>
      <c r="BG193" s="218" t="n"/>
      <c r="BH193" s="218" t="n"/>
      <c r="BI193" s="218" t="n"/>
      <c r="BJ193" s="218" t="n"/>
      <c r="BK193" s="3" t="n"/>
      <c r="BL193" s="218" t="n"/>
      <c r="BM193" s="218" t="n"/>
      <c r="BN193" s="218" t="n"/>
      <c r="BO193" s="218" t="n"/>
      <c r="BP193" s="3" t="n"/>
      <c r="BQ193" s="218" t="n"/>
      <c r="BR193" s="218" t="n"/>
      <c r="BS193" s="218" t="n"/>
      <c r="BT193" s="218" t="n"/>
      <c r="BU193" s="3" t="n"/>
      <c r="BV193" s="218" t="n"/>
      <c r="BW193" s="218" t="n"/>
      <c r="BX193" s="218" t="n"/>
      <c r="BY193" s="218" t="n"/>
      <c r="BZ193" s="3" t="n"/>
      <c r="CA193" s="218" t="n"/>
      <c r="CB193" s="218" t="n"/>
      <c r="CC193" s="218" t="n"/>
      <c r="CD193" s="218" t="n"/>
      <c r="CE193" s="3" t="n"/>
      <c r="CF193" s="218" t="n"/>
      <c r="CG193" s="218" t="n"/>
      <c r="CH193" s="218" t="n"/>
      <c r="CI193" s="218" t="n"/>
      <c r="CJ193" s="3" t="n"/>
      <c r="CK193" s="218" t="n"/>
      <c r="CL193" s="218" t="n"/>
      <c r="CM193" s="218" t="n"/>
      <c r="CN193" s="218" t="n"/>
      <c r="CO193" s="3" t="n"/>
      <c r="CP193" s="218" t="n"/>
      <c r="CQ193" s="218" t="n"/>
      <c r="CR193" s="218" t="n"/>
      <c r="CS193" s="218" t="n"/>
      <c r="CT193" s="3" t="n"/>
      <c r="CU193" s="218" t="n"/>
      <c r="CV193" s="218" t="n"/>
      <c r="CW193" s="218" t="n"/>
      <c r="CX193" s="218" t="n"/>
      <c r="CY193" s="3" t="n"/>
    </row>
    <row r="194" hidden="1" outlineLevel="1">
      <c r="C194" s="3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inlineStr">
        <is>
          <t xml:space="preserve">Dividendos a Pagar </t>
        </is>
      </c>
      <c r="D195" s="6" t="n"/>
      <c r="E195" s="6" t="n"/>
      <c r="F195" s="6" t="n"/>
      <c r="G195" s="6" t="n"/>
      <c r="H195" s="3" t="n"/>
      <c r="I195" s="6" t="n"/>
      <c r="J195" s="6" t="n"/>
      <c r="K195" s="6" t="n"/>
      <c r="L195" s="6" t="n"/>
      <c r="M195" s="3" t="n"/>
      <c r="N195" s="6" t="n"/>
      <c r="O195" s="6" t="n"/>
      <c r="P195" s="6" t="n"/>
      <c r="Q195" s="6" t="n"/>
      <c r="R195" s="3" t="n"/>
      <c r="S195" s="6" t="n"/>
      <c r="T195" s="6" t="n"/>
      <c r="U195" s="6" t="n"/>
      <c r="V195" s="6" t="n"/>
      <c r="W195" s="3" t="n"/>
      <c r="X195" s="6" t="n"/>
      <c r="Y195" s="6" t="n"/>
      <c r="Z195" s="6" t="n"/>
      <c r="AA195" s="6" t="n"/>
      <c r="AB195" s="3" t="n"/>
      <c r="AC195" s="6" t="n"/>
      <c r="AD195" s="6" t="n"/>
      <c r="AE195" s="6" t="n"/>
      <c r="AF195" s="6" t="n"/>
      <c r="AG195" s="3" t="n"/>
      <c r="AH195" s="6" t="n"/>
      <c r="AI195" s="6" t="n"/>
      <c r="AJ195" s="6" t="n"/>
      <c r="AK195" s="6" t="n"/>
      <c r="AL195" s="3" t="n"/>
      <c r="AM195" s="6" t="n"/>
      <c r="AN195" s="6" t="n"/>
      <c r="AO195" s="6" t="n"/>
      <c r="AP195" s="6" t="n"/>
      <c r="AQ195" s="3" t="n"/>
      <c r="AR195" s="6" t="n"/>
      <c r="AS195" s="6" t="n"/>
      <c r="AT195" s="6" t="n"/>
      <c r="AU195" s="6" t="n"/>
      <c r="AV195" s="3" t="n"/>
      <c r="AW195" s="6" t="n"/>
      <c r="AX195" s="6" t="n"/>
      <c r="AY195" s="6" t="n"/>
      <c r="AZ195" s="6" t="n"/>
      <c r="BA195" s="3" t="n"/>
      <c r="BB195" s="6" t="n"/>
      <c r="BC195" s="6" t="n"/>
      <c r="BD195" s="6" t="n"/>
      <c r="BE195" s="6" t="n"/>
      <c r="BF195" s="3" t="n"/>
      <c r="BG195" s="6" t="n"/>
      <c r="BH195" s="6" t="n"/>
      <c r="BI195" s="6" t="n"/>
      <c r="BJ195" s="6" t="n"/>
      <c r="BK195" s="3" t="n"/>
      <c r="BL195" s="6" t="n"/>
      <c r="BM195" s="6" t="n"/>
      <c r="BN195" s="6" t="n"/>
      <c r="BO195" s="6" t="n"/>
      <c r="BP195" s="3" t="n"/>
      <c r="BQ195" s="6" t="n"/>
      <c r="BR195" s="6" t="n"/>
      <c r="BS195" s="6" t="n"/>
      <c r="BT195" s="6" t="n"/>
      <c r="BU195" s="3" t="n"/>
      <c r="BV195" s="6" t="n"/>
      <c r="BW195" s="6" t="n"/>
      <c r="BX195" s="6" t="n"/>
      <c r="BY195" s="6" t="n"/>
      <c r="BZ195" s="3" t="n"/>
      <c r="CA195" s="6" t="n"/>
      <c r="CB195" s="6" t="n"/>
      <c r="CC195" s="6" t="n"/>
      <c r="CD195" s="6" t="n"/>
      <c r="CE195" s="3" t="n"/>
      <c r="CF195" s="6" t="n"/>
      <c r="CG195" s="6" t="n"/>
      <c r="CH195" s="6" t="n"/>
      <c r="CI195" s="6" t="n"/>
      <c r="CJ195" s="3" t="n"/>
      <c r="CK195" s="6" t="n"/>
      <c r="CL195" s="6" t="n"/>
      <c r="CM195" s="6" t="n"/>
      <c r="CN195" s="6" t="n"/>
      <c r="CO195" s="3" t="n"/>
      <c r="CP195" s="6" t="n"/>
      <c r="CQ195" s="6" t="n"/>
      <c r="CR195" s="6" t="n"/>
      <c r="CS195" s="6" t="n"/>
      <c r="CT195" s="3" t="n"/>
      <c r="CU195" s="6" t="n"/>
      <c r="CV195" s="6" t="n"/>
      <c r="CW195" s="6" t="n"/>
      <c r="CX195" s="6" t="n"/>
      <c r="CY195" s="3" t="n"/>
    </row>
    <row r="196" hidden="1" outlineLevel="1">
      <c r="C196" s="34" t="inlineStr">
        <is>
          <t>Contas a pagar pela aquisição de controladas</t>
        </is>
      </c>
      <c r="D196" s="6" t="n"/>
      <c r="E196" s="6" t="n"/>
      <c r="F196" s="6" t="n"/>
      <c r="G196" s="6" t="n"/>
      <c r="H196" s="3" t="n"/>
      <c r="I196" s="6" t="n"/>
      <c r="J196" s="6" t="n"/>
      <c r="K196" s="6" t="n"/>
      <c r="L196" s="6" t="n"/>
      <c r="M196" s="3" t="n"/>
      <c r="N196" s="6" t="n"/>
      <c r="O196" s="6" t="n"/>
      <c r="P196" s="6" t="n"/>
      <c r="Q196" s="6" t="n"/>
      <c r="R196" s="3" t="n"/>
      <c r="S196" s="6" t="n"/>
      <c r="T196" s="6" t="n"/>
      <c r="U196" s="6" t="n"/>
      <c r="V196" s="6" t="n"/>
      <c r="W196" s="3" t="n"/>
      <c r="X196" s="6" t="n"/>
      <c r="Y196" s="6" t="n"/>
      <c r="Z196" s="6" t="n"/>
      <c r="AA196" s="6" t="n"/>
      <c r="AB196" s="3" t="n"/>
      <c r="AC196" s="6" t="n"/>
      <c r="AD196" s="6" t="n"/>
      <c r="AE196" s="6" t="n"/>
      <c r="AF196" s="6" t="n"/>
      <c r="AG196" s="3" t="n"/>
      <c r="AH196" s="6" t="n"/>
      <c r="AI196" s="6" t="n"/>
      <c r="AJ196" s="6" t="n"/>
      <c r="AK196" s="6" t="n"/>
      <c r="AL196" s="3" t="n"/>
      <c r="AM196" s="6" t="n"/>
      <c r="AN196" s="6" t="n"/>
      <c r="AO196" s="6" t="n"/>
      <c r="AP196" s="6" t="n"/>
      <c r="AQ196" s="3" t="n"/>
      <c r="AR196" s="6" t="n"/>
      <c r="AS196" s="6" t="n"/>
      <c r="AT196" s="6" t="n"/>
      <c r="AU196" s="6" t="n"/>
      <c r="AV196" s="3" t="n"/>
      <c r="AW196" s="6" t="n"/>
      <c r="AX196" s="6" t="n"/>
      <c r="AY196" s="6" t="n"/>
      <c r="AZ196" s="6" t="n"/>
      <c r="BA196" s="3" t="n"/>
      <c r="BB196" s="6" t="n"/>
      <c r="BC196" s="6" t="n"/>
      <c r="BD196" s="6" t="n"/>
      <c r="BE196" s="6" t="n"/>
      <c r="BF196" s="3" t="n"/>
      <c r="BG196" s="6" t="n"/>
      <c r="BH196" s="6" t="n"/>
      <c r="BI196" s="6" t="n"/>
      <c r="BJ196" s="6" t="n"/>
      <c r="BK196" s="3" t="n"/>
      <c r="BL196" s="6" t="n"/>
      <c r="BM196" s="6" t="n"/>
      <c r="BN196" s="6" t="n"/>
      <c r="BO196" s="6" t="n"/>
      <c r="BP196" s="3" t="n"/>
      <c r="BQ196" s="6" t="n"/>
      <c r="BR196" s="6" t="n"/>
      <c r="BS196" s="6" t="n"/>
      <c r="BT196" s="6" t="n"/>
      <c r="BU196" s="3" t="n"/>
      <c r="BV196" s="6" t="n"/>
      <c r="BW196" s="6" t="n"/>
      <c r="BX196" s="6" t="n"/>
      <c r="BY196" s="6" t="n"/>
      <c r="BZ196" s="3" t="n"/>
      <c r="CA196" s="6" t="n"/>
      <c r="CB196" s="6" t="n"/>
      <c r="CC196" s="6" t="n"/>
      <c r="CD196" s="6" t="n"/>
      <c r="CE196" s="3" t="n"/>
      <c r="CF196" s="6" t="n"/>
      <c r="CG196" s="6" t="n"/>
      <c r="CH196" s="6" t="n"/>
      <c r="CI196" s="6" t="n"/>
      <c r="CJ196" s="3" t="n"/>
      <c r="CK196" s="6" t="n"/>
      <c r="CL196" s="6" t="n"/>
      <c r="CM196" s="6" t="n"/>
      <c r="CN196" s="6" t="n"/>
      <c r="CO196" s="3" t="n"/>
      <c r="CP196" s="6" t="n"/>
      <c r="CQ196" s="6" t="n"/>
      <c r="CR196" s="6" t="n"/>
      <c r="CS196" s="6" t="n"/>
      <c r="CT196" s="3" t="n"/>
      <c r="CU196" s="6" t="n"/>
      <c r="CV196" s="6" t="n"/>
      <c r="CW196" s="6" t="n"/>
      <c r="CX196" s="6" t="n"/>
      <c r="CY196" s="3" t="n"/>
    </row>
    <row r="197" hidden="1" outlineLevel="1">
      <c r="C197" s="34" t="inlineStr">
        <is>
          <t>Outros</t>
        </is>
      </c>
      <c r="D197" s="6" t="n"/>
      <c r="E197" s="6" t="n"/>
      <c r="F197" s="6" t="n"/>
      <c r="G197" s="6" t="n"/>
      <c r="H197" s="3" t="n"/>
      <c r="I197" s="6" t="n"/>
      <c r="J197" s="6" t="n"/>
      <c r="K197" s="6" t="n"/>
      <c r="L197" s="6" t="n"/>
      <c r="M197" s="3" t="n"/>
      <c r="N197" s="6" t="n"/>
      <c r="O197" s="6" t="n"/>
      <c r="P197" s="6" t="n"/>
      <c r="Q197" s="6" t="n"/>
      <c r="R197" s="3" t="n"/>
      <c r="S197" s="6" t="n"/>
      <c r="T197" s="6" t="n"/>
      <c r="U197" s="6" t="n"/>
      <c r="V197" s="6" t="n"/>
      <c r="W197" s="3" t="n"/>
      <c r="X197" s="6" t="n"/>
      <c r="Y197" s="6" t="n"/>
      <c r="Z197" s="6" t="n"/>
      <c r="AA197" s="6" t="n"/>
      <c r="AB197" s="3" t="n"/>
      <c r="AC197" s="6" t="n"/>
      <c r="AD197" s="6" t="n"/>
      <c r="AE197" s="6" t="n"/>
      <c r="AF197" s="6" t="n"/>
      <c r="AG197" s="3" t="n"/>
      <c r="AH197" s="6" t="n"/>
      <c r="AI197" s="6" t="n"/>
      <c r="AJ197" s="6" t="n"/>
      <c r="AK197" s="6" t="n"/>
      <c r="AL197" s="3" t="n"/>
      <c r="AM197" s="6" t="n"/>
      <c r="AN197" s="6" t="n"/>
      <c r="AO197" s="6" t="n"/>
      <c r="AP197" s="6" t="n"/>
      <c r="AQ197" s="3" t="n"/>
      <c r="AR197" s="6" t="n"/>
      <c r="AS197" s="6" t="n"/>
      <c r="AT197" s="6" t="n"/>
      <c r="AU197" s="6" t="n"/>
      <c r="AV197" s="3" t="n"/>
      <c r="AW197" s="6" t="n"/>
      <c r="AX197" s="6" t="n"/>
      <c r="AY197" s="6" t="n"/>
      <c r="AZ197" s="6" t="n"/>
      <c r="BA197" s="3" t="n"/>
      <c r="BB197" s="6" t="n"/>
      <c r="BC197" s="6" t="n"/>
      <c r="BD197" s="6" t="n"/>
      <c r="BE197" s="6" t="n"/>
      <c r="BF197" s="3" t="n"/>
      <c r="BG197" s="6" t="n"/>
      <c r="BH197" s="6" t="n"/>
      <c r="BI197" s="6" t="n"/>
      <c r="BJ197" s="6" t="n"/>
      <c r="BK197" s="3" t="n"/>
      <c r="BL197" s="6" t="n"/>
      <c r="BM197" s="6" t="n"/>
      <c r="BN197" s="6" t="n"/>
      <c r="BO197" s="6" t="n"/>
      <c r="BP197" s="3" t="n"/>
      <c r="BQ197" s="6" t="n"/>
      <c r="BR197" s="6" t="n"/>
      <c r="BS197" s="6" t="n"/>
      <c r="BT197" s="6" t="n"/>
      <c r="BU197" s="3" t="n"/>
      <c r="BV197" s="6" t="n"/>
      <c r="BW197" s="6" t="n"/>
      <c r="BX197" s="6" t="n"/>
      <c r="BY197" s="6" t="n"/>
      <c r="BZ197" s="3" t="n"/>
      <c r="CA197" s="6" t="n"/>
      <c r="CB197" s="6" t="n"/>
      <c r="CC197" s="6" t="n"/>
      <c r="CD197" s="6" t="n"/>
      <c r="CE197" s="3" t="n"/>
      <c r="CF197" s="6" t="n"/>
      <c r="CG197" s="6" t="n"/>
      <c r="CH197" s="6" t="n"/>
      <c r="CI197" s="6" t="n"/>
      <c r="CJ197" s="3" t="n"/>
      <c r="CK197" s="6" t="n"/>
      <c r="CL197" s="6" t="n"/>
      <c r="CM197" s="6" t="n"/>
      <c r="CN197" s="6" t="n"/>
      <c r="CO197" s="3" t="n"/>
      <c r="CP197" s="6" t="n"/>
      <c r="CQ197" s="6" t="n"/>
      <c r="CR197" s="6" t="n"/>
      <c r="CS197" s="6" t="n"/>
      <c r="CT197" s="3" t="n"/>
      <c r="CU197" s="6" t="n"/>
      <c r="CV197" s="6" t="n"/>
      <c r="CW197" s="6" t="n"/>
      <c r="CX197" s="6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collapsed="1">
      <c r="C199" s="26" t="inlineStr">
        <is>
          <t>Current portion of long-term debt</t>
        </is>
      </c>
      <c r="D199" s="25">
        <f>INDEX('Inputs (2)'!$D$32:$AL$32,MATCH(D$7,'Inputs (2)'!$D$2:$AL$2,0))</f>
        <v>34324</v>
      </c>
      <c r="E199" s="25">
        <f>INDEX('Inputs (2)'!$D$32:$AL$32,MATCH(E$7,'Inputs (2)'!$D$2:$AL$2,0))</f>
        <v>34037</v>
      </c>
      <c r="F199" s="25">
        <f>INDEX('Inputs (2)'!$D$32:$AL$32,MATCH(F$7,'Inputs (2)'!$D$2:$AL$2,0))</f>
        <v>32734</v>
      </c>
      <c r="G199" s="25">
        <f>INDEX('Inputs (2)'!$D$32:$AL$32,MATCH(G$7,'Inputs (2)'!$D$2:$AL$2,0))</f>
        <v>32772</v>
      </c>
      <c r="H199" s="3">
        <f>G199</f>
        <v>32772</v>
      </c>
      <c r="I199" s="25">
        <f>INDEX('Inputs (2)'!$D$32:$AL$32,MATCH(I$7,'Inputs (2)'!$D$2:$AL$2,0))</f>
        <v>33346</v>
      </c>
      <c r="J199" s="25">
        <f>INDEX('Inputs (2)'!$D$32:$AL$32,MATCH(J$7,'Inputs (2)'!$D$2:$AL$2,0))</f>
        <v>42684</v>
      </c>
      <c r="K199" s="25">
        <f>INDEX('Inputs (2)'!$D$32:$AL$32,MATCH(K$7,'Inputs (2)'!$D$2:$AL$2,0))</f>
        <v>43807</v>
      </c>
      <c r="L199" s="25">
        <f>INDEX('Inputs (2)'!$D$32:$AL$32,MATCH(L$7,'Inputs (2)'!$D$2:$AL$2,0))</f>
        <v>43828</v>
      </c>
      <c r="M199" s="3">
        <f>L199</f>
        <v>43828</v>
      </c>
      <c r="N199" s="25">
        <f>INDEX('Inputs (2)'!$D$32:$AL$32,MATCH(N$7,'Inputs (2)'!$D$2:$AL$2,0))</f>
        <v>44860</v>
      </c>
      <c r="O199" s="25">
        <f>INDEX('Inputs (2)'!$D$32:$AL$32,MATCH(O$7,'Inputs (2)'!$D$2:$AL$2,0))</f>
        <v>14176</v>
      </c>
      <c r="P199" s="25">
        <f>INDEX('Inputs (2)'!$D$32:$AL$32,MATCH(P$7,'Inputs (2)'!$D$2:$AL$2,0))</f>
        <v>12592</v>
      </c>
      <c r="Q199" s="25">
        <f>INDEX('Inputs (2)'!$D$32:$AL$32,MATCH(Q$7,'Inputs (2)'!$D$2:$AL$2,0))</f>
        <v>14129</v>
      </c>
      <c r="R199" s="3">
        <f>Q199</f>
        <v>14129</v>
      </c>
      <c r="S199" s="25">
        <f>INDEX('Inputs (2)'!$D$32:$AL$32,MATCH(S$7,'Inputs (2)'!$D$2:$AL$2,0))</f>
        <v>17109</v>
      </c>
      <c r="T199" s="25">
        <f>INDEX('Inputs (2)'!$D$32:$AL$32,MATCH(T$7,'Inputs (2)'!$D$2:$AL$2,0))</f>
        <v>17143</v>
      </c>
      <c r="U199" s="25">
        <f>INDEX('Inputs (2)'!$D$32:$AL$32,MATCH(U$7,'Inputs (2)'!$D$2:$AL$2,0))</f>
        <v>17939</v>
      </c>
      <c r="V199" s="25">
        <f>INDEX('Inputs (2)'!$D$32:$AL$32,MATCH(V$7,'Inputs (2)'!$D$2:$AL$2,0))</f>
        <v>17117</v>
      </c>
      <c r="W199" s="3">
        <f>V199</f>
        <v>17117</v>
      </c>
      <c r="X199" s="25">
        <f>INDEX('Inputs (2)'!$D$32:$AL$32,MATCH(X$7,'Inputs (2)'!$D$2:$AL$2,0))</f>
        <v>17699</v>
      </c>
      <c r="Y199" s="25">
        <f>INDEX('Inputs (2)'!$D$32:$AL$32,MATCH(Y$7,'Inputs (2)'!$D$2:$AL$2,0))</f>
        <v>15294</v>
      </c>
      <c r="Z199" s="25">
        <f>INDEX('Inputs (2)'!$D$32:$AL$32,MATCH(Z$7,'Inputs (2)'!$D$2:$AL$2,0))</f>
        <v>13533</v>
      </c>
      <c r="AA199" s="25">
        <f>INDEX('Inputs (2)'!$D$32:$AL$32,MATCH(AA$7,'Inputs (2)'!$D$2:$AL$2,0))</f>
        <v>12811</v>
      </c>
      <c r="AB199" s="3">
        <f>AA199</f>
        <v>12811</v>
      </c>
      <c r="AC199" s="25">
        <f>INDEX('Inputs (2)'!$D$32:$AL$32,MATCH(AC$7,'Inputs (2)'!$D$2:$AL$2,0))</f>
        <v>15948</v>
      </c>
      <c r="AD199" s="25">
        <f>INDEX('Inputs (2)'!$D$32:$AL$32,MATCH(AD$7,'Inputs (2)'!$D$2:$AL$2,0))</f>
        <v>14607</v>
      </c>
      <c r="AE199" s="25">
        <f>INDEX('Inputs (2)'!$D$32:$AL$32,MATCH(AE$7,'Inputs (2)'!$D$2:$AL$2,0))</f>
        <v>13796</v>
      </c>
      <c r="AF199" s="25">
        <f>INDEX('Inputs (2)'!$D$32:$AL$32,MATCH(AF$7,'Inputs (2)'!$D$2:$AL$2,0))</f>
        <v>14392</v>
      </c>
      <c r="AG199" s="3">
        <f>AF199</f>
        <v>14392</v>
      </c>
      <c r="AH199" s="3">
        <f>INDEX('Inputs (2)'!$D$32:$AL$32,MATCH(AH$7,'Inputs (2)'!$D$2:$AL$2,0))</f>
        <v>15632</v>
      </c>
      <c r="AI199" s="3">
        <f>INDEX('Inputs (2)'!$D$32:$AL$32,MATCH(AI$7,'Inputs (2)'!$D$2:$AL$2,0))</f>
        <v>17115</v>
      </c>
      <c r="AJ199" s="3">
        <f>AI199</f>
        <v>17115</v>
      </c>
      <c r="AK199" s="3">
        <f>AJ199</f>
        <v>17115</v>
      </c>
      <c r="AL199" s="3">
        <f>AK199</f>
        <v>17115</v>
      </c>
      <c r="AM199" s="3">
        <f>AL199</f>
        <v>17115</v>
      </c>
      <c r="AN199" s="3">
        <f>AM199</f>
        <v>17115</v>
      </c>
      <c r="AO199" s="3">
        <f>AN199</f>
        <v>17115</v>
      </c>
      <c r="AP199" s="3">
        <f>AO199</f>
        <v>17115</v>
      </c>
      <c r="AQ199" s="3">
        <f>AP199</f>
        <v>17115</v>
      </c>
      <c r="AR199" s="3">
        <f>AQ199</f>
        <v>17115</v>
      </c>
      <c r="AS199" s="3">
        <f>AR199</f>
        <v>17115</v>
      </c>
      <c r="AT199" s="3">
        <f>AS199</f>
        <v>17115</v>
      </c>
      <c r="AU199" s="3">
        <f>AT199</f>
        <v>17115</v>
      </c>
      <c r="AV199" s="3">
        <f>AU199</f>
        <v>17115</v>
      </c>
      <c r="AW199" s="3">
        <f>AV199</f>
        <v>17115</v>
      </c>
      <c r="AX199" s="3">
        <f>AW199</f>
        <v>17115</v>
      </c>
      <c r="AY199" s="3">
        <f>AX199</f>
        <v>17115</v>
      </c>
      <c r="AZ199" s="3">
        <f>AY199</f>
        <v>17115</v>
      </c>
      <c r="BA199" s="3">
        <f>AZ199</f>
        <v>17115</v>
      </c>
      <c r="BB199" s="3">
        <f>BA199</f>
        <v>17115</v>
      </c>
      <c r="BC199" s="3">
        <f>BB199</f>
        <v>17115</v>
      </c>
      <c r="BD199" s="3">
        <f>BC199</f>
        <v>17115</v>
      </c>
      <c r="BE199" s="3">
        <f>BD199</f>
        <v>17115</v>
      </c>
      <c r="BF199" s="3">
        <f>BE199</f>
        <v>17115</v>
      </c>
      <c r="BG199" s="3">
        <f>BF199</f>
        <v>17115</v>
      </c>
      <c r="BH199" s="3">
        <f>BG199</f>
        <v>17115</v>
      </c>
      <c r="BI199" s="3">
        <f>BH199</f>
        <v>17115</v>
      </c>
      <c r="BJ199" s="3">
        <f>BI199</f>
        <v>17115</v>
      </c>
      <c r="BK199" s="3">
        <f>BJ199</f>
        <v>17115</v>
      </c>
      <c r="BL199" s="3">
        <f>BK199</f>
        <v>17115</v>
      </c>
      <c r="BM199" s="3">
        <f>BL199</f>
        <v>17115</v>
      </c>
      <c r="BN199" s="3">
        <f>BM199</f>
        <v>17115</v>
      </c>
      <c r="BO199" s="3">
        <f>BN199</f>
        <v>17115</v>
      </c>
      <c r="BP199" s="3">
        <f>BO199</f>
        <v>17115</v>
      </c>
      <c r="BQ199" s="3">
        <f>BP199</f>
        <v>17115</v>
      </c>
      <c r="BR199" s="3">
        <f>BQ199</f>
        <v>17115</v>
      </c>
      <c r="BS199" s="3">
        <f>BR199</f>
        <v>17115</v>
      </c>
      <c r="BT199" s="3">
        <f>BS199</f>
        <v>17115</v>
      </c>
      <c r="BU199" s="3">
        <f>BT199</f>
        <v>17115</v>
      </c>
      <c r="BV199" s="3">
        <f>BU199</f>
        <v>17115</v>
      </c>
      <c r="BW199" s="3">
        <f>BV199</f>
        <v>17115</v>
      </c>
      <c r="BX199" s="3">
        <f>BW199</f>
        <v>17115</v>
      </c>
      <c r="BY199" s="3">
        <f>BX199</f>
        <v>17115</v>
      </c>
      <c r="BZ199" s="3">
        <f>BY199</f>
        <v>17115</v>
      </c>
      <c r="CA199" s="3">
        <f>BZ199</f>
        <v>17115</v>
      </c>
      <c r="CB199" s="3">
        <f>CA199</f>
        <v>17115</v>
      </c>
      <c r="CC199" s="3">
        <f>CB199</f>
        <v>17115</v>
      </c>
      <c r="CD199" s="3">
        <f>CC199</f>
        <v>17115</v>
      </c>
      <c r="CE199" s="3">
        <f>CD199</f>
        <v>17115</v>
      </c>
      <c r="CF199" s="3">
        <f>CE199</f>
        <v>17115</v>
      </c>
      <c r="CG199" s="3">
        <f>CF199</f>
        <v>17115</v>
      </c>
      <c r="CH199" s="3">
        <f>CG199</f>
        <v>17115</v>
      </c>
      <c r="CI199" s="3">
        <f>CH199</f>
        <v>17115</v>
      </c>
      <c r="CJ199" s="3">
        <f>CI199</f>
        <v>17115</v>
      </c>
      <c r="CK199" s="3">
        <f>CJ199</f>
        <v>17115</v>
      </c>
      <c r="CL199" s="3">
        <f>CK199</f>
        <v>17115</v>
      </c>
      <c r="CM199" s="3">
        <f>CL199</f>
        <v>17115</v>
      </c>
      <c r="CN199" s="3">
        <f>CM199</f>
        <v>17115</v>
      </c>
      <c r="CO199" s="3">
        <f>CN199</f>
        <v>17115</v>
      </c>
      <c r="CP199" s="3">
        <f>CO199</f>
        <v>17115</v>
      </c>
      <c r="CQ199" s="3">
        <f>CP199</f>
        <v>17115</v>
      </c>
      <c r="CR199" s="3">
        <f>CQ199</f>
        <v>17115</v>
      </c>
      <c r="CS199" s="3">
        <f>CR199</f>
        <v>17115</v>
      </c>
      <c r="CT199" s="3">
        <f>CS199</f>
        <v>17115</v>
      </c>
      <c r="CU199" s="3">
        <f>CT199</f>
        <v>17115</v>
      </c>
      <c r="CV199" s="3">
        <f>CU199</f>
        <v>17115</v>
      </c>
      <c r="CW199" s="3">
        <f>CV199</f>
        <v>17115</v>
      </c>
      <c r="CX199" s="3">
        <f>CW199</f>
        <v>17115</v>
      </c>
      <c r="CY199" s="3">
        <f>CX199</f>
        <v>17115</v>
      </c>
    </row>
    <row r="200">
      <c r="C200" s="26" t="inlineStr">
        <is>
          <t>Short term debt (Revolving credit facility)</t>
        </is>
      </c>
      <c r="D200" s="25">
        <f>INDEX('Inputs (2)'!$D$33:$AL$33,MATCH(D$7,'Inputs (2)'!$D$2:$AL$2,0))</f>
        <v>0</v>
      </c>
      <c r="E200" s="25">
        <f>INDEX('Inputs (2)'!$D$33:$AL$33,MATCH(E$7,'Inputs (2)'!$D$2:$AL$2,0))</f>
        <v>0</v>
      </c>
      <c r="F200" s="25">
        <f>INDEX('Inputs (2)'!$D$33:$AL$33,MATCH(F$7,'Inputs (2)'!$D$2:$AL$2,0))</f>
        <v>0</v>
      </c>
      <c r="G200" s="25">
        <f>INDEX('Inputs (2)'!$D$33:$AL$33,MATCH(G$7,'Inputs (2)'!$D$2:$AL$2,0))</f>
        <v>0</v>
      </c>
      <c r="H200" s="3">
        <f>G200</f>
        <v>0</v>
      </c>
      <c r="I200" s="25">
        <f>INDEX('Inputs (2)'!$D$33:$AL$33,MATCH(I$7,'Inputs (2)'!$D$2:$AL$2,0))</f>
        <v>0</v>
      </c>
      <c r="J200" s="25">
        <f>INDEX('Inputs (2)'!$D$33:$AL$33,MATCH(J$7,'Inputs (2)'!$D$2:$AL$2,0))</f>
        <v>0</v>
      </c>
      <c r="K200" s="25">
        <f>INDEX('Inputs (2)'!$D$33:$AL$33,MATCH(K$7,'Inputs (2)'!$D$2:$AL$2,0))</f>
        <v>0</v>
      </c>
      <c r="L200" s="25">
        <f>INDEX('Inputs (2)'!$D$33:$AL$33,MATCH(L$7,'Inputs (2)'!$D$2:$AL$2,0))</f>
        <v>0</v>
      </c>
      <c r="M200" s="3">
        <f>L200</f>
        <v>0</v>
      </c>
      <c r="N200" s="25">
        <f>INDEX('Inputs (2)'!$D$33:$AL$33,MATCH(N$7,'Inputs (2)'!$D$2:$AL$2,0))</f>
        <v>0</v>
      </c>
      <c r="O200" s="25">
        <f>INDEX('Inputs (2)'!$D$33:$AL$33,MATCH(O$7,'Inputs (2)'!$D$2:$AL$2,0))</f>
        <v>0</v>
      </c>
      <c r="P200" s="25">
        <f>INDEX('Inputs (2)'!$D$33:$AL$33,MATCH(P$7,'Inputs (2)'!$D$2:$AL$2,0))</f>
        <v>0</v>
      </c>
      <c r="Q200" s="25">
        <f>INDEX('Inputs (2)'!$D$33:$AL$33,MATCH(Q$7,'Inputs (2)'!$D$2:$AL$2,0))</f>
        <v>0</v>
      </c>
      <c r="R200" s="3">
        <f>Q200</f>
        <v>0</v>
      </c>
      <c r="S200" s="25">
        <f>INDEX('Inputs (2)'!$D$33:$AL$33,MATCH(S$7,'Inputs (2)'!$D$2:$AL$2,0))</f>
        <v>0</v>
      </c>
      <c r="T200" s="25">
        <f>INDEX('Inputs (2)'!$D$33:$AL$33,MATCH(T$7,'Inputs (2)'!$D$2:$AL$2,0))</f>
        <v>0</v>
      </c>
      <c r="U200" s="25">
        <f>INDEX('Inputs (2)'!$D$33:$AL$33,MATCH(U$7,'Inputs (2)'!$D$2:$AL$2,0))</f>
        <v>0</v>
      </c>
      <c r="V200" s="25">
        <f>INDEX('Inputs (2)'!$D$33:$AL$33,MATCH(V$7,'Inputs (2)'!$D$2:$AL$2,0))</f>
        <v>0</v>
      </c>
      <c r="W200" s="3">
        <f>V200</f>
        <v>0</v>
      </c>
      <c r="X200" s="25">
        <f>INDEX('Inputs (2)'!$D$33:$AL$33,MATCH(X$7,'Inputs (2)'!$D$2:$AL$2,0))</f>
        <v>0</v>
      </c>
      <c r="Y200" s="25">
        <f>INDEX('Inputs (2)'!$D$33:$AL$33,MATCH(Y$7,'Inputs (2)'!$D$2:$AL$2,0))</f>
        <v>0</v>
      </c>
      <c r="Z200" s="25">
        <f>INDEX('Inputs (2)'!$D$33:$AL$33,MATCH(Z$7,'Inputs (2)'!$D$2:$AL$2,0))</f>
        <v>0</v>
      </c>
      <c r="AA200" s="25">
        <f>INDEX('Inputs (2)'!$D$33:$AL$33,MATCH(AA$7,'Inputs (2)'!$D$2:$AL$2,0))</f>
        <v>0</v>
      </c>
      <c r="AB200" s="3">
        <f>AA200</f>
        <v>0</v>
      </c>
      <c r="AC200" s="25">
        <f>INDEX('Inputs (2)'!$D$33:$AL$33,MATCH(AC$7,'Inputs (2)'!$D$2:$AL$2,0))</f>
        <v>0</v>
      </c>
      <c r="AD200" s="25">
        <f>INDEX('Inputs (2)'!$D$33:$AL$33,MATCH(AD$7,'Inputs (2)'!$D$2:$AL$2,0))</f>
        <v>0</v>
      </c>
      <c r="AE200" s="25">
        <f>INDEX('Inputs (2)'!$D$33:$AL$33,MATCH(AE$7,'Inputs (2)'!$D$2:$AL$2,0))</f>
        <v>0</v>
      </c>
      <c r="AF200" s="25">
        <f>INDEX('Inputs (2)'!$D$33:$AL$33,MATCH(AF$7,'Inputs (2)'!$D$2:$AL$2,0))</f>
        <v>0</v>
      </c>
      <c r="AG200" s="3">
        <f>AF200</f>
        <v>0</v>
      </c>
      <c r="AH200" s="3">
        <f>INDEX('Inputs (2)'!$D$33:$AL$33,MATCH(AH$7,'Inputs (2)'!$D$2:$AL$2,0))</f>
        <v>0</v>
      </c>
      <c r="AI200" s="3">
        <f>INDEX('Inputs (2)'!$D$33:$AL$33,MATCH(AI$7,'Inputs (2)'!$D$2:$AL$2,0))</f>
        <v>0</v>
      </c>
      <c r="AJ200" s="3">
        <f>AI200</f>
        <v>0</v>
      </c>
      <c r="AK200" s="3">
        <f>AJ200</f>
        <v>0</v>
      </c>
      <c r="AL200" s="3">
        <f>AK200</f>
        <v>0</v>
      </c>
      <c r="AM200" s="3">
        <f>AL200</f>
        <v>0</v>
      </c>
      <c r="AN200" s="3">
        <f>AM200</f>
        <v>0</v>
      </c>
      <c r="AO200" s="3">
        <f>AN200</f>
        <v>0</v>
      </c>
      <c r="AP200" s="3">
        <f>AO200</f>
        <v>0</v>
      </c>
      <c r="AQ200" s="3">
        <f>AP200</f>
        <v>0</v>
      </c>
      <c r="AR200" s="3">
        <f>AQ200</f>
        <v>0</v>
      </c>
      <c r="AS200" s="3">
        <f>AR200</f>
        <v>0</v>
      </c>
      <c r="AT200" s="3">
        <f>AS200</f>
        <v>0</v>
      </c>
      <c r="AU200" s="3">
        <f>AT200</f>
        <v>0</v>
      </c>
      <c r="AV200" s="3">
        <f>AU200</f>
        <v>0</v>
      </c>
      <c r="AW200" s="3">
        <f>AV200</f>
        <v>0</v>
      </c>
      <c r="AX200" s="3">
        <f>AW200</f>
        <v>0</v>
      </c>
      <c r="AY200" s="3">
        <f>AX200</f>
        <v>0</v>
      </c>
      <c r="AZ200" s="3">
        <f>AY200</f>
        <v>0</v>
      </c>
      <c r="BA200" s="3">
        <f>AZ200</f>
        <v>0</v>
      </c>
      <c r="BB200" s="3">
        <f>BA200</f>
        <v>0</v>
      </c>
      <c r="BC200" s="3">
        <f>BB200</f>
        <v>0</v>
      </c>
      <c r="BD200" s="3">
        <f>BC200</f>
        <v>0</v>
      </c>
      <c r="BE200" s="3">
        <f>BD200</f>
        <v>0</v>
      </c>
      <c r="BF200" s="3">
        <f>BE200</f>
        <v>0</v>
      </c>
      <c r="BG200" s="3">
        <f>BF200</f>
        <v>0</v>
      </c>
      <c r="BH200" s="3">
        <f>BG200</f>
        <v>0</v>
      </c>
      <c r="BI200" s="3">
        <f>BH200</f>
        <v>0</v>
      </c>
      <c r="BJ200" s="3">
        <f>BI200</f>
        <v>0</v>
      </c>
      <c r="BK200" s="3">
        <f>BJ200</f>
        <v>0</v>
      </c>
      <c r="BL200" s="3">
        <f>BK200</f>
        <v>0</v>
      </c>
      <c r="BM200" s="3">
        <f>BL200</f>
        <v>0</v>
      </c>
      <c r="BN200" s="3">
        <f>BM200</f>
        <v>0</v>
      </c>
      <c r="BO200" s="3">
        <f>BN200</f>
        <v>0</v>
      </c>
      <c r="BP200" s="3">
        <f>BO200</f>
        <v>0</v>
      </c>
      <c r="BQ200" s="3">
        <f>BP200</f>
        <v>0</v>
      </c>
      <c r="BR200" s="3">
        <f>BQ200</f>
        <v>0</v>
      </c>
      <c r="BS200" s="3">
        <f>BR200</f>
        <v>0</v>
      </c>
      <c r="BT200" s="3">
        <f>BS200</f>
        <v>0</v>
      </c>
      <c r="BU200" s="3">
        <f>BT200</f>
        <v>0</v>
      </c>
      <c r="BV200" s="3">
        <f>BU200</f>
        <v>0</v>
      </c>
      <c r="BW200" s="3">
        <f>BV200</f>
        <v>0</v>
      </c>
      <c r="BX200" s="3">
        <f>BW200</f>
        <v>0</v>
      </c>
      <c r="BY200" s="3">
        <f>BX200</f>
        <v>0</v>
      </c>
      <c r="BZ200" s="3">
        <f>BY200</f>
        <v>0</v>
      </c>
      <c r="CA200" s="3">
        <f>BZ200</f>
        <v>0</v>
      </c>
      <c r="CB200" s="3">
        <f>CA200</f>
        <v>0</v>
      </c>
      <c r="CC200" s="3">
        <f>CB200</f>
        <v>0</v>
      </c>
      <c r="CD200" s="3">
        <f>CC200</f>
        <v>0</v>
      </c>
      <c r="CE200" s="3">
        <f>CD200</f>
        <v>0</v>
      </c>
      <c r="CF200" s="3">
        <f>CE200</f>
        <v>0</v>
      </c>
      <c r="CG200" s="3">
        <f>CF200</f>
        <v>0</v>
      </c>
      <c r="CH200" s="3">
        <f>CG200</f>
        <v>0</v>
      </c>
      <c r="CI200" s="3">
        <f>CH200</f>
        <v>0</v>
      </c>
      <c r="CJ200" s="3">
        <f>CI200</f>
        <v>0</v>
      </c>
      <c r="CK200" s="3">
        <f>CJ200</f>
        <v>0</v>
      </c>
      <c r="CL200" s="3">
        <f>CK200</f>
        <v>0</v>
      </c>
      <c r="CM200" s="3">
        <f>CL200</f>
        <v>0</v>
      </c>
      <c r="CN200" s="3">
        <f>CM200</f>
        <v>0</v>
      </c>
      <c r="CO200" s="3">
        <f>CN200</f>
        <v>0</v>
      </c>
      <c r="CP200" s="3">
        <f>CO200</f>
        <v>0</v>
      </c>
      <c r="CQ200" s="3">
        <f>CP200</f>
        <v>0</v>
      </c>
      <c r="CR200" s="3">
        <f>CQ200</f>
        <v>0</v>
      </c>
      <c r="CS200" s="3">
        <f>CR200</f>
        <v>0</v>
      </c>
      <c r="CT200" s="3">
        <f>CS200</f>
        <v>0</v>
      </c>
      <c r="CU200" s="3">
        <f>CT200</f>
        <v>0</v>
      </c>
      <c r="CV200" s="3">
        <f>CU200</f>
        <v>0</v>
      </c>
      <c r="CW200" s="3">
        <f>CV200</f>
        <v>0</v>
      </c>
      <c r="CX200" s="3">
        <f>CW200</f>
        <v>0</v>
      </c>
      <c r="CY200" s="3">
        <f>CX200</f>
        <v>0</v>
      </c>
    </row>
    <row r="201">
      <c r="C201" s="26" t="inlineStr">
        <is>
          <t>Short term operating leases</t>
        </is>
      </c>
      <c r="D201" s="25">
        <f>INDEX('Inputs (2)'!$D$34:$AL$34,MATCH(D$7,'Inputs (2)'!$D$2:$AL$2,0))</f>
        <v>0</v>
      </c>
      <c r="E201" s="25">
        <f>INDEX('Inputs (2)'!$D$34:$AL$34,MATCH(E$7,'Inputs (2)'!$D$2:$AL$2,0))</f>
        <v>0</v>
      </c>
      <c r="F201" s="25">
        <f>INDEX('Inputs (2)'!$D$34:$AL$34,MATCH(F$7,'Inputs (2)'!$D$2:$AL$2,0))</f>
        <v>0</v>
      </c>
      <c r="G201" s="25">
        <f>INDEX('Inputs (2)'!$D$34:$AL$34,MATCH(G$7,'Inputs (2)'!$D$2:$AL$2,0))</f>
        <v>0</v>
      </c>
      <c r="H201" s="3">
        <f>G201</f>
        <v>0</v>
      </c>
      <c r="I201" s="25">
        <f>INDEX('Inputs (2)'!$D$34:$AL$34,MATCH(I$7,'Inputs (2)'!$D$2:$AL$2,0))</f>
        <v>0</v>
      </c>
      <c r="J201" s="25">
        <f>INDEX('Inputs (2)'!$D$34:$AL$34,MATCH(J$7,'Inputs (2)'!$D$2:$AL$2,0))</f>
        <v>0</v>
      </c>
      <c r="K201" s="25">
        <f>INDEX('Inputs (2)'!$D$34:$AL$34,MATCH(K$7,'Inputs (2)'!$D$2:$AL$2,0))</f>
        <v>0</v>
      </c>
      <c r="L201" s="25">
        <f>INDEX('Inputs (2)'!$D$34:$AL$34,MATCH(L$7,'Inputs (2)'!$D$2:$AL$2,0))</f>
        <v>0</v>
      </c>
      <c r="M201" s="3">
        <f>L201</f>
        <v>0</v>
      </c>
      <c r="N201" s="25">
        <f>INDEX('Inputs (2)'!$D$34:$AL$34,MATCH(N$7,'Inputs (2)'!$D$2:$AL$2,0))</f>
        <v>0</v>
      </c>
      <c r="O201" s="25">
        <f>INDEX('Inputs (2)'!$D$34:$AL$34,MATCH(O$7,'Inputs (2)'!$D$2:$AL$2,0))</f>
        <v>0</v>
      </c>
      <c r="P201" s="25">
        <f>INDEX('Inputs (2)'!$D$34:$AL$34,MATCH(P$7,'Inputs (2)'!$D$2:$AL$2,0))</f>
        <v>0</v>
      </c>
      <c r="Q201" s="25">
        <f>INDEX('Inputs (2)'!$D$34:$AL$34,MATCH(Q$7,'Inputs (2)'!$D$2:$AL$2,0))</f>
        <v>0</v>
      </c>
      <c r="R201" s="3">
        <f>Q201</f>
        <v>0</v>
      </c>
      <c r="S201" s="25">
        <f>INDEX('Inputs (2)'!$D$34:$AL$34,MATCH(S$7,'Inputs (2)'!$D$2:$AL$2,0))</f>
        <v>0</v>
      </c>
      <c r="T201" s="25">
        <f>INDEX('Inputs (2)'!$D$34:$AL$34,MATCH(T$7,'Inputs (2)'!$D$2:$AL$2,0))</f>
        <v>0</v>
      </c>
      <c r="U201" s="25">
        <f>INDEX('Inputs (2)'!$D$34:$AL$34,MATCH(U$7,'Inputs (2)'!$D$2:$AL$2,0))</f>
        <v>0</v>
      </c>
      <c r="V201" s="25">
        <f>INDEX('Inputs (2)'!$D$34:$AL$34,MATCH(V$7,'Inputs (2)'!$D$2:$AL$2,0))</f>
        <v>0</v>
      </c>
      <c r="W201" s="3">
        <f>V201</f>
        <v>0</v>
      </c>
      <c r="X201" s="25">
        <f>INDEX('Inputs (2)'!$D$34:$AL$34,MATCH(X$7,'Inputs (2)'!$D$2:$AL$2,0))</f>
        <v>0</v>
      </c>
      <c r="Y201" s="25">
        <f>INDEX('Inputs (2)'!$D$34:$AL$34,MATCH(Y$7,'Inputs (2)'!$D$2:$AL$2,0))</f>
        <v>0</v>
      </c>
      <c r="Z201" s="25">
        <f>INDEX('Inputs (2)'!$D$34:$AL$34,MATCH(Z$7,'Inputs (2)'!$D$2:$AL$2,0))</f>
        <v>0</v>
      </c>
      <c r="AA201" s="25">
        <f>INDEX('Inputs (2)'!$D$34:$AL$34,MATCH(AA$7,'Inputs (2)'!$D$2:$AL$2,0))</f>
        <v>0</v>
      </c>
      <c r="AB201" s="3">
        <f>AA201</f>
        <v>0</v>
      </c>
      <c r="AC201" s="25">
        <f>INDEX('Inputs (2)'!$D$34:$AL$34,MATCH(AC$7,'Inputs (2)'!$D$2:$AL$2,0))</f>
        <v>0</v>
      </c>
      <c r="AD201" s="25">
        <f>INDEX('Inputs (2)'!$D$34:$AL$34,MATCH(AD$7,'Inputs (2)'!$D$2:$AL$2,0))</f>
        <v>0</v>
      </c>
      <c r="AE201" s="25">
        <f>INDEX('Inputs (2)'!$D$34:$AL$34,MATCH(AE$7,'Inputs (2)'!$D$2:$AL$2,0))</f>
        <v>0</v>
      </c>
      <c r="AF201" s="25">
        <f>INDEX('Inputs (2)'!$D$34:$AL$34,MATCH(AF$7,'Inputs (2)'!$D$2:$AL$2,0))</f>
        <v>0</v>
      </c>
      <c r="AG201" s="3">
        <f>AF201</f>
        <v>0</v>
      </c>
      <c r="AH201" s="3">
        <f>INDEX('Inputs (2)'!$D$34:$AL$34,MATCH(AH$7,'Inputs (2)'!$D$2:$AL$2,0))</f>
        <v>0</v>
      </c>
      <c r="AI201" s="3">
        <f>INDEX('Inputs (2)'!$D$34:$AL$34,MATCH(AI$7,'Inputs (2)'!$D$2:$AL$2,0))</f>
        <v>0</v>
      </c>
      <c r="AJ201" s="3">
        <f>AI201</f>
        <v>0</v>
      </c>
      <c r="AK201" s="3">
        <f>AJ201</f>
        <v>0</v>
      </c>
      <c r="AL201" s="3">
        <f>AK201</f>
        <v>0</v>
      </c>
      <c r="AM201" s="3">
        <f>AL201</f>
        <v>0</v>
      </c>
      <c r="AN201" s="3">
        <f>AM201</f>
        <v>0</v>
      </c>
      <c r="AO201" s="3">
        <f>AN201</f>
        <v>0</v>
      </c>
      <c r="AP201" s="3">
        <f>AO201</f>
        <v>0</v>
      </c>
      <c r="AQ201" s="3">
        <f>AP201</f>
        <v>0</v>
      </c>
      <c r="AR201" s="3">
        <f>AQ201</f>
        <v>0</v>
      </c>
      <c r="AS201" s="3">
        <f>AR201</f>
        <v>0</v>
      </c>
      <c r="AT201" s="3">
        <f>AS201</f>
        <v>0</v>
      </c>
      <c r="AU201" s="3">
        <f>AT201</f>
        <v>0</v>
      </c>
      <c r="AV201" s="3">
        <f>AU201</f>
        <v>0</v>
      </c>
      <c r="AW201" s="3">
        <f>AV201</f>
        <v>0</v>
      </c>
      <c r="AX201" s="3">
        <f>AW201</f>
        <v>0</v>
      </c>
      <c r="AY201" s="3">
        <f>AX201</f>
        <v>0</v>
      </c>
      <c r="AZ201" s="3">
        <f>AY201</f>
        <v>0</v>
      </c>
      <c r="BA201" s="3">
        <f>AZ201</f>
        <v>0</v>
      </c>
      <c r="BB201" s="3">
        <f>BA201</f>
        <v>0</v>
      </c>
      <c r="BC201" s="3">
        <f>BB201</f>
        <v>0</v>
      </c>
      <c r="BD201" s="3">
        <f>BC201</f>
        <v>0</v>
      </c>
      <c r="BE201" s="3">
        <f>BD201</f>
        <v>0</v>
      </c>
      <c r="BF201" s="3">
        <f>BE201</f>
        <v>0</v>
      </c>
      <c r="BG201" s="3">
        <f>BF201</f>
        <v>0</v>
      </c>
      <c r="BH201" s="3">
        <f>BG201</f>
        <v>0</v>
      </c>
      <c r="BI201" s="3">
        <f>BH201</f>
        <v>0</v>
      </c>
      <c r="BJ201" s="3">
        <f>BI201</f>
        <v>0</v>
      </c>
      <c r="BK201" s="3">
        <f>BJ201</f>
        <v>0</v>
      </c>
      <c r="BL201" s="3">
        <f>BK201</f>
        <v>0</v>
      </c>
      <c r="BM201" s="3">
        <f>BL201</f>
        <v>0</v>
      </c>
      <c r="BN201" s="3">
        <f>BM201</f>
        <v>0</v>
      </c>
      <c r="BO201" s="3">
        <f>BN201</f>
        <v>0</v>
      </c>
      <c r="BP201" s="3">
        <f>BO201</f>
        <v>0</v>
      </c>
      <c r="BQ201" s="3">
        <f>BP201</f>
        <v>0</v>
      </c>
      <c r="BR201" s="3">
        <f>BQ201</f>
        <v>0</v>
      </c>
      <c r="BS201" s="3">
        <f>BR201</f>
        <v>0</v>
      </c>
      <c r="BT201" s="3">
        <f>BS201</f>
        <v>0</v>
      </c>
      <c r="BU201" s="3">
        <f>BT201</f>
        <v>0</v>
      </c>
      <c r="BV201" s="3">
        <f>BU201</f>
        <v>0</v>
      </c>
      <c r="BW201" s="3">
        <f>BV201</f>
        <v>0</v>
      </c>
      <c r="BX201" s="3">
        <f>BW201</f>
        <v>0</v>
      </c>
      <c r="BY201" s="3">
        <f>BX201</f>
        <v>0</v>
      </c>
      <c r="BZ201" s="3">
        <f>BY201</f>
        <v>0</v>
      </c>
      <c r="CA201" s="3">
        <f>BZ201</f>
        <v>0</v>
      </c>
      <c r="CB201" s="3">
        <f>CA201</f>
        <v>0</v>
      </c>
      <c r="CC201" s="3">
        <f>CB201</f>
        <v>0</v>
      </c>
      <c r="CD201" s="3">
        <f>CC201</f>
        <v>0</v>
      </c>
      <c r="CE201" s="3">
        <f>CD201</f>
        <v>0</v>
      </c>
      <c r="CF201" s="3">
        <f>CE201</f>
        <v>0</v>
      </c>
      <c r="CG201" s="3">
        <f>CF201</f>
        <v>0</v>
      </c>
      <c r="CH201" s="3">
        <f>CG201</f>
        <v>0</v>
      </c>
      <c r="CI201" s="3">
        <f>CH201</f>
        <v>0</v>
      </c>
      <c r="CJ201" s="3">
        <f>CI201</f>
        <v>0</v>
      </c>
      <c r="CK201" s="3">
        <f>CJ201</f>
        <v>0</v>
      </c>
      <c r="CL201" s="3">
        <f>CK201</f>
        <v>0</v>
      </c>
      <c r="CM201" s="3">
        <f>CL201</f>
        <v>0</v>
      </c>
      <c r="CN201" s="3">
        <f>CM201</f>
        <v>0</v>
      </c>
      <c r="CO201" s="3">
        <f>CN201</f>
        <v>0</v>
      </c>
      <c r="CP201" s="3">
        <f>CO201</f>
        <v>0</v>
      </c>
      <c r="CQ201" s="3">
        <f>CP201</f>
        <v>0</v>
      </c>
      <c r="CR201" s="3">
        <f>CQ201</f>
        <v>0</v>
      </c>
      <c r="CS201" s="3">
        <f>CR201</f>
        <v>0</v>
      </c>
      <c r="CT201" s="3">
        <f>CS201</f>
        <v>0</v>
      </c>
      <c r="CU201" s="3">
        <f>CT201</f>
        <v>0</v>
      </c>
      <c r="CV201" s="3">
        <f>CU201</f>
        <v>0</v>
      </c>
      <c r="CW201" s="3">
        <f>CV201</f>
        <v>0</v>
      </c>
      <c r="CX201" s="3">
        <f>CW201</f>
        <v>0</v>
      </c>
      <c r="CY201" s="3">
        <f>CX201</f>
        <v>0</v>
      </c>
    </row>
    <row r="202" hidden="1" outlineLevel="1">
      <c r="C202" s="38" t="inlineStr">
        <is>
          <t>%(Var.)</t>
        </is>
      </c>
      <c r="D202" s="3" t="n"/>
      <c r="E202" s="47">
        <f>IFERROR((E201-D201)/D201,0)</f>
        <v>0</v>
      </c>
      <c r="F202" s="47">
        <f>IFERROR((F201-E201)/E201,0)</f>
        <v>0</v>
      </c>
      <c r="G202" s="47">
        <f>IFERROR((G201-F201)/F201,0)</f>
        <v>0</v>
      </c>
      <c r="H202" s="3" t="n"/>
      <c r="I202" s="47">
        <f>IFERROR((I201-H201)/H201,0)</f>
        <v>0</v>
      </c>
      <c r="J202" s="47">
        <f>IFERROR((J201-I201)/I201,0)</f>
        <v>0</v>
      </c>
      <c r="K202" s="47">
        <f>IFERROR((K201-J201)/J201,0)</f>
        <v>0</v>
      </c>
      <c r="L202" s="47">
        <f>IFERROR((L201-K201)/K201,0)</f>
        <v>0</v>
      </c>
      <c r="M202" s="3" t="n"/>
      <c r="N202" s="47">
        <f>IFERROR((N201-M201)/M201,0)</f>
        <v>0</v>
      </c>
      <c r="O202" s="47">
        <f>IFERROR((O201-N201)/N201,0)</f>
        <v>0</v>
      </c>
      <c r="P202" s="47">
        <f>IFERROR((P201-O201)/O201,0)</f>
        <v>0</v>
      </c>
      <c r="Q202" s="47">
        <f>IFERROR((Q201-P201)/P201,0)</f>
        <v>0</v>
      </c>
      <c r="R202" s="3" t="n"/>
      <c r="S202" s="47">
        <f>IFERROR((S201-R201)/R201,0)</f>
        <v>0</v>
      </c>
      <c r="T202" s="47">
        <f>IFERROR((T201-S201)/S201,0)</f>
        <v>0</v>
      </c>
      <c r="U202" s="47">
        <f>IFERROR((U201-T201)/T201,0)</f>
        <v>0</v>
      </c>
      <c r="V202" s="47">
        <f>IFERROR((V201-U201)/U201,0)</f>
        <v>0</v>
      </c>
      <c r="W202" s="3" t="n"/>
      <c r="X202" s="47">
        <f>IFERROR((X201-W201)/W201,0)</f>
        <v>0</v>
      </c>
      <c r="Y202" s="47">
        <f>IFERROR((Y201-X201)/X201,0)</f>
        <v>0</v>
      </c>
      <c r="Z202" s="47">
        <f>IFERROR((Z201-Y201)/Y201,0)</f>
        <v>0</v>
      </c>
      <c r="AA202" s="47">
        <f>IFERROR((AA201-Z201)/Z201,0)</f>
        <v>0</v>
      </c>
      <c r="AB202" s="3" t="n"/>
      <c r="AC202" s="47">
        <f>IFERROR((AC201-AB201)/AB201,0)</f>
        <v>0</v>
      </c>
      <c r="AD202" s="47">
        <f>IFERROR((AD201-AC201)/AC201,0)</f>
        <v>0</v>
      </c>
      <c r="AE202" s="47">
        <f>IFERROR((AE201-AD201)/AD201,0)</f>
        <v>0</v>
      </c>
      <c r="AF202" s="6">
        <f>IFERROR((AF201-AE201)/AE201,0)</f>
        <v>0</v>
      </c>
      <c r="AG202" s="3" t="n"/>
      <c r="AH202" s="6">
        <f>IFERROR((AH201-AG201)/AG201,0)</f>
        <v>0</v>
      </c>
      <c r="AI202" s="6">
        <f>IFERROR((AI201-AH201)/AH201,0)</f>
        <v>0</v>
      </c>
      <c r="AJ202" s="6" t="n"/>
      <c r="AK202" s="6" t="n"/>
      <c r="AL202" s="3" t="n"/>
      <c r="AM202" s="6" t="n"/>
      <c r="AN202" s="6" t="n"/>
      <c r="AO202" s="6" t="n"/>
      <c r="AP202" s="6" t="n"/>
      <c r="AQ202" s="3" t="n"/>
      <c r="AR202" s="6" t="n"/>
      <c r="AS202" s="6" t="n"/>
      <c r="AT202" s="6" t="n"/>
      <c r="AU202" s="6" t="n"/>
      <c r="AV202" s="3" t="n"/>
      <c r="AW202" s="6" t="n"/>
      <c r="AX202" s="6" t="n"/>
      <c r="AY202" s="6" t="n"/>
      <c r="AZ202" s="6" t="n"/>
      <c r="BA202" s="3" t="n"/>
      <c r="BB202" s="6" t="n"/>
      <c r="BC202" s="6" t="n"/>
      <c r="BD202" s="6" t="n"/>
      <c r="BE202" s="6" t="n"/>
      <c r="BF202" s="3" t="n"/>
      <c r="BG202" s="6" t="n"/>
      <c r="BH202" s="6" t="n"/>
      <c r="BI202" s="6" t="n"/>
      <c r="BJ202" s="6" t="n"/>
      <c r="BK202" s="3" t="n"/>
      <c r="BL202" s="6" t="n"/>
      <c r="BM202" s="6" t="n"/>
      <c r="BN202" s="6" t="n"/>
      <c r="BO202" s="6" t="n"/>
      <c r="BP202" s="3" t="n"/>
      <c r="BQ202" s="6" t="n"/>
      <c r="BR202" s="6" t="n"/>
      <c r="BS202" s="6" t="n"/>
      <c r="BT202" s="6" t="n"/>
      <c r="BU202" s="3" t="n"/>
      <c r="BV202" s="6" t="n"/>
      <c r="BW202" s="6" t="n"/>
      <c r="BX202" s="6" t="n"/>
      <c r="BY202" s="6" t="n"/>
      <c r="BZ202" s="3" t="n"/>
      <c r="CA202" s="6" t="n"/>
      <c r="CB202" s="6" t="n"/>
      <c r="CC202" s="6" t="n"/>
      <c r="CD202" s="6" t="n"/>
      <c r="CE202" s="3" t="n"/>
      <c r="CF202" s="6" t="n"/>
      <c r="CG202" s="6" t="n"/>
      <c r="CH202" s="6" t="n"/>
      <c r="CI202" s="6" t="n"/>
      <c r="CJ202" s="3" t="n"/>
      <c r="CK202" s="6" t="n"/>
      <c r="CL202" s="6" t="n"/>
      <c r="CM202" s="6" t="n"/>
      <c r="CN202" s="6" t="n"/>
      <c r="CO202" s="3" t="n"/>
      <c r="CP202" s="6" t="n"/>
      <c r="CQ202" s="6" t="n"/>
      <c r="CR202" s="6" t="n"/>
      <c r="CS202" s="6" t="n"/>
      <c r="CT202" s="3" t="n"/>
      <c r="CU202" s="6" t="n"/>
      <c r="CV202" s="6" t="n"/>
      <c r="CW202" s="6" t="n"/>
      <c r="CX202" s="6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Long term debt</t>
        </is>
      </c>
      <c r="D204" s="25">
        <f>INDEX('Inputs (2)'!$D$35:$AL$35,MATCH(D$7,'Inputs (2)'!$D$2:$AL$2,0))</f>
        <v>0</v>
      </c>
      <c r="E204" s="25">
        <f>INDEX('Inputs (2)'!$D$35:$AL$35,MATCH(E$7,'Inputs (2)'!$D$2:$AL$2,0))</f>
        <v>0</v>
      </c>
      <c r="F204" s="25">
        <f>INDEX('Inputs (2)'!$D$35:$AL$35,MATCH(F$7,'Inputs (2)'!$D$2:$AL$2,0))</f>
        <v>0</v>
      </c>
      <c r="G204" s="25">
        <f>INDEX('Inputs (2)'!$D$35:$AL$35,MATCH(G$7,'Inputs (2)'!$D$2:$AL$2,0))</f>
        <v>0</v>
      </c>
      <c r="H204" s="3">
        <f>G204</f>
        <v>0</v>
      </c>
      <c r="I204" s="25">
        <f>INDEX('Inputs (2)'!$D$35:$AL$35,MATCH(I$7,'Inputs (2)'!$D$2:$AL$2,0))</f>
        <v>0</v>
      </c>
      <c r="J204" s="25">
        <f>INDEX('Inputs (2)'!$D$35:$AL$35,MATCH(J$7,'Inputs (2)'!$D$2:$AL$2,0))</f>
        <v>0</v>
      </c>
      <c r="K204" s="25">
        <f>INDEX('Inputs (2)'!$D$35:$AL$35,MATCH(K$7,'Inputs (2)'!$D$2:$AL$2,0))</f>
        <v>0</v>
      </c>
      <c r="L204" s="25">
        <f>INDEX('Inputs (2)'!$D$35:$AL$35,MATCH(L$7,'Inputs (2)'!$D$2:$AL$2,0))</f>
        <v>0</v>
      </c>
      <c r="M204" s="3">
        <f>L204</f>
        <v>0</v>
      </c>
      <c r="N204" s="25">
        <f>INDEX('Inputs (2)'!$D$35:$AL$35,MATCH(N$7,'Inputs (2)'!$D$2:$AL$2,0))</f>
        <v>0</v>
      </c>
      <c r="O204" s="25">
        <f>INDEX('Inputs (2)'!$D$35:$AL$35,MATCH(O$7,'Inputs (2)'!$D$2:$AL$2,0))</f>
        <v>0</v>
      </c>
      <c r="P204" s="25">
        <f>INDEX('Inputs (2)'!$D$35:$AL$35,MATCH(P$7,'Inputs (2)'!$D$2:$AL$2,0))</f>
        <v>0</v>
      </c>
      <c r="Q204" s="25">
        <f>INDEX('Inputs (2)'!$D$35:$AL$35,MATCH(Q$7,'Inputs (2)'!$D$2:$AL$2,0))</f>
        <v>0</v>
      </c>
      <c r="R204" s="3">
        <f>Q204</f>
        <v>0</v>
      </c>
      <c r="S204" s="25">
        <f>INDEX('Inputs (2)'!$D$35:$AL$35,MATCH(S$7,'Inputs (2)'!$D$2:$AL$2,0))</f>
        <v>0</v>
      </c>
      <c r="T204" s="25">
        <f>INDEX('Inputs (2)'!$D$35:$AL$35,MATCH(T$7,'Inputs (2)'!$D$2:$AL$2,0))</f>
        <v>0</v>
      </c>
      <c r="U204" s="25">
        <f>INDEX('Inputs (2)'!$D$35:$AL$35,MATCH(U$7,'Inputs (2)'!$D$2:$AL$2,0))</f>
        <v>0</v>
      </c>
      <c r="V204" s="25">
        <f>INDEX('Inputs (2)'!$D$35:$AL$35,MATCH(V$7,'Inputs (2)'!$D$2:$AL$2,0))</f>
        <v>0</v>
      </c>
      <c r="W204" s="3">
        <f>V204</f>
        <v>0</v>
      </c>
      <c r="X204" s="25">
        <f>INDEX('Inputs (2)'!$D$35:$AL$35,MATCH(X$7,'Inputs (2)'!$D$2:$AL$2,0))</f>
        <v>0</v>
      </c>
      <c r="Y204" s="25">
        <f>INDEX('Inputs (2)'!$D$35:$AL$35,MATCH(Y$7,'Inputs (2)'!$D$2:$AL$2,0))</f>
        <v>0</v>
      </c>
      <c r="Z204" s="25">
        <f>INDEX('Inputs (2)'!$D$35:$AL$35,MATCH(Z$7,'Inputs (2)'!$D$2:$AL$2,0))</f>
        <v>0</v>
      </c>
      <c r="AA204" s="25">
        <f>INDEX('Inputs (2)'!$D$35:$AL$35,MATCH(AA$7,'Inputs (2)'!$D$2:$AL$2,0))</f>
        <v>0</v>
      </c>
      <c r="AB204" s="3">
        <f>AA204</f>
        <v>0</v>
      </c>
      <c r="AC204" s="25">
        <f>INDEX('Inputs (2)'!$D$35:$AL$35,MATCH(AC$7,'Inputs (2)'!$D$2:$AL$2,0))</f>
        <v>0</v>
      </c>
      <c r="AD204" s="25">
        <f>INDEX('Inputs (2)'!$D$35:$AL$35,MATCH(AD$7,'Inputs (2)'!$D$2:$AL$2,0))</f>
        <v>0</v>
      </c>
      <c r="AE204" s="25">
        <f>INDEX('Inputs (2)'!$D$35:$AL$35,MATCH(AE$7,'Inputs (2)'!$D$2:$AL$2,0))</f>
        <v>0</v>
      </c>
      <c r="AF204" s="25">
        <f>INDEX('Inputs (2)'!$D$35:$AL$35,MATCH(AF$7,'Inputs (2)'!$D$2:$AL$2,0))</f>
        <v>0</v>
      </c>
      <c r="AG204" s="3">
        <f>AF204</f>
        <v>0</v>
      </c>
      <c r="AH204" s="3">
        <f>INDEX('Inputs (2)'!$D$35:$AL$35,MATCH(AH$7,'Inputs (2)'!$D$2:$AL$2,0))</f>
        <v>0</v>
      </c>
      <c r="AI204" s="3">
        <f>INDEX('Inputs (2)'!$D$35:$AL$35,MATCH(AI$7,'Inputs (2)'!$D$2:$AL$2,0))</f>
        <v>0</v>
      </c>
      <c r="AJ204" s="3">
        <f>AJ210</f>
        <v>0</v>
      </c>
      <c r="AK204" s="3">
        <f>AK210</f>
        <v>0</v>
      </c>
      <c r="AL204" s="3">
        <f>AK204</f>
        <v>0</v>
      </c>
      <c r="AM204" s="3">
        <f>AM210</f>
        <v>0</v>
      </c>
      <c r="AN204" s="3">
        <f>AN210</f>
        <v>0</v>
      </c>
      <c r="AO204" s="3">
        <f>AO210</f>
        <v>0</v>
      </c>
      <c r="AP204" s="3">
        <f>AP210</f>
        <v>0</v>
      </c>
      <c r="AQ204" s="3">
        <f>AP204</f>
        <v>0</v>
      </c>
      <c r="AR204" s="3">
        <f>AR210</f>
        <v>0</v>
      </c>
      <c r="AS204" s="3">
        <f>AS210</f>
        <v>0</v>
      </c>
      <c r="AT204" s="3">
        <f>AT210</f>
        <v>0</v>
      </c>
      <c r="AU204" s="3">
        <f>AU210</f>
        <v>0</v>
      </c>
      <c r="AV204" s="3">
        <f>AU204</f>
        <v>0</v>
      </c>
      <c r="AW204" s="3">
        <f>AW210</f>
        <v>0</v>
      </c>
      <c r="AX204" s="3">
        <f>AX210</f>
        <v>0</v>
      </c>
      <c r="AY204" s="3">
        <f>AY210</f>
        <v>0</v>
      </c>
      <c r="AZ204" s="3">
        <f>AZ210</f>
        <v>0</v>
      </c>
      <c r="BA204" s="3">
        <f>AZ204</f>
        <v>0</v>
      </c>
      <c r="BB204" s="3">
        <f>BB210</f>
        <v>0</v>
      </c>
      <c r="BC204" s="3">
        <f>BC210</f>
        <v>0</v>
      </c>
      <c r="BD204" s="3">
        <f>BD210</f>
        <v>0</v>
      </c>
      <c r="BE204" s="3">
        <f>BE210</f>
        <v>0</v>
      </c>
      <c r="BF204" s="3">
        <f>BE204</f>
        <v>0</v>
      </c>
      <c r="BG204" s="3">
        <f>BG210</f>
        <v>0</v>
      </c>
      <c r="BH204" s="3">
        <f>BH210</f>
        <v>0</v>
      </c>
      <c r="BI204" s="3">
        <f>BI210</f>
        <v>0</v>
      </c>
      <c r="BJ204" s="3">
        <f>BJ210</f>
        <v>0</v>
      </c>
      <c r="BK204" s="3">
        <f>BJ204</f>
        <v>0</v>
      </c>
      <c r="BL204" s="3">
        <f>BL210</f>
        <v>0</v>
      </c>
      <c r="BM204" s="3">
        <f>BM210</f>
        <v>0</v>
      </c>
      <c r="BN204" s="3">
        <f>BN210</f>
        <v>0</v>
      </c>
      <c r="BO204" s="3">
        <f>BO210</f>
        <v>0</v>
      </c>
      <c r="BP204" s="3">
        <f>BO204</f>
        <v>0</v>
      </c>
      <c r="BQ204" s="3">
        <f>BQ210</f>
        <v>0</v>
      </c>
      <c r="BR204" s="3">
        <f>BR210</f>
        <v>0</v>
      </c>
      <c r="BS204" s="3">
        <f>BS210</f>
        <v>0</v>
      </c>
      <c r="BT204" s="3">
        <f>BT210</f>
        <v>0</v>
      </c>
      <c r="BU204" s="3">
        <f>BT204</f>
        <v>0</v>
      </c>
      <c r="BV204" s="3">
        <f>BV210</f>
        <v>0</v>
      </c>
      <c r="BW204" s="3">
        <f>BW210</f>
        <v>0</v>
      </c>
      <c r="BX204" s="3">
        <f>BX210</f>
        <v>0</v>
      </c>
      <c r="BY204" s="3">
        <f>BY210</f>
        <v>0</v>
      </c>
      <c r="BZ204" s="3">
        <f>BY204</f>
        <v>0</v>
      </c>
      <c r="CA204" s="3">
        <f>CA210</f>
        <v>0</v>
      </c>
      <c r="CB204" s="3">
        <f>CB210</f>
        <v>0</v>
      </c>
      <c r="CC204" s="3">
        <f>CC210</f>
        <v>0</v>
      </c>
      <c r="CD204" s="3">
        <f>CD210</f>
        <v>0</v>
      </c>
      <c r="CE204" s="3">
        <f>CD204</f>
        <v>0</v>
      </c>
      <c r="CF204" s="3">
        <f>CF210</f>
        <v>0</v>
      </c>
      <c r="CG204" s="3">
        <f>CG210</f>
        <v>0</v>
      </c>
      <c r="CH204" s="3">
        <f>CH210</f>
        <v>0</v>
      </c>
      <c r="CI204" s="3">
        <f>CI210</f>
        <v>0</v>
      </c>
      <c r="CJ204" s="3">
        <f>CI204</f>
        <v>0</v>
      </c>
      <c r="CK204" s="3">
        <f>CK210</f>
        <v>0</v>
      </c>
      <c r="CL204" s="3">
        <f>CL210</f>
        <v>0</v>
      </c>
      <c r="CM204" s="3">
        <f>CM210</f>
        <v>0</v>
      </c>
      <c r="CN204" s="3">
        <f>CN210</f>
        <v>0</v>
      </c>
      <c r="CO204" s="3">
        <f>CN204</f>
        <v>0</v>
      </c>
      <c r="CP204" s="3">
        <f>CP210</f>
        <v>0</v>
      </c>
      <c r="CQ204" s="3">
        <f>CQ210</f>
        <v>0</v>
      </c>
      <c r="CR204" s="3">
        <f>CR210</f>
        <v>0</v>
      </c>
      <c r="CS204" s="3">
        <f>CS210</f>
        <v>0</v>
      </c>
      <c r="CT204" s="3">
        <f>CS204</f>
        <v>0</v>
      </c>
      <c r="CU204" s="3">
        <f>CU210</f>
        <v>0</v>
      </c>
      <c r="CV204" s="3">
        <f>CV210</f>
        <v>0</v>
      </c>
      <c r="CW204" s="3">
        <f>CW210</f>
        <v>0</v>
      </c>
      <c r="CX204" s="3">
        <f>CX210</f>
        <v>0</v>
      </c>
      <c r="CY204" s="3">
        <f>CX204</f>
        <v>0</v>
      </c>
    </row>
    <row r="205" hidden="1" outlineLevel="1">
      <c r="C205" s="34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  <c r="CU205" s="3" t="n"/>
      <c r="CV205" s="3" t="n"/>
      <c r="CW205" s="3" t="n"/>
      <c r="CX205" s="3" t="n"/>
      <c r="CY205" s="3" t="n"/>
    </row>
    <row r="206" hidden="1" outlineLevel="1">
      <c r="C206" s="34" t="inlineStr">
        <is>
          <t>Current portion of LTD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>
        <f>AF199</f>
        <v>14392</v>
      </c>
      <c r="AI206" s="35" t="n"/>
      <c r="AJ206" s="35" t="n"/>
      <c r="AK206" s="35" t="n"/>
      <c r="AL206" s="3" t="n"/>
      <c r="AM206" s="3">
        <f>AK199</f>
        <v>17115</v>
      </c>
      <c r="AN206" s="35" t="n"/>
      <c r="AO206" s="35" t="n"/>
      <c r="AP206" s="35" t="n"/>
      <c r="AQ206" s="3" t="n"/>
      <c r="AR206" s="3">
        <f>AP199</f>
        <v>17115</v>
      </c>
      <c r="AS206" s="35" t="n"/>
      <c r="AT206" s="35" t="n"/>
      <c r="AU206" s="35" t="n"/>
      <c r="AV206" s="3" t="n"/>
      <c r="AW206" s="3">
        <f>AU199</f>
        <v>17115</v>
      </c>
      <c r="AX206" s="35" t="n"/>
      <c r="AY206" s="35" t="n"/>
      <c r="AZ206" s="35" t="n"/>
      <c r="BA206" s="3" t="n"/>
      <c r="BB206" s="3">
        <f>AZ199</f>
        <v>17115</v>
      </c>
      <c r="BC206" s="35" t="n"/>
      <c r="BD206" s="35" t="n"/>
      <c r="BE206" s="35" t="n"/>
      <c r="BF206" s="3" t="n"/>
      <c r="BG206" s="3">
        <f>BE199</f>
        <v>17115</v>
      </c>
      <c r="BH206" s="35" t="n"/>
      <c r="BI206" s="35" t="n"/>
      <c r="BJ206" s="35" t="n"/>
      <c r="BK206" s="3" t="n"/>
      <c r="BL206" s="3">
        <f>BJ199</f>
        <v>17115</v>
      </c>
      <c r="BM206" s="35" t="n"/>
      <c r="BN206" s="35" t="n"/>
      <c r="BO206" s="35" t="n"/>
      <c r="BP206" s="3" t="n"/>
      <c r="BQ206" s="3">
        <f>BO199</f>
        <v>17115</v>
      </c>
      <c r="BR206" s="35" t="n"/>
      <c r="BS206" s="35" t="n"/>
      <c r="BT206" s="35" t="n"/>
      <c r="BU206" s="3" t="n"/>
      <c r="BV206" s="3">
        <f>BT199</f>
        <v>17115</v>
      </c>
      <c r="BW206" s="35" t="n"/>
      <c r="BX206" s="35" t="n"/>
      <c r="BY206" s="35" t="n"/>
      <c r="BZ206" s="3" t="n"/>
      <c r="CA206" s="3">
        <f>BY199</f>
        <v>17115</v>
      </c>
      <c r="CB206" s="35" t="n"/>
      <c r="CC206" s="35" t="n"/>
      <c r="CD206" s="35" t="n"/>
      <c r="CE206" s="3" t="n"/>
      <c r="CF206" s="3">
        <f>CD199</f>
        <v>17115</v>
      </c>
      <c r="CG206" s="35" t="n"/>
      <c r="CH206" s="35" t="n"/>
      <c r="CI206" s="35" t="n"/>
      <c r="CJ206" s="3" t="n"/>
      <c r="CK206" s="3">
        <f>CI199</f>
        <v>17115</v>
      </c>
      <c r="CL206" s="35" t="n"/>
      <c r="CM206" s="35" t="n"/>
      <c r="CN206" s="35" t="n"/>
      <c r="CO206" s="3" t="n"/>
      <c r="CP206" s="3">
        <f>CN199</f>
        <v>17115</v>
      </c>
      <c r="CQ206" s="35" t="n"/>
      <c r="CR206" s="35" t="n"/>
      <c r="CS206" s="35" t="n"/>
      <c r="CT206" s="3" t="n"/>
      <c r="CU206" s="3">
        <f>CS199</f>
        <v>17115</v>
      </c>
      <c r="CV206" s="35" t="n"/>
      <c r="CW206" s="35" t="n"/>
      <c r="CX206" s="35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hidden="1" outlineLevel="1">
      <c r="C208" s="34" t="inlineStr">
        <is>
          <t>Reclassification of LTD to CP of LTD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>
        <f>-AI206</f>
        <v>0</v>
      </c>
      <c r="AJ208" s="3">
        <f>-AJ206</f>
        <v>0</v>
      </c>
      <c r="AK208" s="3">
        <f>-AK206</f>
        <v>0</v>
      </c>
      <c r="AL208" s="3" t="n"/>
      <c r="AM208" s="3" t="n"/>
      <c r="AN208" s="3">
        <f>-AN206</f>
        <v>0</v>
      </c>
      <c r="AO208" s="3">
        <f>-AO206</f>
        <v>0</v>
      </c>
      <c r="AP208" s="3">
        <f>-AP206</f>
        <v>0</v>
      </c>
      <c r="AQ208" s="3" t="n"/>
      <c r="AR208" s="3" t="n"/>
      <c r="AS208" s="3">
        <f>-AS206</f>
        <v>0</v>
      </c>
      <c r="AT208" s="3">
        <f>-AT206</f>
        <v>0</v>
      </c>
      <c r="AU208" s="3">
        <f>-AU206</f>
        <v>0</v>
      </c>
      <c r="AV208" s="3" t="n"/>
      <c r="AW208" s="3" t="n"/>
      <c r="AX208" s="3">
        <f>-AX206</f>
        <v>0</v>
      </c>
      <c r="AY208" s="3">
        <f>-AY206</f>
        <v>0</v>
      </c>
      <c r="AZ208" s="3">
        <f>-AZ206</f>
        <v>0</v>
      </c>
      <c r="BA208" s="3" t="n"/>
      <c r="BB208" s="3" t="n"/>
      <c r="BC208" s="3">
        <f>-BC206</f>
        <v>0</v>
      </c>
      <c r="BD208" s="3">
        <f>-BD206</f>
        <v>0</v>
      </c>
      <c r="BE208" s="3">
        <f>-BE206</f>
        <v>0</v>
      </c>
      <c r="BF208" s="3" t="n"/>
      <c r="BG208" s="3" t="n"/>
      <c r="BH208" s="3">
        <f>-BH206</f>
        <v>0</v>
      </c>
      <c r="BI208" s="3">
        <f>-BI206</f>
        <v>0</v>
      </c>
      <c r="BJ208" s="3">
        <f>-BJ206</f>
        <v>0</v>
      </c>
      <c r="BK208" s="3" t="n"/>
      <c r="BL208" s="3" t="n"/>
      <c r="BM208" s="3">
        <f>-BM206</f>
        <v>0</v>
      </c>
      <c r="BN208" s="3">
        <f>-BN206</f>
        <v>0</v>
      </c>
      <c r="BO208" s="3">
        <f>-BO206</f>
        <v>0</v>
      </c>
      <c r="BP208" s="3" t="n"/>
      <c r="BQ208" s="3" t="n"/>
      <c r="BR208" s="3">
        <f>-BR206</f>
        <v>0</v>
      </c>
      <c r="BS208" s="3">
        <f>-BS206</f>
        <v>0</v>
      </c>
      <c r="BT208" s="3">
        <f>-BT206</f>
        <v>0</v>
      </c>
      <c r="BU208" s="3" t="n"/>
      <c r="BV208" s="3" t="n"/>
      <c r="BW208" s="3">
        <f>-BW206</f>
        <v>0</v>
      </c>
      <c r="BX208" s="3">
        <f>-BX206</f>
        <v>0</v>
      </c>
      <c r="BY208" s="3">
        <f>-BY206</f>
        <v>0</v>
      </c>
      <c r="BZ208" s="3" t="n"/>
      <c r="CA208" s="3" t="n"/>
      <c r="CB208" s="3">
        <f>-CB206</f>
        <v>0</v>
      </c>
      <c r="CC208" s="3">
        <f>-CC206</f>
        <v>0</v>
      </c>
      <c r="CD208" s="3">
        <f>-CD206</f>
        <v>0</v>
      </c>
      <c r="CE208" s="3" t="n"/>
      <c r="CF208" s="3" t="n"/>
      <c r="CG208" s="3">
        <f>-CG206</f>
        <v>0</v>
      </c>
      <c r="CH208" s="3">
        <f>-CH206</f>
        <v>0</v>
      </c>
      <c r="CI208" s="3">
        <f>-CI206</f>
        <v>0</v>
      </c>
      <c r="CJ208" s="3" t="n"/>
      <c r="CK208" s="3" t="n"/>
      <c r="CL208" s="3">
        <f>-CL206</f>
        <v>0</v>
      </c>
      <c r="CM208" s="3">
        <f>-CM206</f>
        <v>0</v>
      </c>
      <c r="CN208" s="3">
        <f>-CN206</f>
        <v>0</v>
      </c>
      <c r="CO208" s="3" t="n"/>
      <c r="CP208" s="3" t="n"/>
      <c r="CQ208" s="3">
        <f>-CQ206</f>
        <v>0</v>
      </c>
      <c r="CR208" s="3">
        <f>-CR206</f>
        <v>0</v>
      </c>
      <c r="CS208" s="3">
        <f>-CS206</f>
        <v>0</v>
      </c>
      <c r="CT208" s="3" t="n"/>
      <c r="CU208" s="3" t="n"/>
      <c r="CV208" s="3">
        <f>-CV206</f>
        <v>0</v>
      </c>
      <c r="CW208" s="3">
        <f>-CW206</f>
        <v>0</v>
      </c>
      <c r="CX208" s="3">
        <f>-CX206</f>
        <v>0</v>
      </c>
      <c r="CY208" s="3" t="n"/>
    </row>
    <row r="209" hidden="1" outlineLevel="1">
      <c r="C209" s="34" t="inlineStr">
        <is>
          <t>Discretionary (paydown)/borrowing of long term debt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5" t="n"/>
      <c r="AI209" s="35" t="n"/>
      <c r="AJ209" s="35" t="n"/>
      <c r="AK209" s="35" t="n"/>
      <c r="AL209" s="3" t="n"/>
      <c r="AM209" s="35" t="n"/>
      <c r="AN209" s="35" t="n"/>
      <c r="AO209" s="35" t="n"/>
      <c r="AP209" s="35" t="n"/>
      <c r="AQ209" s="3" t="n"/>
      <c r="AR209" s="35" t="n"/>
      <c r="AS209" s="35" t="n"/>
      <c r="AT209" s="35" t="n"/>
      <c r="AU209" s="35" t="n"/>
      <c r="AV209" s="3" t="n"/>
      <c r="AW209" s="35" t="n"/>
      <c r="AX209" s="35" t="n"/>
      <c r="AY209" s="35" t="n"/>
      <c r="AZ209" s="35" t="n"/>
      <c r="BA209" s="3" t="n"/>
      <c r="BB209" s="35" t="n"/>
      <c r="BC209" s="35" t="n"/>
      <c r="BD209" s="35" t="n"/>
      <c r="BE209" s="35" t="n"/>
      <c r="BF209" s="3" t="n"/>
      <c r="BG209" s="35" t="n"/>
      <c r="BH209" s="35" t="n"/>
      <c r="BI209" s="35" t="n"/>
      <c r="BJ209" s="35" t="n"/>
      <c r="BK209" s="3" t="n"/>
      <c r="BL209" s="35" t="n"/>
      <c r="BM209" s="35" t="n"/>
      <c r="BN209" s="35" t="n"/>
      <c r="BO209" s="35" t="n"/>
      <c r="BP209" s="3" t="n"/>
      <c r="BQ209" s="35" t="n"/>
      <c r="BR209" s="35" t="n"/>
      <c r="BS209" s="35" t="n"/>
      <c r="BT209" s="35" t="n"/>
      <c r="BU209" s="3" t="n"/>
      <c r="BV209" s="35" t="n"/>
      <c r="BW209" s="35" t="n"/>
      <c r="BX209" s="35" t="n"/>
      <c r="BY209" s="35" t="n"/>
      <c r="BZ209" s="3" t="n"/>
      <c r="CA209" s="35" t="n"/>
      <c r="CB209" s="35" t="n"/>
      <c r="CC209" s="35" t="n"/>
      <c r="CD209" s="35" t="n"/>
      <c r="CE209" s="3" t="n"/>
      <c r="CF209" s="35" t="n"/>
      <c r="CG209" s="35" t="n"/>
      <c r="CH209" s="35" t="n"/>
      <c r="CI209" s="35" t="n"/>
      <c r="CJ209" s="3" t="n"/>
      <c r="CK209" s="35" t="n"/>
      <c r="CL209" s="35" t="n"/>
      <c r="CM209" s="35" t="n"/>
      <c r="CN209" s="35" t="n"/>
      <c r="CO209" s="3" t="n"/>
      <c r="CP209" s="35" t="n"/>
      <c r="CQ209" s="35" t="n"/>
      <c r="CR209" s="35" t="n"/>
      <c r="CS209" s="35" t="n"/>
      <c r="CT209" s="3" t="n"/>
      <c r="CU209" s="35" t="n"/>
      <c r="CV209" s="35" t="n"/>
      <c r="CW209" s="35" t="n"/>
      <c r="CX209" s="35" t="n"/>
      <c r="CY209" s="3" t="n"/>
    </row>
    <row r="210" hidden="1" outlineLevel="1">
      <c r="C210" s="34" t="inlineStr">
        <is>
          <t>Long term debt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>
        <f>AF204+SUM(AH208:AH209)</f>
        <v>0</v>
      </c>
      <c r="AI210" s="3">
        <f>AH210+SUM(AI208:AI209)</f>
        <v>0</v>
      </c>
      <c r="AJ210" s="3">
        <f>AI204+SUM(AJ208:AJ209)</f>
        <v>0</v>
      </c>
      <c r="AK210" s="3">
        <f>AJ210+SUM(AK208:AK209)</f>
        <v>0</v>
      </c>
      <c r="AL210" s="3" t="n"/>
      <c r="AM210" s="3">
        <f>AK210+SUM(AM208:AM209)</f>
        <v>0</v>
      </c>
      <c r="AN210" s="3">
        <f>AM210+SUM(AN208:AN209)</f>
        <v>0</v>
      </c>
      <c r="AO210" s="3">
        <f>AN210+SUM(AO208:AO209)</f>
        <v>0</v>
      </c>
      <c r="AP210" s="3">
        <f>AO210+SUM(AP208:AP209)</f>
        <v>0</v>
      </c>
      <c r="AQ210" s="3" t="n"/>
      <c r="AR210" s="3">
        <f>AP210+SUM(AR208:AR209)</f>
        <v>0</v>
      </c>
      <c r="AS210" s="3">
        <f>AR210+SUM(AS208:AS209)</f>
        <v>0</v>
      </c>
      <c r="AT210" s="3">
        <f>AS210+SUM(AT208:AT209)</f>
        <v>0</v>
      </c>
      <c r="AU210" s="3">
        <f>AT210+SUM(AU208:AU209)</f>
        <v>0</v>
      </c>
      <c r="AV210" s="3" t="n"/>
      <c r="AW210" s="3">
        <f>AU210+SUM(AW208:AW209)</f>
        <v>0</v>
      </c>
      <c r="AX210" s="3">
        <f>AW210+SUM(AX208:AX209)</f>
        <v>0</v>
      </c>
      <c r="AY210" s="3">
        <f>AX210+SUM(AY208:AY209)</f>
        <v>0</v>
      </c>
      <c r="AZ210" s="3">
        <f>AY210+SUM(AZ208:AZ209)</f>
        <v>0</v>
      </c>
      <c r="BA210" s="3" t="n"/>
      <c r="BB210" s="3">
        <f>AZ210+SUM(BB208:BB209)</f>
        <v>0</v>
      </c>
      <c r="BC210" s="3">
        <f>BB210+SUM(BC208:BC209)</f>
        <v>0</v>
      </c>
      <c r="BD210" s="3">
        <f>BC210+SUM(BD208:BD209)</f>
        <v>0</v>
      </c>
      <c r="BE210" s="3">
        <f>BD210+SUM(BE208:BE209)</f>
        <v>0</v>
      </c>
      <c r="BF210" s="3" t="n"/>
      <c r="BG210" s="3">
        <f>BE210+SUM(BG208:BG209)</f>
        <v>0</v>
      </c>
      <c r="BH210" s="3">
        <f>BG210+SUM(BH208:BH209)</f>
        <v>0</v>
      </c>
      <c r="BI210" s="3">
        <f>BH210+SUM(BI208:BI209)</f>
        <v>0</v>
      </c>
      <c r="BJ210" s="3">
        <f>BI210+SUM(BJ208:BJ209)</f>
        <v>0</v>
      </c>
      <c r="BK210" s="3" t="n"/>
      <c r="BL210" s="3">
        <f>BJ210+SUM(BL208:BL209)</f>
        <v>0</v>
      </c>
      <c r="BM210" s="3">
        <f>BL210+SUM(BM208:BM209)</f>
        <v>0</v>
      </c>
      <c r="BN210" s="3">
        <f>BM210+SUM(BN208:BN209)</f>
        <v>0</v>
      </c>
      <c r="BO210" s="3">
        <f>BN210+SUM(BO208:BO209)</f>
        <v>0</v>
      </c>
      <c r="BP210" s="3" t="n"/>
      <c r="BQ210" s="3">
        <f>BO210+SUM(BQ208:BQ209)</f>
        <v>0</v>
      </c>
      <c r="BR210" s="3">
        <f>BQ210+SUM(BR208:BR209)</f>
        <v>0</v>
      </c>
      <c r="BS210" s="3">
        <f>BR210+SUM(BS208:BS209)</f>
        <v>0</v>
      </c>
      <c r="BT210" s="3">
        <f>BS210+SUM(BT208:BT209)</f>
        <v>0</v>
      </c>
      <c r="BU210" s="3" t="n"/>
      <c r="BV210" s="3">
        <f>BT210+SUM(BV208:BV209)</f>
        <v>0</v>
      </c>
      <c r="BW210" s="3">
        <f>BV210+SUM(BW208:BW209)</f>
        <v>0</v>
      </c>
      <c r="BX210" s="3">
        <f>BW210+SUM(BX208:BX209)</f>
        <v>0</v>
      </c>
      <c r="BY210" s="3">
        <f>BX210+SUM(BY208:BY209)</f>
        <v>0</v>
      </c>
      <c r="BZ210" s="3" t="n"/>
      <c r="CA210" s="3">
        <f>BY210+SUM(CA208:CA209)</f>
        <v>0</v>
      </c>
      <c r="CB210" s="3">
        <f>CA210+SUM(CB208:CB209)</f>
        <v>0</v>
      </c>
      <c r="CC210" s="3">
        <f>CB210+SUM(CC208:CC209)</f>
        <v>0</v>
      </c>
      <c r="CD210" s="3">
        <f>CC210+SUM(CD208:CD209)</f>
        <v>0</v>
      </c>
      <c r="CE210" s="3" t="n"/>
      <c r="CF210" s="3">
        <f>CD210+SUM(CF208:CF209)</f>
        <v>0</v>
      </c>
      <c r="CG210" s="3">
        <f>CF210+SUM(CG208:CG209)</f>
        <v>0</v>
      </c>
      <c r="CH210" s="3">
        <f>CG210+SUM(CH208:CH209)</f>
        <v>0</v>
      </c>
      <c r="CI210" s="3">
        <f>CH210+SUM(CI208:CI209)</f>
        <v>0</v>
      </c>
      <c r="CJ210" s="3" t="n"/>
      <c r="CK210" s="3">
        <f>CI210+SUM(CK208:CK209)</f>
        <v>0</v>
      </c>
      <c r="CL210" s="3">
        <f>CK210+SUM(CL208:CL209)</f>
        <v>0</v>
      </c>
      <c r="CM210" s="3">
        <f>CL210+SUM(CM208:CM209)</f>
        <v>0</v>
      </c>
      <c r="CN210" s="3">
        <f>CM210+SUM(CN208:CN209)</f>
        <v>0</v>
      </c>
      <c r="CO210" s="3" t="n"/>
      <c r="CP210" s="3">
        <f>CN210+SUM(CP208:CP209)</f>
        <v>0</v>
      </c>
      <c r="CQ210" s="3">
        <f>CP210+SUM(CQ208:CQ209)</f>
        <v>0</v>
      </c>
      <c r="CR210" s="3">
        <f>CQ210+SUM(CR208:CR209)</f>
        <v>0</v>
      </c>
      <c r="CS210" s="3">
        <f>CR210+SUM(CS208:CS209)</f>
        <v>0</v>
      </c>
      <c r="CT210" s="3" t="n"/>
      <c r="CU210" s="3">
        <f>CS210+SUM(CU208:CU209)</f>
        <v>0</v>
      </c>
      <c r="CV210" s="3">
        <f>CU210+SUM(CV208:CV209)</f>
        <v>0</v>
      </c>
      <c r="CW210" s="3">
        <f>CV210+SUM(CW208:CW209)</f>
        <v>0</v>
      </c>
      <c r="CX210" s="3">
        <f>CW210+SUM(CX208:CX209)</f>
        <v>0</v>
      </c>
      <c r="CY210" s="3" t="n"/>
      <c r="CZ210">
        <f>CX210+SUM(CZ208:CZ209)</f>
        <v>0</v>
      </c>
      <c r="DA210">
        <f>CZ210+SUM(DA208:DA209)</f>
        <v>0</v>
      </c>
      <c r="DB210">
        <f>DA210+SUM(DB208:DB209)</f>
        <v>0</v>
      </c>
      <c r="DC210">
        <f>DB210+SUM(DC208:DC209)</f>
        <v>0</v>
      </c>
    </row>
    <row r="211" hidden="1" outlineLevel="1">
      <c r="C211" s="3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inlineStr">
        <is>
          <t>Discretionary (paydown)/borrowing of convertible debt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5" t="n"/>
      <c r="AI212" s="35" t="n"/>
      <c r="AJ212" s="35" t="n"/>
      <c r="AK212" s="35" t="n"/>
      <c r="AL212" s="3" t="n"/>
      <c r="AM212" s="35" t="n"/>
      <c r="AN212" s="35" t="n"/>
      <c r="AO212" s="35" t="n"/>
      <c r="AP212" s="35" t="n"/>
      <c r="AQ212" s="3" t="n"/>
      <c r="AR212" s="35" t="n"/>
      <c r="AS212" s="35" t="n"/>
      <c r="AT212" s="35" t="n"/>
      <c r="AU212" s="35" t="n"/>
      <c r="AV212" s="3" t="n"/>
      <c r="AW212" s="35" t="n"/>
      <c r="AX212" s="35" t="n"/>
      <c r="AY212" s="35" t="n"/>
      <c r="AZ212" s="35" t="n"/>
      <c r="BA212" s="3" t="n"/>
      <c r="BB212" s="35" t="n"/>
      <c r="BC212" s="35" t="n"/>
      <c r="BD212" s="35" t="n"/>
      <c r="BE212" s="35" t="n"/>
      <c r="BF212" s="3" t="n"/>
      <c r="BG212" s="35" t="n"/>
      <c r="BH212" s="35" t="n"/>
      <c r="BI212" s="35" t="n"/>
      <c r="BJ212" s="35" t="n"/>
      <c r="BK212" s="3" t="n"/>
      <c r="BL212" s="35" t="n"/>
      <c r="BM212" s="35" t="n"/>
      <c r="BN212" s="35" t="n"/>
      <c r="BO212" s="35" t="n"/>
      <c r="BP212" s="3" t="n"/>
      <c r="BQ212" s="35" t="n"/>
      <c r="BR212" s="35" t="n"/>
      <c r="BS212" s="35" t="n"/>
      <c r="BT212" s="35" t="n"/>
      <c r="BU212" s="3" t="n"/>
      <c r="BV212" s="35" t="n"/>
      <c r="BW212" s="35" t="n"/>
      <c r="BX212" s="35" t="n"/>
      <c r="BY212" s="35" t="n"/>
      <c r="BZ212" s="3" t="n"/>
      <c r="CA212" s="35" t="n"/>
      <c r="CB212" s="35" t="n"/>
      <c r="CC212" s="35" t="n"/>
      <c r="CD212" s="35" t="n"/>
      <c r="CE212" s="3" t="n"/>
      <c r="CF212" s="35" t="n"/>
      <c r="CG212" s="35" t="n"/>
      <c r="CH212" s="35" t="n"/>
      <c r="CI212" s="35" t="n"/>
      <c r="CJ212" s="3" t="n"/>
      <c r="CK212" s="35" t="n"/>
      <c r="CL212" s="35" t="n"/>
      <c r="CM212" s="35" t="n"/>
      <c r="CN212" s="35" t="n"/>
      <c r="CO212" s="3" t="n"/>
      <c r="CP212" s="35" t="n"/>
      <c r="CQ212" s="35" t="n"/>
      <c r="CR212" s="35" t="n"/>
      <c r="CS212" s="35" t="n"/>
      <c r="CT212" s="3" t="n"/>
      <c r="CU212" s="35" t="n"/>
      <c r="CV212" s="35" t="n"/>
      <c r="CW212" s="35" t="n"/>
      <c r="CX212" s="35" t="n"/>
      <c r="CY212" s="3" t="n"/>
    </row>
    <row r="213" hidden="1" outlineLevel="1">
      <c r="C213" s="34" t="inlineStr">
        <is>
          <t>Convertible debt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>
        <f>AH225</f>
        <v>0</v>
      </c>
      <c r="AI213" s="3">
        <f>AH213+SUM(AI212)</f>
        <v>0</v>
      </c>
      <c r="AJ213" s="3">
        <f>AI213+SUM(AJ212)</f>
        <v>0</v>
      </c>
      <c r="AK213" s="3">
        <f>AJ213+SUM(AK212)</f>
        <v>0</v>
      </c>
      <c r="AL213" s="3" t="n"/>
      <c r="AM213" s="3">
        <f>AM225</f>
        <v>0</v>
      </c>
      <c r="AN213" s="3">
        <f>AM213+SUM(AN212)</f>
        <v>0</v>
      </c>
      <c r="AO213" s="3">
        <f>AN213+SUM(AO212)</f>
        <v>0</v>
      </c>
      <c r="AP213" s="3">
        <f>AO213+SUM(AP212)</f>
        <v>0</v>
      </c>
      <c r="AQ213" s="3" t="n"/>
      <c r="AR213" s="3">
        <f>AR225</f>
        <v>0</v>
      </c>
      <c r="AS213" s="3">
        <f>AR213+SUM(AS212)</f>
        <v>0</v>
      </c>
      <c r="AT213" s="3">
        <f>AS213+SUM(AT212)</f>
        <v>0</v>
      </c>
      <c r="AU213" s="3">
        <f>AT213+SUM(AU212)</f>
        <v>0</v>
      </c>
      <c r="AV213" s="3" t="n"/>
      <c r="AW213" s="3">
        <f>AW225</f>
        <v>0</v>
      </c>
      <c r="AX213" s="3">
        <f>AW213+SUM(AX212)</f>
        <v>0</v>
      </c>
      <c r="AY213" s="3">
        <f>AX213+SUM(AY212)</f>
        <v>0</v>
      </c>
      <c r="AZ213" s="3">
        <f>AY213+SUM(AZ212)</f>
        <v>0</v>
      </c>
      <c r="BA213" s="3" t="n"/>
      <c r="BB213" s="3">
        <f>BB225</f>
        <v>0</v>
      </c>
      <c r="BC213" s="3">
        <f>BB213+SUM(BC212)</f>
        <v>0</v>
      </c>
      <c r="BD213" s="3">
        <f>BC213+SUM(BD212)</f>
        <v>0</v>
      </c>
      <c r="BE213" s="3">
        <f>BD213+SUM(BE212)</f>
        <v>0</v>
      </c>
      <c r="BF213" s="3" t="n"/>
      <c r="BG213" s="3">
        <f>BG225</f>
        <v>0</v>
      </c>
      <c r="BH213" s="3">
        <f>BG213+SUM(BH212)</f>
        <v>0</v>
      </c>
      <c r="BI213" s="3">
        <f>BH213+SUM(BI212)</f>
        <v>0</v>
      </c>
      <c r="BJ213" s="3">
        <f>BI213+SUM(BJ212)</f>
        <v>0</v>
      </c>
      <c r="BK213" s="3" t="n"/>
      <c r="BL213" s="3">
        <f>BL225</f>
        <v>0</v>
      </c>
      <c r="BM213" s="3">
        <f>BL213+SUM(BM212)</f>
        <v>0</v>
      </c>
      <c r="BN213" s="3">
        <f>BM213+SUM(BN212)</f>
        <v>0</v>
      </c>
      <c r="BO213" s="3">
        <f>BN213+SUM(BO212)</f>
        <v>0</v>
      </c>
      <c r="BP213" s="3" t="n"/>
      <c r="BQ213" s="3">
        <f>BQ225</f>
        <v>0</v>
      </c>
      <c r="BR213" s="3">
        <f>BQ213+SUM(BR212)</f>
        <v>0</v>
      </c>
      <c r="BS213" s="3">
        <f>BR213+SUM(BS212)</f>
        <v>0</v>
      </c>
      <c r="BT213" s="3">
        <f>BS213+SUM(BT212)</f>
        <v>0</v>
      </c>
      <c r="BU213" s="3" t="n"/>
      <c r="BV213" s="3">
        <f>BV225</f>
        <v>0</v>
      </c>
      <c r="BW213" s="3">
        <f>BV213+SUM(BW212)</f>
        <v>0</v>
      </c>
      <c r="BX213" s="3">
        <f>BW213+SUM(BX212)</f>
        <v>0</v>
      </c>
      <c r="BY213" s="3">
        <f>BX213+SUM(BY212)</f>
        <v>0</v>
      </c>
      <c r="BZ213" s="3" t="n"/>
      <c r="CA213" s="3">
        <f>CA225</f>
        <v>0</v>
      </c>
      <c r="CB213" s="3">
        <f>CA213+SUM(CB212)</f>
        <v>0</v>
      </c>
      <c r="CC213" s="3">
        <f>CB213+SUM(CC212)</f>
        <v>0</v>
      </c>
      <c r="CD213" s="3">
        <f>CC213+SUM(CD212)</f>
        <v>0</v>
      </c>
      <c r="CE213" s="3" t="n"/>
      <c r="CF213" s="3">
        <f>CF225</f>
        <v>0</v>
      </c>
      <c r="CG213" s="3">
        <f>CF213+SUM(CG212)</f>
        <v>0</v>
      </c>
      <c r="CH213" s="3">
        <f>CG213+SUM(CH212)</f>
        <v>0</v>
      </c>
      <c r="CI213" s="3">
        <f>CH213+SUM(CI212)</f>
        <v>0</v>
      </c>
      <c r="CJ213" s="3" t="n"/>
      <c r="CK213" s="3">
        <f>CK225</f>
        <v>0</v>
      </c>
      <c r="CL213" s="3">
        <f>CK213+SUM(CL212)</f>
        <v>0</v>
      </c>
      <c r="CM213" s="3">
        <f>CL213+SUM(CM212)</f>
        <v>0</v>
      </c>
      <c r="CN213" s="3">
        <f>CM213+SUM(CN212)</f>
        <v>0</v>
      </c>
      <c r="CO213" s="3" t="n"/>
      <c r="CP213" s="3">
        <f>CP225</f>
        <v>0</v>
      </c>
      <c r="CQ213" s="3">
        <f>CP213+SUM(CQ212)</f>
        <v>0</v>
      </c>
      <c r="CR213" s="3">
        <f>CQ213+SUM(CR212)</f>
        <v>0</v>
      </c>
      <c r="CS213" s="3">
        <f>CR213+SUM(CS212)</f>
        <v>0</v>
      </c>
      <c r="CT213" s="3" t="n"/>
      <c r="CU213" s="3">
        <f>CU225</f>
        <v>0</v>
      </c>
      <c r="CV213" s="3">
        <f>CU213+SUM(CV212)</f>
        <v>0</v>
      </c>
      <c r="CW213" s="3">
        <f>CV213+SUM(CW212)</f>
        <v>0</v>
      </c>
      <c r="CX213" s="3">
        <f>CW213+SUM(CX212)</f>
        <v>0</v>
      </c>
      <c r="CY213" s="3" t="n"/>
    </row>
    <row r="214" hidden="1" outlineLevel="1">
      <c r="C214" s="3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I214" s="3" t="n"/>
      <c r="AJ214" s="3" t="n"/>
      <c r="AK214" s="3" t="n"/>
      <c r="AL214" s="3" t="n"/>
      <c r="AN214" s="3" t="n"/>
      <c r="AO214" s="3" t="n"/>
      <c r="AP214" s="3" t="n"/>
      <c r="AQ214" s="3" t="n"/>
      <c r="AS214" s="3" t="n"/>
      <c r="AT214" s="3" t="n"/>
      <c r="AU214" s="3" t="n"/>
      <c r="AV214" s="3" t="n"/>
      <c r="AX214" s="3" t="n"/>
      <c r="AY214" s="3" t="n"/>
      <c r="AZ214" s="3" t="n"/>
      <c r="BA214" s="3" t="n"/>
      <c r="BC214" s="3" t="n"/>
      <c r="BD214" s="3" t="n"/>
      <c r="BE214" s="3" t="n"/>
      <c r="BF214" s="3" t="n"/>
      <c r="BH214" s="3" t="n"/>
      <c r="BI214" s="3" t="n"/>
      <c r="BJ214" s="3" t="n"/>
      <c r="BK214" s="3" t="n"/>
      <c r="BM214" s="3" t="n"/>
      <c r="BN214" s="3" t="n"/>
      <c r="BO214" s="3" t="n"/>
      <c r="BP214" s="3" t="n"/>
      <c r="BR214" s="3" t="n"/>
      <c r="BS214" s="3" t="n"/>
      <c r="BT214" s="3" t="n"/>
      <c r="BU214" s="3" t="n"/>
      <c r="BW214" s="3" t="n"/>
      <c r="BX214" s="3" t="n"/>
      <c r="BY214" s="3" t="n"/>
      <c r="BZ214" s="3" t="n"/>
      <c r="CB214" s="3" t="n"/>
      <c r="CC214" s="3" t="n"/>
      <c r="CD214" s="3" t="n"/>
      <c r="CE214" s="3" t="n"/>
      <c r="CG214" s="3" t="n"/>
      <c r="CH214" s="3" t="n"/>
      <c r="CI214" s="3" t="n"/>
      <c r="CJ214" s="3" t="n"/>
      <c r="CL214" s="3" t="n"/>
      <c r="CM214" s="3" t="n"/>
      <c r="CN214" s="3" t="n"/>
      <c r="CO214" s="3" t="n"/>
      <c r="CQ214" s="3" t="n"/>
      <c r="CR214" s="3" t="n"/>
      <c r="CS214" s="3" t="n"/>
      <c r="CT214" s="3" t="n"/>
      <c r="CV214" s="3" t="n"/>
      <c r="CW214" s="3" t="n"/>
      <c r="CX214" s="3" t="n"/>
      <c r="CY214" s="3" t="n"/>
    </row>
    <row r="215" hidden="1" outlineLevel="1">
      <c r="C215" s="34" t="inlineStr">
        <is>
          <t>Calculation of short term debt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hidden="1" outlineLevel="1">
      <c r="C216" s="34" t="inlineStr">
        <is>
          <t>Cash @ beginning of the period (end of last period)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6">
        <f>AG131</f>
        <v>6798</v>
      </c>
      <c r="AI216" s="3" t="n"/>
      <c r="AJ216" s="3" t="n"/>
      <c r="AK216" s="3" t="n"/>
      <c r="AL216" s="3" t="n"/>
      <c r="AM216" s="36">
        <f>AL131</f>
        <v>23276</v>
      </c>
      <c r="AN216" s="3" t="n"/>
      <c r="AO216" s="3" t="n"/>
      <c r="AP216" s="3" t="n"/>
      <c r="AQ216" s="3" t="n"/>
      <c r="AR216" s="36" t="e">
        <f>AQ131</f>
        <v>#DIV/0!</v>
      </c>
      <c r="AS216" s="3" t="n"/>
      <c r="AT216" s="3" t="n"/>
      <c r="AU216" s="3" t="n"/>
      <c r="AV216" s="3" t="n"/>
      <c r="AW216" s="36" t="e">
        <f>AV131</f>
        <v>#DIV/0!</v>
      </c>
      <c r="AX216" s="3" t="n"/>
      <c r="AY216" s="3" t="n"/>
      <c r="AZ216" s="3" t="n"/>
      <c r="BA216" s="3" t="n"/>
      <c r="BB216" s="36" t="e">
        <f>BA131</f>
        <v>#DIV/0!</v>
      </c>
      <c r="BC216" s="3" t="n"/>
      <c r="BD216" s="3" t="n"/>
      <c r="BE216" s="3" t="n"/>
      <c r="BF216" s="3" t="n"/>
      <c r="BG216" s="36" t="e">
        <f>BF131</f>
        <v>#DIV/0!</v>
      </c>
      <c r="BH216" s="3" t="n"/>
      <c r="BI216" s="3" t="n"/>
      <c r="BJ216" s="3" t="n"/>
      <c r="BK216" s="3" t="n"/>
      <c r="BL216" s="36" t="e">
        <f>BK131</f>
        <v>#DIV/0!</v>
      </c>
      <c r="BM216" s="3" t="n"/>
      <c r="BN216" s="3" t="n"/>
      <c r="BO216" s="3" t="n"/>
      <c r="BP216" s="3" t="n"/>
      <c r="BQ216" s="36" t="e">
        <f>BP131</f>
        <v>#DIV/0!</v>
      </c>
      <c r="BR216" s="3" t="n"/>
      <c r="BS216" s="3" t="n"/>
      <c r="BT216" s="3" t="n"/>
      <c r="BU216" s="3" t="n"/>
      <c r="BV216" s="36" t="e">
        <f>BU131</f>
        <v>#DIV/0!</v>
      </c>
      <c r="BW216" s="3" t="n"/>
      <c r="BX216" s="3" t="n"/>
      <c r="BY216" s="3" t="n"/>
      <c r="BZ216" s="3" t="n"/>
      <c r="CA216" s="36" t="e">
        <f>BZ131</f>
        <v>#DIV/0!</v>
      </c>
      <c r="CB216" s="3" t="n"/>
      <c r="CC216" s="3" t="n"/>
      <c r="CD216" s="3" t="n"/>
      <c r="CE216" s="3" t="n"/>
      <c r="CF216" s="36" t="e">
        <f>CE131</f>
        <v>#DIV/0!</v>
      </c>
      <c r="CG216" s="3" t="n"/>
      <c r="CH216" s="3" t="n"/>
      <c r="CI216" s="3" t="n"/>
      <c r="CJ216" s="3" t="n"/>
      <c r="CK216" s="36" t="e">
        <f>CJ131</f>
        <v>#DIV/0!</v>
      </c>
      <c r="CL216" s="3" t="n"/>
      <c r="CM216" s="3" t="n"/>
      <c r="CN216" s="3" t="n"/>
      <c r="CO216" s="3" t="n"/>
      <c r="CP216" s="36" t="e">
        <f>CO131</f>
        <v>#DIV/0!</v>
      </c>
      <c r="CQ216" s="3" t="n"/>
      <c r="CR216" s="3" t="n"/>
      <c r="CS216" s="3" t="n"/>
      <c r="CT216" s="3" t="n"/>
      <c r="CU216" s="36" t="e">
        <f>CT131</f>
        <v>#DIV/0!</v>
      </c>
      <c r="CV216" s="3" t="n"/>
      <c r="CW216" s="3" t="n"/>
      <c r="CX216" s="3" t="n"/>
      <c r="CY216" s="3" t="n"/>
    </row>
    <row r="217" hidden="1" outlineLevel="1">
      <c r="C217" s="34" t="inlineStr">
        <is>
          <t>Plus: Free cash flows prior to debt during period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inlineStr">
        <is>
          <t>% of sales</t>
        </is>
      </c>
      <c r="AH217" s="37">
        <f>SUM(AH280,AH287)+SUM(AH289:AH295)</f>
        <v>-133</v>
      </c>
      <c r="AI217" s="37">
        <f>SUM(AI280,AI287)+SUM(AI289:AI295)</f>
        <v>-460</v>
      </c>
      <c r="AJ217" s="37">
        <f>SUM(AJ280,AJ287)+SUM(AJ289:AJ295)</f>
        <v>11756</v>
      </c>
      <c r="AK217" s="37">
        <f>SUM(AK280,AK287)+SUM(AK289:AK295)</f>
        <v>2592</v>
      </c>
      <c r="AL217" s="3" t="n"/>
      <c r="AM217" s="37" t="e">
        <f>SUM(AM280,AM287)+SUM(AM289:AM295)</f>
        <v>#DIV/0!</v>
      </c>
      <c r="AN217" s="37" t="e">
        <f>SUM(AN280,AN287)+SUM(AN289:AN295)</f>
        <v>#DIV/0!</v>
      </c>
      <c r="AO217" s="37" t="e">
        <f>SUM(AO280,AO287)+SUM(AO289:AO295)</f>
        <v>#DIV/0!</v>
      </c>
      <c r="AP217" s="37" t="e">
        <f>SUM(AP280,AP287)+SUM(AP289:AP295)</f>
        <v>#DIV/0!</v>
      </c>
      <c r="AQ217" s="3" t="n"/>
      <c r="AR217" s="37" t="e">
        <f>SUM(AR280,AR287)+SUM(AR289:AR295)</f>
        <v>#DIV/0!</v>
      </c>
      <c r="AS217" s="37" t="e">
        <f>SUM(AS280,AS287)+SUM(AS289:AS295)</f>
        <v>#DIV/0!</v>
      </c>
      <c r="AT217" s="37" t="e">
        <f>SUM(AT280,AT287)+SUM(AT289:AT295)</f>
        <v>#DIV/0!</v>
      </c>
      <c r="AU217" s="37" t="e">
        <f>SUM(AU280,AU287)+SUM(AU289:AU295)</f>
        <v>#DIV/0!</v>
      </c>
      <c r="AV217" s="3" t="n"/>
      <c r="AW217" s="37" t="e">
        <f>SUM(AW280,AW287)+SUM(AW289:AW295)</f>
        <v>#DIV/0!</v>
      </c>
      <c r="AX217" s="37" t="e">
        <f>SUM(AX280,AX287)+SUM(AX289:AX295)</f>
        <v>#DIV/0!</v>
      </c>
      <c r="AY217" s="37" t="e">
        <f>SUM(AY280,AY287)+SUM(AY289:AY295)</f>
        <v>#DIV/0!</v>
      </c>
      <c r="AZ217" s="37" t="e">
        <f>SUM(AZ280,AZ287)+SUM(AZ289:AZ295)</f>
        <v>#DIV/0!</v>
      </c>
      <c r="BA217" s="3" t="n"/>
      <c r="BB217" s="37" t="e">
        <f>SUM(BB280,BB287)+SUM(BB289:BB295)</f>
        <v>#DIV/0!</v>
      </c>
      <c r="BC217" s="37" t="e">
        <f>SUM(BC280,BC287)+SUM(BC289:BC295)</f>
        <v>#DIV/0!</v>
      </c>
      <c r="BD217" s="37" t="e">
        <f>SUM(BD280,BD287)+SUM(BD289:BD295)</f>
        <v>#DIV/0!</v>
      </c>
      <c r="BE217" s="37" t="e">
        <f>SUM(BE280,BE287)+SUM(BE289:BE295)</f>
        <v>#DIV/0!</v>
      </c>
      <c r="BF217" s="3" t="n"/>
      <c r="BG217" s="37" t="e">
        <f>SUM(BG280,BG287)+SUM(BG289:BG295)</f>
        <v>#DIV/0!</v>
      </c>
      <c r="BH217" s="37" t="e">
        <f>SUM(BH280,BH287)+SUM(BH289:BH295)</f>
        <v>#DIV/0!</v>
      </c>
      <c r="BI217" s="37" t="e">
        <f>SUM(BI280,BI287)+SUM(BI289:BI295)</f>
        <v>#DIV/0!</v>
      </c>
      <c r="BJ217" s="37" t="e">
        <f>SUM(BJ280,BJ287)+SUM(BJ289:BJ295)</f>
        <v>#DIV/0!</v>
      </c>
      <c r="BK217" s="3" t="n"/>
      <c r="BL217" s="37" t="e">
        <f>SUM(BL280,BL287)+SUM(BL289:BL295)</f>
        <v>#DIV/0!</v>
      </c>
      <c r="BM217" s="37" t="e">
        <f>SUM(BM280,BM287)+SUM(BM289:BM295)</f>
        <v>#DIV/0!</v>
      </c>
      <c r="BN217" s="37" t="e">
        <f>SUM(BN280,BN287)+SUM(BN289:BN295)</f>
        <v>#DIV/0!</v>
      </c>
      <c r="BO217" s="37" t="e">
        <f>SUM(BO280,BO287)+SUM(BO289:BO295)</f>
        <v>#DIV/0!</v>
      </c>
      <c r="BP217" s="3" t="n"/>
      <c r="BQ217" s="37" t="e">
        <f>SUM(BQ280,BQ287)+SUM(BQ289:BQ295)</f>
        <v>#DIV/0!</v>
      </c>
      <c r="BR217" s="37" t="e">
        <f>SUM(BR280,BR287)+SUM(BR289:BR295)</f>
        <v>#DIV/0!</v>
      </c>
      <c r="BS217" s="37" t="e">
        <f>SUM(BS280,BS287)+SUM(BS289:BS295)</f>
        <v>#DIV/0!</v>
      </c>
      <c r="BT217" s="37" t="e">
        <f>SUM(BT280,BT287)+SUM(BT289:BT295)</f>
        <v>#DIV/0!</v>
      </c>
      <c r="BU217" s="3" t="n"/>
      <c r="BV217" s="37" t="e">
        <f>SUM(BV280,BV287)+SUM(BV289:BV295)</f>
        <v>#DIV/0!</v>
      </c>
      <c r="BW217" s="37" t="e">
        <f>SUM(BW280,BW287)+SUM(BW289:BW295)</f>
        <v>#DIV/0!</v>
      </c>
      <c r="BX217" s="37" t="e">
        <f>SUM(BX280,BX287)+SUM(BX289:BX295)</f>
        <v>#DIV/0!</v>
      </c>
      <c r="BY217" s="37" t="e">
        <f>SUM(BY280,BY287)+SUM(BY289:BY295)</f>
        <v>#DIV/0!</v>
      </c>
      <c r="BZ217" s="3" t="n"/>
      <c r="CA217" s="37" t="e">
        <f>SUM(CA280,CA287)+SUM(CA289:CA295)</f>
        <v>#DIV/0!</v>
      </c>
      <c r="CB217" s="37" t="e">
        <f>SUM(CB280,CB287)+SUM(CB289:CB295)</f>
        <v>#DIV/0!</v>
      </c>
      <c r="CC217" s="37" t="e">
        <f>SUM(CC280,CC287)+SUM(CC289:CC295)</f>
        <v>#DIV/0!</v>
      </c>
      <c r="CD217" s="37" t="e">
        <f>SUM(CD280,CD287)+SUM(CD289:CD295)</f>
        <v>#DIV/0!</v>
      </c>
      <c r="CE217" s="3" t="n"/>
      <c r="CF217" s="37" t="e">
        <f>SUM(CF280,CF287)+SUM(CF289:CF295)</f>
        <v>#DIV/0!</v>
      </c>
      <c r="CG217" s="37" t="e">
        <f>SUM(CG280,CG287)+SUM(CG289:CG295)</f>
        <v>#DIV/0!</v>
      </c>
      <c r="CH217" s="37" t="e">
        <f>SUM(CH280,CH287)+SUM(CH289:CH295)</f>
        <v>#DIV/0!</v>
      </c>
      <c r="CI217" s="37" t="e">
        <f>SUM(CI280,CI287)+SUM(CI289:CI295)</f>
        <v>#DIV/0!</v>
      </c>
      <c r="CJ217" s="3" t="n"/>
      <c r="CK217" s="37" t="e">
        <f>SUM(CK280,CK287)+SUM(CK289:CK295)</f>
        <v>#DIV/0!</v>
      </c>
      <c r="CL217" s="37" t="e">
        <f>SUM(CL280,CL287)+SUM(CL289:CL295)</f>
        <v>#DIV/0!</v>
      </c>
      <c r="CM217" s="37" t="e">
        <f>SUM(CM280,CM287)+SUM(CM289:CM295)</f>
        <v>#DIV/0!</v>
      </c>
      <c r="CN217" s="37" t="e">
        <f>SUM(CN280,CN287)+SUM(CN289:CN295)</f>
        <v>#DIV/0!</v>
      </c>
      <c r="CO217" s="3" t="n"/>
      <c r="CP217" s="37" t="e">
        <f>SUM(CP280,CP287)+SUM(CP289:CP295)</f>
        <v>#DIV/0!</v>
      </c>
      <c r="CQ217" s="37" t="e">
        <f>SUM(CQ280,CQ287)+SUM(CQ289:CQ295)</f>
        <v>#DIV/0!</v>
      </c>
      <c r="CR217" s="37" t="e">
        <f>SUM(CR280,CR287)+SUM(CR289:CR295)</f>
        <v>#DIV/0!</v>
      </c>
      <c r="CS217" s="37" t="e">
        <f>SUM(CS280,CS287)+SUM(CS289:CS295)</f>
        <v>#DIV/0!</v>
      </c>
      <c r="CT217" s="3" t="n"/>
      <c r="CU217" s="37" t="e">
        <f>SUM(CU280,CU287)+SUM(CU289:CU295)</f>
        <v>#DIV/0!</v>
      </c>
      <c r="CV217" s="37" t="e">
        <f>SUM(CV280,CV287)+SUM(CV289:CV295)</f>
        <v>#DIV/0!</v>
      </c>
      <c r="CW217" s="37" t="e">
        <f>SUM(CW280,CW287)+SUM(CW289:CW295)</f>
        <v>#DIV/0!</v>
      </c>
      <c r="CX217" s="37" t="e">
        <f>SUM(CX280,CX287)+SUM(CX289:CX295)</f>
        <v>#DIV/0!</v>
      </c>
      <c r="CY217" s="3" t="n"/>
    </row>
    <row r="218" hidden="1" outlineLevel="1">
      <c r="C218" s="34" t="inlineStr">
        <is>
          <t>Less: Minimum cash balance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250" t="n"/>
      <c r="AH218" s="3">
        <f>($AG$218*AH15)</f>
        <v>0</v>
      </c>
      <c r="AI218" s="3">
        <f>($AG$218*AI15)</f>
        <v>0</v>
      </c>
      <c r="AJ218" s="3">
        <f>($AG$218*AJ15)</f>
        <v>0</v>
      </c>
      <c r="AK218" s="3">
        <f>($AG$218*AK15)</f>
        <v>0</v>
      </c>
      <c r="AL218" s="3" t="n"/>
      <c r="AM218" s="3">
        <f>($AG$218*AM15)</f>
        <v>0</v>
      </c>
      <c r="AN218" s="3">
        <f>($AG$218*AN15)</f>
        <v>0</v>
      </c>
      <c r="AO218" s="3">
        <f>($AG$218*AO15)</f>
        <v>0</v>
      </c>
      <c r="AP218" s="3">
        <f>($AG$218*AP15)</f>
        <v>0</v>
      </c>
      <c r="AQ218" s="3" t="n"/>
      <c r="AR218" s="3">
        <f>($AG$218*AR15)</f>
        <v>0</v>
      </c>
      <c r="AS218" s="3">
        <f>($AG$218*AS15)</f>
        <v>0</v>
      </c>
      <c r="AT218" s="3">
        <f>($AG$218*AT15)</f>
        <v>0</v>
      </c>
      <c r="AU218" s="3">
        <f>($AG$218*AU15)</f>
        <v>0</v>
      </c>
      <c r="AV218" s="3" t="n"/>
      <c r="AW218" s="3">
        <f>($AG$218*AW15)</f>
        <v>0</v>
      </c>
      <c r="AX218" s="3">
        <f>($AG$218*AX15)</f>
        <v>0</v>
      </c>
      <c r="AY218" s="3">
        <f>($AG$218*AY15)</f>
        <v>0</v>
      </c>
      <c r="AZ218" s="3">
        <f>($AG$218*AZ15)</f>
        <v>0</v>
      </c>
      <c r="BA218" s="3" t="n"/>
      <c r="BB218" s="3">
        <f>($AG$218*BB15)</f>
        <v>0</v>
      </c>
      <c r="BC218" s="3">
        <f>($AG$218*BC15)</f>
        <v>0</v>
      </c>
      <c r="BD218" s="3">
        <f>($AG$218*BD15)</f>
        <v>0</v>
      </c>
      <c r="BE218" s="3">
        <f>($AG$218*BE15)</f>
        <v>0</v>
      </c>
      <c r="BF218" s="3" t="n"/>
      <c r="BG218" s="3">
        <f>($AG$218*BG15)</f>
        <v>0</v>
      </c>
      <c r="BH218" s="3">
        <f>($AG$218*BH15)</f>
        <v>0</v>
      </c>
      <c r="BI218" s="3">
        <f>($AG$218*BI15)</f>
        <v>0</v>
      </c>
      <c r="BJ218" s="3">
        <f>($AG$218*BJ15)</f>
        <v>0</v>
      </c>
      <c r="BK218" s="3" t="n"/>
      <c r="BL218" s="3">
        <f>($AG$218*BL15)</f>
        <v>0</v>
      </c>
      <c r="BM218" s="3">
        <f>($AG$218*BM15)</f>
        <v>0</v>
      </c>
      <c r="BN218" s="3">
        <f>($AG$218*BN15)</f>
        <v>0</v>
      </c>
      <c r="BO218" s="3">
        <f>($AG$218*BO15)</f>
        <v>0</v>
      </c>
      <c r="BP218" s="3" t="n"/>
      <c r="BQ218" s="3">
        <f>($AG$218*BQ15)</f>
        <v>0</v>
      </c>
      <c r="BR218" s="3">
        <f>($AG$218*BR15)</f>
        <v>0</v>
      </c>
      <c r="BS218" s="3">
        <f>($AG$218*BS15)</f>
        <v>0</v>
      </c>
      <c r="BT218" s="3">
        <f>($AG$218*BT15)</f>
        <v>0</v>
      </c>
      <c r="BU218" s="3" t="n"/>
      <c r="BV218" s="3">
        <f>($AG$218*BV15)</f>
        <v>0</v>
      </c>
      <c r="BW218" s="3">
        <f>($AG$218*BW15)</f>
        <v>0</v>
      </c>
      <c r="BX218" s="3">
        <f>($AG$218*BX15)</f>
        <v>0</v>
      </c>
      <c r="BY218" s="3">
        <f>($AG$218*BY15)</f>
        <v>0</v>
      </c>
      <c r="BZ218" s="3" t="n"/>
      <c r="CA218" s="3">
        <f>($AG$218*CA15)</f>
        <v>0</v>
      </c>
      <c r="CB218" s="3">
        <f>($AG$218*CB15)</f>
        <v>0</v>
      </c>
      <c r="CC218" s="3">
        <f>($AG$218*CC15)</f>
        <v>0</v>
      </c>
      <c r="CD218" s="3">
        <f>($AG$218*CD15)</f>
        <v>0</v>
      </c>
      <c r="CE218" s="3" t="n"/>
      <c r="CF218" s="3">
        <f>($AG$218*CF15)</f>
        <v>0</v>
      </c>
      <c r="CG218" s="3">
        <f>($AG$218*CG15)</f>
        <v>0</v>
      </c>
      <c r="CH218" s="3">
        <f>($AG$218*CH15)</f>
        <v>0</v>
      </c>
      <c r="CI218" s="3">
        <f>($AG$218*CI15)</f>
        <v>0</v>
      </c>
      <c r="CJ218" s="3" t="n"/>
      <c r="CK218" s="3">
        <f>($AG$218*CK15)</f>
        <v>0</v>
      </c>
      <c r="CL218" s="3">
        <f>($AG$218*CL15)</f>
        <v>0</v>
      </c>
      <c r="CM218" s="3">
        <f>($AG$218*CM15)</f>
        <v>0</v>
      </c>
      <c r="CN218" s="3">
        <f>($AG$218*CN15)</f>
        <v>0</v>
      </c>
      <c r="CO218" s="3" t="n"/>
      <c r="CP218" s="3">
        <f>($AG$218*CP15)</f>
        <v>0</v>
      </c>
      <c r="CQ218" s="3">
        <f>($AG$218*CQ15)</f>
        <v>0</v>
      </c>
      <c r="CR218" s="3">
        <f>($AG$218*CR15)</f>
        <v>0</v>
      </c>
      <c r="CS218" s="3">
        <f>($AG$218*CS15)</f>
        <v>0</v>
      </c>
      <c r="CT218" s="3" t="n"/>
      <c r="CU218" s="3">
        <f>($AG$218*CU15)</f>
        <v>0</v>
      </c>
      <c r="CV218" s="3">
        <f>($AG$218*CV15)</f>
        <v>0</v>
      </c>
      <c r="CW218" s="3">
        <f>($AG$218*CW15)</f>
        <v>0</v>
      </c>
      <c r="CX218" s="3">
        <f>($AG$218*CX15)</f>
        <v>0</v>
      </c>
      <c r="CY218" s="3" t="n"/>
    </row>
    <row r="219" hidden="1" outlineLevel="1">
      <c r="C219" s="34" t="inlineStr">
        <is>
          <t>Total cash available / (debt required) for short term debt paydown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1">
        <f>AH216+AH217-AH218-AF206+AH208+AH212</f>
        <v>6665</v>
      </c>
      <c r="AI219" s="1">
        <f>AI216+AI217-AI218-AG206+AI208+AI212</f>
        <v>-460</v>
      </c>
      <c r="AJ219" s="1">
        <f>AJ216+AJ217-AJ218-AH206+AJ208+AJ212</f>
        <v>-2636</v>
      </c>
      <c r="AK219" s="1">
        <f>AK216+AK217-AK218-AI206+AK208+AK212</f>
        <v>2592</v>
      </c>
      <c r="AL219" s="3" t="n"/>
      <c r="AM219" s="1" t="e">
        <f>AM216+AM217-AM218-AK206+AM208+AM212</f>
        <v>#DIV/0!</v>
      </c>
      <c r="AN219" s="1" t="e">
        <f>AN216+AN217-AN218-AL206+AN208+AN212</f>
        <v>#DIV/0!</v>
      </c>
      <c r="AO219" s="1" t="e">
        <f>AO216+AO217-AO218-AM206+AO208+AO212</f>
        <v>#DIV/0!</v>
      </c>
      <c r="AP219" s="1" t="e">
        <f>AP216+AP217-AP218-AN206+AP208+AP212</f>
        <v>#DIV/0!</v>
      </c>
      <c r="AQ219" s="3" t="n"/>
      <c r="AR219" s="1" t="e">
        <f>AR216+AR217-AR218-AP206+AR208+AR212</f>
        <v>#DIV/0!</v>
      </c>
      <c r="AS219" s="1" t="e">
        <f>AS216+AS217-AS218-AQ206+AS208+AS212</f>
        <v>#DIV/0!</v>
      </c>
      <c r="AT219" s="1" t="e">
        <f>AT216+AT217-AT218-AR206+AT208+AT212</f>
        <v>#DIV/0!</v>
      </c>
      <c r="AU219" s="1" t="e">
        <f>AU216+AU217-AU218-AS206+AU208+AU212</f>
        <v>#DIV/0!</v>
      </c>
      <c r="AV219" s="3" t="n"/>
      <c r="AW219" s="1" t="e">
        <f>AW216+AW217-AW218-AU206+AW208+AW212</f>
        <v>#DIV/0!</v>
      </c>
      <c r="AX219" s="1" t="e">
        <f>AX216+AX217-AX218-AV206+AX208+AX212</f>
        <v>#DIV/0!</v>
      </c>
      <c r="AY219" s="1" t="e">
        <f>AY216+AY217-AY218-AW206+AY208+AY212</f>
        <v>#DIV/0!</v>
      </c>
      <c r="AZ219" s="1" t="e">
        <f>AZ216+AZ217-AZ218-AX206+AZ208+AZ212</f>
        <v>#DIV/0!</v>
      </c>
      <c r="BA219" s="3" t="n"/>
      <c r="BB219" s="1" t="e">
        <f>BB216+BB217-BB218-AZ206+BB208+BB212</f>
        <v>#DIV/0!</v>
      </c>
      <c r="BC219" s="1" t="e">
        <f>BC216+BC217-BC218-BA206+BC208+BC212</f>
        <v>#DIV/0!</v>
      </c>
      <c r="BD219" s="1" t="e">
        <f>BD216+BD217-BD218-BB206+BD208+BD212</f>
        <v>#DIV/0!</v>
      </c>
      <c r="BE219" s="1" t="e">
        <f>BE216+BE217-BE218-BC206+BE208+BE212</f>
        <v>#DIV/0!</v>
      </c>
      <c r="BF219" s="3" t="n"/>
      <c r="BG219" s="1" t="e">
        <f>BG216+BG217-BG218-BE206+BG208+BG212</f>
        <v>#DIV/0!</v>
      </c>
      <c r="BH219" s="1" t="e">
        <f>BH216+BH217-BH218-BF206+BH208+BH212</f>
        <v>#DIV/0!</v>
      </c>
      <c r="BI219" s="1" t="e">
        <f>BI216+BI217-BI218-BG206+BI208+BI212</f>
        <v>#DIV/0!</v>
      </c>
      <c r="BJ219" s="1" t="e">
        <f>BJ216+BJ217-BJ218-BH206+BJ208+BJ212</f>
        <v>#DIV/0!</v>
      </c>
      <c r="BK219" s="3" t="n"/>
      <c r="BL219" s="1" t="e">
        <f>BL216+BL217-BL218-BJ206+BL208+BL212</f>
        <v>#DIV/0!</v>
      </c>
      <c r="BM219" s="1" t="e">
        <f>BM216+BM217-BM218-BK206+BM208+BM212</f>
        <v>#DIV/0!</v>
      </c>
      <c r="BN219" s="1" t="e">
        <f>BN216+BN217-BN218-BL206+BN208+BN212</f>
        <v>#DIV/0!</v>
      </c>
      <c r="BO219" s="1" t="e">
        <f>BO216+BO217-BO218-BM206+BO208+BO212</f>
        <v>#DIV/0!</v>
      </c>
      <c r="BP219" s="3" t="n"/>
      <c r="BQ219" s="1" t="e">
        <f>BQ216+BQ217-BQ218-BO206+BQ208+BQ212</f>
        <v>#DIV/0!</v>
      </c>
      <c r="BR219" s="1" t="e">
        <f>BR216+BR217-BR218-BP206+BR208+BR212</f>
        <v>#DIV/0!</v>
      </c>
      <c r="BS219" s="1" t="e">
        <f>BS216+BS217-BS218-BQ206+BS208+BS212</f>
        <v>#DIV/0!</v>
      </c>
      <c r="BT219" s="1" t="e">
        <f>BT216+BT217-BT218-BR206+BT208+BT212</f>
        <v>#DIV/0!</v>
      </c>
      <c r="BU219" s="3" t="n"/>
      <c r="BV219" s="1" t="e">
        <f>BV216+BV217-BV218-BT206+BV208+BV212</f>
        <v>#DIV/0!</v>
      </c>
      <c r="BW219" s="1" t="e">
        <f>BW216+BW217-BW218-BU206+BW208+BW212</f>
        <v>#DIV/0!</v>
      </c>
      <c r="BX219" s="1" t="e">
        <f>BX216+BX217-BX218-BV206+BX208+BX212</f>
        <v>#DIV/0!</v>
      </c>
      <c r="BY219" s="1" t="e">
        <f>BY216+BY217-BY218-BW206+BY208+BY212</f>
        <v>#DIV/0!</v>
      </c>
      <c r="BZ219" s="3" t="n"/>
      <c r="CA219" s="1" t="e">
        <f>CA216+CA217-CA218-BY206+CA208+CA212</f>
        <v>#DIV/0!</v>
      </c>
      <c r="CB219" s="1" t="e">
        <f>CB216+CB217-CB218-BZ206+CB208+CB212</f>
        <v>#DIV/0!</v>
      </c>
      <c r="CC219" s="1" t="e">
        <f>CC216+CC217-CC218-CA206+CC208+CC212</f>
        <v>#DIV/0!</v>
      </c>
      <c r="CD219" s="1" t="e">
        <f>CD216+CD217-CD218-CB206+CD208+CD212</f>
        <v>#DIV/0!</v>
      </c>
      <c r="CE219" s="3" t="n"/>
      <c r="CF219" s="1" t="e">
        <f>CF216+CF217-CF218-CD206+CF208+CF212</f>
        <v>#DIV/0!</v>
      </c>
      <c r="CG219" s="1" t="e">
        <f>CG216+CG217-CG218-CE206+CG208+CG212</f>
        <v>#DIV/0!</v>
      </c>
      <c r="CH219" s="1" t="e">
        <f>CH216+CH217-CH218-CF206+CH208+CH212</f>
        <v>#DIV/0!</v>
      </c>
      <c r="CI219" s="1" t="e">
        <f>CI216+CI217-CI218-CG206+CI208+CI212</f>
        <v>#DIV/0!</v>
      </c>
      <c r="CJ219" s="3" t="n"/>
      <c r="CK219" s="1" t="e">
        <f>CK216+CK217-CK218-CI206+CK208+CK212</f>
        <v>#DIV/0!</v>
      </c>
      <c r="CL219" s="1" t="e">
        <f>CL216+CL217-CL218-CJ206+CL208+CL212</f>
        <v>#DIV/0!</v>
      </c>
      <c r="CM219" s="1" t="e">
        <f>CM216+CM217-CM218-CK206+CM208+CM212</f>
        <v>#DIV/0!</v>
      </c>
      <c r="CN219" s="1" t="e">
        <f>CN216+CN217-CN218-CL206+CN208+CN212</f>
        <v>#DIV/0!</v>
      </c>
      <c r="CO219" s="3" t="n"/>
      <c r="CP219" s="1" t="e">
        <f>CP216+CP217-CP218-CN206+CP208+CP212</f>
        <v>#DIV/0!</v>
      </c>
      <c r="CQ219" s="1" t="e">
        <f>CQ216+CQ217-CQ218-CO206+CQ208+CQ212</f>
        <v>#DIV/0!</v>
      </c>
      <c r="CR219" s="1" t="e">
        <f>CR216+CR217-CR218-CP206+CR208+CR212</f>
        <v>#DIV/0!</v>
      </c>
      <c r="CS219" s="1" t="e">
        <f>CS216+CS217-CS218-CQ206+CS208+CS212</f>
        <v>#DIV/0!</v>
      </c>
      <c r="CT219" s="3" t="n"/>
      <c r="CU219" s="1" t="e">
        <f>CU216+CU217-CU218-CS206+CU208+CU212</f>
        <v>#DIV/0!</v>
      </c>
      <c r="CV219" s="1" t="e">
        <f>CV216+CV217-CV218-CT206+CV208+CV212</f>
        <v>#DIV/0!</v>
      </c>
      <c r="CW219" s="1" t="e">
        <f>CW216+CW217-CW218-CU206+CW208+CW212</f>
        <v>#DIV/0!</v>
      </c>
      <c r="CX219" s="1" t="e">
        <f>CX216+CX217-CX218-CV206+CX208+CX212</f>
        <v>#DIV/0!</v>
      </c>
      <c r="CY219" s="3" t="n"/>
    </row>
    <row r="220" hidden="1" outlineLevel="1">
      <c r="C220" s="34" t="inlineStr">
        <is>
          <t>Short term debt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>
        <f>AH200</f>
        <v>0</v>
      </c>
      <c r="AI220" s="3">
        <f>MAX(0,AH220-AI219)</f>
        <v>460</v>
      </c>
      <c r="AJ220" s="3">
        <f>MAX(0,AI220-AJ219)</f>
        <v>3096</v>
      </c>
      <c r="AK220" s="3">
        <f>MAX(0,AJ220-AK219)</f>
        <v>504</v>
      </c>
      <c r="AL220" s="3" t="n"/>
      <c r="AM220" s="3">
        <f>AM200</f>
        <v>0</v>
      </c>
      <c r="AN220" s="3" t="e">
        <f>MAX(0,AM220-AN219)</f>
        <v>#DIV/0!</v>
      </c>
      <c r="AO220" s="3" t="e">
        <f>MAX(0,AN220-AO219)</f>
        <v>#DIV/0!</v>
      </c>
      <c r="AP220" s="3" t="e">
        <f>MAX(0,AO220-AP219)</f>
        <v>#DIV/0!</v>
      </c>
      <c r="AQ220" s="3" t="n"/>
      <c r="AR220" s="3">
        <f>AR200</f>
        <v>0</v>
      </c>
      <c r="AS220" s="3" t="e">
        <f>MAX(0,AR220-AS219)</f>
        <v>#DIV/0!</v>
      </c>
      <c r="AT220" s="3" t="e">
        <f>MAX(0,AS220-AT219)</f>
        <v>#DIV/0!</v>
      </c>
      <c r="AU220" s="3" t="e">
        <f>MAX(0,AT220-AU219)</f>
        <v>#DIV/0!</v>
      </c>
      <c r="AV220" s="3" t="n"/>
      <c r="AW220" s="3">
        <f>AW200</f>
        <v>0</v>
      </c>
      <c r="AX220" s="3" t="e">
        <f>MAX(0,AW220-AX219)</f>
        <v>#DIV/0!</v>
      </c>
      <c r="AY220" s="3" t="e">
        <f>MAX(0,AX220-AY219)</f>
        <v>#DIV/0!</v>
      </c>
      <c r="AZ220" s="3" t="e">
        <f>MAX(0,AY220-AZ219)</f>
        <v>#DIV/0!</v>
      </c>
      <c r="BA220" s="3" t="n"/>
      <c r="BB220" s="3">
        <f>BB200</f>
        <v>0</v>
      </c>
      <c r="BC220" s="3" t="e">
        <f>MAX(0,BB220-BC219)</f>
        <v>#DIV/0!</v>
      </c>
      <c r="BD220" s="3" t="e">
        <f>MAX(0,BC220-BD219)</f>
        <v>#DIV/0!</v>
      </c>
      <c r="BE220" s="3" t="e">
        <f>MAX(0,BD220-BE219)</f>
        <v>#DIV/0!</v>
      </c>
      <c r="BF220" s="3" t="n"/>
      <c r="BG220" s="3">
        <f>BG200</f>
        <v>0</v>
      </c>
      <c r="BH220" s="3" t="e">
        <f>MAX(0,BG220-BH219)</f>
        <v>#DIV/0!</v>
      </c>
      <c r="BI220" s="3" t="e">
        <f>MAX(0,BH220-BI219)</f>
        <v>#DIV/0!</v>
      </c>
      <c r="BJ220" s="3" t="e">
        <f>MAX(0,BI220-BJ219)</f>
        <v>#DIV/0!</v>
      </c>
      <c r="BK220" s="3" t="n"/>
      <c r="BL220" s="3">
        <f>BL200</f>
        <v>0</v>
      </c>
      <c r="BM220" s="3" t="e">
        <f>MAX(0,BL220-BM219)</f>
        <v>#DIV/0!</v>
      </c>
      <c r="BN220" s="3" t="e">
        <f>MAX(0,BM220-BN219)</f>
        <v>#DIV/0!</v>
      </c>
      <c r="BO220" s="3" t="e">
        <f>MAX(0,BN220-BO219)</f>
        <v>#DIV/0!</v>
      </c>
      <c r="BP220" s="3" t="n"/>
      <c r="BQ220" s="3">
        <f>BQ200</f>
        <v>0</v>
      </c>
      <c r="BR220" s="3" t="e">
        <f>MAX(0,BQ220-BR219)</f>
        <v>#DIV/0!</v>
      </c>
      <c r="BS220" s="3" t="e">
        <f>MAX(0,BR220-BS219)</f>
        <v>#DIV/0!</v>
      </c>
      <c r="BT220" s="3" t="e">
        <f>MAX(0,BS220-BT219)</f>
        <v>#DIV/0!</v>
      </c>
      <c r="BU220" s="3" t="n"/>
      <c r="BV220" s="3">
        <f>BV200</f>
        <v>0</v>
      </c>
      <c r="BW220" s="3" t="e">
        <f>MAX(0,BV220-BW219)</f>
        <v>#DIV/0!</v>
      </c>
      <c r="BX220" s="3" t="e">
        <f>MAX(0,BW220-BX219)</f>
        <v>#DIV/0!</v>
      </c>
      <c r="BY220" s="3" t="e">
        <f>MAX(0,BX220-BY219)</f>
        <v>#DIV/0!</v>
      </c>
      <c r="BZ220" s="3" t="n"/>
      <c r="CA220" s="3">
        <f>CA200</f>
        <v>0</v>
      </c>
      <c r="CB220" s="3" t="e">
        <f>MAX(0,CA220-CB219)</f>
        <v>#DIV/0!</v>
      </c>
      <c r="CC220" s="3" t="e">
        <f>MAX(0,CB220-CC219)</f>
        <v>#DIV/0!</v>
      </c>
      <c r="CD220" s="3" t="e">
        <f>MAX(0,CC220-CD219)</f>
        <v>#DIV/0!</v>
      </c>
      <c r="CE220" s="3" t="n"/>
      <c r="CF220" s="3">
        <f>CF200</f>
        <v>0</v>
      </c>
      <c r="CG220" s="3" t="e">
        <f>MAX(0,CF220-CG219)</f>
        <v>#DIV/0!</v>
      </c>
      <c r="CH220" s="3" t="e">
        <f>MAX(0,CG220-CH219)</f>
        <v>#DIV/0!</v>
      </c>
      <c r="CI220" s="3" t="e">
        <f>MAX(0,CH220-CI219)</f>
        <v>#DIV/0!</v>
      </c>
      <c r="CJ220" s="3" t="n"/>
      <c r="CK220" s="3">
        <f>CK200</f>
        <v>0</v>
      </c>
      <c r="CL220" s="3" t="e">
        <f>MAX(0,CK220-CL219)</f>
        <v>#DIV/0!</v>
      </c>
      <c r="CM220" s="3" t="e">
        <f>MAX(0,CL220-CM219)</f>
        <v>#DIV/0!</v>
      </c>
      <c r="CN220" s="3" t="e">
        <f>MAX(0,CM220-CN219)</f>
        <v>#DIV/0!</v>
      </c>
      <c r="CO220" s="3" t="n"/>
      <c r="CP220" s="3">
        <f>CP200</f>
        <v>0</v>
      </c>
      <c r="CQ220" s="3" t="e">
        <f>MAX(0,CP220-CQ219)</f>
        <v>#DIV/0!</v>
      </c>
      <c r="CR220" s="3" t="e">
        <f>MAX(0,CQ220-CR219)</f>
        <v>#DIV/0!</v>
      </c>
      <c r="CS220" s="3" t="e">
        <f>MAX(0,CR220-CS219)</f>
        <v>#DIV/0!</v>
      </c>
      <c r="CT220" s="3" t="n"/>
      <c r="CU220" s="3">
        <f>CU200</f>
        <v>0</v>
      </c>
      <c r="CV220" s="3" t="e">
        <f>MAX(0,CU220-CV219)</f>
        <v>#DIV/0!</v>
      </c>
      <c r="CW220" s="3" t="e">
        <f>MAX(0,CV220-CW219)</f>
        <v>#DIV/0!</v>
      </c>
      <c r="CX220" s="3" t="e">
        <f>MAX(0,CW220-CX219)</f>
        <v>#DIV/0!</v>
      </c>
      <c r="CY220" s="3" t="n"/>
    </row>
    <row r="221" hidden="1" outlineLevel="1">
      <c r="C221" s="3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  <c r="CU221" s="3" t="n"/>
      <c r="CV221" s="3" t="n"/>
      <c r="CW221" s="3" t="n"/>
      <c r="CX221" s="3" t="n"/>
      <c r="CY221" s="3" t="n"/>
    </row>
    <row r="222" collapsed="1">
      <c r="C222" s="26" t="inlineStr">
        <is>
          <t>Long term operating leases</t>
        </is>
      </c>
      <c r="D222" s="25">
        <f>INDEX('Inputs (2)'!$D$36:$AL$36,MATCH(D$7,'Inputs (2)'!$D$2:$AL$2,0))</f>
        <v>0</v>
      </c>
      <c r="E222" s="25">
        <f>INDEX('Inputs (2)'!$D$36:$AL$36,MATCH(E$7,'Inputs (2)'!$D$2:$AL$2,0))</f>
        <v>0</v>
      </c>
      <c r="F222" s="25">
        <f>INDEX('Inputs (2)'!$D$36:$AL$36,MATCH(F$7,'Inputs (2)'!$D$2:$AL$2,0))</f>
        <v>0</v>
      </c>
      <c r="G222" s="25">
        <f>INDEX('Inputs (2)'!$D$36:$AL$36,MATCH(G$7,'Inputs (2)'!$D$2:$AL$2,0))</f>
        <v>0</v>
      </c>
      <c r="H222" s="3">
        <f>G222</f>
        <v>0</v>
      </c>
      <c r="I222" s="25">
        <f>INDEX('Inputs (2)'!$D$36:$AL$36,MATCH(I$7,'Inputs (2)'!$D$2:$AL$2,0))</f>
        <v>0</v>
      </c>
      <c r="J222" s="25">
        <f>INDEX('Inputs (2)'!$D$36:$AL$36,MATCH(J$7,'Inputs (2)'!$D$2:$AL$2,0))</f>
        <v>0</v>
      </c>
      <c r="K222" s="25">
        <f>INDEX('Inputs (2)'!$D$36:$AL$36,MATCH(K$7,'Inputs (2)'!$D$2:$AL$2,0))</f>
        <v>0</v>
      </c>
      <c r="L222" s="25">
        <f>INDEX('Inputs (2)'!$D$36:$AL$36,MATCH(L$7,'Inputs (2)'!$D$2:$AL$2,0))</f>
        <v>0</v>
      </c>
      <c r="M222" s="3">
        <f>L222</f>
        <v>0</v>
      </c>
      <c r="N222" s="25">
        <f>INDEX('Inputs (2)'!$D$36:$AL$36,MATCH(N$7,'Inputs (2)'!$D$2:$AL$2,0))</f>
        <v>0</v>
      </c>
      <c r="O222" s="25">
        <f>INDEX('Inputs (2)'!$D$36:$AL$36,MATCH(O$7,'Inputs (2)'!$D$2:$AL$2,0))</f>
        <v>0</v>
      </c>
      <c r="P222" s="25">
        <f>INDEX('Inputs (2)'!$D$36:$AL$36,MATCH(P$7,'Inputs (2)'!$D$2:$AL$2,0))</f>
        <v>0</v>
      </c>
      <c r="Q222" s="25">
        <f>INDEX('Inputs (2)'!$D$36:$AL$36,MATCH(Q$7,'Inputs (2)'!$D$2:$AL$2,0))</f>
        <v>0</v>
      </c>
      <c r="R222" s="3">
        <f>Q222</f>
        <v>0</v>
      </c>
      <c r="S222" s="25">
        <f>INDEX('Inputs (2)'!$D$36:$AL$36,MATCH(S$7,'Inputs (2)'!$D$2:$AL$2,0))</f>
        <v>0</v>
      </c>
      <c r="T222" s="25">
        <f>INDEX('Inputs (2)'!$D$36:$AL$36,MATCH(T$7,'Inputs (2)'!$D$2:$AL$2,0))</f>
        <v>0</v>
      </c>
      <c r="U222" s="25">
        <f>INDEX('Inputs (2)'!$D$36:$AL$36,MATCH(U$7,'Inputs (2)'!$D$2:$AL$2,0))</f>
        <v>0</v>
      </c>
      <c r="V222" s="25">
        <f>INDEX('Inputs (2)'!$D$36:$AL$36,MATCH(V$7,'Inputs (2)'!$D$2:$AL$2,0))</f>
        <v>0</v>
      </c>
      <c r="W222" s="3">
        <f>V222</f>
        <v>0</v>
      </c>
      <c r="X222" s="25">
        <f>INDEX('Inputs (2)'!$D$36:$AL$36,MATCH(X$7,'Inputs (2)'!$D$2:$AL$2,0))</f>
        <v>0</v>
      </c>
      <c r="Y222" s="25">
        <f>INDEX('Inputs (2)'!$D$36:$AL$36,MATCH(Y$7,'Inputs (2)'!$D$2:$AL$2,0))</f>
        <v>0</v>
      </c>
      <c r="Z222" s="25">
        <f>INDEX('Inputs (2)'!$D$36:$AL$36,MATCH(Z$7,'Inputs (2)'!$D$2:$AL$2,0))</f>
        <v>0</v>
      </c>
      <c r="AA222" s="25">
        <f>INDEX('Inputs (2)'!$D$36:$AL$36,MATCH(AA$7,'Inputs (2)'!$D$2:$AL$2,0))</f>
        <v>0</v>
      </c>
      <c r="AB222" s="3">
        <f>AA222</f>
        <v>0</v>
      </c>
      <c r="AC222" s="25">
        <f>INDEX('Inputs (2)'!$D$36:$AL$36,MATCH(AC$7,'Inputs (2)'!$D$2:$AL$2,0))</f>
        <v>0</v>
      </c>
      <c r="AD222" s="25">
        <f>INDEX('Inputs (2)'!$D$36:$AL$36,MATCH(AD$7,'Inputs (2)'!$D$2:$AL$2,0))</f>
        <v>0</v>
      </c>
      <c r="AE222" s="25">
        <f>INDEX('Inputs (2)'!$D$36:$AL$36,MATCH(AE$7,'Inputs (2)'!$D$2:$AL$2,0))</f>
        <v>0</v>
      </c>
      <c r="AF222" s="25">
        <f>INDEX('Inputs (2)'!$D$36:$AL$36,MATCH(AF$7,'Inputs (2)'!$D$2:$AL$2,0))</f>
        <v>0</v>
      </c>
      <c r="AG222" s="3">
        <f>AF222</f>
        <v>0</v>
      </c>
      <c r="AH222" s="3">
        <f>INDEX('Inputs (2)'!$D$36:$AL$36,MATCH(AH$7,'Inputs (2)'!$D$2:$AL$2,0))</f>
        <v>0</v>
      </c>
      <c r="AI222" s="3">
        <f>INDEX('Inputs (2)'!$D$36:$AL$36,MATCH(AI$7,'Inputs (2)'!$D$2:$AL$2,0))</f>
        <v>0</v>
      </c>
      <c r="AJ222" s="3">
        <f>AI222</f>
        <v>0</v>
      </c>
      <c r="AK222" s="3">
        <f>AJ222</f>
        <v>0</v>
      </c>
      <c r="AL222" s="3">
        <f>AK222</f>
        <v>0</v>
      </c>
      <c r="AM222" s="3">
        <f>AL222</f>
        <v>0</v>
      </c>
      <c r="AN222" s="3">
        <f>AM222</f>
        <v>0</v>
      </c>
      <c r="AO222" s="3">
        <f>AN222</f>
        <v>0</v>
      </c>
      <c r="AP222" s="3">
        <f>AO222</f>
        <v>0</v>
      </c>
      <c r="AQ222" s="3">
        <f>AP222</f>
        <v>0</v>
      </c>
      <c r="AR222" s="3">
        <f>AQ222</f>
        <v>0</v>
      </c>
      <c r="AS222" s="3">
        <f>AR222</f>
        <v>0</v>
      </c>
      <c r="AT222" s="3">
        <f>AS222</f>
        <v>0</v>
      </c>
      <c r="AU222" s="3">
        <f>AT222</f>
        <v>0</v>
      </c>
      <c r="AV222" s="3">
        <f>AU222</f>
        <v>0</v>
      </c>
      <c r="AW222" s="3">
        <f>AV222</f>
        <v>0</v>
      </c>
      <c r="AX222" s="3">
        <f>AW222</f>
        <v>0</v>
      </c>
      <c r="AY222" s="3">
        <f>AX222</f>
        <v>0</v>
      </c>
      <c r="AZ222" s="3">
        <f>AY222</f>
        <v>0</v>
      </c>
      <c r="BA222" s="3">
        <f>AZ222</f>
        <v>0</v>
      </c>
      <c r="BB222" s="3">
        <f>BA222</f>
        <v>0</v>
      </c>
      <c r="BC222" s="3">
        <f>BB222</f>
        <v>0</v>
      </c>
      <c r="BD222" s="3">
        <f>BC222</f>
        <v>0</v>
      </c>
      <c r="BE222" s="3">
        <f>BD222</f>
        <v>0</v>
      </c>
      <c r="BF222" s="3">
        <f>BE222</f>
        <v>0</v>
      </c>
      <c r="BG222" s="3">
        <f>BF222</f>
        <v>0</v>
      </c>
      <c r="BH222" s="3">
        <f>BG222</f>
        <v>0</v>
      </c>
      <c r="BI222" s="3">
        <f>BH222</f>
        <v>0</v>
      </c>
      <c r="BJ222" s="3">
        <f>BI222</f>
        <v>0</v>
      </c>
      <c r="BK222" s="3">
        <f>BJ222</f>
        <v>0</v>
      </c>
      <c r="BL222" s="3">
        <f>BK222</f>
        <v>0</v>
      </c>
      <c r="BM222" s="3">
        <f>BL222</f>
        <v>0</v>
      </c>
      <c r="BN222" s="3">
        <f>BM222</f>
        <v>0</v>
      </c>
      <c r="BO222" s="3">
        <f>BN222</f>
        <v>0</v>
      </c>
      <c r="BP222" s="3">
        <f>BO222</f>
        <v>0</v>
      </c>
      <c r="BQ222" s="3">
        <f>BP222</f>
        <v>0</v>
      </c>
      <c r="BR222" s="3">
        <f>BQ222</f>
        <v>0</v>
      </c>
      <c r="BS222" s="3">
        <f>BR222</f>
        <v>0</v>
      </c>
      <c r="BT222" s="3">
        <f>BS222</f>
        <v>0</v>
      </c>
      <c r="BU222" s="3">
        <f>BT222</f>
        <v>0</v>
      </c>
      <c r="BV222" s="3">
        <f>BU222</f>
        <v>0</v>
      </c>
      <c r="BW222" s="3">
        <f>BV222</f>
        <v>0</v>
      </c>
      <c r="BX222" s="3">
        <f>BW222</f>
        <v>0</v>
      </c>
      <c r="BY222" s="3">
        <f>BX222</f>
        <v>0</v>
      </c>
      <c r="BZ222" s="3">
        <f>BY222</f>
        <v>0</v>
      </c>
      <c r="CA222" s="3">
        <f>BZ222</f>
        <v>0</v>
      </c>
      <c r="CB222" s="3">
        <f>CA222</f>
        <v>0</v>
      </c>
      <c r="CC222" s="3">
        <f>CB222</f>
        <v>0</v>
      </c>
      <c r="CD222" s="3">
        <f>CC222</f>
        <v>0</v>
      </c>
      <c r="CE222" s="3">
        <f>CD222</f>
        <v>0</v>
      </c>
      <c r="CF222" s="3">
        <f>CE222</f>
        <v>0</v>
      </c>
      <c r="CG222" s="3">
        <f>CF222</f>
        <v>0</v>
      </c>
      <c r="CH222" s="3">
        <f>CG222</f>
        <v>0</v>
      </c>
      <c r="CI222" s="3">
        <f>CH222</f>
        <v>0</v>
      </c>
      <c r="CJ222" s="3">
        <f>CI222</f>
        <v>0</v>
      </c>
      <c r="CK222" s="3">
        <f>CJ222</f>
        <v>0</v>
      </c>
      <c r="CL222" s="3">
        <f>CK222</f>
        <v>0</v>
      </c>
      <c r="CM222" s="3">
        <f>CL222</f>
        <v>0</v>
      </c>
      <c r="CN222" s="3">
        <f>CM222</f>
        <v>0</v>
      </c>
      <c r="CO222" s="3">
        <f>CN222</f>
        <v>0</v>
      </c>
      <c r="CP222" s="3">
        <f>CO222</f>
        <v>0</v>
      </c>
      <c r="CQ222" s="3">
        <f>CP222</f>
        <v>0</v>
      </c>
      <c r="CR222" s="3">
        <f>CQ222</f>
        <v>0</v>
      </c>
      <c r="CS222" s="3">
        <f>CR222</f>
        <v>0</v>
      </c>
      <c r="CT222" s="3">
        <f>CS222</f>
        <v>0</v>
      </c>
      <c r="CU222" s="3">
        <f>CT222</f>
        <v>0</v>
      </c>
      <c r="CV222" s="3">
        <f>CU222</f>
        <v>0</v>
      </c>
      <c r="CW222" s="3">
        <f>CV222</f>
        <v>0</v>
      </c>
      <c r="CX222" s="3">
        <f>CW222</f>
        <v>0</v>
      </c>
      <c r="CY222" s="3">
        <f>CX222</f>
        <v>0</v>
      </c>
    </row>
    <row r="223" hidden="1" outlineLevel="1">
      <c r="C223" s="38" t="inlineStr">
        <is>
          <t>%(Var.)</t>
        </is>
      </c>
      <c r="D223" s="3" t="n"/>
      <c r="E223" s="47">
        <f>IFERROR((E222-D222)/D222,0)</f>
        <v>0</v>
      </c>
      <c r="F223" s="47">
        <f>IFERROR((F222-E222)/E222,0)</f>
        <v>0</v>
      </c>
      <c r="G223" s="47">
        <f>IFERROR((G222-F222)/F222,0)</f>
        <v>0</v>
      </c>
      <c r="H223" s="3" t="n"/>
      <c r="I223" s="47">
        <f>IFERROR((I222-H222)/H222,0)</f>
        <v>0</v>
      </c>
      <c r="J223" s="47">
        <f>IFERROR((J222-I222)/I222,0)</f>
        <v>0</v>
      </c>
      <c r="K223" s="47">
        <f>IFERROR((K222-J222)/J222,0)</f>
        <v>0</v>
      </c>
      <c r="L223" s="47">
        <f>IFERROR((L222-K222)/K222,0)</f>
        <v>0</v>
      </c>
      <c r="M223" s="3" t="n"/>
      <c r="N223" s="47">
        <f>IFERROR((N222-M222)/M222,0)</f>
        <v>0</v>
      </c>
      <c r="O223" s="47">
        <f>IFERROR((O222-N222)/N222,0)</f>
        <v>0</v>
      </c>
      <c r="P223" s="47">
        <f>IFERROR((P222-O222)/O222,0)</f>
        <v>0</v>
      </c>
      <c r="Q223" s="47">
        <f>IFERROR((Q222-P222)/P222,0)</f>
        <v>0</v>
      </c>
      <c r="R223" s="3" t="n"/>
      <c r="S223" s="47">
        <f>IFERROR((S222-R222)/R222,0)</f>
        <v>0</v>
      </c>
      <c r="T223" s="47">
        <f>IFERROR((T222-S222)/S222,0)</f>
        <v>0</v>
      </c>
      <c r="U223" s="47">
        <f>IFERROR((U222-T222)/T222,0)</f>
        <v>0</v>
      </c>
      <c r="V223" s="47">
        <f>IFERROR((V222-U222)/U222,0)</f>
        <v>0</v>
      </c>
      <c r="W223" s="3" t="n"/>
      <c r="X223" s="47">
        <f>IFERROR((X222-W222)/W222,0)</f>
        <v>0</v>
      </c>
      <c r="Y223" s="47">
        <f>IFERROR((Y222-X222)/X222,0)</f>
        <v>0</v>
      </c>
      <c r="Z223" s="47">
        <f>IFERROR((Z222-Y222)/Y222,0)</f>
        <v>0</v>
      </c>
      <c r="AA223" s="47">
        <f>IFERROR((AA222-Z222)/Z222,0)</f>
        <v>0</v>
      </c>
      <c r="AB223" s="3" t="n"/>
      <c r="AC223" s="47">
        <f>IFERROR((AC222-AB222)/AB222,0)</f>
        <v>0</v>
      </c>
      <c r="AD223" s="47">
        <f>IFERROR((AD222-AC222)/AC222,0)</f>
        <v>0</v>
      </c>
      <c r="AE223" s="47">
        <f>IFERROR((AE222-AD222)/AD222,0)</f>
        <v>0</v>
      </c>
      <c r="AF223" s="230">
        <f>IFERROR((AF222-AE222)/AE222,0)</f>
        <v>0</v>
      </c>
      <c r="AG223" s="3" t="n"/>
      <c r="AH223" s="6">
        <f>IFERROR((AH222-AG222)/AG222,0)</f>
        <v>0</v>
      </c>
      <c r="AI223" s="6">
        <f>IFERROR((AI222-AH222)/AH222,0)</f>
        <v>0</v>
      </c>
      <c r="AJ223" s="6" t="n"/>
      <c r="AK223" s="6" t="n"/>
      <c r="AL223" s="3" t="n"/>
      <c r="AM223" s="6" t="n"/>
      <c r="AN223" s="6" t="n"/>
      <c r="AO223" s="6" t="n"/>
      <c r="AP223" s="6" t="n"/>
      <c r="AQ223" s="3" t="n"/>
      <c r="AR223" s="6" t="n"/>
      <c r="AS223" s="6" t="n"/>
      <c r="AT223" s="6" t="n"/>
      <c r="AU223" s="6" t="n"/>
      <c r="AV223" s="3" t="n"/>
      <c r="AW223" s="6" t="n"/>
      <c r="AX223" s="6" t="n"/>
      <c r="AY223" s="6" t="n"/>
      <c r="AZ223" s="6" t="n"/>
      <c r="BA223" s="3" t="n"/>
      <c r="BB223" s="6" t="n"/>
      <c r="BC223" s="6" t="n"/>
      <c r="BD223" s="6" t="n"/>
      <c r="BE223" s="6" t="n"/>
      <c r="BF223" s="3" t="n"/>
      <c r="BG223" s="6" t="n"/>
      <c r="BH223" s="6" t="n"/>
      <c r="BI223" s="6" t="n"/>
      <c r="BJ223" s="6" t="n"/>
      <c r="BK223" s="3" t="n"/>
      <c r="BL223" s="6" t="n"/>
      <c r="BM223" s="6" t="n"/>
      <c r="BN223" s="6" t="n"/>
      <c r="BO223" s="6" t="n"/>
      <c r="BP223" s="3" t="n"/>
      <c r="BQ223" s="6" t="n"/>
      <c r="BR223" s="6" t="n"/>
      <c r="BS223" s="6" t="n"/>
      <c r="BT223" s="6" t="n"/>
      <c r="BU223" s="3" t="n"/>
      <c r="BV223" s="6" t="n"/>
      <c r="BW223" s="6" t="n"/>
      <c r="BX223" s="6" t="n"/>
      <c r="BY223" s="6" t="n"/>
      <c r="BZ223" s="3" t="n"/>
      <c r="CA223" s="6" t="n"/>
      <c r="CB223" s="6" t="n"/>
      <c r="CC223" s="6" t="n"/>
      <c r="CD223" s="6" t="n"/>
      <c r="CE223" s="3" t="n"/>
      <c r="CF223" s="6" t="n"/>
      <c r="CG223" s="6" t="n"/>
      <c r="CH223" s="6" t="n"/>
      <c r="CI223" s="6" t="n"/>
      <c r="CJ223" s="3" t="n"/>
      <c r="CK223" s="6" t="n"/>
      <c r="CL223" s="6" t="n"/>
      <c r="CM223" s="6" t="n"/>
      <c r="CN223" s="6" t="n"/>
      <c r="CO223" s="3" t="n"/>
      <c r="CP223" s="6" t="n"/>
      <c r="CQ223" s="6" t="n"/>
      <c r="CR223" s="6" t="n"/>
      <c r="CS223" s="6" t="n"/>
      <c r="CT223" s="3" t="n"/>
      <c r="CU223" s="6" t="n"/>
      <c r="CV223" s="6" t="n"/>
      <c r="CW223" s="6" t="n"/>
      <c r="CX223" s="6" t="n"/>
      <c r="CY223" s="3" t="n"/>
    </row>
    <row r="224" hidden="1" outlineLevel="1">
      <c r="C224" s="34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</row>
    <row r="225" collapsed="1">
      <c r="C225" s="26" t="inlineStr">
        <is>
          <t>Convertible debt</t>
        </is>
      </c>
      <c r="D225" s="25">
        <f>INDEX('Inputs (2)'!$D$37:$AL$37,MATCH(D$7,'Inputs (2)'!$D$2:$AL$2,0))</f>
        <v>0</v>
      </c>
      <c r="E225" s="25">
        <f>INDEX('Inputs (2)'!$D$37:$AL$37,MATCH(E$7,'Inputs (2)'!$D$2:$AL$2,0))</f>
        <v>0</v>
      </c>
      <c r="F225" s="25">
        <f>INDEX('Inputs (2)'!$D$37:$AL$37,MATCH(F$7,'Inputs (2)'!$D$2:$AL$2,0))</f>
        <v>0</v>
      </c>
      <c r="G225" s="25">
        <f>INDEX('Inputs (2)'!$D$37:$AL$37,MATCH(G$7,'Inputs (2)'!$D$2:$AL$2,0))</f>
        <v>0</v>
      </c>
      <c r="H225" s="3">
        <f>G225</f>
        <v>0</v>
      </c>
      <c r="I225" s="25">
        <f>INDEX('Inputs (2)'!$D$37:$AL$37,MATCH(I$7,'Inputs (2)'!$D$2:$AL$2,0))</f>
        <v>0</v>
      </c>
      <c r="J225" s="25">
        <f>INDEX('Inputs (2)'!$D$37:$AL$37,MATCH(J$7,'Inputs (2)'!$D$2:$AL$2,0))</f>
        <v>0</v>
      </c>
      <c r="K225" s="25">
        <f>INDEX('Inputs (2)'!$D$37:$AL$37,MATCH(K$7,'Inputs (2)'!$D$2:$AL$2,0))</f>
        <v>0</v>
      </c>
      <c r="L225" s="25">
        <f>INDEX('Inputs (2)'!$D$37:$AL$37,MATCH(L$7,'Inputs (2)'!$D$2:$AL$2,0))</f>
        <v>0</v>
      </c>
      <c r="M225" s="3">
        <f>L225</f>
        <v>0</v>
      </c>
      <c r="N225" s="25">
        <f>INDEX('Inputs (2)'!$D$37:$AL$37,MATCH(N$7,'Inputs (2)'!$D$2:$AL$2,0))</f>
        <v>0</v>
      </c>
      <c r="O225" s="25">
        <f>INDEX('Inputs (2)'!$D$37:$AL$37,MATCH(O$7,'Inputs (2)'!$D$2:$AL$2,0))</f>
        <v>0</v>
      </c>
      <c r="P225" s="25">
        <f>INDEX('Inputs (2)'!$D$37:$AL$37,MATCH(P$7,'Inputs (2)'!$D$2:$AL$2,0))</f>
        <v>0</v>
      </c>
      <c r="Q225" s="25">
        <f>INDEX('Inputs (2)'!$D$37:$AL$37,MATCH(Q$7,'Inputs (2)'!$D$2:$AL$2,0))</f>
        <v>0</v>
      </c>
      <c r="R225" s="3">
        <f>Q225</f>
        <v>0</v>
      </c>
      <c r="S225" s="25">
        <f>INDEX('Inputs (2)'!$D$37:$AL$37,MATCH(S$7,'Inputs (2)'!$D$2:$AL$2,0))</f>
        <v>0</v>
      </c>
      <c r="T225" s="25">
        <f>INDEX('Inputs (2)'!$D$37:$AL$37,MATCH(T$7,'Inputs (2)'!$D$2:$AL$2,0))</f>
        <v>0</v>
      </c>
      <c r="U225" s="25">
        <f>INDEX('Inputs (2)'!$D$37:$AL$37,MATCH(U$7,'Inputs (2)'!$D$2:$AL$2,0))</f>
        <v>0</v>
      </c>
      <c r="V225" s="25">
        <f>INDEX('Inputs (2)'!$D$37:$AL$37,MATCH(V$7,'Inputs (2)'!$D$2:$AL$2,0))</f>
        <v>0</v>
      </c>
      <c r="W225" s="3">
        <f>V225</f>
        <v>0</v>
      </c>
      <c r="X225" s="25">
        <f>INDEX('Inputs (2)'!$D$37:$AL$37,MATCH(X$7,'Inputs (2)'!$D$2:$AL$2,0))</f>
        <v>0</v>
      </c>
      <c r="Y225" s="25">
        <f>INDEX('Inputs (2)'!$D$37:$AL$37,MATCH(Y$7,'Inputs (2)'!$D$2:$AL$2,0))</f>
        <v>0</v>
      </c>
      <c r="Z225" s="25">
        <f>INDEX('Inputs (2)'!$D$37:$AL$37,MATCH(Z$7,'Inputs (2)'!$D$2:$AL$2,0))</f>
        <v>0</v>
      </c>
      <c r="AA225" s="25">
        <f>INDEX('Inputs (2)'!$D$37:$AL$37,MATCH(AA$7,'Inputs (2)'!$D$2:$AL$2,0))</f>
        <v>0</v>
      </c>
      <c r="AB225" s="3">
        <f>AA225</f>
        <v>0</v>
      </c>
      <c r="AC225" s="25">
        <f>INDEX('Inputs (2)'!$D$37:$AL$37,MATCH(AC$7,'Inputs (2)'!$D$2:$AL$2,0))</f>
        <v>0</v>
      </c>
      <c r="AD225" s="25">
        <f>INDEX('Inputs (2)'!$D$37:$AL$37,MATCH(AD$7,'Inputs (2)'!$D$2:$AL$2,0))</f>
        <v>0</v>
      </c>
      <c r="AE225" s="25">
        <f>INDEX('Inputs (2)'!$D$37:$AL$37,MATCH(AE$7,'Inputs (2)'!$D$2:$AL$2,0))</f>
        <v>0</v>
      </c>
      <c r="AF225" s="25">
        <f>INDEX('Inputs (2)'!$D$37:$AL$37,MATCH(AF$7,'Inputs (2)'!$D$2:$AL$2,0))</f>
        <v>0</v>
      </c>
      <c r="AG225" s="3">
        <f>AF225</f>
        <v>0</v>
      </c>
      <c r="AH225" s="3">
        <f>INDEX('Inputs (2)'!$D$37:$AL$37,MATCH(AH$7,'Inputs (2)'!$D$2:$AL$2,0))</f>
        <v>0</v>
      </c>
      <c r="AI225" s="3">
        <f>INDEX('Inputs (2)'!$D$37:$AL$37,MATCH(AI$7,'Inputs (2)'!$D$2:$AL$2,0))</f>
        <v>0</v>
      </c>
      <c r="AJ225" s="3">
        <f>AI225</f>
        <v>0</v>
      </c>
      <c r="AK225" s="3">
        <f>AJ225</f>
        <v>0</v>
      </c>
      <c r="AL225" s="3">
        <f>AK225</f>
        <v>0</v>
      </c>
      <c r="AM225" s="3">
        <f>AL225</f>
        <v>0</v>
      </c>
      <c r="AN225" s="3">
        <f>AM225</f>
        <v>0</v>
      </c>
      <c r="AO225" s="3">
        <f>AN225</f>
        <v>0</v>
      </c>
      <c r="AP225" s="3">
        <f>AO225</f>
        <v>0</v>
      </c>
      <c r="AQ225" s="3">
        <f>AP225</f>
        <v>0</v>
      </c>
      <c r="AR225" s="3">
        <f>AQ225</f>
        <v>0</v>
      </c>
      <c r="AS225" s="3">
        <f>AR225</f>
        <v>0</v>
      </c>
      <c r="AT225" s="3">
        <f>AS225</f>
        <v>0</v>
      </c>
      <c r="AU225" s="3">
        <f>AT225</f>
        <v>0</v>
      </c>
      <c r="AV225" s="3">
        <f>AU225</f>
        <v>0</v>
      </c>
      <c r="AW225" s="3">
        <f>AV225</f>
        <v>0</v>
      </c>
      <c r="AX225" s="3">
        <f>AW225</f>
        <v>0</v>
      </c>
      <c r="AY225" s="3">
        <f>AX225</f>
        <v>0</v>
      </c>
      <c r="AZ225" s="3">
        <f>AY225</f>
        <v>0</v>
      </c>
      <c r="BA225" s="3">
        <f>AZ225</f>
        <v>0</v>
      </c>
      <c r="BB225" s="3">
        <f>BA225</f>
        <v>0</v>
      </c>
      <c r="BC225" s="3">
        <f>BB225</f>
        <v>0</v>
      </c>
      <c r="BD225" s="3">
        <f>BC225</f>
        <v>0</v>
      </c>
      <c r="BE225" s="3">
        <f>BD225</f>
        <v>0</v>
      </c>
      <c r="BF225" s="3">
        <f>BE225</f>
        <v>0</v>
      </c>
      <c r="BG225" s="3">
        <f>BF225</f>
        <v>0</v>
      </c>
      <c r="BH225" s="3">
        <f>BG225</f>
        <v>0</v>
      </c>
      <c r="BI225" s="3">
        <f>BH225</f>
        <v>0</v>
      </c>
      <c r="BJ225" s="3">
        <f>BI225</f>
        <v>0</v>
      </c>
      <c r="BK225" s="3">
        <f>BJ225</f>
        <v>0</v>
      </c>
      <c r="BL225" s="3">
        <f>BK225</f>
        <v>0</v>
      </c>
      <c r="BM225" s="3">
        <f>BL225</f>
        <v>0</v>
      </c>
      <c r="BN225" s="3">
        <f>BM225</f>
        <v>0</v>
      </c>
      <c r="BO225" s="3">
        <f>BN225</f>
        <v>0</v>
      </c>
      <c r="BP225" s="3">
        <f>BO225</f>
        <v>0</v>
      </c>
      <c r="BQ225" s="3">
        <f>BP225</f>
        <v>0</v>
      </c>
      <c r="BR225" s="3">
        <f>BQ225</f>
        <v>0</v>
      </c>
      <c r="BS225" s="3">
        <f>BR225</f>
        <v>0</v>
      </c>
      <c r="BT225" s="3">
        <f>BS225</f>
        <v>0</v>
      </c>
      <c r="BU225" s="3">
        <f>BT225</f>
        <v>0</v>
      </c>
      <c r="BV225" s="3">
        <f>BU225</f>
        <v>0</v>
      </c>
      <c r="BW225" s="3">
        <f>BV225</f>
        <v>0</v>
      </c>
      <c r="BX225" s="3">
        <f>BW225</f>
        <v>0</v>
      </c>
      <c r="BY225" s="3">
        <f>BX225</f>
        <v>0</v>
      </c>
      <c r="BZ225" s="3">
        <f>BY225</f>
        <v>0</v>
      </c>
      <c r="CA225" s="3">
        <f>BZ225</f>
        <v>0</v>
      </c>
      <c r="CB225" s="3">
        <f>CA225</f>
        <v>0</v>
      </c>
      <c r="CC225" s="3">
        <f>CB225</f>
        <v>0</v>
      </c>
      <c r="CD225" s="3">
        <f>CC225</f>
        <v>0</v>
      </c>
      <c r="CE225" s="3">
        <f>CD225</f>
        <v>0</v>
      </c>
      <c r="CF225" s="3">
        <f>CE225</f>
        <v>0</v>
      </c>
      <c r="CG225" s="3">
        <f>CF225</f>
        <v>0</v>
      </c>
      <c r="CH225" s="3">
        <f>CG225</f>
        <v>0</v>
      </c>
      <c r="CI225" s="3">
        <f>CH225</f>
        <v>0</v>
      </c>
      <c r="CJ225" s="3">
        <f>CI225</f>
        <v>0</v>
      </c>
      <c r="CK225" s="3">
        <f>CJ225</f>
        <v>0</v>
      </c>
      <c r="CL225" s="3">
        <f>CK225</f>
        <v>0</v>
      </c>
      <c r="CM225" s="3">
        <f>CL225</f>
        <v>0</v>
      </c>
      <c r="CN225" s="3">
        <f>CM225</f>
        <v>0</v>
      </c>
      <c r="CO225" s="3">
        <f>CN225</f>
        <v>0</v>
      </c>
      <c r="CP225" s="3">
        <f>CO225</f>
        <v>0</v>
      </c>
      <c r="CQ225" s="3">
        <f>CP225</f>
        <v>0</v>
      </c>
      <c r="CR225" s="3">
        <f>CQ225</f>
        <v>0</v>
      </c>
      <c r="CS225" s="3">
        <f>CR225</f>
        <v>0</v>
      </c>
      <c r="CT225" s="3">
        <f>CS225</f>
        <v>0</v>
      </c>
      <c r="CU225" s="3">
        <f>CT225</f>
        <v>0</v>
      </c>
      <c r="CV225" s="3">
        <f>CU225</f>
        <v>0</v>
      </c>
      <c r="CW225" s="3">
        <f>CV225</f>
        <v>0</v>
      </c>
      <c r="CX225" s="3">
        <f>CW225</f>
        <v>0</v>
      </c>
      <c r="CY225" s="3">
        <f>CX225</f>
        <v>0</v>
      </c>
    </row>
    <row r="226">
      <c r="C226" s="26" t="inlineStr">
        <is>
          <t>Deferred income taxes</t>
        </is>
      </c>
      <c r="D226" s="25">
        <f>INDEX('Inputs (2)'!$D$38:$AL$38,MATCH(D$7,'Inputs (2)'!$D$2:$AL$2,0))</f>
        <v>475</v>
      </c>
      <c r="E226" s="25">
        <f>INDEX('Inputs (2)'!$D$38:$AL$38,MATCH(E$7,'Inputs (2)'!$D$2:$AL$2,0))</f>
        <v>479</v>
      </c>
      <c r="F226" s="25">
        <f>INDEX('Inputs (2)'!$D$38:$AL$38,MATCH(F$7,'Inputs (2)'!$D$2:$AL$2,0))</f>
        <v>519</v>
      </c>
      <c r="G226" s="25">
        <f>INDEX('Inputs (2)'!$D$38:$AL$38,MATCH(G$7,'Inputs (2)'!$D$2:$AL$2,0))</f>
        <v>532</v>
      </c>
      <c r="H226" s="3">
        <f>G226</f>
        <v>532</v>
      </c>
      <c r="I226" s="25">
        <f>INDEX('Inputs (2)'!$D$38:$AL$38,MATCH(I$7,'Inputs (2)'!$D$2:$AL$2,0))</f>
        <v>533</v>
      </c>
      <c r="J226" s="25">
        <f>INDEX('Inputs (2)'!$D$38:$AL$38,MATCH(J$7,'Inputs (2)'!$D$2:$AL$2,0))</f>
        <v>515</v>
      </c>
      <c r="K226" s="25">
        <f>INDEX('Inputs (2)'!$D$38:$AL$38,MATCH(K$7,'Inputs (2)'!$D$2:$AL$2,0))</f>
        <v>576</v>
      </c>
      <c r="L226" s="25">
        <f>INDEX('Inputs (2)'!$D$38:$AL$38,MATCH(L$7,'Inputs (2)'!$D$2:$AL$2,0))</f>
        <v>556</v>
      </c>
      <c r="M226" s="3">
        <f>L226</f>
        <v>556</v>
      </c>
      <c r="N226" s="25">
        <f>INDEX('Inputs (2)'!$D$38:$AL$38,MATCH(N$7,'Inputs (2)'!$D$2:$AL$2,0))</f>
        <v>584</v>
      </c>
      <c r="O226" s="25">
        <f>INDEX('Inputs (2)'!$D$38:$AL$38,MATCH(O$7,'Inputs (2)'!$D$2:$AL$2,0))</f>
        <v>561</v>
      </c>
      <c r="P226" s="25">
        <f>INDEX('Inputs (2)'!$D$38:$AL$38,MATCH(P$7,'Inputs (2)'!$D$2:$AL$2,0))</f>
        <v>495</v>
      </c>
      <c r="Q226" s="25">
        <f>INDEX('Inputs (2)'!$D$38:$AL$38,MATCH(Q$7,'Inputs (2)'!$D$2:$AL$2,0))</f>
        <v>519</v>
      </c>
      <c r="R226" s="3">
        <f>Q226</f>
        <v>519</v>
      </c>
      <c r="S226" s="25">
        <f>INDEX('Inputs (2)'!$D$38:$AL$38,MATCH(S$7,'Inputs (2)'!$D$2:$AL$2,0))</f>
        <v>511</v>
      </c>
      <c r="T226" s="25">
        <f>INDEX('Inputs (2)'!$D$38:$AL$38,MATCH(T$7,'Inputs (2)'!$D$2:$AL$2,0))</f>
        <v>506</v>
      </c>
      <c r="U226" s="25">
        <f>INDEX('Inputs (2)'!$D$38:$AL$38,MATCH(U$7,'Inputs (2)'!$D$2:$AL$2,0))</f>
        <v>520</v>
      </c>
      <c r="V226" s="25">
        <f>INDEX('Inputs (2)'!$D$38:$AL$38,MATCH(V$7,'Inputs (2)'!$D$2:$AL$2,0))</f>
        <v>550</v>
      </c>
      <c r="W226" s="3">
        <f>V226</f>
        <v>550</v>
      </c>
      <c r="X226" s="25">
        <f>INDEX('Inputs (2)'!$D$38:$AL$38,MATCH(X$7,'Inputs (2)'!$D$2:$AL$2,0))</f>
        <v>491</v>
      </c>
      <c r="Y226" s="25">
        <f>INDEX('Inputs (2)'!$D$38:$AL$38,MATCH(Y$7,'Inputs (2)'!$D$2:$AL$2,0))</f>
        <v>481</v>
      </c>
      <c r="Z226" s="25">
        <f>INDEX('Inputs (2)'!$D$38:$AL$38,MATCH(Z$7,'Inputs (2)'!$D$2:$AL$2,0))</f>
        <v>478</v>
      </c>
      <c r="AA226" s="25">
        <f>INDEX('Inputs (2)'!$D$38:$AL$38,MATCH(AA$7,'Inputs (2)'!$D$2:$AL$2,0))</f>
        <v>448</v>
      </c>
      <c r="AB226" s="3">
        <f>AA226</f>
        <v>448</v>
      </c>
      <c r="AC226" s="25">
        <f>INDEX('Inputs (2)'!$D$38:$AL$38,MATCH(AC$7,'Inputs (2)'!$D$2:$AL$2,0))</f>
        <v>496</v>
      </c>
      <c r="AD226" s="25">
        <f>INDEX('Inputs (2)'!$D$38:$AL$38,MATCH(AD$7,'Inputs (2)'!$D$2:$AL$2,0))</f>
        <v>489</v>
      </c>
      <c r="AE226" s="25">
        <f>INDEX('Inputs (2)'!$D$38:$AL$38,MATCH(AE$7,'Inputs (2)'!$D$2:$AL$2,0))</f>
        <v>434</v>
      </c>
      <c r="AF226" s="25">
        <f>INDEX('Inputs (2)'!$D$38:$AL$38,MATCH(AF$7,'Inputs (2)'!$D$2:$AL$2,0))</f>
        <v>434</v>
      </c>
      <c r="AG226" s="3">
        <f>AF226</f>
        <v>434</v>
      </c>
      <c r="AH226" s="3">
        <f>INDEX('Inputs (2)'!$D$38:$AL$38,MATCH(AH$7,'Inputs (2)'!$D$2:$AL$2,0))</f>
        <v>422</v>
      </c>
      <c r="AI226" s="3">
        <f>INDEX('Inputs (2)'!$D$38:$AL$38,MATCH(AI$7,'Inputs (2)'!$D$2:$AL$2,0))</f>
        <v>411</v>
      </c>
      <c r="AJ226" s="3">
        <f>AI226</f>
        <v>411</v>
      </c>
      <c r="AK226" s="3">
        <f>AJ226</f>
        <v>411</v>
      </c>
      <c r="AL226" s="3">
        <f>AK226</f>
        <v>411</v>
      </c>
      <c r="AM226" s="3">
        <f>AL226</f>
        <v>411</v>
      </c>
      <c r="AN226" s="3">
        <f>AM226</f>
        <v>411</v>
      </c>
      <c r="AO226" s="3">
        <f>AN226</f>
        <v>411</v>
      </c>
      <c r="AP226" s="3">
        <f>AO226</f>
        <v>411</v>
      </c>
      <c r="AQ226" s="3">
        <f>AP226</f>
        <v>411</v>
      </c>
      <c r="AR226" s="3">
        <f>AQ226</f>
        <v>411</v>
      </c>
      <c r="AS226" s="3">
        <f>AR226</f>
        <v>411</v>
      </c>
      <c r="AT226" s="3">
        <f>AS226</f>
        <v>411</v>
      </c>
      <c r="AU226" s="3">
        <f>AT226</f>
        <v>411</v>
      </c>
      <c r="AV226" s="3">
        <f>AU226</f>
        <v>411</v>
      </c>
      <c r="AW226" s="3">
        <f>AV226</f>
        <v>411</v>
      </c>
      <c r="AX226" s="3">
        <f>AW226</f>
        <v>411</v>
      </c>
      <c r="AY226" s="3">
        <f>AX226</f>
        <v>411</v>
      </c>
      <c r="AZ226" s="3">
        <f>AY226</f>
        <v>411</v>
      </c>
      <c r="BA226" s="3">
        <f>AZ226</f>
        <v>411</v>
      </c>
      <c r="BB226" s="3">
        <f>BA226</f>
        <v>411</v>
      </c>
      <c r="BC226" s="3">
        <f>BB226</f>
        <v>411</v>
      </c>
      <c r="BD226" s="3">
        <f>BC226</f>
        <v>411</v>
      </c>
      <c r="BE226" s="3">
        <f>BD226</f>
        <v>411</v>
      </c>
      <c r="BF226" s="3">
        <f>BE226</f>
        <v>411</v>
      </c>
      <c r="BG226" s="3">
        <f>BF226</f>
        <v>411</v>
      </c>
      <c r="BH226" s="3">
        <f>BG226</f>
        <v>411</v>
      </c>
      <c r="BI226" s="3">
        <f>BH226</f>
        <v>411</v>
      </c>
      <c r="BJ226" s="3">
        <f>BI226</f>
        <v>411</v>
      </c>
      <c r="BK226" s="3">
        <f>BJ226</f>
        <v>411</v>
      </c>
      <c r="BL226" s="3">
        <f>BK226</f>
        <v>411</v>
      </c>
      <c r="BM226" s="3">
        <f>BL226</f>
        <v>411</v>
      </c>
      <c r="BN226" s="3">
        <f>BM226</f>
        <v>411</v>
      </c>
      <c r="BO226" s="3">
        <f>BN226</f>
        <v>411</v>
      </c>
      <c r="BP226" s="3">
        <f>BO226</f>
        <v>411</v>
      </c>
      <c r="BQ226" s="3">
        <f>BP226</f>
        <v>411</v>
      </c>
      <c r="BR226" s="3">
        <f>BQ226</f>
        <v>411</v>
      </c>
      <c r="BS226" s="3">
        <f>BR226</f>
        <v>411</v>
      </c>
      <c r="BT226" s="3">
        <f>BS226</f>
        <v>411</v>
      </c>
      <c r="BU226" s="3">
        <f>BT226</f>
        <v>411</v>
      </c>
      <c r="BV226" s="3">
        <f>BU226</f>
        <v>411</v>
      </c>
      <c r="BW226" s="3">
        <f>BV226</f>
        <v>411</v>
      </c>
      <c r="BX226" s="3">
        <f>BW226</f>
        <v>411</v>
      </c>
      <c r="BY226" s="3">
        <f>BX226</f>
        <v>411</v>
      </c>
      <c r="BZ226" s="3">
        <f>BY226</f>
        <v>411</v>
      </c>
      <c r="CA226" s="3">
        <f>BZ226</f>
        <v>411</v>
      </c>
      <c r="CB226" s="3">
        <f>CA226</f>
        <v>411</v>
      </c>
      <c r="CC226" s="3">
        <f>CB226</f>
        <v>411</v>
      </c>
      <c r="CD226" s="3">
        <f>CC226</f>
        <v>411</v>
      </c>
      <c r="CE226" s="3">
        <f>CD226</f>
        <v>411</v>
      </c>
      <c r="CF226" s="3">
        <f>CE226</f>
        <v>411</v>
      </c>
      <c r="CG226" s="3">
        <f>CF226</f>
        <v>411</v>
      </c>
      <c r="CH226" s="3">
        <f>CG226</f>
        <v>411</v>
      </c>
      <c r="CI226" s="3">
        <f>CH226</f>
        <v>411</v>
      </c>
      <c r="CJ226" s="3">
        <f>CI226</f>
        <v>411</v>
      </c>
      <c r="CK226" s="3">
        <f>CJ226</f>
        <v>411</v>
      </c>
      <c r="CL226" s="3">
        <f>CK226</f>
        <v>411</v>
      </c>
      <c r="CM226" s="3">
        <f>CL226</f>
        <v>411</v>
      </c>
      <c r="CN226" s="3">
        <f>CM226</f>
        <v>411</v>
      </c>
      <c r="CO226" s="3">
        <f>CN226</f>
        <v>411</v>
      </c>
      <c r="CP226" s="3">
        <f>CO226</f>
        <v>411</v>
      </c>
      <c r="CQ226" s="3">
        <f>CP226</f>
        <v>411</v>
      </c>
      <c r="CR226" s="3">
        <f>CQ226</f>
        <v>411</v>
      </c>
      <c r="CS226" s="3">
        <f>CR226</f>
        <v>411</v>
      </c>
      <c r="CT226" s="3">
        <f>CS226</f>
        <v>411</v>
      </c>
      <c r="CU226" s="3">
        <f>CT226</f>
        <v>411</v>
      </c>
      <c r="CV226" s="3">
        <f>CU226</f>
        <v>411</v>
      </c>
      <c r="CW226" s="3">
        <f>CV226</f>
        <v>411</v>
      </c>
      <c r="CX226" s="3">
        <f>CW226</f>
        <v>411</v>
      </c>
      <c r="CY226" s="3">
        <f>CX226</f>
        <v>411</v>
      </c>
    </row>
    <row r="227">
      <c r="C227" s="26" t="inlineStr">
        <is>
          <t>Other non-current liabilities</t>
        </is>
      </c>
      <c r="D227" s="25">
        <f>INDEX('Inputs (2)'!$D$39:$AL$39,MATCH(D$7,'Inputs (2)'!$D$2:$AL$2,0))</f>
        <v>0</v>
      </c>
      <c r="E227" s="25">
        <f>INDEX('Inputs (2)'!$D$39:$AL$39,MATCH(E$7,'Inputs (2)'!$D$2:$AL$2,0))</f>
        <v>0</v>
      </c>
      <c r="F227" s="25">
        <f>INDEX('Inputs (2)'!$D$39:$AL$39,MATCH(F$7,'Inputs (2)'!$D$2:$AL$2,0))</f>
        <v>0</v>
      </c>
      <c r="G227" s="25">
        <f>INDEX('Inputs (2)'!$D$39:$AL$39,MATCH(G$7,'Inputs (2)'!$D$2:$AL$2,0))</f>
        <v>0</v>
      </c>
      <c r="H227" s="3">
        <f>G227</f>
        <v>0</v>
      </c>
      <c r="I227" s="25">
        <f>INDEX('Inputs (2)'!$D$39:$AL$39,MATCH(I$7,'Inputs (2)'!$D$2:$AL$2,0))</f>
        <v>0</v>
      </c>
      <c r="J227" s="25">
        <f>INDEX('Inputs (2)'!$D$39:$AL$39,MATCH(J$7,'Inputs (2)'!$D$2:$AL$2,0))</f>
        <v>0</v>
      </c>
      <c r="K227" s="25">
        <f>INDEX('Inputs (2)'!$D$39:$AL$39,MATCH(K$7,'Inputs (2)'!$D$2:$AL$2,0))</f>
        <v>0</v>
      </c>
      <c r="L227" s="25">
        <f>INDEX('Inputs (2)'!$D$39:$AL$39,MATCH(L$7,'Inputs (2)'!$D$2:$AL$2,0))</f>
        <v>0</v>
      </c>
      <c r="M227" s="3">
        <f>L227</f>
        <v>0</v>
      </c>
      <c r="N227" s="25">
        <f>INDEX('Inputs (2)'!$D$39:$AL$39,MATCH(N$7,'Inputs (2)'!$D$2:$AL$2,0))</f>
        <v>0</v>
      </c>
      <c r="O227" s="25">
        <f>INDEX('Inputs (2)'!$D$39:$AL$39,MATCH(O$7,'Inputs (2)'!$D$2:$AL$2,0))</f>
        <v>0</v>
      </c>
      <c r="P227" s="25">
        <f>INDEX('Inputs (2)'!$D$39:$AL$39,MATCH(P$7,'Inputs (2)'!$D$2:$AL$2,0))</f>
        <v>0</v>
      </c>
      <c r="Q227" s="25">
        <f>INDEX('Inputs (2)'!$D$39:$AL$39,MATCH(Q$7,'Inputs (2)'!$D$2:$AL$2,0))</f>
        <v>0</v>
      </c>
      <c r="R227" s="3">
        <f>Q227</f>
        <v>0</v>
      </c>
      <c r="S227" s="25">
        <f>INDEX('Inputs (2)'!$D$39:$AL$39,MATCH(S$7,'Inputs (2)'!$D$2:$AL$2,0))</f>
        <v>0</v>
      </c>
      <c r="T227" s="25">
        <f>INDEX('Inputs (2)'!$D$39:$AL$39,MATCH(T$7,'Inputs (2)'!$D$2:$AL$2,0))</f>
        <v>0</v>
      </c>
      <c r="U227" s="25">
        <f>INDEX('Inputs (2)'!$D$39:$AL$39,MATCH(U$7,'Inputs (2)'!$D$2:$AL$2,0))</f>
        <v>0</v>
      </c>
      <c r="V227" s="25">
        <f>INDEX('Inputs (2)'!$D$39:$AL$39,MATCH(V$7,'Inputs (2)'!$D$2:$AL$2,0))</f>
        <v>0</v>
      </c>
      <c r="W227" s="3">
        <f>V227</f>
        <v>0</v>
      </c>
      <c r="X227" s="25">
        <f>INDEX('Inputs (2)'!$D$39:$AL$39,MATCH(X$7,'Inputs (2)'!$D$2:$AL$2,0))</f>
        <v>0</v>
      </c>
      <c r="Y227" s="25">
        <f>INDEX('Inputs (2)'!$D$39:$AL$39,MATCH(Y$7,'Inputs (2)'!$D$2:$AL$2,0))</f>
        <v>0</v>
      </c>
      <c r="Z227" s="25">
        <f>INDEX('Inputs (2)'!$D$39:$AL$39,MATCH(Z$7,'Inputs (2)'!$D$2:$AL$2,0))</f>
        <v>0</v>
      </c>
      <c r="AA227" s="25">
        <f>INDEX('Inputs (2)'!$D$39:$AL$39,MATCH(AA$7,'Inputs (2)'!$D$2:$AL$2,0))</f>
        <v>0</v>
      </c>
      <c r="AB227" s="3">
        <f>AA227</f>
        <v>0</v>
      </c>
      <c r="AC227" s="25">
        <f>INDEX('Inputs (2)'!$D$39:$AL$39,MATCH(AC$7,'Inputs (2)'!$D$2:$AL$2,0))</f>
        <v>0</v>
      </c>
      <c r="AD227" s="25">
        <f>INDEX('Inputs (2)'!$D$39:$AL$39,MATCH(AD$7,'Inputs (2)'!$D$2:$AL$2,0))</f>
        <v>0</v>
      </c>
      <c r="AE227" s="25">
        <f>INDEX('Inputs (2)'!$D$39:$AL$39,MATCH(AE$7,'Inputs (2)'!$D$2:$AL$2,0))</f>
        <v>0</v>
      </c>
      <c r="AF227" s="25">
        <f>INDEX('Inputs (2)'!$D$39:$AL$39,MATCH(AF$7,'Inputs (2)'!$D$2:$AL$2,0))</f>
        <v>0</v>
      </c>
      <c r="AG227" s="3">
        <f>AF227</f>
        <v>0</v>
      </c>
      <c r="AH227" s="3">
        <f>INDEX('Inputs (2)'!$D$39:$AL$39,MATCH(AH$7,'Inputs (2)'!$D$2:$AL$2,0))</f>
        <v>0</v>
      </c>
      <c r="AI227" s="3">
        <f>INDEX('Inputs (2)'!$D$39:$AL$39,MATCH(AI$7,'Inputs (2)'!$D$2:$AL$2,0))</f>
        <v>0</v>
      </c>
      <c r="AJ227" s="3">
        <f>AI227</f>
        <v>0</v>
      </c>
      <c r="AK227" s="3">
        <f>AJ227</f>
        <v>0</v>
      </c>
      <c r="AL227" s="3">
        <f>AK227</f>
        <v>0</v>
      </c>
      <c r="AM227" s="3">
        <f>AL227</f>
        <v>0</v>
      </c>
      <c r="AN227" s="3">
        <f>AM227</f>
        <v>0</v>
      </c>
      <c r="AO227" s="3">
        <f>AN227</f>
        <v>0</v>
      </c>
      <c r="AP227" s="3">
        <f>AO227</f>
        <v>0</v>
      </c>
      <c r="AQ227" s="3">
        <f>AP227</f>
        <v>0</v>
      </c>
      <c r="AR227" s="3">
        <f>AQ227</f>
        <v>0</v>
      </c>
      <c r="AS227" s="3">
        <f>AR227</f>
        <v>0</v>
      </c>
      <c r="AT227" s="3">
        <f>AS227</f>
        <v>0</v>
      </c>
      <c r="AU227" s="3">
        <f>AT227</f>
        <v>0</v>
      </c>
      <c r="AV227" s="3">
        <f>AU227</f>
        <v>0</v>
      </c>
      <c r="AW227" s="3">
        <f>AV227</f>
        <v>0</v>
      </c>
      <c r="AX227" s="3">
        <f>AW227</f>
        <v>0</v>
      </c>
      <c r="AY227" s="3">
        <f>AX227</f>
        <v>0</v>
      </c>
      <c r="AZ227" s="3">
        <f>AY227</f>
        <v>0</v>
      </c>
      <c r="BA227" s="3">
        <f>AZ227</f>
        <v>0</v>
      </c>
      <c r="BB227" s="3">
        <f>BA227</f>
        <v>0</v>
      </c>
      <c r="BC227" s="3">
        <f>BB227</f>
        <v>0</v>
      </c>
      <c r="BD227" s="3">
        <f>BC227</f>
        <v>0</v>
      </c>
      <c r="BE227" s="3">
        <f>BD227</f>
        <v>0</v>
      </c>
      <c r="BF227" s="3">
        <f>BE227</f>
        <v>0</v>
      </c>
      <c r="BG227" s="3">
        <f>BF227</f>
        <v>0</v>
      </c>
      <c r="BH227" s="3">
        <f>BG227</f>
        <v>0</v>
      </c>
      <c r="BI227" s="3">
        <f>BH227</f>
        <v>0</v>
      </c>
      <c r="BJ227" s="3">
        <f>BI227</f>
        <v>0</v>
      </c>
      <c r="BK227" s="3">
        <f>BJ227</f>
        <v>0</v>
      </c>
      <c r="BL227" s="3">
        <f>BK227</f>
        <v>0</v>
      </c>
      <c r="BM227" s="3">
        <f>BL227</f>
        <v>0</v>
      </c>
      <c r="BN227" s="3">
        <f>BM227</f>
        <v>0</v>
      </c>
      <c r="BO227" s="3">
        <f>BN227</f>
        <v>0</v>
      </c>
      <c r="BP227" s="3">
        <f>BO227</f>
        <v>0</v>
      </c>
      <c r="BQ227" s="3">
        <f>BP227</f>
        <v>0</v>
      </c>
      <c r="BR227" s="3">
        <f>BQ227</f>
        <v>0</v>
      </c>
      <c r="BS227" s="3">
        <f>BR227</f>
        <v>0</v>
      </c>
      <c r="BT227" s="3">
        <f>BS227</f>
        <v>0</v>
      </c>
      <c r="BU227" s="3">
        <f>BT227</f>
        <v>0</v>
      </c>
      <c r="BV227" s="3">
        <f>BU227</f>
        <v>0</v>
      </c>
      <c r="BW227" s="3">
        <f>BV227</f>
        <v>0</v>
      </c>
      <c r="BX227" s="3">
        <f>BW227</f>
        <v>0</v>
      </c>
      <c r="BY227" s="3">
        <f>BX227</f>
        <v>0</v>
      </c>
      <c r="BZ227" s="3">
        <f>BY227</f>
        <v>0</v>
      </c>
      <c r="CA227" s="3">
        <f>BZ227</f>
        <v>0</v>
      </c>
      <c r="CB227" s="3">
        <f>CA227</f>
        <v>0</v>
      </c>
      <c r="CC227" s="3">
        <f>CB227</f>
        <v>0</v>
      </c>
      <c r="CD227" s="3">
        <f>CC227</f>
        <v>0</v>
      </c>
      <c r="CE227" s="3">
        <f>CD227</f>
        <v>0</v>
      </c>
      <c r="CF227" s="3">
        <f>CE227</f>
        <v>0</v>
      </c>
      <c r="CG227" s="3">
        <f>CF227</f>
        <v>0</v>
      </c>
      <c r="CH227" s="3">
        <f>CG227</f>
        <v>0</v>
      </c>
      <c r="CI227" s="3">
        <f>CH227</f>
        <v>0</v>
      </c>
      <c r="CJ227" s="3">
        <f>CI227</f>
        <v>0</v>
      </c>
      <c r="CK227" s="3">
        <f>CJ227</f>
        <v>0</v>
      </c>
      <c r="CL227" s="3">
        <f>CK227</f>
        <v>0</v>
      </c>
      <c r="CM227" s="3">
        <f>CL227</f>
        <v>0</v>
      </c>
      <c r="CN227" s="3">
        <f>CM227</f>
        <v>0</v>
      </c>
      <c r="CO227" s="3">
        <f>CN227</f>
        <v>0</v>
      </c>
      <c r="CP227" s="3">
        <f>CO227</f>
        <v>0</v>
      </c>
      <c r="CQ227" s="3">
        <f>CP227</f>
        <v>0</v>
      </c>
      <c r="CR227" s="3">
        <f>CQ227</f>
        <v>0</v>
      </c>
      <c r="CS227" s="3">
        <f>CR227</f>
        <v>0</v>
      </c>
      <c r="CT227" s="3">
        <f>CS227</f>
        <v>0</v>
      </c>
      <c r="CU227" s="3">
        <f>CT227</f>
        <v>0</v>
      </c>
      <c r="CV227" s="3">
        <f>CU227</f>
        <v>0</v>
      </c>
      <c r="CW227" s="3">
        <f>CV227</f>
        <v>0</v>
      </c>
      <c r="CX227" s="3">
        <f>CW227</f>
        <v>0</v>
      </c>
      <c r="CY227" s="3">
        <f>CX227</f>
        <v>0</v>
      </c>
    </row>
    <row r="228" hidden="1" outlineLevel="1" ht="12" customHeight="1">
      <c r="C228" s="38" t="inlineStr">
        <is>
          <t>%(Var.)</t>
        </is>
      </c>
      <c r="D228" s="3" t="n"/>
      <c r="E228" s="47" t="str">
        <f>IFERROR((E227-D227)/D227,"")</f>
        <v/>
      </c>
      <c r="F228" s="47" t="str">
        <f>IFERROR((F227-E227)/E227,"")</f>
        <v/>
      </c>
      <c r="G228" s="47" t="str">
        <f>IFERROR((G227-F227)/F227,"")</f>
        <v/>
      </c>
      <c r="H228" s="3" t="n"/>
      <c r="I228" s="47" t="str">
        <f>IFERROR((I227-H227)/H227,"")</f>
        <v/>
      </c>
      <c r="J228" s="47" t="str">
        <f>IFERROR((J227-I227)/I227,"")</f>
        <v/>
      </c>
      <c r="K228" s="47" t="str">
        <f>IFERROR((K227-J227)/J227,"")</f>
        <v/>
      </c>
      <c r="L228" s="47" t="str">
        <f>IFERROR((L227-K227)/K227,"")</f>
        <v/>
      </c>
      <c r="M228" s="3" t="n"/>
      <c r="N228" s="47" t="str">
        <f>IFERROR((N227-M227)/M227,"")</f>
        <v/>
      </c>
      <c r="O228" s="47" t="str">
        <f>IFERROR((O227-N227)/N227,"")</f>
        <v/>
      </c>
      <c r="P228" s="47" t="str">
        <f>IFERROR((P227-O227)/O227,"")</f>
        <v/>
      </c>
      <c r="Q228" s="47" t="str">
        <f>IFERROR((Q227-P227)/P227,"")</f>
        <v/>
      </c>
      <c r="R228" s="3" t="n"/>
      <c r="S228" s="47" t="str">
        <f>IFERROR((S227-R227)/R227,"")</f>
        <v/>
      </c>
      <c r="T228" s="47" t="str">
        <f>IFERROR((T227-S227)/S227,"")</f>
        <v/>
      </c>
      <c r="U228" s="47" t="str">
        <f>IFERROR((U227-T227)/T227,"")</f>
        <v/>
      </c>
      <c r="V228" s="47" t="str">
        <f>IFERROR((V227-U227)/U227,"")</f>
        <v/>
      </c>
      <c r="W228" s="3" t="n"/>
      <c r="X228" s="47" t="str">
        <f>IFERROR((X227-W227)/W227,"")</f>
        <v/>
      </c>
      <c r="Y228" s="47" t="str">
        <f>IFERROR((Y227-X227)/X227,"")</f>
        <v/>
      </c>
      <c r="Z228" s="47" t="str">
        <f>IFERROR((Z227-Y227)/Y227,"")</f>
        <v/>
      </c>
      <c r="AA228" s="47" t="str">
        <f>IFERROR((AA227-Z227)/Z227,"")</f>
        <v/>
      </c>
      <c r="AB228" s="3" t="n"/>
      <c r="AC228" s="47" t="str">
        <f>IFERROR((AC227-AB227)/AB227,"")</f>
        <v/>
      </c>
      <c r="AD228" s="47" t="str">
        <f>IFERROR((AD227-AC227)/AC227,"")</f>
        <v/>
      </c>
      <c r="AE228" s="47" t="str">
        <f>IFERROR((AE227-AD227)/AD227,"")</f>
        <v/>
      </c>
      <c r="AF228" s="230" t="str">
        <f>IFERROR((AF227-AE227)/AE227,"")</f>
        <v/>
      </c>
      <c r="AG228" s="3" t="n"/>
      <c r="AH228" s="230" t="str">
        <f>IFERROR((AH227-AG227)/AG227,"")</f>
        <v/>
      </c>
      <c r="AI228" s="230" t="str">
        <f>IFERROR((AI227-AH227)/AH227,"")</f>
        <v/>
      </c>
      <c r="AJ228" s="230" t="n"/>
      <c r="AK228" s="230" t="n"/>
      <c r="AL228" s="3" t="n"/>
      <c r="AM228" s="230" t="n"/>
      <c r="AN228" s="230" t="n"/>
      <c r="AO228" s="230" t="n"/>
      <c r="AP228" s="230" t="n"/>
      <c r="AQ228" s="3" t="n"/>
      <c r="AR228" s="230" t="n"/>
      <c r="AS228" s="230" t="n"/>
      <c r="AT228" s="230" t="n"/>
      <c r="AU228" s="230" t="n"/>
      <c r="AV228" s="3" t="n"/>
      <c r="AW228" s="230" t="n"/>
      <c r="AX228" s="230" t="n"/>
      <c r="AY228" s="230" t="n"/>
      <c r="AZ228" s="230" t="n"/>
      <c r="BA228" s="3" t="n"/>
      <c r="BB228" s="230" t="n"/>
      <c r="BC228" s="230" t="n"/>
      <c r="BD228" s="230" t="n"/>
      <c r="BE228" s="230" t="n"/>
      <c r="BF228" s="3" t="n"/>
      <c r="BG228" s="230" t="n"/>
      <c r="BH228" s="230" t="n"/>
      <c r="BI228" s="230" t="n"/>
      <c r="BJ228" s="230" t="n"/>
      <c r="BK228" s="3" t="n"/>
      <c r="BL228" s="230" t="n"/>
      <c r="BM228" s="230" t="n"/>
      <c r="BN228" s="230" t="n"/>
      <c r="BO228" s="230" t="n"/>
      <c r="BP228" s="3" t="n"/>
      <c r="BQ228" s="230" t="n"/>
      <c r="BR228" s="230" t="n"/>
      <c r="BS228" s="230" t="n"/>
      <c r="BT228" s="230" t="n"/>
      <c r="BU228" s="3" t="n"/>
      <c r="BV228" s="230" t="n"/>
      <c r="BW228" s="230" t="n"/>
      <c r="BX228" s="230" t="n"/>
      <c r="BY228" s="230" t="n"/>
      <c r="BZ228" s="3" t="n"/>
      <c r="CA228" s="230" t="n"/>
      <c r="CB228" s="230" t="n"/>
      <c r="CC228" s="230" t="n"/>
      <c r="CD228" s="230" t="n"/>
      <c r="CE228" s="3" t="n"/>
      <c r="CF228" s="230" t="n"/>
      <c r="CG228" s="230" t="n"/>
      <c r="CH228" s="230" t="n"/>
      <c r="CI228" s="230" t="n"/>
      <c r="CJ228" s="3" t="n"/>
      <c r="CK228" s="230" t="n"/>
      <c r="CL228" s="230" t="n"/>
      <c r="CM228" s="230" t="n"/>
      <c r="CN228" s="230" t="n"/>
      <c r="CO228" s="3" t="n"/>
      <c r="CP228" s="230" t="n"/>
      <c r="CQ228" s="230" t="n"/>
      <c r="CR228" s="230" t="n"/>
      <c r="CS228" s="230" t="n"/>
      <c r="CT228" s="3" t="n"/>
      <c r="CU228" s="230" t="n"/>
      <c r="CV228" s="230" t="n"/>
      <c r="CW228" s="230" t="n"/>
      <c r="CX228" s="230" t="n"/>
      <c r="CY228" s="3" t="n"/>
    </row>
    <row r="229" hidden="1" outlineLevel="1" ht="12" customHeight="1">
      <c r="C229" s="38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  <c r="CU229" s="3" t="n"/>
      <c r="CV229" s="3" t="n"/>
      <c r="CW229" s="3" t="n"/>
      <c r="CX229" s="3" t="n"/>
      <c r="CY229" s="3" t="n"/>
    </row>
    <row r="230" hidden="1" outlineLevel="1">
      <c r="C230" s="34" t="inlineStr">
        <is>
          <t>Contas a pagar pela aquisição de controladas</t>
        </is>
      </c>
      <c r="D230" s="6" t="n"/>
      <c r="E230" s="6" t="n"/>
      <c r="F230" s="6" t="n"/>
      <c r="G230" s="6" t="n"/>
      <c r="H230" s="3" t="n"/>
      <c r="I230" s="6" t="n"/>
      <c r="J230" s="6" t="n"/>
      <c r="K230" s="6" t="n"/>
      <c r="L230" s="6" t="n"/>
      <c r="M230" s="3" t="n"/>
      <c r="N230" s="6" t="n"/>
      <c r="O230" s="6" t="n"/>
      <c r="P230" s="6" t="n"/>
      <c r="Q230" s="6" t="n"/>
      <c r="R230" s="3" t="n"/>
      <c r="S230" s="6" t="n"/>
      <c r="T230" s="6" t="n"/>
      <c r="U230" s="6" t="n"/>
      <c r="V230" s="6" t="n"/>
      <c r="W230" s="3" t="n"/>
      <c r="X230" s="6" t="n"/>
      <c r="Y230" s="6" t="n"/>
      <c r="Z230" s="6" t="n"/>
      <c r="AA230" s="6" t="n"/>
      <c r="AB230" s="3" t="n"/>
      <c r="AC230" s="6" t="n"/>
      <c r="AD230" s="6" t="n"/>
      <c r="AE230" s="6" t="n"/>
      <c r="AF230" s="6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inlineStr">
        <is>
          <t xml:space="preserve">Outras Obrigações </t>
        </is>
      </c>
      <c r="D231" s="6" t="n"/>
      <c r="E231" s="6" t="n"/>
      <c r="F231" s="6" t="n"/>
      <c r="G231" s="6" t="n"/>
      <c r="H231" s="3" t="n"/>
      <c r="I231" s="6" t="n"/>
      <c r="J231" s="6" t="n"/>
      <c r="K231" s="6" t="n"/>
      <c r="L231" s="6" t="n"/>
      <c r="M231" s="3" t="n"/>
      <c r="N231" s="6" t="n"/>
      <c r="O231" s="6" t="n"/>
      <c r="P231" s="6" t="n"/>
      <c r="Q231" s="6" t="n"/>
      <c r="R231" s="3" t="n"/>
      <c r="S231" s="6" t="n"/>
      <c r="T231" s="6" t="n"/>
      <c r="U231" s="6" t="n"/>
      <c r="V231" s="6" t="n"/>
      <c r="W231" s="3" t="n"/>
      <c r="X231" s="6" t="n"/>
      <c r="Y231" s="6" t="n"/>
      <c r="Z231" s="6" t="n"/>
      <c r="AA231" s="6" t="n"/>
      <c r="AB231" s="3" t="n"/>
      <c r="AC231" s="6" t="n"/>
      <c r="AD231" s="6" t="n"/>
      <c r="AE231" s="6" t="n"/>
      <c r="AF231" s="6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  <c r="CU231" s="3" t="n"/>
      <c r="CV231" s="3" t="n"/>
      <c r="CW231" s="3" t="n"/>
      <c r="CX231" s="3" t="n"/>
      <c r="CY231" s="3" t="n"/>
    </row>
    <row r="232" hidden="1" outlineLevel="1">
      <c r="C232" s="34" t="inlineStr">
        <is>
          <t xml:space="preserve">Provisão de Risco Cíveis, Trabalhistas e Tributários </t>
        </is>
      </c>
      <c r="D232" s="6" t="n"/>
      <c r="E232" s="6" t="n"/>
      <c r="F232" s="6" t="n"/>
      <c r="G232" s="6" t="n"/>
      <c r="H232" s="3" t="n"/>
      <c r="I232" s="6" t="n"/>
      <c r="J232" s="6" t="n"/>
      <c r="K232" s="6" t="n"/>
      <c r="L232" s="6" t="n"/>
      <c r="M232" s="3" t="n"/>
      <c r="N232" s="6" t="n"/>
      <c r="O232" s="6" t="n"/>
      <c r="P232" s="6" t="n"/>
      <c r="Q232" s="6" t="n"/>
      <c r="R232" s="3" t="n"/>
      <c r="S232" s="6" t="n"/>
      <c r="T232" s="6" t="n"/>
      <c r="U232" s="6" t="n"/>
      <c r="V232" s="6" t="n"/>
      <c r="W232" s="3" t="n"/>
      <c r="X232" s="6" t="n"/>
      <c r="Y232" s="6" t="n"/>
      <c r="Z232" s="6" t="n"/>
      <c r="AA232" s="6" t="n"/>
      <c r="AB232" s="3" t="n"/>
      <c r="AC232" s="6" t="n"/>
      <c r="AD232" s="6" t="n"/>
      <c r="AE232" s="6" t="n"/>
      <c r="AF232" s="6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  <c r="CU232" s="3" t="n"/>
      <c r="CV232" s="3" t="n"/>
      <c r="CW232" s="3" t="n"/>
      <c r="CX232" s="3" t="n"/>
      <c r="CY232" s="3" t="n"/>
    </row>
    <row r="233" hidden="1" outlineLevel="1">
      <c r="C233" s="3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  <c r="CU233" s="3" t="n"/>
      <c r="CV233" s="3" t="n"/>
      <c r="CW233" s="3" t="n"/>
      <c r="CX233" s="3" t="n"/>
      <c r="CY233" s="3" t="n"/>
    </row>
    <row r="234" collapsed="1" customFormat="1" s="17">
      <c r="A234" s="13" t="n"/>
      <c r="B234" s="13" t="n"/>
      <c r="C234" s="27" t="inlineStr">
        <is>
          <t>Total Liabilities</t>
        </is>
      </c>
      <c r="D234" s="16">
        <f>SUM(D185+D189+D191+D192+D199+D200+D201+D204+D222+D225+D226+D227)</f>
        <v>65461</v>
      </c>
      <c r="E234" s="16">
        <f>SUM(E185+E189+E191+E192+E199+E200+E201+E204+E222+E225+E226+E227)</f>
        <v>64373</v>
      </c>
      <c r="F234" s="16">
        <f>SUM(F185+F189+F191+F192+F199+F200+F201+F204+F222+F225+F226+F227)</f>
        <v>62147</v>
      </c>
      <c r="G234" s="16">
        <f>SUM(G185+G189+G191+G192+G199+G200+G201+G204+G222+G225+G226+G227)</f>
        <v>61394</v>
      </c>
      <c r="H234" s="16">
        <f>SUM(H185,H189,H191,H192,H199,H200,H204,H201,H222,H225,H226,H227)</f>
        <v>61394</v>
      </c>
      <c r="I234" s="16">
        <f>SUM(I185+I189+I191+I192+I199+I200+I201+I204+I222+I225+I226+I227)</f>
        <v>63883</v>
      </c>
      <c r="J234" s="16">
        <f>SUM(J185+J189+J191+J192+J199+J200+J201+J204+J222+J225+J226+J227)</f>
        <v>64955</v>
      </c>
      <c r="K234" s="16">
        <f>SUM(K185+K189+K191+K192+K199+K200+K201+K204+K222+K225+K226+K227)</f>
        <v>65680</v>
      </c>
      <c r="L234" s="16">
        <f>SUM(L185+L189+L191+L192+L199+L200+L201+L204+L222+L225+L226+L227)</f>
        <v>61806</v>
      </c>
      <c r="M234" s="16">
        <f>SUM(M185,M189,M191,M192,M199,M200,M204,M201,M222,M225,M226,M227)</f>
        <v>61806</v>
      </c>
      <c r="N234" s="16">
        <f>SUM(N185+N189+N191+N192+N199+N200+N201+N204+N222+N225+N226+N227)</f>
        <v>65093</v>
      </c>
      <c r="O234" s="16">
        <f>SUM(O185+O189+O191+O192+O199+O200+O201+O204+O222+O225+O226+O227)</f>
        <v>67686</v>
      </c>
      <c r="P234" s="16">
        <f>SUM(P185+P189+P191+P192+P199+P200+P201+P204+P222+P225+P226+P227)</f>
        <v>69673</v>
      </c>
      <c r="Q234" s="16">
        <f>SUM(Q185+Q189+Q191+Q192+Q199+Q200+Q201+Q204+Q222+Q225+Q226+Q227)</f>
        <v>70184</v>
      </c>
      <c r="R234" s="16">
        <f>SUM(R185,R189,R191,R192,R199,R200,R204,R201,R222,R225,R226,R227)</f>
        <v>70184</v>
      </c>
      <c r="S234" s="16">
        <f>SUM(S185+S189+S191+S192+S199+S200+S201+S204+S222+S225+S226+S227)</f>
        <v>75846</v>
      </c>
      <c r="T234" s="16">
        <f>SUM(T185+T189+T191+T192+T199+T200+T201+T204+T222+T225+T226+T227)</f>
        <v>80245</v>
      </c>
      <c r="U234" s="16">
        <f>SUM(U185+U189+U191+U192+U199+U200+U201+U204+U222+U225+U226+U227)</f>
        <v>82201</v>
      </c>
      <c r="V234" s="16">
        <f>SUM(V185+V189+V191+V192+V199+V200+V201+V204+V222+V225+V226+V227)</f>
        <v>79192</v>
      </c>
      <c r="W234" s="16">
        <f>SUM(W185,W189,W191,W192,W199,W200,W204,W201,W222,W225,W226,W227)</f>
        <v>79192</v>
      </c>
      <c r="X234" s="16">
        <f>SUM(X185+X189+X191+X192+X199+X200+X201+X204+X222+X225+X226+X227)</f>
        <v>82842</v>
      </c>
      <c r="Y234" s="16">
        <f>SUM(Y185+Y189+Y191+Y192+Y199+Y200+Y201+Y204+Y222+Y225+Y226+Y227)</f>
        <v>84692</v>
      </c>
      <c r="Z234" s="16">
        <f>SUM(Z185+Z189+Z191+Z192+Z199+Z200+Z201+Z204+Z222+Z225+Z226+Z227)</f>
        <v>84395</v>
      </c>
      <c r="AA234" s="16">
        <f>SUM(AA185+AA189+AA191+AA192+AA199+AA200+AA201+AA204+AA222+AA225+AA226+AA227)</f>
        <v>80555</v>
      </c>
      <c r="AB234" s="16">
        <f>SUM(AB185,AB189,AB191,AB192,AB199,AB200,AB204,AB201,AB222,AB225,AB226,AB227)</f>
        <v>80555</v>
      </c>
      <c r="AC234" s="16">
        <f>SUM(AC185+AC189+AC191+AC192+AC199+AC200+AC201+AC204+AC222+AC225+AC226+AC227)</f>
        <v>81925</v>
      </c>
      <c r="AD234" s="16">
        <f>SUM(AD185+AD189+AD191+AD192+AD199+AD200+AD201+AD204+AD222+AD225+AD226+AD227)</f>
        <v>82553</v>
      </c>
      <c r="AE234" s="16">
        <f>SUM(AE185+AE189+AE191+AE192+AE199+AE200+AE201+AE204+AE222+AE225+AE226+AE227)</f>
        <v>79989</v>
      </c>
      <c r="AF234" s="16">
        <f>SUM(AF185+AF189+AF191+AF192+AF199+AF200+AF201+AF204+AF222+AF225+AF226+AF227)</f>
        <v>77079</v>
      </c>
      <c r="AG234" s="16">
        <f>SUM(AG185,AG189,AG191,AG192,AG199,AG200,AG204,AG201,AG222,AG225,AG226,AG227)</f>
        <v>77079</v>
      </c>
      <c r="AH234" s="16">
        <f>SUM(AH185+AH189+AH191+AH192+AH199+AH200+AH201+AH204+AH222+AH225+AH226+AH227)</f>
        <v>79541</v>
      </c>
      <c r="AI234" s="16">
        <f>SUM(AI185+AI189+AI191+AI192+AI199+AI200+AI201+AI204+AI222+AI225+AI226+AI227)</f>
        <v>79566</v>
      </c>
      <c r="AJ234" s="16">
        <f>SUM(AJ185+AJ189+AJ191+AJ192+AJ199+AJ200+AJ201+AJ204+AJ222+AJ225+AJ226+AJ227)</f>
        <v>79566</v>
      </c>
      <c r="AK234" s="16">
        <f>SUM(AK185+AK189+AK191+AK192+AK199+AK200+AK201+AK204+AK222+AK225+AK226+AK227)</f>
        <v>79566</v>
      </c>
      <c r="AL234" s="16">
        <f>SUM(AL185,AL189,AL191,AL192,AL199,AL200,AL204,AL201,AL222,AL225,AL226,AL227)</f>
        <v>79566</v>
      </c>
      <c r="AM234" s="16" t="e">
        <f>SUM(AM185+AM189+AM191+AM192+AM199+AM200+AM201+AM204+AM222+AM225+AM226+AM227)</f>
        <v>#DIV/0!</v>
      </c>
      <c r="AN234" s="16">
        <f>SUM(AN185+AN189+AN191+AN192+AN199+AN200+AN201+AN204+AN222+AN225+AN226+AN227)</f>
        <v>79566</v>
      </c>
      <c r="AO234" s="16" t="e">
        <f>SUM(AO185+AO189+AO191+AO192+AO199+AO200+AO201+AO204+AO222+AO225+AO226+AO227)</f>
        <v>#DIV/0!</v>
      </c>
      <c r="AP234" s="16" t="e">
        <f>SUM(AP185+AP189+AP191+AP192+AP199+AP200+AP201+AP204+AP222+AP225+AP226+AP227)</f>
        <v>#DIV/0!</v>
      </c>
      <c r="AQ234" s="16" t="e">
        <f>SUM(AQ185,AQ189,AQ191,AQ192,AQ199,AQ200,AQ204,AQ201,AQ222,AQ225,AQ226,AQ227)</f>
        <v>#DIV/0!</v>
      </c>
      <c r="AR234" s="16" t="e">
        <f>SUM(AR185+AR189+AR191+AR192+AR199+AR200+AR201+AR204+AR222+AR225+AR226+AR227)</f>
        <v>#DIV/0!</v>
      </c>
      <c r="AS234" s="16" t="e">
        <f>SUM(AS185+AS189+AS191+AS192+AS199+AS200+AS201+AS204+AS222+AS225+AS226+AS227)</f>
        <v>#DIV/0!</v>
      </c>
      <c r="AT234" s="16" t="e">
        <f>SUM(AT185+AT189+AT191+AT192+AT199+AT200+AT201+AT204+AT222+AT225+AT226+AT227)</f>
        <v>#DIV/0!</v>
      </c>
      <c r="AU234" s="16" t="e">
        <f>SUM(AU185+AU189+AU191+AU192+AU199+AU200+AU201+AU204+AU222+AU225+AU226+AU227)</f>
        <v>#DIV/0!</v>
      </c>
      <c r="AV234" s="16" t="e">
        <f>SUM(AV185,AV189,AV191,AV192,AV199,AV200,AV204,AV201,AV222,AV225,AV226,AV227)</f>
        <v>#DIV/0!</v>
      </c>
      <c r="AW234" s="16" t="e">
        <f>SUM(AW185+AW189+AW191+AW192+AW199+AW200+AW201+AW204+AW222+AW225+AW226+AW227)</f>
        <v>#DIV/0!</v>
      </c>
      <c r="AX234" s="16" t="e">
        <f>SUM(AX185+AX189+AX191+AX192+AX199+AX200+AX201+AX204+AX222+AX225+AX226+AX227)</f>
        <v>#DIV/0!</v>
      </c>
      <c r="AY234" s="16" t="e">
        <f>SUM(AY185+AY189+AY191+AY192+AY199+AY200+AY201+AY204+AY222+AY225+AY226+AY227)</f>
        <v>#DIV/0!</v>
      </c>
      <c r="AZ234" s="16" t="e">
        <f>SUM(AZ185+AZ189+AZ191+AZ192+AZ199+AZ200+AZ201+AZ204+AZ222+AZ225+AZ226+AZ227)</f>
        <v>#DIV/0!</v>
      </c>
      <c r="BA234" s="16" t="e">
        <f>SUM(BA185,BA189,BA191,BA192,BA199,BA200,BA204,BA201,BA222,BA225,BA226,BA227)</f>
        <v>#DIV/0!</v>
      </c>
      <c r="BB234" s="16" t="e">
        <f>SUM(BB185+BB189+BB191+BB192+BB199+BB200+BB201+BB204+BB222+BB225+BB226+BB227)</f>
        <v>#DIV/0!</v>
      </c>
      <c r="BC234" s="16" t="e">
        <f>SUM(BC185+BC189+BC191+BC192+BC199+BC200+BC201+BC204+BC222+BC225+BC226+BC227)</f>
        <v>#DIV/0!</v>
      </c>
      <c r="BD234" s="16" t="e">
        <f>SUM(BD185+BD189+BD191+BD192+BD199+BD200+BD201+BD204+BD222+BD225+BD226+BD227)</f>
        <v>#DIV/0!</v>
      </c>
      <c r="BE234" s="16" t="e">
        <f>SUM(BE185+BE189+BE191+BE192+BE199+BE200+BE201+BE204+BE222+BE225+BE226+BE227)</f>
        <v>#DIV/0!</v>
      </c>
      <c r="BF234" s="16" t="e">
        <f>SUM(BF185,BF189,BF191,BF192,BF199,BF200,BF204,BF201,BF222,BF225,BF226,BF227)</f>
        <v>#DIV/0!</v>
      </c>
      <c r="BG234" s="16" t="e">
        <f>SUM(BG185+BG189+BG191+BG192+BG199+BG200+BG201+BG204+BG222+BG225+BG226+BG227)</f>
        <v>#DIV/0!</v>
      </c>
      <c r="BH234" s="16" t="e">
        <f>SUM(BH185+BH189+BH191+BH192+BH199+BH200+BH201+BH204+BH222+BH225+BH226+BH227)</f>
        <v>#DIV/0!</v>
      </c>
      <c r="BI234" s="16" t="e">
        <f>SUM(BI185+BI189+BI191+BI192+BI199+BI200+BI201+BI204+BI222+BI225+BI226+BI227)</f>
        <v>#DIV/0!</v>
      </c>
      <c r="BJ234" s="16" t="e">
        <f>SUM(BJ185+BJ189+BJ191+BJ192+BJ199+BJ200+BJ201+BJ204+BJ222+BJ225+BJ226+BJ227)</f>
        <v>#DIV/0!</v>
      </c>
      <c r="BK234" s="16" t="e">
        <f>SUM(BK185,BK189,BK191,BK192,BK199,BK200,BK204,BK201,BK222,BK225,BK226,BK227)</f>
        <v>#DIV/0!</v>
      </c>
      <c r="BL234" s="16" t="e">
        <f>SUM(BL185+BL189+BL191+BL192+BL199+BL200+BL201+BL204+BL222+BL225+BL226+BL227)</f>
        <v>#DIV/0!</v>
      </c>
      <c r="BM234" s="16" t="e">
        <f>SUM(BM185+BM189+BM191+BM192+BM199+BM200+BM201+BM204+BM222+BM225+BM226+BM227)</f>
        <v>#DIV/0!</v>
      </c>
      <c r="BN234" s="16" t="e">
        <f>SUM(BN185+BN189+BN191+BN192+BN199+BN200+BN201+BN204+BN222+BN225+BN226+BN227)</f>
        <v>#DIV/0!</v>
      </c>
      <c r="BO234" s="16" t="e">
        <f>SUM(BO185+BO189+BO191+BO192+BO199+BO200+BO201+BO204+BO222+BO225+BO226+BO227)</f>
        <v>#DIV/0!</v>
      </c>
      <c r="BP234" s="16" t="e">
        <f>SUM(BP185,BP189,BP191,BP192,BP199,BP200,BP204,BP201,BP222,BP225,BP226,BP227)</f>
        <v>#DIV/0!</v>
      </c>
      <c r="BQ234" s="16" t="e">
        <f>SUM(BQ185+BQ189+BQ191+BQ192+BQ199+BQ200+BQ201+BQ204+BQ222+BQ225+BQ226+BQ227)</f>
        <v>#DIV/0!</v>
      </c>
      <c r="BR234" s="16" t="e">
        <f>SUM(BR185+BR189+BR191+BR192+BR199+BR200+BR201+BR204+BR222+BR225+BR226+BR227)</f>
        <v>#DIV/0!</v>
      </c>
      <c r="BS234" s="16" t="e">
        <f>SUM(BS185+BS189+BS191+BS192+BS199+BS200+BS201+BS204+BS222+BS225+BS226+BS227)</f>
        <v>#DIV/0!</v>
      </c>
      <c r="BT234" s="16" t="e">
        <f>SUM(BT185+BT189+BT191+BT192+BT199+BT200+BT201+BT204+BT222+BT225+BT226+BT227)</f>
        <v>#DIV/0!</v>
      </c>
      <c r="BU234" s="16" t="e">
        <f>SUM(BU185,BU189,BU191,BU192,BU199,BU200,BU204,BU201,BU222,BU225,BU226,BU227)</f>
        <v>#DIV/0!</v>
      </c>
      <c r="BV234" s="16" t="e">
        <f>SUM(BV185+BV189+BV191+BV192+BV199+BV200+BV201+BV204+BV222+BV225+BV226+BV227)</f>
        <v>#DIV/0!</v>
      </c>
      <c r="BW234" s="16" t="e">
        <f>SUM(BW185+BW189+BW191+BW192+BW199+BW200+BW201+BW204+BW222+BW225+BW226+BW227)</f>
        <v>#DIV/0!</v>
      </c>
      <c r="BX234" s="16" t="e">
        <f>SUM(BX185+BX189+BX191+BX192+BX199+BX200+BX201+BX204+BX222+BX225+BX226+BX227)</f>
        <v>#DIV/0!</v>
      </c>
      <c r="BY234" s="16" t="e">
        <f>SUM(BY185+BY189+BY191+BY192+BY199+BY200+BY201+BY204+BY222+BY225+BY226+BY227)</f>
        <v>#DIV/0!</v>
      </c>
      <c r="BZ234" s="16" t="e">
        <f>SUM(BZ185,BZ189,BZ191,BZ192,BZ199,BZ200,BZ204,BZ201,BZ222,BZ225,BZ226,BZ227)</f>
        <v>#DIV/0!</v>
      </c>
      <c r="CA234" s="16" t="e">
        <f>SUM(CA185+CA189+CA191+CA192+CA199+CA200+CA201+CA204+CA222+CA225+CA226+CA227)</f>
        <v>#DIV/0!</v>
      </c>
      <c r="CB234" s="16" t="e">
        <f>SUM(CB185+CB189+CB191+CB192+CB199+CB200+CB201+CB204+CB222+CB225+CB226+CB227)</f>
        <v>#DIV/0!</v>
      </c>
      <c r="CC234" s="16" t="e">
        <f>SUM(CC185+CC189+CC191+CC192+CC199+CC200+CC201+CC204+CC222+CC225+CC226+CC227)</f>
        <v>#DIV/0!</v>
      </c>
      <c r="CD234" s="16" t="e">
        <f>SUM(CD185+CD189+CD191+CD192+CD199+CD200+CD201+CD204+CD222+CD225+CD226+CD227)</f>
        <v>#DIV/0!</v>
      </c>
      <c r="CE234" s="16" t="e">
        <f>SUM(CE185,CE189,CE191,CE192,CE199,CE200,CE204,CE201,CE222,CE225,CE226,CE227)</f>
        <v>#DIV/0!</v>
      </c>
      <c r="CF234" s="16" t="e">
        <f>SUM(CF185+CF189+CF191+CF192+CF199+CF200+CF201+CF204+CF222+CF225+CF226+CF227)</f>
        <v>#DIV/0!</v>
      </c>
      <c r="CG234" s="16" t="e">
        <f>SUM(CG185+CG189+CG191+CG192+CG199+CG200+CG201+CG204+CG222+CG225+CG226+CG227)</f>
        <v>#DIV/0!</v>
      </c>
      <c r="CH234" s="16" t="e">
        <f>SUM(CH185+CH189+CH191+CH192+CH199+CH200+CH201+CH204+CH222+CH225+CH226+CH227)</f>
        <v>#DIV/0!</v>
      </c>
      <c r="CI234" s="16" t="e">
        <f>SUM(CI185+CI189+CI191+CI192+CI199+CI200+CI201+CI204+CI222+CI225+CI226+CI227)</f>
        <v>#DIV/0!</v>
      </c>
      <c r="CJ234" s="16" t="e">
        <f>SUM(CJ185,CJ189,CJ191,CJ192,CJ199,CJ200,CJ204,CJ201,CJ222,CJ225,CJ226,CJ227)</f>
        <v>#DIV/0!</v>
      </c>
      <c r="CK234" s="16" t="e">
        <f>SUM(CK185+CK189+CK191+CK192+CK199+CK200+CK201+CK204+CK222+CK225+CK226+CK227)</f>
        <v>#DIV/0!</v>
      </c>
      <c r="CL234" s="16" t="e">
        <f>SUM(CL185+CL189+CL191+CL192+CL199+CL200+CL201+CL204+CL222+CL225+CL226+CL227)</f>
        <v>#DIV/0!</v>
      </c>
      <c r="CM234" s="16" t="e">
        <f>SUM(CM185+CM189+CM191+CM192+CM199+CM200+CM201+CM204+CM222+CM225+CM226+CM227)</f>
        <v>#DIV/0!</v>
      </c>
      <c r="CN234" s="16" t="e">
        <f>SUM(CN185+CN189+CN191+CN192+CN199+CN200+CN201+CN204+CN222+CN225+CN226+CN227)</f>
        <v>#DIV/0!</v>
      </c>
      <c r="CO234" s="16" t="e">
        <f>SUM(CO185,CO189,CO191,CO192,CO199,CO200,CO204,CO201,CO222,CO225,CO226,CO227)</f>
        <v>#DIV/0!</v>
      </c>
      <c r="CP234" s="16" t="e">
        <f>SUM(CP185+CP189+CP191+CP192+CP199+CP200+CP201+CP204+CP222+CP225+CP226+CP227)</f>
        <v>#DIV/0!</v>
      </c>
      <c r="CQ234" s="16" t="e">
        <f>SUM(CQ185+CQ189+CQ191+CQ192+CQ199+CQ200+CQ201+CQ204+CQ222+CQ225+CQ226+CQ227)</f>
        <v>#DIV/0!</v>
      </c>
      <c r="CR234" s="16" t="e">
        <f>SUM(CR185+CR189+CR191+CR192+CR199+CR200+CR201+CR204+CR222+CR225+CR226+CR227)</f>
        <v>#DIV/0!</v>
      </c>
      <c r="CS234" s="16" t="e">
        <f>SUM(CS185+CS189+CS191+CS192+CS199+CS200+CS201+CS204+CS222+CS225+CS226+CS227)</f>
        <v>#DIV/0!</v>
      </c>
      <c r="CT234" s="16" t="e">
        <f>SUM(CT185,CT189,CT191,CT192,CT199,CT200,CT204,CT201,CT222,CT225,CT226,CT227)</f>
        <v>#DIV/0!</v>
      </c>
      <c r="CU234" s="16" t="e">
        <f>SUM(CU185+CU189+CU191+CU192+CU199+CU200+CU201+CU204+CU222+CU225+CU226+CU227)</f>
        <v>#DIV/0!</v>
      </c>
      <c r="CV234" s="16" t="e">
        <f>SUM(CV185+CV189+CV191+CV192+CV199+CV200+CV201+CV204+CV222+CV225+CV226+CV227)</f>
        <v>#DIV/0!</v>
      </c>
      <c r="CW234" s="16" t="e">
        <f>SUM(CW185+CW189+CW191+CW192+CW199+CW200+CW201+CW204+CW222+CW225+CW226+CW227)</f>
        <v>#DIV/0!</v>
      </c>
      <c r="CX234" s="16" t="e">
        <f>SUM(CX185+CX189+CX191+CX192+CX199+CX200+CX201+CX204+CX222+CX225+CX226+CX227)</f>
        <v>#DIV/0!</v>
      </c>
      <c r="CY234" s="16" t="e">
        <f>SUM(CY185,CY189,CY191,CY192,CY199,CY200,CY204,CY201,CY222,CY225,CY226,CY227)</f>
        <v>#DIV/0!</v>
      </c>
    </row>
    <row r="235">
      <c r="C235" s="26" t="inlineStr">
        <is>
          <t>Minority interest</t>
        </is>
      </c>
      <c r="D235" s="25">
        <f>INDEX('Inputs (2)'!$D$41:$AL$41,MATCH(D$7,'Inputs (2)'!$D$2:$AL$2,0))</f>
        <v>1</v>
      </c>
      <c r="E235" s="25">
        <f>INDEX('Inputs (2)'!$D$41:$AL$41,MATCH(E$7,'Inputs (2)'!$D$2:$AL$2,0))</f>
        <v>3</v>
      </c>
      <c r="F235" s="25">
        <f>INDEX('Inputs (2)'!$D$41:$AL$41,MATCH(F$7,'Inputs (2)'!$D$2:$AL$2,0))</f>
        <v>7</v>
      </c>
      <c r="G235" s="25">
        <f>INDEX('Inputs (2)'!$D$41:$AL$41,MATCH(G$7,'Inputs (2)'!$D$2:$AL$2,0))</f>
        <v>3</v>
      </c>
      <c r="H235" s="3">
        <f>G235</f>
        <v>3</v>
      </c>
      <c r="I235" s="25">
        <f>INDEX('Inputs (2)'!$D$41:$AL$41,MATCH(I$7,'Inputs (2)'!$D$2:$AL$2,0))</f>
        <v>4</v>
      </c>
      <c r="J235" s="25">
        <f>INDEX('Inputs (2)'!$D$41:$AL$41,MATCH(J$7,'Inputs (2)'!$D$2:$AL$2,0))</f>
        <v>2</v>
      </c>
      <c r="K235" s="25">
        <f>INDEX('Inputs (2)'!$D$41:$AL$41,MATCH(K$7,'Inputs (2)'!$D$2:$AL$2,0))</f>
        <v>3</v>
      </c>
      <c r="L235" s="25">
        <f>INDEX('Inputs (2)'!$D$41:$AL$41,MATCH(L$7,'Inputs (2)'!$D$2:$AL$2,0))</f>
        <v>4</v>
      </c>
      <c r="M235" s="3">
        <f>L235</f>
        <v>4</v>
      </c>
      <c r="N235" s="25">
        <f>INDEX('Inputs (2)'!$D$41:$AL$41,MATCH(N$7,'Inputs (2)'!$D$2:$AL$2,0))</f>
        <v>102</v>
      </c>
      <c r="O235" s="25">
        <f>INDEX('Inputs (2)'!$D$41:$AL$41,MATCH(O$7,'Inputs (2)'!$D$2:$AL$2,0))</f>
        <v>98</v>
      </c>
      <c r="P235" s="25">
        <f>INDEX('Inputs (2)'!$D$41:$AL$41,MATCH(P$7,'Inputs (2)'!$D$2:$AL$2,0))</f>
        <v>95</v>
      </c>
      <c r="Q235" s="25">
        <f>INDEX('Inputs (2)'!$D$41:$AL$41,MATCH(Q$7,'Inputs (2)'!$D$2:$AL$2,0))</f>
        <v>104</v>
      </c>
      <c r="R235" s="3">
        <f>Q235</f>
        <v>104</v>
      </c>
      <c r="S235" s="25">
        <f>INDEX('Inputs (2)'!$D$41:$AL$41,MATCH(S$7,'Inputs (2)'!$D$2:$AL$2,0))</f>
        <v>106</v>
      </c>
      <c r="T235" s="25">
        <f>INDEX('Inputs (2)'!$D$41:$AL$41,MATCH(T$7,'Inputs (2)'!$D$2:$AL$2,0))</f>
        <v>104</v>
      </c>
      <c r="U235" s="25">
        <f>INDEX('Inputs (2)'!$D$41:$AL$41,MATCH(U$7,'Inputs (2)'!$D$2:$AL$2,0))</f>
        <v>101</v>
      </c>
      <c r="V235" s="25">
        <f>INDEX('Inputs (2)'!$D$41:$AL$41,MATCH(V$7,'Inputs (2)'!$D$2:$AL$2,0))</f>
        <v>104</v>
      </c>
      <c r="W235" s="3">
        <f>V235</f>
        <v>104</v>
      </c>
      <c r="X235" s="25">
        <f>INDEX('Inputs (2)'!$D$41:$AL$41,MATCH(X$7,'Inputs (2)'!$D$2:$AL$2,0))</f>
        <v>102</v>
      </c>
      <c r="Y235" s="25">
        <f>INDEX('Inputs (2)'!$D$41:$AL$41,MATCH(Y$7,'Inputs (2)'!$D$2:$AL$2,0))</f>
        <v>87</v>
      </c>
      <c r="Z235" s="25">
        <f>INDEX('Inputs (2)'!$D$41:$AL$41,MATCH(Z$7,'Inputs (2)'!$D$2:$AL$2,0))</f>
        <v>89</v>
      </c>
      <c r="AA235" s="25">
        <f>INDEX('Inputs (2)'!$D$41:$AL$41,MATCH(AA$7,'Inputs (2)'!$D$2:$AL$2,0))</f>
        <v>85</v>
      </c>
      <c r="AB235" s="3">
        <f>AA235</f>
        <v>85</v>
      </c>
      <c r="AC235" s="25">
        <f>INDEX('Inputs (2)'!$D$41:$AL$41,MATCH(AC$7,'Inputs (2)'!$D$2:$AL$2,0))</f>
        <v>91</v>
      </c>
      <c r="AD235" s="25">
        <f>INDEX('Inputs (2)'!$D$41:$AL$41,MATCH(AD$7,'Inputs (2)'!$D$2:$AL$2,0))</f>
        <v>89</v>
      </c>
      <c r="AE235" s="25">
        <f>INDEX('Inputs (2)'!$D$41:$AL$41,MATCH(AE$7,'Inputs (2)'!$D$2:$AL$2,0))</f>
        <v>57</v>
      </c>
      <c r="AF235" s="25">
        <f>INDEX('Inputs (2)'!$D$41:$AL$41,MATCH(AF$7,'Inputs (2)'!$D$2:$AL$2,0))</f>
        <v>57</v>
      </c>
      <c r="AG235" s="3">
        <f>AF235</f>
        <v>57</v>
      </c>
      <c r="AH235" s="3">
        <f>INDEX('Inputs (2)'!$D$41:$AL$41,MATCH(AH$7,'Inputs (2)'!$D$2:$AL$2,0))</f>
        <v>54</v>
      </c>
      <c r="AI235" s="3">
        <f>INDEX('Inputs (2)'!$D$41:$AL$41,MATCH(AI$7,'Inputs (2)'!$D$2:$AL$2,0))</f>
        <v>51</v>
      </c>
      <c r="AJ235" s="3">
        <f>AI235-AJ123+AJ238</f>
        <v>46</v>
      </c>
      <c r="AK235" s="3">
        <f>AJ235-AK123+AK238</f>
        <v>45</v>
      </c>
      <c r="AL235" s="3">
        <f>AK235</f>
        <v>45</v>
      </c>
      <c r="AM235" s="3">
        <f>AL235-AM123+AM238</f>
        <v>42</v>
      </c>
      <c r="AN235" s="3">
        <f>AM235-AN123+AN238</f>
        <v>40</v>
      </c>
      <c r="AO235" s="3">
        <f>AN235-AO123+AO238</f>
        <v>35</v>
      </c>
      <c r="AP235" s="3">
        <f>AO235-AP123+AP238</f>
        <v>34</v>
      </c>
      <c r="AQ235" s="3">
        <f>AP235</f>
        <v>34</v>
      </c>
      <c r="AR235" s="3">
        <f>AQ235-AR123+AR238</f>
        <v>31</v>
      </c>
      <c r="AS235" s="3">
        <f>AR235-AS123+AS238</f>
        <v>29</v>
      </c>
      <c r="AT235" s="3">
        <f>AS235-AT123+AT238</f>
        <v>24</v>
      </c>
      <c r="AU235" s="3">
        <f>AT235-AU123+AU238</f>
        <v>23</v>
      </c>
      <c r="AV235" s="3">
        <f>AU235</f>
        <v>23</v>
      </c>
      <c r="AW235" s="3">
        <f>AV235-AW123+AW238</f>
        <v>20</v>
      </c>
      <c r="AX235" s="3">
        <f>AW235-AX123+AX238</f>
        <v>18</v>
      </c>
      <c r="AY235" s="3">
        <f>AX235-AY123+AY238</f>
        <v>13</v>
      </c>
      <c r="AZ235" s="3">
        <f>AY235-AZ123+AZ238</f>
        <v>12</v>
      </c>
      <c r="BA235" s="3">
        <f>AZ235</f>
        <v>12</v>
      </c>
      <c r="BB235" s="3">
        <f>BA235-BB123+BB238</f>
        <v>9</v>
      </c>
      <c r="BC235" s="3">
        <f>BB235-BC123+BC238</f>
        <v>7</v>
      </c>
      <c r="BD235" s="3">
        <f>BC235-BD123+BD238</f>
        <v>2</v>
      </c>
      <c r="BE235" s="3">
        <f>BD235-BE123+BE238</f>
        <v>1</v>
      </c>
      <c r="BF235" s="3">
        <f>BE235</f>
        <v>1</v>
      </c>
      <c r="BG235" s="3">
        <f>BF235-BG123+BG238</f>
        <v>-2</v>
      </c>
      <c r="BH235" s="3">
        <f>BG235-BH123+BH238</f>
        <v>-4</v>
      </c>
      <c r="BI235" s="3">
        <f>BH235-BI123+BI238</f>
        <v>-9</v>
      </c>
      <c r="BJ235" s="3">
        <f>BI235-BJ123+BJ238</f>
        <v>-10</v>
      </c>
      <c r="BK235" s="3">
        <f>BJ235</f>
        <v>-10</v>
      </c>
      <c r="BL235" s="3">
        <f>BK235-BL123+BL238</f>
        <v>-13</v>
      </c>
      <c r="BM235" s="3">
        <f>BL235-BM123+BM238</f>
        <v>-15</v>
      </c>
      <c r="BN235" s="3">
        <f>BM235-BN123+BN238</f>
        <v>-20</v>
      </c>
      <c r="BO235" s="3">
        <f>BN235-BO123+BO238</f>
        <v>-21</v>
      </c>
      <c r="BP235" s="3">
        <f>BO235</f>
        <v>-21</v>
      </c>
      <c r="BQ235" s="3">
        <f>BP235-BQ123+BQ238</f>
        <v>-24</v>
      </c>
      <c r="BR235" s="3">
        <f>BQ235-BR123+BR238</f>
        <v>-26</v>
      </c>
      <c r="BS235" s="3">
        <f>BR235-BS123+BS238</f>
        <v>-31</v>
      </c>
      <c r="BT235" s="3">
        <f>BS235-BT123+BT238</f>
        <v>-32</v>
      </c>
      <c r="BU235" s="3">
        <f>BT235</f>
        <v>-32</v>
      </c>
      <c r="BV235" s="3">
        <f>BU235-BV123+BV238</f>
        <v>-35</v>
      </c>
      <c r="BW235" s="3">
        <f>BV235-BW123+BW238</f>
        <v>-37</v>
      </c>
      <c r="BX235" s="3">
        <f>BW235-BX123+BX238</f>
        <v>-42</v>
      </c>
      <c r="BY235" s="3">
        <f>BX235-BY123+BY238</f>
        <v>-43</v>
      </c>
      <c r="BZ235" s="3">
        <f>BY235</f>
        <v>-43</v>
      </c>
      <c r="CA235" s="3">
        <f>BZ235-CA123+CA238</f>
        <v>-46</v>
      </c>
      <c r="CB235" s="3">
        <f>CA235-CB123+CB238</f>
        <v>-48</v>
      </c>
      <c r="CC235" s="3">
        <f>CB235-CC123+CC238</f>
        <v>-53</v>
      </c>
      <c r="CD235" s="3">
        <f>CC235-CD123+CD238</f>
        <v>-54</v>
      </c>
      <c r="CE235" s="3">
        <f>CD235</f>
        <v>-54</v>
      </c>
      <c r="CF235" s="3">
        <f>CE235-CF123+CF238</f>
        <v>-57</v>
      </c>
      <c r="CG235" s="3">
        <f>CF235-CG123+CG238</f>
        <v>-59</v>
      </c>
      <c r="CH235" s="3">
        <f>CG235-CH123+CH238</f>
        <v>-64</v>
      </c>
      <c r="CI235" s="3">
        <f>CH235-CI123+CI238</f>
        <v>-65</v>
      </c>
      <c r="CJ235" s="3">
        <f>CI235</f>
        <v>-65</v>
      </c>
      <c r="CK235" s="3">
        <f>CJ235-CK123+CK238</f>
        <v>-68</v>
      </c>
      <c r="CL235" s="3">
        <f>CK235-CL123+CL238</f>
        <v>-70</v>
      </c>
      <c r="CM235" s="3">
        <f>CL235-CM123+CM238</f>
        <v>-75</v>
      </c>
      <c r="CN235" s="3">
        <f>CM235-CN123+CN238</f>
        <v>-76</v>
      </c>
      <c r="CO235" s="3">
        <f>CN235</f>
        <v>-76</v>
      </c>
      <c r="CP235" s="3">
        <f>CO235-CP123+CP238</f>
        <v>-79</v>
      </c>
      <c r="CQ235" s="3">
        <f>CP235-CQ123+CQ238</f>
        <v>-81</v>
      </c>
      <c r="CR235" s="3">
        <f>CQ235-CR123+CR238</f>
        <v>-86</v>
      </c>
      <c r="CS235" s="3">
        <f>CR235-CS123+CS238</f>
        <v>-87</v>
      </c>
      <c r="CT235" s="3">
        <f>CS235</f>
        <v>-87</v>
      </c>
      <c r="CU235" s="3">
        <f>CT235-CU123+CU238</f>
        <v>-90</v>
      </c>
      <c r="CV235" s="3">
        <f>CU235-CV123+CV238</f>
        <v>-92</v>
      </c>
      <c r="CW235" s="3">
        <f>CV235-CW123+CW238</f>
        <v>-97</v>
      </c>
      <c r="CX235" s="3">
        <f>CW235-CX123+CX238</f>
        <v>-98</v>
      </c>
      <c r="CY235" s="3">
        <f>CX235</f>
        <v>-98</v>
      </c>
    </row>
    <row r="236" hidden="1" outlineLevel="1" customFormat="1" s="39">
      <c r="A236" s="19" t="n"/>
      <c r="B236" s="19" t="n"/>
      <c r="C236" s="38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</row>
    <row r="237" hidden="1" outlineLevel="1" customFormat="1" s="39">
      <c r="A237" s="19" t="n"/>
      <c r="B237" s="19" t="n"/>
      <c r="C237" s="34" t="inlineStr">
        <is>
          <t>Minority Interest Expense - % YoY</t>
        </is>
      </c>
      <c r="D237" s="22" t="n"/>
      <c r="E237" s="40">
        <f>IF(D122=0,0,E122/D122-1)</f>
        <v>-0.882352941176471</v>
      </c>
      <c r="F237" s="22" t="n"/>
      <c r="G237" s="22" t="n"/>
      <c r="H237" s="40" t="n"/>
      <c r="I237" s="22" t="n"/>
      <c r="J237" s="40">
        <f>IF(I122=0,0,J122/I122-1)</f>
        <v>0</v>
      </c>
      <c r="K237" s="22" t="n"/>
      <c r="L237" s="22" t="n"/>
      <c r="M237" s="40" t="n"/>
      <c r="N237" s="40">
        <f>IF(I122=0,0,N122/I122-1)</f>
        <v>-0.333333333333333</v>
      </c>
      <c r="O237" s="40">
        <f>IF(J122=0,0,O122/J122-1)</f>
        <v>-1</v>
      </c>
      <c r="P237" s="40">
        <f>IF(K122=0,0,P122/K122-1)</f>
        <v>0</v>
      </c>
      <c r="Q237" s="40">
        <f>IF(L122=0,0,Q122/L122-1)</f>
        <v>-0.666666666666667</v>
      </c>
      <c r="R237" s="40" t="n"/>
      <c r="S237" s="40">
        <f>IF(N122=0,0,S122/N122-1)</f>
        <v>-0.666666666666667</v>
      </c>
      <c r="T237" s="40">
        <f>IF(O122=0,0,T122/O122-1)</f>
        <v>0</v>
      </c>
      <c r="U237" s="40">
        <f>IF(P122=0,0,U122/P122-1)</f>
        <v>0</v>
      </c>
      <c r="V237" s="40">
        <f>IF(Q122=0,0,V122/Q122-1)</f>
        <v>1</v>
      </c>
      <c r="W237" s="40">
        <f>IF(R123=0,0,W123/R123-1)</f>
        <v>1.75</v>
      </c>
      <c r="X237" s="40">
        <f>IF(S122=0,0,X122/S122-1)</f>
        <v>0</v>
      </c>
      <c r="Y237" s="40">
        <f>IF(T122=0,0,Y122/T122-1)</f>
        <v>-0.5</v>
      </c>
      <c r="Z237" s="40">
        <f>IF(U122=0,0,Z122/U122-1)</f>
        <v>-15</v>
      </c>
      <c r="AA237" s="40">
        <f>IF(V122=0,0,AA122/V122-1)</f>
        <v>-1.5</v>
      </c>
      <c r="AB237" s="40">
        <f>IF(W123=0,0,AB123/W123-1)</f>
        <v>-0.0909090909090909</v>
      </c>
      <c r="AC237" s="40">
        <f>IF(X122=0,0,AC122/X122-1)</f>
        <v>0.5</v>
      </c>
      <c r="AD237" s="40">
        <f>IF(Y122=0,0,AD122/Y122-1)</f>
        <v>9</v>
      </c>
      <c r="AE237" s="40">
        <f>IF(Z122=0,0,AE122/Z122-1)</f>
        <v>-0.607142857142857</v>
      </c>
      <c r="AF237" s="40">
        <f>IF(AA122=0,0,AF122/AA122-1)</f>
        <v>-16</v>
      </c>
      <c r="AG237" s="40">
        <f>IF(AB123=0,0,AG123/AB123-1)</f>
        <v>1.7</v>
      </c>
      <c r="AH237" s="35">
        <f>IF(AC122=0,0,AH122/AC122-1)</f>
        <v>-2.66666666666667</v>
      </c>
      <c r="AI237" s="35">
        <f>IF(AD122=0,0,AI122/AD122-1)</f>
        <v>1.4</v>
      </c>
      <c r="AJ237" s="35" t="n"/>
      <c r="AK237" s="35" t="n"/>
      <c r="AL237" s="40">
        <f>IF(AG123=0,0,AL123/AG123-1)</f>
        <v>-0.592592592592593</v>
      </c>
      <c r="AM237" s="35" t="n"/>
      <c r="AN237" s="35" t="n"/>
      <c r="AO237" s="35" t="n"/>
      <c r="AP237" s="35" t="n"/>
      <c r="AQ237" s="40">
        <f>IF(AL123=0,0,AQ123/AL123-1)</f>
        <v>0</v>
      </c>
      <c r="AR237" s="35" t="n"/>
      <c r="AS237" s="35" t="n"/>
      <c r="AT237" s="35" t="n"/>
      <c r="AU237" s="35" t="n"/>
      <c r="AV237" s="40">
        <f>IF(AQ123=0,0,AV123/AQ123-1)</f>
        <v>0</v>
      </c>
      <c r="AW237" s="35" t="n"/>
      <c r="AX237" s="35" t="n"/>
      <c r="AY237" s="35" t="n"/>
      <c r="AZ237" s="35" t="n"/>
      <c r="BA237" s="40">
        <f>IF(AV123=0,0,BA123/AV123-1)</f>
        <v>0</v>
      </c>
      <c r="BB237" s="35" t="n"/>
      <c r="BC237" s="35" t="n"/>
      <c r="BD237" s="35" t="n"/>
      <c r="BE237" s="35" t="n"/>
      <c r="BF237" s="40">
        <f>IF(BA123=0,0,BF123/BA123-1)</f>
        <v>0</v>
      </c>
      <c r="BG237" s="35" t="n"/>
      <c r="BH237" s="35" t="n"/>
      <c r="BI237" s="35" t="n"/>
      <c r="BJ237" s="35" t="n"/>
      <c r="BK237" s="40">
        <f>IF(BF123=0,0,BK123/BF123-1)</f>
        <v>0</v>
      </c>
      <c r="BL237" s="35" t="n"/>
      <c r="BM237" s="35" t="n"/>
      <c r="BN237" s="35" t="n"/>
      <c r="BO237" s="35" t="n"/>
      <c r="BP237" s="40">
        <f>IF(BK123=0,0,BP123/BK123-1)</f>
        <v>0</v>
      </c>
      <c r="BQ237" s="35" t="n"/>
      <c r="BR237" s="35" t="n"/>
      <c r="BS237" s="35" t="n"/>
      <c r="BT237" s="35" t="n"/>
      <c r="BU237" s="40">
        <f>IF(BP123=0,0,BU123/BP123-1)</f>
        <v>0</v>
      </c>
      <c r="BV237" s="35" t="n"/>
      <c r="BW237" s="35" t="n"/>
      <c r="BX237" s="35" t="n"/>
      <c r="BY237" s="35" t="n"/>
      <c r="BZ237" s="40">
        <f>IF(BU123=0,0,BZ123/BU123-1)</f>
        <v>0</v>
      </c>
      <c r="CA237" s="35" t="n"/>
      <c r="CB237" s="35" t="n"/>
      <c r="CC237" s="35" t="n"/>
      <c r="CD237" s="35" t="n"/>
      <c r="CE237" s="40">
        <f>IF(BZ123=0,0,CE123/BZ123-1)</f>
        <v>0</v>
      </c>
      <c r="CF237" s="35" t="n"/>
      <c r="CG237" s="35" t="n"/>
      <c r="CH237" s="35" t="n"/>
      <c r="CI237" s="35" t="n"/>
      <c r="CJ237" s="40">
        <f>IF(CE123=0,0,CJ123/CE123-1)</f>
        <v>0</v>
      </c>
      <c r="CK237" s="35" t="n"/>
      <c r="CL237" s="35" t="n"/>
      <c r="CM237" s="35" t="n"/>
      <c r="CN237" s="35" t="n"/>
      <c r="CO237" s="40">
        <f>IF(CJ123=0,0,CO123/CJ123-1)</f>
        <v>0</v>
      </c>
      <c r="CP237" s="35" t="n"/>
      <c r="CQ237" s="35" t="n"/>
      <c r="CR237" s="35" t="n"/>
      <c r="CS237" s="35" t="n"/>
      <c r="CT237" s="40">
        <f>IF(CO123=0,0,CT123/CO123-1)</f>
        <v>0</v>
      </c>
      <c r="CU237" s="35" t="n"/>
      <c r="CV237" s="35" t="n"/>
      <c r="CW237" s="35" t="n"/>
      <c r="CX237" s="35" t="n"/>
      <c r="CY237" s="40">
        <f>IF(CT123=0,0,CY123/CT123-1)</f>
        <v>0</v>
      </c>
    </row>
    <row r="238" hidden="1" outlineLevel="1" customFormat="1" s="39">
      <c r="A238" s="19" t="n"/>
      <c r="B238" s="19" t="n"/>
      <c r="C238" s="34" t="inlineStr">
        <is>
          <t>Dividends (enter as -)</t>
        </is>
      </c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35" t="n"/>
      <c r="AI238" s="35" t="n"/>
      <c r="AJ238" s="35" t="n"/>
      <c r="AK238" s="35" t="n"/>
      <c r="AL238" s="22" t="n"/>
      <c r="AM238" s="35" t="n"/>
      <c r="AN238" s="35" t="n"/>
      <c r="AO238" s="35" t="n"/>
      <c r="AP238" s="35" t="n"/>
      <c r="AQ238" s="22" t="n"/>
      <c r="AR238" s="35" t="n"/>
      <c r="AS238" s="35" t="n"/>
      <c r="AT238" s="35" t="n"/>
      <c r="AU238" s="35" t="n"/>
      <c r="AV238" s="22" t="n"/>
      <c r="AW238" s="35" t="n"/>
      <c r="AX238" s="35" t="n"/>
      <c r="AY238" s="35" t="n"/>
      <c r="AZ238" s="35" t="n"/>
      <c r="BA238" s="22" t="n"/>
      <c r="BB238" s="35" t="n"/>
      <c r="BC238" s="35" t="n"/>
      <c r="BD238" s="35" t="n"/>
      <c r="BE238" s="35" t="n"/>
      <c r="BF238" s="22" t="n"/>
      <c r="BG238" s="35" t="n"/>
      <c r="BH238" s="35" t="n"/>
      <c r="BI238" s="35" t="n"/>
      <c r="BJ238" s="35" t="n"/>
      <c r="BK238" s="22" t="n"/>
      <c r="BL238" s="35" t="n"/>
      <c r="BM238" s="35" t="n"/>
      <c r="BN238" s="35" t="n"/>
      <c r="BO238" s="35" t="n"/>
      <c r="BP238" s="22" t="n"/>
      <c r="BQ238" s="35" t="n"/>
      <c r="BR238" s="35" t="n"/>
      <c r="BS238" s="35" t="n"/>
      <c r="BT238" s="35" t="n"/>
      <c r="BU238" s="22" t="n"/>
      <c r="BV238" s="35" t="n"/>
      <c r="BW238" s="35" t="n"/>
      <c r="BX238" s="35" t="n"/>
      <c r="BY238" s="35" t="n"/>
      <c r="BZ238" s="22" t="n"/>
      <c r="CA238" s="35" t="n"/>
      <c r="CB238" s="35" t="n"/>
      <c r="CC238" s="35" t="n"/>
      <c r="CD238" s="35" t="n"/>
      <c r="CE238" s="22" t="n"/>
      <c r="CF238" s="35" t="n"/>
      <c r="CG238" s="35" t="n"/>
      <c r="CH238" s="35" t="n"/>
      <c r="CI238" s="35" t="n"/>
      <c r="CJ238" s="22" t="n"/>
      <c r="CK238" s="35" t="n"/>
      <c r="CL238" s="35" t="n"/>
      <c r="CM238" s="35" t="n"/>
      <c r="CN238" s="35" t="n"/>
      <c r="CO238" s="22" t="n"/>
      <c r="CP238" s="35" t="n"/>
      <c r="CQ238" s="35" t="n"/>
      <c r="CR238" s="35" t="n"/>
      <c r="CS238" s="35" t="n"/>
      <c r="CT238" s="22" t="n"/>
      <c r="CU238" s="35" t="n"/>
      <c r="CV238" s="35" t="n"/>
      <c r="CW238" s="35" t="n"/>
      <c r="CX238" s="35" t="n"/>
      <c r="CY238" s="22" t="n"/>
    </row>
    <row r="239" hidden="1" outlineLevel="1" customFormat="1" s="39">
      <c r="A239" s="19" t="n"/>
      <c r="B239" s="19" t="n"/>
      <c r="C239" s="38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</row>
    <row r="240" collapsed="1">
      <c r="C240" s="26" t="inlineStr">
        <is>
          <t>Convertible Preferred Stock</t>
        </is>
      </c>
      <c r="D240" s="25" t="n"/>
      <c r="E240" s="25" t="n"/>
      <c r="F240" s="25" t="n"/>
      <c r="G240" s="25" t="n"/>
      <c r="H240" s="3">
        <f>G240</f>
        <v>0</v>
      </c>
      <c r="I240" s="25" t="n"/>
      <c r="J240" s="25" t="n"/>
      <c r="K240" s="25" t="n"/>
      <c r="L240" s="25" t="n"/>
      <c r="M240" s="3">
        <f>L240</f>
        <v>0</v>
      </c>
      <c r="N240" s="25" t="n"/>
      <c r="O240" s="25" t="n"/>
      <c r="P240" s="25" t="n"/>
      <c r="Q240" s="25" t="n"/>
      <c r="R240" s="3">
        <f>Q240</f>
        <v>0</v>
      </c>
      <c r="S240" s="25" t="n"/>
      <c r="T240" s="25" t="n"/>
      <c r="U240" s="25" t="n"/>
      <c r="V240" s="25" t="n"/>
      <c r="W240" s="3">
        <f>V240</f>
        <v>0</v>
      </c>
      <c r="X240" s="25" t="n"/>
      <c r="Y240" s="25" t="n"/>
      <c r="Z240" s="25" t="n"/>
      <c r="AA240" s="25" t="n"/>
      <c r="AB240" s="3">
        <f>AA240</f>
        <v>0</v>
      </c>
      <c r="AC240" s="25" t="n"/>
      <c r="AD240" s="25" t="n"/>
      <c r="AE240" s="25" t="n"/>
      <c r="AF240" s="25" t="n"/>
      <c r="AG240" s="3">
        <f>AF240</f>
        <v>0</v>
      </c>
      <c r="AH240" s="3">
        <f>AG240</f>
        <v>0</v>
      </c>
      <c r="AI240" s="3">
        <f>AH240</f>
        <v>0</v>
      </c>
      <c r="AJ240" s="3">
        <f>AI240</f>
        <v>0</v>
      </c>
      <c r="AK240" s="3">
        <f>AJ240</f>
        <v>0</v>
      </c>
      <c r="AL240" s="3">
        <f>AK240</f>
        <v>0</v>
      </c>
      <c r="AM240" s="3">
        <f>AL240</f>
        <v>0</v>
      </c>
      <c r="AN240" s="3">
        <f>AM240</f>
        <v>0</v>
      </c>
      <c r="AO240" s="3">
        <f>AN240</f>
        <v>0</v>
      </c>
      <c r="AP240" s="3">
        <f>AO240</f>
        <v>0</v>
      </c>
      <c r="AQ240" s="3">
        <f>AP240</f>
        <v>0</v>
      </c>
      <c r="AR240" s="3">
        <f>AQ240</f>
        <v>0</v>
      </c>
      <c r="AS240" s="3">
        <f>AR240</f>
        <v>0</v>
      </c>
      <c r="AT240" s="3">
        <f>AS240</f>
        <v>0</v>
      </c>
      <c r="AU240" s="3">
        <f>AT240</f>
        <v>0</v>
      </c>
      <c r="AV240" s="3">
        <f>AU240</f>
        <v>0</v>
      </c>
      <c r="AW240" s="3">
        <f>AV240</f>
        <v>0</v>
      </c>
      <c r="AX240" s="3">
        <f>AW240</f>
        <v>0</v>
      </c>
      <c r="AY240" s="3">
        <f>AX240</f>
        <v>0</v>
      </c>
      <c r="AZ240" s="3">
        <f>AY240</f>
        <v>0</v>
      </c>
      <c r="BA240" s="3">
        <f>AZ240</f>
        <v>0</v>
      </c>
      <c r="BB240" s="3">
        <f>BA240</f>
        <v>0</v>
      </c>
      <c r="BC240" s="3">
        <f>BB240</f>
        <v>0</v>
      </c>
      <c r="BD240" s="3">
        <f>BC240</f>
        <v>0</v>
      </c>
      <c r="BE240" s="3">
        <f>BD240</f>
        <v>0</v>
      </c>
      <c r="BF240" s="3">
        <f>BE240</f>
        <v>0</v>
      </c>
      <c r="BG240" s="3">
        <f>BF240</f>
        <v>0</v>
      </c>
      <c r="BH240" s="3">
        <f>BG240</f>
        <v>0</v>
      </c>
      <c r="BI240" s="3">
        <f>BH240</f>
        <v>0</v>
      </c>
      <c r="BJ240" s="3">
        <f>BI240</f>
        <v>0</v>
      </c>
      <c r="BK240" s="3">
        <f>BJ240</f>
        <v>0</v>
      </c>
      <c r="BL240" s="3">
        <f>BK240</f>
        <v>0</v>
      </c>
      <c r="BM240" s="3">
        <f>BL240</f>
        <v>0</v>
      </c>
      <c r="BN240" s="3">
        <f>BM240</f>
        <v>0</v>
      </c>
      <c r="BO240" s="3">
        <f>BN240</f>
        <v>0</v>
      </c>
      <c r="BP240" s="3">
        <f>BO240</f>
        <v>0</v>
      </c>
      <c r="BQ240" s="3">
        <f>BP240</f>
        <v>0</v>
      </c>
      <c r="BR240" s="3">
        <f>BQ240</f>
        <v>0</v>
      </c>
      <c r="BS240" s="3">
        <f>BR240</f>
        <v>0</v>
      </c>
      <c r="BT240" s="3">
        <f>BS240</f>
        <v>0</v>
      </c>
      <c r="BU240" s="3">
        <f>BT240</f>
        <v>0</v>
      </c>
      <c r="BV240" s="3">
        <f>BU240</f>
        <v>0</v>
      </c>
      <c r="BW240" s="3">
        <f>BV240</f>
        <v>0</v>
      </c>
      <c r="BX240" s="3">
        <f>BW240</f>
        <v>0</v>
      </c>
      <c r="BY240" s="3">
        <f>BX240</f>
        <v>0</v>
      </c>
      <c r="BZ240" s="3">
        <f>BY240</f>
        <v>0</v>
      </c>
      <c r="CA240" s="3">
        <f>BZ240</f>
        <v>0</v>
      </c>
      <c r="CB240" s="3">
        <f>CA240</f>
        <v>0</v>
      </c>
      <c r="CC240" s="3">
        <f>CB240</f>
        <v>0</v>
      </c>
      <c r="CD240" s="3">
        <f>CC240</f>
        <v>0</v>
      </c>
      <c r="CE240" s="3">
        <f>CD240</f>
        <v>0</v>
      </c>
      <c r="CF240" s="3">
        <f>CE240</f>
        <v>0</v>
      </c>
      <c r="CG240" s="3">
        <f>CF240</f>
        <v>0</v>
      </c>
      <c r="CH240" s="3">
        <f>CG240</f>
        <v>0</v>
      </c>
      <c r="CI240" s="3">
        <f>CH240</f>
        <v>0</v>
      </c>
      <c r="CJ240" s="3">
        <f>CI240</f>
        <v>0</v>
      </c>
      <c r="CK240" s="3">
        <f>CJ240</f>
        <v>0</v>
      </c>
      <c r="CL240" s="3">
        <f>CK240</f>
        <v>0</v>
      </c>
      <c r="CM240" s="3">
        <f>CL240</f>
        <v>0</v>
      </c>
      <c r="CN240" s="3">
        <f>CM240</f>
        <v>0</v>
      </c>
      <c r="CO240" s="3">
        <f>CN240</f>
        <v>0</v>
      </c>
      <c r="CP240" s="3">
        <f>CO240</f>
        <v>0</v>
      </c>
      <c r="CQ240" s="3">
        <f>CP240</f>
        <v>0</v>
      </c>
      <c r="CR240" s="3">
        <f>CQ240</f>
        <v>0</v>
      </c>
      <c r="CS240" s="3">
        <f>CR240</f>
        <v>0</v>
      </c>
      <c r="CT240" s="3">
        <f>CS240</f>
        <v>0</v>
      </c>
      <c r="CU240" s="3">
        <f>CT240</f>
        <v>0</v>
      </c>
      <c r="CV240" s="3">
        <f>CU240</f>
        <v>0</v>
      </c>
      <c r="CW240" s="3">
        <f>CV240</f>
        <v>0</v>
      </c>
      <c r="CX240" s="3">
        <f>CW240</f>
        <v>0</v>
      </c>
      <c r="CY240" s="3">
        <f>CX240</f>
        <v>0</v>
      </c>
    </row>
    <row r="241">
      <c r="C241" s="24" t="inlineStr">
        <is>
          <t>Common Stock and APIC</t>
        </is>
      </c>
      <c r="D241" s="25">
        <f>INDEX('Inputs (2)'!$D$43:$AL$43,MATCH(D$7,'Inputs (2)'!$D$2:$AL$2,0))</f>
        <v>4713</v>
      </c>
      <c r="E241" s="25">
        <f>INDEX('Inputs (2)'!$D$43:$AL$43,MATCH(E$7,'Inputs (2)'!$D$2:$AL$2,0))</f>
        <v>4750</v>
      </c>
      <c r="F241" s="25">
        <f>INDEX('Inputs (2)'!$D$43:$AL$43,MATCH(F$7,'Inputs (2)'!$D$2:$AL$2,0))</f>
        <v>4895</v>
      </c>
      <c r="G241" s="25">
        <f>INDEX('Inputs (2)'!$D$43:$AL$43,MATCH(G$7,'Inputs (2)'!$D$2:$AL$2,0))</f>
        <v>4942</v>
      </c>
      <c r="H241" s="3">
        <f>G241</f>
        <v>4942</v>
      </c>
      <c r="I241" s="25">
        <f>INDEX('Inputs (2)'!$D$43:$AL$43,MATCH(I$7,'Inputs (2)'!$D$2:$AL$2,0))</f>
        <v>4999</v>
      </c>
      <c r="J241" s="25">
        <f>INDEX('Inputs (2)'!$D$43:$AL$43,MATCH(J$7,'Inputs (2)'!$D$2:$AL$2,0))</f>
        <v>5031</v>
      </c>
      <c r="K241" s="25">
        <f>INDEX('Inputs (2)'!$D$43:$AL$43,MATCH(K$7,'Inputs (2)'!$D$2:$AL$2,0))</f>
        <v>5054</v>
      </c>
      <c r="L241" s="25">
        <f>INDEX('Inputs (2)'!$D$43:$AL$43,MATCH(L$7,'Inputs (2)'!$D$2:$AL$2,0))</f>
        <v>5066</v>
      </c>
      <c r="M241" s="3">
        <f>L241</f>
        <v>5066</v>
      </c>
      <c r="N241" s="25">
        <f>INDEX('Inputs (2)'!$D$43:$AL$43,MATCH(N$7,'Inputs (2)'!$D$2:$AL$2,0))</f>
        <v>5117</v>
      </c>
      <c r="O241" s="25">
        <f>INDEX('Inputs (2)'!$D$43:$AL$43,MATCH(O$7,'Inputs (2)'!$D$2:$AL$2,0))</f>
        <v>5139</v>
      </c>
      <c r="P241" s="25">
        <f>INDEX('Inputs (2)'!$D$43:$AL$43,MATCH(P$7,'Inputs (2)'!$D$2:$AL$2,0))</f>
        <v>5165</v>
      </c>
      <c r="Q241" s="25">
        <f>INDEX('Inputs (2)'!$D$43:$AL$43,MATCH(Q$7,'Inputs (2)'!$D$2:$AL$2,0))</f>
        <v>5191</v>
      </c>
      <c r="R241" s="3">
        <f>Q241</f>
        <v>5191</v>
      </c>
      <c r="S241" s="25">
        <f>INDEX('Inputs (2)'!$D$43:$AL$43,MATCH(S$7,'Inputs (2)'!$D$2:$AL$2,0))</f>
        <v>5227</v>
      </c>
      <c r="T241" s="25">
        <f>INDEX('Inputs (2)'!$D$43:$AL$43,MATCH(T$7,'Inputs (2)'!$D$2:$AL$2,0))</f>
        <v>5272</v>
      </c>
      <c r="U241" s="25">
        <f>INDEX('Inputs (2)'!$D$43:$AL$43,MATCH(U$7,'Inputs (2)'!$D$2:$AL$2,0))</f>
        <v>5303</v>
      </c>
      <c r="V241" s="25">
        <f>INDEX('Inputs (2)'!$D$43:$AL$43,MATCH(V$7,'Inputs (2)'!$D$2:$AL$2,0))</f>
        <v>5335</v>
      </c>
      <c r="W241" s="3">
        <f>V241</f>
        <v>5335</v>
      </c>
      <c r="X241" s="25">
        <f>INDEX('Inputs (2)'!$D$43:$AL$43,MATCH(X$7,'Inputs (2)'!$D$2:$AL$2,0))</f>
        <v>5391</v>
      </c>
      <c r="Y241" s="25">
        <f>INDEX('Inputs (2)'!$D$43:$AL$43,MATCH(Y$7,'Inputs (2)'!$D$2:$AL$2,0))</f>
        <v>5441</v>
      </c>
      <c r="Z241" s="25">
        <f>INDEX('Inputs (2)'!$D$43:$AL$43,MATCH(Z$7,'Inputs (2)'!$D$2:$AL$2,0))</f>
        <v>5489</v>
      </c>
      <c r="AA241" s="25">
        <f>INDEX('Inputs (2)'!$D$43:$AL$43,MATCH(AA$7,'Inputs (2)'!$D$2:$AL$2,0))</f>
        <v>5526</v>
      </c>
      <c r="AB241" s="3">
        <f>AA241</f>
        <v>5526</v>
      </c>
      <c r="AC241" s="25">
        <f>INDEX('Inputs (2)'!$D$43:$AL$43,MATCH(AC$7,'Inputs (2)'!$D$2:$AL$2,0))</f>
        <v>5565</v>
      </c>
      <c r="AD241" s="25">
        <f>INDEX('Inputs (2)'!$D$43:$AL$43,MATCH(AD$7,'Inputs (2)'!$D$2:$AL$2,0))</f>
        <v>5620</v>
      </c>
      <c r="AE241" s="25">
        <f>INDEX('Inputs (2)'!$D$43:$AL$43,MATCH(AE$7,'Inputs (2)'!$D$2:$AL$2,0))</f>
        <v>5668</v>
      </c>
      <c r="AF241" s="25">
        <f>INDEX('Inputs (2)'!$D$43:$AL$43,MATCH(AF$7,'Inputs (2)'!$D$2:$AL$2,0))</f>
        <v>5715</v>
      </c>
      <c r="AG241" s="3">
        <f>AF241</f>
        <v>5715</v>
      </c>
      <c r="AH241" s="3">
        <f>INDEX('Inputs (2)'!$D$43:$AL$43,MATCH(AH$7,'Inputs (2)'!$D$2:$AL$2,0))</f>
        <v>5777</v>
      </c>
      <c r="AI241" s="3">
        <f>INDEX('Inputs (2)'!$D$43:$AL$43,MATCH(AI$7,'Inputs (2)'!$D$2:$AL$2,0))</f>
        <v>5826</v>
      </c>
      <c r="AJ241" s="3">
        <f>AI241+AJ245</f>
        <v>5826</v>
      </c>
      <c r="AK241" s="3">
        <f>AJ241+AK245</f>
        <v>5826</v>
      </c>
      <c r="AL241" s="3">
        <f>AK241</f>
        <v>5826</v>
      </c>
      <c r="AM241" s="3">
        <f>AL241+AM245</f>
        <v>5826</v>
      </c>
      <c r="AN241" s="3">
        <f>AM241+AN245</f>
        <v>5826</v>
      </c>
      <c r="AO241" s="3">
        <f>AN241+AO245</f>
        <v>5826</v>
      </c>
      <c r="AP241" s="3">
        <f>AO241+AP245</f>
        <v>5826</v>
      </c>
      <c r="AQ241" s="3">
        <f>AP241</f>
        <v>5826</v>
      </c>
      <c r="AR241" s="3">
        <f>AQ241+AR245</f>
        <v>5826</v>
      </c>
      <c r="AS241" s="3">
        <f>AR241+AS245</f>
        <v>5826</v>
      </c>
      <c r="AT241" s="3">
        <f>AS241+AT245</f>
        <v>5826</v>
      </c>
      <c r="AU241" s="3">
        <f>AT241+AU245</f>
        <v>5826</v>
      </c>
      <c r="AV241" s="3">
        <f>AU241</f>
        <v>5826</v>
      </c>
      <c r="AW241" s="3">
        <f>AV241+AW245</f>
        <v>5826</v>
      </c>
      <c r="AX241" s="3">
        <f>AW241+AX245</f>
        <v>5826</v>
      </c>
      <c r="AY241" s="3">
        <f>AX241+AY245</f>
        <v>5826</v>
      </c>
      <c r="AZ241" s="3">
        <f>AY241+AZ245</f>
        <v>5826</v>
      </c>
      <c r="BA241" s="3">
        <f>AZ241</f>
        <v>5826</v>
      </c>
      <c r="BB241" s="3">
        <f>BA241+BB245</f>
        <v>5826</v>
      </c>
      <c r="BC241" s="3">
        <f>BB241+BC245</f>
        <v>5826</v>
      </c>
      <c r="BD241" s="3">
        <f>BC241+BD245</f>
        <v>5826</v>
      </c>
      <c r="BE241" s="3">
        <f>BD241+BE245</f>
        <v>5826</v>
      </c>
      <c r="BF241" s="3">
        <f>BE241</f>
        <v>5826</v>
      </c>
      <c r="BG241" s="3">
        <f>BF241+BG245</f>
        <v>5826</v>
      </c>
      <c r="BH241" s="3">
        <f>BG241+BH245</f>
        <v>5826</v>
      </c>
      <c r="BI241" s="3">
        <f>BH241+BI245</f>
        <v>5826</v>
      </c>
      <c r="BJ241" s="3">
        <f>BI241+BJ245</f>
        <v>5826</v>
      </c>
      <c r="BK241" s="3">
        <f>BJ241</f>
        <v>5826</v>
      </c>
      <c r="BL241" s="3">
        <f>BK241+BL245</f>
        <v>5826</v>
      </c>
      <c r="BM241" s="3">
        <f>BL241+BM245</f>
        <v>5826</v>
      </c>
      <c r="BN241" s="3">
        <f>BM241+BN245</f>
        <v>5826</v>
      </c>
      <c r="BO241" s="3">
        <f>BN241+BO245</f>
        <v>5826</v>
      </c>
      <c r="BP241" s="3">
        <f>BO241</f>
        <v>5826</v>
      </c>
      <c r="BQ241" s="3">
        <f>BP241+BQ245</f>
        <v>5826</v>
      </c>
      <c r="BR241" s="3">
        <f>BQ241+BR245</f>
        <v>5826</v>
      </c>
      <c r="BS241" s="3">
        <f>BR241+BS245</f>
        <v>5826</v>
      </c>
      <c r="BT241" s="3">
        <f>BS241+BT245</f>
        <v>5826</v>
      </c>
      <c r="BU241" s="3">
        <f>BT241</f>
        <v>5826</v>
      </c>
      <c r="BV241" s="3">
        <f>BU241+BV245</f>
        <v>5826</v>
      </c>
      <c r="BW241" s="3">
        <f>BV241+BW245</f>
        <v>5826</v>
      </c>
      <c r="BX241" s="3">
        <f>BW241+BX245</f>
        <v>5826</v>
      </c>
      <c r="BY241" s="3">
        <f>BX241+BY245</f>
        <v>5826</v>
      </c>
      <c r="BZ241" s="3">
        <f>BY241</f>
        <v>5826</v>
      </c>
      <c r="CA241" s="3">
        <f>BZ241+CA245</f>
        <v>5826</v>
      </c>
      <c r="CB241" s="3">
        <f>CA241+CB245</f>
        <v>5826</v>
      </c>
      <c r="CC241" s="3">
        <f>CB241+CC245</f>
        <v>5826</v>
      </c>
      <c r="CD241" s="3">
        <f>CC241+CD245</f>
        <v>5826</v>
      </c>
      <c r="CE241" s="3">
        <f>CD241</f>
        <v>5826</v>
      </c>
      <c r="CF241" s="3">
        <f>CE241+CF245</f>
        <v>5826</v>
      </c>
      <c r="CG241" s="3">
        <f>CF241+CG245</f>
        <v>5826</v>
      </c>
      <c r="CH241" s="3">
        <f>CG241+CH245</f>
        <v>5826</v>
      </c>
      <c r="CI241" s="3">
        <f>CH241+CI245</f>
        <v>5826</v>
      </c>
      <c r="CJ241" s="3">
        <f>CI241</f>
        <v>5826</v>
      </c>
      <c r="CK241" s="3">
        <f>CJ241+CK245</f>
        <v>5826</v>
      </c>
      <c r="CL241" s="3">
        <f>CK241+CL245</f>
        <v>5826</v>
      </c>
      <c r="CM241" s="3">
        <f>CL241+CM245</f>
        <v>5826</v>
      </c>
      <c r="CN241" s="3">
        <f>CM241+CN245</f>
        <v>5826</v>
      </c>
      <c r="CO241" s="3">
        <f>CN241</f>
        <v>5826</v>
      </c>
      <c r="CP241" s="3">
        <f>CO241+CP245</f>
        <v>5826</v>
      </c>
      <c r="CQ241" s="3">
        <f>CP241+CQ245</f>
        <v>5826</v>
      </c>
      <c r="CR241" s="3">
        <f>CQ241+CR245</f>
        <v>5826</v>
      </c>
      <c r="CS241" s="3">
        <f>CR241+CS245</f>
        <v>5826</v>
      </c>
      <c r="CT241" s="3">
        <f>CS241</f>
        <v>5826</v>
      </c>
      <c r="CU241" s="3">
        <f>CT241+CU245</f>
        <v>5826</v>
      </c>
      <c r="CV241" s="3">
        <f>CU241+CV245</f>
        <v>5826</v>
      </c>
      <c r="CW241" s="3">
        <f>CV241+CW245</f>
        <v>5826</v>
      </c>
      <c r="CX241" s="3">
        <f>CW241+CX245</f>
        <v>5826</v>
      </c>
      <c r="CY241" s="3">
        <f>CX241</f>
        <v>5826</v>
      </c>
    </row>
    <row r="242" hidden="1" outlineLevel="1" customFormat="1" s="39">
      <c r="A242" s="19" t="n"/>
      <c r="B242" s="19" t="n"/>
      <c r="C242" s="41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</row>
    <row r="243" hidden="1" outlineLevel="1" customFormat="1" s="39">
      <c r="A243" s="19" t="n"/>
      <c r="B243" s="19" t="n"/>
      <c r="C243" s="41" t="inlineStr">
        <is>
          <t>Diluted Shares outstanding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</row>
    <row r="244" hidden="1" outlineLevel="1" customFormat="1" s="39">
      <c r="A244" s="19" t="n"/>
      <c r="B244" s="19" t="n"/>
      <c r="C244" s="41" t="inlineStr">
        <is>
          <t>Treasury share $ repurchases</t>
        </is>
      </c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6" t="n"/>
      <c r="AI244" s="6" t="n"/>
      <c r="AJ244" s="6" t="n"/>
      <c r="AK244" s="6" t="n"/>
      <c r="AL244" s="22" t="n"/>
      <c r="AM244" s="6" t="n"/>
      <c r="AN244" s="6" t="n"/>
      <c r="AO244" s="6" t="n"/>
      <c r="AP244" s="6" t="n"/>
      <c r="AQ244" s="22" t="n"/>
      <c r="AR244" s="6" t="n"/>
      <c r="AS244" s="6" t="n"/>
      <c r="AT244" s="6" t="n"/>
      <c r="AU244" s="6" t="n"/>
      <c r="AV244" s="22" t="n"/>
      <c r="AW244" s="6" t="n"/>
      <c r="AX244" s="6" t="n"/>
      <c r="AY244" s="6" t="n"/>
      <c r="AZ244" s="6" t="n"/>
      <c r="BA244" s="22" t="n"/>
      <c r="BB244" s="6" t="n"/>
      <c r="BC244" s="6" t="n"/>
      <c r="BD244" s="6" t="n"/>
      <c r="BE244" s="6" t="n"/>
      <c r="BF244" s="22" t="n"/>
      <c r="BG244" s="6" t="n"/>
      <c r="BH244" s="6" t="n"/>
      <c r="BI244" s="6" t="n"/>
      <c r="BJ244" s="6" t="n"/>
      <c r="BK244" s="22" t="n"/>
      <c r="BL244" s="6" t="n"/>
      <c r="BM244" s="6" t="n"/>
      <c r="BN244" s="6" t="n"/>
      <c r="BO244" s="6" t="n"/>
      <c r="BP244" s="22" t="n"/>
      <c r="BQ244" s="6" t="n"/>
      <c r="BR244" s="6" t="n"/>
      <c r="BS244" s="6" t="n"/>
      <c r="BT244" s="6" t="n"/>
      <c r="BU244" s="22" t="n"/>
      <c r="BV244" s="6" t="n"/>
      <c r="BW244" s="6" t="n"/>
      <c r="BX244" s="6" t="n"/>
      <c r="BY244" s="6" t="n"/>
      <c r="BZ244" s="22" t="n"/>
      <c r="CA244" s="6" t="n"/>
      <c r="CB244" s="6" t="n"/>
      <c r="CC244" s="6" t="n"/>
      <c r="CD244" s="6" t="n"/>
      <c r="CE244" s="22" t="n"/>
      <c r="CF244" s="6" t="n"/>
      <c r="CG244" s="6" t="n"/>
      <c r="CH244" s="6" t="n"/>
      <c r="CI244" s="6" t="n"/>
      <c r="CJ244" s="22" t="n"/>
      <c r="CK244" s="6" t="n"/>
      <c r="CL244" s="6" t="n"/>
      <c r="CM244" s="6" t="n"/>
      <c r="CN244" s="6" t="n"/>
      <c r="CO244" s="22" t="n"/>
      <c r="CP244" s="6" t="n"/>
      <c r="CQ244" s="6" t="n"/>
      <c r="CR244" s="6" t="n"/>
      <c r="CS244" s="6" t="n"/>
      <c r="CT244" s="22" t="n"/>
      <c r="CU244" s="6" t="n"/>
      <c r="CV244" s="6" t="n"/>
      <c r="CW244" s="6" t="n"/>
      <c r="CX244" s="6" t="n"/>
      <c r="CY244" s="22" t="n"/>
    </row>
    <row r="245" hidden="1" outlineLevel="1" customFormat="1" s="39">
      <c r="A245" s="19" t="n"/>
      <c r="B245" s="19" t="n"/>
      <c r="C245" s="41" t="inlineStr">
        <is>
          <t>Value of shares issued</t>
        </is>
      </c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6" t="n"/>
      <c r="AI245" s="6" t="n"/>
      <c r="AJ245" s="6" t="n"/>
      <c r="AK245" s="6" t="n"/>
      <c r="AL245" s="22" t="n"/>
      <c r="AM245" s="6" t="n"/>
      <c r="AN245" s="6" t="n"/>
      <c r="AO245" s="6" t="n"/>
      <c r="AP245" s="6" t="n"/>
      <c r="AQ245" s="22" t="n"/>
      <c r="AR245" s="6" t="n"/>
      <c r="AS245" s="6" t="n"/>
      <c r="AT245" s="6" t="n"/>
      <c r="AU245" s="6" t="n"/>
      <c r="AV245" s="22" t="n"/>
      <c r="AW245" s="6" t="n"/>
      <c r="AX245" s="6" t="n"/>
      <c r="AY245" s="6" t="n"/>
      <c r="AZ245" s="6" t="n"/>
      <c r="BA245" s="22" t="n"/>
      <c r="BB245" s="6" t="n"/>
      <c r="BC245" s="6" t="n"/>
      <c r="BD245" s="6" t="n"/>
      <c r="BE245" s="6" t="n"/>
      <c r="BF245" s="22" t="n"/>
      <c r="BG245" s="6" t="n"/>
      <c r="BH245" s="6" t="n"/>
      <c r="BI245" s="6" t="n"/>
      <c r="BJ245" s="6" t="n"/>
      <c r="BK245" s="22" t="n"/>
      <c r="BL245" s="6" t="n"/>
      <c r="BM245" s="6" t="n"/>
      <c r="BN245" s="6" t="n"/>
      <c r="BO245" s="6" t="n"/>
      <c r="BP245" s="22" t="n"/>
      <c r="BQ245" s="6" t="n"/>
      <c r="BR245" s="6" t="n"/>
      <c r="BS245" s="6" t="n"/>
      <c r="BT245" s="6" t="n"/>
      <c r="BU245" s="22" t="n"/>
      <c r="BV245" s="6" t="n"/>
      <c r="BW245" s="6" t="n"/>
      <c r="BX245" s="6" t="n"/>
      <c r="BY245" s="6" t="n"/>
      <c r="BZ245" s="22" t="n"/>
      <c r="CA245" s="6" t="n"/>
      <c r="CB245" s="6" t="n"/>
      <c r="CC245" s="6" t="n"/>
      <c r="CD245" s="6" t="n"/>
      <c r="CE245" s="22" t="n"/>
      <c r="CF245" s="6" t="n"/>
      <c r="CG245" s="6" t="n"/>
      <c r="CH245" s="6" t="n"/>
      <c r="CI245" s="6" t="n"/>
      <c r="CJ245" s="22" t="n"/>
      <c r="CK245" s="6" t="n"/>
      <c r="CL245" s="6" t="n"/>
      <c r="CM245" s="6" t="n"/>
      <c r="CN245" s="6" t="n"/>
      <c r="CO245" s="22" t="n"/>
      <c r="CP245" s="6" t="n"/>
      <c r="CQ245" s="6" t="n"/>
      <c r="CR245" s="6" t="n"/>
      <c r="CS245" s="6" t="n"/>
      <c r="CT245" s="22" t="n"/>
      <c r="CU245" s="6" t="n"/>
      <c r="CV245" s="6" t="n"/>
      <c r="CW245" s="6" t="n"/>
      <c r="CX245" s="6" t="n"/>
      <c r="CY245" s="22" t="n"/>
    </row>
    <row r="246" hidden="1" outlineLevel="1" customFormat="1" s="39">
      <c r="A246" s="19" t="n"/>
      <c r="B246" s="19" t="n"/>
      <c r="C246" s="41" t="inlineStr">
        <is>
          <t>Expected average share price</t>
        </is>
      </c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51" t="n"/>
      <c r="AH246" s="42">
        <f>AG246*(1+AH247)</f>
        <v>0</v>
      </c>
      <c r="AI246" s="42">
        <f>AH246*(1+AI247)</f>
        <v>0</v>
      </c>
      <c r="AJ246" s="42">
        <f>AI246*(1+AJ247)</f>
        <v>0</v>
      </c>
      <c r="AK246" s="42">
        <f>AJ246*(1+AK247)</f>
        <v>0</v>
      </c>
      <c r="AL246" s="22" t="n"/>
      <c r="AM246" s="42">
        <f>AK246*(1+AM247)</f>
        <v>0</v>
      </c>
      <c r="AN246" s="42">
        <f>AM246*(1+AN247)</f>
        <v>0</v>
      </c>
      <c r="AO246" s="42">
        <f>AN246*(1+AO247)</f>
        <v>0</v>
      </c>
      <c r="AP246" s="42">
        <f>AO246*(1+AP247)</f>
        <v>0</v>
      </c>
      <c r="AQ246" s="22" t="n"/>
      <c r="AR246" s="42">
        <f>AP246*(1+AR247)</f>
        <v>0</v>
      </c>
      <c r="AS246" s="42">
        <f>AR246*(1+AS247)</f>
        <v>0</v>
      </c>
      <c r="AT246" s="42">
        <f>AS246*(1+AT247)</f>
        <v>0</v>
      </c>
      <c r="AU246" s="42">
        <f>AT246*(1+AU247)</f>
        <v>0</v>
      </c>
      <c r="AV246" s="22" t="n"/>
      <c r="AW246" s="42">
        <f>AU246*(1+AW247)</f>
        <v>0</v>
      </c>
      <c r="AX246" s="42">
        <f>AW246*(1+AX247)</f>
        <v>0</v>
      </c>
      <c r="AY246" s="42">
        <f>AX246*(1+AY247)</f>
        <v>0</v>
      </c>
      <c r="AZ246" s="42">
        <f>AY246*(1+AZ247)</f>
        <v>0</v>
      </c>
      <c r="BA246" s="22" t="n"/>
      <c r="BB246" s="42">
        <f>AZ246*(1+BB247)</f>
        <v>0</v>
      </c>
      <c r="BC246" s="42">
        <f>BB246*(1+BC247)</f>
        <v>0</v>
      </c>
      <c r="BD246" s="42">
        <f>BC246*(1+BD247)</f>
        <v>0</v>
      </c>
      <c r="BE246" s="42">
        <f>BD246*(1+BE247)</f>
        <v>0</v>
      </c>
      <c r="BF246" s="22" t="n"/>
      <c r="BG246" s="42">
        <f>BE246*(1+BG247)</f>
        <v>0</v>
      </c>
      <c r="BH246" s="42">
        <f>BG246*(1+BH247)</f>
        <v>0</v>
      </c>
      <c r="BI246" s="42">
        <f>BH246*(1+BI247)</f>
        <v>0</v>
      </c>
      <c r="BJ246" s="42">
        <f>BI246*(1+BJ247)</f>
        <v>0</v>
      </c>
      <c r="BK246" s="22" t="n"/>
      <c r="BL246" s="42">
        <f>BJ246*(1+BL247)</f>
        <v>0</v>
      </c>
      <c r="BM246" s="42">
        <f>BL246*(1+BM247)</f>
        <v>0</v>
      </c>
      <c r="BN246" s="42">
        <f>BM246*(1+BN247)</f>
        <v>0</v>
      </c>
      <c r="BO246" s="42">
        <f>BN246*(1+BO247)</f>
        <v>0</v>
      </c>
      <c r="BP246" s="22" t="n"/>
      <c r="BQ246" s="42">
        <f>BO246*(1+BQ247)</f>
        <v>0</v>
      </c>
      <c r="BR246" s="42">
        <f>BQ246*(1+BR247)</f>
        <v>0</v>
      </c>
      <c r="BS246" s="42">
        <f>BR246*(1+BS247)</f>
        <v>0</v>
      </c>
      <c r="BT246" s="42">
        <f>BS246*(1+BT247)</f>
        <v>0</v>
      </c>
      <c r="BU246" s="22" t="n"/>
      <c r="BV246" s="42">
        <f>BT246*(1+BV247)</f>
        <v>0</v>
      </c>
      <c r="BW246" s="42">
        <f>BV246*(1+BW247)</f>
        <v>0</v>
      </c>
      <c r="BX246" s="42">
        <f>BW246*(1+BX247)</f>
        <v>0</v>
      </c>
      <c r="BY246" s="42">
        <f>BX246*(1+BY247)</f>
        <v>0</v>
      </c>
      <c r="BZ246" s="22" t="n"/>
      <c r="CA246" s="42">
        <f>BY246*(1+CA247)</f>
        <v>0</v>
      </c>
      <c r="CB246" s="42">
        <f>CA246*(1+CB247)</f>
        <v>0</v>
      </c>
      <c r="CC246" s="42">
        <f>CB246*(1+CC247)</f>
        <v>0</v>
      </c>
      <c r="CD246" s="42">
        <f>CC246*(1+CD247)</f>
        <v>0</v>
      </c>
      <c r="CE246" s="22" t="n"/>
      <c r="CF246" s="42">
        <f>CD246*(1+CF247)</f>
        <v>0</v>
      </c>
      <c r="CG246" s="42">
        <f>CF246*(1+CG247)</f>
        <v>0</v>
      </c>
      <c r="CH246" s="42">
        <f>CG246*(1+CH247)</f>
        <v>0</v>
      </c>
      <c r="CI246" s="42">
        <f>CH246*(1+CI247)</f>
        <v>0</v>
      </c>
      <c r="CJ246" s="22" t="n"/>
      <c r="CK246" s="42">
        <f>CI246*(1+CK247)</f>
        <v>0</v>
      </c>
      <c r="CL246" s="42">
        <f>CK246*(1+CL247)</f>
        <v>0</v>
      </c>
      <c r="CM246" s="42">
        <f>CL246*(1+CM247)</f>
        <v>0</v>
      </c>
      <c r="CN246" s="42">
        <f>CM246*(1+CN247)</f>
        <v>0</v>
      </c>
      <c r="CO246" s="22" t="n"/>
      <c r="CP246" s="42">
        <f>CN246*(1+CP247)</f>
        <v>0</v>
      </c>
      <c r="CQ246" s="42">
        <f>CP246*(1+CQ247)</f>
        <v>0</v>
      </c>
      <c r="CR246" s="42">
        <f>CQ246*(1+CR247)</f>
        <v>0</v>
      </c>
      <c r="CS246" s="42">
        <f>CR246*(1+CS247)</f>
        <v>0</v>
      </c>
      <c r="CT246" s="22" t="n"/>
      <c r="CU246" s="42">
        <f>CS246*(1+CU247)</f>
        <v>0</v>
      </c>
      <c r="CV246" s="42">
        <f>CU246*(1+CV247)</f>
        <v>0</v>
      </c>
      <c r="CW246" s="42">
        <f>CV246*(1+CW247)</f>
        <v>0</v>
      </c>
      <c r="CX246" s="42">
        <f>CW246*(1+CX247)</f>
        <v>0</v>
      </c>
      <c r="CY246" s="22" t="n"/>
      <c r="CZ246">
        <f>CX246*(1+CZ247)</f>
        <v>0</v>
      </c>
      <c r="DA246">
        <f>CZ246*(1+DA247)</f>
        <v>0</v>
      </c>
      <c r="DB246">
        <f>DA246*(1+DB247)</f>
        <v>0</v>
      </c>
      <c r="DC246">
        <f>DB246*(1+DC247)</f>
        <v>0</v>
      </c>
    </row>
    <row r="247" hidden="1" outlineLevel="1" customFormat="1" s="39">
      <c r="A247" s="19" t="n"/>
      <c r="B247" s="19" t="n"/>
      <c r="C247" s="41" t="inlineStr">
        <is>
          <t>Consensus EPS growth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40">
        <f>$AL$252</f>
        <v>0</v>
      </c>
      <c r="AI247" s="40">
        <f>$AL$252</f>
        <v>0</v>
      </c>
      <c r="AJ247" s="40">
        <f>$AL$252</f>
        <v>0</v>
      </c>
      <c r="AK247" s="40">
        <f>$AL$252</f>
        <v>0</v>
      </c>
      <c r="AL247" s="22" t="n"/>
      <c r="AM247" s="40">
        <f>$AL$252</f>
        <v>0</v>
      </c>
      <c r="AN247" s="40">
        <f>$AL$252</f>
        <v>0</v>
      </c>
      <c r="AO247" s="40">
        <f>$AL$252</f>
        <v>0</v>
      </c>
      <c r="AP247" s="40">
        <f>$AL$252</f>
        <v>0</v>
      </c>
      <c r="AQ247" s="22" t="n"/>
      <c r="AR247" s="40">
        <f>$AL$252</f>
        <v>0</v>
      </c>
      <c r="AS247" s="40">
        <f>$AL$252</f>
        <v>0</v>
      </c>
      <c r="AT247" s="40">
        <f>$AL$252</f>
        <v>0</v>
      </c>
      <c r="AU247" s="40">
        <f>$AL$252</f>
        <v>0</v>
      </c>
      <c r="AV247" s="22" t="n"/>
      <c r="AW247" s="40">
        <f>$AL$252</f>
        <v>0</v>
      </c>
      <c r="AX247" s="40">
        <f>$AL$252</f>
        <v>0</v>
      </c>
      <c r="AY247" s="40">
        <f>$AL$252</f>
        <v>0</v>
      </c>
      <c r="AZ247" s="40">
        <f>$AL$252</f>
        <v>0</v>
      </c>
      <c r="BA247" s="22" t="n"/>
      <c r="BB247" s="40">
        <f>$AL$252</f>
        <v>0</v>
      </c>
      <c r="BC247" s="40">
        <f>$AL$252</f>
        <v>0</v>
      </c>
      <c r="BD247" s="40">
        <f>$AL$252</f>
        <v>0</v>
      </c>
      <c r="BE247" s="40">
        <f>$AL$252</f>
        <v>0</v>
      </c>
      <c r="BF247" s="22" t="n"/>
      <c r="BG247" s="40">
        <f>$AL$252</f>
        <v>0</v>
      </c>
      <c r="BH247" s="40">
        <f>$AL$252</f>
        <v>0</v>
      </c>
      <c r="BI247" s="40">
        <f>$AL$252</f>
        <v>0</v>
      </c>
      <c r="BJ247" s="40">
        <f>$AL$252</f>
        <v>0</v>
      </c>
      <c r="BK247" s="22" t="n"/>
      <c r="BL247" s="40">
        <f>$AL$252</f>
        <v>0</v>
      </c>
      <c r="BM247" s="40">
        <f>$AL$252</f>
        <v>0</v>
      </c>
      <c r="BN247" s="40">
        <f>$AL$252</f>
        <v>0</v>
      </c>
      <c r="BO247" s="40">
        <f>$AL$252</f>
        <v>0</v>
      </c>
      <c r="BP247" s="22" t="n"/>
      <c r="BQ247" s="40">
        <f>$AL$252</f>
        <v>0</v>
      </c>
      <c r="BR247" s="40">
        <f>$AL$252</f>
        <v>0</v>
      </c>
      <c r="BS247" s="40">
        <f>$AL$252</f>
        <v>0</v>
      </c>
      <c r="BT247" s="40">
        <f>$AL$252</f>
        <v>0</v>
      </c>
      <c r="BU247" s="22" t="n"/>
      <c r="BV247" s="40">
        <f>$AL$252</f>
        <v>0</v>
      </c>
      <c r="BW247" s="40">
        <f>$AL$252</f>
        <v>0</v>
      </c>
      <c r="BX247" s="40">
        <f>$AL$252</f>
        <v>0</v>
      </c>
      <c r="BY247" s="40">
        <f>$AL$252</f>
        <v>0</v>
      </c>
      <c r="BZ247" s="22" t="n"/>
      <c r="CA247" s="40">
        <f>$AL$252</f>
        <v>0</v>
      </c>
      <c r="CB247" s="40">
        <f>$AL$252</f>
        <v>0</v>
      </c>
      <c r="CC247" s="40">
        <f>$AL$252</f>
        <v>0</v>
      </c>
      <c r="CD247" s="40">
        <f>$AL$252</f>
        <v>0</v>
      </c>
      <c r="CE247" s="22" t="n"/>
      <c r="CF247" s="40">
        <f>$AL$252</f>
        <v>0</v>
      </c>
      <c r="CG247" s="40">
        <f>$AL$252</f>
        <v>0</v>
      </c>
      <c r="CH247" s="40">
        <f>$AL$252</f>
        <v>0</v>
      </c>
      <c r="CI247" s="40">
        <f>$AL$252</f>
        <v>0</v>
      </c>
      <c r="CJ247" s="22" t="n"/>
      <c r="CK247" s="40">
        <f>$AL$252</f>
        <v>0</v>
      </c>
      <c r="CL247" s="40">
        <f>$AL$252</f>
        <v>0</v>
      </c>
      <c r="CM247" s="40">
        <f>$AL$252</f>
        <v>0</v>
      </c>
      <c r="CN247" s="40">
        <f>$AL$252</f>
        <v>0</v>
      </c>
      <c r="CO247" s="22" t="n"/>
      <c r="CP247" s="40">
        <f>$AL$252</f>
        <v>0</v>
      </c>
      <c r="CQ247" s="40">
        <f>$AL$252</f>
        <v>0</v>
      </c>
      <c r="CR247" s="40">
        <f>$AL$252</f>
        <v>0</v>
      </c>
      <c r="CS247" s="40">
        <f>$AL$252</f>
        <v>0</v>
      </c>
      <c r="CT247" s="22" t="n"/>
      <c r="CU247" s="40">
        <f>$AL$252</f>
        <v>0</v>
      </c>
      <c r="CV247" s="40">
        <f>$AL$252</f>
        <v>0</v>
      </c>
      <c r="CW247" s="40">
        <f>$AL$252</f>
        <v>0</v>
      </c>
      <c r="CX247" s="40">
        <f>$AL$252</f>
        <v>0</v>
      </c>
      <c r="CY247" s="22" t="n"/>
    </row>
    <row r="248" hidden="1" outlineLevel="1" customFormat="1" s="39">
      <c r="A248" s="19" t="n"/>
      <c r="B248" s="19" t="n"/>
      <c r="C248" s="41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3" t="n"/>
      <c r="AI248" s="3" t="n"/>
      <c r="AJ248" s="3" t="n"/>
      <c r="AK248" s="3" t="n"/>
      <c r="AL248" s="22" t="n"/>
      <c r="AM248" s="3" t="n"/>
      <c r="AN248" s="3" t="n"/>
      <c r="AO248" s="3" t="n"/>
      <c r="AP248" s="3" t="n"/>
      <c r="AQ248" s="22" t="n"/>
      <c r="AR248" s="3" t="n"/>
      <c r="AS248" s="3" t="n"/>
      <c r="AT248" s="3" t="n"/>
      <c r="AU248" s="3" t="n"/>
      <c r="AV248" s="22" t="n"/>
      <c r="AW248" s="3" t="n"/>
      <c r="AX248" s="3" t="n"/>
      <c r="AY248" s="3" t="n"/>
      <c r="AZ248" s="3" t="n"/>
      <c r="BA248" s="22" t="n"/>
      <c r="BB248" s="3" t="n"/>
      <c r="BC248" s="3" t="n"/>
      <c r="BD248" s="3" t="n"/>
      <c r="BE248" s="3" t="n"/>
      <c r="BF248" s="22" t="n"/>
      <c r="BG248" s="3" t="n"/>
      <c r="BH248" s="3" t="n"/>
      <c r="BI248" s="3" t="n"/>
      <c r="BJ248" s="3" t="n"/>
      <c r="BK248" s="22" t="n"/>
      <c r="BL248" s="3" t="n"/>
      <c r="BM248" s="3" t="n"/>
      <c r="BN248" s="3" t="n"/>
      <c r="BO248" s="3" t="n"/>
      <c r="BP248" s="22" t="n"/>
      <c r="BQ248" s="3" t="n"/>
      <c r="BR248" s="3" t="n"/>
      <c r="BS248" s="3" t="n"/>
      <c r="BT248" s="3" t="n"/>
      <c r="BU248" s="22" t="n"/>
      <c r="BV248" s="3" t="n"/>
      <c r="BW248" s="3" t="n"/>
      <c r="BX248" s="3" t="n"/>
      <c r="BY248" s="3" t="n"/>
      <c r="BZ248" s="22" t="n"/>
      <c r="CA248" s="3" t="n"/>
      <c r="CB248" s="3" t="n"/>
      <c r="CC248" s="3" t="n"/>
      <c r="CD248" s="3" t="n"/>
      <c r="CE248" s="22" t="n"/>
      <c r="CF248" s="3" t="n"/>
      <c r="CG248" s="3" t="n"/>
      <c r="CH248" s="3" t="n"/>
      <c r="CI248" s="3" t="n"/>
      <c r="CJ248" s="22" t="n"/>
      <c r="CK248" s="3" t="n"/>
      <c r="CL248" s="3" t="n"/>
      <c r="CM248" s="3" t="n"/>
      <c r="CN248" s="3" t="n"/>
      <c r="CO248" s="22" t="n"/>
      <c r="CP248" s="3" t="n"/>
      <c r="CQ248" s="3" t="n"/>
      <c r="CR248" s="3" t="n"/>
      <c r="CS248" s="3" t="n"/>
      <c r="CT248" s="22" t="n"/>
      <c r="CU248" s="3" t="n"/>
      <c r="CV248" s="3" t="n"/>
      <c r="CW248" s="3" t="n"/>
      <c r="CX248" s="3" t="n"/>
      <c r="CY248" s="22" t="n"/>
    </row>
    <row r="249" hidden="1" outlineLevel="1" customFormat="1" s="39">
      <c r="A249" s="19" t="n"/>
      <c r="B249" s="19" t="n"/>
      <c r="C249" s="41" t="inlineStr">
        <is>
          <t>Shares repurchased</t>
        </is>
      </c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43" t="n"/>
      <c r="AI249" s="43" t="n"/>
      <c r="AJ249" s="43" t="e">
        <f>-AJ244/AJ246</f>
        <v>#DIV/0!</v>
      </c>
      <c r="AK249" s="43" t="e">
        <f>-AK244/AK246</f>
        <v>#DIV/0!</v>
      </c>
      <c r="AL249" s="22" t="n"/>
      <c r="AM249" s="43" t="e">
        <f>-AM244/AM246</f>
        <v>#DIV/0!</v>
      </c>
      <c r="AN249" s="43" t="e">
        <f>-AN244/AN246</f>
        <v>#DIV/0!</v>
      </c>
      <c r="AO249" s="43" t="e">
        <f>-AO244/AO246</f>
        <v>#DIV/0!</v>
      </c>
      <c r="AP249" s="43" t="e">
        <f>-AP244/AP246</f>
        <v>#DIV/0!</v>
      </c>
      <c r="AQ249" s="22" t="n"/>
      <c r="AR249" s="43" t="e">
        <f>-AR244/AR246</f>
        <v>#DIV/0!</v>
      </c>
      <c r="AS249" s="43" t="e">
        <f>-AS244/AS246</f>
        <v>#DIV/0!</v>
      </c>
      <c r="AT249" s="43" t="e">
        <f>-AT244/AT246</f>
        <v>#DIV/0!</v>
      </c>
      <c r="AU249" s="43" t="e">
        <f>-AU244/AU246</f>
        <v>#DIV/0!</v>
      </c>
      <c r="AV249" s="22" t="n"/>
      <c r="AW249" s="43" t="e">
        <f>-AW244/AW246</f>
        <v>#DIV/0!</v>
      </c>
      <c r="AX249" s="43" t="e">
        <f>-AX244/AX246</f>
        <v>#DIV/0!</v>
      </c>
      <c r="AY249" s="43" t="e">
        <f>-AY244/AY246</f>
        <v>#DIV/0!</v>
      </c>
      <c r="AZ249" s="43" t="e">
        <f>-AZ244/AZ246</f>
        <v>#DIV/0!</v>
      </c>
      <c r="BA249" s="22" t="n"/>
      <c r="BB249" s="43" t="e">
        <f>-BB244/BB246</f>
        <v>#DIV/0!</v>
      </c>
      <c r="BC249" s="43" t="e">
        <f>-BC244/BC246</f>
        <v>#DIV/0!</v>
      </c>
      <c r="BD249" s="43" t="e">
        <f>-BD244/BD246</f>
        <v>#DIV/0!</v>
      </c>
      <c r="BE249" s="43" t="e">
        <f>-BE244/BE246</f>
        <v>#DIV/0!</v>
      </c>
      <c r="BF249" s="22" t="n"/>
      <c r="BG249" s="43" t="e">
        <f>-BG244/BG246</f>
        <v>#DIV/0!</v>
      </c>
      <c r="BH249" s="43" t="e">
        <f>-BH244/BH246</f>
        <v>#DIV/0!</v>
      </c>
      <c r="BI249" s="43" t="e">
        <f>-BI244/BI246</f>
        <v>#DIV/0!</v>
      </c>
      <c r="BJ249" s="43" t="e">
        <f>-BJ244/BJ246</f>
        <v>#DIV/0!</v>
      </c>
      <c r="BK249" s="22" t="n"/>
      <c r="BL249" s="43" t="e">
        <f>-BL244/BL246</f>
        <v>#DIV/0!</v>
      </c>
      <c r="BM249" s="43" t="e">
        <f>-BM244/BM246</f>
        <v>#DIV/0!</v>
      </c>
      <c r="BN249" s="43" t="e">
        <f>-BN244/BN246</f>
        <v>#DIV/0!</v>
      </c>
      <c r="BO249" s="43" t="e">
        <f>-BO244/BO246</f>
        <v>#DIV/0!</v>
      </c>
      <c r="BP249" s="22" t="n"/>
      <c r="BQ249" s="43" t="e">
        <f>-BQ244/BQ246</f>
        <v>#DIV/0!</v>
      </c>
      <c r="BR249" s="43" t="e">
        <f>-BR244/BR246</f>
        <v>#DIV/0!</v>
      </c>
      <c r="BS249" s="43" t="e">
        <f>-BS244/BS246</f>
        <v>#DIV/0!</v>
      </c>
      <c r="BT249" s="43" t="e">
        <f>-BT244/BT246</f>
        <v>#DIV/0!</v>
      </c>
      <c r="BU249" s="22" t="n"/>
      <c r="BV249" s="43" t="e">
        <f>-BV244/BV246</f>
        <v>#DIV/0!</v>
      </c>
      <c r="BW249" s="43" t="e">
        <f>-BW244/BW246</f>
        <v>#DIV/0!</v>
      </c>
      <c r="BX249" s="43" t="e">
        <f>-BX244/BX246</f>
        <v>#DIV/0!</v>
      </c>
      <c r="BY249" s="43" t="e">
        <f>-BY244/BY246</f>
        <v>#DIV/0!</v>
      </c>
      <c r="BZ249" s="22" t="n"/>
      <c r="CA249" s="43" t="e">
        <f>-CA244/CA246</f>
        <v>#DIV/0!</v>
      </c>
      <c r="CB249" s="43" t="e">
        <f>-CB244/CB246</f>
        <v>#DIV/0!</v>
      </c>
      <c r="CC249" s="43" t="e">
        <f>-CC244/CC246</f>
        <v>#DIV/0!</v>
      </c>
      <c r="CD249" s="43" t="e">
        <f>-CD244/CD246</f>
        <v>#DIV/0!</v>
      </c>
      <c r="CE249" s="22" t="n"/>
      <c r="CF249" s="43" t="e">
        <f>-CF244/CF246</f>
        <v>#DIV/0!</v>
      </c>
      <c r="CG249" s="43" t="e">
        <f>-CG244/CG246</f>
        <v>#DIV/0!</v>
      </c>
      <c r="CH249" s="43" t="e">
        <f>-CH244/CH246</f>
        <v>#DIV/0!</v>
      </c>
      <c r="CI249" s="43" t="e">
        <f>-CI244/CI246</f>
        <v>#DIV/0!</v>
      </c>
      <c r="CJ249" s="22" t="n"/>
      <c r="CK249" s="43" t="e">
        <f>-CK244/CK246</f>
        <v>#DIV/0!</v>
      </c>
      <c r="CL249" s="43" t="e">
        <f>-CL244/CL246</f>
        <v>#DIV/0!</v>
      </c>
      <c r="CM249" s="43" t="e">
        <f>-CM244/CM246</f>
        <v>#DIV/0!</v>
      </c>
      <c r="CN249" s="43" t="e">
        <f>-CN244/CN246</f>
        <v>#DIV/0!</v>
      </c>
      <c r="CO249" s="22" t="n"/>
      <c r="CP249" s="43" t="e">
        <f>-CP244/CP246</f>
        <v>#DIV/0!</v>
      </c>
      <c r="CQ249" s="43" t="e">
        <f>-CQ244/CQ246</f>
        <v>#DIV/0!</v>
      </c>
      <c r="CR249" s="43" t="e">
        <f>-CR244/CR246</f>
        <v>#DIV/0!</v>
      </c>
      <c r="CS249" s="43" t="e">
        <f>-CS244/CS246</f>
        <v>#DIV/0!</v>
      </c>
      <c r="CT249" s="22" t="n"/>
      <c r="CU249" s="43" t="e">
        <f>-CU244/CU246</f>
        <v>#DIV/0!</v>
      </c>
      <c r="CV249" s="43" t="e">
        <f>-CV244/CV246</f>
        <v>#DIV/0!</v>
      </c>
      <c r="CW249" s="43" t="e">
        <f>-CW244/CW246</f>
        <v>#DIV/0!</v>
      </c>
      <c r="CX249" s="43" t="e">
        <f>-CX244/CX246</f>
        <v>#DIV/0!</v>
      </c>
      <c r="CY249" s="22" t="n"/>
    </row>
    <row r="250" hidden="1" outlineLevel="1" customFormat="1" s="39">
      <c r="A250" s="19" t="n"/>
      <c r="B250" s="19" t="n"/>
      <c r="C250" s="41" t="inlineStr">
        <is>
          <t>Shares issued</t>
        </is>
      </c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46" t="n"/>
      <c r="AG250" s="22" t="n"/>
      <c r="AH250" s="43" t="n"/>
      <c r="AI250" s="43" t="n"/>
      <c r="AJ250" s="43" t="e">
        <f>AJ245/AJ246</f>
        <v>#DIV/0!</v>
      </c>
      <c r="AK250" s="43" t="e">
        <f>AK245/AK246</f>
        <v>#DIV/0!</v>
      </c>
      <c r="AL250" s="22" t="n"/>
      <c r="AM250" s="43" t="e">
        <f>AM245/AM246</f>
        <v>#DIV/0!</v>
      </c>
      <c r="AN250" s="43" t="e">
        <f>AN245/AN246</f>
        <v>#DIV/0!</v>
      </c>
      <c r="AO250" s="43" t="e">
        <f>AO245/AO246</f>
        <v>#DIV/0!</v>
      </c>
      <c r="AP250" s="43" t="e">
        <f>AP245/AP246</f>
        <v>#DIV/0!</v>
      </c>
      <c r="AQ250" s="22" t="n"/>
      <c r="AR250" s="43" t="e">
        <f>AR245/AR246</f>
        <v>#DIV/0!</v>
      </c>
      <c r="AS250" s="43" t="e">
        <f>AS245/AS246</f>
        <v>#DIV/0!</v>
      </c>
      <c r="AT250" s="43" t="e">
        <f>AT245/AT246</f>
        <v>#DIV/0!</v>
      </c>
      <c r="AU250" s="43" t="e">
        <f>AU245/AU246</f>
        <v>#DIV/0!</v>
      </c>
      <c r="AV250" s="22" t="n"/>
      <c r="AW250" s="43" t="e">
        <f>AW245/AW246</f>
        <v>#DIV/0!</v>
      </c>
      <c r="AX250" s="43" t="e">
        <f>AX245/AX246</f>
        <v>#DIV/0!</v>
      </c>
      <c r="AY250" s="43" t="e">
        <f>AY245/AY246</f>
        <v>#DIV/0!</v>
      </c>
      <c r="AZ250" s="43" t="e">
        <f>AZ245/AZ246</f>
        <v>#DIV/0!</v>
      </c>
      <c r="BA250" s="22" t="n"/>
      <c r="BB250" s="43" t="e">
        <f>BB245/BB246</f>
        <v>#DIV/0!</v>
      </c>
      <c r="BC250" s="43" t="e">
        <f>BC245/BC246</f>
        <v>#DIV/0!</v>
      </c>
      <c r="BD250" s="43" t="e">
        <f>BD245/BD246</f>
        <v>#DIV/0!</v>
      </c>
      <c r="BE250" s="43" t="e">
        <f>BE245/BE246</f>
        <v>#DIV/0!</v>
      </c>
      <c r="BF250" s="22" t="n"/>
      <c r="BG250" s="43" t="e">
        <f>BG245/BG246</f>
        <v>#DIV/0!</v>
      </c>
      <c r="BH250" s="43" t="e">
        <f>BH245/BH246</f>
        <v>#DIV/0!</v>
      </c>
      <c r="BI250" s="43" t="e">
        <f>BI245/BI246</f>
        <v>#DIV/0!</v>
      </c>
      <c r="BJ250" s="43" t="e">
        <f>BJ245/BJ246</f>
        <v>#DIV/0!</v>
      </c>
      <c r="BK250" s="22" t="n"/>
      <c r="BL250" s="43" t="e">
        <f>BL245/BL246</f>
        <v>#DIV/0!</v>
      </c>
      <c r="BM250" s="43" t="e">
        <f>BM245/BM246</f>
        <v>#DIV/0!</v>
      </c>
      <c r="BN250" s="43" t="e">
        <f>BN245/BN246</f>
        <v>#DIV/0!</v>
      </c>
      <c r="BO250" s="43" t="e">
        <f>BO245/BO246</f>
        <v>#DIV/0!</v>
      </c>
      <c r="BP250" s="22" t="n"/>
      <c r="BQ250" s="43" t="e">
        <f>BQ245/BQ246</f>
        <v>#DIV/0!</v>
      </c>
      <c r="BR250" s="43" t="e">
        <f>BR245/BR246</f>
        <v>#DIV/0!</v>
      </c>
      <c r="BS250" s="43" t="e">
        <f>BS245/BS246</f>
        <v>#DIV/0!</v>
      </c>
      <c r="BT250" s="43" t="e">
        <f>BT245/BT246</f>
        <v>#DIV/0!</v>
      </c>
      <c r="BU250" s="22" t="n"/>
      <c r="BV250" s="43" t="e">
        <f>BV245/BV246</f>
        <v>#DIV/0!</v>
      </c>
      <c r="BW250" s="43" t="e">
        <f>BW245/BW246</f>
        <v>#DIV/0!</v>
      </c>
      <c r="BX250" s="43" t="e">
        <f>BX245/BX246</f>
        <v>#DIV/0!</v>
      </c>
      <c r="BY250" s="43" t="e">
        <f>BY245/BY246</f>
        <v>#DIV/0!</v>
      </c>
      <c r="BZ250" s="22" t="n"/>
      <c r="CA250" s="43" t="e">
        <f>CA245/CA246</f>
        <v>#DIV/0!</v>
      </c>
      <c r="CB250" s="43" t="e">
        <f>CB245/CB246</f>
        <v>#DIV/0!</v>
      </c>
      <c r="CC250" s="43" t="e">
        <f>CC245/CC246</f>
        <v>#DIV/0!</v>
      </c>
      <c r="CD250" s="43" t="e">
        <f>CD245/CD246</f>
        <v>#DIV/0!</v>
      </c>
      <c r="CE250" s="22" t="n"/>
      <c r="CF250" s="43" t="e">
        <f>CF245/CF246</f>
        <v>#DIV/0!</v>
      </c>
      <c r="CG250" s="43" t="e">
        <f>CG245/CG246</f>
        <v>#DIV/0!</v>
      </c>
      <c r="CH250" s="43" t="e">
        <f>CH245/CH246</f>
        <v>#DIV/0!</v>
      </c>
      <c r="CI250" s="43" t="e">
        <f>CI245/CI246</f>
        <v>#DIV/0!</v>
      </c>
      <c r="CJ250" s="22" t="n"/>
      <c r="CK250" s="43" t="e">
        <f>CK245/CK246</f>
        <v>#DIV/0!</v>
      </c>
      <c r="CL250" s="43" t="e">
        <f>CL245/CL246</f>
        <v>#DIV/0!</v>
      </c>
      <c r="CM250" s="43" t="e">
        <f>CM245/CM246</f>
        <v>#DIV/0!</v>
      </c>
      <c r="CN250" s="43" t="e">
        <f>CN245/CN246</f>
        <v>#DIV/0!</v>
      </c>
      <c r="CO250" s="22" t="n"/>
      <c r="CP250" s="43" t="e">
        <f>CP245/CP246</f>
        <v>#DIV/0!</v>
      </c>
      <c r="CQ250" s="43" t="e">
        <f>CQ245/CQ246</f>
        <v>#DIV/0!</v>
      </c>
      <c r="CR250" s="43" t="e">
        <f>CR245/CR246</f>
        <v>#DIV/0!</v>
      </c>
      <c r="CS250" s="43" t="e">
        <f>CS245/CS246</f>
        <v>#DIV/0!</v>
      </c>
      <c r="CT250" s="22" t="n"/>
      <c r="CU250" s="43" t="e">
        <f>CU245/CU246</f>
        <v>#DIV/0!</v>
      </c>
      <c r="CV250" s="43" t="e">
        <f>CV245/CV246</f>
        <v>#DIV/0!</v>
      </c>
      <c r="CW250" s="43" t="e">
        <f>CW245/CW246</f>
        <v>#DIV/0!</v>
      </c>
      <c r="CX250" s="43" t="e">
        <f>CX245/CX246</f>
        <v>#DIV/0!</v>
      </c>
      <c r="CY250" s="22" t="n"/>
    </row>
    <row r="251" hidden="1" outlineLevel="1" customFormat="1" s="39">
      <c r="A251" s="19" t="n"/>
      <c r="B251" s="19" t="n"/>
      <c r="C251" s="41" t="inlineStr">
        <is>
          <t>End of period basic shares outstanding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51" t="n"/>
      <c r="AH251" s="1">
        <f>AG251+AH250-AH249</f>
        <v>0</v>
      </c>
      <c r="AI251" s="1">
        <f>AH251+AI250-AI249</f>
        <v>0</v>
      </c>
      <c r="AJ251" s="43" t="e">
        <f>AI251+AJ250-AJ249</f>
        <v>#DIV/0!</v>
      </c>
      <c r="AK251" s="43" t="e">
        <f>AJ251+AK250-AK249</f>
        <v>#DIV/0!</v>
      </c>
      <c r="AL251" s="22" t="n"/>
      <c r="AM251" s="1" t="e">
        <f>AK251+AM250-AM249</f>
        <v>#DIV/0!</v>
      </c>
      <c r="AN251" s="1" t="e">
        <f>AM251+AN250-AN249</f>
        <v>#DIV/0!</v>
      </c>
      <c r="AO251" s="43" t="e">
        <f>AN251+AO250-AO249</f>
        <v>#DIV/0!</v>
      </c>
      <c r="AP251" s="43" t="e">
        <f>AO251+AP250-AP249</f>
        <v>#DIV/0!</v>
      </c>
      <c r="AQ251" s="22" t="n"/>
      <c r="AR251" s="1" t="e">
        <f>AP251+AR250-AR249</f>
        <v>#DIV/0!</v>
      </c>
      <c r="AS251" s="1" t="e">
        <f>AR251+AS250-AS249</f>
        <v>#DIV/0!</v>
      </c>
      <c r="AT251" s="43" t="e">
        <f>AS251+AT250-AT249</f>
        <v>#DIV/0!</v>
      </c>
      <c r="AU251" s="43" t="e">
        <f>AT251+AU250-AU249</f>
        <v>#DIV/0!</v>
      </c>
      <c r="AV251" s="22" t="n"/>
      <c r="AW251" s="1" t="e">
        <f>AU251+AW250-AW249</f>
        <v>#DIV/0!</v>
      </c>
      <c r="AX251" s="1" t="e">
        <f>AW251+AX250-AX249</f>
        <v>#DIV/0!</v>
      </c>
      <c r="AY251" s="43" t="e">
        <f>AX251+AY250-AY249</f>
        <v>#DIV/0!</v>
      </c>
      <c r="AZ251" s="43" t="e">
        <f>AY251+AZ250-AZ249</f>
        <v>#DIV/0!</v>
      </c>
      <c r="BA251" s="22" t="n"/>
      <c r="BB251" s="1" t="e">
        <f>AZ251+BB250-BB249</f>
        <v>#DIV/0!</v>
      </c>
      <c r="BC251" s="1" t="e">
        <f>BB251+BC250-BC249</f>
        <v>#DIV/0!</v>
      </c>
      <c r="BD251" s="43" t="e">
        <f>BC251+BD250-BD249</f>
        <v>#DIV/0!</v>
      </c>
      <c r="BE251" s="43" t="e">
        <f>BD251+BE250-BE249</f>
        <v>#DIV/0!</v>
      </c>
      <c r="BF251" s="22" t="n"/>
      <c r="BG251" s="1" t="e">
        <f>BE251+BG250-BG249</f>
        <v>#DIV/0!</v>
      </c>
      <c r="BH251" s="1" t="e">
        <f>BG251+BH250-BH249</f>
        <v>#DIV/0!</v>
      </c>
      <c r="BI251" s="43" t="e">
        <f>BH251+BI250-BI249</f>
        <v>#DIV/0!</v>
      </c>
      <c r="BJ251" s="43" t="e">
        <f>BI251+BJ250-BJ249</f>
        <v>#DIV/0!</v>
      </c>
      <c r="BK251" s="22" t="n"/>
      <c r="BL251" s="1" t="e">
        <f>BJ251+BL250-BL249</f>
        <v>#DIV/0!</v>
      </c>
      <c r="BM251" s="1" t="e">
        <f>BL251+BM250-BM249</f>
        <v>#DIV/0!</v>
      </c>
      <c r="BN251" s="43" t="e">
        <f>BM251+BN250-BN249</f>
        <v>#DIV/0!</v>
      </c>
      <c r="BO251" s="43" t="e">
        <f>BN251+BO250-BO249</f>
        <v>#DIV/0!</v>
      </c>
      <c r="BP251" s="22" t="n"/>
      <c r="BQ251" s="1" t="e">
        <f>BO251+BQ250-BQ249</f>
        <v>#DIV/0!</v>
      </c>
      <c r="BR251" s="1" t="e">
        <f>BQ251+BR250-BR249</f>
        <v>#DIV/0!</v>
      </c>
      <c r="BS251" s="43" t="e">
        <f>BR251+BS250-BS249</f>
        <v>#DIV/0!</v>
      </c>
      <c r="BT251" s="43" t="e">
        <f>BS251+BT250-BT249</f>
        <v>#DIV/0!</v>
      </c>
      <c r="BU251" s="22" t="n"/>
      <c r="BV251" s="1" t="e">
        <f>BT251+BV250-BV249</f>
        <v>#DIV/0!</v>
      </c>
      <c r="BW251" s="1" t="e">
        <f>BV251+BW250-BW249</f>
        <v>#DIV/0!</v>
      </c>
      <c r="BX251" s="43" t="e">
        <f>BW251+BX250-BX249</f>
        <v>#DIV/0!</v>
      </c>
      <c r="BY251" s="43" t="e">
        <f>BX251+BY250-BY249</f>
        <v>#DIV/0!</v>
      </c>
      <c r="BZ251" s="22" t="n"/>
      <c r="CA251" s="1" t="e">
        <f>BY251+CA250-CA249</f>
        <v>#DIV/0!</v>
      </c>
      <c r="CB251" s="1" t="e">
        <f>CA251+CB250-CB249</f>
        <v>#DIV/0!</v>
      </c>
      <c r="CC251" s="43" t="e">
        <f>CB251+CC250-CC249</f>
        <v>#DIV/0!</v>
      </c>
      <c r="CD251" s="43" t="e">
        <f>CC251+CD250-CD249</f>
        <v>#DIV/0!</v>
      </c>
      <c r="CE251" s="22" t="n"/>
      <c r="CF251" s="1" t="e">
        <f>CD251+CF250-CF249</f>
        <v>#DIV/0!</v>
      </c>
      <c r="CG251" s="1" t="e">
        <f>CF251+CG250-CG249</f>
        <v>#DIV/0!</v>
      </c>
      <c r="CH251" s="43" t="e">
        <f>CG251+CH250-CH249</f>
        <v>#DIV/0!</v>
      </c>
      <c r="CI251" s="43" t="e">
        <f>CH251+CI250-CI249</f>
        <v>#DIV/0!</v>
      </c>
      <c r="CJ251" s="22" t="n"/>
      <c r="CK251" s="1" t="e">
        <f>CI251+CK250-CK249</f>
        <v>#DIV/0!</v>
      </c>
      <c r="CL251" s="1" t="e">
        <f>CK251+CL250-CL249</f>
        <v>#DIV/0!</v>
      </c>
      <c r="CM251" s="43" t="e">
        <f>CL251+CM250-CM249</f>
        <v>#DIV/0!</v>
      </c>
      <c r="CN251" s="43" t="e">
        <f>CM251+CN250-CN249</f>
        <v>#DIV/0!</v>
      </c>
      <c r="CO251" s="22" t="n"/>
      <c r="CP251" s="1" t="e">
        <f>CN251+CP250-CP249</f>
        <v>#DIV/0!</v>
      </c>
      <c r="CQ251" s="1" t="e">
        <f>CP251+CQ250-CQ249</f>
        <v>#DIV/0!</v>
      </c>
      <c r="CR251" s="43" t="e">
        <f>CQ251+CR250-CR249</f>
        <v>#DIV/0!</v>
      </c>
      <c r="CS251" s="43" t="e">
        <f>CR251+CS250-CS249</f>
        <v>#DIV/0!</v>
      </c>
      <c r="CT251" s="22" t="n"/>
      <c r="CU251" s="1" t="e">
        <f>CS251+CU250-CU249</f>
        <v>#DIV/0!</v>
      </c>
      <c r="CV251" s="1" t="e">
        <f>CU251+CV250-CV249</f>
        <v>#DIV/0!</v>
      </c>
      <c r="CW251" s="43" t="e">
        <f>CV251+CW250-CW249</f>
        <v>#DIV/0!</v>
      </c>
      <c r="CX251" s="43" t="e">
        <f>CW251+CX250-CX249</f>
        <v>#DIV/0!</v>
      </c>
      <c r="CY251" s="22" t="n"/>
      <c r="CZ251" t="e">
        <f>CX251+CZ250-CZ249</f>
        <v>#DIV/0!</v>
      </c>
      <c r="DA251" t="e">
        <f>CZ251+DA250-DA249</f>
        <v>#DIV/0!</v>
      </c>
      <c r="DB251" t="e">
        <f>DA251+DB250-DB249</f>
        <v>#DIV/0!</v>
      </c>
      <c r="DC251" t="e">
        <f>DB251+DC250-DC249</f>
        <v>#DIV/0!</v>
      </c>
    </row>
    <row r="252" hidden="1" outlineLevel="1" customFormat="1" s="39">
      <c r="A252" s="19" t="n"/>
      <c r="B252" s="19" t="n"/>
      <c r="C252" s="41" t="inlineStr">
        <is>
          <t>Weighted average basic shares outstanding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43">
        <f>AVERAGE(AG251,AH251)</f>
        <v>0</v>
      </c>
      <c r="AI252" s="43">
        <f>AVERAGE(AH251,AI251)</f>
        <v>0</v>
      </c>
      <c r="AJ252" s="43" t="e">
        <f>AVERAGE(AI251,AJ251)</f>
        <v>#DIV/0!</v>
      </c>
      <c r="AK252" s="43" t="e">
        <f>AVERAGE(AJ251,AK251)</f>
        <v>#DIV/0!</v>
      </c>
      <c r="AL252" s="22" t="n"/>
      <c r="AM252" s="43" t="e">
        <f>AVERAGE(AK251,AM251)</f>
        <v>#DIV/0!</v>
      </c>
      <c r="AN252" s="43" t="e">
        <f>AVERAGE(AM251,AN251)</f>
        <v>#DIV/0!</v>
      </c>
      <c r="AO252" s="43" t="e">
        <f>AVERAGE(AN251,AO251)</f>
        <v>#DIV/0!</v>
      </c>
      <c r="AP252" s="43" t="e">
        <f>AVERAGE(AO251,AP251)</f>
        <v>#DIV/0!</v>
      </c>
      <c r="AQ252" s="22" t="n"/>
      <c r="AR252" s="43" t="e">
        <f>AVERAGE(AP251,AR251)</f>
        <v>#DIV/0!</v>
      </c>
      <c r="AS252" s="43" t="e">
        <f>AVERAGE(AR251,AS251)</f>
        <v>#DIV/0!</v>
      </c>
      <c r="AT252" s="43" t="e">
        <f>AVERAGE(AS251,AT251)</f>
        <v>#DIV/0!</v>
      </c>
      <c r="AU252" s="43" t="e">
        <f>AVERAGE(AT251,AU251)</f>
        <v>#DIV/0!</v>
      </c>
      <c r="AV252" s="22" t="n"/>
      <c r="AW252" s="43" t="e">
        <f>AVERAGE(AU251,AW251)</f>
        <v>#DIV/0!</v>
      </c>
      <c r="AX252" s="43" t="e">
        <f>AVERAGE(AW251,AX251)</f>
        <v>#DIV/0!</v>
      </c>
      <c r="AY252" s="43" t="e">
        <f>AVERAGE(AX251,AY251)</f>
        <v>#DIV/0!</v>
      </c>
      <c r="AZ252" s="43" t="e">
        <f>AVERAGE(AY251,AZ251)</f>
        <v>#DIV/0!</v>
      </c>
      <c r="BA252" s="22" t="n"/>
      <c r="BB252" s="43" t="e">
        <f>AVERAGE(AZ251,BB251)</f>
        <v>#DIV/0!</v>
      </c>
      <c r="BC252" s="43" t="e">
        <f>AVERAGE(BB251,BC251)</f>
        <v>#DIV/0!</v>
      </c>
      <c r="BD252" s="43" t="e">
        <f>AVERAGE(BC251,BD251)</f>
        <v>#DIV/0!</v>
      </c>
      <c r="BE252" s="43" t="e">
        <f>AVERAGE(BD251,BE251)</f>
        <v>#DIV/0!</v>
      </c>
      <c r="BF252" s="22" t="n"/>
      <c r="BG252" s="43" t="e">
        <f>AVERAGE(BE251,BG251)</f>
        <v>#DIV/0!</v>
      </c>
      <c r="BH252" s="43" t="e">
        <f>AVERAGE(BG251,BH251)</f>
        <v>#DIV/0!</v>
      </c>
      <c r="BI252" s="43" t="e">
        <f>AVERAGE(BH251,BI251)</f>
        <v>#DIV/0!</v>
      </c>
      <c r="BJ252" s="43" t="e">
        <f>AVERAGE(BI251,BJ251)</f>
        <v>#DIV/0!</v>
      </c>
      <c r="BK252" s="22" t="n"/>
      <c r="BL252" s="43" t="e">
        <f>AVERAGE(BJ251,BL251)</f>
        <v>#DIV/0!</v>
      </c>
      <c r="BM252" s="43" t="e">
        <f>AVERAGE(BL251,BM251)</f>
        <v>#DIV/0!</v>
      </c>
      <c r="BN252" s="43" t="e">
        <f>AVERAGE(BM251,BN251)</f>
        <v>#DIV/0!</v>
      </c>
      <c r="BO252" s="43" t="e">
        <f>AVERAGE(BN251,BO251)</f>
        <v>#DIV/0!</v>
      </c>
      <c r="BP252" s="22" t="n"/>
      <c r="BQ252" s="43" t="e">
        <f>AVERAGE(BO251,BQ251)</f>
        <v>#DIV/0!</v>
      </c>
      <c r="BR252" s="43" t="e">
        <f>AVERAGE(BQ251,BR251)</f>
        <v>#DIV/0!</v>
      </c>
      <c r="BS252" s="43" t="e">
        <f>AVERAGE(BR251,BS251)</f>
        <v>#DIV/0!</v>
      </c>
      <c r="BT252" s="43" t="e">
        <f>AVERAGE(BS251,BT251)</f>
        <v>#DIV/0!</v>
      </c>
      <c r="BU252" s="22" t="n"/>
      <c r="BV252" s="43" t="e">
        <f>AVERAGE(BT251,BV251)</f>
        <v>#DIV/0!</v>
      </c>
      <c r="BW252" s="43" t="e">
        <f>AVERAGE(BV251,BW251)</f>
        <v>#DIV/0!</v>
      </c>
      <c r="BX252" s="43" t="e">
        <f>AVERAGE(BW251,BX251)</f>
        <v>#DIV/0!</v>
      </c>
      <c r="BY252" s="43" t="e">
        <f>AVERAGE(BX251,BY251)</f>
        <v>#DIV/0!</v>
      </c>
      <c r="BZ252" s="22" t="n"/>
      <c r="CA252" s="43" t="e">
        <f>AVERAGE(BY251,CA251)</f>
        <v>#DIV/0!</v>
      </c>
      <c r="CB252" s="43" t="e">
        <f>AVERAGE(CA251,CB251)</f>
        <v>#DIV/0!</v>
      </c>
      <c r="CC252" s="43" t="e">
        <f>AVERAGE(CB251,CC251)</f>
        <v>#DIV/0!</v>
      </c>
      <c r="CD252" s="43" t="e">
        <f>AVERAGE(CC251,CD251)</f>
        <v>#DIV/0!</v>
      </c>
      <c r="CE252" s="22" t="n"/>
      <c r="CF252" s="43" t="e">
        <f>AVERAGE(CD251,CF251)</f>
        <v>#DIV/0!</v>
      </c>
      <c r="CG252" s="43" t="e">
        <f>AVERAGE(CF251,CG251)</f>
        <v>#DIV/0!</v>
      </c>
      <c r="CH252" s="43" t="e">
        <f>AVERAGE(CG251,CH251)</f>
        <v>#DIV/0!</v>
      </c>
      <c r="CI252" s="43" t="e">
        <f>AVERAGE(CH251,CI251)</f>
        <v>#DIV/0!</v>
      </c>
      <c r="CJ252" s="22" t="n"/>
      <c r="CK252" s="43" t="e">
        <f>AVERAGE(CI251,CK251)</f>
        <v>#DIV/0!</v>
      </c>
      <c r="CL252" s="43" t="e">
        <f>AVERAGE(CK251,CL251)</f>
        <v>#DIV/0!</v>
      </c>
      <c r="CM252" s="43" t="e">
        <f>AVERAGE(CL251,CM251)</f>
        <v>#DIV/0!</v>
      </c>
      <c r="CN252" s="43" t="e">
        <f>AVERAGE(CM251,CN251)</f>
        <v>#DIV/0!</v>
      </c>
      <c r="CO252" s="22" t="n"/>
      <c r="CP252" s="43" t="e">
        <f>AVERAGE(CN251,CP251)</f>
        <v>#DIV/0!</v>
      </c>
      <c r="CQ252" s="43" t="e">
        <f>AVERAGE(CP251,CQ251)</f>
        <v>#DIV/0!</v>
      </c>
      <c r="CR252" s="43" t="e">
        <f>AVERAGE(CQ251,CR251)</f>
        <v>#DIV/0!</v>
      </c>
      <c r="CS252" s="43" t="e">
        <f>AVERAGE(CR251,CS251)</f>
        <v>#DIV/0!</v>
      </c>
      <c r="CT252" s="22" t="n"/>
      <c r="CU252" s="43" t="e">
        <f>AVERAGE(CS251,CU251)</f>
        <v>#DIV/0!</v>
      </c>
      <c r="CV252" s="43" t="e">
        <f>AVERAGE(CU251,CV251)</f>
        <v>#DIV/0!</v>
      </c>
      <c r="CW252" s="43" t="e">
        <f>AVERAGE(CV251,CW251)</f>
        <v>#DIV/0!</v>
      </c>
      <c r="CX252" s="43" t="e">
        <f>AVERAGE(CW251,CX251)</f>
        <v>#DIV/0!</v>
      </c>
      <c r="CY252" s="22" t="n"/>
      <c r="CZ252" t="e">
        <f>AVERAGE(CX251,CZ251)</f>
        <v>#DIV/0!</v>
      </c>
      <c r="DA252" t="e">
        <f>AVERAGE(CZ251,DA251)</f>
        <v>#DIV/0!</v>
      </c>
      <c r="DB252" t="e">
        <f>AVERAGE(DA251,DB251)</f>
        <v>#DIV/0!</v>
      </c>
      <c r="DC252" t="e">
        <f>AVERAGE(DB251,DC251)</f>
        <v>#DIV/0!</v>
      </c>
    </row>
    <row r="253" hidden="1" outlineLevel="1" customFormat="1" s="39">
      <c r="A253" s="19" t="n"/>
      <c r="B253" s="19" t="n"/>
      <c r="C253" s="41" t="n"/>
      <c r="D253" s="22" t="n"/>
      <c r="E253" s="22" t="n"/>
      <c r="F253" s="22" t="n"/>
      <c r="G253" s="22" t="n"/>
      <c r="H253" s="3" t="n"/>
      <c r="I253" s="22" t="n"/>
      <c r="J253" s="22" t="n"/>
      <c r="K253" s="22" t="n"/>
      <c r="L253" s="22" t="n"/>
      <c r="M253" s="3" t="n"/>
      <c r="N253" s="22" t="n"/>
      <c r="O253" s="22" t="n"/>
      <c r="P253" s="22" t="n"/>
      <c r="Q253" s="22" t="n"/>
      <c r="R253" s="3" t="n"/>
      <c r="S253" s="22" t="n"/>
      <c r="T253" s="22" t="n"/>
      <c r="U253" s="22" t="n"/>
      <c r="V253" s="22" t="n"/>
      <c r="W253" s="3" t="n"/>
      <c r="X253" s="22" t="n"/>
      <c r="Y253" s="22" t="n"/>
      <c r="Z253" s="22" t="n"/>
      <c r="AA253" s="22" t="n"/>
      <c r="AB253" s="3" t="n"/>
      <c r="AC253" s="22" t="n"/>
      <c r="AD253" s="22" t="n"/>
      <c r="AE253" s="22" t="n"/>
      <c r="AF253" s="22" t="n"/>
      <c r="AG253" s="3" t="n"/>
      <c r="AH253" s="22" t="n"/>
      <c r="AI253" s="22" t="n"/>
      <c r="AJ253" s="22" t="n"/>
      <c r="AK253" s="22" t="n"/>
      <c r="AL253" s="3" t="n"/>
      <c r="AM253" s="22" t="n"/>
      <c r="AN253" s="22" t="n"/>
      <c r="AO253" s="22" t="n"/>
      <c r="AP253" s="22" t="n"/>
      <c r="AQ253" s="3" t="n"/>
      <c r="AR253" s="22" t="n"/>
      <c r="AS253" s="22" t="n"/>
      <c r="AT253" s="22" t="n"/>
      <c r="AU253" s="22" t="n"/>
      <c r="AV253" s="3" t="n"/>
      <c r="AW253" s="22" t="n"/>
      <c r="AX253" s="22" t="n"/>
      <c r="AY253" s="22" t="n"/>
      <c r="AZ253" s="22" t="n"/>
      <c r="BA253" s="3" t="n"/>
      <c r="BB253" s="22" t="n"/>
      <c r="BC253" s="22" t="n"/>
      <c r="BD253" s="22" t="n"/>
      <c r="BE253" s="22" t="n"/>
      <c r="BF253" s="3" t="n"/>
      <c r="BG253" s="22" t="n"/>
      <c r="BH253" s="22" t="n"/>
      <c r="BI253" s="22" t="n"/>
      <c r="BJ253" s="22" t="n"/>
      <c r="BK253" s="3" t="n"/>
      <c r="BL253" s="22" t="n"/>
      <c r="BM253" s="22" t="n"/>
      <c r="BN253" s="22" t="n"/>
      <c r="BO253" s="22" t="n"/>
      <c r="BP253" s="3" t="n"/>
      <c r="BQ253" s="22" t="n"/>
      <c r="BR253" s="22" t="n"/>
      <c r="BS253" s="22" t="n"/>
      <c r="BT253" s="22" t="n"/>
      <c r="BU253" s="3" t="n"/>
      <c r="BV253" s="22" t="n"/>
      <c r="BW253" s="22" t="n"/>
      <c r="BX253" s="22" t="n"/>
      <c r="BY253" s="22" t="n"/>
      <c r="BZ253" s="3" t="n"/>
      <c r="CA253" s="22" t="n"/>
      <c r="CB253" s="22" t="n"/>
      <c r="CC253" s="22" t="n"/>
      <c r="CD253" s="22" t="n"/>
      <c r="CE253" s="3" t="n"/>
      <c r="CF253" s="22" t="n"/>
      <c r="CG253" s="22" t="n"/>
      <c r="CH253" s="22" t="n"/>
      <c r="CI253" s="22" t="n"/>
      <c r="CJ253" s="3" t="n"/>
      <c r="CK253" s="22" t="n"/>
      <c r="CL253" s="22" t="n"/>
      <c r="CM253" s="22" t="n"/>
      <c r="CN253" s="22" t="n"/>
      <c r="CO253" s="3" t="n"/>
      <c r="CP253" s="22" t="n"/>
      <c r="CQ253" s="22" t="n"/>
      <c r="CR253" s="22" t="n"/>
      <c r="CS253" s="22" t="n"/>
      <c r="CT253" s="3" t="n"/>
      <c r="CU253" s="22" t="n"/>
      <c r="CV253" s="22" t="n"/>
      <c r="CW253" s="22" t="n"/>
      <c r="CX253" s="22" t="n"/>
      <c r="CY253" s="3" t="n"/>
    </row>
    <row r="254" collapsed="1">
      <c r="C254" s="26" t="inlineStr">
        <is>
          <t>Treasury stock (contra account)</t>
        </is>
      </c>
      <c r="D254" s="25">
        <f>INDEX('Inputs (2)'!$D$44:$AL$44,MATCH(D$7,'Inputs (2)'!$D$2:$AL$2,0))</f>
        <v>-17690</v>
      </c>
      <c r="E254" s="25">
        <f>INDEX('Inputs (2)'!$D$44:$AL$44,MATCH(E$7,'Inputs (2)'!$D$2:$AL$2,0))</f>
        <v>-17671</v>
      </c>
      <c r="F254" s="25">
        <f>INDEX('Inputs (2)'!$D$44:$AL$44,MATCH(F$7,'Inputs (2)'!$D$2:$AL$2,0))</f>
        <v>-18065</v>
      </c>
      <c r="G254" s="25">
        <f>INDEX('Inputs (2)'!$D$44:$AL$44,MATCH(G$7,'Inputs (2)'!$D$2:$AL$2,0))</f>
        <v>-18377</v>
      </c>
      <c r="H254" s="3">
        <f>G254</f>
        <v>-18377</v>
      </c>
      <c r="I254" s="25">
        <f>INDEX('Inputs (2)'!$D$44:$AL$44,MATCH(I$7,'Inputs (2)'!$D$2:$AL$2,0))</f>
        <v>-19052</v>
      </c>
      <c r="J254" s="25">
        <f>INDEX('Inputs (2)'!$D$44:$AL$44,MATCH(J$7,'Inputs (2)'!$D$2:$AL$2,0))</f>
        <v>-19780</v>
      </c>
      <c r="K254" s="25">
        <f>INDEX('Inputs (2)'!$D$44:$AL$44,MATCH(K$7,'Inputs (2)'!$D$2:$AL$2,0))</f>
        <v>-20533</v>
      </c>
      <c r="L254" s="25">
        <f>INDEX('Inputs (2)'!$D$44:$AL$44,MATCH(L$7,'Inputs (2)'!$D$2:$AL$2,0))</f>
        <v>-21139</v>
      </c>
      <c r="M254" s="3">
        <f>L254</f>
        <v>-21139</v>
      </c>
      <c r="N254" s="25">
        <f>INDEX('Inputs (2)'!$D$44:$AL$44,MATCH(N$7,'Inputs (2)'!$D$2:$AL$2,0))</f>
        <v>-21727</v>
      </c>
      <c r="O254" s="25">
        <f>INDEX('Inputs (2)'!$D$44:$AL$44,MATCH(O$7,'Inputs (2)'!$D$2:$AL$2,0))</f>
        <v>-22976</v>
      </c>
      <c r="P254" s="25">
        <f>INDEX('Inputs (2)'!$D$44:$AL$44,MATCH(P$7,'Inputs (2)'!$D$2:$AL$2,0))</f>
        <v>-24094</v>
      </c>
      <c r="Q254" s="25">
        <f>INDEX('Inputs (2)'!$D$44:$AL$44,MATCH(Q$7,'Inputs (2)'!$D$2:$AL$2,0))</f>
        <v>-25333</v>
      </c>
      <c r="R254" s="3">
        <f>Q254</f>
        <v>-25333</v>
      </c>
      <c r="S254" s="25">
        <f>INDEX('Inputs (2)'!$D$44:$AL$44,MATCH(S$7,'Inputs (2)'!$D$2:$AL$2,0))</f>
        <v>-26630</v>
      </c>
      <c r="T254" s="25">
        <f>INDEX('Inputs (2)'!$D$44:$AL$44,MATCH(T$7,'Inputs (2)'!$D$2:$AL$2,0))</f>
        <v>-28760</v>
      </c>
      <c r="U254" s="25">
        <f>INDEX('Inputs (2)'!$D$44:$AL$44,MATCH(U$7,'Inputs (2)'!$D$2:$AL$2,0))</f>
        <v>-31335</v>
      </c>
      <c r="V254" s="25">
        <f>INDEX('Inputs (2)'!$D$44:$AL$44,MATCH(V$7,'Inputs (2)'!$D$2:$AL$2,0))</f>
        <v>-32663</v>
      </c>
      <c r="W254" s="3">
        <f>V254</f>
        <v>-32663</v>
      </c>
      <c r="X254" s="25">
        <f>INDEX('Inputs (2)'!$D$44:$AL$44,MATCH(X$7,'Inputs (2)'!$D$2:$AL$2,0))</f>
        <v>-33764</v>
      </c>
      <c r="Y254" s="25">
        <f>INDEX('Inputs (2)'!$D$44:$AL$44,MATCH(Y$7,'Inputs (2)'!$D$2:$AL$2,0))</f>
        <v>-34570</v>
      </c>
      <c r="Z254" s="25">
        <f>INDEX('Inputs (2)'!$D$44:$AL$44,MATCH(Z$7,'Inputs (2)'!$D$2:$AL$2,0))</f>
        <v>-35349</v>
      </c>
      <c r="AA254" s="25">
        <f>INDEX('Inputs (2)'!$D$44:$AL$44,MATCH(AA$7,'Inputs (2)'!$D$2:$AL$2,0))</f>
        <v>-35709</v>
      </c>
      <c r="AB254" s="3">
        <f>AA254</f>
        <v>-35709</v>
      </c>
      <c r="AC254" s="25">
        <f>INDEX('Inputs (2)'!$D$44:$AL$44,MATCH(AC$7,'Inputs (2)'!$D$2:$AL$2,0))</f>
        <v>-36064</v>
      </c>
      <c r="AD254" s="25">
        <f>INDEX('Inputs (2)'!$D$44:$AL$44,MATCH(AD$7,'Inputs (2)'!$D$2:$AL$2,0))</f>
        <v>-36361</v>
      </c>
      <c r="AE254" s="25">
        <f>INDEX('Inputs (2)'!$D$44:$AL$44,MATCH(AE$7,'Inputs (2)'!$D$2:$AL$2,0))</f>
        <v>-36362</v>
      </c>
      <c r="AF254" s="25">
        <f>INDEX('Inputs (2)'!$D$44:$AL$44,MATCH(AF$7,'Inputs (2)'!$D$2:$AL$2,0))</f>
        <v>-36645</v>
      </c>
      <c r="AG254" s="3">
        <f>AF254</f>
        <v>-36645</v>
      </c>
      <c r="AH254" s="3">
        <f>INDEX('Inputs (2)'!$D$44:$AL$44,MATCH(AH$7,'Inputs (2)'!$D$2:$AL$2,0))</f>
        <v>-36831</v>
      </c>
      <c r="AI254" s="3">
        <f>INDEX('Inputs (2)'!$D$44:$AL$44,MATCH(AI$7,'Inputs (2)'!$D$2:$AL$2,0))</f>
        <v>-37029</v>
      </c>
      <c r="AJ254" s="3">
        <f>AI254+AJ244</f>
        <v>-37029</v>
      </c>
      <c r="AK254" s="3">
        <f>AJ254+AK244</f>
        <v>-37029</v>
      </c>
      <c r="AL254" s="3">
        <f>AK254</f>
        <v>-37029</v>
      </c>
      <c r="AM254" s="3">
        <f>AL254+AM244</f>
        <v>-37029</v>
      </c>
      <c r="AN254" s="3">
        <f>AM254+AN244</f>
        <v>-37029</v>
      </c>
      <c r="AO254" s="3">
        <f>AN254+AO244</f>
        <v>-37029</v>
      </c>
      <c r="AP254" s="3">
        <f>AO254+AP244</f>
        <v>-37029</v>
      </c>
      <c r="AQ254" s="3">
        <f>AP254</f>
        <v>-37029</v>
      </c>
      <c r="AR254" s="3">
        <f>AQ254+AR244</f>
        <v>-37029</v>
      </c>
      <c r="AS254" s="3">
        <f>AR254+AS244</f>
        <v>-37029</v>
      </c>
      <c r="AT254" s="3">
        <f>AS254+AT244</f>
        <v>-37029</v>
      </c>
      <c r="AU254" s="3">
        <f>AT254+AU244</f>
        <v>-37029</v>
      </c>
      <c r="AV254" s="3">
        <f>AU254</f>
        <v>-37029</v>
      </c>
      <c r="AW254" s="3">
        <f>AV254+AW244</f>
        <v>-37029</v>
      </c>
      <c r="AX254" s="3">
        <f>AW254+AX244</f>
        <v>-37029</v>
      </c>
      <c r="AY254" s="3">
        <f>AX254+AY244</f>
        <v>-37029</v>
      </c>
      <c r="AZ254" s="3">
        <f>AY254+AZ244</f>
        <v>-37029</v>
      </c>
      <c r="BA254" s="3">
        <f>AZ254</f>
        <v>-37029</v>
      </c>
      <c r="BB254" s="3">
        <f>BA254+BB244</f>
        <v>-37029</v>
      </c>
      <c r="BC254" s="3">
        <f>BB254+BC244</f>
        <v>-37029</v>
      </c>
      <c r="BD254" s="3">
        <f>BC254+BD244</f>
        <v>-37029</v>
      </c>
      <c r="BE254" s="3">
        <f>BD254+BE244</f>
        <v>-37029</v>
      </c>
      <c r="BF254" s="3">
        <f>BE254</f>
        <v>-37029</v>
      </c>
      <c r="BG254" s="3">
        <f>BF254+BG244</f>
        <v>-37029</v>
      </c>
      <c r="BH254" s="3">
        <f>BG254+BH244</f>
        <v>-37029</v>
      </c>
      <c r="BI254" s="3">
        <f>BH254+BI244</f>
        <v>-37029</v>
      </c>
      <c r="BJ254" s="3">
        <f>BI254+BJ244</f>
        <v>-37029</v>
      </c>
      <c r="BK254" s="3">
        <f>BJ254</f>
        <v>-37029</v>
      </c>
      <c r="BL254" s="3">
        <f>BK254+BL244</f>
        <v>-37029</v>
      </c>
      <c r="BM254" s="3">
        <f>BL254+BM244</f>
        <v>-37029</v>
      </c>
      <c r="BN254" s="3">
        <f>BM254+BN244</f>
        <v>-37029</v>
      </c>
      <c r="BO254" s="3">
        <f>BN254+BO244</f>
        <v>-37029</v>
      </c>
      <c r="BP254" s="3">
        <f>BO254</f>
        <v>-37029</v>
      </c>
      <c r="BQ254" s="3">
        <f>BP254+BQ244</f>
        <v>-37029</v>
      </c>
      <c r="BR254" s="3">
        <f>BQ254+BR244</f>
        <v>-37029</v>
      </c>
      <c r="BS254" s="3">
        <f>BR254+BS244</f>
        <v>-37029</v>
      </c>
      <c r="BT254" s="3">
        <f>BS254+BT244</f>
        <v>-37029</v>
      </c>
      <c r="BU254" s="3">
        <f>BT254</f>
        <v>-37029</v>
      </c>
      <c r="BV254" s="3">
        <f>BU254+BV244</f>
        <v>-37029</v>
      </c>
      <c r="BW254" s="3">
        <f>BV254+BW244</f>
        <v>-37029</v>
      </c>
      <c r="BX254" s="3">
        <f>BW254+BX244</f>
        <v>-37029</v>
      </c>
      <c r="BY254" s="3">
        <f>BX254+BY244</f>
        <v>-37029</v>
      </c>
      <c r="BZ254" s="3">
        <f>BY254</f>
        <v>-37029</v>
      </c>
      <c r="CA254" s="3">
        <f>BZ254+CA244</f>
        <v>-37029</v>
      </c>
      <c r="CB254" s="3">
        <f>CA254+CB244</f>
        <v>-37029</v>
      </c>
      <c r="CC254" s="3">
        <f>CB254+CC244</f>
        <v>-37029</v>
      </c>
      <c r="CD254" s="3">
        <f>CC254+CD244</f>
        <v>-37029</v>
      </c>
      <c r="CE254" s="3">
        <f>CD254</f>
        <v>-37029</v>
      </c>
      <c r="CF254" s="3">
        <f>CE254+CF244</f>
        <v>-37029</v>
      </c>
      <c r="CG254" s="3">
        <f>CF254+CG244</f>
        <v>-37029</v>
      </c>
      <c r="CH254" s="3">
        <f>CG254+CH244</f>
        <v>-37029</v>
      </c>
      <c r="CI254" s="3">
        <f>CH254+CI244</f>
        <v>-37029</v>
      </c>
      <c r="CJ254" s="3">
        <f>CI254</f>
        <v>-37029</v>
      </c>
      <c r="CK254" s="3">
        <f>CJ254+CK244</f>
        <v>-37029</v>
      </c>
      <c r="CL254" s="3">
        <f>CK254+CL244</f>
        <v>-37029</v>
      </c>
      <c r="CM254" s="3">
        <f>CL254+CM244</f>
        <v>-37029</v>
      </c>
      <c r="CN254" s="3">
        <f>CM254+CN244</f>
        <v>-37029</v>
      </c>
      <c r="CO254" s="3">
        <f>CN254</f>
        <v>-37029</v>
      </c>
      <c r="CP254" s="3">
        <f>CO254+CP244</f>
        <v>-37029</v>
      </c>
      <c r="CQ254" s="3">
        <f>CP254+CQ244</f>
        <v>-37029</v>
      </c>
      <c r="CR254" s="3">
        <f>CQ254+CR244</f>
        <v>-37029</v>
      </c>
      <c r="CS254" s="3">
        <f>CR254+CS244</f>
        <v>-37029</v>
      </c>
      <c r="CT254" s="3">
        <f>CS254</f>
        <v>-37029</v>
      </c>
      <c r="CU254" s="3">
        <f>CT254+CU244</f>
        <v>-37029</v>
      </c>
      <c r="CV254" s="3">
        <f>CU254+CV244</f>
        <v>-37029</v>
      </c>
      <c r="CW254" s="3">
        <f>CV254+CW244</f>
        <v>-37029</v>
      </c>
      <c r="CX254" s="3">
        <f>CW254+CX244</f>
        <v>-37029</v>
      </c>
      <c r="CY254" s="3">
        <f>CX254</f>
        <v>-37029</v>
      </c>
    </row>
    <row r="255">
      <c r="C255" s="26" t="inlineStr">
        <is>
          <t>Comprehensive (accumulated) loss</t>
        </is>
      </c>
      <c r="D255" s="25">
        <f>INDEX('Inputs (2)'!$D$45:$AL$45,MATCH(D$7,'Inputs (2)'!$D$2:$AL$2,0))</f>
        <v>-5715</v>
      </c>
      <c r="E255" s="25">
        <f>INDEX('Inputs (2)'!$D$45:$AL$45,MATCH(E$7,'Inputs (2)'!$D$2:$AL$2,0))</f>
        <v>-5319</v>
      </c>
      <c r="F255" s="25">
        <f>INDEX('Inputs (2)'!$D$45:$AL$45,MATCH(F$7,'Inputs (2)'!$D$2:$AL$2,0))</f>
        <v>-5539</v>
      </c>
      <c r="G255" s="25">
        <f>INDEX('Inputs (2)'!$D$45:$AL$45,MATCH(G$7,'Inputs (2)'!$D$2:$AL$2,0))</f>
        <v>-5078</v>
      </c>
      <c r="H255" s="3">
        <f>G255</f>
        <v>-5078</v>
      </c>
      <c r="I255" s="25">
        <f>INDEX('Inputs (2)'!$D$45:$AL$45,MATCH(I$7,'Inputs (2)'!$D$2:$AL$2,0))</f>
        <v>-4960</v>
      </c>
      <c r="J255" s="25">
        <f>INDEX('Inputs (2)'!$D$45:$AL$45,MATCH(J$7,'Inputs (2)'!$D$2:$AL$2,0))</f>
        <v>-5011</v>
      </c>
      <c r="K255" s="25">
        <f>INDEX('Inputs (2)'!$D$45:$AL$45,MATCH(K$7,'Inputs (2)'!$D$2:$AL$2,0))</f>
        <v>-2539</v>
      </c>
      <c r="L255" s="25">
        <f>INDEX('Inputs (2)'!$D$45:$AL$45,MATCH(L$7,'Inputs (2)'!$D$2:$AL$2,0))</f>
        <v>-3152</v>
      </c>
      <c r="M255" s="3">
        <f>L255</f>
        <v>-3152</v>
      </c>
      <c r="N255" s="25">
        <f>INDEX('Inputs (2)'!$D$45:$AL$45,MATCH(N$7,'Inputs (2)'!$D$2:$AL$2,0))</f>
        <v>-3291</v>
      </c>
      <c r="O255" s="25">
        <f>INDEX('Inputs (2)'!$D$45:$AL$45,MATCH(O$7,'Inputs (2)'!$D$2:$AL$2,0))</f>
        <v>-3476</v>
      </c>
      <c r="P255" s="25">
        <f>INDEX('Inputs (2)'!$D$45:$AL$45,MATCH(P$7,'Inputs (2)'!$D$2:$AL$2,0))</f>
        <v>-3056</v>
      </c>
      <c r="Q255" s="25">
        <f>INDEX('Inputs (2)'!$D$45:$AL$45,MATCH(Q$7,'Inputs (2)'!$D$2:$AL$2,0))</f>
        <v>-2372</v>
      </c>
      <c r="R255" s="3">
        <f>Q255</f>
        <v>-2372</v>
      </c>
      <c r="S255" s="25">
        <f>INDEX('Inputs (2)'!$D$45:$AL$45,MATCH(S$7,'Inputs (2)'!$D$2:$AL$2,0))</f>
        <v>-2538</v>
      </c>
      <c r="T255" s="25">
        <f>INDEX('Inputs (2)'!$D$45:$AL$45,MATCH(T$7,'Inputs (2)'!$D$2:$AL$2,0))</f>
        <v>-2411</v>
      </c>
      <c r="U255" s="25">
        <f>INDEX('Inputs (2)'!$D$45:$AL$45,MATCH(U$7,'Inputs (2)'!$D$2:$AL$2,0))</f>
        <v>-3114</v>
      </c>
      <c r="V255" s="25">
        <f>INDEX('Inputs (2)'!$D$45:$AL$45,MATCH(V$7,'Inputs (2)'!$D$2:$AL$2,0))</f>
        <v>-2863</v>
      </c>
      <c r="W255" s="3">
        <f>V255</f>
        <v>-2863</v>
      </c>
      <c r="X255" s="25">
        <f>INDEX('Inputs (2)'!$D$45:$AL$45,MATCH(X$7,'Inputs (2)'!$D$2:$AL$2,0))</f>
        <v>-3171</v>
      </c>
      <c r="Y255" s="25">
        <f>INDEX('Inputs (2)'!$D$45:$AL$45,MATCH(Y$7,'Inputs (2)'!$D$2:$AL$2,0))</f>
        <v>-3368</v>
      </c>
      <c r="Z255" s="25">
        <f>INDEX('Inputs (2)'!$D$45:$AL$45,MATCH(Z$7,'Inputs (2)'!$D$2:$AL$2,0))</f>
        <v>-3706</v>
      </c>
      <c r="AA255" s="25">
        <f>INDEX('Inputs (2)'!$D$45:$AL$45,MATCH(AA$7,'Inputs (2)'!$D$2:$AL$2,0))</f>
        <v>-4167</v>
      </c>
      <c r="AB255" s="3">
        <f>AA255</f>
        <v>-4167</v>
      </c>
      <c r="AC255" s="25">
        <f>INDEX('Inputs (2)'!$D$45:$AL$45,MATCH(AC$7,'Inputs (2)'!$D$2:$AL$2,0))</f>
        <v>-3405</v>
      </c>
      <c r="AD255" s="25">
        <f>INDEX('Inputs (2)'!$D$45:$AL$45,MATCH(AD$7,'Inputs (2)'!$D$2:$AL$2,0))</f>
        <v>-3107</v>
      </c>
      <c r="AE255" s="25">
        <f>INDEX('Inputs (2)'!$D$45:$AL$45,MATCH(AE$7,'Inputs (2)'!$D$2:$AL$2,0))</f>
        <v>-3032</v>
      </c>
      <c r="AF255" s="25">
        <f>INDEX('Inputs (2)'!$D$45:$AL$45,MATCH(AF$7,'Inputs (2)'!$D$2:$AL$2,0))</f>
        <v>-2665</v>
      </c>
      <c r="AG255" s="3">
        <f>AF255</f>
        <v>-2665</v>
      </c>
      <c r="AH255" s="3">
        <f>INDEX('Inputs (2)'!$D$45:$AL$45,MATCH(AH$7,'Inputs (2)'!$D$2:$AL$2,0))</f>
        <v>-2768</v>
      </c>
      <c r="AI255" s="3">
        <f>INDEX('Inputs (2)'!$D$45:$AL$45,MATCH(AI$7,'Inputs (2)'!$D$2:$AL$2,0))</f>
        <v>-2976</v>
      </c>
      <c r="AJ255" s="3">
        <f>AI255</f>
        <v>-2976</v>
      </c>
      <c r="AK255" s="3">
        <f>AJ255</f>
        <v>-2976</v>
      </c>
      <c r="AL255" s="3">
        <f>AK255</f>
        <v>-2976</v>
      </c>
      <c r="AM255" s="3">
        <f>AL255</f>
        <v>-2976</v>
      </c>
      <c r="AN255" s="3">
        <f>AM255</f>
        <v>-2976</v>
      </c>
      <c r="AO255" s="3">
        <f>AN255</f>
        <v>-2976</v>
      </c>
      <c r="AP255" s="3">
        <f>AO255</f>
        <v>-2976</v>
      </c>
      <c r="AQ255" s="3">
        <f>AP255</f>
        <v>-2976</v>
      </c>
      <c r="AR255" s="3">
        <f>AQ255</f>
        <v>-2976</v>
      </c>
      <c r="AS255" s="3">
        <f>AR255</f>
        <v>-2976</v>
      </c>
      <c r="AT255" s="3">
        <f>AS255</f>
        <v>-2976</v>
      </c>
      <c r="AU255" s="3">
        <f>AT255</f>
        <v>-2976</v>
      </c>
      <c r="AV255" s="3">
        <f>AU255</f>
        <v>-2976</v>
      </c>
      <c r="AW255" s="3">
        <f>AV255</f>
        <v>-2976</v>
      </c>
      <c r="AX255" s="3">
        <f>AW255</f>
        <v>-2976</v>
      </c>
      <c r="AY255" s="3">
        <f>AX255</f>
        <v>-2976</v>
      </c>
      <c r="AZ255" s="3">
        <f>AY255</f>
        <v>-2976</v>
      </c>
      <c r="BA255" s="3">
        <f>AZ255</f>
        <v>-2976</v>
      </c>
      <c r="BB255" s="3">
        <f>BA255</f>
        <v>-2976</v>
      </c>
      <c r="BC255" s="3">
        <f>BB255</f>
        <v>-2976</v>
      </c>
      <c r="BD255" s="3">
        <f>BC255</f>
        <v>-2976</v>
      </c>
      <c r="BE255" s="3">
        <f>BD255</f>
        <v>-2976</v>
      </c>
      <c r="BF255" s="3">
        <f>BE255</f>
        <v>-2976</v>
      </c>
      <c r="BG255" s="3">
        <f>BF255</f>
        <v>-2976</v>
      </c>
      <c r="BH255" s="3">
        <f>BG255</f>
        <v>-2976</v>
      </c>
      <c r="BI255" s="3">
        <f>BH255</f>
        <v>-2976</v>
      </c>
      <c r="BJ255" s="3">
        <f>BI255</f>
        <v>-2976</v>
      </c>
      <c r="BK255" s="3">
        <f>BJ255</f>
        <v>-2976</v>
      </c>
      <c r="BL255" s="3">
        <f>BK255</f>
        <v>-2976</v>
      </c>
      <c r="BM255" s="3">
        <f>BL255</f>
        <v>-2976</v>
      </c>
      <c r="BN255" s="3">
        <f>BM255</f>
        <v>-2976</v>
      </c>
      <c r="BO255" s="3">
        <f>BN255</f>
        <v>-2976</v>
      </c>
      <c r="BP255" s="3">
        <f>BO255</f>
        <v>-2976</v>
      </c>
      <c r="BQ255" s="3">
        <f>BP255</f>
        <v>-2976</v>
      </c>
      <c r="BR255" s="3">
        <f>BQ255</f>
        <v>-2976</v>
      </c>
      <c r="BS255" s="3">
        <f>BR255</f>
        <v>-2976</v>
      </c>
      <c r="BT255" s="3">
        <f>BS255</f>
        <v>-2976</v>
      </c>
      <c r="BU255" s="3">
        <f>BT255</f>
        <v>-2976</v>
      </c>
      <c r="BV255" s="3">
        <f>BU255</f>
        <v>-2976</v>
      </c>
      <c r="BW255" s="3">
        <f>BV255</f>
        <v>-2976</v>
      </c>
      <c r="BX255" s="3">
        <f>BW255</f>
        <v>-2976</v>
      </c>
      <c r="BY255" s="3">
        <f>BX255</f>
        <v>-2976</v>
      </c>
      <c r="BZ255" s="3">
        <f>BY255</f>
        <v>-2976</v>
      </c>
      <c r="CA255" s="3">
        <f>BZ255</f>
        <v>-2976</v>
      </c>
      <c r="CB255" s="3">
        <f>CA255</f>
        <v>-2976</v>
      </c>
      <c r="CC255" s="3">
        <f>CB255</f>
        <v>-2976</v>
      </c>
      <c r="CD255" s="3">
        <f>CC255</f>
        <v>-2976</v>
      </c>
      <c r="CE255" s="3">
        <f>CD255</f>
        <v>-2976</v>
      </c>
      <c r="CF255" s="3">
        <f>CE255</f>
        <v>-2976</v>
      </c>
      <c r="CG255" s="3">
        <f>CF255</f>
        <v>-2976</v>
      </c>
      <c r="CH255" s="3">
        <f>CG255</f>
        <v>-2976</v>
      </c>
      <c r="CI255" s="3">
        <f>CH255</f>
        <v>-2976</v>
      </c>
      <c r="CJ255" s="3">
        <f>CI255</f>
        <v>-2976</v>
      </c>
      <c r="CK255" s="3">
        <f>CJ255</f>
        <v>-2976</v>
      </c>
      <c r="CL255" s="3">
        <f>CK255</f>
        <v>-2976</v>
      </c>
      <c r="CM255" s="3">
        <f>CL255</f>
        <v>-2976</v>
      </c>
      <c r="CN255" s="3">
        <f>CM255</f>
        <v>-2976</v>
      </c>
      <c r="CO255" s="3">
        <f>CN255</f>
        <v>-2976</v>
      </c>
      <c r="CP255" s="3">
        <f>CO255</f>
        <v>-2976</v>
      </c>
      <c r="CQ255" s="3">
        <f>CP255</f>
        <v>-2976</v>
      </c>
      <c r="CR255" s="3">
        <f>CQ255</f>
        <v>-2976</v>
      </c>
      <c r="CS255" s="3">
        <f>CR255</f>
        <v>-2976</v>
      </c>
      <c r="CT255" s="3">
        <f>CS255</f>
        <v>-2976</v>
      </c>
      <c r="CU255" s="3">
        <f>CT255</f>
        <v>-2976</v>
      </c>
      <c r="CV255" s="3">
        <f>CU255</f>
        <v>-2976</v>
      </c>
      <c r="CW255" s="3">
        <f>CV255</f>
        <v>-2976</v>
      </c>
      <c r="CX255" s="3">
        <f>CW255</f>
        <v>-2976</v>
      </c>
      <c r="CY255" s="3">
        <f>CX255</f>
        <v>-2976</v>
      </c>
    </row>
    <row r="256">
      <c r="C256" s="26" t="inlineStr">
        <is>
          <t>Other equity account</t>
        </is>
      </c>
      <c r="D256" s="25">
        <f>INDEX('Inputs (2)'!$D$46:$AL$46,MATCH(D$7,'Inputs (2)'!$D$2:$AL$2,0))</f>
        <v>0</v>
      </c>
      <c r="E256" s="25">
        <f>INDEX('Inputs (2)'!$D$46:$AL$46,MATCH(E$7,'Inputs (2)'!$D$2:$AL$2,0))</f>
        <v>0</v>
      </c>
      <c r="F256" s="25">
        <f>INDEX('Inputs (2)'!$D$46:$AL$46,MATCH(F$7,'Inputs (2)'!$D$2:$AL$2,0))</f>
        <v>0</v>
      </c>
      <c r="G256" s="25">
        <f>INDEX('Inputs (2)'!$D$46:$AL$46,MATCH(G$7,'Inputs (2)'!$D$2:$AL$2,0))</f>
        <v>0</v>
      </c>
      <c r="H256" s="3">
        <f>G256</f>
        <v>0</v>
      </c>
      <c r="I256" s="25">
        <f>INDEX('Inputs (2)'!$D$46:$AL$46,MATCH(I$7,'Inputs (2)'!$D$2:$AL$2,0))</f>
        <v>0</v>
      </c>
      <c r="J256" s="25">
        <f>INDEX('Inputs (2)'!$D$46:$AL$46,MATCH(J$7,'Inputs (2)'!$D$2:$AL$2,0))</f>
        <v>0</v>
      </c>
      <c r="K256" s="25">
        <f>INDEX('Inputs (2)'!$D$46:$AL$46,MATCH(K$7,'Inputs (2)'!$D$2:$AL$2,0))</f>
        <v>0</v>
      </c>
      <c r="L256" s="25">
        <f>INDEX('Inputs (2)'!$D$46:$AL$46,MATCH(L$7,'Inputs (2)'!$D$2:$AL$2,0))</f>
        <v>0</v>
      </c>
      <c r="M256" s="3">
        <f>L256</f>
        <v>0</v>
      </c>
      <c r="N256" s="25">
        <f>INDEX('Inputs (2)'!$D$46:$AL$46,MATCH(N$7,'Inputs (2)'!$D$2:$AL$2,0))</f>
        <v>0</v>
      </c>
      <c r="O256" s="25">
        <f>INDEX('Inputs (2)'!$D$46:$AL$46,MATCH(O$7,'Inputs (2)'!$D$2:$AL$2,0))</f>
        <v>0</v>
      </c>
      <c r="P256" s="25">
        <f>INDEX('Inputs (2)'!$D$46:$AL$46,MATCH(P$7,'Inputs (2)'!$D$2:$AL$2,0))</f>
        <v>0</v>
      </c>
      <c r="Q256" s="25">
        <f>INDEX('Inputs (2)'!$D$46:$AL$46,MATCH(Q$7,'Inputs (2)'!$D$2:$AL$2,0))</f>
        <v>0</v>
      </c>
      <c r="R256" s="3">
        <f>Q256</f>
        <v>0</v>
      </c>
      <c r="S256" s="25">
        <f>INDEX('Inputs (2)'!$D$46:$AL$46,MATCH(S$7,'Inputs (2)'!$D$2:$AL$2,0))</f>
        <v>0</v>
      </c>
      <c r="T256" s="25">
        <f>INDEX('Inputs (2)'!$D$46:$AL$46,MATCH(T$7,'Inputs (2)'!$D$2:$AL$2,0))</f>
        <v>0</v>
      </c>
      <c r="U256" s="25">
        <f>INDEX('Inputs (2)'!$D$46:$AL$46,MATCH(U$7,'Inputs (2)'!$D$2:$AL$2,0))</f>
        <v>0</v>
      </c>
      <c r="V256" s="25">
        <f>INDEX('Inputs (2)'!$D$46:$AL$46,MATCH(V$7,'Inputs (2)'!$D$2:$AL$2,0))</f>
        <v>0</v>
      </c>
      <c r="W256" s="3">
        <f>V256</f>
        <v>0</v>
      </c>
      <c r="X256" s="25">
        <f>INDEX('Inputs (2)'!$D$46:$AL$46,MATCH(X$7,'Inputs (2)'!$D$2:$AL$2,0))</f>
        <v>0</v>
      </c>
      <c r="Y256" s="25">
        <f>INDEX('Inputs (2)'!$D$46:$AL$46,MATCH(Y$7,'Inputs (2)'!$D$2:$AL$2,0))</f>
        <v>0</v>
      </c>
      <c r="Z256" s="25">
        <f>INDEX('Inputs (2)'!$D$46:$AL$46,MATCH(Z$7,'Inputs (2)'!$D$2:$AL$2,0))</f>
        <v>0</v>
      </c>
      <c r="AA256" s="25">
        <f>INDEX('Inputs (2)'!$D$46:$AL$46,MATCH(AA$7,'Inputs (2)'!$D$2:$AL$2,0))</f>
        <v>0</v>
      </c>
      <c r="AB256" s="3">
        <f>AA256</f>
        <v>0</v>
      </c>
      <c r="AC256" s="25">
        <f>INDEX('Inputs (2)'!$D$46:$AL$46,MATCH(AC$7,'Inputs (2)'!$D$2:$AL$2,0))</f>
        <v>0</v>
      </c>
      <c r="AD256" s="25">
        <f>INDEX('Inputs (2)'!$D$46:$AL$46,MATCH(AD$7,'Inputs (2)'!$D$2:$AL$2,0))</f>
        <v>0</v>
      </c>
      <c r="AE256" s="25">
        <f>INDEX('Inputs (2)'!$D$46:$AL$46,MATCH(AE$7,'Inputs (2)'!$D$2:$AL$2,0))</f>
        <v>0</v>
      </c>
      <c r="AF256" s="25">
        <f>INDEX('Inputs (2)'!$D$46:$AL$46,MATCH(AF$7,'Inputs (2)'!$D$2:$AL$2,0))</f>
        <v>0</v>
      </c>
      <c r="AG256" s="3">
        <f>AF256</f>
        <v>0</v>
      </c>
      <c r="AH256" s="3">
        <f>INDEX('Inputs (2)'!$D$46:$AL$46,MATCH(AH$7,'Inputs (2)'!$D$2:$AL$2,0))</f>
        <v>0</v>
      </c>
      <c r="AI256" s="3">
        <f>INDEX('Inputs (2)'!$D$46:$AL$46,MATCH(AI$7,'Inputs (2)'!$D$2:$AL$2,0))</f>
        <v>0</v>
      </c>
      <c r="AJ256" s="3">
        <f>AI256</f>
        <v>0</v>
      </c>
      <c r="AK256" s="3">
        <f>AJ256</f>
        <v>0</v>
      </c>
      <c r="AL256" s="3">
        <f>AK256</f>
        <v>0</v>
      </c>
      <c r="AM256" s="3">
        <f>AL256</f>
        <v>0</v>
      </c>
      <c r="AN256" s="3">
        <f>AM256</f>
        <v>0</v>
      </c>
      <c r="AO256" s="3">
        <f>AN256</f>
        <v>0</v>
      </c>
      <c r="AP256" s="3">
        <f>AO256</f>
        <v>0</v>
      </c>
      <c r="AQ256" s="3">
        <f>AP256</f>
        <v>0</v>
      </c>
      <c r="AR256" s="3">
        <f>AQ256</f>
        <v>0</v>
      </c>
      <c r="AS256" s="3">
        <f>AR256</f>
        <v>0</v>
      </c>
      <c r="AT256" s="3">
        <f>AS256</f>
        <v>0</v>
      </c>
      <c r="AU256" s="3">
        <f>AT256</f>
        <v>0</v>
      </c>
      <c r="AV256" s="3">
        <f>AU256</f>
        <v>0</v>
      </c>
      <c r="AW256" s="3">
        <f>AV256</f>
        <v>0</v>
      </c>
      <c r="AX256" s="3">
        <f>AW256</f>
        <v>0</v>
      </c>
      <c r="AY256" s="3">
        <f>AX256</f>
        <v>0</v>
      </c>
      <c r="AZ256" s="3">
        <f>AY256</f>
        <v>0</v>
      </c>
      <c r="BA256" s="3">
        <f>AZ256</f>
        <v>0</v>
      </c>
      <c r="BB256" s="3">
        <f>BA256</f>
        <v>0</v>
      </c>
      <c r="BC256" s="3">
        <f>BB256</f>
        <v>0</v>
      </c>
      <c r="BD256" s="3">
        <f>BC256</f>
        <v>0</v>
      </c>
      <c r="BE256" s="3">
        <f>BD256</f>
        <v>0</v>
      </c>
      <c r="BF256" s="3">
        <f>BE256</f>
        <v>0</v>
      </c>
      <c r="BG256" s="3">
        <f>BF256</f>
        <v>0</v>
      </c>
      <c r="BH256" s="3">
        <f>BG256</f>
        <v>0</v>
      </c>
      <c r="BI256" s="3">
        <f>BH256</f>
        <v>0</v>
      </c>
      <c r="BJ256" s="3">
        <f>BI256</f>
        <v>0</v>
      </c>
      <c r="BK256" s="3">
        <f>BJ256</f>
        <v>0</v>
      </c>
      <c r="BL256" s="3">
        <f>BK256</f>
        <v>0</v>
      </c>
      <c r="BM256" s="3">
        <f>BL256</f>
        <v>0</v>
      </c>
      <c r="BN256" s="3">
        <f>BM256</f>
        <v>0</v>
      </c>
      <c r="BO256" s="3">
        <f>BN256</f>
        <v>0</v>
      </c>
      <c r="BP256" s="3">
        <f>BO256</f>
        <v>0</v>
      </c>
      <c r="BQ256" s="3">
        <f>BP256</f>
        <v>0</v>
      </c>
      <c r="BR256" s="3">
        <f>BQ256</f>
        <v>0</v>
      </c>
      <c r="BS256" s="3">
        <f>BR256</f>
        <v>0</v>
      </c>
      <c r="BT256" s="3">
        <f>BS256</f>
        <v>0</v>
      </c>
      <c r="BU256" s="3">
        <f>BT256</f>
        <v>0</v>
      </c>
      <c r="BV256" s="3">
        <f>BU256</f>
        <v>0</v>
      </c>
      <c r="BW256" s="3">
        <f>BV256</f>
        <v>0</v>
      </c>
      <c r="BX256" s="3">
        <f>BW256</f>
        <v>0</v>
      </c>
      <c r="BY256" s="3">
        <f>BX256</f>
        <v>0</v>
      </c>
      <c r="BZ256" s="3">
        <f>BY256</f>
        <v>0</v>
      </c>
      <c r="CA256" s="3">
        <f>BZ256</f>
        <v>0</v>
      </c>
      <c r="CB256" s="3">
        <f>CA256</f>
        <v>0</v>
      </c>
      <c r="CC256" s="3">
        <f>CB256</f>
        <v>0</v>
      </c>
      <c r="CD256" s="3">
        <f>CC256</f>
        <v>0</v>
      </c>
      <c r="CE256" s="3">
        <f>CD256</f>
        <v>0</v>
      </c>
      <c r="CF256" s="3">
        <f>CE256</f>
        <v>0</v>
      </c>
      <c r="CG256" s="3">
        <f>CF256</f>
        <v>0</v>
      </c>
      <c r="CH256" s="3">
        <f>CG256</f>
        <v>0</v>
      </c>
      <c r="CI256" s="3">
        <f>CH256</f>
        <v>0</v>
      </c>
      <c r="CJ256" s="3">
        <f>CI256</f>
        <v>0</v>
      </c>
      <c r="CK256" s="3">
        <f>CJ256</f>
        <v>0</v>
      </c>
      <c r="CL256" s="3">
        <f>CK256</f>
        <v>0</v>
      </c>
      <c r="CM256" s="3">
        <f>CL256</f>
        <v>0</v>
      </c>
      <c r="CN256" s="3">
        <f>CM256</f>
        <v>0</v>
      </c>
      <c r="CO256" s="3">
        <f>CN256</f>
        <v>0</v>
      </c>
      <c r="CP256" s="3">
        <f>CO256</f>
        <v>0</v>
      </c>
      <c r="CQ256" s="3">
        <f>CP256</f>
        <v>0</v>
      </c>
      <c r="CR256" s="3">
        <f>CQ256</f>
        <v>0</v>
      </c>
      <c r="CS256" s="3">
        <f>CR256</f>
        <v>0</v>
      </c>
      <c r="CT256" s="3">
        <f>CS256</f>
        <v>0</v>
      </c>
      <c r="CU256" s="3">
        <f>CT256</f>
        <v>0</v>
      </c>
      <c r="CV256" s="3">
        <f>CU256</f>
        <v>0</v>
      </c>
      <c r="CW256" s="3">
        <f>CV256</f>
        <v>0</v>
      </c>
      <c r="CX256" s="3">
        <f>CW256</f>
        <v>0</v>
      </c>
      <c r="CY256" s="3">
        <f>CX256</f>
        <v>0</v>
      </c>
    </row>
    <row r="257">
      <c r="C257" s="28" t="inlineStr">
        <is>
          <t>Retained earnings</t>
        </is>
      </c>
      <c r="D257" s="25">
        <f>INDEX('Inputs (2)'!$D$47:$AL$47,MATCH(D$7,'Inputs (2)'!$D$2:$AL$2,0))</f>
        <v>30556</v>
      </c>
      <c r="E257" s="25">
        <f>INDEX('Inputs (2)'!$D$47:$AL$47,MATCH(E$7,'Inputs (2)'!$D$2:$AL$2,0))</f>
        <v>31128</v>
      </c>
      <c r="F257" s="25">
        <f>INDEX('Inputs (2)'!$D$47:$AL$47,MATCH(F$7,'Inputs (2)'!$D$2:$AL$2,0))</f>
        <v>31646</v>
      </c>
      <c r="G257" s="25">
        <f>INDEX('Inputs (2)'!$D$47:$AL$47,MATCH(G$7,'Inputs (2)'!$D$2:$AL$2,0))</f>
        <v>32596</v>
      </c>
      <c r="H257" s="3">
        <f>G257</f>
        <v>32596</v>
      </c>
      <c r="I257" s="25">
        <f>INDEX('Inputs (2)'!$D$47:$AL$47,MATCH(I$7,'Inputs (2)'!$D$2:$AL$2,0))</f>
        <v>34105</v>
      </c>
      <c r="J257" s="25">
        <f>INDEX('Inputs (2)'!$D$47:$AL$47,MATCH(J$7,'Inputs (2)'!$D$2:$AL$2,0))</f>
        <v>35491</v>
      </c>
      <c r="K257" s="25">
        <f>INDEX('Inputs (2)'!$D$47:$AL$47,MATCH(K$7,'Inputs (2)'!$D$2:$AL$2,0))</f>
        <v>36449</v>
      </c>
      <c r="L257" s="25">
        <f>INDEX('Inputs (2)'!$D$47:$AL$47,MATCH(L$7,'Inputs (2)'!$D$2:$AL$2,0))</f>
        <v>37029</v>
      </c>
      <c r="M257" s="3">
        <f>L257</f>
        <v>37029</v>
      </c>
      <c r="N257" s="25">
        <f>INDEX('Inputs (2)'!$D$47:$AL$47,MATCH(N$7,'Inputs (2)'!$D$2:$AL$2,0))</f>
        <v>38805</v>
      </c>
      <c r="O257" s="25">
        <f>INDEX('Inputs (2)'!$D$47:$AL$47,MATCH(O$7,'Inputs (2)'!$D$2:$AL$2,0))</f>
        <v>40346</v>
      </c>
      <c r="P257" s="25">
        <f>INDEX('Inputs (2)'!$D$47:$AL$47,MATCH(P$7,'Inputs (2)'!$D$2:$AL$2,0))</f>
        <v>42247</v>
      </c>
      <c r="Q257" s="25">
        <f>INDEX('Inputs (2)'!$D$47:$AL$47,MATCH(Q$7,'Inputs (2)'!$D$2:$AL$2,0))</f>
        <v>43846</v>
      </c>
      <c r="R257" s="3">
        <f>Q257</f>
        <v>43846</v>
      </c>
      <c r="S257" s="25">
        <f>INDEX('Inputs (2)'!$D$47:$AL$47,MATCH(S$7,'Inputs (2)'!$D$2:$AL$2,0))</f>
        <v>46336</v>
      </c>
      <c r="T257" s="25">
        <f>INDEX('Inputs (2)'!$D$47:$AL$47,MATCH(T$7,'Inputs (2)'!$D$2:$AL$2,0))</f>
        <v>48947</v>
      </c>
      <c r="U257" s="25">
        <f>INDEX('Inputs (2)'!$D$47:$AL$47,MATCH(U$7,'Inputs (2)'!$D$2:$AL$2,0))</f>
        <v>50931</v>
      </c>
      <c r="V257" s="25">
        <f>INDEX('Inputs (2)'!$D$47:$AL$47,MATCH(V$7,'Inputs (2)'!$D$2:$AL$2,0))</f>
        <v>52266</v>
      </c>
      <c r="W257" s="3">
        <f>V257</f>
        <v>52266</v>
      </c>
      <c r="X257" s="25">
        <f>INDEX('Inputs (2)'!$D$47:$AL$47,MATCH(X$7,'Inputs (2)'!$D$2:$AL$2,0))</f>
        <v>54228</v>
      </c>
      <c r="Y257" s="25">
        <f>INDEX('Inputs (2)'!$D$47:$AL$47,MATCH(Y$7,'Inputs (2)'!$D$2:$AL$2,0))</f>
        <v>55559</v>
      </c>
      <c r="Z257" s="25">
        <f>INDEX('Inputs (2)'!$D$47:$AL$47,MATCH(Z$7,'Inputs (2)'!$D$2:$AL$2,0))</f>
        <v>56402</v>
      </c>
      <c r="AA257" s="25">
        <f>INDEX('Inputs (2)'!$D$47:$AL$47,MATCH(AA$7,'Inputs (2)'!$D$2:$AL$2,0))</f>
        <v>56829</v>
      </c>
      <c r="AB257" s="3">
        <f>AA257</f>
        <v>56829</v>
      </c>
      <c r="AC257" s="25">
        <f>INDEX('Inputs (2)'!$D$47:$AL$47,MATCH(AC$7,'Inputs (2)'!$D$2:$AL$2,0))</f>
        <v>58191</v>
      </c>
      <c r="AD257" s="25">
        <f>INDEX('Inputs (2)'!$D$47:$AL$47,MATCH(AD$7,'Inputs (2)'!$D$2:$AL$2,0))</f>
        <v>59023</v>
      </c>
      <c r="AE257" s="25">
        <f>INDEX('Inputs (2)'!$D$47:$AL$47,MATCH(AE$7,'Inputs (2)'!$D$2:$AL$2,0))</f>
        <v>59676</v>
      </c>
      <c r="AF257" s="25">
        <f>INDEX('Inputs (2)'!$D$47:$AL$47,MATCH(AF$7,'Inputs (2)'!$D$2:$AL$2,0))</f>
        <v>59895</v>
      </c>
      <c r="AG257" s="3">
        <f>AF257</f>
        <v>59895</v>
      </c>
      <c r="AH257" s="3">
        <f>INDEX('Inputs (2)'!$D$47:$AL$47,MATCH(AH$7,'Inputs (2)'!$D$2:$AL$2,0))</f>
        <v>61228</v>
      </c>
      <c r="AI257" s="3">
        <f>INDEX('Inputs (2)'!$D$47:$AL$47,MATCH(AI$7,'Inputs (2)'!$D$2:$AL$2,0))</f>
        <v>62169</v>
      </c>
      <c r="AJ257" s="3">
        <f>AI257+AJ124+AJ125</f>
        <v>65168</v>
      </c>
      <c r="AK257" s="3">
        <f>AJ257+AK124+AK125</f>
        <v>67776</v>
      </c>
      <c r="AL257" s="3">
        <f>AK257</f>
        <v>67776</v>
      </c>
      <c r="AM257" s="3">
        <f>AL257+AM124+AM125</f>
        <v>70366</v>
      </c>
      <c r="AN257" s="3">
        <f>AM257+AN124+AN125</f>
        <v>81586</v>
      </c>
      <c r="AO257" s="3">
        <f>AN257+AO124+AO125</f>
        <v>84172</v>
      </c>
      <c r="AP257" s="3">
        <f>AO257+AP124+AP125</f>
        <v>95382</v>
      </c>
      <c r="AQ257" s="3">
        <f>AP257</f>
        <v>95382</v>
      </c>
      <c r="AR257" s="3">
        <f>AQ257+AR124+AR125</f>
        <v>106574</v>
      </c>
      <c r="AS257" s="3">
        <f>AR257+AS124+AS125</f>
        <v>134172</v>
      </c>
      <c r="AT257" s="3">
        <f>AS257+AT124+AT125</f>
        <v>145360</v>
      </c>
      <c r="AU257" s="3">
        <f>AT257+AU124+AU125</f>
        <v>172948</v>
      </c>
      <c r="AV257" s="3">
        <f>AU257</f>
        <v>172948</v>
      </c>
      <c r="AW257" s="3">
        <f>AV257+AW124+AW125</f>
        <v>200518</v>
      </c>
      <c r="AX257" s="3">
        <f>AW257+AX124+AX125</f>
        <v>278076</v>
      </c>
      <c r="AY257" s="3">
        <f>AX257+AY124+AY125</f>
        <v>305642</v>
      </c>
      <c r="AZ257" s="3">
        <f>AY257+AZ124+AZ125</f>
        <v>383190</v>
      </c>
      <c r="BA257" s="3">
        <f>AZ257</f>
        <v>383190</v>
      </c>
      <c r="BB257" s="3">
        <f>BA257+BB124+BB125</f>
        <v>460720</v>
      </c>
      <c r="BC257" s="3">
        <f>BB257+BC124+BC125</f>
        <v>670954</v>
      </c>
      <c r="BD257" s="3">
        <f>BC257+BD124+BD125</f>
        <v>748480</v>
      </c>
      <c r="BE257" s="3">
        <f>BD257+BE124+BE125</f>
        <v>958704</v>
      </c>
      <c r="BF257" s="3">
        <f>BE257</f>
        <v>958704</v>
      </c>
      <c r="BG257" s="3">
        <f>BF257+BG124+BG125</f>
        <v>1168910</v>
      </c>
      <c r="BH257" s="3">
        <f>BG257+BH124+BH125</f>
        <v>1744416</v>
      </c>
      <c r="BI257" s="3">
        <f>BH257+BI124+BI125</f>
        <v>1954618</v>
      </c>
      <c r="BJ257" s="3">
        <f>BI257+BJ124+BJ125</f>
        <v>2530114</v>
      </c>
      <c r="BK257" s="3">
        <f>BJ257</f>
        <v>2530114</v>
      </c>
      <c r="BL257" s="3">
        <f>BK257+BL124+BL125</f>
        <v>3105592</v>
      </c>
      <c r="BM257" s="3">
        <f>BL257+BM124+BM125</f>
        <v>4676994</v>
      </c>
      <c r="BN257" s="3">
        <f>BM257+BN124+BN125</f>
        <v>5252468</v>
      </c>
      <c r="BO257" s="3">
        <f>BN257+BO124+BO125</f>
        <v>6823860</v>
      </c>
      <c r="BP257" s="3">
        <f>BO257</f>
        <v>6823860</v>
      </c>
      <c r="BQ257" s="3">
        <f>BP257+BQ124+BQ125</f>
        <v>8395234</v>
      </c>
      <c r="BR257" s="3">
        <f>BQ257+BR124+BR125</f>
        <v>12688972</v>
      </c>
      <c r="BS257" s="3">
        <f>BR257+BS124+BS125</f>
        <v>14260342</v>
      </c>
      <c r="BT257" s="3">
        <f>BS257+BT124+BT125</f>
        <v>18554070</v>
      </c>
      <c r="BU257" s="3">
        <f>BT257</f>
        <v>18554070</v>
      </c>
      <c r="BV257" s="3">
        <f>BU257+BV124+BV125</f>
        <v>22847780</v>
      </c>
      <c r="BW257" s="3">
        <f>BV257+BW124+BW125</f>
        <v>34577982</v>
      </c>
      <c r="BX257" s="3">
        <f>BW257+BX124+BX125</f>
        <v>38871688</v>
      </c>
      <c r="BY257" s="3">
        <f>BX257+BY124+BY125</f>
        <v>50601880</v>
      </c>
      <c r="BZ257" s="3">
        <f>BY257</f>
        <v>50601880</v>
      </c>
      <c r="CA257" s="3">
        <f>BZ257+CA124+CA125</f>
        <v>62332054</v>
      </c>
      <c r="CB257" s="3">
        <f>CA257+CB124+CB125</f>
        <v>94379856</v>
      </c>
      <c r="CC257" s="3">
        <f>CB257+CC124+CC125</f>
        <v>106110026</v>
      </c>
      <c r="CD257" s="3">
        <f>CC257+CD124+CD125</f>
        <v>138157818</v>
      </c>
      <c r="CE257" s="3">
        <f>CD257</f>
        <v>138157818</v>
      </c>
      <c r="CF257" s="3">
        <f>CE257+CF124+CF125</f>
        <v>170205592</v>
      </c>
      <c r="CG257" s="3">
        <f>CF257+CG124+CG125</f>
        <v>257761522</v>
      </c>
      <c r="CH257" s="3">
        <f>CG257+CH124+CH125</f>
        <v>289809292</v>
      </c>
      <c r="CI257" s="3">
        <f>CH257+CI124+CI125</f>
        <v>377365212</v>
      </c>
      <c r="CJ257" s="3">
        <f>CI257</f>
        <v>377365212</v>
      </c>
      <c r="CK257" s="3">
        <f>CJ257+CK124+CK125</f>
        <v>464921114</v>
      </c>
      <c r="CL257" s="3">
        <f>CK257+CL124+CL125</f>
        <v>704128500</v>
      </c>
      <c r="CM257" s="3">
        <f>CL257+CM124+CM125</f>
        <v>791684398</v>
      </c>
      <c r="CN257" s="3">
        <f>CM257+CN124+CN125</f>
        <v>1030891774</v>
      </c>
      <c r="CO257" s="3">
        <f>CN257</f>
        <v>1030891774</v>
      </c>
      <c r="CP257" s="3">
        <f>CO257+CP124+CP125</f>
        <v>1270099132</v>
      </c>
      <c r="CQ257" s="3">
        <f>CP257+CQ124+CQ125</f>
        <v>1923625686</v>
      </c>
      <c r="CR257" s="3">
        <f>CQ257+CR124+CR125</f>
        <v>2162833040</v>
      </c>
      <c r="CS257" s="3">
        <f>CR257+CS124+CS125</f>
        <v>2816359584</v>
      </c>
      <c r="CT257" s="3">
        <f>CS257</f>
        <v>2816359584</v>
      </c>
      <c r="CU257" s="3">
        <f>CT257+CU124+CU125</f>
        <v>3469886110</v>
      </c>
      <c r="CV257" s="3">
        <f>CU257+CV124+CV125</f>
        <v>5255353912</v>
      </c>
      <c r="CW257" s="3">
        <f>CV257+CW124+CW125</f>
        <v>5908880434</v>
      </c>
      <c r="CX257" s="3">
        <f>CW257+CX124+CX125</f>
        <v>7694348226</v>
      </c>
      <c r="CY257" s="3">
        <f>CX257</f>
        <v>7694348226</v>
      </c>
    </row>
    <row r="258" customFormat="1" s="17">
      <c r="A258" s="13" t="inlineStr">
        <is>
          <t xml:space="preserve"> </t>
        </is>
      </c>
      <c r="B258" s="13" t="n"/>
      <c r="C258" s="27" t="inlineStr">
        <is>
          <t>Total Shareholders' Equity</t>
        </is>
      </c>
      <c r="D258" s="16">
        <f>SUM(D235+D240+D241+D254+D255+D256+D257)</f>
        <v>11865</v>
      </c>
      <c r="E258" s="16">
        <f>SUM(E235+E240+E241+E254+E255+E256+E257)</f>
        <v>12891</v>
      </c>
      <c r="F258" s="16">
        <f>SUM(F235+F240+F241+F254+F255+F256+F257)</f>
        <v>12944</v>
      </c>
      <c r="G258" s="16">
        <f>SUM(G235+G240+G241+G254+G255+G256+G257)</f>
        <v>14086</v>
      </c>
      <c r="H258" s="16">
        <f>SUM(H235,H240,H241,H254,H255,H256,H257)</f>
        <v>14086</v>
      </c>
      <c r="I258" s="16">
        <f>SUM(I235+I240+I241+I254+I255+I256+I257)</f>
        <v>15096</v>
      </c>
      <c r="J258" s="16">
        <f>SUM(J235+J240+J241+J254+J255+J256+J257)</f>
        <v>15733</v>
      </c>
      <c r="K258" s="16">
        <f>SUM(K235+K240+K241+K254+K255+K256+K257)</f>
        <v>18434</v>
      </c>
      <c r="L258" s="16">
        <f>SUM(L235+L240+L241+L254+L255+L256+L257)</f>
        <v>17808</v>
      </c>
      <c r="M258" s="16">
        <f>SUM(M235,M240,M241,M254,M255,M256,M257)</f>
        <v>17808</v>
      </c>
      <c r="N258" s="16">
        <f>SUM(N235+N240+N241+N254+N255+N256+N257)</f>
        <v>19006</v>
      </c>
      <c r="O258" s="16">
        <f>SUM(O235+O240+O241+O254+O255+O256+O257)</f>
        <v>19131</v>
      </c>
      <c r="P258" s="16">
        <f>SUM(P235+P240+P241+P254+P255+P256+P257)</f>
        <v>20357</v>
      </c>
      <c r="Q258" s="16">
        <f>SUM(Q235+Q240+Q241+Q254+Q255+Q256+Q257)</f>
        <v>21436</v>
      </c>
      <c r="R258" s="16">
        <f>SUM(R235,R240,R241,R254,R255,R256,R257)</f>
        <v>21436</v>
      </c>
      <c r="S258" s="16">
        <f>SUM(S235+S240+S241+S254+S255+S256+S257)</f>
        <v>22501</v>
      </c>
      <c r="T258" s="16">
        <f>SUM(T235+T240+T241+T254+T255+T256+T257)</f>
        <v>23152</v>
      </c>
      <c r="U258" s="16">
        <f>SUM(U235+U240+U241+U254+U255+U256+U257)</f>
        <v>21886</v>
      </c>
      <c r="V258" s="16">
        <f>SUM(V235+V240+V241+V254+V255+V256+V257)</f>
        <v>22179</v>
      </c>
      <c r="W258" s="16">
        <f>SUM(W235,W240,W241,W254,W255,W256,W257)</f>
        <v>22179</v>
      </c>
      <c r="X258" s="16">
        <f>SUM(X235+X240+X241+X254+X255+X256+X257)</f>
        <v>22786</v>
      </c>
      <c r="Y258" s="16">
        <f>SUM(Y235+Y240+Y241+Y254+Y255+Y256+Y257)</f>
        <v>23149</v>
      </c>
      <c r="Z258" s="16">
        <f>SUM(Z235+Z240+Z241+Z254+Z255+Z256+Z257)</f>
        <v>22925</v>
      </c>
      <c r="AA258" s="16">
        <f>SUM(AA235+AA240+AA241+AA254+AA255+AA256+AA257)</f>
        <v>22564</v>
      </c>
      <c r="AB258" s="16">
        <f>SUM(AB235,AB240,AB241,AB254,AB255,AB256,AB257)</f>
        <v>22564</v>
      </c>
      <c r="AC258" s="16">
        <f>SUM(AC235+AC240+AC241+AC254+AC255+AC256+AC257)</f>
        <v>24378</v>
      </c>
      <c r="AD258" s="16">
        <f>SUM(AD235+AD240+AD241+AD254+AD255+AD256+AD257)</f>
        <v>25264</v>
      </c>
      <c r="AE258" s="16">
        <f>SUM(AE235+AE240+AE241+AE254+AE255+AE256+AE257)</f>
        <v>26007</v>
      </c>
      <c r="AF258" s="16">
        <f>SUM(AF235+AF240+AF241+AF254+AF255+AF256+AF257)</f>
        <v>26357</v>
      </c>
      <c r="AG258" s="16">
        <f>SUM(AG235,AG240,AG241,AG254,AG255,AG256,AG257)</f>
        <v>26357</v>
      </c>
      <c r="AH258" s="16">
        <f>SUM(AH235+AH240+AH241+AH254+AH255+AH256+AH257)</f>
        <v>27460</v>
      </c>
      <c r="AI258" s="16">
        <f>SUM(AI235+AI240+AI241+AI254+AI255+AI256+AI257)</f>
        <v>28041</v>
      </c>
      <c r="AJ258" s="16">
        <f>SUM(AJ235+AJ240+AJ241+AJ254+AJ255+AJ256+AJ257)</f>
        <v>31035</v>
      </c>
      <c r="AK258" s="16">
        <f>SUM(AK235+AK240+AK241+AK254+AK255+AK256+AK257)</f>
        <v>33642</v>
      </c>
      <c r="AL258" s="16">
        <f>SUM(AL235,AL240,AL241,AL254,AL255,AL256,AL257)</f>
        <v>33642</v>
      </c>
      <c r="AM258" s="16">
        <f>SUM(AM235+AM240+AM241+AM254+AM255+AM256+AM257)</f>
        <v>36229</v>
      </c>
      <c r="AN258" s="16">
        <f>SUM(AN235+AN240+AN241+AN254+AN255+AN256+AN257)</f>
        <v>47447</v>
      </c>
      <c r="AO258" s="16">
        <f>SUM(AO235+AO240+AO241+AO254+AO255+AO256+AO257)</f>
        <v>50028</v>
      </c>
      <c r="AP258" s="16">
        <f>SUM(AP235+AP240+AP241+AP254+AP255+AP256+AP257)</f>
        <v>61237</v>
      </c>
      <c r="AQ258" s="16">
        <f>SUM(AQ235,AQ240,AQ241,AQ254,AQ255,AQ256,AQ257)</f>
        <v>61237</v>
      </c>
      <c r="AR258" s="16">
        <f>SUM(AR235+AR240+AR241+AR254+AR255+AR256+AR257)</f>
        <v>72426</v>
      </c>
      <c r="AS258" s="16">
        <f>SUM(AS235+AS240+AS241+AS254+AS255+AS256+AS257)</f>
        <v>100022</v>
      </c>
      <c r="AT258" s="16">
        <f>SUM(AT235+AT240+AT241+AT254+AT255+AT256+AT257)</f>
        <v>111205</v>
      </c>
      <c r="AU258" s="16">
        <f>SUM(AU235+AU240+AU241+AU254+AU255+AU256+AU257)</f>
        <v>138792</v>
      </c>
      <c r="AV258" s="16">
        <f>SUM(AV235,AV240,AV241,AV254,AV255,AV256,AV257)</f>
        <v>138792</v>
      </c>
      <c r="AW258" s="16">
        <f>SUM(AW235+AW240+AW241+AW254+AW255+AW256+AW257)</f>
        <v>166359</v>
      </c>
      <c r="AX258" s="16">
        <f>SUM(AX235+AX240+AX241+AX254+AX255+AX256+AX257)</f>
        <v>243915</v>
      </c>
      <c r="AY258" s="16">
        <f>SUM(AY235+AY240+AY241+AY254+AY255+AY256+AY257)</f>
        <v>271476</v>
      </c>
      <c r="AZ258" s="16">
        <f>SUM(AZ235+AZ240+AZ241+AZ254+AZ255+AZ256+AZ257)</f>
        <v>349023</v>
      </c>
      <c r="BA258" s="16">
        <f>SUM(BA235,BA240,BA241,BA254,BA255,BA256,BA257)</f>
        <v>349023</v>
      </c>
      <c r="BB258" s="16">
        <f>SUM(BB235+BB240+BB241+BB254+BB255+BB256+BB257)</f>
        <v>426550</v>
      </c>
      <c r="BC258" s="16">
        <f>SUM(BC235+BC240+BC241+BC254+BC255+BC256+BC257)</f>
        <v>636782</v>
      </c>
      <c r="BD258" s="16">
        <f>SUM(BD235+BD240+BD241+BD254+BD255+BD256+BD257)</f>
        <v>714303</v>
      </c>
      <c r="BE258" s="16">
        <f>SUM(BE235+BE240+BE241+BE254+BE255+BE256+BE257)</f>
        <v>924526</v>
      </c>
      <c r="BF258" s="16">
        <f>SUM(BF235,BF240,BF241,BF254,BF255,BF256,BF257)</f>
        <v>924526</v>
      </c>
      <c r="BG258" s="16">
        <f>SUM(BG235+BG240+BG241+BG254+BG255+BG256+BG257)</f>
        <v>1134729</v>
      </c>
      <c r="BH258" s="16">
        <f>SUM(BH235+BH240+BH241+BH254+BH255+BH256+BH257)</f>
        <v>1710233</v>
      </c>
      <c r="BI258" s="16">
        <f>SUM(BI235+BI240+BI241+BI254+BI255+BI256+BI257)</f>
        <v>1920430</v>
      </c>
      <c r="BJ258" s="16">
        <f>SUM(BJ235+BJ240+BJ241+BJ254+BJ255+BJ256+BJ257)</f>
        <v>2495925</v>
      </c>
      <c r="BK258" s="16">
        <f>SUM(BK235,BK240,BK241,BK254,BK255,BK256,BK257)</f>
        <v>2495925</v>
      </c>
      <c r="BL258" s="16">
        <f>SUM(BL235+BL240+BL241+BL254+BL255+BL256+BL257)</f>
        <v>3071400</v>
      </c>
      <c r="BM258" s="16">
        <f>SUM(BM235+BM240+BM241+BM254+BM255+BM256+BM257)</f>
        <v>4642800</v>
      </c>
      <c r="BN258" s="16">
        <f>SUM(BN235+BN240+BN241+BN254+BN255+BN256+BN257)</f>
        <v>5218269</v>
      </c>
      <c r="BO258" s="16">
        <f>SUM(BO235+BO240+BO241+BO254+BO255+BO256+BO257)</f>
        <v>6789660</v>
      </c>
      <c r="BP258" s="16">
        <f>SUM(BP235,BP240,BP241,BP254,BP255,BP256,BP257)</f>
        <v>6789660</v>
      </c>
      <c r="BQ258" s="16">
        <f>SUM(BQ235+BQ240+BQ241+BQ254+BQ255+BQ256+BQ257)</f>
        <v>8361031</v>
      </c>
      <c r="BR258" s="16">
        <f>SUM(BR235+BR240+BR241+BR254+BR255+BR256+BR257)</f>
        <v>12654767</v>
      </c>
      <c r="BS258" s="16">
        <f>SUM(BS235+BS240+BS241+BS254+BS255+BS256+BS257)</f>
        <v>14226132</v>
      </c>
      <c r="BT258" s="16">
        <f>SUM(BT235+BT240+BT241+BT254+BT255+BT256+BT257)</f>
        <v>18519859</v>
      </c>
      <c r="BU258" s="16">
        <f>SUM(BU235,BU240,BU241,BU254,BU255,BU256,BU257)</f>
        <v>18519859</v>
      </c>
      <c r="BV258" s="16">
        <f>SUM(BV235+BV240+BV241+BV254+BV255+BV256+BV257)</f>
        <v>22813566</v>
      </c>
      <c r="BW258" s="16">
        <f>SUM(BW235+BW240+BW241+BW254+BW255+BW256+BW257)</f>
        <v>34543766</v>
      </c>
      <c r="BX258" s="16">
        <f>SUM(BX235+BX240+BX241+BX254+BX255+BX256+BX257)</f>
        <v>38837467</v>
      </c>
      <c r="BY258" s="16">
        <f>SUM(BY235+BY240+BY241+BY254+BY255+BY256+BY257)</f>
        <v>50567658</v>
      </c>
      <c r="BZ258" s="16">
        <f>SUM(BZ235,BZ240,BZ241,BZ254,BZ255,BZ256,BZ257)</f>
        <v>50567658</v>
      </c>
      <c r="CA258" s="16">
        <f>SUM(CA235+CA240+CA241+CA254+CA255+CA256+CA257)</f>
        <v>62297829</v>
      </c>
      <c r="CB258" s="16">
        <f>SUM(CB235+CB240+CB241+CB254+CB255+CB256+CB257)</f>
        <v>94345629</v>
      </c>
      <c r="CC258" s="16">
        <f>SUM(CC235+CC240+CC241+CC254+CC255+CC256+CC257)</f>
        <v>106075794</v>
      </c>
      <c r="CD258" s="16">
        <f>SUM(CD235+CD240+CD241+CD254+CD255+CD256+CD257)</f>
        <v>138123585</v>
      </c>
      <c r="CE258" s="16">
        <f>SUM(CE235,CE240,CE241,CE254,CE255,CE256,CE257)</f>
        <v>138123585</v>
      </c>
      <c r="CF258" s="16">
        <f>SUM(CF235+CF240+CF241+CF254+CF255+CF256+CF257)</f>
        <v>170171356</v>
      </c>
      <c r="CG258" s="16">
        <f>SUM(CG235+CG240+CG241+CG254+CG255+CG256+CG257)</f>
        <v>257727284</v>
      </c>
      <c r="CH258" s="16">
        <f>SUM(CH235+CH240+CH241+CH254+CH255+CH256+CH257)</f>
        <v>289775049</v>
      </c>
      <c r="CI258" s="16">
        <f>SUM(CI235+CI240+CI241+CI254+CI255+CI256+CI257)</f>
        <v>377330968</v>
      </c>
      <c r="CJ258" s="16">
        <f>SUM(CJ235,CJ240,CJ241,CJ254,CJ255,CJ256,CJ257)</f>
        <v>377330968</v>
      </c>
      <c r="CK258" s="16">
        <f>SUM(CK235+CK240+CK241+CK254+CK255+CK256+CK257)</f>
        <v>464886867</v>
      </c>
      <c r="CL258" s="16">
        <f>SUM(CL235+CL240+CL241+CL254+CL255+CL256+CL257)</f>
        <v>704094251</v>
      </c>
      <c r="CM258" s="16">
        <f>SUM(CM235+CM240+CM241+CM254+CM255+CM256+CM257)</f>
        <v>791650144</v>
      </c>
      <c r="CN258" s="16">
        <f>SUM(CN235+CN240+CN241+CN254+CN255+CN256+CN257)</f>
        <v>1030857519</v>
      </c>
      <c r="CO258" s="16">
        <f>SUM(CO235,CO240,CO241,CO254,CO255,CO256,CO257)</f>
        <v>1030857519</v>
      </c>
      <c r="CP258" s="16">
        <f>SUM(CP235+CP240+CP241+CP254+CP255+CP256+CP257)</f>
        <v>1270064874</v>
      </c>
      <c r="CQ258" s="16">
        <f>SUM(CQ235+CQ240+CQ241+CQ254+CQ255+CQ256+CQ257)</f>
        <v>1923591426</v>
      </c>
      <c r="CR258" s="16">
        <f>SUM(CR235+CR240+CR241+CR254+CR255+CR256+CR257)</f>
        <v>2162798775</v>
      </c>
      <c r="CS258" s="16">
        <f>SUM(CS235+CS240+CS241+CS254+CS255+CS256+CS257)</f>
        <v>2816325318</v>
      </c>
      <c r="CT258" s="16">
        <f>SUM(CT235,CT240,CT241,CT254,CT255,CT256,CT257)</f>
        <v>2816325318</v>
      </c>
      <c r="CU258" s="16">
        <f>SUM(CU235+CU240+CU241+CU254+CU255+CU256+CU257)</f>
        <v>3469851841</v>
      </c>
      <c r="CV258" s="16">
        <f>SUM(CV235+CV240+CV241+CV254+CV255+CV256+CV257)</f>
        <v>5255319641</v>
      </c>
      <c r="CW258" s="16">
        <f>SUM(CW235+CW240+CW241+CW254+CW255+CW256+CW257)</f>
        <v>5908846158</v>
      </c>
      <c r="CX258" s="16">
        <f>SUM(CX235+CX240+CX241+CX254+CX255+CX256+CX257)</f>
        <v>7694313949</v>
      </c>
      <c r="CY258" s="16">
        <f>SUM(CY235,CY240,CY241,CY254,CY255,CY256,CY257)</f>
        <v>7694313949</v>
      </c>
    </row>
    <row r="259">
      <c r="C259" s="29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  <c r="CU259" s="3" t="n"/>
      <c r="CV259" s="3" t="n"/>
      <c r="CW259" s="3" t="n"/>
      <c r="CX259" s="3" t="n"/>
      <c r="CY259" s="3" t="n"/>
    </row>
    <row r="260" customFormat="1" s="17">
      <c r="A260" s="13" t="n"/>
      <c r="B260" s="1" t="n"/>
      <c r="C260" s="14" t="inlineStr">
        <is>
          <t>Total Liabilities + Shareholders' Equity</t>
        </is>
      </c>
      <c r="D260" s="16">
        <f>D258+D234</f>
        <v>77326</v>
      </c>
      <c r="E260" s="16">
        <f>E258+E234</f>
        <v>77264</v>
      </c>
      <c r="F260" s="16">
        <f>F258+F234</f>
        <v>75091</v>
      </c>
      <c r="G260" s="16">
        <f>G258+G234</f>
        <v>75480</v>
      </c>
      <c r="H260" s="16">
        <f>H258+H234</f>
        <v>75480</v>
      </c>
      <c r="I260" s="16">
        <f>I258+I234</f>
        <v>78979</v>
      </c>
      <c r="J260" s="16">
        <f>J258+J234</f>
        <v>80688</v>
      </c>
      <c r="K260" s="16">
        <f>K258+K234</f>
        <v>84114</v>
      </c>
      <c r="L260" s="16">
        <f>L258+L234</f>
        <v>79614</v>
      </c>
      <c r="M260" s="16">
        <f>M258+M234</f>
        <v>79614</v>
      </c>
      <c r="N260" s="16">
        <f>N258+N234</f>
        <v>84099</v>
      </c>
      <c r="O260" s="16">
        <f>O258+O234</f>
        <v>86817</v>
      </c>
      <c r="P260" s="16">
        <f>P258+P234</f>
        <v>90030</v>
      </c>
      <c r="Q260" s="16">
        <f>Q258+Q234</f>
        <v>91620</v>
      </c>
      <c r="R260" s="16">
        <f>R258+R234</f>
        <v>91620</v>
      </c>
      <c r="S260" s="16">
        <f>S258+S234</f>
        <v>98347</v>
      </c>
      <c r="T260" s="16">
        <f>T258+T234</f>
        <v>103397</v>
      </c>
      <c r="U260" s="16">
        <f>U258+U234</f>
        <v>104087</v>
      </c>
      <c r="V260" s="16">
        <f>V258+V234</f>
        <v>101371</v>
      </c>
      <c r="W260" s="16">
        <f>W258+W234</f>
        <v>101371</v>
      </c>
      <c r="X260" s="16">
        <f>X258+X234</f>
        <v>105628</v>
      </c>
      <c r="Y260" s="16">
        <f>Y258+Y234</f>
        <v>107841</v>
      </c>
      <c r="Z260" s="16">
        <f>Z258+Z234</f>
        <v>107320</v>
      </c>
      <c r="AA260" s="16">
        <f>AA258+AA234</f>
        <v>103119</v>
      </c>
      <c r="AB260" s="16">
        <f>AB258+AB234</f>
        <v>103119</v>
      </c>
      <c r="AC260" s="16">
        <f>AC258+AC234</f>
        <v>106303</v>
      </c>
      <c r="AD260" s="16">
        <f>AD258+AD234</f>
        <v>107817</v>
      </c>
      <c r="AE260" s="16">
        <f>AE258+AE234</f>
        <v>105996</v>
      </c>
      <c r="AF260" s="16">
        <f>AF258+AF234</f>
        <v>103436</v>
      </c>
      <c r="AG260" s="16">
        <f>AG258+AG234</f>
        <v>103436</v>
      </c>
      <c r="AH260" s="16">
        <f>AH258+AH234</f>
        <v>107001</v>
      </c>
      <c r="AI260" s="16">
        <f>AI258+AI234</f>
        <v>107607</v>
      </c>
      <c r="AJ260" s="16">
        <f>AJ258+AJ234</f>
        <v>110601</v>
      </c>
      <c r="AK260" s="16">
        <f>AK258+AK234</f>
        <v>113208</v>
      </c>
      <c r="AL260" s="16">
        <f>AL258+AL234</f>
        <v>113208</v>
      </c>
      <c r="AM260" s="16" t="e">
        <f>AM258+AM234</f>
        <v>#DIV/0!</v>
      </c>
      <c r="AN260" s="16">
        <f>AN258+AN234</f>
        <v>127013</v>
      </c>
      <c r="AO260" s="16" t="e">
        <f>AO258+AO234</f>
        <v>#DIV/0!</v>
      </c>
      <c r="AP260" s="16" t="e">
        <f>AP258+AP234</f>
        <v>#DIV/0!</v>
      </c>
      <c r="AQ260" s="16" t="e">
        <f>AQ258+AQ234</f>
        <v>#DIV/0!</v>
      </c>
      <c r="AR260" s="16" t="e">
        <f>AR258+AR234</f>
        <v>#DIV/0!</v>
      </c>
      <c r="AS260" s="16" t="e">
        <f>AS258+AS234</f>
        <v>#DIV/0!</v>
      </c>
      <c r="AT260" s="16" t="e">
        <f>AT258+AT234</f>
        <v>#DIV/0!</v>
      </c>
      <c r="AU260" s="16" t="e">
        <f>AU258+AU234</f>
        <v>#DIV/0!</v>
      </c>
      <c r="AV260" s="16" t="e">
        <f>AV258+AV234</f>
        <v>#DIV/0!</v>
      </c>
      <c r="AW260" s="16" t="e">
        <f>AW258+AW234</f>
        <v>#DIV/0!</v>
      </c>
      <c r="AX260" s="16" t="e">
        <f>AX258+AX234</f>
        <v>#DIV/0!</v>
      </c>
      <c r="AY260" s="16" t="e">
        <f>AY258+AY234</f>
        <v>#DIV/0!</v>
      </c>
      <c r="AZ260" s="16" t="e">
        <f>AZ258+AZ234</f>
        <v>#DIV/0!</v>
      </c>
      <c r="BA260" s="16" t="e">
        <f>BA258+BA234</f>
        <v>#DIV/0!</v>
      </c>
      <c r="BB260" s="16" t="e">
        <f>BB258+BB234</f>
        <v>#DIV/0!</v>
      </c>
      <c r="BC260" s="16" t="e">
        <f>BC258+BC234</f>
        <v>#DIV/0!</v>
      </c>
      <c r="BD260" s="16" t="e">
        <f>BD258+BD234</f>
        <v>#DIV/0!</v>
      </c>
      <c r="BE260" s="16" t="e">
        <f>BE258+BE234</f>
        <v>#DIV/0!</v>
      </c>
      <c r="BF260" s="16" t="e">
        <f>BF258+BF234</f>
        <v>#DIV/0!</v>
      </c>
      <c r="BG260" s="16" t="e">
        <f>BG258+BG234</f>
        <v>#DIV/0!</v>
      </c>
      <c r="BH260" s="16" t="e">
        <f>BH258+BH234</f>
        <v>#DIV/0!</v>
      </c>
      <c r="BI260" s="16" t="e">
        <f>BI258+BI234</f>
        <v>#DIV/0!</v>
      </c>
      <c r="BJ260" s="16" t="e">
        <f>BJ258+BJ234</f>
        <v>#DIV/0!</v>
      </c>
      <c r="BK260" s="16" t="e">
        <f>BK258+BK234</f>
        <v>#DIV/0!</v>
      </c>
      <c r="BL260" s="16" t="e">
        <f>BL258+BL234</f>
        <v>#DIV/0!</v>
      </c>
      <c r="BM260" s="16" t="e">
        <f>BM258+BM234</f>
        <v>#DIV/0!</v>
      </c>
      <c r="BN260" s="16" t="e">
        <f>BN258+BN234</f>
        <v>#DIV/0!</v>
      </c>
      <c r="BO260" s="16" t="e">
        <f>BO258+BO234</f>
        <v>#DIV/0!</v>
      </c>
      <c r="BP260" s="16" t="e">
        <f>BP258+BP234</f>
        <v>#DIV/0!</v>
      </c>
      <c r="BQ260" s="16" t="e">
        <f>BQ258+BQ234</f>
        <v>#DIV/0!</v>
      </c>
      <c r="BR260" s="16" t="e">
        <f>BR258+BR234</f>
        <v>#DIV/0!</v>
      </c>
      <c r="BS260" s="16" t="e">
        <f>BS258+BS234</f>
        <v>#DIV/0!</v>
      </c>
      <c r="BT260" s="16" t="e">
        <f>BT258+BT234</f>
        <v>#DIV/0!</v>
      </c>
      <c r="BU260" s="16" t="e">
        <f>BU258+BU234</f>
        <v>#DIV/0!</v>
      </c>
      <c r="BV260" s="16" t="e">
        <f>BV258+BV234</f>
        <v>#DIV/0!</v>
      </c>
      <c r="BW260" s="16" t="e">
        <f>BW258+BW234</f>
        <v>#DIV/0!</v>
      </c>
      <c r="BX260" s="16" t="e">
        <f>BX258+BX234</f>
        <v>#DIV/0!</v>
      </c>
      <c r="BY260" s="16" t="e">
        <f>BY258+BY234</f>
        <v>#DIV/0!</v>
      </c>
      <c r="BZ260" s="16" t="e">
        <f>BZ258+BZ234</f>
        <v>#DIV/0!</v>
      </c>
      <c r="CA260" s="16" t="e">
        <f>CA258+CA234</f>
        <v>#DIV/0!</v>
      </c>
      <c r="CB260" s="16" t="e">
        <f>CB258+CB234</f>
        <v>#DIV/0!</v>
      </c>
      <c r="CC260" s="16" t="e">
        <f>CC258+CC234</f>
        <v>#DIV/0!</v>
      </c>
      <c r="CD260" s="16" t="e">
        <f>CD258+CD234</f>
        <v>#DIV/0!</v>
      </c>
      <c r="CE260" s="16" t="e">
        <f>CE258+CE234</f>
        <v>#DIV/0!</v>
      </c>
      <c r="CF260" s="16" t="e">
        <f>CF258+CF234</f>
        <v>#DIV/0!</v>
      </c>
      <c r="CG260" s="16" t="e">
        <f>CG258+CG234</f>
        <v>#DIV/0!</v>
      </c>
      <c r="CH260" s="16" t="e">
        <f>CH258+CH234</f>
        <v>#DIV/0!</v>
      </c>
      <c r="CI260" s="16" t="e">
        <f>CI258+CI234</f>
        <v>#DIV/0!</v>
      </c>
      <c r="CJ260" s="16" t="e">
        <f>CJ258+CJ234</f>
        <v>#DIV/0!</v>
      </c>
      <c r="CK260" s="16" t="e">
        <f>CK258+CK234</f>
        <v>#DIV/0!</v>
      </c>
      <c r="CL260" s="16" t="e">
        <f>CL258+CL234</f>
        <v>#DIV/0!</v>
      </c>
      <c r="CM260" s="16" t="e">
        <f>CM258+CM234</f>
        <v>#DIV/0!</v>
      </c>
      <c r="CN260" s="16" t="e">
        <f>CN258+CN234</f>
        <v>#DIV/0!</v>
      </c>
      <c r="CO260" s="16" t="e">
        <f>CO258+CO234</f>
        <v>#DIV/0!</v>
      </c>
      <c r="CP260" s="16" t="e">
        <f>CP258+CP234</f>
        <v>#DIV/0!</v>
      </c>
      <c r="CQ260" s="16" t="e">
        <f>CQ258+CQ234</f>
        <v>#DIV/0!</v>
      </c>
      <c r="CR260" s="16" t="e">
        <f>CR258+CR234</f>
        <v>#DIV/0!</v>
      </c>
      <c r="CS260" s="16" t="e">
        <f>CS258+CS234</f>
        <v>#DIV/0!</v>
      </c>
      <c r="CT260" s="16" t="e">
        <f>CT258+CT234</f>
        <v>#DIV/0!</v>
      </c>
      <c r="CU260" s="16" t="e">
        <f>CU258+CU234</f>
        <v>#DIV/0!</v>
      </c>
      <c r="CV260" s="16" t="e">
        <f>CV258+CV234</f>
        <v>#DIV/0!</v>
      </c>
      <c r="CW260" s="16" t="e">
        <f>CW258+CW234</f>
        <v>#DIV/0!</v>
      </c>
      <c r="CX260" s="16" t="e">
        <f>CX258+CX234</f>
        <v>#DIV/0!</v>
      </c>
      <c r="CY260" s="16" t="e">
        <f>CY258+CY234</f>
        <v>#DIV/0!</v>
      </c>
    </row>
    <row r="261">
      <c r="C261" s="5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1" t="n"/>
      <c r="CB261" s="1" t="n"/>
      <c r="CC261" s="1" t="n"/>
      <c r="CD261" s="1" t="n"/>
      <c r="CE261" s="1" t="n"/>
      <c r="CF261" s="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</row>
    <row r="262" customFormat="1" s="17">
      <c r="A262" s="13" t="n"/>
      <c r="B262" s="13" t="n"/>
      <c r="C262" s="12" t="inlineStr">
        <is>
          <t>Cash Flow Statement</t>
        </is>
      </c>
      <c r="D262" s="232" t="str">
        <f>D129</f>
        <v>1Q20</v>
      </c>
      <c r="E262" s="232" t="str">
        <f>E129</f>
        <v>2Q20</v>
      </c>
      <c r="F262" s="232" t="str">
        <f>F129</f>
        <v>3Q20</v>
      </c>
      <c r="G262" s="232" t="str">
        <f>G129</f>
        <v>4Q20</v>
      </c>
      <c r="H262" s="232">
        <f>H129</f>
        <v>2020</v>
      </c>
      <c r="I262" s="232" t="str">
        <f>I129</f>
        <v>1Q21</v>
      </c>
      <c r="J262" s="232" t="str">
        <f>J129</f>
        <v>2Q21</v>
      </c>
      <c r="K262" s="232" t="str">
        <f>K129</f>
        <v>3Q21</v>
      </c>
      <c r="L262" s="232" t="str">
        <f>L129</f>
        <v>4Q21</v>
      </c>
      <c r="M262" s="232">
        <f>M129</f>
        <v>2021</v>
      </c>
      <c r="N262" s="232" t="str">
        <f>N129</f>
        <v>1Q22</v>
      </c>
      <c r="O262" s="232" t="str">
        <f>O129</f>
        <v>2Q22</v>
      </c>
      <c r="P262" s="232" t="str">
        <f>P129</f>
        <v>3Q22</v>
      </c>
      <c r="Q262" s="232" t="str">
        <f>Q129</f>
        <v>4Q22</v>
      </c>
      <c r="R262" s="232">
        <f>R129</f>
        <v>2022</v>
      </c>
      <c r="S262" s="232" t="str">
        <f>S129</f>
        <v>1Q23</v>
      </c>
      <c r="T262" s="232" t="str">
        <f>T129</f>
        <v>2Q23</v>
      </c>
      <c r="U262" s="232" t="str">
        <f>U129</f>
        <v>3Q23</v>
      </c>
      <c r="V262" s="232" t="str">
        <f>V129</f>
        <v>4Q23</v>
      </c>
      <c r="W262" s="232">
        <f>W129</f>
        <v>2023</v>
      </c>
      <c r="X262" s="232" t="str">
        <f>X129</f>
        <v>1Q24</v>
      </c>
      <c r="Y262" s="232" t="str">
        <f>Y129</f>
        <v>2Q24</v>
      </c>
      <c r="Z262" s="232" t="str">
        <f>Z129</f>
        <v>3Q24</v>
      </c>
      <c r="AA262" s="232" t="str">
        <f>AA129</f>
        <v>4Q24</v>
      </c>
      <c r="AB262" s="232">
        <f>AB129</f>
        <v>2024</v>
      </c>
      <c r="AC262" s="232" t="str">
        <f>AC129</f>
        <v>1Q25</v>
      </c>
      <c r="AD262" s="232" t="str">
        <f>AD129</f>
        <v>2Q25</v>
      </c>
      <c r="AE262" s="232" t="str">
        <f>AE129</f>
        <v>3Q25</v>
      </c>
      <c r="AF262" s="232" t="str">
        <f>AF129</f>
        <v>4Q25</v>
      </c>
      <c r="AG262" s="232">
        <f>AG129</f>
        <v>2025</v>
      </c>
      <c r="AH262" s="232" t="str">
        <f>AH129</f>
        <v>1Q26</v>
      </c>
      <c r="AI262" s="232" t="str">
        <f>AI129</f>
        <v>2Q26</v>
      </c>
      <c r="AJ262" s="232" t="str">
        <f>AJ129</f>
        <v>3Q26</v>
      </c>
      <c r="AK262" s="232" t="str">
        <f>AK129</f>
        <v>4Q26</v>
      </c>
      <c r="AL262" s="232">
        <f>AL129</f>
        <v>2026</v>
      </c>
      <c r="AM262" s="232" t="str">
        <f>AM129</f>
        <v>1Q27</v>
      </c>
      <c r="AN262" s="232" t="str">
        <f>AN129</f>
        <v>2Q27</v>
      </c>
      <c r="AO262" s="232" t="str">
        <f>AO129</f>
        <v>3Q27</v>
      </c>
      <c r="AP262" s="232" t="str">
        <f>AP129</f>
        <v>4Q27</v>
      </c>
      <c r="AQ262" s="232">
        <f>AQ129</f>
        <v>2027</v>
      </c>
      <c r="AR262" s="232" t="str">
        <f>AR129</f>
        <v>1Q28</v>
      </c>
      <c r="AS262" s="232" t="str">
        <f>AS129</f>
        <v>2Q28</v>
      </c>
      <c r="AT262" s="232" t="str">
        <f>AT129</f>
        <v>3Q28</v>
      </c>
      <c r="AU262" s="232" t="str">
        <f>AU129</f>
        <v>4Q28</v>
      </c>
      <c r="AV262" s="232">
        <f>AV129</f>
        <v>2028</v>
      </c>
      <c r="AW262" s="232" t="str">
        <f>AW129</f>
        <v>1Q29</v>
      </c>
      <c r="AX262" s="232" t="str">
        <f>AX129</f>
        <v>2Q29</v>
      </c>
      <c r="AY262" s="232" t="str">
        <f>AY129</f>
        <v>3Q29</v>
      </c>
      <c r="AZ262" s="232" t="str">
        <f>AZ129</f>
        <v>4Q29</v>
      </c>
      <c r="BA262" s="232">
        <f>BA129</f>
        <v>2029</v>
      </c>
      <c r="BB262" s="232" t="str">
        <f>BB129</f>
        <v>1Q30</v>
      </c>
      <c r="BC262" s="232" t="str">
        <f>BC129</f>
        <v>2Q30</v>
      </c>
      <c r="BD262" s="232" t="str">
        <f>BD129</f>
        <v>3Q30</v>
      </c>
      <c r="BE262" s="232" t="str">
        <f>BE129</f>
        <v>4Q30</v>
      </c>
      <c r="BF262" s="232">
        <f>BF129</f>
        <v>2030</v>
      </c>
      <c r="BG262" s="232" t="str">
        <f>BG129</f>
        <v>1Q31</v>
      </c>
      <c r="BH262" s="232" t="str">
        <f>BH129</f>
        <v>2Q31</v>
      </c>
      <c r="BI262" s="232" t="str">
        <f>BI129</f>
        <v>3Q31</v>
      </c>
      <c r="BJ262" s="232" t="str">
        <f>BJ129</f>
        <v>4Q31</v>
      </c>
      <c r="BK262" s="232">
        <f>BK129</f>
        <v>2031</v>
      </c>
      <c r="BL262" s="232" t="str">
        <f>BL129</f>
        <v>1Q32</v>
      </c>
      <c r="BM262" s="232" t="str">
        <f>BM129</f>
        <v>2Q32</v>
      </c>
      <c r="BN262" s="232" t="str">
        <f>BN129</f>
        <v>3Q32</v>
      </c>
      <c r="BO262" s="232" t="str">
        <f>BO129</f>
        <v>4Q32</v>
      </c>
      <c r="BP262" s="232">
        <f>BP129</f>
        <v>2032</v>
      </c>
      <c r="BQ262" s="232" t="str">
        <f>BQ129</f>
        <v>1Q33</v>
      </c>
      <c r="BR262" s="232" t="str">
        <f>BR129</f>
        <v>2Q33</v>
      </c>
      <c r="BS262" s="232" t="str">
        <f>BS129</f>
        <v>3Q33</v>
      </c>
      <c r="BT262" s="232" t="str">
        <f>BT129</f>
        <v>4Q33</v>
      </c>
      <c r="BU262" s="232">
        <f>BU129</f>
        <v>2033</v>
      </c>
      <c r="BV262" s="232" t="str">
        <f>BV129</f>
        <v>1Q34</v>
      </c>
      <c r="BW262" s="232" t="str">
        <f>BW129</f>
        <v>2Q34</v>
      </c>
      <c r="BX262" s="232" t="str">
        <f>BX129</f>
        <v>3Q34</v>
      </c>
      <c r="BY262" s="232" t="str">
        <f>BY129</f>
        <v>4Q34</v>
      </c>
      <c r="BZ262" s="232">
        <f>BZ129</f>
        <v>2034</v>
      </c>
      <c r="CA262" s="232" t="str">
        <f>CA129</f>
        <v>1Q35</v>
      </c>
      <c r="CB262" s="232" t="str">
        <f>CB129</f>
        <v>2Q35</v>
      </c>
      <c r="CC262" s="232" t="str">
        <f>CC129</f>
        <v>3Q35</v>
      </c>
      <c r="CD262" s="232" t="str">
        <f>CD129</f>
        <v>4Q35</v>
      </c>
      <c r="CE262" s="232">
        <f>CE129</f>
        <v>2035</v>
      </c>
      <c r="CF262" s="232" t="str">
        <f>CF129</f>
        <v>1Q36</v>
      </c>
      <c r="CG262" s="232" t="str">
        <f>CG129</f>
        <v>2Q36</v>
      </c>
      <c r="CH262" s="232" t="str">
        <f>CH129</f>
        <v>3Q36</v>
      </c>
      <c r="CI262" s="232" t="str">
        <f>CI129</f>
        <v>4Q36</v>
      </c>
      <c r="CJ262" s="232">
        <f>CJ129</f>
        <v>2036</v>
      </c>
      <c r="CK262" s="232" t="str">
        <f>CK129</f>
        <v>1Q37</v>
      </c>
      <c r="CL262" s="232" t="str">
        <f>CL129</f>
        <v>2Q37</v>
      </c>
      <c r="CM262" s="232" t="str">
        <f>CM129</f>
        <v>3Q37</v>
      </c>
      <c r="CN262" s="232" t="str">
        <f>CN129</f>
        <v>4Q37</v>
      </c>
      <c r="CO262" s="232">
        <f>CO129</f>
        <v>2037</v>
      </c>
      <c r="CP262" s="232" t="str">
        <f>CP129</f>
        <v>1Q38</v>
      </c>
      <c r="CQ262" s="232" t="str">
        <f>CQ129</f>
        <v>2Q38</v>
      </c>
      <c r="CR262" s="232" t="str">
        <f>CR129</f>
        <v>3Q38</v>
      </c>
      <c r="CS262" s="232" t="str">
        <f>CS129</f>
        <v>4Q38</v>
      </c>
      <c r="CT262" s="232">
        <f>CT129</f>
        <v>2038</v>
      </c>
      <c r="CU262" s="232" t="str">
        <f>CU129</f>
        <v>1Q39</v>
      </c>
      <c r="CV262" s="232" t="str">
        <f>CV129</f>
        <v>2Q39</v>
      </c>
      <c r="CW262" s="232" t="str">
        <f>CW129</f>
        <v>3Q39</v>
      </c>
      <c r="CX262" s="232" t="str">
        <f>CX129</f>
        <v>4Q39</v>
      </c>
      <c r="CY262" s="232">
        <f>CY129</f>
        <v>2039</v>
      </c>
    </row>
    <row r="263">
      <c r="C263" s="5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1" t="n"/>
      <c r="CB263" s="1" t="n"/>
      <c r="CC263" s="1" t="n"/>
      <c r="CD263" s="1" t="n"/>
      <c r="CE263" s="1" t="n"/>
      <c r="CF263" s="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</row>
    <row r="264">
      <c r="C264" s="29" t="inlineStr">
        <is>
          <t>Net Income</t>
        </is>
      </c>
      <c r="D264" s="3" t="n"/>
      <c r="E264" s="3">
        <f>E124</f>
        <v>811</v>
      </c>
      <c r="F264" s="3">
        <f>F124</f>
        <v>757</v>
      </c>
      <c r="G264" s="3">
        <f>G124</f>
        <v>1224</v>
      </c>
      <c r="H264" s="3">
        <f>SUM(D264:G264)</f>
        <v>2792</v>
      </c>
      <c r="I264" s="3">
        <f>I124</f>
        <v>1790</v>
      </c>
      <c r="J264" s="3">
        <f>J124</f>
        <v>1667</v>
      </c>
      <c r="K264" s="3">
        <f>K124</f>
        <v>1283</v>
      </c>
      <c r="L264" s="3">
        <f>L124</f>
        <v>903</v>
      </c>
      <c r="M264" s="3">
        <f>SUM(I264:L264)</f>
        <v>5643</v>
      </c>
      <c r="N264" s="3">
        <f>N124</f>
        <v>2098</v>
      </c>
      <c r="O264" s="3">
        <f>O124</f>
        <v>1884</v>
      </c>
      <c r="P264" s="3">
        <f>P124</f>
        <v>2246</v>
      </c>
      <c r="Q264" s="3">
        <f>Q124</f>
        <v>1959</v>
      </c>
      <c r="R264" s="3">
        <f>SUM(N264:Q264)</f>
        <v>8187</v>
      </c>
      <c r="S264" s="3">
        <f>S124</f>
        <v>2860</v>
      </c>
      <c r="T264" s="3">
        <f>T124</f>
        <v>2978</v>
      </c>
      <c r="U264" s="3">
        <f>U124</f>
        <v>2369</v>
      </c>
      <c r="V264" s="3">
        <f>V124</f>
        <v>1751</v>
      </c>
      <c r="W264" s="3">
        <f>SUM(S264:V264)</f>
        <v>9958</v>
      </c>
      <c r="X264" s="3">
        <f>X124</f>
        <v>2370</v>
      </c>
      <c r="Y264" s="3">
        <f>Y124</f>
        <v>1734</v>
      </c>
      <c r="Z264" s="3">
        <f>Z124</f>
        <v>1245</v>
      </c>
      <c r="AA264" s="3">
        <f>AA124</f>
        <v>869</v>
      </c>
      <c r="AB264" s="3">
        <f>SUM(X264:AA264)</f>
        <v>6218</v>
      </c>
      <c r="AC264" s="3">
        <f>AC124</f>
        <v>1804</v>
      </c>
      <c r="AD264" s="3">
        <f>AD124</f>
        <v>1289</v>
      </c>
      <c r="AE264" s="3">
        <f>AE124</f>
        <v>1065</v>
      </c>
      <c r="AF264" s="3">
        <f>AF124</f>
        <v>656</v>
      </c>
      <c r="AG264" s="3">
        <f>SUM(AC264:AF264)</f>
        <v>4814</v>
      </c>
      <c r="AH264" s="3">
        <f>AH124</f>
        <v>1773</v>
      </c>
      <c r="AI264" s="3">
        <f>AI124</f>
        <v>1379</v>
      </c>
      <c r="AJ264" s="3">
        <f>AJ124</f>
        <v>2999</v>
      </c>
      <c r="AK264" s="3">
        <f>AK124</f>
        <v>2608</v>
      </c>
      <c r="AL264" s="3">
        <f>SUM(AH264:AK264)</f>
        <v>8759</v>
      </c>
      <c r="AM264" s="3">
        <f>AM124</f>
        <v>2590</v>
      </c>
      <c r="AN264" s="3">
        <f>AN124</f>
        <v>11220</v>
      </c>
      <c r="AO264" s="3">
        <f>AO124</f>
        <v>2586</v>
      </c>
      <c r="AP264" s="3">
        <f>AP124</f>
        <v>11210</v>
      </c>
      <c r="AQ264" s="3">
        <f>SUM(AM264:AP264)</f>
        <v>27606</v>
      </c>
      <c r="AR264" s="3">
        <f>AR124</f>
        <v>11192</v>
      </c>
      <c r="AS264" s="3">
        <f>AS124</f>
        <v>27598</v>
      </c>
      <c r="AT264" s="3">
        <f>AT124</f>
        <v>11188</v>
      </c>
      <c r="AU264" s="3">
        <f>AU124</f>
        <v>27588</v>
      </c>
      <c r="AV264" s="3">
        <f>SUM(AR264:AU264)</f>
        <v>77566</v>
      </c>
      <c r="AW264" s="3">
        <f>AW124</f>
        <v>27570</v>
      </c>
      <c r="AX264" s="3">
        <f>AX124</f>
        <v>77558</v>
      </c>
      <c r="AY264" s="3">
        <f>AY124</f>
        <v>27566</v>
      </c>
      <c r="AZ264" s="3">
        <f>AZ124</f>
        <v>77548</v>
      </c>
      <c r="BA264" s="3">
        <f>SUM(AW264:AZ264)</f>
        <v>210242</v>
      </c>
      <c r="BB264" s="3">
        <f>BB124</f>
        <v>77530</v>
      </c>
      <c r="BC264" s="3">
        <f>BC124</f>
        <v>210234</v>
      </c>
      <c r="BD264" s="3">
        <f>BD124</f>
        <v>77526</v>
      </c>
      <c r="BE264" s="3">
        <f>BE124</f>
        <v>210224</v>
      </c>
      <c r="BF264" s="3">
        <f>SUM(BB264:BE264)</f>
        <v>575514</v>
      </c>
      <c r="BG264" s="3">
        <f>BG124</f>
        <v>210206</v>
      </c>
      <c r="BH264" s="3">
        <f>BH124</f>
        <v>575506</v>
      </c>
      <c r="BI264" s="3">
        <f>BI124</f>
        <v>210202</v>
      </c>
      <c r="BJ264" s="3">
        <f>BJ124</f>
        <v>575496</v>
      </c>
      <c r="BK264" s="3">
        <f>SUM(BG264:BJ264)</f>
        <v>1571410</v>
      </c>
      <c r="BL264" s="3">
        <f>BL124</f>
        <v>575478</v>
      </c>
      <c r="BM264" s="3">
        <f>BM124</f>
        <v>1571402</v>
      </c>
      <c r="BN264" s="3">
        <f>BN124</f>
        <v>575474</v>
      </c>
      <c r="BO264" s="3">
        <f>BO124</f>
        <v>1571392</v>
      </c>
      <c r="BP264" s="3">
        <f>SUM(BL264:BO264)</f>
        <v>4293746</v>
      </c>
      <c r="BQ264" s="3">
        <f>BQ124</f>
        <v>1571374</v>
      </c>
      <c r="BR264" s="3">
        <f>BR124</f>
        <v>4293738</v>
      </c>
      <c r="BS264" s="3">
        <f>BS124</f>
        <v>1571370</v>
      </c>
      <c r="BT264" s="3">
        <f>BT124</f>
        <v>4293728</v>
      </c>
      <c r="BU264" s="3">
        <f>SUM(BQ264:BT264)</f>
        <v>11730210</v>
      </c>
      <c r="BV264" s="3">
        <f>BV124</f>
        <v>4293710</v>
      </c>
      <c r="BW264" s="3">
        <f>BW124</f>
        <v>11730202</v>
      </c>
      <c r="BX264" s="3">
        <f>BX124</f>
        <v>4293706</v>
      </c>
      <c r="BY264" s="3">
        <f>BY124</f>
        <v>11730192</v>
      </c>
      <c r="BZ264" s="3">
        <f>SUM(BV264:BY264)</f>
        <v>32047810</v>
      </c>
      <c r="CA264" s="3">
        <f>CA124</f>
        <v>11730174</v>
      </c>
      <c r="CB264" s="3">
        <f>CB124</f>
        <v>32047802</v>
      </c>
      <c r="CC264" s="3">
        <f>CC124</f>
        <v>11730170</v>
      </c>
      <c r="CD264" s="3">
        <f>CD124</f>
        <v>32047792</v>
      </c>
      <c r="CE264" s="3">
        <f>SUM(CA264:CD264)</f>
        <v>87555938</v>
      </c>
      <c r="CF264" s="3">
        <f>CF124</f>
        <v>32047774</v>
      </c>
      <c r="CG264" s="3">
        <f>CG124</f>
        <v>87555930</v>
      </c>
      <c r="CH264" s="3">
        <f>CH124</f>
        <v>32047770</v>
      </c>
      <c r="CI264" s="3">
        <f>CI124</f>
        <v>87555920</v>
      </c>
      <c r="CJ264" s="3">
        <f>SUM(CF264:CI264)</f>
        <v>239207394</v>
      </c>
      <c r="CK264" s="3">
        <f>CK124</f>
        <v>87555902</v>
      </c>
      <c r="CL264" s="3">
        <f>CL124</f>
        <v>239207386</v>
      </c>
      <c r="CM264" s="3">
        <f>CM124</f>
        <v>87555898</v>
      </c>
      <c r="CN264" s="3">
        <f>CN124</f>
        <v>239207376</v>
      </c>
      <c r="CO264" s="3">
        <f>SUM(CK264:CN264)</f>
        <v>653526562</v>
      </c>
      <c r="CP264" s="3">
        <f>CP124</f>
        <v>239207358</v>
      </c>
      <c r="CQ264" s="3">
        <f>CQ124</f>
        <v>653526554</v>
      </c>
      <c r="CR264" s="3">
        <f>CR124</f>
        <v>239207354</v>
      </c>
      <c r="CS264" s="3">
        <f>CS124</f>
        <v>653526544</v>
      </c>
      <c r="CT264" s="3">
        <f>SUM(CP264:CS264)</f>
        <v>1785467810</v>
      </c>
      <c r="CU264" s="3">
        <f>CU124</f>
        <v>653526526</v>
      </c>
      <c r="CV264" s="3">
        <f>CV124</f>
        <v>1785467802</v>
      </c>
      <c r="CW264" s="3">
        <f>CW124</f>
        <v>653526522</v>
      </c>
      <c r="CX264" s="3">
        <f>CX124</f>
        <v>1785467792</v>
      </c>
      <c r="CY264" s="3">
        <f>SUM(CU264:CX264)</f>
        <v>4877988642</v>
      </c>
    </row>
    <row r="265">
      <c r="C265" s="29" t="inlineStr">
        <is>
          <t>Depreciation &amp; amortization</t>
        </is>
      </c>
      <c r="D265" s="3" t="n"/>
      <c r="E265" s="3">
        <f>-E57</f>
        <v>547</v>
      </c>
      <c r="F265" s="3">
        <f>-F57</f>
        <v>504</v>
      </c>
      <c r="G265" s="3">
        <f>-G57</f>
        <v>538</v>
      </c>
      <c r="H265" s="3">
        <f>SUM(D265:G265)</f>
        <v>1589</v>
      </c>
      <c r="I265" s="3">
        <f>-I57</f>
        <v>516</v>
      </c>
      <c r="J265" s="3">
        <f>-J57</f>
        <v>515</v>
      </c>
      <c r="K265" s="3">
        <f>-K57</f>
        <v>481</v>
      </c>
      <c r="L265" s="3">
        <f>-L57</f>
        <v>486</v>
      </c>
      <c r="M265" s="3">
        <f>SUM(I265:L265)</f>
        <v>1998</v>
      </c>
      <c r="N265" s="3">
        <f>-N57</f>
        <v>447</v>
      </c>
      <c r="O265" s="3">
        <f>-O57</f>
        <v>510</v>
      </c>
      <c r="P265" s="3">
        <f>-P57</f>
        <v>452</v>
      </c>
      <c r="Q265" s="3">
        <f>-Q57</f>
        <v>494</v>
      </c>
      <c r="R265" s="3">
        <f>SUM(N265:Q265)</f>
        <v>1903</v>
      </c>
      <c r="S265" s="3">
        <f>-S57</f>
        <v>501</v>
      </c>
      <c r="T265" s="3">
        <f>-T57</f>
        <v>532</v>
      </c>
      <c r="U265" s="3">
        <f>-U57</f>
        <v>477</v>
      </c>
      <c r="V265" s="3">
        <f>-V57</f>
        <v>520</v>
      </c>
      <c r="W265" s="3">
        <f>SUM(S265:V265)</f>
        <v>2030</v>
      </c>
      <c r="X265" s="3">
        <f>-X57</f>
        <v>525</v>
      </c>
      <c r="Y265" s="3">
        <f>-Y57</f>
        <v>553</v>
      </c>
      <c r="Z265" s="3">
        <f>-Z57</f>
        <v>520</v>
      </c>
      <c r="AA265" s="3">
        <f>-AA57</f>
        <v>549</v>
      </c>
      <c r="AB265" s="3">
        <f>SUM(X265:AA265)</f>
        <v>2147</v>
      </c>
      <c r="AC265" s="3">
        <f>-AC57</f>
        <v>555</v>
      </c>
      <c r="AD265" s="3">
        <f>-AD57</f>
        <v>564</v>
      </c>
      <c r="AE265" s="3">
        <f>-AE57</f>
        <v>561</v>
      </c>
      <c r="AF265" s="3">
        <f>-AF57</f>
        <v>590</v>
      </c>
      <c r="AG265" s="3">
        <f>SUM(AC265:AF265)</f>
        <v>2270</v>
      </c>
      <c r="AH265" s="3">
        <f>-AH57</f>
        <v>594</v>
      </c>
      <c r="AI265" s="3">
        <f>-AI57</f>
        <v>603</v>
      </c>
      <c r="AJ265" s="3">
        <f>-AJ57</f>
        <v>0</v>
      </c>
      <c r="AK265" s="3">
        <f>-AK57</f>
        <v>0</v>
      </c>
      <c r="AL265" s="3">
        <f>SUM(AH265:AK265)</f>
        <v>1197</v>
      </c>
      <c r="AM265" s="3">
        <f>-AM57</f>
        <v>0</v>
      </c>
      <c r="AN265" s="3">
        <f>-AN57</f>
        <v>0</v>
      </c>
      <c r="AO265" s="3">
        <f>-AO57</f>
        <v>0</v>
      </c>
      <c r="AP265" s="3">
        <f>-AP57</f>
        <v>0</v>
      </c>
      <c r="AQ265" s="3">
        <f>SUM(AM265:AP265)</f>
        <v>0</v>
      </c>
      <c r="AR265" s="3">
        <f>-AR57</f>
        <v>0</v>
      </c>
      <c r="AS265" s="3">
        <f>-AS57</f>
        <v>0</v>
      </c>
      <c r="AT265" s="3">
        <f>-AT57</f>
        <v>0</v>
      </c>
      <c r="AU265" s="3">
        <f>-AU57</f>
        <v>0</v>
      </c>
      <c r="AV265" s="3">
        <f>SUM(AR265:AU265)</f>
        <v>0</v>
      </c>
      <c r="AW265" s="3">
        <f>-AW57</f>
        <v>0</v>
      </c>
      <c r="AX265" s="3">
        <f>-AX57</f>
        <v>0</v>
      </c>
      <c r="AY265" s="3">
        <f>-AY57</f>
        <v>0</v>
      </c>
      <c r="AZ265" s="3">
        <f>-AZ57</f>
        <v>0</v>
      </c>
      <c r="BA265" s="3">
        <f>SUM(AW265:AZ265)</f>
        <v>0</v>
      </c>
      <c r="BB265" s="3">
        <f>-BB57</f>
        <v>0</v>
      </c>
      <c r="BC265" s="3">
        <f>-BC57</f>
        <v>0</v>
      </c>
      <c r="BD265" s="3">
        <f>-BD57</f>
        <v>0</v>
      </c>
      <c r="BE265" s="3">
        <f>-BE57</f>
        <v>0</v>
      </c>
      <c r="BF265" s="3">
        <f>SUM(BB265:BE265)</f>
        <v>0</v>
      </c>
      <c r="BG265" s="3">
        <f>-BG57</f>
        <v>0</v>
      </c>
      <c r="BH265" s="3">
        <f>-BH57</f>
        <v>0</v>
      </c>
      <c r="BI265" s="3">
        <f>-BI57</f>
        <v>0</v>
      </c>
      <c r="BJ265" s="3">
        <f>-BJ57</f>
        <v>0</v>
      </c>
      <c r="BK265" s="3">
        <f>SUM(BG265:BJ265)</f>
        <v>0</v>
      </c>
      <c r="BL265" s="3">
        <f>-BL57</f>
        <v>0</v>
      </c>
      <c r="BM265" s="3">
        <f>-BM57</f>
        <v>0</v>
      </c>
      <c r="BN265" s="3">
        <f>-BN57</f>
        <v>0</v>
      </c>
      <c r="BO265" s="3">
        <f>-BO57</f>
        <v>0</v>
      </c>
      <c r="BP265" s="3">
        <f>SUM(BL265:BO265)</f>
        <v>0</v>
      </c>
      <c r="BQ265" s="3">
        <f>-BQ57</f>
        <v>0</v>
      </c>
      <c r="BR265" s="3">
        <f>-BR57</f>
        <v>0</v>
      </c>
      <c r="BS265" s="3">
        <f>-BS57</f>
        <v>0</v>
      </c>
      <c r="BT265" s="3">
        <f>-BT57</f>
        <v>0</v>
      </c>
      <c r="BU265" s="3">
        <f>SUM(BQ265:BT265)</f>
        <v>0</v>
      </c>
      <c r="BV265" s="3">
        <f>-BV57</f>
        <v>0</v>
      </c>
      <c r="BW265" s="3">
        <f>-BW57</f>
        <v>0</v>
      </c>
      <c r="BX265" s="3">
        <f>-BX57</f>
        <v>0</v>
      </c>
      <c r="BY265" s="3">
        <f>-BY57</f>
        <v>0</v>
      </c>
      <c r="BZ265" s="3">
        <f>SUM(BV265:BY265)</f>
        <v>0</v>
      </c>
      <c r="CA265" s="3">
        <f>-CA57</f>
        <v>0</v>
      </c>
      <c r="CB265" s="3">
        <f>-CB57</f>
        <v>0</v>
      </c>
      <c r="CC265" s="3">
        <f>-CC57</f>
        <v>0</v>
      </c>
      <c r="CD265" s="3">
        <f>-CD57</f>
        <v>0</v>
      </c>
      <c r="CE265" s="3">
        <f>SUM(CA265:CD265)</f>
        <v>0</v>
      </c>
      <c r="CF265" s="3">
        <f>-CF57</f>
        <v>0</v>
      </c>
      <c r="CG265" s="3">
        <f>-CG57</f>
        <v>0</v>
      </c>
      <c r="CH265" s="3">
        <f>-CH57</f>
        <v>0</v>
      </c>
      <c r="CI265" s="3">
        <f>-CI57</f>
        <v>0</v>
      </c>
      <c r="CJ265" s="3">
        <f>SUM(CF265:CI265)</f>
        <v>0</v>
      </c>
      <c r="CK265" s="3">
        <f>-CK57</f>
        <v>0</v>
      </c>
      <c r="CL265" s="3">
        <f>-CL57</f>
        <v>0</v>
      </c>
      <c r="CM265" s="3">
        <f>-CM57</f>
        <v>0</v>
      </c>
      <c r="CN265" s="3">
        <f>-CN57</f>
        <v>0</v>
      </c>
      <c r="CO265" s="3">
        <f>SUM(CK265:CN265)</f>
        <v>0</v>
      </c>
      <c r="CP265" s="3">
        <f>-CP57</f>
        <v>0</v>
      </c>
      <c r="CQ265" s="3">
        <f>-CQ57</f>
        <v>0</v>
      </c>
      <c r="CR265" s="3">
        <f>-CR57</f>
        <v>0</v>
      </c>
      <c r="CS265" s="3">
        <f>-CS57</f>
        <v>0</v>
      </c>
      <c r="CT265" s="3">
        <f>SUM(CP265:CS265)</f>
        <v>0</v>
      </c>
      <c r="CU265" s="3">
        <f>-CU57</f>
        <v>0</v>
      </c>
      <c r="CV265" s="3">
        <f>-CV57</f>
        <v>0</v>
      </c>
      <c r="CW265" s="3">
        <f>-CW57</f>
        <v>0</v>
      </c>
      <c r="CX265" s="3">
        <f>-CX57</f>
        <v>0</v>
      </c>
      <c r="CY265" s="3">
        <f>SUM(CU265:CX265)</f>
        <v>0</v>
      </c>
    </row>
    <row r="266">
      <c r="C266" s="29" t="inlineStr">
        <is>
          <t xml:space="preserve">Changes in working capital </t>
        </is>
      </c>
      <c r="D266" s="3" t="n"/>
      <c r="E266" s="3">
        <f>SUM(E267:E276)</f>
        <v>-1323</v>
      </c>
      <c r="F266" s="3">
        <f>SUM(F267:F276)</f>
        <v>312</v>
      </c>
      <c r="G266" s="3">
        <f>SUM(G267:G276)</f>
        <v>-1232</v>
      </c>
      <c r="H266" s="3">
        <f>SUM(D266:G266)</f>
        <v>-2243</v>
      </c>
      <c r="I266" s="3">
        <f>SUM(I267:I276)</f>
        <v>-7141</v>
      </c>
      <c r="J266" s="3">
        <f>SUM(J267:J276)</f>
        <v>-9723</v>
      </c>
      <c r="K266" s="3">
        <f>SUM(K267:K276)</f>
        <v>-3175</v>
      </c>
      <c r="L266" s="3">
        <f>SUM(L267:L276)</f>
        <v>-3105</v>
      </c>
      <c r="M266" s="3">
        <f>SUM(I266:L266)</f>
        <v>-23144</v>
      </c>
      <c r="N266" s="3">
        <f>SUM(N267:N276)</f>
        <v>-2061</v>
      </c>
      <c r="O266" s="3">
        <f>SUM(O267:O276)</f>
        <v>71108</v>
      </c>
      <c r="P266" s="3">
        <f>SUM(P267:P276)</f>
        <v>3016</v>
      </c>
      <c r="Q266" s="3">
        <f>SUM(Q267:Q276)</f>
        <v>-3772</v>
      </c>
      <c r="R266" s="3">
        <f>SUM(N266:Q266)</f>
        <v>68291</v>
      </c>
      <c r="S266" s="3">
        <f>SUM(S267:S276)</f>
        <v>-73</v>
      </c>
      <c r="T266" s="3">
        <f>SUM(T267:T276)</f>
        <v>4322</v>
      </c>
      <c r="U266" s="3">
        <f>SUM(U267:U276)</f>
        <v>3897</v>
      </c>
      <c r="V266" s="3">
        <f>SUM(V267:V276)</f>
        <v>-2647</v>
      </c>
      <c r="W266" s="3">
        <f>SUM(S266:V266)</f>
        <v>5499</v>
      </c>
      <c r="X266" s="3">
        <f>SUM(X267:X276)</f>
        <v>1581</v>
      </c>
      <c r="Y266" s="3">
        <f>SUM(Y267:Y276)</f>
        <v>3113</v>
      </c>
      <c r="Z266" s="3">
        <f>SUM(Z267:Z276)</f>
        <v>3135</v>
      </c>
      <c r="AA266" s="3">
        <f>SUM(AA267:AA276)</f>
        <v>-3168</v>
      </c>
      <c r="AB266" s="3">
        <f>SUM(X266:AA266)</f>
        <v>4661</v>
      </c>
      <c r="AC266" s="3">
        <f>SUM(AC267:AC276)</f>
        <v>-2171</v>
      </c>
      <c r="AD266" s="3">
        <f>SUM(AD267:AD276)</f>
        <v>2205</v>
      </c>
      <c r="AE266" s="3">
        <f>SUM(AE267:AE276)</f>
        <v>-763</v>
      </c>
      <c r="AF266" s="3">
        <f>SUM(AF267:AF276)</f>
        <v>-5158</v>
      </c>
      <c r="AG266" s="3">
        <f>SUM(AC266:AF266)</f>
        <v>-5887</v>
      </c>
      <c r="AH266" s="3">
        <f>SUM(AH267:AH276)</f>
        <v>-484</v>
      </c>
      <c r="AI266" s="3">
        <f>SUM(AI267:AI276)</f>
        <v>-963</v>
      </c>
      <c r="AJ266" s="3">
        <f>SUM(AJ267:AJ276)</f>
        <v>7811</v>
      </c>
      <c r="AK266" s="3">
        <f>SUM(AK267:AK276)</f>
        <v>0</v>
      </c>
      <c r="AL266" s="3">
        <f>SUM(AH266:AK266)</f>
        <v>6364</v>
      </c>
      <c r="AM266" s="3" t="e">
        <f>SUM(AM267:AM276)</f>
        <v>#DIV/0!</v>
      </c>
      <c r="AN266" s="3" t="e">
        <f>SUM(AN267:AN276)</f>
        <v>#DIV/0!</v>
      </c>
      <c r="AO266" s="3" t="e">
        <f>SUM(AO267:AO276)</f>
        <v>#DIV/0!</v>
      </c>
      <c r="AP266" s="3" t="e">
        <f>SUM(AP267:AP276)</f>
        <v>#DIV/0!</v>
      </c>
      <c r="AQ266" s="3" t="e">
        <f>SUM(AM266:AP266)</f>
        <v>#DIV/0!</v>
      </c>
      <c r="AR266" s="3" t="e">
        <f>SUM(AR267:AR276)</f>
        <v>#DIV/0!</v>
      </c>
      <c r="AS266" s="3" t="e">
        <f>SUM(AS267:AS276)</f>
        <v>#DIV/0!</v>
      </c>
      <c r="AT266" s="3" t="e">
        <f>SUM(AT267:AT276)</f>
        <v>#DIV/0!</v>
      </c>
      <c r="AU266" s="3" t="e">
        <f>SUM(AU267:AU276)</f>
        <v>#DIV/0!</v>
      </c>
      <c r="AV266" s="3" t="e">
        <f>SUM(AR266:AU266)</f>
        <v>#DIV/0!</v>
      </c>
      <c r="AW266" s="3" t="e">
        <f>SUM(AW267:AW276)</f>
        <v>#DIV/0!</v>
      </c>
      <c r="AX266" s="3" t="e">
        <f>SUM(AX267:AX276)</f>
        <v>#DIV/0!</v>
      </c>
      <c r="AY266" s="3" t="e">
        <f>SUM(AY267:AY276)</f>
        <v>#DIV/0!</v>
      </c>
      <c r="AZ266" s="3" t="e">
        <f>SUM(AZ267:AZ276)</f>
        <v>#DIV/0!</v>
      </c>
      <c r="BA266" s="3" t="e">
        <f>SUM(AW266:AZ266)</f>
        <v>#DIV/0!</v>
      </c>
      <c r="BB266" s="3" t="e">
        <f>SUM(BB267:BB276)</f>
        <v>#DIV/0!</v>
      </c>
      <c r="BC266" s="3" t="e">
        <f>SUM(BC267:BC276)</f>
        <v>#DIV/0!</v>
      </c>
      <c r="BD266" s="3" t="e">
        <f>SUM(BD267:BD276)</f>
        <v>#DIV/0!</v>
      </c>
      <c r="BE266" s="3" t="e">
        <f>SUM(BE267:BE276)</f>
        <v>#DIV/0!</v>
      </c>
      <c r="BF266" s="3" t="e">
        <f>SUM(BB266:BE266)</f>
        <v>#DIV/0!</v>
      </c>
      <c r="BG266" s="3" t="e">
        <f>SUM(BG267:BG276)</f>
        <v>#DIV/0!</v>
      </c>
      <c r="BH266" s="3" t="e">
        <f>SUM(BH267:BH276)</f>
        <v>#DIV/0!</v>
      </c>
      <c r="BI266" s="3" t="e">
        <f>SUM(BI267:BI276)</f>
        <v>#DIV/0!</v>
      </c>
      <c r="BJ266" s="3" t="e">
        <f>SUM(BJ267:BJ276)</f>
        <v>#DIV/0!</v>
      </c>
      <c r="BK266" s="3" t="e">
        <f>SUM(BG266:BJ266)</f>
        <v>#DIV/0!</v>
      </c>
      <c r="BL266" s="3" t="e">
        <f>SUM(BL267:BL276)</f>
        <v>#DIV/0!</v>
      </c>
      <c r="BM266" s="3" t="e">
        <f>SUM(BM267:BM276)</f>
        <v>#DIV/0!</v>
      </c>
      <c r="BN266" s="3" t="e">
        <f>SUM(BN267:BN276)</f>
        <v>#DIV/0!</v>
      </c>
      <c r="BO266" s="3" t="e">
        <f>SUM(BO267:BO276)</f>
        <v>#DIV/0!</v>
      </c>
      <c r="BP266" s="3" t="e">
        <f>SUM(BL266:BO266)</f>
        <v>#DIV/0!</v>
      </c>
      <c r="BQ266" s="3" t="e">
        <f>SUM(BQ267:BQ276)</f>
        <v>#DIV/0!</v>
      </c>
      <c r="BR266" s="3" t="e">
        <f>SUM(BR267:BR276)</f>
        <v>#DIV/0!</v>
      </c>
      <c r="BS266" s="3" t="e">
        <f>SUM(BS267:BS276)</f>
        <v>#DIV/0!</v>
      </c>
      <c r="BT266" s="3" t="e">
        <f>SUM(BT267:BT276)</f>
        <v>#DIV/0!</v>
      </c>
      <c r="BU266" s="3" t="e">
        <f>SUM(BQ266:BT266)</f>
        <v>#DIV/0!</v>
      </c>
      <c r="BV266" s="3" t="e">
        <f>SUM(BV267:BV276)</f>
        <v>#DIV/0!</v>
      </c>
      <c r="BW266" s="3" t="e">
        <f>SUM(BW267:BW276)</f>
        <v>#DIV/0!</v>
      </c>
      <c r="BX266" s="3" t="e">
        <f>SUM(BX267:BX276)</f>
        <v>#DIV/0!</v>
      </c>
      <c r="BY266" s="3" t="e">
        <f>SUM(BY267:BY276)</f>
        <v>#DIV/0!</v>
      </c>
      <c r="BZ266" s="3" t="e">
        <f>SUM(BV266:BY266)</f>
        <v>#DIV/0!</v>
      </c>
      <c r="CA266" s="3" t="e">
        <f>SUM(CA267:CA276)</f>
        <v>#DIV/0!</v>
      </c>
      <c r="CB266" s="3" t="e">
        <f>SUM(CB267:CB276)</f>
        <v>#DIV/0!</v>
      </c>
      <c r="CC266" s="3" t="e">
        <f>SUM(CC267:CC276)</f>
        <v>#DIV/0!</v>
      </c>
      <c r="CD266" s="3" t="e">
        <f>SUM(CD267:CD276)</f>
        <v>#DIV/0!</v>
      </c>
      <c r="CE266" s="3" t="e">
        <f>SUM(CA266:CD266)</f>
        <v>#DIV/0!</v>
      </c>
      <c r="CF266" s="3" t="e">
        <f>SUM(CF267:CF276)</f>
        <v>#DIV/0!</v>
      </c>
      <c r="CG266" s="3" t="e">
        <f>SUM(CG267:CG276)</f>
        <v>#DIV/0!</v>
      </c>
      <c r="CH266" s="3" t="e">
        <f>SUM(CH267:CH276)</f>
        <v>#DIV/0!</v>
      </c>
      <c r="CI266" s="3" t="e">
        <f>SUM(CI267:CI276)</f>
        <v>#DIV/0!</v>
      </c>
      <c r="CJ266" s="3" t="e">
        <f>SUM(CF266:CI266)</f>
        <v>#DIV/0!</v>
      </c>
      <c r="CK266" s="3" t="e">
        <f>SUM(CK267:CK276)</f>
        <v>#DIV/0!</v>
      </c>
      <c r="CL266" s="3" t="e">
        <f>SUM(CL267:CL276)</f>
        <v>#DIV/0!</v>
      </c>
      <c r="CM266" s="3" t="e">
        <f>SUM(CM267:CM276)</f>
        <v>#DIV/0!</v>
      </c>
      <c r="CN266" s="3" t="e">
        <f>SUM(CN267:CN276)</f>
        <v>#DIV/0!</v>
      </c>
      <c r="CO266" s="3" t="e">
        <f>SUM(CK266:CN266)</f>
        <v>#DIV/0!</v>
      </c>
      <c r="CP266" s="3" t="e">
        <f>SUM(CP267:CP276)</f>
        <v>#DIV/0!</v>
      </c>
      <c r="CQ266" s="3" t="e">
        <f>SUM(CQ267:CQ276)</f>
        <v>#DIV/0!</v>
      </c>
      <c r="CR266" s="3" t="e">
        <f>SUM(CR267:CR276)</f>
        <v>#DIV/0!</v>
      </c>
      <c r="CS266" s="3" t="e">
        <f>SUM(CS267:CS276)</f>
        <v>#DIV/0!</v>
      </c>
      <c r="CT266" s="3" t="e">
        <f>SUM(CP266:CS266)</f>
        <v>#DIV/0!</v>
      </c>
      <c r="CU266" s="3" t="e">
        <f>SUM(CU267:CU276)</f>
        <v>#DIV/0!</v>
      </c>
      <c r="CV266" s="3" t="e">
        <f>SUM(CV267:CV276)</f>
        <v>#DIV/0!</v>
      </c>
      <c r="CW266" s="3" t="e">
        <f>SUM(CW267:CW276)</f>
        <v>#DIV/0!</v>
      </c>
      <c r="CX266" s="3" t="e">
        <f>SUM(CX267:CX276)</f>
        <v>#DIV/0!</v>
      </c>
      <c r="CY266" s="3" t="e">
        <f>SUM(CU266:CX266)</f>
        <v>#DIV/0!</v>
      </c>
    </row>
    <row r="267" hidden="1" outlineLevel="1">
      <c r="C267" s="29" t="inlineStr">
        <is>
          <t>Accounts receivable</t>
        </is>
      </c>
      <c r="D267" s="3" t="n"/>
      <c r="E267" s="3">
        <f>(E132-D132)*-1</f>
        <v>0</v>
      </c>
      <c r="F267" s="3">
        <f>(F132-E132)*-1</f>
        <v>0</v>
      </c>
      <c r="G267" s="3">
        <f>(G132-F132)*-1</f>
        <v>0</v>
      </c>
      <c r="H267" s="3">
        <f>SUM(D267:G267)</f>
        <v>0</v>
      </c>
      <c r="I267" s="3">
        <f>(I132-H132)*-1</f>
        <v>0</v>
      </c>
      <c r="J267" s="3">
        <f>(J132-I132)*-1</f>
        <v>0</v>
      </c>
      <c r="K267" s="3">
        <f>(K132-J132)*-1</f>
        <v>0</v>
      </c>
      <c r="L267" s="3">
        <f>(L132-K132)*-1</f>
        <v>0</v>
      </c>
      <c r="M267" s="3">
        <f>SUM(I267:L267)</f>
        <v>0</v>
      </c>
      <c r="N267" s="3">
        <f>(N132-M132)*-1</f>
        <v>0</v>
      </c>
      <c r="O267" s="3">
        <f>(O132-N132)*-1</f>
        <v>0</v>
      </c>
      <c r="P267" s="3">
        <f>(P132-O132)*-1</f>
        <v>0</v>
      </c>
      <c r="Q267" s="3">
        <f>(Q132-P132)*-1</f>
        <v>0</v>
      </c>
      <c r="R267" s="3">
        <f>SUM(N267:Q267)</f>
        <v>0</v>
      </c>
      <c r="S267" s="3">
        <f>(S132-R132)*-1</f>
        <v>0</v>
      </c>
      <c r="T267" s="3">
        <f>(T132-S132)*-1</f>
        <v>0</v>
      </c>
      <c r="U267" s="3">
        <f>(U132-T132)*-1</f>
        <v>0</v>
      </c>
      <c r="V267" s="3">
        <f>(V132-U132)*-1</f>
        <v>0</v>
      </c>
      <c r="W267" s="3">
        <f>SUM(S267:V267)</f>
        <v>0</v>
      </c>
      <c r="X267" s="3">
        <f>(X132-W132)*-1</f>
        <v>0</v>
      </c>
      <c r="Y267" s="3">
        <f>(Y132-X132)*-1</f>
        <v>0</v>
      </c>
      <c r="Z267" s="3">
        <f>(Z132-Y132)*-1</f>
        <v>0</v>
      </c>
      <c r="AA267" s="3">
        <f>(AA132-Z132)*-1</f>
        <v>0</v>
      </c>
      <c r="AB267" s="3">
        <f>SUM(X267:AA267)</f>
        <v>0</v>
      </c>
      <c r="AC267" s="3">
        <f>(AC132-AB132)*-1</f>
        <v>0</v>
      </c>
      <c r="AD267" s="3">
        <f>(AD132-AC132)*-1</f>
        <v>0</v>
      </c>
      <c r="AE267" s="3">
        <f>(AE132-AD132)*-1</f>
        <v>0</v>
      </c>
      <c r="AF267" s="3">
        <f>(AF132-AE132)*-1</f>
        <v>0</v>
      </c>
      <c r="AG267" s="3">
        <f>SUM(AC267:AF267)</f>
        <v>0</v>
      </c>
      <c r="AH267" s="3">
        <f>(AH132-AG132)*-1</f>
        <v>0</v>
      </c>
      <c r="AI267" s="3">
        <f>(AI132-AH132)*-1</f>
        <v>0</v>
      </c>
      <c r="AJ267" s="3">
        <f>(AJ132-AI132)*-1</f>
        <v>0</v>
      </c>
      <c r="AK267" s="3">
        <f>(AK132-AJ132)*-1</f>
        <v>0</v>
      </c>
      <c r="AL267" s="3">
        <f>SUM(AH267:AK267)</f>
        <v>0</v>
      </c>
      <c r="AM267" s="3">
        <f>(AM132-AL132)*-1</f>
        <v>0</v>
      </c>
      <c r="AN267" s="3">
        <f>(AN132-AM132)*-1</f>
        <v>0</v>
      </c>
      <c r="AO267" s="3">
        <f>(AO132-AN132)*-1</f>
        <v>0</v>
      </c>
      <c r="AP267" s="3">
        <f>(AP132-AO132)*-1</f>
        <v>0</v>
      </c>
      <c r="AQ267" s="3">
        <f>SUM(AM267:AP267)</f>
        <v>0</v>
      </c>
      <c r="AR267" s="3">
        <f>(AR132-AQ132)*-1</f>
        <v>0</v>
      </c>
      <c r="AS267" s="3">
        <f>(AS132-AR132)*-1</f>
        <v>0</v>
      </c>
      <c r="AT267" s="3">
        <f>(AT132-AS132)*-1</f>
        <v>0</v>
      </c>
      <c r="AU267" s="3">
        <f>(AU132-AT132)*-1</f>
        <v>0</v>
      </c>
      <c r="AV267" s="3">
        <f>SUM(AR267:AU267)</f>
        <v>0</v>
      </c>
      <c r="AW267" s="3">
        <f>(AW132-AV132)*-1</f>
        <v>0</v>
      </c>
      <c r="AX267" s="3">
        <f>(AX132-AW132)*-1</f>
        <v>0</v>
      </c>
      <c r="AY267" s="3">
        <f>(AY132-AX132)*-1</f>
        <v>0</v>
      </c>
      <c r="AZ267" s="3">
        <f>(AZ132-AY132)*-1</f>
        <v>0</v>
      </c>
      <c r="BA267" s="3">
        <f>SUM(AW267:AZ267)</f>
        <v>0</v>
      </c>
      <c r="BB267" s="3">
        <f>(BB132-BA132)*-1</f>
        <v>0</v>
      </c>
      <c r="BC267" s="3">
        <f>(BC132-BB132)*-1</f>
        <v>0</v>
      </c>
      <c r="BD267" s="3">
        <f>(BD132-BC132)*-1</f>
        <v>0</v>
      </c>
      <c r="BE267" s="3">
        <f>(BE132-BD132)*-1</f>
        <v>0</v>
      </c>
      <c r="BF267" s="3">
        <f>SUM(BB267:BE267)</f>
        <v>0</v>
      </c>
      <c r="BG267" s="3">
        <f>(BG132-BF132)*-1</f>
        <v>0</v>
      </c>
      <c r="BH267" s="3">
        <f>(BH132-BG132)*-1</f>
        <v>0</v>
      </c>
      <c r="BI267" s="3">
        <f>(BI132-BH132)*-1</f>
        <v>0</v>
      </c>
      <c r="BJ267" s="3">
        <f>(BJ132-BI132)*-1</f>
        <v>0</v>
      </c>
      <c r="BK267" s="3">
        <f>SUM(BG267:BJ267)</f>
        <v>0</v>
      </c>
      <c r="BL267" s="3">
        <f>(BL132-BK132)*-1</f>
        <v>0</v>
      </c>
      <c r="BM267" s="3">
        <f>(BM132-BL132)*-1</f>
        <v>0</v>
      </c>
      <c r="BN267" s="3">
        <f>(BN132-BM132)*-1</f>
        <v>0</v>
      </c>
      <c r="BO267" s="3">
        <f>(BO132-BN132)*-1</f>
        <v>0</v>
      </c>
      <c r="BP267" s="3">
        <f>SUM(BL267:BO267)</f>
        <v>0</v>
      </c>
      <c r="BQ267" s="3">
        <f>(BQ132-BP132)*-1</f>
        <v>0</v>
      </c>
      <c r="BR267" s="3">
        <f>(BR132-BQ132)*-1</f>
        <v>0</v>
      </c>
      <c r="BS267" s="3">
        <f>(BS132-BR132)*-1</f>
        <v>0</v>
      </c>
      <c r="BT267" s="3">
        <f>(BT132-BS132)*-1</f>
        <v>0</v>
      </c>
      <c r="BU267" s="3">
        <f>SUM(BQ267:BT267)</f>
        <v>0</v>
      </c>
      <c r="BV267" s="3">
        <f>(BV132-BU132)*-1</f>
        <v>0</v>
      </c>
      <c r="BW267" s="3">
        <f>(BW132-BV132)*-1</f>
        <v>0</v>
      </c>
      <c r="BX267" s="3">
        <f>(BX132-BW132)*-1</f>
        <v>0</v>
      </c>
      <c r="BY267" s="3">
        <f>(BY132-BX132)*-1</f>
        <v>0</v>
      </c>
      <c r="BZ267" s="3">
        <f>SUM(BV267:BY267)</f>
        <v>0</v>
      </c>
      <c r="CA267" s="3">
        <f>(CA132-BZ132)*-1</f>
        <v>0</v>
      </c>
      <c r="CB267" s="3">
        <f>(CB132-CA132)*-1</f>
        <v>0</v>
      </c>
      <c r="CC267" s="3">
        <f>(CC132-CB132)*-1</f>
        <v>0</v>
      </c>
      <c r="CD267" s="3">
        <f>(CD132-CC132)*-1</f>
        <v>0</v>
      </c>
      <c r="CE267" s="3">
        <f>SUM(CA267:CD267)</f>
        <v>0</v>
      </c>
      <c r="CF267" s="3">
        <f>(CF132-CE132)*-1</f>
        <v>0</v>
      </c>
      <c r="CG267" s="3">
        <f>(CG132-CF132)*-1</f>
        <v>0</v>
      </c>
      <c r="CH267" s="3">
        <f>(CH132-CG132)*-1</f>
        <v>0</v>
      </c>
      <c r="CI267" s="3">
        <f>(CI132-CH132)*-1</f>
        <v>0</v>
      </c>
      <c r="CJ267" s="3">
        <f>SUM(CF267:CI267)</f>
        <v>0</v>
      </c>
      <c r="CK267" s="3">
        <f>(CK132-CJ132)*-1</f>
        <v>0</v>
      </c>
      <c r="CL267" s="3">
        <f>(CL132-CK132)*-1</f>
        <v>0</v>
      </c>
      <c r="CM267" s="3">
        <f>(CM132-CL132)*-1</f>
        <v>0</v>
      </c>
      <c r="CN267" s="3">
        <f>(CN132-CM132)*-1</f>
        <v>0</v>
      </c>
      <c r="CO267" s="3">
        <f>SUM(CK267:CN267)</f>
        <v>0</v>
      </c>
      <c r="CP267" s="3">
        <f>(CP132-CO132)*-1</f>
        <v>0</v>
      </c>
      <c r="CQ267" s="3">
        <f>(CQ132-CP132)*-1</f>
        <v>0</v>
      </c>
      <c r="CR267" s="3">
        <f>(CR132-CQ132)*-1</f>
        <v>0</v>
      </c>
      <c r="CS267" s="3">
        <f>(CS132-CR132)*-1</f>
        <v>0</v>
      </c>
      <c r="CT267" s="3">
        <f>SUM(CP267:CS267)</f>
        <v>0</v>
      </c>
      <c r="CU267" s="3">
        <f>(CU132-CT132)*-1</f>
        <v>0</v>
      </c>
      <c r="CV267" s="3">
        <f>(CV132-CU132)*-1</f>
        <v>0</v>
      </c>
      <c r="CW267" s="3">
        <f>(CW132-CV132)*-1</f>
        <v>0</v>
      </c>
      <c r="CX267" s="3">
        <f>(CX132-CW132)*-1</f>
        <v>0</v>
      </c>
      <c r="CY267" s="3">
        <f>SUM(CU267:CX267)</f>
        <v>0</v>
      </c>
    </row>
    <row r="268" hidden="1" outlineLevel="1">
      <c r="C268" s="29" t="inlineStr">
        <is>
          <t>Inventories</t>
        </is>
      </c>
      <c r="D268" s="3" t="n"/>
      <c r="E268" s="3">
        <f>(E136-D136)*-1</f>
        <v>521</v>
      </c>
      <c r="F268" s="3">
        <f>(F136-E136)*-1</f>
        <v>651</v>
      </c>
      <c r="G268" s="3">
        <f>(G136-F136)*-1</f>
        <v>-957</v>
      </c>
      <c r="H268" s="3">
        <f>SUM(D268:G268)</f>
        <v>215</v>
      </c>
      <c r="I268" s="3">
        <f>(I136-H136)*-1</f>
        <v>-86</v>
      </c>
      <c r="J268" s="3">
        <f>(J136-I136)*-1</f>
        <v>-368</v>
      </c>
      <c r="K268" s="3">
        <f>(K136-J136)*-1</f>
        <v>-371</v>
      </c>
      <c r="L268" s="3">
        <f>(L136-K136)*-1</f>
        <v>-1154</v>
      </c>
      <c r="M268" s="3">
        <f>SUM(I268:L268)</f>
        <v>-1979</v>
      </c>
      <c r="N268" s="3">
        <f>(N136-M136)*-1</f>
        <v>-1095</v>
      </c>
      <c r="O268" s="3">
        <f>(O136-N136)*-1</f>
        <v>-91</v>
      </c>
      <c r="P268" s="3">
        <f>(P136-O136)*-1</f>
        <v>626</v>
      </c>
      <c r="Q268" s="3">
        <f>(Q136-P136)*-1</f>
        <v>-1561</v>
      </c>
      <c r="R268" s="3">
        <f>SUM(N268:Q268)</f>
        <v>-2121</v>
      </c>
      <c r="S268" s="3">
        <f>(S136-R136)*-1</f>
        <v>343</v>
      </c>
      <c r="T268" s="3">
        <f>(T136-S136)*-1</f>
        <v>363</v>
      </c>
      <c r="U268" s="3">
        <f>(U136-T136)*-1</f>
        <v>1190</v>
      </c>
      <c r="V268" s="3">
        <f>(V136-U136)*-1</f>
        <v>-777</v>
      </c>
      <c r="W268" s="3">
        <f>SUM(S268:V268)</f>
        <v>1119</v>
      </c>
      <c r="X268" s="3">
        <f>(X136-W136)*-1</f>
        <v>494</v>
      </c>
      <c r="Y268" s="3">
        <f>(Y136-X136)*-1</f>
        <v>747</v>
      </c>
      <c r="Z268" s="3">
        <f>(Z136-Y136)*-1</f>
        <v>603</v>
      </c>
      <c r="AA268" s="3">
        <f>(AA136-Z136)*-1</f>
        <v>-651</v>
      </c>
      <c r="AB268" s="3">
        <f>SUM(X268:AA268)</f>
        <v>1193</v>
      </c>
      <c r="AC268" s="3">
        <f>(AC136-AB136)*-1</f>
        <v>-126</v>
      </c>
      <c r="AD268" s="3">
        <f>(AD136-AC136)*-1</f>
        <v>157</v>
      </c>
      <c r="AE268" s="3">
        <f>(AE136-AD136)*-1</f>
        <v>307</v>
      </c>
      <c r="AF268" s="3">
        <f>(AF136-AE136)*-1</f>
        <v>-880</v>
      </c>
      <c r="AG268" s="3">
        <f>SUM(AC268:AF268)</f>
        <v>-542</v>
      </c>
      <c r="AH268" s="3">
        <f>(AH136-AG136)*-1</f>
        <v>98</v>
      </c>
      <c r="AI268" s="3">
        <f>(AI136-AH136)*-1</f>
        <v>377</v>
      </c>
      <c r="AJ268" s="3">
        <f>(AJ136-AI136)*-1</f>
        <v>7811</v>
      </c>
      <c r="AK268" s="3">
        <f>(AK136-AJ136)*-1</f>
        <v>0</v>
      </c>
      <c r="AL268" s="3">
        <f>SUM(AH268:AK268)</f>
        <v>8286</v>
      </c>
      <c r="AM268" s="3">
        <f>(AM136-AL136)*-1</f>
        <v>0</v>
      </c>
      <c r="AN268" s="3">
        <f>(AN136-AM136)*-1</f>
        <v>0</v>
      </c>
      <c r="AO268" s="3">
        <f>(AO136-AN136)*-1</f>
        <v>0</v>
      </c>
      <c r="AP268" s="3">
        <f>(AP136-AO136)*-1</f>
        <v>0</v>
      </c>
      <c r="AQ268" s="3">
        <f>SUM(AM268:AP268)</f>
        <v>0</v>
      </c>
      <c r="AR268" s="3">
        <f>(AR136-AQ136)*-1</f>
        <v>0</v>
      </c>
      <c r="AS268" s="3">
        <f>(AS136-AR136)*-1</f>
        <v>0</v>
      </c>
      <c r="AT268" s="3">
        <f>(AT136-AS136)*-1</f>
        <v>0</v>
      </c>
      <c r="AU268" s="3">
        <f>(AU136-AT136)*-1</f>
        <v>0</v>
      </c>
      <c r="AV268" s="3">
        <f>SUM(AR268:AU268)</f>
        <v>0</v>
      </c>
      <c r="AW268" s="3">
        <f>(AW136-AV136)*-1</f>
        <v>0</v>
      </c>
      <c r="AX268" s="3">
        <f>(AX136-AW136)*-1</f>
        <v>0</v>
      </c>
      <c r="AY268" s="3">
        <f>(AY136-AX136)*-1</f>
        <v>0</v>
      </c>
      <c r="AZ268" s="3">
        <f>(AZ136-AY136)*-1</f>
        <v>0</v>
      </c>
      <c r="BA268" s="3">
        <f>SUM(AW268:AZ268)</f>
        <v>0</v>
      </c>
      <c r="BB268" s="3">
        <f>(BB136-BA136)*-1</f>
        <v>0</v>
      </c>
      <c r="BC268" s="3">
        <f>(BC136-BB136)*-1</f>
        <v>0</v>
      </c>
      <c r="BD268" s="3">
        <f>(BD136-BC136)*-1</f>
        <v>0</v>
      </c>
      <c r="BE268" s="3">
        <f>(BE136-BD136)*-1</f>
        <v>0</v>
      </c>
      <c r="BF268" s="3">
        <f>SUM(BB268:BE268)</f>
        <v>0</v>
      </c>
      <c r="BG268" s="3">
        <f>(BG136-BF136)*-1</f>
        <v>0</v>
      </c>
      <c r="BH268" s="3">
        <f>(BH136-BG136)*-1</f>
        <v>0</v>
      </c>
      <c r="BI268" s="3">
        <f>(BI136-BH136)*-1</f>
        <v>0</v>
      </c>
      <c r="BJ268" s="3">
        <f>(BJ136-BI136)*-1</f>
        <v>0</v>
      </c>
      <c r="BK268" s="3">
        <f>SUM(BG268:BJ268)</f>
        <v>0</v>
      </c>
      <c r="BL268" s="3">
        <f>(BL136-BK136)*-1</f>
        <v>0</v>
      </c>
      <c r="BM268" s="3">
        <f>(BM136-BL136)*-1</f>
        <v>0</v>
      </c>
      <c r="BN268" s="3">
        <f>(BN136-BM136)*-1</f>
        <v>0</v>
      </c>
      <c r="BO268" s="3">
        <f>(BO136-BN136)*-1</f>
        <v>0</v>
      </c>
      <c r="BP268" s="3">
        <f>SUM(BL268:BO268)</f>
        <v>0</v>
      </c>
      <c r="BQ268" s="3">
        <f>(BQ136-BP136)*-1</f>
        <v>0</v>
      </c>
      <c r="BR268" s="3">
        <f>(BR136-BQ136)*-1</f>
        <v>0</v>
      </c>
      <c r="BS268" s="3">
        <f>(BS136-BR136)*-1</f>
        <v>0</v>
      </c>
      <c r="BT268" s="3">
        <f>(BT136-BS136)*-1</f>
        <v>0</v>
      </c>
      <c r="BU268" s="3">
        <f>SUM(BQ268:BT268)</f>
        <v>0</v>
      </c>
      <c r="BV268" s="3">
        <f>(BV136-BU136)*-1</f>
        <v>0</v>
      </c>
      <c r="BW268" s="3">
        <f>(BW136-BV136)*-1</f>
        <v>0</v>
      </c>
      <c r="BX268" s="3">
        <f>(BX136-BW136)*-1</f>
        <v>0</v>
      </c>
      <c r="BY268" s="3">
        <f>(BY136-BX136)*-1</f>
        <v>0</v>
      </c>
      <c r="BZ268" s="3">
        <f>SUM(BV268:BY268)</f>
        <v>0</v>
      </c>
      <c r="CA268" s="3">
        <f>(CA136-BZ136)*-1</f>
        <v>0</v>
      </c>
      <c r="CB268" s="3">
        <f>(CB136-CA136)*-1</f>
        <v>0</v>
      </c>
      <c r="CC268" s="3">
        <f>(CC136-CB136)*-1</f>
        <v>0</v>
      </c>
      <c r="CD268" s="3">
        <f>(CD136-CC136)*-1</f>
        <v>0</v>
      </c>
      <c r="CE268" s="3">
        <f>SUM(CA268:CD268)</f>
        <v>0</v>
      </c>
      <c r="CF268" s="3">
        <f>(CF136-CE136)*-1</f>
        <v>0</v>
      </c>
      <c r="CG268" s="3">
        <f>(CG136-CF136)*-1</f>
        <v>0</v>
      </c>
      <c r="CH268" s="3">
        <f>(CH136-CG136)*-1</f>
        <v>0</v>
      </c>
      <c r="CI268" s="3">
        <f>(CI136-CH136)*-1</f>
        <v>0</v>
      </c>
      <c r="CJ268" s="3">
        <f>SUM(CF268:CI268)</f>
        <v>0</v>
      </c>
      <c r="CK268" s="3">
        <f>(CK136-CJ136)*-1</f>
        <v>0</v>
      </c>
      <c r="CL268" s="3">
        <f>(CL136-CK136)*-1</f>
        <v>0</v>
      </c>
      <c r="CM268" s="3">
        <f>(CM136-CL136)*-1</f>
        <v>0</v>
      </c>
      <c r="CN268" s="3">
        <f>(CN136-CM136)*-1</f>
        <v>0</v>
      </c>
      <c r="CO268" s="3">
        <f>SUM(CK268:CN268)</f>
        <v>0</v>
      </c>
      <c r="CP268" s="3">
        <f>(CP136-CO136)*-1</f>
        <v>0</v>
      </c>
      <c r="CQ268" s="3">
        <f>(CQ136-CP136)*-1</f>
        <v>0</v>
      </c>
      <c r="CR268" s="3">
        <f>(CR136-CQ136)*-1</f>
        <v>0</v>
      </c>
      <c r="CS268" s="3">
        <f>(CS136-CR136)*-1</f>
        <v>0</v>
      </c>
      <c r="CT268" s="3">
        <f>SUM(CP268:CS268)</f>
        <v>0</v>
      </c>
      <c r="CU268" s="3">
        <f>(CU136-CT136)*-1</f>
        <v>0</v>
      </c>
      <c r="CV268" s="3">
        <f>(CV136-CU136)*-1</f>
        <v>0</v>
      </c>
      <c r="CW268" s="3">
        <f>(CW136-CV136)*-1</f>
        <v>0</v>
      </c>
      <c r="CX268" s="3">
        <f>(CX136-CW136)*-1</f>
        <v>0</v>
      </c>
      <c r="CY268" s="3">
        <f>SUM(CU268:CX268)</f>
        <v>0</v>
      </c>
    </row>
    <row r="269" hidden="1" outlineLevel="1">
      <c r="C269" s="29" t="inlineStr">
        <is>
          <t>Deferred income taxes</t>
        </is>
      </c>
      <c r="D269" s="3" t="n"/>
      <c r="E269" s="3">
        <f>(E140-D140)*-1</f>
        <v>-99</v>
      </c>
      <c r="F269" s="3">
        <f>(F140-E140)*-1</f>
        <v>35</v>
      </c>
      <c r="G269" s="3">
        <f>(G140-F140)*-1</f>
        <v>-57</v>
      </c>
      <c r="H269" s="3">
        <f>SUM(D269:G269)</f>
        <v>-121</v>
      </c>
      <c r="I269" s="3">
        <f>(I140-H140)*-1</f>
        <v>-168</v>
      </c>
      <c r="J269" s="3">
        <f>(J140-I140)*-1</f>
        <v>-43</v>
      </c>
      <c r="K269" s="3">
        <f>(K140-J140)*-1</f>
        <v>730</v>
      </c>
      <c r="L269" s="3">
        <f>(L140-K140)*-1</f>
        <v>114</v>
      </c>
      <c r="M269" s="3">
        <f>SUM(I269:L269)</f>
        <v>633</v>
      </c>
      <c r="N269" s="3">
        <f>(N140-M140)*-1</f>
        <v>-181</v>
      </c>
      <c r="O269" s="3">
        <f>(O140-N140)*-1</f>
        <v>-6</v>
      </c>
      <c r="P269" s="3">
        <f>(P140-O140)*-1</f>
        <v>286</v>
      </c>
      <c r="Q269" s="3">
        <f>(Q140-P140)*-1</f>
        <v>-90</v>
      </c>
      <c r="R269" s="3">
        <f>SUM(N269:Q269)</f>
        <v>9</v>
      </c>
      <c r="S269" s="3">
        <f>(S140-R140)*-1</f>
        <v>-394</v>
      </c>
      <c r="T269" s="3">
        <f>(T140-S140)*-1</f>
        <v>-52</v>
      </c>
      <c r="U269" s="3">
        <f>(U140-T140)*-1</f>
        <v>-454</v>
      </c>
      <c r="V269" s="3">
        <f>(V140-U140)*-1</f>
        <v>-19</v>
      </c>
      <c r="W269" s="3">
        <f>SUM(S269:V269)</f>
        <v>-919</v>
      </c>
      <c r="X269" s="3">
        <f>(X140-W140)*-1</f>
        <v>-103</v>
      </c>
      <c r="Y269" s="3">
        <f>(Y140-X140)*-1</f>
        <v>38</v>
      </c>
      <c r="Z269" s="3">
        <f>(Z140-Y140)*-1</f>
        <v>-188</v>
      </c>
      <c r="AA269" s="3">
        <f>(AA140-Z140)*-1</f>
        <v>234</v>
      </c>
      <c r="AB269" s="3">
        <f>SUM(X269:AA269)</f>
        <v>-19</v>
      </c>
      <c r="AC269" s="3">
        <f>(AC140-AB140)*-1</f>
        <v>-236</v>
      </c>
      <c r="AD269" s="3">
        <f>(AD140-AC140)*-1</f>
        <v>-121</v>
      </c>
      <c r="AE269" s="3">
        <f>(AE140-AD140)*-1</f>
        <v>-75</v>
      </c>
      <c r="AF269" s="3">
        <f>(AF140-AE140)*-1</f>
        <v>16</v>
      </c>
      <c r="AG269" s="3">
        <f>SUM(AC269:AF269)</f>
        <v>-416</v>
      </c>
      <c r="AH269" s="3">
        <f>(AH140-AG140)*-1</f>
        <v>-93</v>
      </c>
      <c r="AI269" s="3">
        <f>(AI140-AH140)*-1</f>
        <v>18</v>
      </c>
      <c r="AJ269" s="3">
        <f>(AJ140-AI140)*-1</f>
        <v>0</v>
      </c>
      <c r="AK269" s="3">
        <f>(AK140-AJ140)*-1</f>
        <v>0</v>
      </c>
      <c r="AL269" s="3">
        <f>SUM(AH269:AK269)</f>
        <v>-75</v>
      </c>
      <c r="AM269" s="3">
        <f>(AM140-AL140)*-1</f>
        <v>0</v>
      </c>
      <c r="AN269" s="3">
        <f>(AN140-AM140)*-1</f>
        <v>0</v>
      </c>
      <c r="AO269" s="3">
        <f>(AO140-AN140)*-1</f>
        <v>0</v>
      </c>
      <c r="AP269" s="3">
        <f>(AP140-AO140)*-1</f>
        <v>0</v>
      </c>
      <c r="AQ269" s="3">
        <f>SUM(AM269:AP269)</f>
        <v>0</v>
      </c>
      <c r="AR269" s="3">
        <f>(AR140-AQ140)*-1</f>
        <v>0</v>
      </c>
      <c r="AS269" s="3">
        <f>(AS140-AR140)*-1</f>
        <v>0</v>
      </c>
      <c r="AT269" s="3">
        <f>(AT140-AS140)*-1</f>
        <v>0</v>
      </c>
      <c r="AU269" s="3">
        <f>(AU140-AT140)*-1</f>
        <v>0</v>
      </c>
      <c r="AV269" s="3">
        <f>SUM(AR269:AU269)</f>
        <v>0</v>
      </c>
      <c r="AW269" s="3">
        <f>(AW140-AV140)*-1</f>
        <v>0</v>
      </c>
      <c r="AX269" s="3">
        <f>(AX140-AW140)*-1</f>
        <v>0</v>
      </c>
      <c r="AY269" s="3">
        <f>(AY140-AX140)*-1</f>
        <v>0</v>
      </c>
      <c r="AZ269" s="3">
        <f>(AZ140-AY140)*-1</f>
        <v>0</v>
      </c>
      <c r="BA269" s="3">
        <f>SUM(AW269:AZ269)</f>
        <v>0</v>
      </c>
      <c r="BB269" s="3">
        <f>(BB140-BA140)*-1</f>
        <v>0</v>
      </c>
      <c r="BC269" s="3">
        <f>(BC140-BB140)*-1</f>
        <v>0</v>
      </c>
      <c r="BD269" s="3">
        <f>(BD140-BC140)*-1</f>
        <v>0</v>
      </c>
      <c r="BE269" s="3">
        <f>(BE140-BD140)*-1</f>
        <v>0</v>
      </c>
      <c r="BF269" s="3">
        <f>SUM(BB269:BE269)</f>
        <v>0</v>
      </c>
      <c r="BG269" s="3">
        <f>(BG140-BF140)*-1</f>
        <v>0</v>
      </c>
      <c r="BH269" s="3">
        <f>(BH140-BG140)*-1</f>
        <v>0</v>
      </c>
      <c r="BI269" s="3">
        <f>(BI140-BH140)*-1</f>
        <v>0</v>
      </c>
      <c r="BJ269" s="3">
        <f>(BJ140-BI140)*-1</f>
        <v>0</v>
      </c>
      <c r="BK269" s="3">
        <f>SUM(BG269:BJ269)</f>
        <v>0</v>
      </c>
      <c r="BL269" s="3">
        <f>(BL140-BK140)*-1</f>
        <v>0</v>
      </c>
      <c r="BM269" s="3">
        <f>(BM140-BL140)*-1</f>
        <v>0</v>
      </c>
      <c r="BN269" s="3">
        <f>(BN140-BM140)*-1</f>
        <v>0</v>
      </c>
      <c r="BO269" s="3">
        <f>(BO140-BN140)*-1</f>
        <v>0</v>
      </c>
      <c r="BP269" s="3">
        <f>SUM(BL269:BO269)</f>
        <v>0</v>
      </c>
      <c r="BQ269" s="3">
        <f>(BQ140-BP140)*-1</f>
        <v>0</v>
      </c>
      <c r="BR269" s="3">
        <f>(BR140-BQ140)*-1</f>
        <v>0</v>
      </c>
      <c r="BS269" s="3">
        <f>(BS140-BR140)*-1</f>
        <v>0</v>
      </c>
      <c r="BT269" s="3">
        <f>(BT140-BS140)*-1</f>
        <v>0</v>
      </c>
      <c r="BU269" s="3">
        <f>SUM(BQ269:BT269)</f>
        <v>0</v>
      </c>
      <c r="BV269" s="3">
        <f>(BV140-BU140)*-1</f>
        <v>0</v>
      </c>
      <c r="BW269" s="3">
        <f>(BW140-BV140)*-1</f>
        <v>0</v>
      </c>
      <c r="BX269" s="3">
        <f>(BX140-BW140)*-1</f>
        <v>0</v>
      </c>
      <c r="BY269" s="3">
        <f>(BY140-BX140)*-1</f>
        <v>0</v>
      </c>
      <c r="BZ269" s="3">
        <f>SUM(BV269:BY269)</f>
        <v>0</v>
      </c>
      <c r="CA269" s="3">
        <f>(CA140-BZ140)*-1</f>
        <v>0</v>
      </c>
      <c r="CB269" s="3">
        <f>(CB140-CA140)*-1</f>
        <v>0</v>
      </c>
      <c r="CC269" s="3">
        <f>(CC140-CB140)*-1</f>
        <v>0</v>
      </c>
      <c r="CD269" s="3">
        <f>(CD140-CC140)*-1</f>
        <v>0</v>
      </c>
      <c r="CE269" s="3">
        <f>SUM(CA269:CD269)</f>
        <v>0</v>
      </c>
      <c r="CF269" s="3">
        <f>(CF140-CE140)*-1</f>
        <v>0</v>
      </c>
      <c r="CG269" s="3">
        <f>(CG140-CF140)*-1</f>
        <v>0</v>
      </c>
      <c r="CH269" s="3">
        <f>(CH140-CG140)*-1</f>
        <v>0</v>
      </c>
      <c r="CI269" s="3">
        <f>(CI140-CH140)*-1</f>
        <v>0</v>
      </c>
      <c r="CJ269" s="3">
        <f>SUM(CF269:CI269)</f>
        <v>0</v>
      </c>
      <c r="CK269" s="3">
        <f>(CK140-CJ140)*-1</f>
        <v>0</v>
      </c>
      <c r="CL269" s="3">
        <f>(CL140-CK140)*-1</f>
        <v>0</v>
      </c>
      <c r="CM269" s="3">
        <f>(CM140-CL140)*-1</f>
        <v>0</v>
      </c>
      <c r="CN269" s="3">
        <f>(CN140-CM140)*-1</f>
        <v>0</v>
      </c>
      <c r="CO269" s="3">
        <f>SUM(CK269:CN269)</f>
        <v>0</v>
      </c>
      <c r="CP269" s="3">
        <f>(CP140-CO140)*-1</f>
        <v>0</v>
      </c>
      <c r="CQ269" s="3">
        <f>(CQ140-CP140)*-1</f>
        <v>0</v>
      </c>
      <c r="CR269" s="3">
        <f>(CR140-CQ140)*-1</f>
        <v>0</v>
      </c>
      <c r="CS269" s="3">
        <f>(CS140-CR140)*-1</f>
        <v>0</v>
      </c>
      <c r="CT269" s="3">
        <f>SUM(CP269:CS269)</f>
        <v>0</v>
      </c>
      <c r="CU269" s="3">
        <f>(CU140-CT140)*-1</f>
        <v>0</v>
      </c>
      <c r="CV269" s="3">
        <f>(CV140-CU140)*-1</f>
        <v>0</v>
      </c>
      <c r="CW269" s="3">
        <f>(CW140-CV140)*-1</f>
        <v>0</v>
      </c>
      <c r="CX269" s="3">
        <f>(CX140-CW140)*-1</f>
        <v>0</v>
      </c>
      <c r="CY269" s="3">
        <f>SUM(CU269:CX269)</f>
        <v>0</v>
      </c>
    </row>
    <row r="270" hidden="1" outlineLevel="1">
      <c r="C270" s="29" t="inlineStr">
        <is>
          <t>Prepaid expenses</t>
        </is>
      </c>
      <c r="D270" s="3" t="n"/>
      <c r="E270" s="3">
        <f>(E141-D141)*-1</f>
        <v>0</v>
      </c>
      <c r="F270" s="3">
        <f>(F141-E141)*-1</f>
        <v>0</v>
      </c>
      <c r="G270" s="3">
        <f>(G141-F141)*-1</f>
        <v>0</v>
      </c>
      <c r="H270" s="3">
        <f>SUM(D270:G270)</f>
        <v>0</v>
      </c>
      <c r="I270" s="3">
        <f>(I141-H141)*-1</f>
        <v>0</v>
      </c>
      <c r="J270" s="3">
        <f>(J141-I141)*-1</f>
        <v>0</v>
      </c>
      <c r="K270" s="3">
        <f>(K141-J141)*-1</f>
        <v>0</v>
      </c>
      <c r="L270" s="3">
        <f>(L141-K141)*-1</f>
        <v>0</v>
      </c>
      <c r="M270" s="3">
        <f>SUM(I270:L270)</f>
        <v>0</v>
      </c>
      <c r="N270" s="3">
        <f>(N141-M141)*-1</f>
        <v>0</v>
      </c>
      <c r="O270" s="3">
        <f>(O141-N141)*-1</f>
        <v>0</v>
      </c>
      <c r="P270" s="3">
        <f>(P141-O141)*-1</f>
        <v>0</v>
      </c>
      <c r="Q270" s="3">
        <f>(Q141-P141)*-1</f>
        <v>0</v>
      </c>
      <c r="R270" s="3">
        <f>SUM(N270:Q270)</f>
        <v>0</v>
      </c>
      <c r="S270" s="3">
        <f>(S141-R141)*-1</f>
        <v>0</v>
      </c>
      <c r="T270" s="3">
        <f>(T141-S141)*-1</f>
        <v>0</v>
      </c>
      <c r="U270" s="3">
        <f>(U141-T141)*-1</f>
        <v>0</v>
      </c>
      <c r="V270" s="3">
        <f>(V141-U141)*-1</f>
        <v>0</v>
      </c>
      <c r="W270" s="3">
        <f>SUM(S270:V270)</f>
        <v>0</v>
      </c>
      <c r="X270" s="3">
        <f>(X141-W141)*-1</f>
        <v>0</v>
      </c>
      <c r="Y270" s="3">
        <f>(Y141-X141)*-1</f>
        <v>0</v>
      </c>
      <c r="Z270" s="3">
        <f>(Z141-Y141)*-1</f>
        <v>0</v>
      </c>
      <c r="AA270" s="3">
        <f>(AA141-Z141)*-1</f>
        <v>0</v>
      </c>
      <c r="AB270" s="3">
        <f>SUM(X270:AA270)</f>
        <v>0</v>
      </c>
      <c r="AC270" s="3">
        <f>(AC141-AB141)*-1</f>
        <v>0</v>
      </c>
      <c r="AD270" s="3">
        <f>(AD141-AC141)*-1</f>
        <v>0</v>
      </c>
      <c r="AE270" s="3">
        <f>(AE141-AD141)*-1</f>
        <v>0</v>
      </c>
      <c r="AF270" s="3">
        <f>(AF141-AE141)*-1</f>
        <v>0</v>
      </c>
      <c r="AG270" s="3">
        <f>SUM(AC270:AF270)</f>
        <v>0</v>
      </c>
      <c r="AH270" s="3">
        <f>(AH141-AG141)*-1</f>
        <v>0</v>
      </c>
      <c r="AI270" s="3">
        <f>(AI141-AH141)*-1</f>
        <v>0</v>
      </c>
      <c r="AJ270" s="3">
        <f>(AJ141-AI141)*-1</f>
        <v>0</v>
      </c>
      <c r="AK270" s="3">
        <f>(AK141-AJ141)*-1</f>
        <v>0</v>
      </c>
      <c r="AL270" s="3">
        <f>SUM(AH270:AK270)</f>
        <v>0</v>
      </c>
      <c r="AM270" s="3">
        <f>(AM141-AL141)*-1</f>
        <v>0</v>
      </c>
      <c r="AN270" s="3">
        <f>(AN141-AM141)*-1</f>
        <v>0</v>
      </c>
      <c r="AO270" s="3">
        <f>(AO141-AN141)*-1</f>
        <v>0</v>
      </c>
      <c r="AP270" s="3">
        <f>(AP141-AO141)*-1</f>
        <v>0</v>
      </c>
      <c r="AQ270" s="3">
        <f>SUM(AM270:AP270)</f>
        <v>0</v>
      </c>
      <c r="AR270" s="3">
        <f>(AR141-AQ141)*-1</f>
        <v>0</v>
      </c>
      <c r="AS270" s="3">
        <f>(AS141-AR141)*-1</f>
        <v>0</v>
      </c>
      <c r="AT270" s="3">
        <f>(AT141-AS141)*-1</f>
        <v>0</v>
      </c>
      <c r="AU270" s="3">
        <f>(AU141-AT141)*-1</f>
        <v>0</v>
      </c>
      <c r="AV270" s="3">
        <f>SUM(AR270:AU270)</f>
        <v>0</v>
      </c>
      <c r="AW270" s="3">
        <f>(AW141-AV141)*-1</f>
        <v>0</v>
      </c>
      <c r="AX270" s="3">
        <f>(AX141-AW141)*-1</f>
        <v>0</v>
      </c>
      <c r="AY270" s="3">
        <f>(AY141-AX141)*-1</f>
        <v>0</v>
      </c>
      <c r="AZ270" s="3">
        <f>(AZ141-AY141)*-1</f>
        <v>0</v>
      </c>
      <c r="BA270" s="3">
        <f>SUM(AW270:AZ270)</f>
        <v>0</v>
      </c>
      <c r="BB270" s="3">
        <f>(BB141-BA141)*-1</f>
        <v>0</v>
      </c>
      <c r="BC270" s="3">
        <f>(BC141-BB141)*-1</f>
        <v>0</v>
      </c>
      <c r="BD270" s="3">
        <f>(BD141-BC141)*-1</f>
        <v>0</v>
      </c>
      <c r="BE270" s="3">
        <f>(BE141-BD141)*-1</f>
        <v>0</v>
      </c>
      <c r="BF270" s="3">
        <f>SUM(BB270:BE270)</f>
        <v>0</v>
      </c>
      <c r="BG270" s="3">
        <f>(BG141-BF141)*-1</f>
        <v>0</v>
      </c>
      <c r="BH270" s="3">
        <f>(BH141-BG141)*-1</f>
        <v>0</v>
      </c>
      <c r="BI270" s="3">
        <f>(BI141-BH141)*-1</f>
        <v>0</v>
      </c>
      <c r="BJ270" s="3">
        <f>(BJ141-BI141)*-1</f>
        <v>0</v>
      </c>
      <c r="BK270" s="3">
        <f>SUM(BG270:BJ270)</f>
        <v>0</v>
      </c>
      <c r="BL270" s="3">
        <f>(BL141-BK141)*-1</f>
        <v>0</v>
      </c>
      <c r="BM270" s="3">
        <f>(BM141-BL141)*-1</f>
        <v>0</v>
      </c>
      <c r="BN270" s="3">
        <f>(BN141-BM141)*-1</f>
        <v>0</v>
      </c>
      <c r="BO270" s="3">
        <f>(BO141-BN141)*-1</f>
        <v>0</v>
      </c>
      <c r="BP270" s="3">
        <f>SUM(BL270:BO270)</f>
        <v>0</v>
      </c>
      <c r="BQ270" s="3">
        <f>(BQ141-BP141)*-1</f>
        <v>0</v>
      </c>
      <c r="BR270" s="3">
        <f>(BR141-BQ141)*-1</f>
        <v>0</v>
      </c>
      <c r="BS270" s="3">
        <f>(BS141-BR141)*-1</f>
        <v>0</v>
      </c>
      <c r="BT270" s="3">
        <f>(BT141-BS141)*-1</f>
        <v>0</v>
      </c>
      <c r="BU270" s="3">
        <f>SUM(BQ270:BT270)</f>
        <v>0</v>
      </c>
      <c r="BV270" s="3">
        <f>(BV141-BU141)*-1</f>
        <v>0</v>
      </c>
      <c r="BW270" s="3">
        <f>(BW141-BV141)*-1</f>
        <v>0</v>
      </c>
      <c r="BX270" s="3">
        <f>(BX141-BW141)*-1</f>
        <v>0</v>
      </c>
      <c r="BY270" s="3">
        <f>(BY141-BX141)*-1</f>
        <v>0</v>
      </c>
      <c r="BZ270" s="3">
        <f>SUM(BV270:BY270)</f>
        <v>0</v>
      </c>
      <c r="CA270" s="3">
        <f>(CA141-BZ141)*-1</f>
        <v>0</v>
      </c>
      <c r="CB270" s="3">
        <f>(CB141-CA141)*-1</f>
        <v>0</v>
      </c>
      <c r="CC270" s="3">
        <f>(CC141-CB141)*-1</f>
        <v>0</v>
      </c>
      <c r="CD270" s="3">
        <f>(CD141-CC141)*-1</f>
        <v>0</v>
      </c>
      <c r="CE270" s="3">
        <f>SUM(CA270:CD270)</f>
        <v>0</v>
      </c>
      <c r="CF270" s="3">
        <f>(CF141-CE141)*-1</f>
        <v>0</v>
      </c>
      <c r="CG270" s="3">
        <f>(CG141-CF141)*-1</f>
        <v>0</v>
      </c>
      <c r="CH270" s="3">
        <f>(CH141-CG141)*-1</f>
        <v>0</v>
      </c>
      <c r="CI270" s="3">
        <f>(CI141-CH141)*-1</f>
        <v>0</v>
      </c>
      <c r="CJ270" s="3">
        <f>SUM(CF270:CI270)</f>
        <v>0</v>
      </c>
      <c r="CK270" s="3">
        <f>(CK141-CJ141)*-1</f>
        <v>0</v>
      </c>
      <c r="CL270" s="3">
        <f>(CL141-CK141)*-1</f>
        <v>0</v>
      </c>
      <c r="CM270" s="3">
        <f>(CM141-CL141)*-1</f>
        <v>0</v>
      </c>
      <c r="CN270" s="3">
        <f>(CN141-CM141)*-1</f>
        <v>0</v>
      </c>
      <c r="CO270" s="3">
        <f>SUM(CK270:CN270)</f>
        <v>0</v>
      </c>
      <c r="CP270" s="3">
        <f>(CP141-CO141)*-1</f>
        <v>0</v>
      </c>
      <c r="CQ270" s="3">
        <f>(CQ141-CP141)*-1</f>
        <v>0</v>
      </c>
      <c r="CR270" s="3">
        <f>(CR141-CQ141)*-1</f>
        <v>0</v>
      </c>
      <c r="CS270" s="3">
        <f>(CS141-CR141)*-1</f>
        <v>0</v>
      </c>
      <c r="CT270" s="3">
        <f>SUM(CP270:CS270)</f>
        <v>0</v>
      </c>
      <c r="CU270" s="3">
        <f>(CU141-CT141)*-1</f>
        <v>0</v>
      </c>
      <c r="CV270" s="3">
        <f>(CV141-CU141)*-1</f>
        <v>0</v>
      </c>
      <c r="CW270" s="3">
        <f>(CW141-CV141)*-1</f>
        <v>0</v>
      </c>
      <c r="CX270" s="3">
        <f>(CX141-CW141)*-1</f>
        <v>0</v>
      </c>
      <c r="CY270" s="3">
        <f>SUM(CU270:CX270)</f>
        <v>0</v>
      </c>
    </row>
    <row r="271" hidden="1" outlineLevel="1">
      <c r="C271" s="29" t="inlineStr">
        <is>
          <t>Other current assets</t>
        </is>
      </c>
      <c r="D271" s="3" t="n"/>
      <c r="E271" s="3">
        <f>(E142-D142)*-1</f>
        <v>-944</v>
      </c>
      <c r="F271" s="3">
        <f>(F142-E142)*-1</f>
        <v>549</v>
      </c>
      <c r="G271" s="3">
        <f>(G142-F142)*-1</f>
        <v>573</v>
      </c>
      <c r="H271" s="3">
        <f>SUM(D271:G271)</f>
        <v>178</v>
      </c>
      <c r="I271" s="3">
        <f>(I142-H142)*-1</f>
        <v>-8802</v>
      </c>
      <c r="J271" s="3">
        <f>(J142-I142)*-1</f>
        <v>-1046</v>
      </c>
      <c r="K271" s="3">
        <f>(K142-J142)*-1</f>
        <v>-3136</v>
      </c>
      <c r="L271" s="3">
        <f>(L142-K142)*-1</f>
        <v>1830</v>
      </c>
      <c r="M271" s="3">
        <f>SUM(I271:L271)</f>
        <v>-11154</v>
      </c>
      <c r="N271" s="3">
        <f>(N142-M142)*-1</f>
        <v>-3040</v>
      </c>
      <c r="O271" s="3">
        <f>(O142-N142)*-1</f>
        <v>37928</v>
      </c>
      <c r="P271" s="3">
        <f>(P142-O142)*-1</f>
        <v>-1467</v>
      </c>
      <c r="Q271" s="3">
        <f>(Q142-P142)*-1</f>
        <v>-1095</v>
      </c>
      <c r="R271" s="3">
        <f>SUM(N271:Q271)</f>
        <v>32326</v>
      </c>
      <c r="S271" s="3">
        <f>(S142-R142)*-1</f>
        <v>-2704</v>
      </c>
      <c r="T271" s="3">
        <f>(T142-S142)*-1</f>
        <v>-354</v>
      </c>
      <c r="U271" s="3">
        <f>(U142-T142)*-1</f>
        <v>2001</v>
      </c>
      <c r="V271" s="3">
        <f>(V142-U142)*-1</f>
        <v>336</v>
      </c>
      <c r="W271" s="3">
        <f>SUM(S271:V271)</f>
        <v>-721</v>
      </c>
      <c r="X271" s="3">
        <f>(X142-W142)*-1</f>
        <v>-1878</v>
      </c>
      <c r="Y271" s="3">
        <f>(Y142-X142)*-1</f>
        <v>-1927</v>
      </c>
      <c r="Z271" s="3">
        <f>(Z142-Y142)*-1</f>
        <v>1256</v>
      </c>
      <c r="AA271" s="3">
        <f>(AA142-Z142)*-1</f>
        <v>367</v>
      </c>
      <c r="AB271" s="3">
        <f>SUM(X271:AA271)</f>
        <v>-2182</v>
      </c>
      <c r="AC271" s="3">
        <f>(AC142-AB142)*-1</f>
        <v>-42</v>
      </c>
      <c r="AD271" s="3">
        <f>(AD142-AC142)*-1</f>
        <v>200</v>
      </c>
      <c r="AE271" s="3">
        <f>(AE142-AD142)*-1</f>
        <v>758</v>
      </c>
      <c r="AF271" s="3">
        <f>(AF142-AE142)*-1</f>
        <v>-788</v>
      </c>
      <c r="AG271" s="3">
        <f>SUM(AC271:AF271)</f>
        <v>128</v>
      </c>
      <c r="AH271" s="3">
        <f>(AH142-AG142)*-1</f>
        <v>-1711</v>
      </c>
      <c r="AI271" s="3">
        <f>(AI142-AH142)*-1</f>
        <v>100</v>
      </c>
      <c r="AJ271" s="3">
        <f>(AJ142-AI142)*-1</f>
        <v>0</v>
      </c>
      <c r="AK271" s="3">
        <f>(AK142-AJ142)*-1</f>
        <v>0</v>
      </c>
      <c r="AL271" s="3">
        <f>SUM(AH271:AK271)</f>
        <v>-1611</v>
      </c>
      <c r="AM271" s="3">
        <f>(AM142-AL142)*-1</f>
        <v>0</v>
      </c>
      <c r="AN271" s="3">
        <f>(AN142-AM142)*-1</f>
        <v>0</v>
      </c>
      <c r="AO271" s="3">
        <f>(AO142-AN142)*-1</f>
        <v>0</v>
      </c>
      <c r="AP271" s="3">
        <f>(AP142-AO142)*-1</f>
        <v>0</v>
      </c>
      <c r="AQ271" s="3">
        <f>SUM(AM271:AP271)</f>
        <v>0</v>
      </c>
      <c r="AR271" s="3">
        <f>(AR142-AQ142)*-1</f>
        <v>0</v>
      </c>
      <c r="AS271" s="3">
        <f>(AS142-AR142)*-1</f>
        <v>0</v>
      </c>
      <c r="AT271" s="3">
        <f>(AT142-AS142)*-1</f>
        <v>0</v>
      </c>
      <c r="AU271" s="3">
        <f>(AU142-AT142)*-1</f>
        <v>0</v>
      </c>
      <c r="AV271" s="3">
        <f>SUM(AR271:AU271)</f>
        <v>0</v>
      </c>
      <c r="AW271" s="3">
        <f>(AW142-AV142)*-1</f>
        <v>0</v>
      </c>
      <c r="AX271" s="3">
        <f>(AX142-AW142)*-1</f>
        <v>0</v>
      </c>
      <c r="AY271" s="3">
        <f>(AY142-AX142)*-1</f>
        <v>0</v>
      </c>
      <c r="AZ271" s="3">
        <f>(AZ142-AY142)*-1</f>
        <v>0</v>
      </c>
      <c r="BA271" s="3">
        <f>SUM(AW271:AZ271)</f>
        <v>0</v>
      </c>
      <c r="BB271" s="3">
        <f>(BB142-BA142)*-1</f>
        <v>0</v>
      </c>
      <c r="BC271" s="3">
        <f>(BC142-BB142)*-1</f>
        <v>0</v>
      </c>
      <c r="BD271" s="3">
        <f>(BD142-BC142)*-1</f>
        <v>0</v>
      </c>
      <c r="BE271" s="3">
        <f>(BE142-BD142)*-1</f>
        <v>0</v>
      </c>
      <c r="BF271" s="3">
        <f>SUM(BB271:BE271)</f>
        <v>0</v>
      </c>
      <c r="BG271" s="3">
        <f>(BG142-BF142)*-1</f>
        <v>0</v>
      </c>
      <c r="BH271" s="3">
        <f>(BH142-BG142)*-1</f>
        <v>0</v>
      </c>
      <c r="BI271" s="3">
        <f>(BI142-BH142)*-1</f>
        <v>0</v>
      </c>
      <c r="BJ271" s="3">
        <f>(BJ142-BI142)*-1</f>
        <v>0</v>
      </c>
      <c r="BK271" s="3">
        <f>SUM(BG271:BJ271)</f>
        <v>0</v>
      </c>
      <c r="BL271" s="3">
        <f>(BL142-BK142)*-1</f>
        <v>0</v>
      </c>
      <c r="BM271" s="3">
        <f>(BM142-BL142)*-1</f>
        <v>0</v>
      </c>
      <c r="BN271" s="3">
        <f>(BN142-BM142)*-1</f>
        <v>0</v>
      </c>
      <c r="BO271" s="3">
        <f>(BO142-BN142)*-1</f>
        <v>0</v>
      </c>
      <c r="BP271" s="3">
        <f>SUM(BL271:BO271)</f>
        <v>0</v>
      </c>
      <c r="BQ271" s="3">
        <f>(BQ142-BP142)*-1</f>
        <v>0</v>
      </c>
      <c r="BR271" s="3">
        <f>(BR142-BQ142)*-1</f>
        <v>0</v>
      </c>
      <c r="BS271" s="3">
        <f>(BS142-BR142)*-1</f>
        <v>0</v>
      </c>
      <c r="BT271" s="3">
        <f>(BT142-BS142)*-1</f>
        <v>0</v>
      </c>
      <c r="BU271" s="3">
        <f>SUM(BQ271:BT271)</f>
        <v>0</v>
      </c>
      <c r="BV271" s="3">
        <f>(BV142-BU142)*-1</f>
        <v>0</v>
      </c>
      <c r="BW271" s="3">
        <f>(BW142-BV142)*-1</f>
        <v>0</v>
      </c>
      <c r="BX271" s="3">
        <f>(BX142-BW142)*-1</f>
        <v>0</v>
      </c>
      <c r="BY271" s="3">
        <f>(BY142-BX142)*-1</f>
        <v>0</v>
      </c>
      <c r="BZ271" s="3">
        <f>SUM(BV271:BY271)</f>
        <v>0</v>
      </c>
      <c r="CA271" s="3">
        <f>(CA142-BZ142)*-1</f>
        <v>0</v>
      </c>
      <c r="CB271" s="3">
        <f>(CB142-CA142)*-1</f>
        <v>0</v>
      </c>
      <c r="CC271" s="3">
        <f>(CC142-CB142)*-1</f>
        <v>0</v>
      </c>
      <c r="CD271" s="3">
        <f>(CD142-CC142)*-1</f>
        <v>0</v>
      </c>
      <c r="CE271" s="3">
        <f>SUM(CA271:CD271)</f>
        <v>0</v>
      </c>
      <c r="CF271" s="3">
        <f>(CF142-CE142)*-1</f>
        <v>0</v>
      </c>
      <c r="CG271" s="3">
        <f>(CG142-CF142)*-1</f>
        <v>0</v>
      </c>
      <c r="CH271" s="3">
        <f>(CH142-CG142)*-1</f>
        <v>0</v>
      </c>
      <c r="CI271" s="3">
        <f>(CI142-CH142)*-1</f>
        <v>0</v>
      </c>
      <c r="CJ271" s="3">
        <f>SUM(CF271:CI271)</f>
        <v>0</v>
      </c>
      <c r="CK271" s="3">
        <f>(CK142-CJ142)*-1</f>
        <v>0</v>
      </c>
      <c r="CL271" s="3">
        <f>(CL142-CK142)*-1</f>
        <v>0</v>
      </c>
      <c r="CM271" s="3">
        <f>(CM142-CL142)*-1</f>
        <v>0</v>
      </c>
      <c r="CN271" s="3">
        <f>(CN142-CM142)*-1</f>
        <v>0</v>
      </c>
      <c r="CO271" s="3">
        <f>SUM(CK271:CN271)</f>
        <v>0</v>
      </c>
      <c r="CP271" s="3">
        <f>(CP142-CO142)*-1</f>
        <v>0</v>
      </c>
      <c r="CQ271" s="3">
        <f>(CQ142-CP142)*-1</f>
        <v>0</v>
      </c>
      <c r="CR271" s="3">
        <f>(CR142-CQ142)*-1</f>
        <v>0</v>
      </c>
      <c r="CS271" s="3">
        <f>(CS142-CR142)*-1</f>
        <v>0</v>
      </c>
      <c r="CT271" s="3">
        <f>SUM(CP271:CS271)</f>
        <v>0</v>
      </c>
      <c r="CU271" s="3">
        <f>(CU142-CT142)*-1</f>
        <v>0</v>
      </c>
      <c r="CV271" s="3">
        <f>(CV142-CU142)*-1</f>
        <v>0</v>
      </c>
      <c r="CW271" s="3">
        <f>(CW142-CV142)*-1</f>
        <v>0</v>
      </c>
      <c r="CX271" s="3">
        <f>(CX142-CW142)*-1</f>
        <v>0</v>
      </c>
      <c r="CY271" s="3">
        <f>SUM(CU271:CX271)</f>
        <v>0</v>
      </c>
    </row>
    <row r="272" hidden="1" outlineLevel="1">
      <c r="C272" s="29" t="inlineStr">
        <is>
          <t>Accounts payable</t>
        </is>
      </c>
      <c r="D272" s="3" t="n"/>
      <c r="E272" s="3">
        <f>E185-D185</f>
        <v>0</v>
      </c>
      <c r="F272" s="3">
        <f>F185-E185</f>
        <v>0</v>
      </c>
      <c r="G272" s="3">
        <f>G185-F185</f>
        <v>0</v>
      </c>
      <c r="H272" s="3">
        <f>SUM(D272:G272)</f>
        <v>0</v>
      </c>
      <c r="I272" s="3">
        <f>I185-H185</f>
        <v>0</v>
      </c>
      <c r="J272" s="3">
        <f>J185-I185</f>
        <v>0</v>
      </c>
      <c r="K272" s="3">
        <f>K185-J185</f>
        <v>0</v>
      </c>
      <c r="L272" s="3">
        <f>L185-K185</f>
        <v>0</v>
      </c>
      <c r="M272" s="3">
        <f>SUM(I272:L272)</f>
        <v>0</v>
      </c>
      <c r="N272" s="3">
        <f>N185-M185</f>
        <v>0</v>
      </c>
      <c r="O272" s="3">
        <f>O185-N185</f>
        <v>0</v>
      </c>
      <c r="P272" s="3">
        <f>P185-O185</f>
        <v>0</v>
      </c>
      <c r="Q272" s="3">
        <f>Q185-P185</f>
        <v>0</v>
      </c>
      <c r="R272" s="3">
        <f>SUM(N272:Q272)</f>
        <v>0</v>
      </c>
      <c r="S272" s="3">
        <f>S185-R185</f>
        <v>0</v>
      </c>
      <c r="T272" s="3">
        <f>T185-S185</f>
        <v>0</v>
      </c>
      <c r="U272" s="3">
        <f>U185-T185</f>
        <v>0</v>
      </c>
      <c r="V272" s="3">
        <f>V185-U185</f>
        <v>0</v>
      </c>
      <c r="W272" s="3">
        <f>SUM(S272:V272)</f>
        <v>0</v>
      </c>
      <c r="X272" s="3">
        <f>X185-W185</f>
        <v>0</v>
      </c>
      <c r="Y272" s="3">
        <f>Y185-X185</f>
        <v>0</v>
      </c>
      <c r="Z272" s="3">
        <f>Z185-Y185</f>
        <v>0</v>
      </c>
      <c r="AA272" s="3">
        <f>AA185-Z185</f>
        <v>0</v>
      </c>
      <c r="AB272" s="3">
        <f>SUM(X272:AA272)</f>
        <v>0</v>
      </c>
      <c r="AC272" s="3">
        <f>AC185-AB185</f>
        <v>0</v>
      </c>
      <c r="AD272" s="3">
        <f>AD185-AC185</f>
        <v>0</v>
      </c>
      <c r="AE272" s="3">
        <f>AE185-AD185</f>
        <v>0</v>
      </c>
      <c r="AF272" s="3">
        <f>AF185-AE185</f>
        <v>0</v>
      </c>
      <c r="AG272" s="3">
        <f>SUM(AC272:AF272)</f>
        <v>0</v>
      </c>
      <c r="AH272" s="3">
        <f>AH185-AG185</f>
        <v>0</v>
      </c>
      <c r="AI272" s="3">
        <f>AI185-AH185</f>
        <v>0</v>
      </c>
      <c r="AJ272" s="3">
        <f>AJ185-AI185</f>
        <v>0</v>
      </c>
      <c r="AK272" s="3">
        <f>AK185-AJ185</f>
        <v>0</v>
      </c>
      <c r="AL272" s="3">
        <f>SUM(AH272:AK272)</f>
        <v>0</v>
      </c>
      <c r="AM272" s="3">
        <f>AM185-AL185</f>
        <v>0</v>
      </c>
      <c r="AN272" s="3">
        <f>AN185-AM185</f>
        <v>0</v>
      </c>
      <c r="AO272" s="3">
        <f>AO185-AN185</f>
        <v>0</v>
      </c>
      <c r="AP272" s="3">
        <f>AP185-AO185</f>
        <v>0</v>
      </c>
      <c r="AQ272" s="3">
        <f>SUM(AM272:AP272)</f>
        <v>0</v>
      </c>
      <c r="AR272" s="3">
        <f>AR185-AQ185</f>
        <v>0</v>
      </c>
      <c r="AS272" s="3">
        <f>AS185-AR185</f>
        <v>0</v>
      </c>
      <c r="AT272" s="3">
        <f>AT185-AS185</f>
        <v>0</v>
      </c>
      <c r="AU272" s="3">
        <f>AU185-AT185</f>
        <v>0</v>
      </c>
      <c r="AV272" s="3">
        <f>SUM(AR272:AU272)</f>
        <v>0</v>
      </c>
      <c r="AW272" s="3">
        <f>AW185-AV185</f>
        <v>0</v>
      </c>
      <c r="AX272" s="3">
        <f>AX185-AW185</f>
        <v>0</v>
      </c>
      <c r="AY272" s="3">
        <f>AY185-AX185</f>
        <v>0</v>
      </c>
      <c r="AZ272" s="3">
        <f>AZ185-AY185</f>
        <v>0</v>
      </c>
      <c r="BA272" s="3">
        <f>SUM(AW272:AZ272)</f>
        <v>0</v>
      </c>
      <c r="BB272" s="3">
        <f>BB185-BA185</f>
        <v>0</v>
      </c>
      <c r="BC272" s="3">
        <f>BC185-BB185</f>
        <v>0</v>
      </c>
      <c r="BD272" s="3">
        <f>BD185-BC185</f>
        <v>0</v>
      </c>
      <c r="BE272" s="3">
        <f>BE185-BD185</f>
        <v>0</v>
      </c>
      <c r="BF272" s="3">
        <f>SUM(BB272:BE272)</f>
        <v>0</v>
      </c>
      <c r="BG272" s="3">
        <f>BG185-BF185</f>
        <v>0</v>
      </c>
      <c r="BH272" s="3">
        <f>BH185-BG185</f>
        <v>0</v>
      </c>
      <c r="BI272" s="3">
        <f>BI185-BH185</f>
        <v>0</v>
      </c>
      <c r="BJ272" s="3">
        <f>BJ185-BI185</f>
        <v>0</v>
      </c>
      <c r="BK272" s="3">
        <f>SUM(BG272:BJ272)</f>
        <v>0</v>
      </c>
      <c r="BL272" s="3">
        <f>BL185-BK185</f>
        <v>0</v>
      </c>
      <c r="BM272" s="3">
        <f>BM185-BL185</f>
        <v>0</v>
      </c>
      <c r="BN272" s="3">
        <f>BN185-BM185</f>
        <v>0</v>
      </c>
      <c r="BO272" s="3">
        <f>BO185-BN185</f>
        <v>0</v>
      </c>
      <c r="BP272" s="3">
        <f>SUM(BL272:BO272)</f>
        <v>0</v>
      </c>
      <c r="BQ272" s="3">
        <f>BQ185-BP185</f>
        <v>0</v>
      </c>
      <c r="BR272" s="3">
        <f>BR185-BQ185</f>
        <v>0</v>
      </c>
      <c r="BS272" s="3">
        <f>BS185-BR185</f>
        <v>0</v>
      </c>
      <c r="BT272" s="3">
        <f>BT185-BS185</f>
        <v>0</v>
      </c>
      <c r="BU272" s="3">
        <f>SUM(BQ272:BT272)</f>
        <v>0</v>
      </c>
      <c r="BV272" s="3">
        <f>BV185-BU185</f>
        <v>0</v>
      </c>
      <c r="BW272" s="3">
        <f>BW185-BV185</f>
        <v>0</v>
      </c>
      <c r="BX272" s="3">
        <f>BX185-BW185</f>
        <v>0</v>
      </c>
      <c r="BY272" s="3">
        <f>BY185-BX185</f>
        <v>0</v>
      </c>
      <c r="BZ272" s="3">
        <f>SUM(BV272:BY272)</f>
        <v>0</v>
      </c>
      <c r="CA272" s="3">
        <f>CA185-BZ185</f>
        <v>0</v>
      </c>
      <c r="CB272" s="3">
        <f>CB185-CA185</f>
        <v>0</v>
      </c>
      <c r="CC272" s="3">
        <f>CC185-CB185</f>
        <v>0</v>
      </c>
      <c r="CD272" s="3">
        <f>CD185-CC185</f>
        <v>0</v>
      </c>
      <c r="CE272" s="3">
        <f>SUM(CA272:CD272)</f>
        <v>0</v>
      </c>
      <c r="CF272" s="3">
        <f>CF185-CE185</f>
        <v>0</v>
      </c>
      <c r="CG272" s="3">
        <f>CG185-CF185</f>
        <v>0</v>
      </c>
      <c r="CH272" s="3">
        <f>CH185-CG185</f>
        <v>0</v>
      </c>
      <c r="CI272" s="3">
        <f>CI185-CH185</f>
        <v>0</v>
      </c>
      <c r="CJ272" s="3">
        <f>SUM(CF272:CI272)</f>
        <v>0</v>
      </c>
      <c r="CK272" s="3">
        <f>CK185-CJ185</f>
        <v>0</v>
      </c>
      <c r="CL272" s="3">
        <f>CL185-CK185</f>
        <v>0</v>
      </c>
      <c r="CM272" s="3">
        <f>CM185-CL185</f>
        <v>0</v>
      </c>
      <c r="CN272" s="3">
        <f>CN185-CM185</f>
        <v>0</v>
      </c>
      <c r="CO272" s="3">
        <f>SUM(CK272:CN272)</f>
        <v>0</v>
      </c>
      <c r="CP272" s="3">
        <f>CP185-CO185</f>
        <v>0</v>
      </c>
      <c r="CQ272" s="3">
        <f>CQ185-CP185</f>
        <v>0</v>
      </c>
      <c r="CR272" s="3">
        <f>CR185-CQ185</f>
        <v>0</v>
      </c>
      <c r="CS272" s="3">
        <f>CS185-CR185</f>
        <v>0</v>
      </c>
      <c r="CT272" s="3">
        <f>SUM(CP272:CS272)</f>
        <v>0</v>
      </c>
      <c r="CU272" s="3">
        <f>CU185-CT185</f>
        <v>0</v>
      </c>
      <c r="CV272" s="3">
        <f>CV185-CU185</f>
        <v>0</v>
      </c>
      <c r="CW272" s="3">
        <f>CW185-CV185</f>
        <v>0</v>
      </c>
      <c r="CX272" s="3">
        <f>CX185-CW185</f>
        <v>0</v>
      </c>
      <c r="CY272" s="3">
        <f>SUM(CU272:CX272)</f>
        <v>0</v>
      </c>
    </row>
    <row r="273" hidden="1" outlineLevel="1">
      <c r="C273" s="29" t="inlineStr">
        <is>
          <t>Accrued expenses</t>
        </is>
      </c>
      <c r="D273" s="3" t="n"/>
      <c r="E273" s="3">
        <f>E189-D189</f>
        <v>0</v>
      </c>
      <c r="F273" s="3">
        <f>F189-E189</f>
        <v>0</v>
      </c>
      <c r="G273" s="3">
        <f>G189-F189</f>
        <v>0</v>
      </c>
      <c r="H273" s="3">
        <f>SUM(D273:G273)</f>
        <v>0</v>
      </c>
      <c r="I273" s="3">
        <f>I189-H189</f>
        <v>0</v>
      </c>
      <c r="J273" s="3">
        <f>J189-I189</f>
        <v>0</v>
      </c>
      <c r="K273" s="3">
        <f>K189-J189</f>
        <v>0</v>
      </c>
      <c r="L273" s="3">
        <f>L189-K189</f>
        <v>0</v>
      </c>
      <c r="M273" s="3">
        <f>SUM(I273:L273)</f>
        <v>0</v>
      </c>
      <c r="N273" s="3">
        <f>N189-M189</f>
        <v>0</v>
      </c>
      <c r="O273" s="3">
        <f>O189-N189</f>
        <v>0</v>
      </c>
      <c r="P273" s="3">
        <f>P189-O189</f>
        <v>0</v>
      </c>
      <c r="Q273" s="3">
        <f>Q189-P189</f>
        <v>0</v>
      </c>
      <c r="R273" s="3">
        <f>SUM(N273:Q273)</f>
        <v>0</v>
      </c>
      <c r="S273" s="3">
        <f>S189-R189</f>
        <v>0</v>
      </c>
      <c r="T273" s="3">
        <f>T189-S189</f>
        <v>0</v>
      </c>
      <c r="U273" s="3">
        <f>U189-T189</f>
        <v>0</v>
      </c>
      <c r="V273" s="3">
        <f>V189-U189</f>
        <v>0</v>
      </c>
      <c r="W273" s="3">
        <f>SUM(S273:V273)</f>
        <v>0</v>
      </c>
      <c r="X273" s="3">
        <f>X189-W189</f>
        <v>0</v>
      </c>
      <c r="Y273" s="3">
        <f>Y189-X189</f>
        <v>0</v>
      </c>
      <c r="Z273" s="3">
        <f>Z189-Y189</f>
        <v>0</v>
      </c>
      <c r="AA273" s="3">
        <f>AA189-Z189</f>
        <v>0</v>
      </c>
      <c r="AB273" s="3">
        <f>SUM(X273:AA273)</f>
        <v>0</v>
      </c>
      <c r="AC273" s="3">
        <f>AC189-AB189</f>
        <v>0</v>
      </c>
      <c r="AD273" s="3">
        <f>AD189-AC189</f>
        <v>0</v>
      </c>
      <c r="AE273" s="3">
        <f>AE189-AD189</f>
        <v>0</v>
      </c>
      <c r="AF273" s="3">
        <f>AF189-AE189</f>
        <v>0</v>
      </c>
      <c r="AG273" s="3">
        <f>SUM(AC273:AF273)</f>
        <v>0</v>
      </c>
      <c r="AH273" s="3">
        <f>AH189-AG189</f>
        <v>0</v>
      </c>
      <c r="AI273" s="3">
        <f>AI189-AH189</f>
        <v>0</v>
      </c>
      <c r="AJ273" s="3">
        <f>AJ189-AI189</f>
        <v>0</v>
      </c>
      <c r="AK273" s="3">
        <f>AK189-AJ189</f>
        <v>0</v>
      </c>
      <c r="AL273" s="3">
        <f>SUM(AH273:AK273)</f>
        <v>0</v>
      </c>
      <c r="AM273" s="3" t="e">
        <f>AM189-AL189</f>
        <v>#DIV/0!</v>
      </c>
      <c r="AN273" s="3" t="e">
        <f>AN189-AM189</f>
        <v>#DIV/0!</v>
      </c>
      <c r="AO273" s="3" t="e">
        <f>AO189-AN189</f>
        <v>#DIV/0!</v>
      </c>
      <c r="AP273" s="3" t="e">
        <f>AP189-AO189</f>
        <v>#DIV/0!</v>
      </c>
      <c r="AQ273" s="3" t="e">
        <f>SUM(AM273:AP273)</f>
        <v>#DIV/0!</v>
      </c>
      <c r="AR273" s="3" t="e">
        <f>AR189-AQ189</f>
        <v>#DIV/0!</v>
      </c>
      <c r="AS273" s="3" t="e">
        <f>AS189-AR189</f>
        <v>#DIV/0!</v>
      </c>
      <c r="AT273" s="3" t="e">
        <f>AT189-AS189</f>
        <v>#DIV/0!</v>
      </c>
      <c r="AU273" s="3" t="e">
        <f>AU189-AT189</f>
        <v>#DIV/0!</v>
      </c>
      <c r="AV273" s="3" t="e">
        <f>SUM(AR273:AU273)</f>
        <v>#DIV/0!</v>
      </c>
      <c r="AW273" s="3" t="e">
        <f>AW189-AV189</f>
        <v>#DIV/0!</v>
      </c>
      <c r="AX273" s="3" t="e">
        <f>AX189-AW189</f>
        <v>#DIV/0!</v>
      </c>
      <c r="AY273" s="3" t="e">
        <f>AY189-AX189</f>
        <v>#DIV/0!</v>
      </c>
      <c r="AZ273" s="3" t="e">
        <f>AZ189-AY189</f>
        <v>#DIV/0!</v>
      </c>
      <c r="BA273" s="3" t="e">
        <f>SUM(AW273:AZ273)</f>
        <v>#DIV/0!</v>
      </c>
      <c r="BB273" s="3" t="e">
        <f>BB189-BA189</f>
        <v>#DIV/0!</v>
      </c>
      <c r="BC273" s="3" t="e">
        <f>BC189-BB189</f>
        <v>#DIV/0!</v>
      </c>
      <c r="BD273" s="3" t="e">
        <f>BD189-BC189</f>
        <v>#DIV/0!</v>
      </c>
      <c r="BE273" s="3" t="e">
        <f>BE189-BD189</f>
        <v>#DIV/0!</v>
      </c>
      <c r="BF273" s="3" t="e">
        <f>SUM(BB273:BE273)</f>
        <v>#DIV/0!</v>
      </c>
      <c r="BG273" s="3" t="e">
        <f>BG189-BF189</f>
        <v>#DIV/0!</v>
      </c>
      <c r="BH273" s="3" t="e">
        <f>BH189-BG189</f>
        <v>#DIV/0!</v>
      </c>
      <c r="BI273" s="3" t="e">
        <f>BI189-BH189</f>
        <v>#DIV/0!</v>
      </c>
      <c r="BJ273" s="3" t="e">
        <f>BJ189-BI189</f>
        <v>#DIV/0!</v>
      </c>
      <c r="BK273" s="3" t="e">
        <f>SUM(BG273:BJ273)</f>
        <v>#DIV/0!</v>
      </c>
      <c r="BL273" s="3" t="e">
        <f>BL189-BK189</f>
        <v>#DIV/0!</v>
      </c>
      <c r="BM273" s="3" t="e">
        <f>BM189-BL189</f>
        <v>#DIV/0!</v>
      </c>
      <c r="BN273" s="3" t="e">
        <f>BN189-BM189</f>
        <v>#DIV/0!</v>
      </c>
      <c r="BO273" s="3" t="e">
        <f>BO189-BN189</f>
        <v>#DIV/0!</v>
      </c>
      <c r="BP273" s="3" t="e">
        <f>SUM(BL273:BO273)</f>
        <v>#DIV/0!</v>
      </c>
      <c r="BQ273" s="3" t="e">
        <f>BQ189-BP189</f>
        <v>#DIV/0!</v>
      </c>
      <c r="BR273" s="3" t="e">
        <f>BR189-BQ189</f>
        <v>#DIV/0!</v>
      </c>
      <c r="BS273" s="3" t="e">
        <f>BS189-BR189</f>
        <v>#DIV/0!</v>
      </c>
      <c r="BT273" s="3" t="e">
        <f>BT189-BS189</f>
        <v>#DIV/0!</v>
      </c>
      <c r="BU273" s="3" t="e">
        <f>SUM(BQ273:BT273)</f>
        <v>#DIV/0!</v>
      </c>
      <c r="BV273" s="3" t="e">
        <f>BV189-BU189</f>
        <v>#DIV/0!</v>
      </c>
      <c r="BW273" s="3" t="e">
        <f>BW189-BV189</f>
        <v>#DIV/0!</v>
      </c>
      <c r="BX273" s="3" t="e">
        <f>BX189-BW189</f>
        <v>#DIV/0!</v>
      </c>
      <c r="BY273" s="3" t="e">
        <f>BY189-BX189</f>
        <v>#DIV/0!</v>
      </c>
      <c r="BZ273" s="3" t="e">
        <f>SUM(BV273:BY273)</f>
        <v>#DIV/0!</v>
      </c>
      <c r="CA273" s="3" t="e">
        <f>CA189-BZ189</f>
        <v>#DIV/0!</v>
      </c>
      <c r="CB273" s="3" t="e">
        <f>CB189-CA189</f>
        <v>#DIV/0!</v>
      </c>
      <c r="CC273" s="3" t="e">
        <f>CC189-CB189</f>
        <v>#DIV/0!</v>
      </c>
      <c r="CD273" s="3" t="e">
        <f>CD189-CC189</f>
        <v>#DIV/0!</v>
      </c>
      <c r="CE273" s="3" t="e">
        <f>SUM(CA273:CD273)</f>
        <v>#DIV/0!</v>
      </c>
      <c r="CF273" s="3" t="e">
        <f>CF189-CE189</f>
        <v>#DIV/0!</v>
      </c>
      <c r="CG273" s="3" t="e">
        <f>CG189-CF189</f>
        <v>#DIV/0!</v>
      </c>
      <c r="CH273" s="3" t="e">
        <f>CH189-CG189</f>
        <v>#DIV/0!</v>
      </c>
      <c r="CI273" s="3" t="e">
        <f>CI189-CH189</f>
        <v>#DIV/0!</v>
      </c>
      <c r="CJ273" s="3" t="e">
        <f>SUM(CF273:CI273)</f>
        <v>#DIV/0!</v>
      </c>
      <c r="CK273" s="3" t="e">
        <f>CK189-CJ189</f>
        <v>#DIV/0!</v>
      </c>
      <c r="CL273" s="3" t="e">
        <f>CL189-CK189</f>
        <v>#DIV/0!</v>
      </c>
      <c r="CM273" s="3" t="e">
        <f>CM189-CL189</f>
        <v>#DIV/0!</v>
      </c>
      <c r="CN273" s="3" t="e">
        <f>CN189-CM189</f>
        <v>#DIV/0!</v>
      </c>
      <c r="CO273" s="3" t="e">
        <f>SUM(CK273:CN273)</f>
        <v>#DIV/0!</v>
      </c>
      <c r="CP273" s="3" t="e">
        <f>CP189-CO189</f>
        <v>#DIV/0!</v>
      </c>
      <c r="CQ273" s="3" t="e">
        <f>CQ189-CP189</f>
        <v>#DIV/0!</v>
      </c>
      <c r="CR273" s="3" t="e">
        <f>CR189-CQ189</f>
        <v>#DIV/0!</v>
      </c>
      <c r="CS273" s="3" t="e">
        <f>CS189-CR189</f>
        <v>#DIV/0!</v>
      </c>
      <c r="CT273" s="3" t="e">
        <f>SUM(CP273:CS273)</f>
        <v>#DIV/0!</v>
      </c>
      <c r="CU273" s="3" t="e">
        <f>CU189-CT189</f>
        <v>#DIV/0!</v>
      </c>
      <c r="CV273" s="3" t="e">
        <f>CV189-CU189</f>
        <v>#DIV/0!</v>
      </c>
      <c r="CW273" s="3" t="e">
        <f>CW189-CV189</f>
        <v>#DIV/0!</v>
      </c>
      <c r="CX273" s="3" t="e">
        <f>CX189-CW189</f>
        <v>#DIV/0!</v>
      </c>
      <c r="CY273" s="3" t="e">
        <f>SUM(CU273:CX273)</f>
        <v>#DIV/0!</v>
      </c>
    </row>
    <row r="274" hidden="1" outlineLevel="1">
      <c r="C274" s="29" t="inlineStr">
        <is>
          <t>Taxes payable</t>
        </is>
      </c>
      <c r="D274" s="3" t="n"/>
      <c r="E274" s="3">
        <f>E191-D191</f>
        <v>0</v>
      </c>
      <c r="F274" s="3">
        <f>F191-E191</f>
        <v>0</v>
      </c>
      <c r="G274" s="3">
        <f>G191-F191</f>
        <v>0</v>
      </c>
      <c r="H274" s="3">
        <f>SUM(D274:G274)</f>
        <v>0</v>
      </c>
      <c r="I274" s="3">
        <f>I191-H191</f>
        <v>0</v>
      </c>
      <c r="J274" s="3">
        <f>J191-I191</f>
        <v>0</v>
      </c>
      <c r="K274" s="3">
        <f>K191-J191</f>
        <v>0</v>
      </c>
      <c r="L274" s="3">
        <f>L191-K191</f>
        <v>0</v>
      </c>
      <c r="M274" s="3">
        <f>SUM(I274:L274)</f>
        <v>0</v>
      </c>
      <c r="N274" s="3">
        <f>N191-M191</f>
        <v>0</v>
      </c>
      <c r="O274" s="3">
        <f>O191-N191</f>
        <v>0</v>
      </c>
      <c r="P274" s="3">
        <f>P191-O191</f>
        <v>0</v>
      </c>
      <c r="Q274" s="3">
        <f>Q191-P191</f>
        <v>0</v>
      </c>
      <c r="R274" s="3">
        <f>SUM(N274:Q274)</f>
        <v>0</v>
      </c>
      <c r="S274" s="3">
        <f>S191-R191</f>
        <v>0</v>
      </c>
      <c r="T274" s="3">
        <f>T191-S191</f>
        <v>0</v>
      </c>
      <c r="U274" s="3">
        <f>U191-T191</f>
        <v>0</v>
      </c>
      <c r="V274" s="3">
        <f>V191-U191</f>
        <v>0</v>
      </c>
      <c r="W274" s="3">
        <f>SUM(S274:V274)</f>
        <v>0</v>
      </c>
      <c r="X274" s="3">
        <f>X191-W191</f>
        <v>0</v>
      </c>
      <c r="Y274" s="3">
        <f>Y191-X191</f>
        <v>0</v>
      </c>
      <c r="Z274" s="3">
        <f>Z191-Y191</f>
        <v>0</v>
      </c>
      <c r="AA274" s="3">
        <f>AA191-Z191</f>
        <v>0</v>
      </c>
      <c r="AB274" s="3">
        <f>SUM(X274:AA274)</f>
        <v>0</v>
      </c>
      <c r="AC274" s="3">
        <f>AC191-AB191</f>
        <v>0</v>
      </c>
      <c r="AD274" s="3">
        <f>AD191-AC191</f>
        <v>0</v>
      </c>
      <c r="AE274" s="3">
        <f>AE191-AD191</f>
        <v>0</v>
      </c>
      <c r="AF274" s="3">
        <f>AF191-AE191</f>
        <v>0</v>
      </c>
      <c r="AG274" s="3">
        <f>SUM(AC274:AF274)</f>
        <v>0</v>
      </c>
      <c r="AH274" s="3">
        <f>AH191-AG191</f>
        <v>0</v>
      </c>
      <c r="AI274" s="3">
        <f>AI191-AH191</f>
        <v>0</v>
      </c>
      <c r="AJ274" s="3">
        <f>AJ191-AI191</f>
        <v>0</v>
      </c>
      <c r="AK274" s="3">
        <f>AK191-AJ191</f>
        <v>0</v>
      </c>
      <c r="AL274" s="3">
        <f>SUM(AH274:AK274)</f>
        <v>0</v>
      </c>
      <c r="AM274" s="3" t="e">
        <f>AM191-AL191</f>
        <v>#DIV/0!</v>
      </c>
      <c r="AN274" s="3" t="e">
        <f>AN191-AM191</f>
        <v>#DIV/0!</v>
      </c>
      <c r="AO274" s="3" t="e">
        <f>AO191-AN191</f>
        <v>#DIV/0!</v>
      </c>
      <c r="AP274" s="3" t="e">
        <f>AP191-AO191</f>
        <v>#DIV/0!</v>
      </c>
      <c r="AQ274" s="3" t="e">
        <f>SUM(AM274:AP274)</f>
        <v>#DIV/0!</v>
      </c>
      <c r="AR274" s="3" t="e">
        <f>AR191-AQ191</f>
        <v>#DIV/0!</v>
      </c>
      <c r="AS274" s="3" t="e">
        <f>AS191-AR191</f>
        <v>#DIV/0!</v>
      </c>
      <c r="AT274" s="3" t="e">
        <f>AT191-AS191</f>
        <v>#DIV/0!</v>
      </c>
      <c r="AU274" s="3" t="e">
        <f>AU191-AT191</f>
        <v>#DIV/0!</v>
      </c>
      <c r="AV274" s="3" t="e">
        <f>SUM(AR274:AU274)</f>
        <v>#DIV/0!</v>
      </c>
      <c r="AW274" s="3" t="e">
        <f>AW191-AV191</f>
        <v>#DIV/0!</v>
      </c>
      <c r="AX274" s="3" t="e">
        <f>AX191-AW191</f>
        <v>#DIV/0!</v>
      </c>
      <c r="AY274" s="3" t="e">
        <f>AY191-AX191</f>
        <v>#DIV/0!</v>
      </c>
      <c r="AZ274" s="3" t="e">
        <f>AZ191-AY191</f>
        <v>#DIV/0!</v>
      </c>
      <c r="BA274" s="3" t="e">
        <f>SUM(AW274:AZ274)</f>
        <v>#DIV/0!</v>
      </c>
      <c r="BB274" s="3" t="e">
        <f>BB191-BA191</f>
        <v>#DIV/0!</v>
      </c>
      <c r="BC274" s="3" t="e">
        <f>BC191-BB191</f>
        <v>#DIV/0!</v>
      </c>
      <c r="BD274" s="3" t="e">
        <f>BD191-BC191</f>
        <v>#DIV/0!</v>
      </c>
      <c r="BE274" s="3" t="e">
        <f>BE191-BD191</f>
        <v>#DIV/0!</v>
      </c>
      <c r="BF274" s="3" t="e">
        <f>SUM(BB274:BE274)</f>
        <v>#DIV/0!</v>
      </c>
      <c r="BG274" s="3" t="e">
        <f>BG191-BF191</f>
        <v>#DIV/0!</v>
      </c>
      <c r="BH274" s="3" t="e">
        <f>BH191-BG191</f>
        <v>#DIV/0!</v>
      </c>
      <c r="BI274" s="3" t="e">
        <f>BI191-BH191</f>
        <v>#DIV/0!</v>
      </c>
      <c r="BJ274" s="3" t="e">
        <f>BJ191-BI191</f>
        <v>#DIV/0!</v>
      </c>
      <c r="BK274" s="3" t="e">
        <f>SUM(BG274:BJ274)</f>
        <v>#DIV/0!</v>
      </c>
      <c r="BL274" s="3" t="e">
        <f>BL191-BK191</f>
        <v>#DIV/0!</v>
      </c>
      <c r="BM274" s="3" t="e">
        <f>BM191-BL191</f>
        <v>#DIV/0!</v>
      </c>
      <c r="BN274" s="3" t="e">
        <f>BN191-BM191</f>
        <v>#DIV/0!</v>
      </c>
      <c r="BO274" s="3" t="e">
        <f>BO191-BN191</f>
        <v>#DIV/0!</v>
      </c>
      <c r="BP274" s="3" t="e">
        <f>SUM(BL274:BO274)</f>
        <v>#DIV/0!</v>
      </c>
      <c r="BQ274" s="3" t="e">
        <f>BQ191-BP191</f>
        <v>#DIV/0!</v>
      </c>
      <c r="BR274" s="3" t="e">
        <f>BR191-BQ191</f>
        <v>#DIV/0!</v>
      </c>
      <c r="BS274" s="3" t="e">
        <f>BS191-BR191</f>
        <v>#DIV/0!</v>
      </c>
      <c r="BT274" s="3" t="e">
        <f>BT191-BS191</f>
        <v>#DIV/0!</v>
      </c>
      <c r="BU274" s="3" t="e">
        <f>SUM(BQ274:BT274)</f>
        <v>#DIV/0!</v>
      </c>
      <c r="BV274" s="3" t="e">
        <f>BV191-BU191</f>
        <v>#DIV/0!</v>
      </c>
      <c r="BW274" s="3" t="e">
        <f>BW191-BV191</f>
        <v>#DIV/0!</v>
      </c>
      <c r="BX274" s="3" t="e">
        <f>BX191-BW191</f>
        <v>#DIV/0!</v>
      </c>
      <c r="BY274" s="3" t="e">
        <f>BY191-BX191</f>
        <v>#DIV/0!</v>
      </c>
      <c r="BZ274" s="3" t="e">
        <f>SUM(BV274:BY274)</f>
        <v>#DIV/0!</v>
      </c>
      <c r="CA274" s="3" t="e">
        <f>CA191-BZ191</f>
        <v>#DIV/0!</v>
      </c>
      <c r="CB274" s="3" t="e">
        <f>CB191-CA191</f>
        <v>#DIV/0!</v>
      </c>
      <c r="CC274" s="3" t="e">
        <f>CC191-CB191</f>
        <v>#DIV/0!</v>
      </c>
      <c r="CD274" s="3" t="e">
        <f>CD191-CC191</f>
        <v>#DIV/0!</v>
      </c>
      <c r="CE274" s="3" t="e">
        <f>SUM(CA274:CD274)</f>
        <v>#DIV/0!</v>
      </c>
      <c r="CF274" s="3" t="e">
        <f>CF191-CE191</f>
        <v>#DIV/0!</v>
      </c>
      <c r="CG274" s="3" t="e">
        <f>CG191-CF191</f>
        <v>#DIV/0!</v>
      </c>
      <c r="CH274" s="3" t="e">
        <f>CH191-CG191</f>
        <v>#DIV/0!</v>
      </c>
      <c r="CI274" s="3" t="e">
        <f>CI191-CH191</f>
        <v>#DIV/0!</v>
      </c>
      <c r="CJ274" s="3" t="e">
        <f>SUM(CF274:CI274)</f>
        <v>#DIV/0!</v>
      </c>
      <c r="CK274" s="3" t="e">
        <f>CK191-CJ191</f>
        <v>#DIV/0!</v>
      </c>
      <c r="CL274" s="3" t="e">
        <f>CL191-CK191</f>
        <v>#DIV/0!</v>
      </c>
      <c r="CM274" s="3" t="e">
        <f>CM191-CL191</f>
        <v>#DIV/0!</v>
      </c>
      <c r="CN274" s="3" t="e">
        <f>CN191-CM191</f>
        <v>#DIV/0!</v>
      </c>
      <c r="CO274" s="3" t="e">
        <f>SUM(CK274:CN274)</f>
        <v>#DIV/0!</v>
      </c>
      <c r="CP274" s="3" t="e">
        <f>CP191-CO191</f>
        <v>#DIV/0!</v>
      </c>
      <c r="CQ274" s="3" t="e">
        <f>CQ191-CP191</f>
        <v>#DIV/0!</v>
      </c>
      <c r="CR274" s="3" t="e">
        <f>CR191-CQ191</f>
        <v>#DIV/0!</v>
      </c>
      <c r="CS274" s="3" t="e">
        <f>CS191-CR191</f>
        <v>#DIV/0!</v>
      </c>
      <c r="CT274" s="3" t="e">
        <f>SUM(CP274:CS274)</f>
        <v>#DIV/0!</v>
      </c>
      <c r="CU274" s="3" t="e">
        <f>CU191-CT191</f>
        <v>#DIV/0!</v>
      </c>
      <c r="CV274" s="3" t="e">
        <f>CV191-CU191</f>
        <v>#DIV/0!</v>
      </c>
      <c r="CW274" s="3" t="e">
        <f>CW191-CV191</f>
        <v>#DIV/0!</v>
      </c>
      <c r="CX274" s="3" t="e">
        <f>CX191-CW191</f>
        <v>#DIV/0!</v>
      </c>
      <c r="CY274" s="3" t="e">
        <f>SUM(CU274:CX274)</f>
        <v>#DIV/0!</v>
      </c>
    </row>
    <row r="275" hidden="1" outlineLevel="1">
      <c r="C275" s="29" t="inlineStr">
        <is>
          <t>Other current liabilities (non-debt)</t>
        </is>
      </c>
      <c r="D275" s="3" t="n"/>
      <c r="E275" s="3">
        <f>E192-D192</f>
        <v>-805</v>
      </c>
      <c r="F275" s="3">
        <f>F192-E192</f>
        <v>-963</v>
      </c>
      <c r="G275" s="3">
        <f>G192-F192</f>
        <v>-804</v>
      </c>
      <c r="H275" s="3">
        <f>SUM(D275:G275)</f>
        <v>-2572</v>
      </c>
      <c r="I275" s="3">
        <f>I192-H192</f>
        <v>1914</v>
      </c>
      <c r="J275" s="3">
        <f>J192-I192</f>
        <v>-8248</v>
      </c>
      <c r="K275" s="3">
        <f>K192-J192</f>
        <v>-459</v>
      </c>
      <c r="L275" s="3">
        <f>L192-K192</f>
        <v>-3875</v>
      </c>
      <c r="M275" s="3">
        <f>SUM(I275:L275)</f>
        <v>-10668</v>
      </c>
      <c r="N275" s="3">
        <f>N192-M192</f>
        <v>2227</v>
      </c>
      <c r="O275" s="3">
        <f>O192-N192</f>
        <v>33300</v>
      </c>
      <c r="P275" s="3">
        <f>P192-O192</f>
        <v>3637</v>
      </c>
      <c r="Q275" s="3">
        <f>Q192-P192</f>
        <v>-1050</v>
      </c>
      <c r="R275" s="3">
        <f>SUM(N275:Q275)</f>
        <v>38114</v>
      </c>
      <c r="S275" s="3">
        <f>S192-R192</f>
        <v>2690</v>
      </c>
      <c r="T275" s="3">
        <f>T192-S192</f>
        <v>4370</v>
      </c>
      <c r="U275" s="3">
        <f>U192-T192</f>
        <v>1146</v>
      </c>
      <c r="V275" s="3">
        <f>V192-U192</f>
        <v>-2217</v>
      </c>
      <c r="W275" s="3">
        <f>SUM(S275:V275)</f>
        <v>5989</v>
      </c>
      <c r="X275" s="3">
        <f>X192-W192</f>
        <v>3127</v>
      </c>
      <c r="Y275" s="3">
        <f>Y192-X192</f>
        <v>4265</v>
      </c>
      <c r="Z275" s="3">
        <f>Z192-Y192</f>
        <v>1467</v>
      </c>
      <c r="AA275" s="3">
        <f>AA192-Z192</f>
        <v>-3088</v>
      </c>
      <c r="AB275" s="3">
        <f>SUM(X275:AA275)</f>
        <v>5771</v>
      </c>
      <c r="AC275" s="3">
        <f>AC192-AB192</f>
        <v>-1815</v>
      </c>
      <c r="AD275" s="3">
        <f>AD192-AC192</f>
        <v>1976</v>
      </c>
      <c r="AE275" s="3">
        <f>AE192-AD192</f>
        <v>-1698</v>
      </c>
      <c r="AF275" s="3">
        <f>AF192-AE192</f>
        <v>-3506</v>
      </c>
      <c r="AG275" s="3">
        <f>SUM(AC275:AF275)</f>
        <v>-5043</v>
      </c>
      <c r="AH275" s="3">
        <f>AH192-AG192</f>
        <v>1234</v>
      </c>
      <c r="AI275" s="3">
        <f>AI192-AH192</f>
        <v>-1447</v>
      </c>
      <c r="AJ275" s="3">
        <f>AJ192-AI192</f>
        <v>0</v>
      </c>
      <c r="AK275" s="3">
        <f>AK192-AJ192</f>
        <v>0</v>
      </c>
      <c r="AL275" s="3">
        <f>SUM(AH275:AK275)</f>
        <v>-213</v>
      </c>
      <c r="AM275" s="3">
        <f>AM192-AL192</f>
        <v>0</v>
      </c>
      <c r="AN275" s="3">
        <f>AN192-AM192</f>
        <v>0</v>
      </c>
      <c r="AO275" s="3">
        <f>AO192-AN192</f>
        <v>0</v>
      </c>
      <c r="AP275" s="3">
        <f>AP192-AO192</f>
        <v>0</v>
      </c>
      <c r="AQ275" s="3">
        <f>SUM(AM275:AP275)</f>
        <v>0</v>
      </c>
      <c r="AR275" s="3">
        <f>AR192-AQ192</f>
        <v>0</v>
      </c>
      <c r="AS275" s="3">
        <f>AS192-AR192</f>
        <v>0</v>
      </c>
      <c r="AT275" s="3">
        <f>AT192-AS192</f>
        <v>0</v>
      </c>
      <c r="AU275" s="3">
        <f>AU192-AT192</f>
        <v>0</v>
      </c>
      <c r="AV275" s="3">
        <f>SUM(AR275:AU275)</f>
        <v>0</v>
      </c>
      <c r="AW275" s="3">
        <f>AW192-AV192</f>
        <v>0</v>
      </c>
      <c r="AX275" s="3">
        <f>AX192-AW192</f>
        <v>0</v>
      </c>
      <c r="AY275" s="3">
        <f>AY192-AX192</f>
        <v>0</v>
      </c>
      <c r="AZ275" s="3">
        <f>AZ192-AY192</f>
        <v>0</v>
      </c>
      <c r="BA275" s="3">
        <f>SUM(AW275:AZ275)</f>
        <v>0</v>
      </c>
      <c r="BB275" s="3">
        <f>BB192-BA192</f>
        <v>0</v>
      </c>
      <c r="BC275" s="3">
        <f>BC192-BB192</f>
        <v>0</v>
      </c>
      <c r="BD275" s="3">
        <f>BD192-BC192</f>
        <v>0</v>
      </c>
      <c r="BE275" s="3">
        <f>BE192-BD192</f>
        <v>0</v>
      </c>
      <c r="BF275" s="3">
        <f>SUM(BB275:BE275)</f>
        <v>0</v>
      </c>
      <c r="BG275" s="3">
        <f>BG192-BF192</f>
        <v>0</v>
      </c>
      <c r="BH275" s="3">
        <f>BH192-BG192</f>
        <v>0</v>
      </c>
      <c r="BI275" s="3">
        <f>BI192-BH192</f>
        <v>0</v>
      </c>
      <c r="BJ275" s="3">
        <f>BJ192-BI192</f>
        <v>0</v>
      </c>
      <c r="BK275" s="3">
        <f>SUM(BG275:BJ275)</f>
        <v>0</v>
      </c>
      <c r="BL275" s="3">
        <f>BL192-BK192</f>
        <v>0</v>
      </c>
      <c r="BM275" s="3">
        <f>BM192-BL192</f>
        <v>0</v>
      </c>
      <c r="BN275" s="3">
        <f>BN192-BM192</f>
        <v>0</v>
      </c>
      <c r="BO275" s="3">
        <f>BO192-BN192</f>
        <v>0</v>
      </c>
      <c r="BP275" s="3">
        <f>SUM(BL275:BO275)</f>
        <v>0</v>
      </c>
      <c r="BQ275" s="3">
        <f>BQ192-BP192</f>
        <v>0</v>
      </c>
      <c r="BR275" s="3">
        <f>BR192-BQ192</f>
        <v>0</v>
      </c>
      <c r="BS275" s="3">
        <f>BS192-BR192</f>
        <v>0</v>
      </c>
      <c r="BT275" s="3">
        <f>BT192-BS192</f>
        <v>0</v>
      </c>
      <c r="BU275" s="3">
        <f>SUM(BQ275:BT275)</f>
        <v>0</v>
      </c>
      <c r="BV275" s="3">
        <f>BV192-BU192</f>
        <v>0</v>
      </c>
      <c r="BW275" s="3">
        <f>BW192-BV192</f>
        <v>0</v>
      </c>
      <c r="BX275" s="3">
        <f>BX192-BW192</f>
        <v>0</v>
      </c>
      <c r="BY275" s="3">
        <f>BY192-BX192</f>
        <v>0</v>
      </c>
      <c r="BZ275" s="3">
        <f>SUM(BV275:BY275)</f>
        <v>0</v>
      </c>
      <c r="CA275" s="3">
        <f>CA192-BZ192</f>
        <v>0</v>
      </c>
      <c r="CB275" s="3">
        <f>CB192-CA192</f>
        <v>0</v>
      </c>
      <c r="CC275" s="3">
        <f>CC192-CB192</f>
        <v>0</v>
      </c>
      <c r="CD275" s="3">
        <f>CD192-CC192</f>
        <v>0</v>
      </c>
      <c r="CE275" s="3">
        <f>SUM(CA275:CD275)</f>
        <v>0</v>
      </c>
      <c r="CF275" s="3">
        <f>CF192-CE192</f>
        <v>0</v>
      </c>
      <c r="CG275" s="3">
        <f>CG192-CF192</f>
        <v>0</v>
      </c>
      <c r="CH275" s="3">
        <f>CH192-CG192</f>
        <v>0</v>
      </c>
      <c r="CI275" s="3">
        <f>CI192-CH192</f>
        <v>0</v>
      </c>
      <c r="CJ275" s="3">
        <f>SUM(CF275:CI275)</f>
        <v>0</v>
      </c>
      <c r="CK275" s="3">
        <f>CK192-CJ192</f>
        <v>0</v>
      </c>
      <c r="CL275" s="3">
        <f>CL192-CK192</f>
        <v>0</v>
      </c>
      <c r="CM275" s="3">
        <f>CM192-CL192</f>
        <v>0</v>
      </c>
      <c r="CN275" s="3">
        <f>CN192-CM192</f>
        <v>0</v>
      </c>
      <c r="CO275" s="3">
        <f>SUM(CK275:CN275)</f>
        <v>0</v>
      </c>
      <c r="CP275" s="3">
        <f>CP192-CO192</f>
        <v>0</v>
      </c>
      <c r="CQ275" s="3">
        <f>CQ192-CP192</f>
        <v>0</v>
      </c>
      <c r="CR275" s="3">
        <f>CR192-CQ192</f>
        <v>0</v>
      </c>
      <c r="CS275" s="3">
        <f>CS192-CR192</f>
        <v>0</v>
      </c>
      <c r="CT275" s="3">
        <f>SUM(CP275:CS275)</f>
        <v>0</v>
      </c>
      <c r="CU275" s="3">
        <f>CU192-CT192</f>
        <v>0</v>
      </c>
      <c r="CV275" s="3">
        <f>CV192-CU192</f>
        <v>0</v>
      </c>
      <c r="CW275" s="3">
        <f>CW192-CV192</f>
        <v>0</v>
      </c>
      <c r="CX275" s="3">
        <f>CX192-CW192</f>
        <v>0</v>
      </c>
      <c r="CY275" s="3">
        <f>SUM(CU275:CX275)</f>
        <v>0</v>
      </c>
    </row>
    <row r="276" hidden="1" outlineLevel="1">
      <c r="C276" s="29" t="inlineStr">
        <is>
          <t>Deferred income taxes</t>
        </is>
      </c>
      <c r="D276" s="3" t="n"/>
      <c r="E276" s="3">
        <f>E226-D226</f>
        <v>4</v>
      </c>
      <c r="F276" s="3">
        <f>F226-E226</f>
        <v>40</v>
      </c>
      <c r="G276" s="3">
        <f>G226-F226</f>
        <v>13</v>
      </c>
      <c r="H276" s="3">
        <f>SUM(D276:G276)</f>
        <v>57</v>
      </c>
      <c r="I276" s="3">
        <f>I226-H226</f>
        <v>1</v>
      </c>
      <c r="J276" s="3">
        <f>J226-I226</f>
        <v>-18</v>
      </c>
      <c r="K276" s="3">
        <f>K226-J226</f>
        <v>61</v>
      </c>
      <c r="L276" s="3">
        <f>L226-K226</f>
        <v>-20</v>
      </c>
      <c r="M276" s="3">
        <f>SUM(I276:L276)</f>
        <v>24</v>
      </c>
      <c r="N276" s="3">
        <f>N226-M226</f>
        <v>28</v>
      </c>
      <c r="O276" s="3">
        <f>O226-N226</f>
        <v>-23</v>
      </c>
      <c r="P276" s="3">
        <f>P226-O226</f>
        <v>-66</v>
      </c>
      <c r="Q276" s="3">
        <f>Q226-P226</f>
        <v>24</v>
      </c>
      <c r="R276" s="3">
        <f>SUM(N276:Q276)</f>
        <v>-37</v>
      </c>
      <c r="S276" s="3">
        <f>S226-R226</f>
        <v>-8</v>
      </c>
      <c r="T276" s="3">
        <f>T226-S226</f>
        <v>-5</v>
      </c>
      <c r="U276" s="3">
        <f>U226-T226</f>
        <v>14</v>
      </c>
      <c r="V276" s="3">
        <f>V226-U226</f>
        <v>30</v>
      </c>
      <c r="W276" s="3">
        <f>SUM(S276:V276)</f>
        <v>31</v>
      </c>
      <c r="X276" s="3">
        <f>X226-W226</f>
        <v>-59</v>
      </c>
      <c r="Y276" s="3">
        <f>Y226-X226</f>
        <v>-10</v>
      </c>
      <c r="Z276" s="3">
        <f>Z226-Y226</f>
        <v>-3</v>
      </c>
      <c r="AA276" s="3">
        <f>AA226-Z226</f>
        <v>-30</v>
      </c>
      <c r="AB276" s="3">
        <f>SUM(X276:AA276)</f>
        <v>-102</v>
      </c>
      <c r="AC276" s="3">
        <f>AC226-AB226</f>
        <v>48</v>
      </c>
      <c r="AD276" s="3">
        <f>AD226-AC226</f>
        <v>-7</v>
      </c>
      <c r="AE276" s="3">
        <f>AE226-AD226</f>
        <v>-55</v>
      </c>
      <c r="AF276" s="3">
        <f>AF226-AE226</f>
        <v>0</v>
      </c>
      <c r="AG276" s="3">
        <f>SUM(AC276:AF276)</f>
        <v>-14</v>
      </c>
      <c r="AH276" s="3">
        <f>AH226-AG226</f>
        <v>-12</v>
      </c>
      <c r="AI276" s="3">
        <f>AI226-AH226</f>
        <v>-11</v>
      </c>
      <c r="AJ276" s="3">
        <f>AJ226-AI226</f>
        <v>0</v>
      </c>
      <c r="AK276" s="3">
        <f>AK226-AJ226</f>
        <v>0</v>
      </c>
      <c r="AL276" s="3">
        <f>SUM(AH276:AK276)</f>
        <v>-23</v>
      </c>
      <c r="AM276" s="3">
        <f>AM226-AL226</f>
        <v>0</v>
      </c>
      <c r="AN276" s="3">
        <f>AN226-AM226</f>
        <v>0</v>
      </c>
      <c r="AO276" s="3">
        <f>AO226-AN226</f>
        <v>0</v>
      </c>
      <c r="AP276" s="3">
        <f>AP226-AO226</f>
        <v>0</v>
      </c>
      <c r="AQ276" s="3">
        <f>SUM(AM276:AP276)</f>
        <v>0</v>
      </c>
      <c r="AR276" s="3">
        <f>AR226-AQ226</f>
        <v>0</v>
      </c>
      <c r="AS276" s="3">
        <f>AS226-AR226</f>
        <v>0</v>
      </c>
      <c r="AT276" s="3">
        <f>AT226-AS226</f>
        <v>0</v>
      </c>
      <c r="AU276" s="3">
        <f>AU226-AT226</f>
        <v>0</v>
      </c>
      <c r="AV276" s="3">
        <f>SUM(AR276:AU276)</f>
        <v>0</v>
      </c>
      <c r="AW276" s="3">
        <f>AW226-AV226</f>
        <v>0</v>
      </c>
      <c r="AX276" s="3">
        <f>AX226-AW226</f>
        <v>0</v>
      </c>
      <c r="AY276" s="3">
        <f>AY226-AX226</f>
        <v>0</v>
      </c>
      <c r="AZ276" s="3">
        <f>AZ226-AY226</f>
        <v>0</v>
      </c>
      <c r="BA276" s="3">
        <f>SUM(AW276:AZ276)</f>
        <v>0</v>
      </c>
      <c r="BB276" s="3">
        <f>BB226-BA226</f>
        <v>0</v>
      </c>
      <c r="BC276" s="3">
        <f>BC226-BB226</f>
        <v>0</v>
      </c>
      <c r="BD276" s="3">
        <f>BD226-BC226</f>
        <v>0</v>
      </c>
      <c r="BE276" s="3">
        <f>BE226-BD226</f>
        <v>0</v>
      </c>
      <c r="BF276" s="3">
        <f>SUM(BB276:BE276)</f>
        <v>0</v>
      </c>
      <c r="BG276" s="3">
        <f>BG226-BF226</f>
        <v>0</v>
      </c>
      <c r="BH276" s="3">
        <f>BH226-BG226</f>
        <v>0</v>
      </c>
      <c r="BI276" s="3">
        <f>BI226-BH226</f>
        <v>0</v>
      </c>
      <c r="BJ276" s="3">
        <f>BJ226-BI226</f>
        <v>0</v>
      </c>
      <c r="BK276" s="3">
        <f>SUM(BG276:BJ276)</f>
        <v>0</v>
      </c>
      <c r="BL276" s="3">
        <f>BL226-BK226</f>
        <v>0</v>
      </c>
      <c r="BM276" s="3">
        <f>BM226-BL226</f>
        <v>0</v>
      </c>
      <c r="BN276" s="3">
        <f>BN226-BM226</f>
        <v>0</v>
      </c>
      <c r="BO276" s="3">
        <f>BO226-BN226</f>
        <v>0</v>
      </c>
      <c r="BP276" s="3">
        <f>SUM(BL276:BO276)</f>
        <v>0</v>
      </c>
      <c r="BQ276" s="3">
        <f>BQ226-BP226</f>
        <v>0</v>
      </c>
      <c r="BR276" s="3">
        <f>BR226-BQ226</f>
        <v>0</v>
      </c>
      <c r="BS276" s="3">
        <f>BS226-BR226</f>
        <v>0</v>
      </c>
      <c r="BT276" s="3">
        <f>BT226-BS226</f>
        <v>0</v>
      </c>
      <c r="BU276" s="3">
        <f>SUM(BQ276:BT276)</f>
        <v>0</v>
      </c>
      <c r="BV276" s="3">
        <f>BV226-BU226</f>
        <v>0</v>
      </c>
      <c r="BW276" s="3">
        <f>BW226-BV226</f>
        <v>0</v>
      </c>
      <c r="BX276" s="3">
        <f>BX226-BW226</f>
        <v>0</v>
      </c>
      <c r="BY276" s="3">
        <f>BY226-BX226</f>
        <v>0</v>
      </c>
      <c r="BZ276" s="3">
        <f>SUM(BV276:BY276)</f>
        <v>0</v>
      </c>
      <c r="CA276" s="3">
        <f>CA226-BZ226</f>
        <v>0</v>
      </c>
      <c r="CB276" s="3">
        <f>CB226-CA226</f>
        <v>0</v>
      </c>
      <c r="CC276" s="3">
        <f>CC226-CB226</f>
        <v>0</v>
      </c>
      <c r="CD276" s="3">
        <f>CD226-CC226</f>
        <v>0</v>
      </c>
      <c r="CE276" s="3">
        <f>SUM(CA276:CD276)</f>
        <v>0</v>
      </c>
      <c r="CF276" s="3">
        <f>CF226-CE226</f>
        <v>0</v>
      </c>
      <c r="CG276" s="3">
        <f>CG226-CF226</f>
        <v>0</v>
      </c>
      <c r="CH276" s="3">
        <f>CH226-CG226</f>
        <v>0</v>
      </c>
      <c r="CI276" s="3">
        <f>CI226-CH226</f>
        <v>0</v>
      </c>
      <c r="CJ276" s="3">
        <f>SUM(CF276:CI276)</f>
        <v>0</v>
      </c>
      <c r="CK276" s="3">
        <f>CK226-CJ226</f>
        <v>0</v>
      </c>
      <c r="CL276" s="3">
        <f>CL226-CK226</f>
        <v>0</v>
      </c>
      <c r="CM276" s="3">
        <f>CM226-CL226</f>
        <v>0</v>
      </c>
      <c r="CN276" s="3">
        <f>CN226-CM226</f>
        <v>0</v>
      </c>
      <c r="CO276" s="3">
        <f>SUM(CK276:CN276)</f>
        <v>0</v>
      </c>
      <c r="CP276" s="3">
        <f>CP226-CO226</f>
        <v>0</v>
      </c>
      <c r="CQ276" s="3">
        <f>CQ226-CP226</f>
        <v>0</v>
      </c>
      <c r="CR276" s="3">
        <f>CR226-CQ226</f>
        <v>0</v>
      </c>
      <c r="CS276" s="3">
        <f>CS226-CR226</f>
        <v>0</v>
      </c>
      <c r="CT276" s="3">
        <f>SUM(CP276:CS276)</f>
        <v>0</v>
      </c>
      <c r="CU276" s="3">
        <f>CU226-CT226</f>
        <v>0</v>
      </c>
      <c r="CV276" s="3">
        <f>CV226-CU226</f>
        <v>0</v>
      </c>
      <c r="CW276" s="3">
        <f>CW226-CV226</f>
        <v>0</v>
      </c>
      <c r="CX276" s="3">
        <f>CX226-CW226</f>
        <v>0</v>
      </c>
      <c r="CY276" s="3">
        <f>SUM(CU276:CX276)</f>
        <v>0</v>
      </c>
    </row>
    <row r="277" collapsed="1">
      <c r="C277" s="29" t="inlineStr">
        <is>
          <t>Equity income in affiliates</t>
        </is>
      </c>
      <c r="D277" s="3" t="n"/>
      <c r="E277" s="3">
        <f>(E148-D148)*-1</f>
        <v>0</v>
      </c>
      <c r="F277" s="3">
        <f>(F148-E148)*-1</f>
        <v>0</v>
      </c>
      <c r="G277" s="3">
        <f>(G148-F148)*-1</f>
        <v>0</v>
      </c>
      <c r="H277" s="3">
        <f>SUM(D277:G277)</f>
        <v>0</v>
      </c>
      <c r="I277" s="3">
        <f>(I148-H148)*-1</f>
        <v>0</v>
      </c>
      <c r="J277" s="3">
        <f>(J148-I148)*-1</f>
        <v>0</v>
      </c>
      <c r="K277" s="3">
        <f>(K148-J148)*-1</f>
        <v>0</v>
      </c>
      <c r="L277" s="3">
        <f>(L148-K148)*-1</f>
        <v>0</v>
      </c>
      <c r="M277" s="3">
        <f>SUM(I277:L277)</f>
        <v>0</v>
      </c>
      <c r="N277" s="3">
        <f>(N148-M148)*-1</f>
        <v>0</v>
      </c>
      <c r="O277" s="3">
        <f>(O148-N148)*-1</f>
        <v>0</v>
      </c>
      <c r="P277" s="3">
        <f>(P148-O148)*-1</f>
        <v>0</v>
      </c>
      <c r="Q277" s="3">
        <f>(Q148-P148)*-1</f>
        <v>0</v>
      </c>
      <c r="R277" s="3">
        <f>SUM(N277:Q277)</f>
        <v>0</v>
      </c>
      <c r="S277" s="3">
        <f>(S148-R148)*-1</f>
        <v>0</v>
      </c>
      <c r="T277" s="3">
        <f>(T148-S148)*-1</f>
        <v>0</v>
      </c>
      <c r="U277" s="3">
        <f>(U148-T148)*-1</f>
        <v>0</v>
      </c>
      <c r="V277" s="3">
        <f>(V148-U148)*-1</f>
        <v>0</v>
      </c>
      <c r="W277" s="3">
        <f>SUM(S277:V277)</f>
        <v>0</v>
      </c>
      <c r="X277" s="3">
        <f>(X148-W148)*-1</f>
        <v>0</v>
      </c>
      <c r="Y277" s="3">
        <f>(Y148-X148)*-1</f>
        <v>0</v>
      </c>
      <c r="Z277" s="3">
        <f>(Z148-Y148)*-1</f>
        <v>0</v>
      </c>
      <c r="AA277" s="3">
        <f>(AA148-Z148)*-1</f>
        <v>0</v>
      </c>
      <c r="AB277" s="3">
        <f>SUM(X277:AA277)</f>
        <v>0</v>
      </c>
      <c r="AC277" s="3">
        <f>(AC148-AB148)*-1</f>
        <v>0</v>
      </c>
      <c r="AD277" s="3">
        <f>(AD148-AC148)*-1</f>
        <v>0</v>
      </c>
      <c r="AE277" s="3">
        <f>(AE148-AD148)*-1</f>
        <v>0</v>
      </c>
      <c r="AF277" s="3">
        <f>(AF148-AE148)*-1</f>
        <v>0</v>
      </c>
      <c r="AG277" s="3">
        <f>SUM(AC277:AF277)</f>
        <v>0</v>
      </c>
      <c r="AH277" s="3">
        <f>(AH148-AG148)*-1</f>
        <v>0</v>
      </c>
      <c r="AI277" s="3">
        <f>(AI148-AH148)*-1</f>
        <v>0</v>
      </c>
      <c r="AJ277" s="3">
        <f>(AJ148-AI148)*-1</f>
        <v>11</v>
      </c>
      <c r="AK277" s="3">
        <f>(AK148-AJ148)*-1</f>
        <v>-15</v>
      </c>
      <c r="AL277" s="3">
        <f>SUM(AH277:AK277)</f>
        <v>-4</v>
      </c>
      <c r="AM277" s="3">
        <f>(AM148-AL148)*-1</f>
        <v>5</v>
      </c>
      <c r="AN277" s="3">
        <f>(AN148-AM148)*-1</f>
        <v>-24</v>
      </c>
      <c r="AO277" s="3">
        <f>(AO148-AN148)*-1</f>
        <v>11</v>
      </c>
      <c r="AP277" s="3">
        <f>(AP148-AO148)*-1</f>
        <v>-15</v>
      </c>
      <c r="AQ277" s="3">
        <f>SUM(AM277:AP277)</f>
        <v>-23</v>
      </c>
      <c r="AR277" s="3">
        <f>(AR148-AQ148)*-1</f>
        <v>5</v>
      </c>
      <c r="AS277" s="3">
        <f>(AS148-AR148)*-1</f>
        <v>-24</v>
      </c>
      <c r="AT277" s="3">
        <f>(AT148-AS148)*-1</f>
        <v>11</v>
      </c>
      <c r="AU277" s="3">
        <f>(AU148-AT148)*-1</f>
        <v>-15</v>
      </c>
      <c r="AV277" s="3">
        <f>SUM(AR277:AU277)</f>
        <v>-23</v>
      </c>
      <c r="AW277" s="3">
        <f>(AW148-AV148)*-1</f>
        <v>5</v>
      </c>
      <c r="AX277" s="3">
        <f>(AX148-AW148)*-1</f>
        <v>-24</v>
      </c>
      <c r="AY277" s="3">
        <f>(AY148-AX148)*-1</f>
        <v>11</v>
      </c>
      <c r="AZ277" s="3">
        <f>(AZ148-AY148)*-1</f>
        <v>-15</v>
      </c>
      <c r="BA277" s="3">
        <f>SUM(AW277:AZ277)</f>
        <v>-23</v>
      </c>
      <c r="BB277" s="3">
        <f>(BB148-BA148)*-1</f>
        <v>5</v>
      </c>
      <c r="BC277" s="3">
        <f>(BC148-BB148)*-1</f>
        <v>-24</v>
      </c>
      <c r="BD277" s="3">
        <f>(BD148-BC148)*-1</f>
        <v>11</v>
      </c>
      <c r="BE277" s="3">
        <f>(BE148-BD148)*-1</f>
        <v>-15</v>
      </c>
      <c r="BF277" s="3">
        <f>SUM(BB277:BE277)</f>
        <v>-23</v>
      </c>
      <c r="BG277" s="3">
        <f>(BG148-BF148)*-1</f>
        <v>5</v>
      </c>
      <c r="BH277" s="3">
        <f>(BH148-BG148)*-1</f>
        <v>-24</v>
      </c>
      <c r="BI277" s="3">
        <f>(BI148-BH148)*-1</f>
        <v>11</v>
      </c>
      <c r="BJ277" s="3">
        <f>(BJ148-BI148)*-1</f>
        <v>-15</v>
      </c>
      <c r="BK277" s="3">
        <f>SUM(BG277:BJ277)</f>
        <v>-23</v>
      </c>
      <c r="BL277" s="3">
        <f>(BL148-BK148)*-1</f>
        <v>5</v>
      </c>
      <c r="BM277" s="3">
        <f>(BM148-BL148)*-1</f>
        <v>-24</v>
      </c>
      <c r="BN277" s="3">
        <f>(BN148-BM148)*-1</f>
        <v>11</v>
      </c>
      <c r="BO277" s="3">
        <f>(BO148-BN148)*-1</f>
        <v>-15</v>
      </c>
      <c r="BP277" s="3">
        <f>SUM(BL277:BO277)</f>
        <v>-23</v>
      </c>
      <c r="BQ277" s="3">
        <f>(BQ148-BP148)*-1</f>
        <v>5</v>
      </c>
      <c r="BR277" s="3">
        <f>(BR148-BQ148)*-1</f>
        <v>-24</v>
      </c>
      <c r="BS277" s="3">
        <f>(BS148-BR148)*-1</f>
        <v>11</v>
      </c>
      <c r="BT277" s="3">
        <f>(BT148-BS148)*-1</f>
        <v>-15</v>
      </c>
      <c r="BU277" s="3">
        <f>SUM(BQ277:BT277)</f>
        <v>-23</v>
      </c>
      <c r="BV277" s="3">
        <f>(BV148-BU148)*-1</f>
        <v>5</v>
      </c>
      <c r="BW277" s="3">
        <f>(BW148-BV148)*-1</f>
        <v>-24</v>
      </c>
      <c r="BX277" s="3">
        <f>(BX148-BW148)*-1</f>
        <v>11</v>
      </c>
      <c r="BY277" s="3">
        <f>(BY148-BX148)*-1</f>
        <v>-15</v>
      </c>
      <c r="BZ277" s="3">
        <f>SUM(BV277:BY277)</f>
        <v>-23</v>
      </c>
      <c r="CA277" s="3">
        <f>(CA148-BZ148)*-1</f>
        <v>5</v>
      </c>
      <c r="CB277" s="3">
        <f>(CB148-CA148)*-1</f>
        <v>-24</v>
      </c>
      <c r="CC277" s="3">
        <f>(CC148-CB148)*-1</f>
        <v>11</v>
      </c>
      <c r="CD277" s="3">
        <f>(CD148-CC148)*-1</f>
        <v>-15</v>
      </c>
      <c r="CE277" s="3">
        <f>SUM(CA277:CD277)</f>
        <v>-23</v>
      </c>
      <c r="CF277" s="3">
        <f>(CF148-CE148)*-1</f>
        <v>5</v>
      </c>
      <c r="CG277" s="3">
        <f>(CG148-CF148)*-1</f>
        <v>-24</v>
      </c>
      <c r="CH277" s="3">
        <f>(CH148-CG148)*-1</f>
        <v>11</v>
      </c>
      <c r="CI277" s="3">
        <f>(CI148-CH148)*-1</f>
        <v>-15</v>
      </c>
      <c r="CJ277" s="3">
        <f>SUM(CF277:CI277)</f>
        <v>-23</v>
      </c>
      <c r="CK277" s="3">
        <f>(CK148-CJ148)*-1</f>
        <v>5</v>
      </c>
      <c r="CL277" s="3">
        <f>(CL148-CK148)*-1</f>
        <v>-24</v>
      </c>
      <c r="CM277" s="3">
        <f>(CM148-CL148)*-1</f>
        <v>11</v>
      </c>
      <c r="CN277" s="3">
        <f>(CN148-CM148)*-1</f>
        <v>-15</v>
      </c>
      <c r="CO277" s="3">
        <f>SUM(CK277:CN277)</f>
        <v>-23</v>
      </c>
      <c r="CP277" s="3">
        <f>(CP148-CO148)*-1</f>
        <v>5</v>
      </c>
      <c r="CQ277" s="3">
        <f>(CQ148-CP148)*-1</f>
        <v>-24</v>
      </c>
      <c r="CR277" s="3">
        <f>(CR148-CQ148)*-1</f>
        <v>11</v>
      </c>
      <c r="CS277" s="3">
        <f>(CS148-CR148)*-1</f>
        <v>-15</v>
      </c>
      <c r="CT277" s="3">
        <f>SUM(CP277:CS277)</f>
        <v>-23</v>
      </c>
      <c r="CU277" s="3">
        <f>(CU148-CT148)*-1</f>
        <v>5</v>
      </c>
      <c r="CV277" s="3">
        <f>(CV148-CU148)*-1</f>
        <v>-24</v>
      </c>
      <c r="CW277" s="3">
        <f>(CW148-CV148)*-1</f>
        <v>11</v>
      </c>
      <c r="CX277" s="3">
        <f>(CX148-CW148)*-1</f>
        <v>-15</v>
      </c>
      <c r="CY277" s="3">
        <f>SUM(CU277:CX277)</f>
        <v>-23</v>
      </c>
    </row>
    <row r="278">
      <c r="C278" s="29" t="inlineStr">
        <is>
          <t>Dividends received from affiliates</t>
        </is>
      </c>
      <c r="D278" s="3" t="n"/>
      <c r="E278" s="3">
        <f>-E151</f>
        <v>0</v>
      </c>
      <c r="F278" s="3">
        <f>-F151</f>
        <v>0</v>
      </c>
      <c r="G278" s="3">
        <f>-G151</f>
        <v>0</v>
      </c>
      <c r="H278" s="3">
        <f>SUM(D278:G278)</f>
        <v>0</v>
      </c>
      <c r="I278" s="3">
        <f>-I151</f>
        <v>0</v>
      </c>
      <c r="J278" s="3">
        <f>-J151</f>
        <v>0</v>
      </c>
      <c r="K278" s="3">
        <f>-K151</f>
        <v>0</v>
      </c>
      <c r="L278" s="3">
        <f>-L151</f>
        <v>0</v>
      </c>
      <c r="M278" s="3">
        <f>SUM(I278:L278)</f>
        <v>0</v>
      </c>
      <c r="N278" s="3">
        <f>-N151</f>
        <v>0</v>
      </c>
      <c r="O278" s="3">
        <f>-O151</f>
        <v>0</v>
      </c>
      <c r="P278" s="3">
        <f>-P151</f>
        <v>0</v>
      </c>
      <c r="Q278" s="3">
        <f>-Q151</f>
        <v>0</v>
      </c>
      <c r="R278" s="3">
        <f>SUM(N278:Q278)</f>
        <v>0</v>
      </c>
      <c r="S278" s="3">
        <f>-S151</f>
        <v>0</v>
      </c>
      <c r="T278" s="3">
        <f>-T151</f>
        <v>0</v>
      </c>
      <c r="U278" s="3">
        <f>-U151</f>
        <v>0</v>
      </c>
      <c r="V278" s="3">
        <f>-V151</f>
        <v>0</v>
      </c>
      <c r="W278" s="3">
        <f>SUM(S278:V278)</f>
        <v>0</v>
      </c>
      <c r="X278" s="3">
        <f>-X151</f>
        <v>0</v>
      </c>
      <c r="Y278" s="3">
        <f>-Y151</f>
        <v>0</v>
      </c>
      <c r="Z278" s="3">
        <f>-Z151</f>
        <v>0</v>
      </c>
      <c r="AA278" s="3">
        <f>-AA151</f>
        <v>0</v>
      </c>
      <c r="AB278" s="3">
        <f>SUM(X278:AA278)</f>
        <v>0</v>
      </c>
      <c r="AC278" s="3">
        <f>-AC151</f>
        <v>0</v>
      </c>
      <c r="AD278" s="3">
        <f>-AD151</f>
        <v>0</v>
      </c>
      <c r="AE278" s="3">
        <f>-AE151</f>
        <v>0</v>
      </c>
      <c r="AF278" s="3">
        <f>-AF151</f>
        <v>0</v>
      </c>
      <c r="AG278" s="3">
        <f>SUM(AC278:AF278)</f>
        <v>0</v>
      </c>
      <c r="AH278" s="3">
        <f>-AH151</f>
        <v>0</v>
      </c>
      <c r="AI278" s="3">
        <f>-AI151</f>
        <v>0</v>
      </c>
      <c r="AJ278" s="3">
        <f>-AJ151</f>
        <v>0</v>
      </c>
      <c r="AK278" s="3">
        <f>-AK151</f>
        <v>0</v>
      </c>
      <c r="AL278" s="3">
        <f>SUM(AH278:AK278)</f>
        <v>0</v>
      </c>
      <c r="AM278" s="3">
        <f>-AM151</f>
        <v>0</v>
      </c>
      <c r="AN278" s="3">
        <f>-AN151</f>
        <v>0</v>
      </c>
      <c r="AO278" s="3">
        <f>-AO151</f>
        <v>0</v>
      </c>
      <c r="AP278" s="3">
        <f>-AP151</f>
        <v>0</v>
      </c>
      <c r="AQ278" s="3">
        <f>SUM(AM278:AP278)</f>
        <v>0</v>
      </c>
      <c r="AR278" s="3">
        <f>-AR151</f>
        <v>0</v>
      </c>
      <c r="AS278" s="3">
        <f>-AS151</f>
        <v>0</v>
      </c>
      <c r="AT278" s="3">
        <f>-AT151</f>
        <v>0</v>
      </c>
      <c r="AU278" s="3">
        <f>-AU151</f>
        <v>0</v>
      </c>
      <c r="AV278" s="3">
        <f>SUM(AR278:AU278)</f>
        <v>0</v>
      </c>
      <c r="AW278" s="3">
        <f>-AW151</f>
        <v>0</v>
      </c>
      <c r="AX278" s="3">
        <f>-AX151</f>
        <v>0</v>
      </c>
      <c r="AY278" s="3">
        <f>-AY151</f>
        <v>0</v>
      </c>
      <c r="AZ278" s="3">
        <f>-AZ151</f>
        <v>0</v>
      </c>
      <c r="BA278" s="3">
        <f>SUM(AW278:AZ278)</f>
        <v>0</v>
      </c>
      <c r="BB278" s="3">
        <f>-BB151</f>
        <v>0</v>
      </c>
      <c r="BC278" s="3">
        <f>-BC151</f>
        <v>0</v>
      </c>
      <c r="BD278" s="3">
        <f>-BD151</f>
        <v>0</v>
      </c>
      <c r="BE278" s="3">
        <f>-BE151</f>
        <v>0</v>
      </c>
      <c r="BF278" s="3">
        <f>SUM(BB278:BE278)</f>
        <v>0</v>
      </c>
      <c r="BG278" s="3">
        <f>-BG151</f>
        <v>0</v>
      </c>
      <c r="BH278" s="3">
        <f>-BH151</f>
        <v>0</v>
      </c>
      <c r="BI278" s="3">
        <f>-BI151</f>
        <v>0</v>
      </c>
      <c r="BJ278" s="3">
        <f>-BJ151</f>
        <v>0</v>
      </c>
      <c r="BK278" s="3">
        <f>SUM(BG278:BJ278)</f>
        <v>0</v>
      </c>
      <c r="BL278" s="3">
        <f>-BL151</f>
        <v>0</v>
      </c>
      <c r="BM278" s="3">
        <f>-BM151</f>
        <v>0</v>
      </c>
      <c r="BN278" s="3">
        <f>-BN151</f>
        <v>0</v>
      </c>
      <c r="BO278" s="3">
        <f>-BO151</f>
        <v>0</v>
      </c>
      <c r="BP278" s="3">
        <f>SUM(BL278:BO278)</f>
        <v>0</v>
      </c>
      <c r="BQ278" s="3">
        <f>-BQ151</f>
        <v>0</v>
      </c>
      <c r="BR278" s="3">
        <f>-BR151</f>
        <v>0</v>
      </c>
      <c r="BS278" s="3">
        <f>-BS151</f>
        <v>0</v>
      </c>
      <c r="BT278" s="3">
        <f>-BT151</f>
        <v>0</v>
      </c>
      <c r="BU278" s="3">
        <f>SUM(BQ278:BT278)</f>
        <v>0</v>
      </c>
      <c r="BV278" s="3">
        <f>-BV151</f>
        <v>0</v>
      </c>
      <c r="BW278" s="3">
        <f>-BW151</f>
        <v>0</v>
      </c>
      <c r="BX278" s="3">
        <f>-BX151</f>
        <v>0</v>
      </c>
      <c r="BY278" s="3">
        <f>-BY151</f>
        <v>0</v>
      </c>
      <c r="BZ278" s="3">
        <f>SUM(BV278:BY278)</f>
        <v>0</v>
      </c>
      <c r="CA278" s="3">
        <f>-CA151</f>
        <v>0</v>
      </c>
      <c r="CB278" s="3">
        <f>-CB151</f>
        <v>0</v>
      </c>
      <c r="CC278" s="3">
        <f>-CC151</f>
        <v>0</v>
      </c>
      <c r="CD278" s="3">
        <f>-CD151</f>
        <v>0</v>
      </c>
      <c r="CE278" s="3">
        <f>SUM(CA278:CD278)</f>
        <v>0</v>
      </c>
      <c r="CF278" s="3">
        <f>-CF151</f>
        <v>0</v>
      </c>
      <c r="CG278" s="3">
        <f>-CG151</f>
        <v>0</v>
      </c>
      <c r="CH278" s="3">
        <f>-CH151</f>
        <v>0</v>
      </c>
      <c r="CI278" s="3">
        <f>-CI151</f>
        <v>0</v>
      </c>
      <c r="CJ278" s="3">
        <f>SUM(CF278:CI278)</f>
        <v>0</v>
      </c>
      <c r="CK278" s="3">
        <f>-CK151</f>
        <v>0</v>
      </c>
      <c r="CL278" s="3">
        <f>-CL151</f>
        <v>0</v>
      </c>
      <c r="CM278" s="3">
        <f>-CM151</f>
        <v>0</v>
      </c>
      <c r="CN278" s="3">
        <f>-CN151</f>
        <v>0</v>
      </c>
      <c r="CO278" s="3">
        <f>SUM(CK278:CN278)</f>
        <v>0</v>
      </c>
      <c r="CP278" s="3">
        <f>-CP151</f>
        <v>0</v>
      </c>
      <c r="CQ278" s="3">
        <f>-CQ151</f>
        <v>0</v>
      </c>
      <c r="CR278" s="3">
        <f>-CR151</f>
        <v>0</v>
      </c>
      <c r="CS278" s="3">
        <f>-CS151</f>
        <v>0</v>
      </c>
      <c r="CT278" s="3">
        <f>SUM(CP278:CS278)</f>
        <v>0</v>
      </c>
      <c r="CU278" s="3">
        <f>-CU151</f>
        <v>0</v>
      </c>
      <c r="CV278" s="3">
        <f>-CV151</f>
        <v>0</v>
      </c>
      <c r="CW278" s="3">
        <f>-CW151</f>
        <v>0</v>
      </c>
      <c r="CX278" s="3">
        <f>-CX151</f>
        <v>0</v>
      </c>
      <c r="CY278" s="3">
        <f>SUM(CU278:CX278)</f>
        <v>0</v>
      </c>
    </row>
    <row r="279">
      <c r="C279" s="30" t="inlineStr">
        <is>
          <t>Minority interest expense</t>
        </is>
      </c>
      <c r="D279" s="3" t="n"/>
      <c r="E279" s="3">
        <f>-E123</f>
        <v>0</v>
      </c>
      <c r="F279" s="3">
        <f>-F123</f>
        <v>0</v>
      </c>
      <c r="G279" s="3">
        <f>-G123</f>
        <v>0</v>
      </c>
      <c r="H279" s="3">
        <f>SUM(D279:G279)</f>
        <v>0</v>
      </c>
      <c r="I279" s="3">
        <f>-I123</f>
        <v>1</v>
      </c>
      <c r="J279" s="3">
        <f>-J123</f>
        <v>1</v>
      </c>
      <c r="K279" s="3">
        <f>-K123</f>
        <v>0</v>
      </c>
      <c r="L279" s="3">
        <f>-L123</f>
        <v>1</v>
      </c>
      <c r="M279" s="3">
        <f>SUM(I279:L279)</f>
        <v>3</v>
      </c>
      <c r="N279" s="3">
        <f>-N123</f>
        <v>-1</v>
      </c>
      <c r="O279" s="3">
        <f>-O123</f>
        <v>1</v>
      </c>
      <c r="P279" s="3">
        <f>-P123</f>
        <v>-2</v>
      </c>
      <c r="Q279" s="3">
        <f>-Q123</f>
        <v>-2</v>
      </c>
      <c r="R279" s="3">
        <f>SUM(N279:Q279)</f>
        <v>-4</v>
      </c>
      <c r="S279" s="3">
        <f>-S123</f>
        <v>-1</v>
      </c>
      <c r="T279" s="3">
        <f>-T123</f>
        <v>-6</v>
      </c>
      <c r="U279" s="3">
        <f>-U123</f>
        <v>-1</v>
      </c>
      <c r="V279" s="3">
        <f>-V123</f>
        <v>-3</v>
      </c>
      <c r="W279" s="3">
        <f>SUM(S279:V279)</f>
        <v>-11</v>
      </c>
      <c r="X279" s="3">
        <f>-X123</f>
        <v>-2</v>
      </c>
      <c r="Y279" s="3">
        <f>-Y123</f>
        <v>-3</v>
      </c>
      <c r="Z279" s="3">
        <f>-Z123</f>
        <v>-3</v>
      </c>
      <c r="AA279" s="3">
        <f>-AA123</f>
        <v>-2</v>
      </c>
      <c r="AB279" s="3">
        <f>SUM(X279:AA279)</f>
        <v>-10</v>
      </c>
      <c r="AC279" s="3">
        <f>-AC123</f>
        <v>-3</v>
      </c>
      <c r="AD279" s="3">
        <f>-AD123</f>
        <v>-18</v>
      </c>
      <c r="AE279" s="3">
        <f>-AE123</f>
        <v>-5</v>
      </c>
      <c r="AF279" s="3">
        <f>-AF123</f>
        <v>-1</v>
      </c>
      <c r="AG279" s="3">
        <f>SUM(AC279:AF279)</f>
        <v>-27</v>
      </c>
      <c r="AH279" s="3">
        <f>-AH123</f>
        <v>-3</v>
      </c>
      <c r="AI279" s="3">
        <f>-AI123</f>
        <v>-2</v>
      </c>
      <c r="AJ279" s="3">
        <f>-AJ123</f>
        <v>-5</v>
      </c>
      <c r="AK279" s="3">
        <f>-AK123</f>
        <v>-1</v>
      </c>
      <c r="AL279" s="3">
        <f>SUM(AH279:AK279)</f>
        <v>-11</v>
      </c>
      <c r="AM279" s="3">
        <f>-AM123</f>
        <v>-3</v>
      </c>
      <c r="AN279" s="3">
        <f>-AN123</f>
        <v>-2</v>
      </c>
      <c r="AO279" s="3">
        <f>-AO123</f>
        <v>-5</v>
      </c>
      <c r="AP279" s="3">
        <f>-AP123</f>
        <v>-1</v>
      </c>
      <c r="AQ279" s="3">
        <f>SUM(AM279:AP279)</f>
        <v>-11</v>
      </c>
      <c r="AR279" s="3">
        <f>-AR123</f>
        <v>-3</v>
      </c>
      <c r="AS279" s="3">
        <f>-AS123</f>
        <v>-2</v>
      </c>
      <c r="AT279" s="3">
        <f>-AT123</f>
        <v>-5</v>
      </c>
      <c r="AU279" s="3">
        <f>-AU123</f>
        <v>-1</v>
      </c>
      <c r="AV279" s="3">
        <f>SUM(AR279:AU279)</f>
        <v>-11</v>
      </c>
      <c r="AW279" s="3">
        <f>-AW123</f>
        <v>-3</v>
      </c>
      <c r="AX279" s="3">
        <f>-AX123</f>
        <v>-2</v>
      </c>
      <c r="AY279" s="3">
        <f>-AY123</f>
        <v>-5</v>
      </c>
      <c r="AZ279" s="3">
        <f>-AZ123</f>
        <v>-1</v>
      </c>
      <c r="BA279" s="3">
        <f>SUM(AW279:AZ279)</f>
        <v>-11</v>
      </c>
      <c r="BB279" s="3">
        <f>-BB123</f>
        <v>-3</v>
      </c>
      <c r="BC279" s="3">
        <f>-BC123</f>
        <v>-2</v>
      </c>
      <c r="BD279" s="3">
        <f>-BD123</f>
        <v>-5</v>
      </c>
      <c r="BE279" s="3">
        <f>-BE123</f>
        <v>-1</v>
      </c>
      <c r="BF279" s="3">
        <f>SUM(BB279:BE279)</f>
        <v>-11</v>
      </c>
      <c r="BG279" s="3">
        <f>-BG123</f>
        <v>-3</v>
      </c>
      <c r="BH279" s="3">
        <f>-BH123</f>
        <v>-2</v>
      </c>
      <c r="BI279" s="3">
        <f>-BI123</f>
        <v>-5</v>
      </c>
      <c r="BJ279" s="3">
        <f>-BJ123</f>
        <v>-1</v>
      </c>
      <c r="BK279" s="3">
        <f>SUM(BG279:BJ279)</f>
        <v>-11</v>
      </c>
      <c r="BL279" s="3">
        <f>-BL123</f>
        <v>-3</v>
      </c>
      <c r="BM279" s="3">
        <f>-BM123</f>
        <v>-2</v>
      </c>
      <c r="BN279" s="3">
        <f>-BN123</f>
        <v>-5</v>
      </c>
      <c r="BO279" s="3">
        <f>-BO123</f>
        <v>-1</v>
      </c>
      <c r="BP279" s="3">
        <f>SUM(BL279:BO279)</f>
        <v>-11</v>
      </c>
      <c r="BQ279" s="3">
        <f>-BQ123</f>
        <v>-3</v>
      </c>
      <c r="BR279" s="3">
        <f>-BR123</f>
        <v>-2</v>
      </c>
      <c r="BS279" s="3">
        <f>-BS123</f>
        <v>-5</v>
      </c>
      <c r="BT279" s="3">
        <f>-BT123</f>
        <v>-1</v>
      </c>
      <c r="BU279" s="3">
        <f>SUM(BQ279:BT279)</f>
        <v>-11</v>
      </c>
      <c r="BV279" s="3">
        <f>-BV123</f>
        <v>-3</v>
      </c>
      <c r="BW279" s="3">
        <f>-BW123</f>
        <v>-2</v>
      </c>
      <c r="BX279" s="3">
        <f>-BX123</f>
        <v>-5</v>
      </c>
      <c r="BY279" s="3">
        <f>-BY123</f>
        <v>-1</v>
      </c>
      <c r="BZ279" s="3">
        <f>SUM(BV279:BY279)</f>
        <v>-11</v>
      </c>
      <c r="CA279" s="3">
        <f>-CA123</f>
        <v>-3</v>
      </c>
      <c r="CB279" s="3">
        <f>-CB123</f>
        <v>-2</v>
      </c>
      <c r="CC279" s="3">
        <f>-CC123</f>
        <v>-5</v>
      </c>
      <c r="CD279" s="3">
        <f>-CD123</f>
        <v>-1</v>
      </c>
      <c r="CE279" s="3">
        <f>SUM(CA279:CD279)</f>
        <v>-11</v>
      </c>
      <c r="CF279" s="3">
        <f>-CF123</f>
        <v>-3</v>
      </c>
      <c r="CG279" s="3">
        <f>-CG123</f>
        <v>-2</v>
      </c>
      <c r="CH279" s="3">
        <f>-CH123</f>
        <v>-5</v>
      </c>
      <c r="CI279" s="3">
        <f>-CI123</f>
        <v>-1</v>
      </c>
      <c r="CJ279" s="3">
        <f>SUM(CF279:CI279)</f>
        <v>-11</v>
      </c>
      <c r="CK279" s="3">
        <f>-CK123</f>
        <v>-3</v>
      </c>
      <c r="CL279" s="3">
        <f>-CL123</f>
        <v>-2</v>
      </c>
      <c r="CM279" s="3">
        <f>-CM123</f>
        <v>-5</v>
      </c>
      <c r="CN279" s="3">
        <f>-CN123</f>
        <v>-1</v>
      </c>
      <c r="CO279" s="3">
        <f>SUM(CK279:CN279)</f>
        <v>-11</v>
      </c>
      <c r="CP279" s="3">
        <f>-CP123</f>
        <v>-3</v>
      </c>
      <c r="CQ279" s="3">
        <f>-CQ123</f>
        <v>-2</v>
      </c>
      <c r="CR279" s="3">
        <f>-CR123</f>
        <v>-5</v>
      </c>
      <c r="CS279" s="3">
        <f>-CS123</f>
        <v>-1</v>
      </c>
      <c r="CT279" s="3">
        <f>SUM(CP279:CS279)</f>
        <v>-11</v>
      </c>
      <c r="CU279" s="3">
        <f>-CU123</f>
        <v>-3</v>
      </c>
      <c r="CV279" s="3">
        <f>-CV123</f>
        <v>-2</v>
      </c>
      <c r="CW279" s="3">
        <f>-CW123</f>
        <v>-5</v>
      </c>
      <c r="CX279" s="3">
        <f>-CX123</f>
        <v>-1</v>
      </c>
      <c r="CY279" s="3">
        <f>SUM(CU279:CX279)</f>
        <v>-11</v>
      </c>
    </row>
    <row r="280">
      <c r="C280" s="26" t="inlineStr">
        <is>
          <t>Cash from operations</t>
        </is>
      </c>
      <c r="D280" s="3" t="n"/>
      <c r="E280" s="3">
        <f>SUM(E264,E265,E266,E277,E278,E279)</f>
        <v>35</v>
      </c>
      <c r="F280" s="3">
        <f>SUM(F264,F265,F266,F277,F278,F279)</f>
        <v>1573</v>
      </c>
      <c r="G280" s="3">
        <f>SUM(G264,G265,G266,G277,G278,G279)</f>
        <v>530</v>
      </c>
      <c r="H280" s="3">
        <f>SUM(H264,H265,H266,H277,H278,H279)</f>
        <v>2138</v>
      </c>
      <c r="I280" s="3">
        <f>SUM(I264,I265,I266,I277,I278,I279)</f>
        <v>-4834</v>
      </c>
      <c r="J280" s="3">
        <f>SUM(J264,J265,J266,J277,J278,J279)</f>
        <v>-7540</v>
      </c>
      <c r="K280" s="3">
        <f>SUM(K264,K265,K266,K277,K278,K279)</f>
        <v>-1411</v>
      </c>
      <c r="L280" s="3">
        <f>SUM(L264,L265,L266,L277,L278,L279)</f>
        <v>-1715</v>
      </c>
      <c r="M280" s="3">
        <f>SUM(M264,M265,M266,M277,M278,M279)</f>
        <v>-15500</v>
      </c>
      <c r="N280" s="3">
        <f>SUM(N264,N265,N266,N277,N278,N279)</f>
        <v>483</v>
      </c>
      <c r="O280" s="3">
        <f>SUM(O264,O265,O266,O277,O278,O279)</f>
        <v>73503</v>
      </c>
      <c r="P280" s="3">
        <f>SUM(P264,P265,P266,P277,P278,P279)</f>
        <v>5712</v>
      </c>
      <c r="Q280" s="3">
        <f>SUM(Q264,Q265,Q266,Q277,Q278,Q279)</f>
        <v>-1321</v>
      </c>
      <c r="R280" s="3">
        <f>SUM(R264,R265,R266,R277,R278,R279)</f>
        <v>78377</v>
      </c>
      <c r="S280" s="3">
        <f>SUM(S264,S265,S266,S277,S278,S279)</f>
        <v>3287</v>
      </c>
      <c r="T280" s="3">
        <f>SUM(T264,T265,T266,T277,T278,T279)</f>
        <v>7826</v>
      </c>
      <c r="U280" s="3">
        <f>SUM(U264,U265,U266,U277,U278,U279)</f>
        <v>6742</v>
      </c>
      <c r="V280" s="3">
        <f>SUM(V264,V265,V266,V277,V278,V279)</f>
        <v>-379</v>
      </c>
      <c r="W280" s="3">
        <f>SUM(W264,W265,W266,W277,W278,W279)</f>
        <v>17476</v>
      </c>
      <c r="X280" s="3">
        <f>SUM(X264,X265,X266,X277,X278,X279)</f>
        <v>4474</v>
      </c>
      <c r="Y280" s="3">
        <f>SUM(Y264,Y265,Y266,Y277,Y278,Y279)</f>
        <v>5397</v>
      </c>
      <c r="Z280" s="3">
        <f>SUM(Z264,Z265,Z266,Z277,Z278,Z279)</f>
        <v>4897</v>
      </c>
      <c r="AA280" s="3">
        <f>SUM(AA264,AA265,AA266,AA277,AA278,AA279)</f>
        <v>-1752</v>
      </c>
      <c r="AB280" s="3">
        <f>SUM(AB264,AB265,AB266,AB277,AB278,AB279)</f>
        <v>13016</v>
      </c>
      <c r="AC280" s="3">
        <f>SUM(AC264,AC265,AC266,AC277,AC278,AC279)</f>
        <v>185</v>
      </c>
      <c r="AD280" s="3">
        <f>SUM(AD264,AD265,AD266,AD277,AD278,AD279)</f>
        <v>4040</v>
      </c>
      <c r="AE280" s="3">
        <f>SUM(AE264,AE265,AE266,AE277,AE278,AE279)</f>
        <v>858</v>
      </c>
      <c r="AF280" s="3">
        <f>SUM(AF264,AF265,AF266,AF277,AF278,AF279)</f>
        <v>-3913</v>
      </c>
      <c r="AG280" s="3">
        <f>SUM(AG264,AG265,AG266,AG277,AG278,AG279)</f>
        <v>1170</v>
      </c>
      <c r="AH280" s="3">
        <f>SUM(AH264,AH265,AH266,AH277,AH278,AH279)</f>
        <v>1880</v>
      </c>
      <c r="AI280" s="3">
        <f>SUM(AI264,AI265,AI266,AI277,AI278,AI279)</f>
        <v>1017</v>
      </c>
      <c r="AJ280" s="3">
        <f>SUM(AJ264,AJ265,AJ266,AJ277,AJ278,AJ279)</f>
        <v>10816</v>
      </c>
      <c r="AK280" s="3">
        <f>SUM(AK264,AK265,AK266,AK277,AK278,AK279)</f>
        <v>2592</v>
      </c>
      <c r="AL280" s="3">
        <f>SUM(AL264,AL265,AL266,AL277,AL278,AL279)</f>
        <v>16305</v>
      </c>
      <c r="AM280" s="3" t="e">
        <f>SUM(AM264,AM265,AM266,AM277,AM278,AM279)</f>
        <v>#DIV/0!</v>
      </c>
      <c r="AN280" s="3" t="e">
        <f>SUM(AN264,AN265,AN266,AN277,AN278,AN279)</f>
        <v>#DIV/0!</v>
      </c>
      <c r="AO280" s="3" t="e">
        <f>SUM(AO264,AO265,AO266,AO277,AO278,AO279)</f>
        <v>#DIV/0!</v>
      </c>
      <c r="AP280" s="3" t="e">
        <f>SUM(AP264,AP265,AP266,AP277,AP278,AP279)</f>
        <v>#DIV/0!</v>
      </c>
      <c r="AQ280" s="3" t="e">
        <f>SUM(AQ264,AQ265,AQ266,AQ277,AQ278,AQ279)</f>
        <v>#DIV/0!</v>
      </c>
      <c r="AR280" s="3" t="e">
        <f>SUM(AR264,AR265,AR266,AR277,AR278,AR279)</f>
        <v>#DIV/0!</v>
      </c>
      <c r="AS280" s="3" t="e">
        <f>SUM(AS264,AS265,AS266,AS277,AS278,AS279)</f>
        <v>#DIV/0!</v>
      </c>
      <c r="AT280" s="3" t="e">
        <f>SUM(AT264,AT265,AT266,AT277,AT278,AT279)</f>
        <v>#DIV/0!</v>
      </c>
      <c r="AU280" s="3" t="e">
        <f>SUM(AU264,AU265,AU266,AU277,AU278,AU279)</f>
        <v>#DIV/0!</v>
      </c>
      <c r="AV280" s="3" t="e">
        <f>SUM(AV264,AV265,AV266,AV277,AV278,AV279)</f>
        <v>#DIV/0!</v>
      </c>
      <c r="AW280" s="3" t="e">
        <f>SUM(AW264,AW265,AW266,AW277,AW278,AW279)</f>
        <v>#DIV/0!</v>
      </c>
      <c r="AX280" s="3" t="e">
        <f>SUM(AX264,AX265,AX266,AX277,AX278,AX279)</f>
        <v>#DIV/0!</v>
      </c>
      <c r="AY280" s="3" t="e">
        <f>SUM(AY264,AY265,AY266,AY277,AY278,AY279)</f>
        <v>#DIV/0!</v>
      </c>
      <c r="AZ280" s="3" t="e">
        <f>SUM(AZ264,AZ265,AZ266,AZ277,AZ278,AZ279)</f>
        <v>#DIV/0!</v>
      </c>
      <c r="BA280" s="3" t="e">
        <f>SUM(BA264,BA265,BA266,BA277,BA278,BA279)</f>
        <v>#DIV/0!</v>
      </c>
      <c r="BB280" s="3" t="e">
        <f>SUM(BB264,BB265,BB266,BB277,BB278,BB279)</f>
        <v>#DIV/0!</v>
      </c>
      <c r="BC280" s="3" t="e">
        <f>SUM(BC264,BC265,BC266,BC277,BC278,BC279)</f>
        <v>#DIV/0!</v>
      </c>
      <c r="BD280" s="3" t="e">
        <f>SUM(BD264,BD265,BD266,BD277,BD278,BD279)</f>
        <v>#DIV/0!</v>
      </c>
      <c r="BE280" s="3" t="e">
        <f>SUM(BE264,BE265,BE266,BE277,BE278,BE279)</f>
        <v>#DIV/0!</v>
      </c>
      <c r="BF280" s="3" t="e">
        <f>SUM(BF264,BF265,BF266,BF277,BF278,BF279)</f>
        <v>#DIV/0!</v>
      </c>
      <c r="BG280" s="3" t="e">
        <f>SUM(BG264,BG265,BG266,BG277,BG278,BG279)</f>
        <v>#DIV/0!</v>
      </c>
      <c r="BH280" s="3" t="e">
        <f>SUM(BH264,BH265,BH266,BH277,BH278,BH279)</f>
        <v>#DIV/0!</v>
      </c>
      <c r="BI280" s="3" t="e">
        <f>SUM(BI264,BI265,BI266,BI277,BI278,BI279)</f>
        <v>#DIV/0!</v>
      </c>
      <c r="BJ280" s="3" t="e">
        <f>SUM(BJ264,BJ265,BJ266,BJ277,BJ278,BJ279)</f>
        <v>#DIV/0!</v>
      </c>
      <c r="BK280" s="3" t="e">
        <f>SUM(BK264,BK265,BK266,BK277,BK278,BK279)</f>
        <v>#DIV/0!</v>
      </c>
      <c r="BL280" s="3" t="e">
        <f>SUM(BL264,BL265,BL266,BL277,BL278,BL279)</f>
        <v>#DIV/0!</v>
      </c>
      <c r="BM280" s="3" t="e">
        <f>SUM(BM264,BM265,BM266,BM277,BM278,BM279)</f>
        <v>#DIV/0!</v>
      </c>
      <c r="BN280" s="3" t="e">
        <f>SUM(BN264,BN265,BN266,BN277,BN278,BN279)</f>
        <v>#DIV/0!</v>
      </c>
      <c r="BO280" s="3" t="e">
        <f>SUM(BO264,BO265,BO266,BO277,BO278,BO279)</f>
        <v>#DIV/0!</v>
      </c>
      <c r="BP280" s="3" t="e">
        <f>SUM(BP264,BP265,BP266,BP277,BP278,BP279)</f>
        <v>#DIV/0!</v>
      </c>
      <c r="BQ280" s="3" t="e">
        <f>SUM(BQ264,BQ265,BQ266,BQ277,BQ278,BQ279)</f>
        <v>#DIV/0!</v>
      </c>
      <c r="BR280" s="3" t="e">
        <f>SUM(BR264,BR265,BR266,BR277,BR278,BR279)</f>
        <v>#DIV/0!</v>
      </c>
      <c r="BS280" s="3" t="e">
        <f>SUM(BS264,BS265,BS266,BS277,BS278,BS279)</f>
        <v>#DIV/0!</v>
      </c>
      <c r="BT280" s="3" t="e">
        <f>SUM(BT264,BT265,BT266,BT277,BT278,BT279)</f>
        <v>#DIV/0!</v>
      </c>
      <c r="BU280" s="3" t="e">
        <f>SUM(BU264,BU265,BU266,BU277,BU278,BU279)</f>
        <v>#DIV/0!</v>
      </c>
      <c r="BV280" s="3" t="e">
        <f>SUM(BV264,BV265,BV266,BV277,BV278,BV279)</f>
        <v>#DIV/0!</v>
      </c>
      <c r="BW280" s="3" t="e">
        <f>SUM(BW264,BW265,BW266,BW277,BW278,BW279)</f>
        <v>#DIV/0!</v>
      </c>
      <c r="BX280" s="3" t="e">
        <f>SUM(BX264,BX265,BX266,BX277,BX278,BX279)</f>
        <v>#DIV/0!</v>
      </c>
      <c r="BY280" s="3" t="e">
        <f>SUM(BY264,BY265,BY266,BY277,BY278,BY279)</f>
        <v>#DIV/0!</v>
      </c>
      <c r="BZ280" s="3" t="e">
        <f>SUM(BZ264,BZ265,BZ266,BZ277,BZ278,BZ279)</f>
        <v>#DIV/0!</v>
      </c>
      <c r="CA280" s="3" t="e">
        <f>SUM(CA264,CA265,CA266,CA277,CA278,CA279)</f>
        <v>#DIV/0!</v>
      </c>
      <c r="CB280" s="3" t="e">
        <f>SUM(CB264,CB265,CB266,CB277,CB278,CB279)</f>
        <v>#DIV/0!</v>
      </c>
      <c r="CC280" s="3" t="e">
        <f>SUM(CC264,CC265,CC266,CC277,CC278,CC279)</f>
        <v>#DIV/0!</v>
      </c>
      <c r="CD280" s="3" t="e">
        <f>SUM(CD264,CD265,CD266,CD277,CD278,CD279)</f>
        <v>#DIV/0!</v>
      </c>
      <c r="CE280" s="3" t="e">
        <f>SUM(CE264,CE265,CE266,CE277,CE278,CE279)</f>
        <v>#DIV/0!</v>
      </c>
      <c r="CF280" s="3" t="e">
        <f>SUM(CF264,CF265,CF266,CF277,CF278,CF279)</f>
        <v>#DIV/0!</v>
      </c>
      <c r="CG280" s="3" t="e">
        <f>SUM(CG264,CG265,CG266,CG277,CG278,CG279)</f>
        <v>#DIV/0!</v>
      </c>
      <c r="CH280" s="3" t="e">
        <f>SUM(CH264,CH265,CH266,CH277,CH278,CH279)</f>
        <v>#DIV/0!</v>
      </c>
      <c r="CI280" s="3" t="e">
        <f>SUM(CI264,CI265,CI266,CI277,CI278,CI279)</f>
        <v>#DIV/0!</v>
      </c>
      <c r="CJ280" s="3" t="e">
        <f>SUM(CJ264,CJ265,CJ266,CJ277,CJ278,CJ279)</f>
        <v>#DIV/0!</v>
      </c>
      <c r="CK280" s="3" t="e">
        <f>SUM(CK264,CK265,CK266,CK277,CK278,CK279)</f>
        <v>#DIV/0!</v>
      </c>
      <c r="CL280" s="3" t="e">
        <f>SUM(CL264,CL265,CL266,CL277,CL278,CL279)</f>
        <v>#DIV/0!</v>
      </c>
      <c r="CM280" s="3" t="e">
        <f>SUM(CM264,CM265,CM266,CM277,CM278,CM279)</f>
        <v>#DIV/0!</v>
      </c>
      <c r="CN280" s="3" t="e">
        <f>SUM(CN264,CN265,CN266,CN277,CN278,CN279)</f>
        <v>#DIV/0!</v>
      </c>
      <c r="CO280" s="3" t="e">
        <f>SUM(CO264,CO265,CO266,CO277,CO278,CO279)</f>
        <v>#DIV/0!</v>
      </c>
      <c r="CP280" s="3" t="e">
        <f>SUM(CP264,CP265,CP266,CP277,CP278,CP279)</f>
        <v>#DIV/0!</v>
      </c>
      <c r="CQ280" s="3" t="e">
        <f>SUM(CQ264,CQ265,CQ266,CQ277,CQ278,CQ279)</f>
        <v>#DIV/0!</v>
      </c>
      <c r="CR280" s="3" t="e">
        <f>SUM(CR264,CR265,CR266,CR277,CR278,CR279)</f>
        <v>#DIV/0!</v>
      </c>
      <c r="CS280" s="3" t="e">
        <f>SUM(CS264,CS265,CS266,CS277,CS278,CS279)</f>
        <v>#DIV/0!</v>
      </c>
      <c r="CT280" s="3" t="e">
        <f>SUM(CT264,CT265,CT266,CT277,CT278,CT279)</f>
        <v>#DIV/0!</v>
      </c>
      <c r="CU280" s="3" t="e">
        <f>SUM(CU264,CU265,CU266,CU277,CU278,CU279)</f>
        <v>#DIV/0!</v>
      </c>
      <c r="CV280" s="3" t="e">
        <f>SUM(CV264,CV265,CV266,CV277,CV278,CV279)</f>
        <v>#DIV/0!</v>
      </c>
      <c r="CW280" s="3" t="e">
        <f>SUM(CW264,CW265,CW266,CW277,CW278,CW279)</f>
        <v>#DIV/0!</v>
      </c>
      <c r="CX280" s="3" t="e">
        <f>SUM(CX264,CX265,CX266,CX277,CX278,CX279)</f>
        <v>#DIV/0!</v>
      </c>
      <c r="CY280" s="3" t="e">
        <f>SUM(CY264,CY265,CY266,CY277,CY278,CY279)</f>
        <v>#DIV/0!</v>
      </c>
    </row>
    <row r="281">
      <c r="C281" s="26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  <c r="CU281" s="3" t="n"/>
      <c r="CV281" s="3" t="n"/>
      <c r="CW281" s="3" t="n"/>
      <c r="CX281" s="3" t="n"/>
      <c r="CY281" s="3" t="n"/>
    </row>
    <row r="282">
      <c r="C282" s="29" t="inlineStr">
        <is>
          <t>Purchase of fixed assets (capital expenditures)</t>
        </is>
      </c>
      <c r="D282" s="3" t="n"/>
      <c r="E282" s="3">
        <f>-E155</f>
        <v>-616</v>
      </c>
      <c r="F282" s="3">
        <f>-F155</f>
        <v>-567</v>
      </c>
      <c r="G282" s="3">
        <f>-G155</f>
        <v>-462</v>
      </c>
      <c r="H282" s="3">
        <f>SUM(D282:G282)</f>
        <v>-1645</v>
      </c>
      <c r="I282" s="3">
        <f>-I155</f>
        <v>5225</v>
      </c>
      <c r="J282" s="3">
        <f>-J155</f>
        <v>-515</v>
      </c>
      <c r="K282" s="3">
        <f>-K155</f>
        <v>-481</v>
      </c>
      <c r="L282" s="3">
        <f>-L155</f>
        <v>-486</v>
      </c>
      <c r="M282" s="3">
        <f>SUM(I282:L282)</f>
        <v>3743</v>
      </c>
      <c r="N282" s="3">
        <f>-N155</f>
        <v>-447</v>
      </c>
      <c r="O282" s="3">
        <f>-O155</f>
        <v>-510</v>
      </c>
      <c r="P282" s="3">
        <f>-P155</f>
        <v>-452</v>
      </c>
      <c r="Q282" s="3">
        <f>-Q155</f>
        <v>-494</v>
      </c>
      <c r="R282" s="3">
        <f>SUM(N282:Q282)</f>
        <v>-1903</v>
      </c>
      <c r="S282" s="3">
        <f>-S155</f>
        <v>-501</v>
      </c>
      <c r="T282" s="3">
        <f>-T155</f>
        <v>-532</v>
      </c>
      <c r="U282" s="3">
        <f>-U155</f>
        <v>-477</v>
      </c>
      <c r="V282" s="3">
        <f>-V155</f>
        <v>-520</v>
      </c>
      <c r="W282" s="3">
        <f>SUM(S282:V282)</f>
        <v>-2030</v>
      </c>
      <c r="X282" s="3">
        <f>-X155</f>
        <v>-525</v>
      </c>
      <c r="Y282" s="3">
        <f>-Y155</f>
        <v>-553</v>
      </c>
      <c r="Z282" s="3">
        <f>-Z155</f>
        <v>-520</v>
      </c>
      <c r="AA282" s="3">
        <f>-AA155</f>
        <v>-549</v>
      </c>
      <c r="AB282" s="3">
        <f>SUM(X282:AA282)</f>
        <v>-2147</v>
      </c>
      <c r="AC282" s="3">
        <f>-AC155</f>
        <v>-555</v>
      </c>
      <c r="AD282" s="3">
        <f>-AD155</f>
        <v>-564</v>
      </c>
      <c r="AE282" s="3">
        <f>-AE155</f>
        <v>-561</v>
      </c>
      <c r="AF282" s="3">
        <f>-AF155</f>
        <v>-590</v>
      </c>
      <c r="AG282" s="3">
        <f>SUM(AC282:AF282)</f>
        <v>-2270</v>
      </c>
      <c r="AH282" s="3">
        <f>-AH155</f>
        <v>-594</v>
      </c>
      <c r="AI282" s="3">
        <f>-AI155</f>
        <v>-603</v>
      </c>
      <c r="AJ282" s="3">
        <f>-AJ155</f>
        <v>0</v>
      </c>
      <c r="AK282" s="3">
        <f>-AK155</f>
        <v>0</v>
      </c>
      <c r="AL282" s="3">
        <f>SUM(AH282:AK282)</f>
        <v>-1197</v>
      </c>
      <c r="AM282" s="3">
        <f>-AM155</f>
        <v>0</v>
      </c>
      <c r="AN282" s="3">
        <f>-AN155</f>
        <v>0</v>
      </c>
      <c r="AO282" s="3">
        <f>-AO155</f>
        <v>0</v>
      </c>
      <c r="AP282" s="3">
        <f>-AP155</f>
        <v>0</v>
      </c>
      <c r="AQ282" s="3">
        <f>SUM(AM282:AP282)</f>
        <v>0</v>
      </c>
      <c r="AR282" s="3">
        <f>-AR155</f>
        <v>0</v>
      </c>
      <c r="AS282" s="3">
        <f>-AS155</f>
        <v>0</v>
      </c>
      <c r="AT282" s="3">
        <f>-AT155</f>
        <v>0</v>
      </c>
      <c r="AU282" s="3">
        <f>-AU155</f>
        <v>0</v>
      </c>
      <c r="AV282" s="3">
        <f>SUM(AR282:AU282)</f>
        <v>0</v>
      </c>
      <c r="AW282" s="3">
        <f>-AW155</f>
        <v>0</v>
      </c>
      <c r="AX282" s="3">
        <f>-AX155</f>
        <v>0</v>
      </c>
      <c r="AY282" s="3">
        <f>-AY155</f>
        <v>0</v>
      </c>
      <c r="AZ282" s="3">
        <f>-AZ155</f>
        <v>0</v>
      </c>
      <c r="BA282" s="3">
        <f>SUM(AW282:AZ282)</f>
        <v>0</v>
      </c>
      <c r="BB282" s="3">
        <f>-BB155</f>
        <v>0</v>
      </c>
      <c r="BC282" s="3">
        <f>-BC155</f>
        <v>0</v>
      </c>
      <c r="BD282" s="3">
        <f>-BD155</f>
        <v>0</v>
      </c>
      <c r="BE282" s="3">
        <f>-BE155</f>
        <v>0</v>
      </c>
      <c r="BF282" s="3">
        <f>SUM(BB282:BE282)</f>
        <v>0</v>
      </c>
      <c r="BG282" s="3">
        <f>-BG155</f>
        <v>0</v>
      </c>
      <c r="BH282" s="3">
        <f>-BH155</f>
        <v>0</v>
      </c>
      <c r="BI282" s="3">
        <f>-BI155</f>
        <v>0</v>
      </c>
      <c r="BJ282" s="3">
        <f>-BJ155</f>
        <v>0</v>
      </c>
      <c r="BK282" s="3">
        <f>SUM(BG282:BJ282)</f>
        <v>0</v>
      </c>
      <c r="BL282" s="3">
        <f>-BL155</f>
        <v>0</v>
      </c>
      <c r="BM282" s="3">
        <f>-BM155</f>
        <v>0</v>
      </c>
      <c r="BN282" s="3">
        <f>-BN155</f>
        <v>0</v>
      </c>
      <c r="BO282" s="3">
        <f>-BO155</f>
        <v>0</v>
      </c>
      <c r="BP282" s="3">
        <f>SUM(BL282:BO282)</f>
        <v>0</v>
      </c>
      <c r="BQ282" s="3">
        <f>-BQ155</f>
        <v>0</v>
      </c>
      <c r="BR282" s="3">
        <f>-BR155</f>
        <v>0</v>
      </c>
      <c r="BS282" s="3">
        <f>-BS155</f>
        <v>0</v>
      </c>
      <c r="BT282" s="3">
        <f>-BT155</f>
        <v>0</v>
      </c>
      <c r="BU282" s="3">
        <f>SUM(BQ282:BT282)</f>
        <v>0</v>
      </c>
      <c r="BV282" s="3">
        <f>-BV155</f>
        <v>0</v>
      </c>
      <c r="BW282" s="3">
        <f>-BW155</f>
        <v>0</v>
      </c>
      <c r="BX282" s="3">
        <f>-BX155</f>
        <v>0</v>
      </c>
      <c r="BY282" s="3">
        <f>-BY155</f>
        <v>0</v>
      </c>
      <c r="BZ282" s="3">
        <f>SUM(BV282:BY282)</f>
        <v>0</v>
      </c>
      <c r="CA282" s="3">
        <f>-CA155</f>
        <v>0</v>
      </c>
      <c r="CB282" s="3">
        <f>-CB155</f>
        <v>0</v>
      </c>
      <c r="CC282" s="3">
        <f>-CC155</f>
        <v>0</v>
      </c>
      <c r="CD282" s="3">
        <f>-CD155</f>
        <v>0</v>
      </c>
      <c r="CE282" s="3">
        <f>SUM(CA282:CD282)</f>
        <v>0</v>
      </c>
      <c r="CF282" s="3">
        <f>-CF155</f>
        <v>0</v>
      </c>
      <c r="CG282" s="3">
        <f>-CG155</f>
        <v>0</v>
      </c>
      <c r="CH282" s="3">
        <f>-CH155</f>
        <v>0</v>
      </c>
      <c r="CI282" s="3">
        <f>-CI155</f>
        <v>0</v>
      </c>
      <c r="CJ282" s="3">
        <f>SUM(CF282:CI282)</f>
        <v>0</v>
      </c>
      <c r="CK282" s="3">
        <f>-CK155</f>
        <v>0</v>
      </c>
      <c r="CL282" s="3">
        <f>-CL155</f>
        <v>0</v>
      </c>
      <c r="CM282" s="3">
        <f>-CM155</f>
        <v>0</v>
      </c>
      <c r="CN282" s="3">
        <f>-CN155</f>
        <v>0</v>
      </c>
      <c r="CO282" s="3">
        <f>SUM(CK282:CN282)</f>
        <v>0</v>
      </c>
      <c r="CP282" s="3">
        <f>-CP155</f>
        <v>0</v>
      </c>
      <c r="CQ282" s="3">
        <f>-CQ155</f>
        <v>0</v>
      </c>
      <c r="CR282" s="3">
        <f>-CR155</f>
        <v>0</v>
      </c>
      <c r="CS282" s="3">
        <f>-CS155</f>
        <v>0</v>
      </c>
      <c r="CT282" s="3">
        <f>SUM(CP282:CS282)</f>
        <v>0</v>
      </c>
      <c r="CU282" s="3">
        <f>-CU155</f>
        <v>0</v>
      </c>
      <c r="CV282" s="3">
        <f>-CV155</f>
        <v>0</v>
      </c>
      <c r="CW282" s="3">
        <f>-CW155</f>
        <v>0</v>
      </c>
      <c r="CX282" s="3">
        <f>-CX155</f>
        <v>0</v>
      </c>
      <c r="CY282" s="3">
        <f>SUM(CU282:CX282)</f>
        <v>0</v>
      </c>
    </row>
    <row r="283">
      <c r="C283" s="29" t="inlineStr">
        <is>
          <t>Proceeds from sale of fixed assets</t>
        </is>
      </c>
      <c r="D283" s="3" t="n"/>
      <c r="E283" s="3">
        <f>-E156</f>
        <v>0</v>
      </c>
      <c r="F283" s="3">
        <f>-F156</f>
        <v>0</v>
      </c>
      <c r="G283" s="3">
        <f>-G156</f>
        <v>0</v>
      </c>
      <c r="H283" s="3">
        <f>SUM(D283:G283)</f>
        <v>0</v>
      </c>
      <c r="I283" s="3">
        <f>-I156</f>
        <v>0</v>
      </c>
      <c r="J283" s="3">
        <f>-J156</f>
        <v>0</v>
      </c>
      <c r="K283" s="3">
        <f>-K156</f>
        <v>0</v>
      </c>
      <c r="L283" s="3">
        <f>-L156</f>
        <v>0</v>
      </c>
      <c r="M283" s="3">
        <f>SUM(I283:L283)</f>
        <v>0</v>
      </c>
      <c r="N283" s="3">
        <f>-N156</f>
        <v>0</v>
      </c>
      <c r="O283" s="3">
        <f>-O156</f>
        <v>0</v>
      </c>
      <c r="P283" s="3">
        <f>-P156</f>
        <v>0</v>
      </c>
      <c r="Q283" s="3">
        <f>-Q156</f>
        <v>0</v>
      </c>
      <c r="R283" s="3">
        <f>SUM(N283:Q283)</f>
        <v>0</v>
      </c>
      <c r="S283" s="3">
        <f>-S156</f>
        <v>0</v>
      </c>
      <c r="T283" s="3">
        <f>-T156</f>
        <v>0</v>
      </c>
      <c r="U283" s="3">
        <f>-U156</f>
        <v>0</v>
      </c>
      <c r="V283" s="3">
        <f>-V156</f>
        <v>0</v>
      </c>
      <c r="W283" s="3">
        <f>SUM(S283:V283)</f>
        <v>0</v>
      </c>
      <c r="X283" s="3">
        <f>-X156</f>
        <v>0</v>
      </c>
      <c r="Y283" s="3">
        <f>-Y156</f>
        <v>0</v>
      </c>
      <c r="Z283" s="3">
        <f>-Z156</f>
        <v>0</v>
      </c>
      <c r="AA283" s="3">
        <f>-AA156</f>
        <v>0</v>
      </c>
      <c r="AB283" s="3">
        <f>SUM(X283:AA283)</f>
        <v>0</v>
      </c>
      <c r="AC283" s="3">
        <f>-AC156</f>
        <v>0</v>
      </c>
      <c r="AD283" s="3">
        <f>-AD156</f>
        <v>0</v>
      </c>
      <c r="AE283" s="3">
        <f>-AE156</f>
        <v>0</v>
      </c>
      <c r="AF283" s="3">
        <f>-AF156</f>
        <v>0</v>
      </c>
      <c r="AG283" s="3">
        <f>SUM(AC283:AF283)</f>
        <v>0</v>
      </c>
      <c r="AH283" s="3">
        <f>-AH156</f>
        <v>0</v>
      </c>
      <c r="AI283" s="3">
        <f>-AI156</f>
        <v>0</v>
      </c>
      <c r="AJ283" s="3">
        <f>-AJ156</f>
        <v>0</v>
      </c>
      <c r="AK283" s="3">
        <f>-AK156</f>
        <v>0</v>
      </c>
      <c r="AL283" s="3">
        <f>SUM(AH283:AK283)</f>
        <v>0</v>
      </c>
      <c r="AM283" s="3">
        <f>-AM156</f>
        <v>0</v>
      </c>
      <c r="AN283" s="3">
        <f>-AN156</f>
        <v>0</v>
      </c>
      <c r="AO283" s="3">
        <f>-AO156</f>
        <v>0</v>
      </c>
      <c r="AP283" s="3">
        <f>-AP156</f>
        <v>0</v>
      </c>
      <c r="AQ283" s="3">
        <f>SUM(AM283:AP283)</f>
        <v>0</v>
      </c>
      <c r="AR283" s="3">
        <f>-AR156</f>
        <v>0</v>
      </c>
      <c r="AS283" s="3">
        <f>-AS156</f>
        <v>0</v>
      </c>
      <c r="AT283" s="3">
        <f>-AT156</f>
        <v>0</v>
      </c>
      <c r="AU283" s="3">
        <f>-AU156</f>
        <v>0</v>
      </c>
      <c r="AV283" s="3">
        <f>SUM(AR283:AU283)</f>
        <v>0</v>
      </c>
      <c r="AW283" s="3">
        <f>-AW156</f>
        <v>0</v>
      </c>
      <c r="AX283" s="3">
        <f>-AX156</f>
        <v>0</v>
      </c>
      <c r="AY283" s="3">
        <f>-AY156</f>
        <v>0</v>
      </c>
      <c r="AZ283" s="3">
        <f>-AZ156</f>
        <v>0</v>
      </c>
      <c r="BA283" s="3">
        <f>SUM(AW283:AZ283)</f>
        <v>0</v>
      </c>
      <c r="BB283" s="3">
        <f>-BB156</f>
        <v>0</v>
      </c>
      <c r="BC283" s="3">
        <f>-BC156</f>
        <v>0</v>
      </c>
      <c r="BD283" s="3">
        <f>-BD156</f>
        <v>0</v>
      </c>
      <c r="BE283" s="3">
        <f>-BE156</f>
        <v>0</v>
      </c>
      <c r="BF283" s="3">
        <f>SUM(BB283:BE283)</f>
        <v>0</v>
      </c>
      <c r="BG283" s="3">
        <f>-BG156</f>
        <v>0</v>
      </c>
      <c r="BH283" s="3">
        <f>-BH156</f>
        <v>0</v>
      </c>
      <c r="BI283" s="3">
        <f>-BI156</f>
        <v>0</v>
      </c>
      <c r="BJ283" s="3">
        <f>-BJ156</f>
        <v>0</v>
      </c>
      <c r="BK283" s="3">
        <f>SUM(BG283:BJ283)</f>
        <v>0</v>
      </c>
      <c r="BL283" s="3">
        <f>-BL156</f>
        <v>0</v>
      </c>
      <c r="BM283" s="3">
        <f>-BM156</f>
        <v>0</v>
      </c>
      <c r="BN283" s="3">
        <f>-BN156</f>
        <v>0</v>
      </c>
      <c r="BO283" s="3">
        <f>-BO156</f>
        <v>0</v>
      </c>
      <c r="BP283" s="3">
        <f>SUM(BL283:BO283)</f>
        <v>0</v>
      </c>
      <c r="BQ283" s="3">
        <f>-BQ156</f>
        <v>0</v>
      </c>
      <c r="BR283" s="3">
        <f>-BR156</f>
        <v>0</v>
      </c>
      <c r="BS283" s="3">
        <f>-BS156</f>
        <v>0</v>
      </c>
      <c r="BT283" s="3">
        <f>-BT156</f>
        <v>0</v>
      </c>
      <c r="BU283" s="3">
        <f>SUM(BQ283:BT283)</f>
        <v>0</v>
      </c>
      <c r="BV283" s="3">
        <f>-BV156</f>
        <v>0</v>
      </c>
      <c r="BW283" s="3">
        <f>-BW156</f>
        <v>0</v>
      </c>
      <c r="BX283" s="3">
        <f>-BX156</f>
        <v>0</v>
      </c>
      <c r="BY283" s="3">
        <f>-BY156</f>
        <v>0</v>
      </c>
      <c r="BZ283" s="3">
        <f>SUM(BV283:BY283)</f>
        <v>0</v>
      </c>
      <c r="CA283" s="3">
        <f>-CA156</f>
        <v>0</v>
      </c>
      <c r="CB283" s="3">
        <f>-CB156</f>
        <v>0</v>
      </c>
      <c r="CC283" s="3">
        <f>-CC156</f>
        <v>0</v>
      </c>
      <c r="CD283" s="3">
        <f>-CD156</f>
        <v>0</v>
      </c>
      <c r="CE283" s="3">
        <f>SUM(CA283:CD283)</f>
        <v>0</v>
      </c>
      <c r="CF283" s="3">
        <f>-CF156</f>
        <v>0</v>
      </c>
      <c r="CG283" s="3">
        <f>-CG156</f>
        <v>0</v>
      </c>
      <c r="CH283" s="3">
        <f>-CH156</f>
        <v>0</v>
      </c>
      <c r="CI283" s="3">
        <f>-CI156</f>
        <v>0</v>
      </c>
      <c r="CJ283" s="3">
        <f>SUM(CF283:CI283)</f>
        <v>0</v>
      </c>
      <c r="CK283" s="3">
        <f>-CK156</f>
        <v>0</v>
      </c>
      <c r="CL283" s="3">
        <f>-CL156</f>
        <v>0</v>
      </c>
      <c r="CM283" s="3">
        <f>-CM156</f>
        <v>0</v>
      </c>
      <c r="CN283" s="3">
        <f>-CN156</f>
        <v>0</v>
      </c>
      <c r="CO283" s="3">
        <f>SUM(CK283:CN283)</f>
        <v>0</v>
      </c>
      <c r="CP283" s="3">
        <f>-CP156</f>
        <v>0</v>
      </c>
      <c r="CQ283" s="3">
        <f>-CQ156</f>
        <v>0</v>
      </c>
      <c r="CR283" s="3">
        <f>-CR156</f>
        <v>0</v>
      </c>
      <c r="CS283" s="3">
        <f>-CS156</f>
        <v>0</v>
      </c>
      <c r="CT283" s="3">
        <f>SUM(CP283:CS283)</f>
        <v>0</v>
      </c>
      <c r="CU283" s="3">
        <f>-CU156</f>
        <v>0</v>
      </c>
      <c r="CV283" s="3">
        <f>-CV156</f>
        <v>0</v>
      </c>
      <c r="CW283" s="3">
        <f>-CW156</f>
        <v>0</v>
      </c>
      <c r="CX283" s="3">
        <f>-CX156</f>
        <v>0</v>
      </c>
      <c r="CY283" s="3">
        <f>SUM(CU283:CX283)</f>
        <v>0</v>
      </c>
    </row>
    <row r="284">
      <c r="C284" s="29" t="inlineStr">
        <is>
          <t>Var.Right-of-use-assets</t>
        </is>
      </c>
      <c r="D284" s="3" t="n"/>
      <c r="E284" s="3">
        <f>(E163-D163)*-1</f>
        <v>0</v>
      </c>
      <c r="F284" s="3">
        <f>(F163-E163)*-1</f>
        <v>0</v>
      </c>
      <c r="G284" s="3">
        <f>(G163-F163)*-1</f>
        <v>0</v>
      </c>
      <c r="H284" s="3">
        <f>SUM(D284:G284)</f>
        <v>0</v>
      </c>
      <c r="I284" s="3">
        <f>(I163-H163)*-1</f>
        <v>0</v>
      </c>
      <c r="J284" s="3">
        <f>(J163-I163)*-1</f>
        <v>0</v>
      </c>
      <c r="K284" s="3">
        <f>(K163-J163)*-1</f>
        <v>0</v>
      </c>
      <c r="L284" s="3">
        <f>(L163-K163)*-1</f>
        <v>0</v>
      </c>
      <c r="M284" s="3">
        <f>SUM(I284:L284)</f>
        <v>0</v>
      </c>
      <c r="N284" s="3">
        <f>(N163-M163)*-1</f>
        <v>0</v>
      </c>
      <c r="O284" s="3">
        <f>(O163-N163)*-1</f>
        <v>0</v>
      </c>
      <c r="P284" s="3">
        <f>(P163-O163)*-1</f>
        <v>0</v>
      </c>
      <c r="Q284" s="3">
        <f>(Q163-P163)*-1</f>
        <v>0</v>
      </c>
      <c r="R284" s="3">
        <f>SUM(N284:Q284)</f>
        <v>0</v>
      </c>
      <c r="S284" s="3">
        <f>(S163-R163)*-1</f>
        <v>0</v>
      </c>
      <c r="T284" s="3">
        <f>(T163-S163)*-1</f>
        <v>0</v>
      </c>
      <c r="U284" s="3">
        <f>(U163-T163)*-1</f>
        <v>0</v>
      </c>
      <c r="V284" s="3">
        <f>(V163-U163)*-1</f>
        <v>0</v>
      </c>
      <c r="W284" s="3">
        <f>SUM(S284:V284)</f>
        <v>0</v>
      </c>
      <c r="X284" s="3">
        <f>(X163-W163)*-1</f>
        <v>0</v>
      </c>
      <c r="Y284" s="3">
        <f>(Y163-X163)*-1</f>
        <v>0</v>
      </c>
      <c r="Z284" s="3">
        <f>(Z163-Y163)*-1</f>
        <v>0</v>
      </c>
      <c r="AA284" s="3">
        <f>(AA163-Z163)*-1</f>
        <v>0</v>
      </c>
      <c r="AB284" s="3">
        <f>SUM(X284:AA284)</f>
        <v>0</v>
      </c>
      <c r="AC284" s="3">
        <f>(AC163-AB163)*-1</f>
        <v>0</v>
      </c>
      <c r="AD284" s="3">
        <f>(AD163-AC163)*-1</f>
        <v>0</v>
      </c>
      <c r="AE284" s="3">
        <f>(AE163-AD163)*-1</f>
        <v>0</v>
      </c>
      <c r="AF284" s="3">
        <f>(AF163-AE163)*-1</f>
        <v>0</v>
      </c>
      <c r="AG284" s="3">
        <f>SUM(AC284:AF284)</f>
        <v>0</v>
      </c>
      <c r="AH284" s="3">
        <f>(AH163-AG163)*-1</f>
        <v>0</v>
      </c>
      <c r="AI284" s="3">
        <f>(AI163-AH163)*-1</f>
        <v>0</v>
      </c>
      <c r="AJ284" s="3">
        <f>(AJ163-AI163)*-1</f>
        <v>0</v>
      </c>
      <c r="AK284" s="3">
        <f>(AK163-AJ163)*-1</f>
        <v>0</v>
      </c>
      <c r="AL284" s="3">
        <f>SUM(AH284:AK284)</f>
        <v>0</v>
      </c>
      <c r="AM284" s="3">
        <f>(AM163-AL163)*-1</f>
        <v>0</v>
      </c>
      <c r="AN284" s="3">
        <f>(AN163-AM163)*-1</f>
        <v>0</v>
      </c>
      <c r="AO284" s="3">
        <f>(AO163-AN163)*-1</f>
        <v>0</v>
      </c>
      <c r="AP284" s="3">
        <f>(AP163-AO163)*-1</f>
        <v>0</v>
      </c>
      <c r="AQ284" s="3">
        <f>SUM(AM284:AP284)</f>
        <v>0</v>
      </c>
      <c r="AR284" s="3">
        <f>(AR163-AQ163)*-1</f>
        <v>0</v>
      </c>
      <c r="AS284" s="3">
        <f>(AS163-AR163)*-1</f>
        <v>0</v>
      </c>
      <c r="AT284" s="3">
        <f>(AT163-AS163)*-1</f>
        <v>0</v>
      </c>
      <c r="AU284" s="3">
        <f>(AU163-AT163)*-1</f>
        <v>0</v>
      </c>
      <c r="AV284" s="3">
        <f>SUM(AR284:AU284)</f>
        <v>0</v>
      </c>
      <c r="AW284" s="3">
        <f>(AW163-AV163)*-1</f>
        <v>0</v>
      </c>
      <c r="AX284" s="3">
        <f>(AX163-AW163)*-1</f>
        <v>0</v>
      </c>
      <c r="AY284" s="3">
        <f>(AY163-AX163)*-1</f>
        <v>0</v>
      </c>
      <c r="AZ284" s="3">
        <f>(AZ163-AY163)*-1</f>
        <v>0</v>
      </c>
      <c r="BA284" s="3">
        <f>SUM(AW284:AZ284)</f>
        <v>0</v>
      </c>
      <c r="BB284" s="3">
        <f>(BB163-BA163)*-1</f>
        <v>0</v>
      </c>
      <c r="BC284" s="3">
        <f>(BC163-BB163)*-1</f>
        <v>0</v>
      </c>
      <c r="BD284" s="3">
        <f>(BD163-BC163)*-1</f>
        <v>0</v>
      </c>
      <c r="BE284" s="3">
        <f>(BE163-BD163)*-1</f>
        <v>0</v>
      </c>
      <c r="BF284" s="3">
        <f>SUM(BB284:BE284)</f>
        <v>0</v>
      </c>
      <c r="BG284" s="3">
        <f>(BG163-BF163)*-1</f>
        <v>0</v>
      </c>
      <c r="BH284" s="3">
        <f>(BH163-BG163)*-1</f>
        <v>0</v>
      </c>
      <c r="BI284" s="3">
        <f>(BI163-BH163)*-1</f>
        <v>0</v>
      </c>
      <c r="BJ284" s="3">
        <f>(BJ163-BI163)*-1</f>
        <v>0</v>
      </c>
      <c r="BK284" s="3">
        <f>SUM(BG284:BJ284)</f>
        <v>0</v>
      </c>
      <c r="BL284" s="3">
        <f>(BL163-BK163)*-1</f>
        <v>0</v>
      </c>
      <c r="BM284" s="3">
        <f>(BM163-BL163)*-1</f>
        <v>0</v>
      </c>
      <c r="BN284" s="3">
        <f>(BN163-BM163)*-1</f>
        <v>0</v>
      </c>
      <c r="BO284" s="3">
        <f>(BO163-BN163)*-1</f>
        <v>0</v>
      </c>
      <c r="BP284" s="3">
        <f>SUM(BL284:BO284)</f>
        <v>0</v>
      </c>
      <c r="BQ284" s="3">
        <f>(BQ163-BP163)*-1</f>
        <v>0</v>
      </c>
      <c r="BR284" s="3">
        <f>(BR163-BQ163)*-1</f>
        <v>0</v>
      </c>
      <c r="BS284" s="3">
        <f>(BS163-BR163)*-1</f>
        <v>0</v>
      </c>
      <c r="BT284" s="3">
        <f>(BT163-BS163)*-1</f>
        <v>0</v>
      </c>
      <c r="BU284" s="3">
        <f>SUM(BQ284:BT284)</f>
        <v>0</v>
      </c>
      <c r="BV284" s="3">
        <f>(BV163-BU163)*-1</f>
        <v>0</v>
      </c>
      <c r="BW284" s="3">
        <f>(BW163-BV163)*-1</f>
        <v>0</v>
      </c>
      <c r="BX284" s="3">
        <f>(BX163-BW163)*-1</f>
        <v>0</v>
      </c>
      <c r="BY284" s="3">
        <f>(BY163-BX163)*-1</f>
        <v>0</v>
      </c>
      <c r="BZ284" s="3">
        <f>SUM(BV284:BY284)</f>
        <v>0</v>
      </c>
      <c r="CA284" s="3">
        <f>(CA163-BZ163)*-1</f>
        <v>0</v>
      </c>
      <c r="CB284" s="3">
        <f>(CB163-CA163)*-1</f>
        <v>0</v>
      </c>
      <c r="CC284" s="3">
        <f>(CC163-CB163)*-1</f>
        <v>0</v>
      </c>
      <c r="CD284" s="3">
        <f>(CD163-CC163)*-1</f>
        <v>0</v>
      </c>
      <c r="CE284" s="3">
        <f>SUM(CA284:CD284)</f>
        <v>0</v>
      </c>
      <c r="CF284" s="3">
        <f>(CF163-CE163)*-1</f>
        <v>0</v>
      </c>
      <c r="CG284" s="3">
        <f>(CG163-CF163)*-1</f>
        <v>0</v>
      </c>
      <c r="CH284" s="3">
        <f>(CH163-CG163)*-1</f>
        <v>0</v>
      </c>
      <c r="CI284" s="3">
        <f>(CI163-CH163)*-1</f>
        <v>0</v>
      </c>
      <c r="CJ284" s="3">
        <f>SUM(CF284:CI284)</f>
        <v>0</v>
      </c>
      <c r="CK284" s="3">
        <f>(CK163-CJ163)*-1</f>
        <v>0</v>
      </c>
      <c r="CL284" s="3">
        <f>(CL163-CK163)*-1</f>
        <v>0</v>
      </c>
      <c r="CM284" s="3">
        <f>(CM163-CL163)*-1</f>
        <v>0</v>
      </c>
      <c r="CN284" s="3">
        <f>(CN163-CM163)*-1</f>
        <v>0</v>
      </c>
      <c r="CO284" s="3">
        <f>SUM(CK284:CN284)</f>
        <v>0</v>
      </c>
      <c r="CP284" s="3">
        <f>(CP163-CO163)*-1</f>
        <v>0</v>
      </c>
      <c r="CQ284" s="3">
        <f>(CQ163-CP163)*-1</f>
        <v>0</v>
      </c>
      <c r="CR284" s="3">
        <f>(CR163-CQ163)*-1</f>
        <v>0</v>
      </c>
      <c r="CS284" s="3">
        <f>(CS163-CR163)*-1</f>
        <v>0</v>
      </c>
      <c r="CT284" s="3">
        <f>SUM(CP284:CS284)</f>
        <v>0</v>
      </c>
      <c r="CU284" s="3">
        <f>(CU163-CT163)*-1</f>
        <v>0</v>
      </c>
      <c r="CV284" s="3">
        <f>(CV163-CU163)*-1</f>
        <v>0</v>
      </c>
      <c r="CW284" s="3">
        <f>(CW163-CV163)*-1</f>
        <v>0</v>
      </c>
      <c r="CX284" s="3">
        <f>(CX163-CW163)*-1</f>
        <v>0</v>
      </c>
      <c r="CY284" s="3">
        <f>SUM(CU284:CX284)</f>
        <v>0</v>
      </c>
      <c r="CZ284" s="3" t="n"/>
      <c r="DA284" s="3" t="n"/>
      <c r="DB284" s="3" t="n"/>
      <c r="DC284" s="3" t="n"/>
    </row>
    <row r="285">
      <c r="C285" s="29" t="inlineStr">
        <is>
          <t>Purchases of intangible assets</t>
        </is>
      </c>
      <c r="D285" s="3" t="n"/>
      <c r="E285" s="3">
        <f>((E167-D167)*-1)+((E166-D166)*-1)</f>
        <v>-57</v>
      </c>
      <c r="F285" s="3">
        <f>((F167-E167)*-1)+((F166-E166)*-1)</f>
        <v>-123</v>
      </c>
      <c r="G285" s="3">
        <f>((G167-F167)*-1)+((G166-F166)*-1)</f>
        <v>-128</v>
      </c>
      <c r="H285" s="3">
        <f>SUM(D285:G285)</f>
        <v>-308</v>
      </c>
      <c r="I285" s="3">
        <f>((I167-H167)*-1)+((I166-H166)*-1)</f>
        <v>36</v>
      </c>
      <c r="J285" s="3">
        <f>((J167-I167)*-1)+((J166-I166)*-1)</f>
        <v>85</v>
      </c>
      <c r="K285" s="3">
        <f>((K167-J167)*-1)+((K166-J166)*-1)</f>
        <v>-151</v>
      </c>
      <c r="L285" s="3">
        <f>((L167-K167)*-1)+((L166-K166)*-1)</f>
        <v>165</v>
      </c>
      <c r="M285" s="3">
        <f>SUM(I285:L285)</f>
        <v>135</v>
      </c>
      <c r="N285" s="3">
        <f>((N167-M167)*-1)+((N166-M166)*-1)</f>
        <v>-763</v>
      </c>
      <c r="O285" s="3">
        <f>((O167-N167)*-1)+((O166-N166)*-1)</f>
        <v>129</v>
      </c>
      <c r="P285" s="3">
        <f>((P167-O167)*-1)+((P166-O166)*-1)</f>
        <v>130</v>
      </c>
      <c r="Q285" s="3">
        <f>((Q167-P167)*-1)+((Q166-P166)*-1)</f>
        <v>-241</v>
      </c>
      <c r="R285" s="3">
        <f>SUM(N285:Q285)</f>
        <v>-745</v>
      </c>
      <c r="S285" s="3">
        <f>((S167-R167)*-1)+((S166-R166)*-1)</f>
        <v>-39</v>
      </c>
      <c r="T285" s="3">
        <f>((T167-S167)*-1)+((T166-S166)*-1)</f>
        <v>-8</v>
      </c>
      <c r="U285" s="3">
        <f>((U167-T167)*-1)+((U166-T166)*-1)</f>
        <v>160</v>
      </c>
      <c r="V285" s="3">
        <f>((V167-U167)*-1)+((V166-U166)*-1)</f>
        <v>-45</v>
      </c>
      <c r="W285" s="3">
        <f>SUM(S285:V285)</f>
        <v>68</v>
      </c>
      <c r="X285" s="3">
        <f>((X167-W167)*-1)+((X166-W166)*-1)</f>
        <v>78</v>
      </c>
      <c r="Y285" s="3">
        <f>((Y167-X167)*-1)+((Y166-X166)*-1)</f>
        <v>10</v>
      </c>
      <c r="Z285" s="3">
        <f>((Z167-Y167)*-1)+((Z166-Y166)*-1)</f>
        <v>32</v>
      </c>
      <c r="AA285" s="3">
        <f>((AA167-Z167)*-1)+((AA166-Z166)*-1)</f>
        <v>149</v>
      </c>
      <c r="AB285" s="3">
        <f>SUM(X285:AA285)</f>
        <v>269</v>
      </c>
      <c r="AC285" s="3">
        <f>((AC167-AB167)*-1)+((AC166-AB166)*-1)</f>
        <v>-249</v>
      </c>
      <c r="AD285" s="3">
        <f>((AD167-AC167)*-1)+((AD166-AC166)*-1)</f>
        <v>-77</v>
      </c>
      <c r="AE285" s="3">
        <f>((AE167-AD167)*-1)+((AE166-AD166)*-1)</f>
        <v>55</v>
      </c>
      <c r="AF285" s="3">
        <f>((AF167-AE167)*-1)+((AF166-AE166)*-1)</f>
        <v>-80</v>
      </c>
      <c r="AG285" s="3">
        <f>SUM(AC285:AF285)</f>
        <v>-351</v>
      </c>
      <c r="AH285" s="3">
        <f>((AH167-AG167)*-1)+((AH166-AG166)*-1)</f>
        <v>-328</v>
      </c>
      <c r="AI285" s="3">
        <f>((AI167-AH167)*-1)+((AI166-AH166)*-1)</f>
        <v>82</v>
      </c>
      <c r="AJ285" s="3">
        <f>((AJ167-AI167)*-1)+((AJ166-AI166)*-1)</f>
        <v>940</v>
      </c>
      <c r="AK285" s="3">
        <f>((AK167-AJ167)*-1)+((AK166-AJ166)*-1)</f>
        <v>0</v>
      </c>
      <c r="AL285" s="3">
        <f>SUM(AH285:AK285)</f>
        <v>694</v>
      </c>
      <c r="AM285" s="3">
        <f>((AM167-AL167)*-1)+((AM166-AL166)*-1)</f>
        <v>0</v>
      </c>
      <c r="AN285" s="3">
        <f>((AN167-AM167)*-1)+((AN166-AM166)*-1)</f>
        <v>0</v>
      </c>
      <c r="AO285" s="3">
        <f>((AO167-AN167)*-1)+((AO166-AN166)*-1)</f>
        <v>0</v>
      </c>
      <c r="AP285" s="3">
        <f>((AP167-AO167)*-1)+((AP166-AO166)*-1)</f>
        <v>0</v>
      </c>
      <c r="AQ285" s="3">
        <f>SUM(AM285:AP285)</f>
        <v>0</v>
      </c>
      <c r="AR285" s="3">
        <f>((AR167-AQ167)*-1)+((AR166-AQ166)*-1)</f>
        <v>0</v>
      </c>
      <c r="AS285" s="3">
        <f>((AS167-AR167)*-1)+((AS166-AR166)*-1)</f>
        <v>0</v>
      </c>
      <c r="AT285" s="3">
        <f>((AT167-AS167)*-1)+((AT166-AS166)*-1)</f>
        <v>0</v>
      </c>
      <c r="AU285" s="3">
        <f>((AU167-AT167)*-1)+((AU166-AT166)*-1)</f>
        <v>0</v>
      </c>
      <c r="AV285" s="3">
        <f>SUM(AR285:AU285)</f>
        <v>0</v>
      </c>
      <c r="AW285" s="3">
        <f>((AW167-AV167)*-1)+((AW166-AV166)*-1)</f>
        <v>0</v>
      </c>
      <c r="AX285" s="3">
        <f>((AX167-AW167)*-1)+((AX166-AW166)*-1)</f>
        <v>0</v>
      </c>
      <c r="AY285" s="3">
        <f>((AY167-AX167)*-1)+((AY166-AX166)*-1)</f>
        <v>0</v>
      </c>
      <c r="AZ285" s="3">
        <f>((AZ167-AY167)*-1)+((AZ166-AY166)*-1)</f>
        <v>0</v>
      </c>
      <c r="BA285" s="3">
        <f>SUM(AW285:AZ285)</f>
        <v>0</v>
      </c>
      <c r="BB285" s="3">
        <f>((BB167-BA167)*-1)+((BB166-BA166)*-1)</f>
        <v>0</v>
      </c>
      <c r="BC285" s="3">
        <f>((BC167-BB167)*-1)+((BC166-BB166)*-1)</f>
        <v>0</v>
      </c>
      <c r="BD285" s="3">
        <f>((BD167-BC167)*-1)+((BD166-BC166)*-1)</f>
        <v>0</v>
      </c>
      <c r="BE285" s="3">
        <f>((BE167-BD167)*-1)+((BE166-BD166)*-1)</f>
        <v>0</v>
      </c>
      <c r="BF285" s="3">
        <f>SUM(BB285:BE285)</f>
        <v>0</v>
      </c>
      <c r="BG285" s="3">
        <f>((BG167-BF167)*-1)+((BG166-BF166)*-1)</f>
        <v>0</v>
      </c>
      <c r="BH285" s="3">
        <f>((BH167-BG167)*-1)+((BH166-BG166)*-1)</f>
        <v>0</v>
      </c>
      <c r="BI285" s="3">
        <f>((BI167-BH167)*-1)+((BI166-BH166)*-1)</f>
        <v>0</v>
      </c>
      <c r="BJ285" s="3">
        <f>((BJ167-BI167)*-1)+((BJ166-BI166)*-1)</f>
        <v>0</v>
      </c>
      <c r="BK285" s="3">
        <f>SUM(BG285:BJ285)</f>
        <v>0</v>
      </c>
      <c r="BL285" s="3">
        <f>((BL167-BK167)*-1)+((BL166-BK166)*-1)</f>
        <v>0</v>
      </c>
      <c r="BM285" s="3">
        <f>((BM167-BL167)*-1)+((BM166-BL166)*-1)</f>
        <v>0</v>
      </c>
      <c r="BN285" s="3">
        <f>((BN167-BM167)*-1)+((BN166-BM166)*-1)</f>
        <v>0</v>
      </c>
      <c r="BO285" s="3">
        <f>((BO167-BN167)*-1)+((BO166-BN166)*-1)</f>
        <v>0</v>
      </c>
      <c r="BP285" s="3">
        <f>SUM(BL285:BO285)</f>
        <v>0</v>
      </c>
      <c r="BQ285" s="3">
        <f>((BQ167-BP167)*-1)+((BQ166-BP166)*-1)</f>
        <v>0</v>
      </c>
      <c r="BR285" s="3">
        <f>((BR167-BQ167)*-1)+((BR166-BQ166)*-1)</f>
        <v>0</v>
      </c>
      <c r="BS285" s="3">
        <f>((BS167-BR167)*-1)+((BS166-BR166)*-1)</f>
        <v>0</v>
      </c>
      <c r="BT285" s="3">
        <f>((BT167-BS167)*-1)+((BT166-BS166)*-1)</f>
        <v>0</v>
      </c>
      <c r="BU285" s="3">
        <f>SUM(BQ285:BT285)</f>
        <v>0</v>
      </c>
      <c r="BV285" s="3">
        <f>((BV167-BU167)*-1)+((BV166-BU166)*-1)</f>
        <v>0</v>
      </c>
      <c r="BW285" s="3">
        <f>((BW167-BV167)*-1)+((BW166-BV166)*-1)</f>
        <v>0</v>
      </c>
      <c r="BX285" s="3">
        <f>((BX167-BW167)*-1)+((BX166-BW166)*-1)</f>
        <v>0</v>
      </c>
      <c r="BY285" s="3">
        <f>((BY167-BX167)*-1)+((BY166-BX166)*-1)</f>
        <v>0</v>
      </c>
      <c r="BZ285" s="3">
        <f>SUM(BV285:BY285)</f>
        <v>0</v>
      </c>
      <c r="CA285" s="3">
        <f>((CA167-BZ167)*-1)+((CA166-BZ166)*-1)</f>
        <v>0</v>
      </c>
      <c r="CB285" s="3">
        <f>((CB167-CA167)*-1)+((CB166-CA166)*-1)</f>
        <v>0</v>
      </c>
      <c r="CC285" s="3">
        <f>((CC167-CB167)*-1)+((CC166-CB166)*-1)</f>
        <v>0</v>
      </c>
      <c r="CD285" s="3">
        <f>((CD167-CC167)*-1)+((CD166-CC166)*-1)</f>
        <v>0</v>
      </c>
      <c r="CE285" s="3">
        <f>SUM(CA285:CD285)</f>
        <v>0</v>
      </c>
      <c r="CF285" s="3">
        <f>((CF167-CE167)*-1)+((CF166-CE166)*-1)</f>
        <v>0</v>
      </c>
      <c r="CG285" s="3">
        <f>((CG167-CF167)*-1)+((CG166-CF166)*-1)</f>
        <v>0</v>
      </c>
      <c r="CH285" s="3">
        <f>((CH167-CG167)*-1)+((CH166-CG166)*-1)</f>
        <v>0</v>
      </c>
      <c r="CI285" s="3">
        <f>((CI167-CH167)*-1)+((CI166-CH166)*-1)</f>
        <v>0</v>
      </c>
      <c r="CJ285" s="3">
        <f>SUM(CF285:CI285)</f>
        <v>0</v>
      </c>
      <c r="CK285" s="3">
        <f>((CK167-CJ167)*-1)+((CK166-CJ166)*-1)</f>
        <v>0</v>
      </c>
      <c r="CL285" s="3">
        <f>((CL167-CK167)*-1)+((CL166-CK166)*-1)</f>
        <v>0</v>
      </c>
      <c r="CM285" s="3">
        <f>((CM167-CL167)*-1)+((CM166-CL166)*-1)</f>
        <v>0</v>
      </c>
      <c r="CN285" s="3">
        <f>((CN167-CM167)*-1)+((CN166-CM166)*-1)</f>
        <v>0</v>
      </c>
      <c r="CO285" s="3">
        <f>SUM(CK285:CN285)</f>
        <v>0</v>
      </c>
      <c r="CP285" s="3">
        <f>((CP167-CO167)*-1)+((CP166-CO166)*-1)</f>
        <v>0</v>
      </c>
      <c r="CQ285" s="3">
        <f>((CQ167-CP167)*-1)+((CQ166-CP166)*-1)</f>
        <v>0</v>
      </c>
      <c r="CR285" s="3">
        <f>((CR167-CQ167)*-1)+((CR166-CQ166)*-1)</f>
        <v>0</v>
      </c>
      <c r="CS285" s="3">
        <f>((CS167-CR167)*-1)+((CS166-CR166)*-1)</f>
        <v>0</v>
      </c>
      <c r="CT285" s="3">
        <f>SUM(CP285:CS285)</f>
        <v>0</v>
      </c>
      <c r="CU285" s="3">
        <f>((CU167-CT167)*-1)+((CU166-CT166)*-1)</f>
        <v>0</v>
      </c>
      <c r="CV285" s="3">
        <f>((CV167-CU167)*-1)+((CV166-CU166)*-1)</f>
        <v>0</v>
      </c>
      <c r="CW285" s="3">
        <f>((CW167-CV167)*-1)+((CW166-CV166)*-1)</f>
        <v>0</v>
      </c>
      <c r="CX285" s="3">
        <f>((CX167-CW167)*-1)+((CX166-CW166)*-1)</f>
        <v>0</v>
      </c>
      <c r="CY285" s="3">
        <f>SUM(CU285:CX285)</f>
        <v>0</v>
      </c>
      <c r="CZ285" s="3" t="n"/>
      <c r="DA285" s="3" t="n"/>
      <c r="DB285" s="3" t="n"/>
      <c r="DC285" s="3" t="n"/>
    </row>
    <row r="286">
      <c r="C286" s="30" t="inlineStr">
        <is>
          <t>Purchases/Proceeds from other long-term assets</t>
        </is>
      </c>
      <c r="D286" s="3" t="n"/>
      <c r="E286" s="3">
        <f>((E176-D176)*-1)+(E227-D227)</f>
        <v>0</v>
      </c>
      <c r="F286" s="3">
        <f>((F176-E176)*-1)+(F227-E227)</f>
        <v>0</v>
      </c>
      <c r="G286" s="3">
        <f>((G176-F176)*-1)+(G227-F227)</f>
        <v>0</v>
      </c>
      <c r="H286" s="3">
        <f>SUM(D286:G286)</f>
        <v>0</v>
      </c>
      <c r="I286" s="3">
        <f>((I176-H176)*-1)+(I227-H227)</f>
        <v>0</v>
      </c>
      <c r="J286" s="3">
        <f>((J176-I176)*-1)+(J227-I227)</f>
        <v>0</v>
      </c>
      <c r="K286" s="3">
        <f>((K176-J176)*-1)+(K227-J227)</f>
        <v>0</v>
      </c>
      <c r="L286" s="3">
        <f>((L176-K176)*-1)+(L227-K227)</f>
        <v>0</v>
      </c>
      <c r="M286" s="3">
        <f>SUM(I286:L286)</f>
        <v>0</v>
      </c>
      <c r="N286" s="3">
        <f>((N176-M176)*-1)+(N227-M227)</f>
        <v>0</v>
      </c>
      <c r="O286" s="3">
        <f>((O176-N176)*-1)+(O227-N227)</f>
        <v>-40197</v>
      </c>
      <c r="P286" s="3">
        <f>((P176-O176)*-1)+(P227-O227)</f>
        <v>-2373</v>
      </c>
      <c r="Q286" s="3">
        <f>((Q176-P176)*-1)+(Q227-P227)</f>
        <v>599</v>
      </c>
      <c r="R286" s="3">
        <f>SUM(N286:Q286)</f>
        <v>-41971</v>
      </c>
      <c r="S286" s="3">
        <f>((S176-R176)*-1)+(S227-R227)</f>
        <v>-2642</v>
      </c>
      <c r="T286" s="3">
        <f>((T176-S176)*-1)+(T227-S227)</f>
        <v>-3690</v>
      </c>
      <c r="U286" s="3">
        <f>((U176-T176)*-1)+(U227-T227)</f>
        <v>-2705</v>
      </c>
      <c r="V286" s="3">
        <f>((V176-U176)*-1)+(V227-U227)</f>
        <v>900</v>
      </c>
      <c r="W286" s="3">
        <f>SUM(S286:V286)</f>
        <v>-8137</v>
      </c>
      <c r="X286" s="3">
        <f>((X176-W176)*-1)+(X227-W227)</f>
        <v>-2432</v>
      </c>
      <c r="Y286" s="3">
        <f>((Y176-X176)*-1)+(Y227-X227)</f>
        <v>370</v>
      </c>
      <c r="Z286" s="3">
        <f>((Z176-Y176)*-1)+(Z227-Y227)</f>
        <v>-862</v>
      </c>
      <c r="AA286" s="3">
        <f>((AA176-Z176)*-1)+(AA227-Z227)</f>
        <v>3379</v>
      </c>
      <c r="AB286" s="3">
        <f>SUM(X286:AA286)</f>
        <v>455</v>
      </c>
      <c r="AC286" s="3">
        <f>((AC176-AB176)*-1)+(AC227-AB227)</f>
        <v>-1141</v>
      </c>
      <c r="AD286" s="3">
        <f>((AD176-AC176)*-1)+(AD227-AC227)</f>
        <v>-1084</v>
      </c>
      <c r="AE286" s="3">
        <f>((AE176-AD176)*-1)+(AE227-AD227)</f>
        <v>472</v>
      </c>
      <c r="AF286" s="3">
        <f>((AF176-AE176)*-1)+(AF227-AE227)</f>
        <v>2814</v>
      </c>
      <c r="AG286" s="3">
        <f>SUM(AC286:AF286)</f>
        <v>1061</v>
      </c>
      <c r="AH286" s="3">
        <f>((AH176-AG176)*-1)+(AH227-AG227)</f>
        <v>-424</v>
      </c>
      <c r="AI286" s="3">
        <f>((AI176-AH176)*-1)+(AI227-AH227)</f>
        <v>-160</v>
      </c>
      <c r="AJ286" s="3">
        <f>((AJ176-AI176)*-1)+(AJ227-AI227)</f>
        <v>0</v>
      </c>
      <c r="AK286" s="3">
        <f>((AK176-AJ176)*-1)+(AK227-AJ227)</f>
        <v>0</v>
      </c>
      <c r="AL286" s="3">
        <f>SUM(AH286:AK286)</f>
        <v>-584</v>
      </c>
      <c r="AM286" s="3">
        <f>((AM176-AL176)*-1)+(AM227-AL227)</f>
        <v>0</v>
      </c>
      <c r="AN286" s="3">
        <f>((AN176-AM176)*-1)+(AN227-AM227)</f>
        <v>0</v>
      </c>
      <c r="AO286" s="3">
        <f>((AO176-AN176)*-1)+(AO227-AN227)</f>
        <v>0</v>
      </c>
      <c r="AP286" s="3">
        <f>((AP176-AO176)*-1)+(AP227-AO227)</f>
        <v>0</v>
      </c>
      <c r="AQ286" s="3">
        <f>SUM(AM286:AP286)</f>
        <v>0</v>
      </c>
      <c r="AR286" s="3">
        <f>((AR176-AQ176)*-1)+(AR227-AQ227)</f>
        <v>0</v>
      </c>
      <c r="AS286" s="3">
        <f>((AS176-AR176)*-1)+(AS227-AR227)</f>
        <v>0</v>
      </c>
      <c r="AT286" s="3">
        <f>((AT176-AS176)*-1)+(AT227-AS227)</f>
        <v>0</v>
      </c>
      <c r="AU286" s="3">
        <f>((AU176-AT176)*-1)+(AU227-AT227)</f>
        <v>0</v>
      </c>
      <c r="AV286" s="3">
        <f>SUM(AR286:AU286)</f>
        <v>0</v>
      </c>
      <c r="AW286" s="3">
        <f>((AW176-AV176)*-1)+(AW227-AV227)</f>
        <v>0</v>
      </c>
      <c r="AX286" s="3">
        <f>((AX176-AW176)*-1)+(AX227-AW227)</f>
        <v>0</v>
      </c>
      <c r="AY286" s="3">
        <f>((AY176-AX176)*-1)+(AY227-AX227)</f>
        <v>0</v>
      </c>
      <c r="AZ286" s="3">
        <f>((AZ176-AY176)*-1)+(AZ227-AY227)</f>
        <v>0</v>
      </c>
      <c r="BA286" s="3">
        <f>SUM(AW286:AZ286)</f>
        <v>0</v>
      </c>
      <c r="BB286" s="3">
        <f>((BB176-BA176)*-1)+(BB227-BA227)</f>
        <v>0</v>
      </c>
      <c r="BC286" s="3">
        <f>((BC176-BB176)*-1)+(BC227-BB227)</f>
        <v>0</v>
      </c>
      <c r="BD286" s="3">
        <f>((BD176-BC176)*-1)+(BD227-BC227)</f>
        <v>0</v>
      </c>
      <c r="BE286" s="3">
        <f>((BE176-BD176)*-1)+(BE227-BD227)</f>
        <v>0</v>
      </c>
      <c r="BF286" s="3">
        <f>SUM(BB286:BE286)</f>
        <v>0</v>
      </c>
      <c r="BG286" s="3">
        <f>((BG176-BF176)*-1)+(BG227-BF227)</f>
        <v>0</v>
      </c>
      <c r="BH286" s="3">
        <f>((BH176-BG176)*-1)+(BH227-BG227)</f>
        <v>0</v>
      </c>
      <c r="BI286" s="3">
        <f>((BI176-BH176)*-1)+(BI227-BH227)</f>
        <v>0</v>
      </c>
      <c r="BJ286" s="3">
        <f>((BJ176-BI176)*-1)+(BJ227-BI227)</f>
        <v>0</v>
      </c>
      <c r="BK286" s="3">
        <f>SUM(BG286:BJ286)</f>
        <v>0</v>
      </c>
      <c r="BL286" s="3">
        <f>((BL176-BK176)*-1)+(BL227-BK227)</f>
        <v>0</v>
      </c>
      <c r="BM286" s="3">
        <f>((BM176-BL176)*-1)+(BM227-BL227)</f>
        <v>0</v>
      </c>
      <c r="BN286" s="3">
        <f>((BN176-BM176)*-1)+(BN227-BM227)</f>
        <v>0</v>
      </c>
      <c r="BO286" s="3">
        <f>((BO176-BN176)*-1)+(BO227-BN227)</f>
        <v>0</v>
      </c>
      <c r="BP286" s="3">
        <f>SUM(BL286:BO286)</f>
        <v>0</v>
      </c>
      <c r="BQ286" s="3">
        <f>((BQ176-BP176)*-1)+(BQ227-BP227)</f>
        <v>0</v>
      </c>
      <c r="BR286" s="3">
        <f>((BR176-BQ176)*-1)+(BR227-BQ227)</f>
        <v>0</v>
      </c>
      <c r="BS286" s="3">
        <f>((BS176-BR176)*-1)+(BS227-BR227)</f>
        <v>0</v>
      </c>
      <c r="BT286" s="3">
        <f>((BT176-BS176)*-1)+(BT227-BS227)</f>
        <v>0</v>
      </c>
      <c r="BU286" s="3">
        <f>SUM(BQ286:BT286)</f>
        <v>0</v>
      </c>
      <c r="BV286" s="3">
        <f>((BV176-BU176)*-1)+(BV227-BU227)</f>
        <v>0</v>
      </c>
      <c r="BW286" s="3">
        <f>((BW176-BV176)*-1)+(BW227-BV227)</f>
        <v>0</v>
      </c>
      <c r="BX286" s="3">
        <f>((BX176-BW176)*-1)+(BX227-BW227)</f>
        <v>0</v>
      </c>
      <c r="BY286" s="3">
        <f>((BY176-BX176)*-1)+(BY227-BX227)</f>
        <v>0</v>
      </c>
      <c r="BZ286" s="3">
        <f>SUM(BV286:BY286)</f>
        <v>0</v>
      </c>
      <c r="CA286" s="3">
        <f>((CA176-BZ176)*-1)+(CA227-BZ227)</f>
        <v>0</v>
      </c>
      <c r="CB286" s="3">
        <f>((CB176-CA176)*-1)+(CB227-CA227)</f>
        <v>0</v>
      </c>
      <c r="CC286" s="3">
        <f>((CC176-CB176)*-1)+(CC227-CB227)</f>
        <v>0</v>
      </c>
      <c r="CD286" s="3">
        <f>((CD176-CC176)*-1)+(CD227-CC227)</f>
        <v>0</v>
      </c>
      <c r="CE286" s="3">
        <f>SUM(CA286:CD286)</f>
        <v>0</v>
      </c>
      <c r="CF286" s="3">
        <f>((CF176-CE176)*-1)+(CF227-CE227)</f>
        <v>0</v>
      </c>
      <c r="CG286" s="3">
        <f>((CG176-CF176)*-1)+(CG227-CF227)</f>
        <v>0</v>
      </c>
      <c r="CH286" s="3">
        <f>((CH176-CG176)*-1)+(CH227-CG227)</f>
        <v>0</v>
      </c>
      <c r="CI286" s="3">
        <f>((CI176-CH176)*-1)+(CI227-CH227)</f>
        <v>0</v>
      </c>
      <c r="CJ286" s="3">
        <f>SUM(CF286:CI286)</f>
        <v>0</v>
      </c>
      <c r="CK286" s="3">
        <f>((CK176-CJ176)*-1)+(CK227-CJ227)</f>
        <v>0</v>
      </c>
      <c r="CL286" s="3">
        <f>((CL176-CK176)*-1)+(CL227-CK227)</f>
        <v>0</v>
      </c>
      <c r="CM286" s="3">
        <f>((CM176-CL176)*-1)+(CM227-CL227)</f>
        <v>0</v>
      </c>
      <c r="CN286" s="3">
        <f>((CN176-CM176)*-1)+(CN227-CM227)</f>
        <v>0</v>
      </c>
      <c r="CO286" s="3">
        <f>SUM(CK286:CN286)</f>
        <v>0</v>
      </c>
      <c r="CP286" s="3">
        <f>((CP176-CO176)*-1)+(CP227-CO227)</f>
        <v>0</v>
      </c>
      <c r="CQ286" s="3">
        <f>((CQ176-CP176)*-1)+(CQ227-CP227)</f>
        <v>0</v>
      </c>
      <c r="CR286" s="3">
        <f>((CR176-CQ176)*-1)+(CR227-CQ227)</f>
        <v>0</v>
      </c>
      <c r="CS286" s="3">
        <f>((CS176-CR176)*-1)+(CS227-CR227)</f>
        <v>0</v>
      </c>
      <c r="CT286" s="3">
        <f>SUM(CP286:CS286)</f>
        <v>0</v>
      </c>
      <c r="CU286" s="3">
        <f>((CU176-CT176)*-1)+(CU227-CT227)</f>
        <v>0</v>
      </c>
      <c r="CV286" s="3">
        <f>((CV176-CU176)*-1)+(CV227-CU227)</f>
        <v>0</v>
      </c>
      <c r="CW286" s="3">
        <f>((CW176-CV176)*-1)+(CW227-CV227)</f>
        <v>0</v>
      </c>
      <c r="CX286" s="3">
        <f>((CX176-CW176)*-1)+(CX227-CW227)</f>
        <v>0</v>
      </c>
      <c r="CY286" s="3">
        <f>SUM(CU286:CX286)</f>
        <v>0</v>
      </c>
    </row>
    <row r="287">
      <c r="C287" s="26" t="inlineStr">
        <is>
          <t>Cash from investing</t>
        </is>
      </c>
      <c r="D287" s="3" t="n"/>
      <c r="E287" s="3">
        <f>SUM(E282,E283,E285,E286,E284)</f>
        <v>-673</v>
      </c>
      <c r="F287" s="3">
        <f>SUM(F282,F283,F285,F286,F284)</f>
        <v>-690</v>
      </c>
      <c r="G287" s="3">
        <f>SUM(G282,G283,G285,G286,G284)</f>
        <v>-590</v>
      </c>
      <c r="H287" s="3">
        <f>SUM(H282,H283,H285,H286)</f>
        <v>-1953</v>
      </c>
      <c r="I287" s="3">
        <f>SUM(I282,I283,I285,I286,I284)</f>
        <v>5261</v>
      </c>
      <c r="J287" s="3">
        <f>SUM(J282,J283,J285,J286,J284)</f>
        <v>-430</v>
      </c>
      <c r="K287" s="3">
        <f>SUM(K282,K283,K285,K286,K284)</f>
        <v>-632</v>
      </c>
      <c r="L287" s="3">
        <f>SUM(L282,L283,L285,L286,L284)</f>
        <v>-321</v>
      </c>
      <c r="M287" s="3">
        <f>SUM(M282,M283,M285,M286)</f>
        <v>3878</v>
      </c>
      <c r="N287" s="3">
        <f>SUM(N282,N283,N285,N286,N284)</f>
        <v>-1210</v>
      </c>
      <c r="O287" s="3">
        <f>SUM(O282,O283,O285,O286,O284)</f>
        <v>-40578</v>
      </c>
      <c r="P287" s="3">
        <f>SUM(P282,P283,P285,P286,P284)</f>
        <v>-2695</v>
      </c>
      <c r="Q287" s="3">
        <f>SUM(Q282,Q283,Q285,Q286,Q284)</f>
        <v>-136</v>
      </c>
      <c r="R287" s="3">
        <f>SUM(R282,R283,R285,R286)</f>
        <v>-44619</v>
      </c>
      <c r="S287" s="3">
        <f>SUM(S282,S283,S285,S286,S284)</f>
        <v>-3182</v>
      </c>
      <c r="T287" s="3">
        <f>SUM(T282,T283,T285,T286,T284)</f>
        <v>-4230</v>
      </c>
      <c r="U287" s="3">
        <f>SUM(U282,U283,U285,U286,U284)</f>
        <v>-3022</v>
      </c>
      <c r="V287" s="3">
        <f>SUM(V282,V283,V285,V286,V284)</f>
        <v>335</v>
      </c>
      <c r="W287" s="3">
        <f>SUM(W282,W283,W285,W286)</f>
        <v>-10099</v>
      </c>
      <c r="X287" s="3">
        <f>SUM(X282,X283,X285,X286,X284)</f>
        <v>-2879</v>
      </c>
      <c r="Y287" s="3">
        <f>SUM(Y282,Y283,Y285,Y286,Y284)</f>
        <v>-173</v>
      </c>
      <c r="Z287" s="3">
        <f>SUM(Z282,Z283,Z285,Z286,Z284)</f>
        <v>-1350</v>
      </c>
      <c r="AA287" s="3">
        <f>SUM(AA282,AA283,AA285,AA286,AA284)</f>
        <v>2979</v>
      </c>
      <c r="AB287" s="3">
        <f>SUM(AB282,AB283,AB285,AB286)</f>
        <v>-1423</v>
      </c>
      <c r="AC287" s="3">
        <f>SUM(AC282,AC283,AC285,AC286,AC284)</f>
        <v>-1945</v>
      </c>
      <c r="AD287" s="3">
        <f>SUM(AD282,AD283,AD285,AD286,AD284)</f>
        <v>-1725</v>
      </c>
      <c r="AE287" s="3">
        <f>SUM(AE282,AE283,AE285,AE286,AE284)</f>
        <v>-34</v>
      </c>
      <c r="AF287" s="3">
        <f>SUM(AF282,AF283,AF285,AF286,AF284)</f>
        <v>2144</v>
      </c>
      <c r="AG287" s="3">
        <f>SUM(AG282,AG283,AG285,AG286)</f>
        <v>-1560</v>
      </c>
      <c r="AH287" s="3">
        <f>SUM(AH282,AH283,AH285,AH286,AH284)</f>
        <v>-1346</v>
      </c>
      <c r="AI287" s="3">
        <f>SUM(AI282,AI283,AI285,AI286,AI284)</f>
        <v>-681</v>
      </c>
      <c r="AJ287" s="3">
        <f>SUM(AJ282,AJ283,AJ285,AJ286,AJ284)</f>
        <v>940</v>
      </c>
      <c r="AK287" s="3">
        <f>SUM(AK282,AK283,AK285,AK286,AK284)</f>
        <v>0</v>
      </c>
      <c r="AL287" s="3">
        <f>SUM(AL282,AL283,AL285,AL286)</f>
        <v>-1087</v>
      </c>
      <c r="AM287" s="3">
        <f>SUM(AM282,AM283,AM285,AM286,AM284)</f>
        <v>0</v>
      </c>
      <c r="AN287" s="3">
        <f>SUM(AN282,AN283,AN285,AN286,AN284)</f>
        <v>0</v>
      </c>
      <c r="AO287" s="3">
        <f>SUM(AO282,AO283,AO285,AO286,AO284)</f>
        <v>0</v>
      </c>
      <c r="AP287" s="3">
        <f>SUM(AP282,AP283,AP285,AP286,AP284)</f>
        <v>0</v>
      </c>
      <c r="AQ287" s="3">
        <f>SUM(AQ282,AQ283,AQ285,AQ286)</f>
        <v>0</v>
      </c>
      <c r="AR287" s="3">
        <f>SUM(AR282,AR283,AR285,AR286,AR284)</f>
        <v>0</v>
      </c>
      <c r="AS287" s="3">
        <f>SUM(AS282,AS283,AS285,AS286,AS284)</f>
        <v>0</v>
      </c>
      <c r="AT287" s="3">
        <f>SUM(AT282,AT283,AT285,AT286,AT284)</f>
        <v>0</v>
      </c>
      <c r="AU287" s="3">
        <f>SUM(AU282,AU283,AU285,AU286,AU284)</f>
        <v>0</v>
      </c>
      <c r="AV287" s="3">
        <f>SUM(AV282,AV283,AV285,AV286)</f>
        <v>0</v>
      </c>
      <c r="AW287" s="3">
        <f>SUM(AW282,AW283,AW285,AW286,AW284)</f>
        <v>0</v>
      </c>
      <c r="AX287" s="3">
        <f>SUM(AX282,AX283,AX285,AX286,AX284)</f>
        <v>0</v>
      </c>
      <c r="AY287" s="3">
        <f>SUM(AY282,AY283,AY285,AY286,AY284)</f>
        <v>0</v>
      </c>
      <c r="AZ287" s="3">
        <f>SUM(AZ282,AZ283,AZ285,AZ286,AZ284)</f>
        <v>0</v>
      </c>
      <c r="BA287" s="3">
        <f>SUM(BA282,BA283,BA285,BA286)</f>
        <v>0</v>
      </c>
      <c r="BB287" s="3">
        <f>SUM(BB282,BB283,BB285,BB286,BB284)</f>
        <v>0</v>
      </c>
      <c r="BC287" s="3">
        <f>SUM(BC282,BC283,BC285,BC286,BC284)</f>
        <v>0</v>
      </c>
      <c r="BD287" s="3">
        <f>SUM(BD282,BD283,BD285,BD286,BD284)</f>
        <v>0</v>
      </c>
      <c r="BE287" s="3">
        <f>SUM(BE282,BE283,BE285,BE286,BE284)</f>
        <v>0</v>
      </c>
      <c r="BF287" s="3">
        <f>SUM(BF282,BF283,BF285,BF286)</f>
        <v>0</v>
      </c>
      <c r="BG287" s="3">
        <f>SUM(BG282,BG283,BG285,BG286,BG284)</f>
        <v>0</v>
      </c>
      <c r="BH287" s="3">
        <f>SUM(BH282,BH283,BH285,BH286,BH284)</f>
        <v>0</v>
      </c>
      <c r="BI287" s="3">
        <f>SUM(BI282,BI283,BI285,BI286,BI284)</f>
        <v>0</v>
      </c>
      <c r="BJ287" s="3">
        <f>SUM(BJ282,BJ283,BJ285,BJ286,BJ284)</f>
        <v>0</v>
      </c>
      <c r="BK287" s="3">
        <f>SUM(BK282,BK283,BK285,BK286)</f>
        <v>0</v>
      </c>
      <c r="BL287" s="3">
        <f>SUM(BL282,BL283,BL285,BL286,BL284)</f>
        <v>0</v>
      </c>
      <c r="BM287" s="3">
        <f>SUM(BM282,BM283,BM285,BM286,BM284)</f>
        <v>0</v>
      </c>
      <c r="BN287" s="3">
        <f>SUM(BN282,BN283,BN285,BN286,BN284)</f>
        <v>0</v>
      </c>
      <c r="BO287" s="3">
        <f>SUM(BO282,BO283,BO285,BO286,BO284)</f>
        <v>0</v>
      </c>
      <c r="BP287" s="3">
        <f>SUM(BP282,BP283,BP285,BP286)</f>
        <v>0</v>
      </c>
      <c r="BQ287" s="3">
        <f>SUM(BQ282,BQ283,BQ285,BQ286,BQ284)</f>
        <v>0</v>
      </c>
      <c r="BR287" s="3">
        <f>SUM(BR282,BR283,BR285,BR286,BR284)</f>
        <v>0</v>
      </c>
      <c r="BS287" s="3">
        <f>SUM(BS282,BS283,BS285,BS286,BS284)</f>
        <v>0</v>
      </c>
      <c r="BT287" s="3">
        <f>SUM(BT282,BT283,BT285,BT286,BT284)</f>
        <v>0</v>
      </c>
      <c r="BU287" s="3">
        <f>SUM(BU282,BU283,BU285,BU286)</f>
        <v>0</v>
      </c>
      <c r="BV287" s="3">
        <f>SUM(BV282,BV283,BV285,BV286,BV284)</f>
        <v>0</v>
      </c>
      <c r="BW287" s="3">
        <f>SUM(BW282,BW283,BW285,BW286,BW284)</f>
        <v>0</v>
      </c>
      <c r="BX287" s="3">
        <f>SUM(BX282,BX283,BX285,BX286,BX284)</f>
        <v>0</v>
      </c>
      <c r="BY287" s="3">
        <f>SUM(BY282,BY283,BY285,BY286,BY284)</f>
        <v>0</v>
      </c>
      <c r="BZ287" s="3">
        <f>SUM(BZ282,BZ283,BZ285,BZ286)</f>
        <v>0</v>
      </c>
      <c r="CA287" s="3">
        <f>SUM(CA282,CA283,CA285,CA286,CA284)</f>
        <v>0</v>
      </c>
      <c r="CB287" s="3">
        <f>SUM(CB282,CB283,CB285,CB286,CB284)</f>
        <v>0</v>
      </c>
      <c r="CC287" s="3">
        <f>SUM(CC282,CC283,CC285,CC286,CC284)</f>
        <v>0</v>
      </c>
      <c r="CD287" s="3">
        <f>SUM(CD282,CD283,CD285,CD286,CD284)</f>
        <v>0</v>
      </c>
      <c r="CE287" s="3">
        <f>SUM(CE282,CE283,CE285,CE286)</f>
        <v>0</v>
      </c>
      <c r="CF287" s="3">
        <f>SUM(CF282,CF283,CF285,CF286,CF284)</f>
        <v>0</v>
      </c>
      <c r="CG287" s="3">
        <f>SUM(CG282,CG283,CG285,CG286,CG284)</f>
        <v>0</v>
      </c>
      <c r="CH287" s="3">
        <f>SUM(CH282,CH283,CH285,CH286,CH284)</f>
        <v>0</v>
      </c>
      <c r="CI287" s="3">
        <f>SUM(CI282,CI283,CI285,CI286,CI284)</f>
        <v>0</v>
      </c>
      <c r="CJ287" s="3">
        <f>SUM(CJ282,CJ283,CJ285,CJ286)</f>
        <v>0</v>
      </c>
      <c r="CK287" s="3">
        <f>SUM(CK282,CK283,CK285,CK286,CK284)</f>
        <v>0</v>
      </c>
      <c r="CL287" s="3">
        <f>SUM(CL282,CL283,CL285,CL286,CL284)</f>
        <v>0</v>
      </c>
      <c r="CM287" s="3">
        <f>SUM(CM282,CM283,CM285,CM286,CM284)</f>
        <v>0</v>
      </c>
      <c r="CN287" s="3">
        <f>SUM(CN282,CN283,CN285,CN286,CN284)</f>
        <v>0</v>
      </c>
      <c r="CO287" s="3">
        <f>SUM(CO282,CO283,CO285,CO286)</f>
        <v>0</v>
      </c>
      <c r="CP287" s="3">
        <f>SUM(CP282,CP283,CP285,CP286,CP284)</f>
        <v>0</v>
      </c>
      <c r="CQ287" s="3">
        <f>SUM(CQ282,CQ283,CQ285,CQ286,CQ284)</f>
        <v>0</v>
      </c>
      <c r="CR287" s="3">
        <f>SUM(CR282,CR283,CR285,CR286,CR284)</f>
        <v>0</v>
      </c>
      <c r="CS287" s="3">
        <f>SUM(CS282,CS283,CS285,CS286,CS284)</f>
        <v>0</v>
      </c>
      <c r="CT287" s="3">
        <f>SUM(CT282,CT283,CT285,CT286)</f>
        <v>0</v>
      </c>
      <c r="CU287" s="3">
        <f>SUM(CU282,CU283,CU285,CU286,CU284)</f>
        <v>0</v>
      </c>
      <c r="CV287" s="3">
        <f>SUM(CV282,CV283,CV285,CV286,CV284)</f>
        <v>0</v>
      </c>
      <c r="CW287" s="3">
        <f>SUM(CW282,CW283,CW285,CW286,CW284)</f>
        <v>0</v>
      </c>
      <c r="CX287" s="3">
        <f>SUM(CX282,CX283,CX285,CX286,CX284)</f>
        <v>0</v>
      </c>
      <c r="CY287" s="3">
        <f>SUM(CY282,CY283,CY285,CY286)</f>
        <v>0</v>
      </c>
    </row>
    <row r="288">
      <c r="C288" s="26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  <c r="CU288" s="3" t="n"/>
      <c r="CV288" s="3" t="n"/>
      <c r="CW288" s="3" t="n"/>
      <c r="CX288" s="3" t="n"/>
      <c r="CY288" s="3" t="n"/>
    </row>
    <row r="289">
      <c r="C289" s="26" t="inlineStr">
        <is>
          <t>Convertible preferred stock</t>
        </is>
      </c>
      <c r="D289" s="3" t="n"/>
      <c r="E289" s="3">
        <f>E240-D240</f>
        <v>0</v>
      </c>
      <c r="F289" s="3">
        <f>F240-E240</f>
        <v>0</v>
      </c>
      <c r="G289" s="3">
        <f>G240-F240</f>
        <v>0</v>
      </c>
      <c r="H289" s="3">
        <f>SUM(D289:G289)</f>
        <v>0</v>
      </c>
      <c r="I289" s="3">
        <f>I240-H240</f>
        <v>0</v>
      </c>
      <c r="J289" s="3">
        <f>J240-I240</f>
        <v>0</v>
      </c>
      <c r="K289" s="3">
        <f>K240-J240</f>
        <v>0</v>
      </c>
      <c r="L289" s="3">
        <f>L240-K240</f>
        <v>0</v>
      </c>
      <c r="M289" s="3">
        <f>SUM(I289:L289)</f>
        <v>0</v>
      </c>
      <c r="N289" s="3">
        <f>N240-M240</f>
        <v>0</v>
      </c>
      <c r="O289" s="3">
        <f>O240-N240</f>
        <v>0</v>
      </c>
      <c r="P289" s="3">
        <f>P240-O240</f>
        <v>0</v>
      </c>
      <c r="Q289" s="3">
        <f>Q240-P240</f>
        <v>0</v>
      </c>
      <c r="R289" s="3">
        <f>SUM(N289:Q289)</f>
        <v>0</v>
      </c>
      <c r="S289" s="3">
        <f>S240-R240</f>
        <v>0</v>
      </c>
      <c r="T289" s="3">
        <f>T240-S240</f>
        <v>0</v>
      </c>
      <c r="U289" s="3">
        <f>U240-T240</f>
        <v>0</v>
      </c>
      <c r="V289" s="3">
        <f>V240-U240</f>
        <v>0</v>
      </c>
      <c r="W289" s="3">
        <f>SUM(S289:V289)</f>
        <v>0</v>
      </c>
      <c r="X289" s="3">
        <f>X240-W240</f>
        <v>0</v>
      </c>
      <c r="Y289" s="3">
        <f>Y240-X240</f>
        <v>0</v>
      </c>
      <c r="Z289" s="3">
        <f>Z240-Y240</f>
        <v>0</v>
      </c>
      <c r="AA289" s="3">
        <f>AA240-Z240</f>
        <v>0</v>
      </c>
      <c r="AB289" s="3">
        <f>SUM(X289:AA289)</f>
        <v>0</v>
      </c>
      <c r="AC289" s="3">
        <f>AC240-AB240</f>
        <v>0</v>
      </c>
      <c r="AD289" s="3">
        <f>AD240-AC240</f>
        <v>0</v>
      </c>
      <c r="AE289" s="3">
        <f>AE240-AD240</f>
        <v>0</v>
      </c>
      <c r="AF289" s="3">
        <f>AF240-AE240</f>
        <v>0</v>
      </c>
      <c r="AG289" s="3">
        <f>SUM(AC289:AF289)</f>
        <v>0</v>
      </c>
      <c r="AH289" s="3">
        <f>AH240-AG240</f>
        <v>0</v>
      </c>
      <c r="AI289" s="3">
        <f>AI240-AH240</f>
        <v>0</v>
      </c>
      <c r="AJ289" s="3">
        <f>AJ240-AI240</f>
        <v>0</v>
      </c>
      <c r="AK289" s="3">
        <f>AK240-AJ240</f>
        <v>0</v>
      </c>
      <c r="AL289" s="3">
        <f>SUM(AH289:AK289)</f>
        <v>0</v>
      </c>
      <c r="AM289" s="3">
        <f>AM240-AL240</f>
        <v>0</v>
      </c>
      <c r="AN289" s="3">
        <f>AN240-AM240</f>
        <v>0</v>
      </c>
      <c r="AO289" s="3">
        <f>AO240-AN240</f>
        <v>0</v>
      </c>
      <c r="AP289" s="3">
        <f>AP240-AO240</f>
        <v>0</v>
      </c>
      <c r="AQ289" s="3">
        <f>SUM(AM289:AP289)</f>
        <v>0</v>
      </c>
      <c r="AR289" s="3">
        <f>AR240-AQ240</f>
        <v>0</v>
      </c>
      <c r="AS289" s="3">
        <f>AS240-AR240</f>
        <v>0</v>
      </c>
      <c r="AT289" s="3">
        <f>AT240-AS240</f>
        <v>0</v>
      </c>
      <c r="AU289" s="3">
        <f>AU240-AT240</f>
        <v>0</v>
      </c>
      <c r="AV289" s="3">
        <f>SUM(AR289:AU289)</f>
        <v>0</v>
      </c>
      <c r="AW289" s="3">
        <f>AW240-AV240</f>
        <v>0</v>
      </c>
      <c r="AX289" s="3">
        <f>AX240-AW240</f>
        <v>0</v>
      </c>
      <c r="AY289" s="3">
        <f>AY240-AX240</f>
        <v>0</v>
      </c>
      <c r="AZ289" s="3">
        <f>AZ240-AY240</f>
        <v>0</v>
      </c>
      <c r="BA289" s="3">
        <f>SUM(AW289:AZ289)</f>
        <v>0</v>
      </c>
      <c r="BB289" s="3">
        <f>BB240-BA240</f>
        <v>0</v>
      </c>
      <c r="BC289" s="3">
        <f>BC240-BB240</f>
        <v>0</v>
      </c>
      <c r="BD289" s="3">
        <f>BD240-BC240</f>
        <v>0</v>
      </c>
      <c r="BE289" s="3">
        <f>BE240-BD240</f>
        <v>0</v>
      </c>
      <c r="BF289" s="3">
        <f>SUM(BB289:BE289)</f>
        <v>0</v>
      </c>
      <c r="BG289" s="3">
        <f>BG240-BF240</f>
        <v>0</v>
      </c>
      <c r="BH289" s="3">
        <f>BH240-BG240</f>
        <v>0</v>
      </c>
      <c r="BI289" s="3">
        <f>BI240-BH240</f>
        <v>0</v>
      </c>
      <c r="BJ289" s="3">
        <f>BJ240-BI240</f>
        <v>0</v>
      </c>
      <c r="BK289" s="3">
        <f>SUM(BG289:BJ289)</f>
        <v>0</v>
      </c>
      <c r="BL289" s="3">
        <f>BL240-BK240</f>
        <v>0</v>
      </c>
      <c r="BM289" s="3">
        <f>BM240-BL240</f>
        <v>0</v>
      </c>
      <c r="BN289" s="3">
        <f>BN240-BM240</f>
        <v>0</v>
      </c>
      <c r="BO289" s="3">
        <f>BO240-BN240</f>
        <v>0</v>
      </c>
      <c r="BP289" s="3">
        <f>SUM(BL289:BO289)</f>
        <v>0</v>
      </c>
      <c r="BQ289" s="3">
        <f>BQ240-BP240</f>
        <v>0</v>
      </c>
      <c r="BR289" s="3">
        <f>BR240-BQ240</f>
        <v>0</v>
      </c>
      <c r="BS289" s="3">
        <f>BS240-BR240</f>
        <v>0</v>
      </c>
      <c r="BT289" s="3">
        <f>BT240-BS240</f>
        <v>0</v>
      </c>
      <c r="BU289" s="3">
        <f>SUM(BQ289:BT289)</f>
        <v>0</v>
      </c>
      <c r="BV289" s="3">
        <f>BV240-BU240</f>
        <v>0</v>
      </c>
      <c r="BW289" s="3">
        <f>BW240-BV240</f>
        <v>0</v>
      </c>
      <c r="BX289" s="3">
        <f>BX240-BW240</f>
        <v>0</v>
      </c>
      <c r="BY289" s="3">
        <f>BY240-BX240</f>
        <v>0</v>
      </c>
      <c r="BZ289" s="3">
        <f>SUM(BV289:BY289)</f>
        <v>0</v>
      </c>
      <c r="CA289" s="3">
        <f>CA240-BZ240</f>
        <v>0</v>
      </c>
      <c r="CB289" s="3">
        <f>CB240-CA240</f>
        <v>0</v>
      </c>
      <c r="CC289" s="3">
        <f>CC240-CB240</f>
        <v>0</v>
      </c>
      <c r="CD289" s="3">
        <f>CD240-CC240</f>
        <v>0</v>
      </c>
      <c r="CE289" s="3">
        <f>SUM(CA289:CD289)</f>
        <v>0</v>
      </c>
      <c r="CF289" s="3">
        <f>CF240-CE240</f>
        <v>0</v>
      </c>
      <c r="CG289" s="3">
        <f>CG240-CF240</f>
        <v>0</v>
      </c>
      <c r="CH289" s="3">
        <f>CH240-CG240</f>
        <v>0</v>
      </c>
      <c r="CI289" s="3">
        <f>CI240-CH240</f>
        <v>0</v>
      </c>
      <c r="CJ289" s="3">
        <f>SUM(CF289:CI289)</f>
        <v>0</v>
      </c>
      <c r="CK289" s="3">
        <f>CK240-CJ240</f>
        <v>0</v>
      </c>
      <c r="CL289" s="3">
        <f>CL240-CK240</f>
        <v>0</v>
      </c>
      <c r="CM289" s="3">
        <f>CM240-CL240</f>
        <v>0</v>
      </c>
      <c r="CN289" s="3">
        <f>CN240-CM240</f>
        <v>0</v>
      </c>
      <c r="CO289" s="3">
        <f>SUM(CK289:CN289)</f>
        <v>0</v>
      </c>
      <c r="CP289" s="3">
        <f>CP240-CO240</f>
        <v>0</v>
      </c>
      <c r="CQ289" s="3">
        <f>CQ240-CP240</f>
        <v>0</v>
      </c>
      <c r="CR289" s="3">
        <f>CR240-CQ240</f>
        <v>0</v>
      </c>
      <c r="CS289" s="3">
        <f>CS240-CR240</f>
        <v>0</v>
      </c>
      <c r="CT289" s="3">
        <f>SUM(CP289:CS289)</f>
        <v>0</v>
      </c>
      <c r="CU289" s="3">
        <f>CU240-CT240</f>
        <v>0</v>
      </c>
      <c r="CV289" s="3">
        <f>CV240-CU240</f>
        <v>0</v>
      </c>
      <c r="CW289" s="3">
        <f>CW240-CV240</f>
        <v>0</v>
      </c>
      <c r="CX289" s="3">
        <f>CX240-CW240</f>
        <v>0</v>
      </c>
      <c r="CY289" s="3">
        <f>SUM(CU289:CX289)</f>
        <v>0</v>
      </c>
    </row>
    <row r="290">
      <c r="C290" s="26" t="inlineStr">
        <is>
          <t>Common stock and APIC</t>
        </is>
      </c>
      <c r="D290" s="3" t="n"/>
      <c r="E290" s="3">
        <f>E241-D241</f>
        <v>37</v>
      </c>
      <c r="F290" s="3">
        <f>F241-E241</f>
        <v>145</v>
      </c>
      <c r="G290" s="3">
        <f>G241-F241</f>
        <v>47</v>
      </c>
      <c r="H290" s="3">
        <f>SUM(D290:G290)</f>
        <v>229</v>
      </c>
      <c r="I290" s="3">
        <f>I241-H241</f>
        <v>57</v>
      </c>
      <c r="J290" s="3">
        <f>J241-I241</f>
        <v>32</v>
      </c>
      <c r="K290" s="3">
        <f>K241-J241</f>
        <v>23</v>
      </c>
      <c r="L290" s="3">
        <f>L241-K241</f>
        <v>12</v>
      </c>
      <c r="M290" s="3">
        <f>SUM(I290:L290)</f>
        <v>124</v>
      </c>
      <c r="N290" s="3">
        <f>N241-M241</f>
        <v>51</v>
      </c>
      <c r="O290" s="3">
        <f>O241-N241</f>
        <v>22</v>
      </c>
      <c r="P290" s="3">
        <f>P241-O241</f>
        <v>26</v>
      </c>
      <c r="Q290" s="3">
        <f>Q241-P241</f>
        <v>26</v>
      </c>
      <c r="R290" s="3">
        <f>SUM(N290:Q290)</f>
        <v>125</v>
      </c>
      <c r="S290" s="3">
        <f>S241-R241</f>
        <v>36</v>
      </c>
      <c r="T290" s="3">
        <f>T241-S241</f>
        <v>45</v>
      </c>
      <c r="U290" s="3">
        <f>U241-T241</f>
        <v>31</v>
      </c>
      <c r="V290" s="3">
        <f>V241-U241</f>
        <v>32</v>
      </c>
      <c r="W290" s="3">
        <f>SUM(S290:V290)</f>
        <v>144</v>
      </c>
      <c r="X290" s="3">
        <f>X241-W241</f>
        <v>56</v>
      </c>
      <c r="Y290" s="3">
        <f>Y241-X241</f>
        <v>50</v>
      </c>
      <c r="Z290" s="3">
        <f>Z241-Y241</f>
        <v>48</v>
      </c>
      <c r="AA290" s="3">
        <f>AA241-Z241</f>
        <v>37</v>
      </c>
      <c r="AB290" s="3">
        <f>SUM(X290:AA290)</f>
        <v>191</v>
      </c>
      <c r="AC290" s="3">
        <f>AC241-AB241</f>
        <v>39</v>
      </c>
      <c r="AD290" s="3">
        <f>AD241-AC241</f>
        <v>55</v>
      </c>
      <c r="AE290" s="3">
        <f>AE241-AD241</f>
        <v>48</v>
      </c>
      <c r="AF290" s="3">
        <f>AF241-AE241</f>
        <v>47</v>
      </c>
      <c r="AG290" s="3">
        <f>SUM(AC290:AF290)</f>
        <v>189</v>
      </c>
      <c r="AH290" s="3">
        <f>AH241-AG241</f>
        <v>62</v>
      </c>
      <c r="AI290" s="3">
        <f>AI241-AH241</f>
        <v>49</v>
      </c>
      <c r="AJ290" s="3">
        <f>AJ241-AI241</f>
        <v>0</v>
      </c>
      <c r="AK290" s="3">
        <f>AK241-AJ241</f>
        <v>0</v>
      </c>
      <c r="AL290" s="3">
        <f>SUM(AH290:AK290)</f>
        <v>111</v>
      </c>
      <c r="AM290" s="3">
        <f>AM241-AL241</f>
        <v>0</v>
      </c>
      <c r="AN290" s="3">
        <f>AN241-AM241</f>
        <v>0</v>
      </c>
      <c r="AO290" s="3">
        <f>AO241-AN241</f>
        <v>0</v>
      </c>
      <c r="AP290" s="3">
        <f>AP241-AO241</f>
        <v>0</v>
      </c>
      <c r="AQ290" s="3">
        <f>SUM(AM290:AP290)</f>
        <v>0</v>
      </c>
      <c r="AR290" s="3">
        <f>AR241-AQ241</f>
        <v>0</v>
      </c>
      <c r="AS290" s="3">
        <f>AS241-AR241</f>
        <v>0</v>
      </c>
      <c r="AT290" s="3">
        <f>AT241-AS241</f>
        <v>0</v>
      </c>
      <c r="AU290" s="3">
        <f>AU241-AT241</f>
        <v>0</v>
      </c>
      <c r="AV290" s="3">
        <f>SUM(AR290:AU290)</f>
        <v>0</v>
      </c>
      <c r="AW290" s="3">
        <f>AW241-AV241</f>
        <v>0</v>
      </c>
      <c r="AX290" s="3">
        <f>AX241-AW241</f>
        <v>0</v>
      </c>
      <c r="AY290" s="3">
        <f>AY241-AX241</f>
        <v>0</v>
      </c>
      <c r="AZ290" s="3">
        <f>AZ241-AY241</f>
        <v>0</v>
      </c>
      <c r="BA290" s="3">
        <f>SUM(AW290:AZ290)</f>
        <v>0</v>
      </c>
      <c r="BB290" s="3">
        <f>BB241-BA241</f>
        <v>0</v>
      </c>
      <c r="BC290" s="3">
        <f>BC241-BB241</f>
        <v>0</v>
      </c>
      <c r="BD290" s="3">
        <f>BD241-BC241</f>
        <v>0</v>
      </c>
      <c r="BE290" s="3">
        <f>BE241-BD241</f>
        <v>0</v>
      </c>
      <c r="BF290" s="3">
        <f>SUM(BB290:BE290)</f>
        <v>0</v>
      </c>
      <c r="BG290" s="3">
        <f>BG241-BF241</f>
        <v>0</v>
      </c>
      <c r="BH290" s="3">
        <f>BH241-BG241</f>
        <v>0</v>
      </c>
      <c r="BI290" s="3">
        <f>BI241-BH241</f>
        <v>0</v>
      </c>
      <c r="BJ290" s="3">
        <f>BJ241-BI241</f>
        <v>0</v>
      </c>
      <c r="BK290" s="3">
        <f>SUM(BG290:BJ290)</f>
        <v>0</v>
      </c>
      <c r="BL290" s="3">
        <f>BL241-BK241</f>
        <v>0</v>
      </c>
      <c r="BM290" s="3">
        <f>BM241-BL241</f>
        <v>0</v>
      </c>
      <c r="BN290" s="3">
        <f>BN241-BM241</f>
        <v>0</v>
      </c>
      <c r="BO290" s="3">
        <f>BO241-BN241</f>
        <v>0</v>
      </c>
      <c r="BP290" s="3">
        <f>SUM(BL290:BO290)</f>
        <v>0</v>
      </c>
      <c r="BQ290" s="3">
        <f>BQ241-BP241</f>
        <v>0</v>
      </c>
      <c r="BR290" s="3">
        <f>BR241-BQ241</f>
        <v>0</v>
      </c>
      <c r="BS290" s="3">
        <f>BS241-BR241</f>
        <v>0</v>
      </c>
      <c r="BT290" s="3">
        <f>BT241-BS241</f>
        <v>0</v>
      </c>
      <c r="BU290" s="3">
        <f>SUM(BQ290:BT290)</f>
        <v>0</v>
      </c>
      <c r="BV290" s="3">
        <f>BV241-BU241</f>
        <v>0</v>
      </c>
      <c r="BW290" s="3">
        <f>BW241-BV241</f>
        <v>0</v>
      </c>
      <c r="BX290" s="3">
        <f>BX241-BW241</f>
        <v>0</v>
      </c>
      <c r="BY290" s="3">
        <f>BY241-BX241</f>
        <v>0</v>
      </c>
      <c r="BZ290" s="3">
        <f>SUM(BV290:BY290)</f>
        <v>0</v>
      </c>
      <c r="CA290" s="3">
        <f>CA241-BZ241</f>
        <v>0</v>
      </c>
      <c r="CB290" s="3">
        <f>CB241-CA241</f>
        <v>0</v>
      </c>
      <c r="CC290" s="3">
        <f>CC241-CB241</f>
        <v>0</v>
      </c>
      <c r="CD290" s="3">
        <f>CD241-CC241</f>
        <v>0</v>
      </c>
      <c r="CE290" s="3">
        <f>SUM(CA290:CD290)</f>
        <v>0</v>
      </c>
      <c r="CF290" s="3">
        <f>CF241-CE241</f>
        <v>0</v>
      </c>
      <c r="CG290" s="3">
        <f>CG241-CF241</f>
        <v>0</v>
      </c>
      <c r="CH290" s="3">
        <f>CH241-CG241</f>
        <v>0</v>
      </c>
      <c r="CI290" s="3">
        <f>CI241-CH241</f>
        <v>0</v>
      </c>
      <c r="CJ290" s="3">
        <f>SUM(CF290:CI290)</f>
        <v>0</v>
      </c>
      <c r="CK290" s="3">
        <f>CK241-CJ241</f>
        <v>0</v>
      </c>
      <c r="CL290" s="3">
        <f>CL241-CK241</f>
        <v>0</v>
      </c>
      <c r="CM290" s="3">
        <f>CM241-CL241</f>
        <v>0</v>
      </c>
      <c r="CN290" s="3">
        <f>CN241-CM241</f>
        <v>0</v>
      </c>
      <c r="CO290" s="3">
        <f>SUM(CK290:CN290)</f>
        <v>0</v>
      </c>
      <c r="CP290" s="3">
        <f>CP241-CO241</f>
        <v>0</v>
      </c>
      <c r="CQ290" s="3">
        <f>CQ241-CP241</f>
        <v>0</v>
      </c>
      <c r="CR290" s="3">
        <f>CR241-CQ241</f>
        <v>0</v>
      </c>
      <c r="CS290" s="3">
        <f>CS241-CR241</f>
        <v>0</v>
      </c>
      <c r="CT290" s="3">
        <f>SUM(CP290:CS290)</f>
        <v>0</v>
      </c>
      <c r="CU290" s="3">
        <f>CU241-CT241</f>
        <v>0</v>
      </c>
      <c r="CV290" s="3">
        <f>CV241-CU241</f>
        <v>0</v>
      </c>
      <c r="CW290" s="3">
        <f>CW241-CV241</f>
        <v>0</v>
      </c>
      <c r="CX290" s="3">
        <f>CX241-CW241</f>
        <v>0</v>
      </c>
      <c r="CY290" s="3">
        <f>SUM(CU290:CX290)</f>
        <v>0</v>
      </c>
    </row>
    <row r="291">
      <c r="C291" s="26" t="inlineStr">
        <is>
          <t>Treasury stock repurchases</t>
        </is>
      </c>
      <c r="D291" s="3" t="n"/>
      <c r="E291" s="3">
        <f>E254-D254</f>
        <v>19</v>
      </c>
      <c r="F291" s="3">
        <f>F254-E254</f>
        <v>-394</v>
      </c>
      <c r="G291" s="3">
        <f>G254-F254</f>
        <v>-312</v>
      </c>
      <c r="H291" s="3">
        <f>SUM(D291:G291)</f>
        <v>-687</v>
      </c>
      <c r="I291" s="3">
        <f>I254-H254</f>
        <v>-675</v>
      </c>
      <c r="J291" s="3">
        <f>J254-I254</f>
        <v>-728</v>
      </c>
      <c r="K291" s="3">
        <f>K254-J254</f>
        <v>-753</v>
      </c>
      <c r="L291" s="3">
        <f>L254-K254</f>
        <v>-606</v>
      </c>
      <c r="M291" s="3">
        <f>SUM(I291:L291)</f>
        <v>-2762</v>
      </c>
      <c r="N291" s="3">
        <f>N254-M254</f>
        <v>-588</v>
      </c>
      <c r="O291" s="3">
        <f>O254-N254</f>
        <v>-1249</v>
      </c>
      <c r="P291" s="3">
        <f>P254-O254</f>
        <v>-1118</v>
      </c>
      <c r="Q291" s="3">
        <f>Q254-P254</f>
        <v>-1239</v>
      </c>
      <c r="R291" s="3">
        <f>SUM(N291:Q291)</f>
        <v>-4194</v>
      </c>
      <c r="S291" s="3">
        <f>S254-R254</f>
        <v>-1297</v>
      </c>
      <c r="T291" s="3">
        <f>T254-S254</f>
        <v>-2130</v>
      </c>
      <c r="U291" s="3">
        <f>U254-T254</f>
        <v>-2575</v>
      </c>
      <c r="V291" s="3">
        <f>V254-U254</f>
        <v>-1328</v>
      </c>
      <c r="W291" s="3">
        <f>SUM(S291:V291)</f>
        <v>-7330</v>
      </c>
      <c r="X291" s="3">
        <f>X254-W254</f>
        <v>-1101</v>
      </c>
      <c r="Y291" s="3">
        <f>Y254-X254</f>
        <v>-806</v>
      </c>
      <c r="Z291" s="3">
        <f>Z254-Y254</f>
        <v>-779</v>
      </c>
      <c r="AA291" s="3">
        <f>AA254-Z254</f>
        <v>-360</v>
      </c>
      <c r="AB291" s="3">
        <f>SUM(X291:AA291)</f>
        <v>-3046</v>
      </c>
      <c r="AC291" s="3">
        <f>AC254-AB254</f>
        <v>-355</v>
      </c>
      <c r="AD291" s="3">
        <f>AD254-AC254</f>
        <v>-297</v>
      </c>
      <c r="AE291" s="3">
        <f>AE254-AD254</f>
        <v>-1</v>
      </c>
      <c r="AF291" s="3">
        <f>AF254-AE254</f>
        <v>-283</v>
      </c>
      <c r="AG291" s="3">
        <f>SUM(AC291:AF291)</f>
        <v>-936</v>
      </c>
      <c r="AH291" s="3">
        <f>AH254-AG254</f>
        <v>-186</v>
      </c>
      <c r="AI291" s="3">
        <f>AI254-AH254</f>
        <v>-198</v>
      </c>
      <c r="AJ291" s="3">
        <f>AJ254-AI254</f>
        <v>0</v>
      </c>
      <c r="AK291" s="3">
        <f>AK254-AJ254</f>
        <v>0</v>
      </c>
      <c r="AL291" s="3">
        <f>SUM(AH291:AK291)</f>
        <v>-384</v>
      </c>
      <c r="AM291" s="3">
        <f>AM254-AL254</f>
        <v>0</v>
      </c>
      <c r="AN291" s="3">
        <f>AN254-AM254</f>
        <v>0</v>
      </c>
      <c r="AO291" s="3">
        <f>AO254-AN254</f>
        <v>0</v>
      </c>
      <c r="AP291" s="3">
        <f>AP254-AO254</f>
        <v>0</v>
      </c>
      <c r="AQ291" s="3">
        <f>SUM(AM291:AP291)</f>
        <v>0</v>
      </c>
      <c r="AR291" s="3">
        <f>AR254-AQ254</f>
        <v>0</v>
      </c>
      <c r="AS291" s="3">
        <f>AS254-AR254</f>
        <v>0</v>
      </c>
      <c r="AT291" s="3">
        <f>AT254-AS254</f>
        <v>0</v>
      </c>
      <c r="AU291" s="3">
        <f>AU254-AT254</f>
        <v>0</v>
      </c>
      <c r="AV291" s="3">
        <f>SUM(AR291:AU291)</f>
        <v>0</v>
      </c>
      <c r="AW291" s="3">
        <f>AW254-AV254</f>
        <v>0</v>
      </c>
      <c r="AX291" s="3">
        <f>AX254-AW254</f>
        <v>0</v>
      </c>
      <c r="AY291" s="3">
        <f>AY254-AX254</f>
        <v>0</v>
      </c>
      <c r="AZ291" s="3">
        <f>AZ254-AY254</f>
        <v>0</v>
      </c>
      <c r="BA291" s="3">
        <f>SUM(AW291:AZ291)</f>
        <v>0</v>
      </c>
      <c r="BB291" s="3">
        <f>BB254-BA254</f>
        <v>0</v>
      </c>
      <c r="BC291" s="3">
        <f>BC254-BB254</f>
        <v>0</v>
      </c>
      <c r="BD291" s="3">
        <f>BD254-BC254</f>
        <v>0</v>
      </c>
      <c r="BE291" s="3">
        <f>BE254-BD254</f>
        <v>0</v>
      </c>
      <c r="BF291" s="3">
        <f>SUM(BB291:BE291)</f>
        <v>0</v>
      </c>
      <c r="BG291" s="3">
        <f>BG254-BF254</f>
        <v>0</v>
      </c>
      <c r="BH291" s="3">
        <f>BH254-BG254</f>
        <v>0</v>
      </c>
      <c r="BI291" s="3">
        <f>BI254-BH254</f>
        <v>0</v>
      </c>
      <c r="BJ291" s="3">
        <f>BJ254-BI254</f>
        <v>0</v>
      </c>
      <c r="BK291" s="3">
        <f>SUM(BG291:BJ291)</f>
        <v>0</v>
      </c>
      <c r="BL291" s="3">
        <f>BL254-BK254</f>
        <v>0</v>
      </c>
      <c r="BM291" s="3">
        <f>BM254-BL254</f>
        <v>0</v>
      </c>
      <c r="BN291" s="3">
        <f>BN254-BM254</f>
        <v>0</v>
      </c>
      <c r="BO291" s="3">
        <f>BO254-BN254</f>
        <v>0</v>
      </c>
      <c r="BP291" s="3">
        <f>SUM(BL291:BO291)</f>
        <v>0</v>
      </c>
      <c r="BQ291" s="3">
        <f>BQ254-BP254</f>
        <v>0</v>
      </c>
      <c r="BR291" s="3">
        <f>BR254-BQ254</f>
        <v>0</v>
      </c>
      <c r="BS291" s="3">
        <f>BS254-BR254</f>
        <v>0</v>
      </c>
      <c r="BT291" s="3">
        <f>BT254-BS254</f>
        <v>0</v>
      </c>
      <c r="BU291" s="3">
        <f>SUM(BQ291:BT291)</f>
        <v>0</v>
      </c>
      <c r="BV291" s="3">
        <f>BV254-BU254</f>
        <v>0</v>
      </c>
      <c r="BW291" s="3">
        <f>BW254-BV254</f>
        <v>0</v>
      </c>
      <c r="BX291" s="3">
        <f>BX254-BW254</f>
        <v>0</v>
      </c>
      <c r="BY291" s="3">
        <f>BY254-BX254</f>
        <v>0</v>
      </c>
      <c r="BZ291" s="3">
        <f>SUM(BV291:BY291)</f>
        <v>0</v>
      </c>
      <c r="CA291" s="3">
        <f>CA254-BZ254</f>
        <v>0</v>
      </c>
      <c r="CB291" s="3">
        <f>CB254-CA254</f>
        <v>0</v>
      </c>
      <c r="CC291" s="3">
        <f>CC254-CB254</f>
        <v>0</v>
      </c>
      <c r="CD291" s="3">
        <f>CD254-CC254</f>
        <v>0</v>
      </c>
      <c r="CE291" s="3">
        <f>SUM(CA291:CD291)</f>
        <v>0</v>
      </c>
      <c r="CF291" s="3">
        <f>CF254-CE254</f>
        <v>0</v>
      </c>
      <c r="CG291" s="3">
        <f>CG254-CF254</f>
        <v>0</v>
      </c>
      <c r="CH291" s="3">
        <f>CH254-CG254</f>
        <v>0</v>
      </c>
      <c r="CI291" s="3">
        <f>CI254-CH254</f>
        <v>0</v>
      </c>
      <c r="CJ291" s="3">
        <f>SUM(CF291:CI291)</f>
        <v>0</v>
      </c>
      <c r="CK291" s="3">
        <f>CK254-CJ254</f>
        <v>0</v>
      </c>
      <c r="CL291" s="3">
        <f>CL254-CK254</f>
        <v>0</v>
      </c>
      <c r="CM291" s="3">
        <f>CM254-CL254</f>
        <v>0</v>
      </c>
      <c r="CN291" s="3">
        <f>CN254-CM254</f>
        <v>0</v>
      </c>
      <c r="CO291" s="3">
        <f>SUM(CK291:CN291)</f>
        <v>0</v>
      </c>
      <c r="CP291" s="3">
        <f>CP254-CO254</f>
        <v>0</v>
      </c>
      <c r="CQ291" s="3">
        <f>CQ254-CP254</f>
        <v>0</v>
      </c>
      <c r="CR291" s="3">
        <f>CR254-CQ254</f>
        <v>0</v>
      </c>
      <c r="CS291" s="3">
        <f>CS254-CR254</f>
        <v>0</v>
      </c>
      <c r="CT291" s="3">
        <f>SUM(CP291:CS291)</f>
        <v>0</v>
      </c>
      <c r="CU291" s="3">
        <f>CU254-CT254</f>
        <v>0</v>
      </c>
      <c r="CV291" s="3">
        <f>CV254-CU254</f>
        <v>0</v>
      </c>
      <c r="CW291" s="3">
        <f>CW254-CV254</f>
        <v>0</v>
      </c>
      <c r="CX291" s="3">
        <f>CX254-CW254</f>
        <v>0</v>
      </c>
      <c r="CY291" s="3">
        <f>SUM(CU291:CX291)</f>
        <v>0</v>
      </c>
    </row>
    <row r="292">
      <c r="C292" s="26" t="inlineStr">
        <is>
          <t>Comprehensive accumulated loss</t>
        </is>
      </c>
      <c r="D292" s="3" t="n"/>
      <c r="E292" s="3">
        <f>E255-D255</f>
        <v>396</v>
      </c>
      <c r="F292" s="3">
        <f>F255-E255</f>
        <v>-220</v>
      </c>
      <c r="G292" s="3">
        <f>G255-F255</f>
        <v>461</v>
      </c>
      <c r="H292" s="3">
        <f>SUM(D292:G292)</f>
        <v>637</v>
      </c>
      <c r="I292" s="3">
        <f>I255-H255</f>
        <v>118</v>
      </c>
      <c r="J292" s="3">
        <f>J255-I255</f>
        <v>-51</v>
      </c>
      <c r="K292" s="3">
        <f>K255-J255</f>
        <v>2472</v>
      </c>
      <c r="L292" s="3">
        <f>L255-K255</f>
        <v>-613</v>
      </c>
      <c r="M292" s="3">
        <f>SUM(I292:L292)</f>
        <v>1926</v>
      </c>
      <c r="N292" s="3">
        <f>N255-M255</f>
        <v>-139</v>
      </c>
      <c r="O292" s="3">
        <f>O255-N255</f>
        <v>-185</v>
      </c>
      <c r="P292" s="3">
        <f>P255-O255</f>
        <v>420</v>
      </c>
      <c r="Q292" s="3">
        <f>Q255-P255</f>
        <v>684</v>
      </c>
      <c r="R292" s="3">
        <f>SUM(N292:Q292)</f>
        <v>780</v>
      </c>
      <c r="S292" s="3">
        <f>S255-R255</f>
        <v>-166</v>
      </c>
      <c r="T292" s="3">
        <f>T255-S255</f>
        <v>127</v>
      </c>
      <c r="U292" s="3">
        <f>U255-T255</f>
        <v>-703</v>
      </c>
      <c r="V292" s="3">
        <f>V255-U255</f>
        <v>251</v>
      </c>
      <c r="W292" s="3">
        <f>SUM(S292:V292)</f>
        <v>-491</v>
      </c>
      <c r="X292" s="3">
        <f>X255-W255</f>
        <v>-308</v>
      </c>
      <c r="Y292" s="3">
        <f>Y255-X255</f>
        <v>-197</v>
      </c>
      <c r="Z292" s="3">
        <f>Z255-Y255</f>
        <v>-338</v>
      </c>
      <c r="AA292" s="3">
        <f>AA255-Z255</f>
        <v>-461</v>
      </c>
      <c r="AB292" s="3">
        <f>SUM(X292:AA292)</f>
        <v>-1304</v>
      </c>
      <c r="AC292" s="3">
        <f>AC255-AB255</f>
        <v>762</v>
      </c>
      <c r="AD292" s="3">
        <f>AD255-AC255</f>
        <v>298</v>
      </c>
      <c r="AE292" s="3">
        <f>AE255-AD255</f>
        <v>75</v>
      </c>
      <c r="AF292" s="3">
        <f>AF255-AE255</f>
        <v>367</v>
      </c>
      <c r="AG292" s="3">
        <f>SUM(AC292:AF292)</f>
        <v>1502</v>
      </c>
      <c r="AH292" s="3">
        <f>AH255-AG255</f>
        <v>-103</v>
      </c>
      <c r="AI292" s="3">
        <f>AI255-AH255</f>
        <v>-208</v>
      </c>
      <c r="AJ292" s="3">
        <f>AJ255-AI255</f>
        <v>0</v>
      </c>
      <c r="AK292" s="3">
        <f>AK255-AJ255</f>
        <v>0</v>
      </c>
      <c r="AL292" s="3">
        <f>SUM(AH292:AK292)</f>
        <v>-311</v>
      </c>
      <c r="AM292" s="3">
        <f>AM255-AL255</f>
        <v>0</v>
      </c>
      <c r="AN292" s="3">
        <f>AN255-AM255</f>
        <v>0</v>
      </c>
      <c r="AO292" s="3">
        <f>AO255-AN255</f>
        <v>0</v>
      </c>
      <c r="AP292" s="3">
        <f>AP255-AO255</f>
        <v>0</v>
      </c>
      <c r="AQ292" s="3">
        <f>SUM(AM292:AP292)</f>
        <v>0</v>
      </c>
      <c r="AR292" s="3">
        <f>AR255-AQ255</f>
        <v>0</v>
      </c>
      <c r="AS292" s="3">
        <f>AS255-AR255</f>
        <v>0</v>
      </c>
      <c r="AT292" s="3">
        <f>AT255-AS255</f>
        <v>0</v>
      </c>
      <c r="AU292" s="3">
        <f>AU255-AT255</f>
        <v>0</v>
      </c>
      <c r="AV292" s="3">
        <f>SUM(AR292:AU292)</f>
        <v>0</v>
      </c>
      <c r="AW292" s="3">
        <f>AW255-AV255</f>
        <v>0</v>
      </c>
      <c r="AX292" s="3">
        <f>AX255-AW255</f>
        <v>0</v>
      </c>
      <c r="AY292" s="3">
        <f>AY255-AX255</f>
        <v>0</v>
      </c>
      <c r="AZ292" s="3">
        <f>AZ255-AY255</f>
        <v>0</v>
      </c>
      <c r="BA292" s="3">
        <f>SUM(AW292:AZ292)</f>
        <v>0</v>
      </c>
      <c r="BB292" s="3">
        <f>BB255-BA255</f>
        <v>0</v>
      </c>
      <c r="BC292" s="3">
        <f>BC255-BB255</f>
        <v>0</v>
      </c>
      <c r="BD292" s="3">
        <f>BD255-BC255</f>
        <v>0</v>
      </c>
      <c r="BE292" s="3">
        <f>BE255-BD255</f>
        <v>0</v>
      </c>
      <c r="BF292" s="3">
        <f>SUM(BB292:BE292)</f>
        <v>0</v>
      </c>
      <c r="BG292" s="3">
        <f>BG255-BF255</f>
        <v>0</v>
      </c>
      <c r="BH292" s="3">
        <f>BH255-BG255</f>
        <v>0</v>
      </c>
      <c r="BI292" s="3">
        <f>BI255-BH255</f>
        <v>0</v>
      </c>
      <c r="BJ292" s="3">
        <f>BJ255-BI255</f>
        <v>0</v>
      </c>
      <c r="BK292" s="3">
        <f>SUM(BG292:BJ292)</f>
        <v>0</v>
      </c>
      <c r="BL292" s="3">
        <f>BL255-BK255</f>
        <v>0</v>
      </c>
      <c r="BM292" s="3">
        <f>BM255-BL255</f>
        <v>0</v>
      </c>
      <c r="BN292" s="3">
        <f>BN255-BM255</f>
        <v>0</v>
      </c>
      <c r="BO292" s="3">
        <f>BO255-BN255</f>
        <v>0</v>
      </c>
      <c r="BP292" s="3">
        <f>SUM(BL292:BO292)</f>
        <v>0</v>
      </c>
      <c r="BQ292" s="3">
        <f>BQ255-BP255</f>
        <v>0</v>
      </c>
      <c r="BR292" s="3">
        <f>BR255-BQ255</f>
        <v>0</v>
      </c>
      <c r="BS292" s="3">
        <f>BS255-BR255</f>
        <v>0</v>
      </c>
      <c r="BT292" s="3">
        <f>BT255-BS255</f>
        <v>0</v>
      </c>
      <c r="BU292" s="3">
        <f>SUM(BQ292:BT292)</f>
        <v>0</v>
      </c>
      <c r="BV292" s="3">
        <f>BV255-BU255</f>
        <v>0</v>
      </c>
      <c r="BW292" s="3">
        <f>BW255-BV255</f>
        <v>0</v>
      </c>
      <c r="BX292" s="3">
        <f>BX255-BW255</f>
        <v>0</v>
      </c>
      <c r="BY292" s="3">
        <f>BY255-BX255</f>
        <v>0</v>
      </c>
      <c r="BZ292" s="3">
        <f>SUM(BV292:BY292)</f>
        <v>0</v>
      </c>
      <c r="CA292" s="3">
        <f>CA255-BZ255</f>
        <v>0</v>
      </c>
      <c r="CB292" s="3">
        <f>CB255-CA255</f>
        <v>0</v>
      </c>
      <c r="CC292" s="3">
        <f>CC255-CB255</f>
        <v>0</v>
      </c>
      <c r="CD292" s="3">
        <f>CD255-CC255</f>
        <v>0</v>
      </c>
      <c r="CE292" s="3">
        <f>SUM(CA292:CD292)</f>
        <v>0</v>
      </c>
      <c r="CF292" s="3">
        <f>CF255-CE255</f>
        <v>0</v>
      </c>
      <c r="CG292" s="3">
        <f>CG255-CF255</f>
        <v>0</v>
      </c>
      <c r="CH292" s="3">
        <f>CH255-CG255</f>
        <v>0</v>
      </c>
      <c r="CI292" s="3">
        <f>CI255-CH255</f>
        <v>0</v>
      </c>
      <c r="CJ292" s="3">
        <f>SUM(CF292:CI292)</f>
        <v>0</v>
      </c>
      <c r="CK292" s="3">
        <f>CK255-CJ255</f>
        <v>0</v>
      </c>
      <c r="CL292" s="3">
        <f>CL255-CK255</f>
        <v>0</v>
      </c>
      <c r="CM292" s="3">
        <f>CM255-CL255</f>
        <v>0</v>
      </c>
      <c r="CN292" s="3">
        <f>CN255-CM255</f>
        <v>0</v>
      </c>
      <c r="CO292" s="3">
        <f>SUM(CK292:CN292)</f>
        <v>0</v>
      </c>
      <c r="CP292" s="3">
        <f>CP255-CO255</f>
        <v>0</v>
      </c>
      <c r="CQ292" s="3">
        <f>CQ255-CP255</f>
        <v>0</v>
      </c>
      <c r="CR292" s="3">
        <f>CR255-CQ255</f>
        <v>0</v>
      </c>
      <c r="CS292" s="3">
        <f>CS255-CR255</f>
        <v>0</v>
      </c>
      <c r="CT292" s="3">
        <f>SUM(CP292:CS292)</f>
        <v>0</v>
      </c>
      <c r="CU292" s="3">
        <f>CU255-CT255</f>
        <v>0</v>
      </c>
      <c r="CV292" s="3">
        <f>CV255-CU255</f>
        <v>0</v>
      </c>
      <c r="CW292" s="3">
        <f>CW255-CV255</f>
        <v>0</v>
      </c>
      <c r="CX292" s="3">
        <f>CX255-CW255</f>
        <v>0</v>
      </c>
      <c r="CY292" s="3">
        <f>SUM(CU292:CX292)</f>
        <v>0</v>
      </c>
    </row>
    <row r="293">
      <c r="C293" s="26" t="inlineStr">
        <is>
          <t>Other equity account</t>
        </is>
      </c>
      <c r="D293" s="3" t="n"/>
      <c r="E293" s="3">
        <f>E256-D256</f>
        <v>0</v>
      </c>
      <c r="F293" s="3">
        <f>F256-E256</f>
        <v>0</v>
      </c>
      <c r="G293" s="3">
        <f>G256-F256</f>
        <v>0</v>
      </c>
      <c r="H293" s="3">
        <f>SUM(D293:G293)</f>
        <v>0</v>
      </c>
      <c r="I293" s="3">
        <f>I256-H256</f>
        <v>0</v>
      </c>
      <c r="J293" s="3">
        <f>J256-I256</f>
        <v>0</v>
      </c>
      <c r="K293" s="3">
        <f>K256-J256</f>
        <v>0</v>
      </c>
      <c r="L293" s="3">
        <f>L256-K256</f>
        <v>0</v>
      </c>
      <c r="M293" s="3">
        <f>SUM(I293:L293)</f>
        <v>0</v>
      </c>
      <c r="N293" s="3">
        <f>N256-M256</f>
        <v>0</v>
      </c>
      <c r="O293" s="3">
        <f>O256-N256</f>
        <v>0</v>
      </c>
      <c r="P293" s="3">
        <f>P256-O256</f>
        <v>0</v>
      </c>
      <c r="Q293" s="3">
        <f>Q256-P256</f>
        <v>0</v>
      </c>
      <c r="R293" s="3">
        <f>SUM(N293:Q293)</f>
        <v>0</v>
      </c>
      <c r="S293" s="3">
        <f>S256-R256</f>
        <v>0</v>
      </c>
      <c r="T293" s="3">
        <f>T256-S256</f>
        <v>0</v>
      </c>
      <c r="U293" s="3">
        <f>U256-T256</f>
        <v>0</v>
      </c>
      <c r="V293" s="3">
        <f>V256-U256</f>
        <v>0</v>
      </c>
      <c r="W293" s="3">
        <f>SUM(S293:V293)</f>
        <v>0</v>
      </c>
      <c r="X293" s="3">
        <f>X256-W256</f>
        <v>0</v>
      </c>
      <c r="Y293" s="3">
        <f>Y256-X256</f>
        <v>0</v>
      </c>
      <c r="Z293" s="3">
        <f>Z256-Y256</f>
        <v>0</v>
      </c>
      <c r="AA293" s="3">
        <f>AA256-Z256</f>
        <v>0</v>
      </c>
      <c r="AB293" s="3">
        <f>SUM(X293:AA293)</f>
        <v>0</v>
      </c>
      <c r="AC293" s="3">
        <f>AC256-AB256</f>
        <v>0</v>
      </c>
      <c r="AD293" s="3">
        <f>AD256-AC256</f>
        <v>0</v>
      </c>
      <c r="AE293" s="3">
        <f>AE256-AD256</f>
        <v>0</v>
      </c>
      <c r="AF293" s="3">
        <f>AF256-AE256</f>
        <v>0</v>
      </c>
      <c r="AG293" s="3">
        <f>SUM(AC293:AF293)</f>
        <v>0</v>
      </c>
      <c r="AH293" s="3">
        <f>AH256-AG256</f>
        <v>0</v>
      </c>
      <c r="AI293" s="3">
        <f>AI256-AH256</f>
        <v>0</v>
      </c>
      <c r="AJ293" s="3">
        <f>AJ256-AI256</f>
        <v>0</v>
      </c>
      <c r="AK293" s="3">
        <f>AK256-AJ256</f>
        <v>0</v>
      </c>
      <c r="AL293" s="3">
        <f>SUM(AH293:AK293)</f>
        <v>0</v>
      </c>
      <c r="AM293" s="3">
        <f>AM256-AL256</f>
        <v>0</v>
      </c>
      <c r="AN293" s="3">
        <f>AN256-AM256</f>
        <v>0</v>
      </c>
      <c r="AO293" s="3">
        <f>AO256-AN256</f>
        <v>0</v>
      </c>
      <c r="AP293" s="3">
        <f>AP256-AO256</f>
        <v>0</v>
      </c>
      <c r="AQ293" s="3">
        <f>SUM(AM293:AP293)</f>
        <v>0</v>
      </c>
      <c r="AR293" s="3">
        <f>AR256-AQ256</f>
        <v>0</v>
      </c>
      <c r="AS293" s="3">
        <f>AS256-AR256</f>
        <v>0</v>
      </c>
      <c r="AT293" s="3">
        <f>AT256-AS256</f>
        <v>0</v>
      </c>
      <c r="AU293" s="3">
        <f>AU256-AT256</f>
        <v>0</v>
      </c>
      <c r="AV293" s="3">
        <f>SUM(AR293:AU293)</f>
        <v>0</v>
      </c>
      <c r="AW293" s="3">
        <f>AW256-AV256</f>
        <v>0</v>
      </c>
      <c r="AX293" s="3">
        <f>AX256-AW256</f>
        <v>0</v>
      </c>
      <c r="AY293" s="3">
        <f>AY256-AX256</f>
        <v>0</v>
      </c>
      <c r="AZ293" s="3">
        <f>AZ256-AY256</f>
        <v>0</v>
      </c>
      <c r="BA293" s="3">
        <f>SUM(AW293:AZ293)</f>
        <v>0</v>
      </c>
      <c r="BB293" s="3">
        <f>BB256-BA256</f>
        <v>0</v>
      </c>
      <c r="BC293" s="3">
        <f>BC256-BB256</f>
        <v>0</v>
      </c>
      <c r="BD293" s="3">
        <f>BD256-BC256</f>
        <v>0</v>
      </c>
      <c r="BE293" s="3">
        <f>BE256-BD256</f>
        <v>0</v>
      </c>
      <c r="BF293" s="3">
        <f>SUM(BB293:BE293)</f>
        <v>0</v>
      </c>
      <c r="BG293" s="3">
        <f>BG256-BF256</f>
        <v>0</v>
      </c>
      <c r="BH293" s="3">
        <f>BH256-BG256</f>
        <v>0</v>
      </c>
      <c r="BI293" s="3">
        <f>BI256-BH256</f>
        <v>0</v>
      </c>
      <c r="BJ293" s="3">
        <f>BJ256-BI256</f>
        <v>0</v>
      </c>
      <c r="BK293" s="3">
        <f>SUM(BG293:BJ293)</f>
        <v>0</v>
      </c>
      <c r="BL293" s="3">
        <f>BL256-BK256</f>
        <v>0</v>
      </c>
      <c r="BM293" s="3">
        <f>BM256-BL256</f>
        <v>0</v>
      </c>
      <c r="BN293" s="3">
        <f>BN256-BM256</f>
        <v>0</v>
      </c>
      <c r="BO293" s="3">
        <f>BO256-BN256</f>
        <v>0</v>
      </c>
      <c r="BP293" s="3">
        <f>SUM(BL293:BO293)</f>
        <v>0</v>
      </c>
      <c r="BQ293" s="3">
        <f>BQ256-BP256</f>
        <v>0</v>
      </c>
      <c r="BR293" s="3">
        <f>BR256-BQ256</f>
        <v>0</v>
      </c>
      <c r="BS293" s="3">
        <f>BS256-BR256</f>
        <v>0</v>
      </c>
      <c r="BT293" s="3">
        <f>BT256-BS256</f>
        <v>0</v>
      </c>
      <c r="BU293" s="3">
        <f>SUM(BQ293:BT293)</f>
        <v>0</v>
      </c>
      <c r="BV293" s="3">
        <f>BV256-BU256</f>
        <v>0</v>
      </c>
      <c r="BW293" s="3">
        <f>BW256-BV256</f>
        <v>0</v>
      </c>
      <c r="BX293" s="3">
        <f>BX256-BW256</f>
        <v>0</v>
      </c>
      <c r="BY293" s="3">
        <f>BY256-BX256</f>
        <v>0</v>
      </c>
      <c r="BZ293" s="3">
        <f>SUM(BV293:BY293)</f>
        <v>0</v>
      </c>
      <c r="CA293" s="3">
        <f>CA256-BZ256</f>
        <v>0</v>
      </c>
      <c r="CB293" s="3">
        <f>CB256-CA256</f>
        <v>0</v>
      </c>
      <c r="CC293" s="3">
        <f>CC256-CB256</f>
        <v>0</v>
      </c>
      <c r="CD293" s="3">
        <f>CD256-CC256</f>
        <v>0</v>
      </c>
      <c r="CE293" s="3">
        <f>SUM(CA293:CD293)</f>
        <v>0</v>
      </c>
      <c r="CF293" s="3">
        <f>CF256-CE256</f>
        <v>0</v>
      </c>
      <c r="CG293" s="3">
        <f>CG256-CF256</f>
        <v>0</v>
      </c>
      <c r="CH293" s="3">
        <f>CH256-CG256</f>
        <v>0</v>
      </c>
      <c r="CI293" s="3">
        <f>CI256-CH256</f>
        <v>0</v>
      </c>
      <c r="CJ293" s="3">
        <f>SUM(CF293:CI293)</f>
        <v>0</v>
      </c>
      <c r="CK293" s="3">
        <f>CK256-CJ256</f>
        <v>0</v>
      </c>
      <c r="CL293" s="3">
        <f>CL256-CK256</f>
        <v>0</v>
      </c>
      <c r="CM293" s="3">
        <f>CM256-CL256</f>
        <v>0</v>
      </c>
      <c r="CN293" s="3">
        <f>CN256-CM256</f>
        <v>0</v>
      </c>
      <c r="CO293" s="3">
        <f>SUM(CK293:CN293)</f>
        <v>0</v>
      </c>
      <c r="CP293" s="3">
        <f>CP256-CO256</f>
        <v>0</v>
      </c>
      <c r="CQ293" s="3">
        <f>CQ256-CP256</f>
        <v>0</v>
      </c>
      <c r="CR293" s="3">
        <f>CR256-CQ256</f>
        <v>0</v>
      </c>
      <c r="CS293" s="3">
        <f>CS256-CR256</f>
        <v>0</v>
      </c>
      <c r="CT293" s="3">
        <f>SUM(CP293:CS293)</f>
        <v>0</v>
      </c>
      <c r="CU293" s="3">
        <f>CU256-CT256</f>
        <v>0</v>
      </c>
      <c r="CV293" s="3">
        <f>CV256-CU256</f>
        <v>0</v>
      </c>
      <c r="CW293" s="3">
        <f>CW256-CV256</f>
        <v>0</v>
      </c>
      <c r="CX293" s="3">
        <f>CX256-CW256</f>
        <v>0</v>
      </c>
      <c r="CY293" s="3">
        <f>SUM(CU293:CX293)</f>
        <v>0</v>
      </c>
    </row>
    <row r="294">
      <c r="C294" s="29" t="inlineStr">
        <is>
          <t>Common and preferred dividends</t>
        </is>
      </c>
      <c r="D294" s="3" t="n"/>
      <c r="E294" s="3">
        <f>(E257-D257)-E264</f>
        <v>-239</v>
      </c>
      <c r="F294" s="3">
        <f>(F257-E257)-F264</f>
        <v>-239</v>
      </c>
      <c r="G294" s="3">
        <f>(G257-F257)-G264</f>
        <v>-274</v>
      </c>
      <c r="H294" s="3">
        <f>SUM(D294:G294)</f>
        <v>-752</v>
      </c>
      <c r="I294" s="3">
        <f>(I257-H257)-I264</f>
        <v>-281</v>
      </c>
      <c r="J294" s="3">
        <f>(J257-I257)-J264</f>
        <v>-281</v>
      </c>
      <c r="K294" s="3">
        <f>(K257-J257)-K264</f>
        <v>-325</v>
      </c>
      <c r="L294" s="3">
        <f>(L257-K257)-L264</f>
        <v>-323</v>
      </c>
      <c r="M294" s="3">
        <f>SUM(I294:L294)</f>
        <v>-1210</v>
      </c>
      <c r="N294" s="3">
        <f>(N257-M257)-N264</f>
        <v>-322</v>
      </c>
      <c r="O294" s="3">
        <f>(O257-N257)-O264</f>
        <v>-343</v>
      </c>
      <c r="P294" s="3">
        <f>(P257-O257)-P264</f>
        <v>-345</v>
      </c>
      <c r="Q294" s="3">
        <f>(Q257-P257)-Q264</f>
        <v>-360</v>
      </c>
      <c r="R294" s="3">
        <f>SUM(N294:Q294)</f>
        <v>-1370</v>
      </c>
      <c r="S294" s="3">
        <f>(S257-R257)-S264</f>
        <v>-370</v>
      </c>
      <c r="T294" s="3">
        <f>(T257-S257)-T264</f>
        <v>-367</v>
      </c>
      <c r="U294" s="3">
        <f>(U257-T257)-U264</f>
        <v>-385</v>
      </c>
      <c r="V294" s="3">
        <f>(V257-U257)-V264</f>
        <v>-416</v>
      </c>
      <c r="W294" s="3">
        <f>SUM(S294:V294)</f>
        <v>-1538</v>
      </c>
      <c r="X294" s="3">
        <f>(X257-W257)-X264</f>
        <v>-408</v>
      </c>
      <c r="Y294" s="3">
        <f>(Y257-X257)-Y264</f>
        <v>-403</v>
      </c>
      <c r="Z294" s="3">
        <f>(Z257-Y257)-Z264</f>
        <v>-402</v>
      </c>
      <c r="AA294" s="3">
        <f>(AA257-Z257)-AA264</f>
        <v>-442</v>
      </c>
      <c r="AB294" s="3">
        <f>SUM(X294:AA294)</f>
        <v>-1655</v>
      </c>
      <c r="AC294" s="3">
        <f>(AC257-AB257)-AC264</f>
        <v>-442</v>
      </c>
      <c r="AD294" s="3">
        <f>(AD257-AC257)-AD264</f>
        <v>-457</v>
      </c>
      <c r="AE294" s="3">
        <f>(AE257-AD257)-AE264</f>
        <v>-412</v>
      </c>
      <c r="AF294" s="3">
        <f>(AF257-AE257)-AF264</f>
        <v>-437</v>
      </c>
      <c r="AG294" s="3">
        <f>SUM(AC294:AF294)</f>
        <v>-1748</v>
      </c>
      <c r="AH294" s="3">
        <f>(AH257-AG257)-AH264</f>
        <v>-440</v>
      </c>
      <c r="AI294" s="3">
        <f>(AI257-AH257)-AI264</f>
        <v>-438</v>
      </c>
      <c r="AJ294" s="3">
        <f>(AJ257-AI257)-AJ264</f>
        <v>0</v>
      </c>
      <c r="AK294" s="3">
        <f>(AK257-AJ257)-AK264</f>
        <v>0</v>
      </c>
      <c r="AL294" s="3">
        <f>SUM(AH294:AK294)</f>
        <v>-878</v>
      </c>
      <c r="AM294" s="3">
        <f>(AM257-AL257)-AM264</f>
        <v>0</v>
      </c>
      <c r="AN294" s="3">
        <f>(AN257-AM257)-AN264</f>
        <v>0</v>
      </c>
      <c r="AO294" s="3">
        <f>(AO257-AN257)-AO264</f>
        <v>0</v>
      </c>
      <c r="AP294" s="3">
        <f>(AP257-AO257)-AP264</f>
        <v>0</v>
      </c>
      <c r="AQ294" s="3">
        <f>SUM(AM294:AP294)</f>
        <v>0</v>
      </c>
      <c r="AR294" s="3">
        <f>(AR257-AQ257)-AR264</f>
        <v>0</v>
      </c>
      <c r="AS294" s="3">
        <f>(AS257-AR257)-AS264</f>
        <v>0</v>
      </c>
      <c r="AT294" s="3">
        <f>(AT257-AS257)-AT264</f>
        <v>0</v>
      </c>
      <c r="AU294" s="3">
        <f>(AU257-AT257)-AU264</f>
        <v>0</v>
      </c>
      <c r="AV294" s="3">
        <f>SUM(AR294:AU294)</f>
        <v>0</v>
      </c>
      <c r="AW294" s="3">
        <f>(AW257-AV257)-AW264</f>
        <v>0</v>
      </c>
      <c r="AX294" s="3">
        <f>(AX257-AW257)-AX264</f>
        <v>0</v>
      </c>
      <c r="AY294" s="3">
        <f>(AY257-AX257)-AY264</f>
        <v>0</v>
      </c>
      <c r="AZ294" s="3">
        <f>(AZ257-AY257)-AZ264</f>
        <v>0</v>
      </c>
      <c r="BA294" s="3">
        <f>SUM(AW294:AZ294)</f>
        <v>0</v>
      </c>
      <c r="BB294" s="3">
        <f>(BB257-BA257)-BB264</f>
        <v>0</v>
      </c>
      <c r="BC294" s="3">
        <f>(BC257-BB257)-BC264</f>
        <v>0</v>
      </c>
      <c r="BD294" s="3">
        <f>(BD257-BC257)-BD264</f>
        <v>0</v>
      </c>
      <c r="BE294" s="3">
        <f>(BE257-BD257)-BE264</f>
        <v>0</v>
      </c>
      <c r="BF294" s="3">
        <f>SUM(BB294:BE294)</f>
        <v>0</v>
      </c>
      <c r="BG294" s="3">
        <f>(BG257-BF257)-BG264</f>
        <v>0</v>
      </c>
      <c r="BH294" s="3">
        <f>(BH257-BG257)-BH264</f>
        <v>0</v>
      </c>
      <c r="BI294" s="3">
        <f>(BI257-BH257)-BI264</f>
        <v>0</v>
      </c>
      <c r="BJ294" s="3">
        <f>(BJ257-BI257)-BJ264</f>
        <v>0</v>
      </c>
      <c r="BK294" s="3">
        <f>SUM(BG294:BJ294)</f>
        <v>0</v>
      </c>
      <c r="BL294" s="3">
        <f>(BL257-BK257)-BL264</f>
        <v>0</v>
      </c>
      <c r="BM294" s="3">
        <f>(BM257-BL257)-BM264</f>
        <v>0</v>
      </c>
      <c r="BN294" s="3">
        <f>(BN257-BM257)-BN264</f>
        <v>0</v>
      </c>
      <c r="BO294" s="3">
        <f>(BO257-BN257)-BO264</f>
        <v>0</v>
      </c>
      <c r="BP294" s="3">
        <f>SUM(BL294:BO294)</f>
        <v>0</v>
      </c>
      <c r="BQ294" s="3">
        <f>(BQ257-BP257)-BQ264</f>
        <v>0</v>
      </c>
      <c r="BR294" s="3">
        <f>(BR257-BQ257)-BR264</f>
        <v>0</v>
      </c>
      <c r="BS294" s="3">
        <f>(BS257-BR257)-BS264</f>
        <v>0</v>
      </c>
      <c r="BT294" s="3">
        <f>(BT257-BS257)-BT264</f>
        <v>0</v>
      </c>
      <c r="BU294" s="3">
        <f>SUM(BQ294:BT294)</f>
        <v>0</v>
      </c>
      <c r="BV294" s="3">
        <f>(BV257-BU257)-BV264</f>
        <v>0</v>
      </c>
      <c r="BW294" s="3">
        <f>(BW257-BV257)-BW264</f>
        <v>0</v>
      </c>
      <c r="BX294" s="3">
        <f>(BX257-BW257)-BX264</f>
        <v>0</v>
      </c>
      <c r="BY294" s="3">
        <f>(BY257-BX257)-BY264</f>
        <v>0</v>
      </c>
      <c r="BZ294" s="3">
        <f>SUM(BV294:BY294)</f>
        <v>0</v>
      </c>
      <c r="CA294" s="3">
        <f>(CA257-BZ257)-CA264</f>
        <v>0</v>
      </c>
      <c r="CB294" s="3">
        <f>(CB257-CA257)-CB264</f>
        <v>0</v>
      </c>
      <c r="CC294" s="3">
        <f>(CC257-CB257)-CC264</f>
        <v>0</v>
      </c>
      <c r="CD294" s="3">
        <f>(CD257-CC257)-CD264</f>
        <v>0</v>
      </c>
      <c r="CE294" s="3">
        <f>SUM(CA294:CD294)</f>
        <v>0</v>
      </c>
      <c r="CF294" s="3">
        <f>(CF257-CE257)-CF264</f>
        <v>0</v>
      </c>
      <c r="CG294" s="3">
        <f>(CG257-CF257)-CG264</f>
        <v>0</v>
      </c>
      <c r="CH294" s="3">
        <f>(CH257-CG257)-CH264</f>
        <v>0</v>
      </c>
      <c r="CI294" s="3">
        <f>(CI257-CH257)-CI264</f>
        <v>0</v>
      </c>
      <c r="CJ294" s="3">
        <f>SUM(CF294:CI294)</f>
        <v>0</v>
      </c>
      <c r="CK294" s="3">
        <f>(CK257-CJ257)-CK264</f>
        <v>0</v>
      </c>
      <c r="CL294" s="3">
        <f>(CL257-CK257)-CL264</f>
        <v>0</v>
      </c>
      <c r="CM294" s="3">
        <f>(CM257-CL257)-CM264</f>
        <v>0</v>
      </c>
      <c r="CN294" s="3">
        <f>(CN257-CM257)-CN264</f>
        <v>0</v>
      </c>
      <c r="CO294" s="3">
        <f>SUM(CK294:CN294)</f>
        <v>0</v>
      </c>
      <c r="CP294" s="3">
        <f>(CP257-CO257)-CP264</f>
        <v>0</v>
      </c>
      <c r="CQ294" s="3">
        <f>(CQ257-CP257)-CQ264</f>
        <v>0</v>
      </c>
      <c r="CR294" s="3">
        <f>(CR257-CQ257)-CR264</f>
        <v>0</v>
      </c>
      <c r="CS294" s="3">
        <f>(CS257-CR257)-CS264</f>
        <v>0</v>
      </c>
      <c r="CT294" s="3">
        <f>SUM(CP294:CS294)</f>
        <v>0</v>
      </c>
      <c r="CU294" s="3">
        <f>(CU257-CT257)-CU264</f>
        <v>0</v>
      </c>
      <c r="CV294" s="3">
        <f>(CV257-CU257)-CV264</f>
        <v>0</v>
      </c>
      <c r="CW294" s="3">
        <f>(CW257-CV257)-CW264</f>
        <v>0</v>
      </c>
      <c r="CX294" s="3">
        <f>(CX257-CW257)-CX264</f>
        <v>0</v>
      </c>
      <c r="CY294" s="3">
        <f>SUM(CU294:CX294)</f>
        <v>0</v>
      </c>
    </row>
    <row r="295">
      <c r="C295" s="26" t="inlineStr">
        <is>
          <t>Dividends to minority interests</t>
        </is>
      </c>
      <c r="D295" s="3" t="n"/>
      <c r="E295" s="3">
        <f>(E235-D235)+E123</f>
        <v>2</v>
      </c>
      <c r="F295" s="3">
        <f>(F235-E235)+F123</f>
        <v>4</v>
      </c>
      <c r="G295" s="3">
        <f>(G235-F235)+G123</f>
        <v>-4</v>
      </c>
      <c r="H295" s="3">
        <f>SUM(D295:G295)</f>
        <v>2</v>
      </c>
      <c r="I295" s="3">
        <f>(I235-H235)+I123</f>
        <v>0</v>
      </c>
      <c r="J295" s="3">
        <f>(J235-I235)+J123</f>
        <v>-3</v>
      </c>
      <c r="K295" s="3">
        <f>(K235-J235)+K123</f>
        <v>1</v>
      </c>
      <c r="L295" s="3">
        <f>(L235-K235)+L123</f>
        <v>0</v>
      </c>
      <c r="M295" s="3">
        <f>SUM(I295:L295)</f>
        <v>-2</v>
      </c>
      <c r="N295" s="3">
        <f>(N235-M235)+N123</f>
        <v>99</v>
      </c>
      <c r="O295" s="3">
        <f>(O235-N235)+O123</f>
        <v>-5</v>
      </c>
      <c r="P295" s="3">
        <f>(P235-O235)+P123</f>
        <v>-1</v>
      </c>
      <c r="Q295" s="3">
        <f>(Q235-P235)+Q123</f>
        <v>11</v>
      </c>
      <c r="R295" s="3">
        <f>SUM(N295:Q295)</f>
        <v>104</v>
      </c>
      <c r="S295" s="3">
        <f>(S235-R235)+S123</f>
        <v>3</v>
      </c>
      <c r="T295" s="3">
        <f>(T235-S235)+T123</f>
        <v>4</v>
      </c>
      <c r="U295" s="3">
        <f>(U235-T235)+U123</f>
        <v>-2</v>
      </c>
      <c r="V295" s="3">
        <f>(V235-U235)+V123</f>
        <v>6</v>
      </c>
      <c r="W295" s="3">
        <f>SUM(S295:V295)</f>
        <v>11</v>
      </c>
      <c r="X295" s="3">
        <f>(X235-W235)+X123</f>
        <v>0</v>
      </c>
      <c r="Y295" s="3">
        <f>(Y235-X235)+Y123</f>
        <v>-12</v>
      </c>
      <c r="Z295" s="3">
        <f>(Z235-Y235)+Z123</f>
        <v>5</v>
      </c>
      <c r="AA295" s="3">
        <f>(AA235-Z235)+AA123</f>
        <v>-2</v>
      </c>
      <c r="AB295" s="3">
        <f>SUM(X295:AA295)</f>
        <v>-9</v>
      </c>
      <c r="AC295" s="3">
        <f>(AC235-AB235)+AC123</f>
        <v>9</v>
      </c>
      <c r="AD295" s="3">
        <f>(AD235-AC235)+AD123</f>
        <v>16</v>
      </c>
      <c r="AE295" s="3">
        <f>(AE235-AD235)+AE123</f>
        <v>-27</v>
      </c>
      <c r="AF295" s="3">
        <f>(AF235-AE235)+AF123</f>
        <v>1</v>
      </c>
      <c r="AG295" s="3">
        <f>SUM(AC295:AF295)</f>
        <v>-1</v>
      </c>
      <c r="AH295" s="3">
        <f>(AH235-AG235)+AH123</f>
        <v>0</v>
      </c>
      <c r="AI295" s="3">
        <f>(AI235-AH235)+AI123</f>
        <v>-1</v>
      </c>
      <c r="AJ295" s="3">
        <f>(AJ235-AI235)+AJ123</f>
        <v>0</v>
      </c>
      <c r="AK295" s="3">
        <f>(AK235-AJ235)+AK123</f>
        <v>0</v>
      </c>
      <c r="AL295" s="3">
        <f>SUM(AH295:AK295)</f>
        <v>-1</v>
      </c>
      <c r="AM295" s="3">
        <f>(AM235-AL235)+AM123</f>
        <v>0</v>
      </c>
      <c r="AN295" s="3">
        <f>(AN235-AM235)+AN123</f>
        <v>0</v>
      </c>
      <c r="AO295" s="3">
        <f>(AO235-AN235)+AO123</f>
        <v>0</v>
      </c>
      <c r="AP295" s="3">
        <f>(AP235-AO235)+AP123</f>
        <v>0</v>
      </c>
      <c r="AQ295" s="3">
        <f>SUM(AM295:AP295)</f>
        <v>0</v>
      </c>
      <c r="AR295" s="3">
        <f>(AR235-AQ235)+AR123</f>
        <v>0</v>
      </c>
      <c r="AS295" s="3">
        <f>(AS235-AR235)+AS123</f>
        <v>0</v>
      </c>
      <c r="AT295" s="3">
        <f>(AT235-AS235)+AT123</f>
        <v>0</v>
      </c>
      <c r="AU295" s="3">
        <f>(AU235-AT235)+AU123</f>
        <v>0</v>
      </c>
      <c r="AV295" s="3">
        <f>SUM(AR295:AU295)</f>
        <v>0</v>
      </c>
      <c r="AW295" s="3">
        <f>(AW235-AV235)+AW123</f>
        <v>0</v>
      </c>
      <c r="AX295" s="3">
        <f>(AX235-AW235)+AX123</f>
        <v>0</v>
      </c>
      <c r="AY295" s="3">
        <f>(AY235-AX235)+AY123</f>
        <v>0</v>
      </c>
      <c r="AZ295" s="3">
        <f>(AZ235-AY235)+AZ123</f>
        <v>0</v>
      </c>
      <c r="BA295" s="3">
        <f>SUM(AW295:AZ295)</f>
        <v>0</v>
      </c>
      <c r="BB295" s="3">
        <f>(BB235-BA235)+BB123</f>
        <v>0</v>
      </c>
      <c r="BC295" s="3">
        <f>(BC235-BB235)+BC123</f>
        <v>0</v>
      </c>
      <c r="BD295" s="3">
        <f>(BD235-BC235)+BD123</f>
        <v>0</v>
      </c>
      <c r="BE295" s="3">
        <f>(BE235-BD235)+BE123</f>
        <v>0</v>
      </c>
      <c r="BF295" s="3">
        <f>SUM(BB295:BE295)</f>
        <v>0</v>
      </c>
      <c r="BG295" s="3">
        <f>(BG235-BF235)+BG123</f>
        <v>0</v>
      </c>
      <c r="BH295" s="3">
        <f>(BH235-BG235)+BH123</f>
        <v>0</v>
      </c>
      <c r="BI295" s="3">
        <f>(BI235-BH235)+BI123</f>
        <v>0</v>
      </c>
      <c r="BJ295" s="3">
        <f>(BJ235-BI235)+BJ123</f>
        <v>0</v>
      </c>
      <c r="BK295" s="3">
        <f>SUM(BG295:BJ295)</f>
        <v>0</v>
      </c>
      <c r="BL295" s="3">
        <f>(BL235-BK235)+BL123</f>
        <v>0</v>
      </c>
      <c r="BM295" s="3">
        <f>(BM235-BL235)+BM123</f>
        <v>0</v>
      </c>
      <c r="BN295" s="3">
        <f>(BN235-BM235)+BN123</f>
        <v>0</v>
      </c>
      <c r="BO295" s="3">
        <f>(BO235-BN235)+BO123</f>
        <v>0</v>
      </c>
      <c r="BP295" s="3">
        <f>SUM(BL295:BO295)</f>
        <v>0</v>
      </c>
      <c r="BQ295" s="3">
        <f>(BQ235-BP235)+BQ123</f>
        <v>0</v>
      </c>
      <c r="BR295" s="3">
        <f>(BR235-BQ235)+BR123</f>
        <v>0</v>
      </c>
      <c r="BS295" s="3">
        <f>(BS235-BR235)+BS123</f>
        <v>0</v>
      </c>
      <c r="BT295" s="3">
        <f>(BT235-BS235)+BT123</f>
        <v>0</v>
      </c>
      <c r="BU295" s="3">
        <f>SUM(BQ295:BT295)</f>
        <v>0</v>
      </c>
      <c r="BV295" s="3">
        <f>(BV235-BU235)+BV123</f>
        <v>0</v>
      </c>
      <c r="BW295" s="3">
        <f>(BW235-BV235)+BW123</f>
        <v>0</v>
      </c>
      <c r="BX295" s="3">
        <f>(BX235-BW235)+BX123</f>
        <v>0</v>
      </c>
      <c r="BY295" s="3">
        <f>(BY235-BX235)+BY123</f>
        <v>0</v>
      </c>
      <c r="BZ295" s="3">
        <f>SUM(BV295:BY295)</f>
        <v>0</v>
      </c>
      <c r="CA295" s="3">
        <f>(CA235-BZ235)+CA123</f>
        <v>0</v>
      </c>
      <c r="CB295" s="3">
        <f>(CB235-CA235)+CB123</f>
        <v>0</v>
      </c>
      <c r="CC295" s="3">
        <f>(CC235-CB235)+CC123</f>
        <v>0</v>
      </c>
      <c r="CD295" s="3">
        <f>(CD235-CC235)+CD123</f>
        <v>0</v>
      </c>
      <c r="CE295" s="3">
        <f>SUM(CA295:CD295)</f>
        <v>0</v>
      </c>
      <c r="CF295" s="3">
        <f>(CF235-CE235)+CF123</f>
        <v>0</v>
      </c>
      <c r="CG295" s="3">
        <f>(CG235-CF235)+CG123</f>
        <v>0</v>
      </c>
      <c r="CH295" s="3">
        <f>(CH235-CG235)+CH123</f>
        <v>0</v>
      </c>
      <c r="CI295" s="3">
        <f>(CI235-CH235)+CI123</f>
        <v>0</v>
      </c>
      <c r="CJ295" s="3">
        <f>SUM(CF295:CI295)</f>
        <v>0</v>
      </c>
      <c r="CK295" s="3">
        <f>(CK235-CJ235)+CK123</f>
        <v>0</v>
      </c>
      <c r="CL295" s="3">
        <f>(CL235-CK235)+CL123</f>
        <v>0</v>
      </c>
      <c r="CM295" s="3">
        <f>(CM235-CL235)+CM123</f>
        <v>0</v>
      </c>
      <c r="CN295" s="3">
        <f>(CN235-CM235)+CN123</f>
        <v>0</v>
      </c>
      <c r="CO295" s="3">
        <f>SUM(CK295:CN295)</f>
        <v>0</v>
      </c>
      <c r="CP295" s="3">
        <f>(CP235-CO235)+CP123</f>
        <v>0</v>
      </c>
      <c r="CQ295" s="3">
        <f>(CQ235-CP235)+CQ123</f>
        <v>0</v>
      </c>
      <c r="CR295" s="3">
        <f>(CR235-CQ235)+CR123</f>
        <v>0</v>
      </c>
      <c r="CS295" s="3">
        <f>(CS235-CR235)+CS123</f>
        <v>0</v>
      </c>
      <c r="CT295" s="3">
        <f>SUM(CP295:CS295)</f>
        <v>0</v>
      </c>
      <c r="CU295" s="3">
        <f>(CU235-CT235)+CU123</f>
        <v>0</v>
      </c>
      <c r="CV295" s="3">
        <f>(CV235-CU235)+CV123</f>
        <v>0</v>
      </c>
      <c r="CW295" s="3">
        <f>(CW235-CV235)+CW123</f>
        <v>0</v>
      </c>
      <c r="CX295" s="3">
        <f>(CX235-CW235)+CX123</f>
        <v>0</v>
      </c>
      <c r="CY295" s="3">
        <f>SUM(CU295:CX295)</f>
        <v>0</v>
      </c>
    </row>
    <row r="296">
      <c r="C296" s="28" t="inlineStr">
        <is>
          <t>Increases / (decreases) in debt</t>
        </is>
      </c>
      <c r="D296" s="3" t="n"/>
      <c r="E296" s="3">
        <f>SUM(E199:E201,E204,E225,E222)-SUM(D199:D201,D204,D225,D222)</f>
        <v>-287</v>
      </c>
      <c r="F296" s="3">
        <f>SUM(F199:F201,F204,F225,F222)-SUM(E199:E201,E204,E225,E222)</f>
        <v>-1303</v>
      </c>
      <c r="G296" s="3">
        <f>SUM(G199:G201,G204,G225,G222)-SUM(F199:F201,F204,F225,F222)</f>
        <v>38</v>
      </c>
      <c r="H296" s="3">
        <f>SUM(D296:G296)</f>
        <v>-1552</v>
      </c>
      <c r="I296" s="3">
        <f>SUM(I199:I201,I204,I225,I222)-SUM(H199:H201,H204,H225,H222)</f>
        <v>574</v>
      </c>
      <c r="J296" s="3">
        <f>SUM(J199:J201,J204,J225,J222)-SUM(I199:I201,I204,I225,I222)</f>
        <v>9338</v>
      </c>
      <c r="K296" s="3">
        <f>SUM(K199:K201,K204,K225,K222)-SUM(J199:J201,J204,J225,J222)</f>
        <v>1123</v>
      </c>
      <c r="L296" s="3">
        <f>SUM(L199:L201,L204,L225,L222)-SUM(K199:K201,K204,K225,K222)</f>
        <v>21</v>
      </c>
      <c r="M296" s="3">
        <f>SUM(I296:L296)</f>
        <v>11056</v>
      </c>
      <c r="N296" s="3">
        <f>SUM(N199:N201,N204,N225,N222)-SUM(M199:M201,M204,M225,M222)</f>
        <v>1032</v>
      </c>
      <c r="O296" s="3">
        <f>SUM(O199:O201,O204,O225,O222)-SUM(N199:N201,N204,N225,N222)</f>
        <v>-30684</v>
      </c>
      <c r="P296" s="3">
        <f>SUM(P199:P201,P204,P225,P222)-SUM(O199:O201,O204,O225,O222)</f>
        <v>-1584</v>
      </c>
      <c r="Q296" s="3">
        <f>SUM(Q199:Q201,Q204,Q225,Q222)-SUM(P199:P201,P204,P225,P222)</f>
        <v>1537</v>
      </c>
      <c r="R296" s="3">
        <f>SUM(N296:Q296)</f>
        <v>-29699</v>
      </c>
      <c r="S296" s="3">
        <f>SUM(S199:S201,S204,S225,S222)-SUM(R199:R201,R204,R225,R222)</f>
        <v>2980</v>
      </c>
      <c r="T296" s="3">
        <f>SUM(T199:T201,T204,T225,T222)-SUM(S199:S201,S204,S225,S222)</f>
        <v>34</v>
      </c>
      <c r="U296" s="3">
        <f>SUM(U199:U201,U204,U225,U222)-SUM(T199:T201,T204,T225,T222)</f>
        <v>796</v>
      </c>
      <c r="V296" s="3">
        <f>SUM(V199:V201,V204,V225,V222)-SUM(U199:U201,U204,U225,U222)</f>
        <v>-822</v>
      </c>
      <c r="W296" s="3">
        <f>SUM(S296:V296)</f>
        <v>2988</v>
      </c>
      <c r="X296" s="3">
        <f>SUM(X199:X201,X204,X225,X222)-SUM(W199:W201,W204,W225,W222)</f>
        <v>582</v>
      </c>
      <c r="Y296" s="3">
        <f>SUM(Y199:Y201,Y204,Y225,Y222)-SUM(X199:X201,X204,X225,X222)</f>
        <v>-2405</v>
      </c>
      <c r="Z296" s="3">
        <f>SUM(Z199:Z201,Z204,Z225,Z222)-SUM(Y199:Y201,Y204,Y225,Y222)</f>
        <v>-1761</v>
      </c>
      <c r="AA296" s="3">
        <f>SUM(AA199:AA201,AA204,AA225,AA222)-SUM(Z199:Z201,Z204,Z225,Z222)</f>
        <v>-722</v>
      </c>
      <c r="AB296" s="3">
        <f>SUM(X296:AA296)</f>
        <v>-4306</v>
      </c>
      <c r="AC296" s="3">
        <f>SUM(AC199:AC201,AC204,AC225,AC222)-SUM(AB199:AB201,AB204,AB225,AB222)</f>
        <v>3137</v>
      </c>
      <c r="AD296" s="3">
        <f>SUM(AD199:AD201,AD204,AD225,AD222)-SUM(AC199:AC201,AC204,AC225,AC222)</f>
        <v>-1341</v>
      </c>
      <c r="AE296" s="3">
        <f>SUM(AE199:AE201,AE204,AE225,AE222)-SUM(AD199:AD201,AD204,AD225,AD222)</f>
        <v>-811</v>
      </c>
      <c r="AF296" s="3">
        <f>SUM(AF199:AF201,AF204,AF225,AF222)-SUM(AE199:AE201,AE204,AE225,AE222)</f>
        <v>596</v>
      </c>
      <c r="AG296" s="3">
        <f>SUM(AC296:AF296)</f>
        <v>1581</v>
      </c>
      <c r="AH296" s="3">
        <f>SUM(AH199:AH201,AH204,AH225,AH222)-SUM(AG199:AG201,AG204,AG225,AG222)</f>
        <v>1240</v>
      </c>
      <c r="AI296" s="3">
        <f>SUM(AI199:AI201,AI204,AI225,AI222)-SUM(AH199:AH201,AH204,AH225,AH222)</f>
        <v>1483</v>
      </c>
      <c r="AJ296" s="3">
        <f>SUM(AJ199:AJ201,AJ204,AJ225,AJ222)-SUM(AI199:AI201,AI204,AI225,AI222)</f>
        <v>0</v>
      </c>
      <c r="AK296" s="3">
        <f>SUM(AK199:AK201,AK204,AK225,AK222)-SUM(AJ199:AJ201,AJ204,AJ225,AJ222)</f>
        <v>0</v>
      </c>
      <c r="AL296" s="3">
        <f>SUM(AH296:AK296)</f>
        <v>2723</v>
      </c>
      <c r="AM296" s="3">
        <f>SUM(AM199:AM201,AM204,AM225,AM222)-SUM(AL199:AL201,AL204,AL225,AL222)</f>
        <v>0</v>
      </c>
      <c r="AN296" s="3">
        <f>SUM(AN199:AN201,AN204,AN225,AN222)-SUM(AM199:AM201,AM204,AM225,AM222)</f>
        <v>0</v>
      </c>
      <c r="AO296" s="3">
        <f>SUM(AO199:AO201,AO204,AO225,AO222)-SUM(AN199:AN201,AN204,AN225,AN222)</f>
        <v>0</v>
      </c>
      <c r="AP296" s="3">
        <f>SUM(AP199:AP201,AP204,AP225,AP222)-SUM(AO199:AO201,AO204,AO225,AO222)</f>
        <v>0</v>
      </c>
      <c r="AQ296" s="3">
        <f>SUM(AM296:AP296)</f>
        <v>0</v>
      </c>
      <c r="AR296" s="3">
        <f>SUM(AR199:AR201,AR204,AR225,AR222)-SUM(AQ199:AQ201,AQ204,AQ225,AQ222)</f>
        <v>0</v>
      </c>
      <c r="AS296" s="3">
        <f>SUM(AS199:AS201,AS204,AS225,AS222)-SUM(AR199:AR201,AR204,AR225,AR222)</f>
        <v>0</v>
      </c>
      <c r="AT296" s="3">
        <f>SUM(AT199:AT201,AT204,AT225,AT222)-SUM(AS199:AS201,AS204,AS225,AS222)</f>
        <v>0</v>
      </c>
      <c r="AU296" s="3">
        <f>SUM(AU199:AU201,AU204,AU225,AU222)-SUM(AT199:AT201,AT204,AT225,AT222)</f>
        <v>0</v>
      </c>
      <c r="AV296" s="3">
        <f>SUM(AR296:AU296)</f>
        <v>0</v>
      </c>
      <c r="AW296" s="3">
        <f>SUM(AW199:AW201,AW204,AW225,AW222)-SUM(AV199:AV201,AV204,AV225,AV222)</f>
        <v>0</v>
      </c>
      <c r="AX296" s="3">
        <f>SUM(AX199:AX201,AX204,AX225,AX222)-SUM(AW199:AW201,AW204,AW225,AW222)</f>
        <v>0</v>
      </c>
      <c r="AY296" s="3">
        <f>SUM(AY199:AY201,AY204,AY225,AY222)-SUM(AX199:AX201,AX204,AX225,AX222)</f>
        <v>0</v>
      </c>
      <c r="AZ296" s="3">
        <f>SUM(AZ199:AZ201,AZ204,AZ225,AZ222)-SUM(AY199:AY201,AY204,AY225,AY222)</f>
        <v>0</v>
      </c>
      <c r="BA296" s="3">
        <f>SUM(AW296:AZ296)</f>
        <v>0</v>
      </c>
      <c r="BB296" s="3">
        <f>SUM(BB199:BB201,BB204,BB225,BB222)-SUM(BA199:BA201,BA204,BA225,BA222)</f>
        <v>0</v>
      </c>
      <c r="BC296" s="3">
        <f>SUM(BC199:BC201,BC204,BC225,BC222)-SUM(BB199:BB201,BB204,BB225,BB222)</f>
        <v>0</v>
      </c>
      <c r="BD296" s="3">
        <f>SUM(BD199:BD201,BD204,BD225,BD222)-SUM(BC199:BC201,BC204,BC225,BC222)</f>
        <v>0</v>
      </c>
      <c r="BE296" s="3">
        <f>SUM(BE199:BE201,BE204,BE225,BE222)-SUM(BD199:BD201,BD204,BD225,BD222)</f>
        <v>0</v>
      </c>
      <c r="BF296" s="3">
        <f>SUM(BB296:BE296)</f>
        <v>0</v>
      </c>
      <c r="BG296" s="3">
        <f>SUM(BG199:BG201,BG204,BG225,BG222)-SUM(BF199:BF201,BF204,BF225,BF222)</f>
        <v>0</v>
      </c>
      <c r="BH296" s="3">
        <f>SUM(BH199:BH201,BH204,BH225,BH222)-SUM(BG199:BG201,BG204,BG225,BG222)</f>
        <v>0</v>
      </c>
      <c r="BI296" s="3">
        <f>SUM(BI199:BI201,BI204,BI225,BI222)-SUM(BH199:BH201,BH204,BH225,BH222)</f>
        <v>0</v>
      </c>
      <c r="BJ296" s="3">
        <f>SUM(BJ199:BJ201,BJ204,BJ225,BJ222)-SUM(BI199:BI201,BI204,BI225,BI222)</f>
        <v>0</v>
      </c>
      <c r="BK296" s="3">
        <f>SUM(BG296:BJ296)</f>
        <v>0</v>
      </c>
      <c r="BL296" s="3">
        <f>SUM(BL199:BL201,BL204,BL225,BL222)-SUM(BK199:BK201,BK204,BK225,BK222)</f>
        <v>0</v>
      </c>
      <c r="BM296" s="3">
        <f>SUM(BM199:BM201,BM204,BM225,BM222)-SUM(BL199:BL201,BL204,BL225,BL222)</f>
        <v>0</v>
      </c>
      <c r="BN296" s="3">
        <f>SUM(BN199:BN201,BN204,BN225,BN222)-SUM(BM199:BM201,BM204,BM225,BM222)</f>
        <v>0</v>
      </c>
      <c r="BO296" s="3">
        <f>SUM(BO199:BO201,BO204,BO225,BO222)-SUM(BN199:BN201,BN204,BN225,BN222)</f>
        <v>0</v>
      </c>
      <c r="BP296" s="3">
        <f>SUM(BL296:BO296)</f>
        <v>0</v>
      </c>
      <c r="BQ296" s="3">
        <f>SUM(BQ199:BQ201,BQ204,BQ225,BQ222)-SUM(BP199:BP201,BP204,BP225,BP222)</f>
        <v>0</v>
      </c>
      <c r="BR296" s="3">
        <f>SUM(BR199:BR201,BR204,BR225,BR222)-SUM(BQ199:BQ201,BQ204,BQ225,BQ222)</f>
        <v>0</v>
      </c>
      <c r="BS296" s="3">
        <f>SUM(BS199:BS201,BS204,BS225,BS222)-SUM(BR199:BR201,BR204,BR225,BR222)</f>
        <v>0</v>
      </c>
      <c r="BT296" s="3">
        <f>SUM(BT199:BT201,BT204,BT225,BT222)-SUM(BS199:BS201,BS204,BS225,BS222)</f>
        <v>0</v>
      </c>
      <c r="BU296" s="3">
        <f>SUM(BQ296:BT296)</f>
        <v>0</v>
      </c>
      <c r="BV296" s="3">
        <f>SUM(BV199:BV201,BV204,BV225,BV222)-SUM(BU199:BU201,BU204,BU225,BU222)</f>
        <v>0</v>
      </c>
      <c r="BW296" s="3">
        <f>SUM(BW199:BW201,BW204,BW225,BW222)-SUM(BV199:BV201,BV204,BV225,BV222)</f>
        <v>0</v>
      </c>
      <c r="BX296" s="3">
        <f>SUM(BX199:BX201,BX204,BX225,BX222)-SUM(BW199:BW201,BW204,BW225,BW222)</f>
        <v>0</v>
      </c>
      <c r="BY296" s="3">
        <f>SUM(BY199:BY201,BY204,BY225,BY222)-SUM(BX199:BX201,BX204,BX225,BX222)</f>
        <v>0</v>
      </c>
      <c r="BZ296" s="3">
        <f>SUM(BV296:BY296)</f>
        <v>0</v>
      </c>
      <c r="CA296" s="3">
        <f>SUM(CA199:CA201,CA204,CA225,CA222)-SUM(BZ199:BZ201,BZ204,BZ225,BZ222)</f>
        <v>0</v>
      </c>
      <c r="CB296" s="3">
        <f>SUM(CB199:CB201,CB204,CB225,CB222)-SUM(CA199:CA201,CA204,CA225,CA222)</f>
        <v>0</v>
      </c>
      <c r="CC296" s="3">
        <f>SUM(CC199:CC201,CC204,CC225,CC222)-SUM(CB199:CB201,CB204,CB225,CB222)</f>
        <v>0</v>
      </c>
      <c r="CD296" s="3">
        <f>SUM(CD199:CD201,CD204,CD225,CD222)-SUM(CC199:CC201,CC204,CC225,CC222)</f>
        <v>0</v>
      </c>
      <c r="CE296" s="3">
        <f>SUM(CA296:CD296)</f>
        <v>0</v>
      </c>
      <c r="CF296" s="3">
        <f>SUM(CF199:CF201,CF204,CF225,CF222)-SUM(CE199:CE201,CE204,CE225,CE222)</f>
        <v>0</v>
      </c>
      <c r="CG296" s="3">
        <f>SUM(CG199:CG201,CG204,CG225,CG222)-SUM(CF199:CF201,CF204,CF225,CF222)</f>
        <v>0</v>
      </c>
      <c r="CH296" s="3">
        <f>SUM(CH199:CH201,CH204,CH225,CH222)-SUM(CG199:CG201,CG204,CG225,CG222)</f>
        <v>0</v>
      </c>
      <c r="CI296" s="3">
        <f>SUM(CI199:CI201,CI204,CI225,CI222)-SUM(CH199:CH201,CH204,CH225,CH222)</f>
        <v>0</v>
      </c>
      <c r="CJ296" s="3">
        <f>SUM(CF296:CI296)</f>
        <v>0</v>
      </c>
      <c r="CK296" s="3">
        <f>SUM(CK199:CK201,CK204,CK225,CK222)-SUM(CJ199:CJ201,CJ204,CJ225,CJ222)</f>
        <v>0</v>
      </c>
      <c r="CL296" s="3">
        <f>SUM(CL199:CL201,CL204,CL225,CL222)-SUM(CK199:CK201,CK204,CK225,CK222)</f>
        <v>0</v>
      </c>
      <c r="CM296" s="3">
        <f>SUM(CM199:CM201,CM204,CM225,CM222)-SUM(CL199:CL201,CL204,CL225,CL222)</f>
        <v>0</v>
      </c>
      <c r="CN296" s="3">
        <f>SUM(CN199:CN201,CN204,CN225,CN222)-SUM(CM199:CM201,CM204,CM225,CM222)</f>
        <v>0</v>
      </c>
      <c r="CO296" s="3">
        <f>SUM(CK296:CN296)</f>
        <v>0</v>
      </c>
      <c r="CP296" s="3">
        <f>SUM(CP199:CP201,CP204,CP225,CP222)-SUM(CO199:CO201,CO204,CO225,CO222)</f>
        <v>0</v>
      </c>
      <c r="CQ296" s="3">
        <f>SUM(CQ199:CQ201,CQ204,CQ225,CQ222)-SUM(CP199:CP201,CP204,CP225,CP222)</f>
        <v>0</v>
      </c>
      <c r="CR296" s="3">
        <f>SUM(CR199:CR201,CR204,CR225,CR222)-SUM(CQ199:CQ201,CQ204,CQ225,CQ222)</f>
        <v>0</v>
      </c>
      <c r="CS296" s="3">
        <f>SUM(CS199:CS201,CS204,CS225,CS222)-SUM(CR199:CR201,CR204,CR225,CR222)</f>
        <v>0</v>
      </c>
      <c r="CT296" s="3">
        <f>SUM(CP296:CS296)</f>
        <v>0</v>
      </c>
      <c r="CU296" s="3">
        <f>SUM(CU199:CU201,CU204,CU225,CU222)-SUM(CT199:CT201,CT204,CT225,CT222)</f>
        <v>0</v>
      </c>
      <c r="CV296" s="3">
        <f>SUM(CV199:CV201,CV204,CV225,CV222)-SUM(CU199:CU201,CU204,CU225,CU222)</f>
        <v>0</v>
      </c>
      <c r="CW296" s="3">
        <f>SUM(CW199:CW201,CW204,CW225,CW222)-SUM(CV199:CV201,CV204,CV225,CV222)</f>
        <v>0</v>
      </c>
      <c r="CX296" s="3">
        <f>SUM(CX199:CX201,CX204,CX225,CX222)-SUM(CW199:CW201,CW204,CW225,CW222)</f>
        <v>0</v>
      </c>
      <c r="CY296" s="3">
        <f>SUM(CU296:CX296)</f>
        <v>0</v>
      </c>
      <c r="CZ296" s="3" t="n"/>
      <c r="DA296" s="3" t="n"/>
      <c r="DB296" s="3" t="n"/>
      <c r="DC296" s="3" t="n"/>
    </row>
    <row r="297">
      <c r="C297" s="26" t="inlineStr">
        <is>
          <t>Cash from financing</t>
        </is>
      </c>
      <c r="D297" s="3" t="n"/>
      <c r="E297" s="3">
        <f>SUM(E289,E290,E291,E292,E293,E294,E295,E296)</f>
        <v>-72</v>
      </c>
      <c r="F297" s="3">
        <f>SUM(F289,F290,F291,F292,F293,F294,F295,F296)</f>
        <v>-2007</v>
      </c>
      <c r="G297" s="3">
        <f>SUM(G289,G290,G291,G292,G293,G294,G295,G296)</f>
        <v>-44</v>
      </c>
      <c r="H297" s="3">
        <f>SUM(H289,H290,H291,H292,H293,H294,H295,H296)</f>
        <v>-2123</v>
      </c>
      <c r="I297" s="3">
        <f>SUM(I289,I290,I291,I292,I293,I294,I295,I296)</f>
        <v>-207</v>
      </c>
      <c r="J297" s="3">
        <f>SUM(J289,J290,J291,J292,J293,J294,J295,J296)</f>
        <v>8307</v>
      </c>
      <c r="K297" s="3">
        <f>SUM(K289,K290,K291,K292,K293,K294,K295,K296)</f>
        <v>2541</v>
      </c>
      <c r="L297" s="3">
        <f>SUM(L289,L290,L291,L292,L293,L294,L295,L296)</f>
        <v>-1509</v>
      </c>
      <c r="M297" s="3">
        <f>SUM(M289,M290,M291,M292,M293,M294,M295,M296)</f>
        <v>9132</v>
      </c>
      <c r="N297" s="3">
        <f>SUM(N289,N290,N291,N292,N293,N294,N295,N296)</f>
        <v>133</v>
      </c>
      <c r="O297" s="3">
        <f>SUM(O289,O290,O291,O292,O293,O294,O295,O296)</f>
        <v>-32444</v>
      </c>
      <c r="P297" s="3">
        <f>SUM(P289,P290,P291,P292,P293,P294,P295,P296)</f>
        <v>-2602</v>
      </c>
      <c r="Q297" s="3">
        <f>SUM(Q289,Q290,Q291,Q292,Q293,Q294,Q295,Q296)</f>
        <v>659</v>
      </c>
      <c r="R297" s="3">
        <f>SUM(R289,R290,R291,R292,R293,R294,R295,R296)</f>
        <v>-34254</v>
      </c>
      <c r="S297" s="3">
        <f>SUM(S289,S290,S291,S292,S293,S294,S295,S296)</f>
        <v>1186</v>
      </c>
      <c r="T297" s="3">
        <f>SUM(T289,T290,T291,T292,T293,T294,T295,T296)</f>
        <v>-2287</v>
      </c>
      <c r="U297" s="3">
        <f>SUM(U289,U290,U291,U292,U293,U294,U295,U296)</f>
        <v>-2838</v>
      </c>
      <c r="V297" s="3">
        <f>SUM(V289,V290,V291,V292,V293,V294,V295,V296)</f>
        <v>-2277</v>
      </c>
      <c r="W297" s="3">
        <f>SUM(W289,W290,W291,W292,W293,W294,W295,W296)</f>
        <v>-6216</v>
      </c>
      <c r="X297" s="3">
        <f>SUM(X289,X290,X291,X292,X293,X294,X295,X296)</f>
        <v>-1179</v>
      </c>
      <c r="Y297" s="3">
        <f>SUM(Y289,Y290,Y291,Y292,Y293,Y294,Y295,Y296)</f>
        <v>-3773</v>
      </c>
      <c r="Z297" s="3">
        <f>SUM(Z289,Z290,Z291,Z292,Z293,Z294,Z295,Z296)</f>
        <v>-3227</v>
      </c>
      <c r="AA297" s="3">
        <f>SUM(AA289,AA290,AA291,AA292,AA293,AA294,AA295,AA296)</f>
        <v>-1950</v>
      </c>
      <c r="AB297" s="3">
        <f>SUM(AB289,AB290,AB291,AB292,AB293,AB294,AB295,AB296)</f>
        <v>-10129</v>
      </c>
      <c r="AC297" s="3">
        <f>SUM(AC289,AC290,AC291,AC292,AC293,AC294,AC295,AC296)</f>
        <v>3150</v>
      </c>
      <c r="AD297" s="3">
        <f>SUM(AD289,AD290,AD291,AD292,AD293,AD294,AD295,AD296)</f>
        <v>-1726</v>
      </c>
      <c r="AE297" s="3">
        <f>SUM(AE289,AE290,AE291,AE292,AE293,AE294,AE295,AE296)</f>
        <v>-1128</v>
      </c>
      <c r="AF297" s="3">
        <f>SUM(AF289,AF290,AF291,AF292,AF293,AF294,AF295,AF296)</f>
        <v>291</v>
      </c>
      <c r="AG297" s="3">
        <f>SUM(AG289,AG290,AG291,AG292,AG293,AG294,AG295,AG296)</f>
        <v>587</v>
      </c>
      <c r="AH297" s="3">
        <f>SUM(AH289,AH290,AH291,AH292,AH293,AH294,AH295,AH296)</f>
        <v>573</v>
      </c>
      <c r="AI297" s="3">
        <f>SUM(AI289,AI290,AI291,AI292,AI293,AI294,AI295,AI296)</f>
        <v>687</v>
      </c>
      <c r="AJ297" s="3">
        <f>SUM(AJ289,AJ290,AJ291,AJ292,AJ293,AJ294,AJ295,AJ296)</f>
        <v>0</v>
      </c>
      <c r="AK297" s="3">
        <f>SUM(AK289,AK290,AK291,AK292,AK293,AK294,AK295,AK296)</f>
        <v>0</v>
      </c>
      <c r="AL297" s="3">
        <f>SUM(AL289,AL290,AL291,AL292,AL293,AL294,AL295,AL296)</f>
        <v>1260</v>
      </c>
      <c r="AM297" s="3">
        <f>SUM(AM289,AM290,AM291,AM292,AM293,AM294,AM295,AM296)</f>
        <v>0</v>
      </c>
      <c r="AN297" s="3">
        <f>SUM(AN289,AN290,AN291,AN292,AN293,AN294,AN295,AN296)</f>
        <v>0</v>
      </c>
      <c r="AO297" s="3">
        <f>SUM(AO289,AO290,AO291,AO292,AO293,AO294,AO295,AO296)</f>
        <v>0</v>
      </c>
      <c r="AP297" s="3">
        <f>SUM(AP289,AP290,AP291,AP292,AP293,AP294,AP295,AP296)</f>
        <v>0</v>
      </c>
      <c r="AQ297" s="3">
        <f>SUM(AQ289,AQ290,AQ291,AQ292,AQ293,AQ294,AQ295,AQ296)</f>
        <v>0</v>
      </c>
      <c r="AR297" s="3">
        <f>SUM(AR289,AR290,AR291,AR292,AR293,AR294,AR295,AR296)</f>
        <v>0</v>
      </c>
      <c r="AS297" s="3">
        <f>SUM(AS289,AS290,AS291,AS292,AS293,AS294,AS295,AS296)</f>
        <v>0</v>
      </c>
      <c r="AT297" s="3">
        <f>SUM(AT289,AT290,AT291,AT292,AT293,AT294,AT295,AT296)</f>
        <v>0</v>
      </c>
      <c r="AU297" s="3">
        <f>SUM(AU289,AU290,AU291,AU292,AU293,AU294,AU295,AU296)</f>
        <v>0</v>
      </c>
      <c r="AV297" s="3">
        <f>SUM(AV289,AV290,AV291,AV292,AV293,AV294,AV295,AV296)</f>
        <v>0</v>
      </c>
      <c r="AW297" s="3">
        <f>SUM(AW289,AW290,AW291,AW292,AW293,AW294,AW295,AW296)</f>
        <v>0</v>
      </c>
      <c r="AX297" s="3">
        <f>SUM(AX289,AX290,AX291,AX292,AX293,AX294,AX295,AX296)</f>
        <v>0</v>
      </c>
      <c r="AY297" s="3">
        <f>SUM(AY289,AY290,AY291,AY292,AY293,AY294,AY295,AY296)</f>
        <v>0</v>
      </c>
      <c r="AZ297" s="3">
        <f>SUM(AZ289,AZ290,AZ291,AZ292,AZ293,AZ294,AZ295,AZ296)</f>
        <v>0</v>
      </c>
      <c r="BA297" s="3">
        <f>SUM(BA289,BA290,BA291,BA292,BA293,BA294,BA295,BA296)</f>
        <v>0</v>
      </c>
      <c r="BB297" s="3">
        <f>SUM(BB289,BB290,BB291,BB292,BB293,BB294,BB295,BB296)</f>
        <v>0</v>
      </c>
      <c r="BC297" s="3">
        <f>SUM(BC289,BC290,BC291,BC292,BC293,BC294,BC295,BC296)</f>
        <v>0</v>
      </c>
      <c r="BD297" s="3">
        <f>SUM(BD289,BD290,BD291,BD292,BD293,BD294,BD295,BD296)</f>
        <v>0</v>
      </c>
      <c r="BE297" s="3">
        <f>SUM(BE289,BE290,BE291,BE292,BE293,BE294,BE295,BE296)</f>
        <v>0</v>
      </c>
      <c r="BF297" s="3">
        <f>SUM(BF289,BF290,BF291,BF292,BF293,BF294,BF295,BF296)</f>
        <v>0</v>
      </c>
      <c r="BG297" s="3">
        <f>SUM(BG289,BG290,BG291,BG292,BG293,BG294,BG295,BG296)</f>
        <v>0</v>
      </c>
      <c r="BH297" s="3">
        <f>SUM(BH289,BH290,BH291,BH292,BH293,BH294,BH295,BH296)</f>
        <v>0</v>
      </c>
      <c r="BI297" s="3">
        <f>SUM(BI289,BI290,BI291,BI292,BI293,BI294,BI295,BI296)</f>
        <v>0</v>
      </c>
      <c r="BJ297" s="3">
        <f>SUM(BJ289,BJ290,BJ291,BJ292,BJ293,BJ294,BJ295,BJ296)</f>
        <v>0</v>
      </c>
      <c r="BK297" s="3">
        <f>SUM(BK289,BK290,BK291,BK292,BK293,BK294,BK295,BK296)</f>
        <v>0</v>
      </c>
      <c r="BL297" s="3">
        <f>SUM(BL289,BL290,BL291,BL292,BL293,BL294,BL295,BL296)</f>
        <v>0</v>
      </c>
      <c r="BM297" s="3">
        <f>SUM(BM289,BM290,BM291,BM292,BM293,BM294,BM295,BM296)</f>
        <v>0</v>
      </c>
      <c r="BN297" s="3">
        <f>SUM(BN289,BN290,BN291,BN292,BN293,BN294,BN295,BN296)</f>
        <v>0</v>
      </c>
      <c r="BO297" s="3">
        <f>SUM(BO289,BO290,BO291,BO292,BO293,BO294,BO295,BO296)</f>
        <v>0</v>
      </c>
      <c r="BP297" s="3">
        <f>SUM(BP289,BP290,BP291,BP292,BP293,BP294,BP295,BP296)</f>
        <v>0</v>
      </c>
      <c r="BQ297" s="3">
        <f>SUM(BQ289,BQ290,BQ291,BQ292,BQ293,BQ294,BQ295,BQ296)</f>
        <v>0</v>
      </c>
      <c r="BR297" s="3">
        <f>SUM(BR289,BR290,BR291,BR292,BR293,BR294,BR295,BR296)</f>
        <v>0</v>
      </c>
      <c r="BS297" s="3">
        <f>SUM(BS289,BS290,BS291,BS292,BS293,BS294,BS295,BS296)</f>
        <v>0</v>
      </c>
      <c r="BT297" s="3">
        <f>SUM(BT289,BT290,BT291,BT292,BT293,BT294,BT295,BT296)</f>
        <v>0</v>
      </c>
      <c r="BU297" s="3">
        <f>SUM(BU289,BU290,BU291,BU292,BU293,BU294,BU295,BU296)</f>
        <v>0</v>
      </c>
      <c r="BV297" s="3">
        <f>SUM(BV289,BV290,BV291,BV292,BV293,BV294,BV295,BV296)</f>
        <v>0</v>
      </c>
      <c r="BW297" s="3">
        <f>SUM(BW289,BW290,BW291,BW292,BW293,BW294,BW295,BW296)</f>
        <v>0</v>
      </c>
      <c r="BX297" s="3">
        <f>SUM(BX289,BX290,BX291,BX292,BX293,BX294,BX295,BX296)</f>
        <v>0</v>
      </c>
      <c r="BY297" s="3">
        <f>SUM(BY289,BY290,BY291,BY292,BY293,BY294,BY295,BY296)</f>
        <v>0</v>
      </c>
      <c r="BZ297" s="3">
        <f>SUM(BZ289,BZ290,BZ291,BZ292,BZ293,BZ294,BZ295,BZ296)</f>
        <v>0</v>
      </c>
      <c r="CA297" s="3">
        <f>SUM(CA289,CA290,CA291,CA292,CA293,CA294,CA295,CA296)</f>
        <v>0</v>
      </c>
      <c r="CB297" s="3">
        <f>SUM(CB289,CB290,CB291,CB292,CB293,CB294,CB295,CB296)</f>
        <v>0</v>
      </c>
      <c r="CC297" s="3">
        <f>SUM(CC289,CC290,CC291,CC292,CC293,CC294,CC295,CC296)</f>
        <v>0</v>
      </c>
      <c r="CD297" s="3">
        <f>SUM(CD289,CD290,CD291,CD292,CD293,CD294,CD295,CD296)</f>
        <v>0</v>
      </c>
      <c r="CE297" s="3">
        <f>SUM(CE289,CE290,CE291,CE292,CE293,CE294,CE295,CE296)</f>
        <v>0</v>
      </c>
      <c r="CF297" s="3">
        <f>SUM(CF289,CF290,CF291,CF292,CF293,CF294,CF295,CF296)</f>
        <v>0</v>
      </c>
      <c r="CG297" s="3">
        <f>SUM(CG289,CG290,CG291,CG292,CG293,CG294,CG295,CG296)</f>
        <v>0</v>
      </c>
      <c r="CH297" s="3">
        <f>SUM(CH289,CH290,CH291,CH292,CH293,CH294,CH295,CH296)</f>
        <v>0</v>
      </c>
      <c r="CI297" s="3">
        <f>SUM(CI289,CI290,CI291,CI292,CI293,CI294,CI295,CI296)</f>
        <v>0</v>
      </c>
      <c r="CJ297" s="3">
        <f>SUM(CJ289,CJ290,CJ291,CJ292,CJ293,CJ294,CJ295,CJ296)</f>
        <v>0</v>
      </c>
      <c r="CK297" s="3">
        <f>SUM(CK289,CK290,CK291,CK292,CK293,CK294,CK295,CK296)</f>
        <v>0</v>
      </c>
      <c r="CL297" s="3">
        <f>SUM(CL289,CL290,CL291,CL292,CL293,CL294,CL295,CL296)</f>
        <v>0</v>
      </c>
      <c r="CM297" s="3">
        <f>SUM(CM289,CM290,CM291,CM292,CM293,CM294,CM295,CM296)</f>
        <v>0</v>
      </c>
      <c r="CN297" s="3">
        <f>SUM(CN289,CN290,CN291,CN292,CN293,CN294,CN295,CN296)</f>
        <v>0</v>
      </c>
      <c r="CO297" s="3">
        <f>SUM(CO289,CO290,CO291,CO292,CO293,CO294,CO295,CO296)</f>
        <v>0</v>
      </c>
      <c r="CP297" s="3">
        <f>SUM(CP289,CP290,CP291,CP292,CP293,CP294,CP295,CP296)</f>
        <v>0</v>
      </c>
      <c r="CQ297" s="3">
        <f>SUM(CQ289,CQ290,CQ291,CQ292,CQ293,CQ294,CQ295,CQ296)</f>
        <v>0</v>
      </c>
      <c r="CR297" s="3">
        <f>SUM(CR289,CR290,CR291,CR292,CR293,CR294,CR295,CR296)</f>
        <v>0</v>
      </c>
      <c r="CS297" s="3">
        <f>SUM(CS289,CS290,CS291,CS292,CS293,CS294,CS295,CS296)</f>
        <v>0</v>
      </c>
      <c r="CT297" s="3">
        <f>SUM(CT289,CT290,CT291,CT292,CT293,CT294,CT295,CT296)</f>
        <v>0</v>
      </c>
      <c r="CU297" s="3">
        <f>SUM(CU289,CU290,CU291,CU292,CU293,CU294,CU295,CU296)</f>
        <v>0</v>
      </c>
      <c r="CV297" s="3">
        <f>SUM(CV289,CV290,CV291,CV292,CV293,CV294,CV295,CV296)</f>
        <v>0</v>
      </c>
      <c r="CW297" s="3">
        <f>SUM(CW289,CW290,CW291,CW292,CW293,CW294,CW295,CW296)</f>
        <v>0</v>
      </c>
      <c r="CX297" s="3">
        <f>SUM(CX289,CX290,CX291,CX292,CX293,CX294,CX295,CX296)</f>
        <v>0</v>
      </c>
      <c r="CY297" s="3">
        <f>SUM(CY289,CY290,CY291,CY292,CY293,CY294,CY295,CY296)</f>
        <v>0</v>
      </c>
    </row>
    <row r="298">
      <c r="C298" s="26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  <c r="CU298" s="3" t="n"/>
      <c r="CV298" s="3" t="n"/>
      <c r="CW298" s="3" t="n"/>
      <c r="CX298" s="3" t="n"/>
      <c r="CY298" s="3" t="n"/>
    </row>
    <row r="299">
      <c r="C299" s="26" t="inlineStr">
        <is>
          <t>Others</t>
        </is>
      </c>
      <c r="D299" s="3" t="n"/>
      <c r="E299" s="3" t="n"/>
      <c r="F299" s="3" t="n"/>
      <c r="G299" s="3" t="n"/>
      <c r="H299" s="3">
        <f>SUM(D299:G299)</f>
        <v>0</v>
      </c>
      <c r="I299" s="3" t="n"/>
      <c r="J299" s="3" t="n"/>
      <c r="K299" s="3" t="n"/>
      <c r="L299" s="3" t="n"/>
      <c r="M299" s="3">
        <f>SUM(I299:L299)</f>
        <v>0</v>
      </c>
      <c r="N299" s="3" t="n"/>
      <c r="O299" s="3" t="n"/>
      <c r="P299" s="3" t="n"/>
      <c r="Q299" s="3" t="n"/>
      <c r="R299" s="3">
        <f>SUM(N299:Q299)</f>
        <v>0</v>
      </c>
      <c r="S299" s="3" t="n"/>
      <c r="T299" s="3" t="n"/>
      <c r="U299" s="3" t="n"/>
      <c r="V299" s="3" t="n"/>
      <c r="W299" s="3">
        <f>SUM(S299:V299)</f>
        <v>0</v>
      </c>
      <c r="X299" s="3" t="n"/>
      <c r="Y299" s="3" t="n"/>
      <c r="Z299" s="3" t="n"/>
      <c r="AA299" s="3" t="n"/>
      <c r="AB299" s="3">
        <f>SUM(X299:AA299)</f>
        <v>0</v>
      </c>
      <c r="AC299" s="3" t="n"/>
      <c r="AD299" s="3" t="n"/>
      <c r="AE299" s="3" t="n"/>
      <c r="AF299" s="3" t="n"/>
      <c r="AG299" s="3">
        <f>SUM(AC299:AF299)</f>
        <v>0</v>
      </c>
      <c r="AH299" s="3" t="n"/>
      <c r="AI299" s="3" t="n"/>
      <c r="AJ299" s="3" t="n"/>
      <c r="AK299" s="3" t="n"/>
      <c r="AL299" s="3">
        <f>SUM(AH299:AK299)</f>
        <v>0</v>
      </c>
      <c r="AM299" s="3" t="n"/>
      <c r="AN299" s="3" t="n"/>
      <c r="AO299" s="3" t="n"/>
      <c r="AP299" s="3" t="n"/>
      <c r="AQ299" s="3">
        <f>SUM(AM299:AP299)</f>
        <v>0</v>
      </c>
      <c r="AR299" s="3" t="n"/>
      <c r="AS299" s="3" t="n"/>
      <c r="AT299" s="3" t="n"/>
      <c r="AU299" s="3" t="n"/>
      <c r="AV299" s="3">
        <f>SUM(AR299:AU299)</f>
        <v>0</v>
      </c>
      <c r="AW299" s="3" t="n"/>
      <c r="AX299" s="3" t="n"/>
      <c r="AY299" s="3" t="n"/>
      <c r="AZ299" s="3" t="n"/>
      <c r="BA299" s="3">
        <f>SUM(AW299:AZ299)</f>
        <v>0</v>
      </c>
      <c r="BB299" s="3" t="n"/>
      <c r="BC299" s="3" t="n"/>
      <c r="BD299" s="3" t="n"/>
      <c r="BE299" s="3" t="n"/>
      <c r="BF299" s="3">
        <f>SUM(BB299:BE299)</f>
        <v>0</v>
      </c>
      <c r="BG299" s="3" t="n"/>
      <c r="BH299" s="3" t="n"/>
      <c r="BI299" s="3" t="n"/>
      <c r="BJ299" s="3" t="n"/>
      <c r="BK299" s="3">
        <f>SUM(BG299:BJ299)</f>
        <v>0</v>
      </c>
      <c r="BL299" s="3" t="n"/>
      <c r="BM299" s="3" t="n"/>
      <c r="BN299" s="3" t="n"/>
      <c r="BO299" s="3" t="n"/>
      <c r="BP299" s="3">
        <f>SUM(BL299:BO299)</f>
        <v>0</v>
      </c>
      <c r="BQ299" s="3" t="n"/>
      <c r="BR299" s="3" t="n"/>
      <c r="BS299" s="3" t="n"/>
      <c r="BT299" s="3" t="n"/>
      <c r="BU299" s="3">
        <f>SUM(BQ299:BT299)</f>
        <v>0</v>
      </c>
      <c r="BV299" s="3" t="n"/>
      <c r="BW299" s="3" t="n"/>
      <c r="BX299" s="3" t="n"/>
      <c r="BY299" s="3" t="n"/>
      <c r="BZ299" s="3">
        <f>SUM(BV299:BY299)</f>
        <v>0</v>
      </c>
      <c r="CA299" s="3" t="n"/>
      <c r="CB299" s="3" t="n"/>
      <c r="CC299" s="3" t="n"/>
      <c r="CD299" s="3" t="n"/>
      <c r="CE299" s="3">
        <f>SUM(CA299:CD299)</f>
        <v>0</v>
      </c>
      <c r="CF299" s="3" t="n"/>
      <c r="CG299" s="3" t="n"/>
      <c r="CH299" s="3" t="n"/>
      <c r="CI299" s="3" t="n"/>
      <c r="CJ299" s="3">
        <f>SUM(CF299:CI299)</f>
        <v>0</v>
      </c>
      <c r="CK299" s="3" t="n"/>
      <c r="CL299" s="3" t="n"/>
      <c r="CM299" s="3" t="n"/>
      <c r="CN299" s="3" t="n"/>
      <c r="CO299" s="3">
        <f>SUM(CK299:CN299)</f>
        <v>0</v>
      </c>
      <c r="CP299" s="3" t="n"/>
      <c r="CQ299" s="3" t="n"/>
      <c r="CR299" s="3" t="n"/>
      <c r="CS299" s="3" t="n"/>
      <c r="CT299" s="3">
        <f>SUM(CP299:CS299)</f>
        <v>0</v>
      </c>
      <c r="CU299" s="3" t="n"/>
      <c r="CV299" s="3" t="n"/>
      <c r="CW299" s="3" t="n"/>
      <c r="CX299" s="3" t="n"/>
      <c r="CY299" s="3">
        <f>SUM(CU299:CX299)</f>
        <v>0</v>
      </c>
    </row>
    <row r="300">
      <c r="C300" s="26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  <c r="CU300" s="3" t="n"/>
      <c r="CV300" s="3" t="n"/>
      <c r="CW300" s="3" t="n"/>
      <c r="CX300" s="3" t="n"/>
      <c r="CY300" s="3" t="n"/>
    </row>
    <row r="301">
      <c r="C301" s="26" t="inlineStr">
        <is>
          <t>Total increase/decrease of cash</t>
        </is>
      </c>
      <c r="D301" s="3" t="n"/>
      <c r="E301" s="3">
        <f>SUM(E280,E287,E297,E299)</f>
        <v>-710</v>
      </c>
      <c r="F301" s="3">
        <f>SUM(F280,F287,F297,F299)</f>
        <v>-1124</v>
      </c>
      <c r="G301" s="3">
        <f>SUM(G280,G287,G297,G299)</f>
        <v>-104</v>
      </c>
      <c r="H301" s="3">
        <f>SUM(D301:G301)</f>
        <v>-1938</v>
      </c>
      <c r="I301" s="3">
        <f>SUM(I280,I287,I297,I299)</f>
        <v>220</v>
      </c>
      <c r="J301" s="3">
        <f>SUM(J280,J287,J297,J299)</f>
        <v>337</v>
      </c>
      <c r="K301" s="3">
        <f>SUM(K280,K287,K297,K299)</f>
        <v>498</v>
      </c>
      <c r="L301" s="3">
        <f>SUM(L280,L287,L297,L299)</f>
        <v>-3545</v>
      </c>
      <c r="M301" s="3">
        <f>SUM(I301:L301)</f>
        <v>-2490</v>
      </c>
      <c r="N301" s="3">
        <f>SUM(N280,N287,N297,N299)</f>
        <v>-594</v>
      </c>
      <c r="O301" s="3">
        <f>SUM(O280,O287,O297,O299)</f>
        <v>481</v>
      </c>
      <c r="P301" s="3">
        <f>SUM(P280,P287,P297,P299)</f>
        <v>415</v>
      </c>
      <c r="Q301" s="3">
        <f>SUM(Q280,Q287,Q297,Q299)</f>
        <v>-798</v>
      </c>
      <c r="R301" s="3">
        <f>SUM(N301:Q301)</f>
        <v>-496</v>
      </c>
      <c r="S301" s="3">
        <f>SUM(S280,S287,S297,S299)</f>
        <v>1291</v>
      </c>
      <c r="T301" s="3">
        <f>SUM(T280,T287,T297,T299)</f>
        <v>1309</v>
      </c>
      <c r="U301" s="3">
        <f>SUM(U280,U287,U297,U299)</f>
        <v>882</v>
      </c>
      <c r="V301" s="3">
        <f>SUM(V280,V287,V297,V299)</f>
        <v>-2321</v>
      </c>
      <c r="W301" s="3">
        <f>SUM(S301:V301)</f>
        <v>1161</v>
      </c>
      <c r="X301" s="3">
        <f>SUM(X280,X287,X297,X299)</f>
        <v>416</v>
      </c>
      <c r="Y301" s="3">
        <f>SUM(Y280,Y287,Y297,Y299)</f>
        <v>1451</v>
      </c>
      <c r="Z301" s="3">
        <f>SUM(Z280,Z287,Z297,Z299)</f>
        <v>320</v>
      </c>
      <c r="AA301" s="3">
        <f>SUM(AA280,AA287,AA297,AA299)</f>
        <v>-723</v>
      </c>
      <c r="AB301" s="3">
        <f>SUM(X301:AA301)</f>
        <v>1464</v>
      </c>
      <c r="AC301" s="3">
        <f>SUM(AC280,AC287,AC297,AC299)</f>
        <v>1390</v>
      </c>
      <c r="AD301" s="3">
        <f>SUM(AD280,AD287,AD297,AD299)</f>
        <v>589</v>
      </c>
      <c r="AE301" s="3">
        <f>SUM(AE280,AE287,AE297,AE299)</f>
        <v>-304</v>
      </c>
      <c r="AF301" s="3">
        <f>SUM(AF280,AF287,AF297,AF299)</f>
        <v>-1478</v>
      </c>
      <c r="AG301" s="3">
        <f>SUM(AC301:AF301)</f>
        <v>197</v>
      </c>
      <c r="AH301" s="3">
        <f>SUM(AH280,AH287,AH297,AH299)</f>
        <v>1107</v>
      </c>
      <c r="AI301" s="3">
        <f>SUM(AI280,AI287,AI297,AI299)</f>
        <v>1023</v>
      </c>
      <c r="AJ301" s="3">
        <f>SUM(AJ280,AJ287,AJ297,AJ299)</f>
        <v>11756</v>
      </c>
      <c r="AK301" s="3">
        <f>SUM(AK280,AK287,AK297,AK299)</f>
        <v>2592</v>
      </c>
      <c r="AL301" s="3">
        <f>SUM(AH301:AK301)</f>
        <v>16478</v>
      </c>
      <c r="AM301" s="3" t="e">
        <f>SUM(AM280,AM287,AM297,AM299)</f>
        <v>#DIV/0!</v>
      </c>
      <c r="AN301" s="3" t="e">
        <f>SUM(AN280,AN287,AN297,AN299)</f>
        <v>#DIV/0!</v>
      </c>
      <c r="AO301" s="3" t="e">
        <f>SUM(AO280,AO287,AO297,AO299)</f>
        <v>#DIV/0!</v>
      </c>
      <c r="AP301" s="3" t="e">
        <f>SUM(AP280,AP287,AP297,AP299)</f>
        <v>#DIV/0!</v>
      </c>
      <c r="AQ301" s="3" t="e">
        <f>SUM(AM301:AP301)</f>
        <v>#DIV/0!</v>
      </c>
      <c r="AR301" s="3" t="e">
        <f>SUM(AR280,AR287,AR297,AR299)</f>
        <v>#DIV/0!</v>
      </c>
      <c r="AS301" s="3" t="e">
        <f>SUM(AS280,AS287,AS297,AS299)</f>
        <v>#DIV/0!</v>
      </c>
      <c r="AT301" s="3" t="e">
        <f>SUM(AT280,AT287,AT297,AT299)</f>
        <v>#DIV/0!</v>
      </c>
      <c r="AU301" s="3" t="e">
        <f>SUM(AU280,AU287,AU297,AU299)</f>
        <v>#DIV/0!</v>
      </c>
      <c r="AV301" s="3" t="e">
        <f>SUM(AR301:AU301)</f>
        <v>#DIV/0!</v>
      </c>
      <c r="AW301" s="3" t="e">
        <f>SUM(AW280,AW287,AW297,AW299)</f>
        <v>#DIV/0!</v>
      </c>
      <c r="AX301" s="3" t="e">
        <f>SUM(AX280,AX287,AX297,AX299)</f>
        <v>#DIV/0!</v>
      </c>
      <c r="AY301" s="3" t="e">
        <f>SUM(AY280,AY287,AY297,AY299)</f>
        <v>#DIV/0!</v>
      </c>
      <c r="AZ301" s="3" t="e">
        <f>SUM(AZ280,AZ287,AZ297,AZ299)</f>
        <v>#DIV/0!</v>
      </c>
      <c r="BA301" s="3" t="e">
        <f>SUM(AW301:AZ301)</f>
        <v>#DIV/0!</v>
      </c>
      <c r="BB301" s="3" t="e">
        <f>SUM(BB280,BB287,BB297,BB299)</f>
        <v>#DIV/0!</v>
      </c>
      <c r="BC301" s="3" t="e">
        <f>SUM(BC280,BC287,BC297,BC299)</f>
        <v>#DIV/0!</v>
      </c>
      <c r="BD301" s="3" t="e">
        <f>SUM(BD280,BD287,BD297,BD299)</f>
        <v>#DIV/0!</v>
      </c>
      <c r="BE301" s="3" t="e">
        <f>SUM(BE280,BE287,BE297,BE299)</f>
        <v>#DIV/0!</v>
      </c>
      <c r="BF301" s="3" t="e">
        <f>SUM(BB301:BE301)</f>
        <v>#DIV/0!</v>
      </c>
      <c r="BG301" s="3" t="e">
        <f>SUM(BG280,BG287,BG297,BG299)</f>
        <v>#DIV/0!</v>
      </c>
      <c r="BH301" s="3" t="e">
        <f>SUM(BH280,BH287,BH297,BH299)</f>
        <v>#DIV/0!</v>
      </c>
      <c r="BI301" s="3" t="e">
        <f>SUM(BI280,BI287,BI297,BI299)</f>
        <v>#DIV/0!</v>
      </c>
      <c r="BJ301" s="3" t="e">
        <f>SUM(BJ280,BJ287,BJ297,BJ299)</f>
        <v>#DIV/0!</v>
      </c>
      <c r="BK301" s="3" t="e">
        <f>SUM(BG301:BJ301)</f>
        <v>#DIV/0!</v>
      </c>
      <c r="BL301" s="3" t="e">
        <f>SUM(BL280,BL287,BL297,BL299)</f>
        <v>#DIV/0!</v>
      </c>
      <c r="BM301" s="3" t="e">
        <f>SUM(BM280,BM287,BM297,BM299)</f>
        <v>#DIV/0!</v>
      </c>
      <c r="BN301" s="3" t="e">
        <f>SUM(BN280,BN287,BN297,BN299)</f>
        <v>#DIV/0!</v>
      </c>
      <c r="BO301" s="3" t="e">
        <f>SUM(BO280,BO287,BO297,BO299)</f>
        <v>#DIV/0!</v>
      </c>
      <c r="BP301" s="3" t="e">
        <f>SUM(BL301:BO301)</f>
        <v>#DIV/0!</v>
      </c>
      <c r="BQ301" s="3" t="e">
        <f>SUM(BQ280,BQ287,BQ297,BQ299)</f>
        <v>#DIV/0!</v>
      </c>
      <c r="BR301" s="3" t="e">
        <f>SUM(BR280,BR287,BR297,BR299)</f>
        <v>#DIV/0!</v>
      </c>
      <c r="BS301" s="3" t="e">
        <f>SUM(BS280,BS287,BS297,BS299)</f>
        <v>#DIV/0!</v>
      </c>
      <c r="BT301" s="3" t="e">
        <f>SUM(BT280,BT287,BT297,BT299)</f>
        <v>#DIV/0!</v>
      </c>
      <c r="BU301" s="3" t="e">
        <f>SUM(BQ301:BT301)</f>
        <v>#DIV/0!</v>
      </c>
      <c r="BV301" s="3" t="e">
        <f>SUM(BV280,BV287,BV297,BV299)</f>
        <v>#DIV/0!</v>
      </c>
      <c r="BW301" s="3" t="e">
        <f>SUM(BW280,BW287,BW297,BW299)</f>
        <v>#DIV/0!</v>
      </c>
      <c r="BX301" s="3" t="e">
        <f>SUM(BX280,BX287,BX297,BX299)</f>
        <v>#DIV/0!</v>
      </c>
      <c r="BY301" s="3" t="e">
        <f>SUM(BY280,BY287,BY297,BY299)</f>
        <v>#DIV/0!</v>
      </c>
      <c r="BZ301" s="3" t="e">
        <f>SUM(BV301:BY301)</f>
        <v>#DIV/0!</v>
      </c>
      <c r="CA301" s="3" t="e">
        <f>SUM(CA280,CA287,CA297,CA299)</f>
        <v>#DIV/0!</v>
      </c>
      <c r="CB301" s="3" t="e">
        <f>SUM(CB280,CB287,CB297,CB299)</f>
        <v>#DIV/0!</v>
      </c>
      <c r="CC301" s="3" t="e">
        <f>SUM(CC280,CC287,CC297,CC299)</f>
        <v>#DIV/0!</v>
      </c>
      <c r="CD301" s="3" t="e">
        <f>SUM(CD280,CD287,CD297,CD299)</f>
        <v>#DIV/0!</v>
      </c>
      <c r="CE301" s="3" t="e">
        <f>SUM(CA301:CD301)</f>
        <v>#DIV/0!</v>
      </c>
      <c r="CF301" s="3" t="e">
        <f>SUM(CF280,CF287,CF297,CF299)</f>
        <v>#DIV/0!</v>
      </c>
      <c r="CG301" s="3" t="e">
        <f>SUM(CG280,CG287,CG297,CG299)</f>
        <v>#DIV/0!</v>
      </c>
      <c r="CH301" s="3" t="e">
        <f>SUM(CH280,CH287,CH297,CH299)</f>
        <v>#DIV/0!</v>
      </c>
      <c r="CI301" s="3" t="e">
        <f>SUM(CI280,CI287,CI297,CI299)</f>
        <v>#DIV/0!</v>
      </c>
      <c r="CJ301" s="3" t="e">
        <f>SUM(CF301:CI301)</f>
        <v>#DIV/0!</v>
      </c>
      <c r="CK301" s="3" t="e">
        <f>SUM(CK280,CK287,CK297,CK299)</f>
        <v>#DIV/0!</v>
      </c>
      <c r="CL301" s="3" t="e">
        <f>SUM(CL280,CL287,CL297,CL299)</f>
        <v>#DIV/0!</v>
      </c>
      <c r="CM301" s="3" t="e">
        <f>SUM(CM280,CM287,CM297,CM299)</f>
        <v>#DIV/0!</v>
      </c>
      <c r="CN301" s="3" t="e">
        <f>SUM(CN280,CN287,CN297,CN299)</f>
        <v>#DIV/0!</v>
      </c>
      <c r="CO301" s="3" t="e">
        <f>SUM(CK301:CN301)</f>
        <v>#DIV/0!</v>
      </c>
      <c r="CP301" s="3" t="e">
        <f>SUM(CP280,CP287,CP297,CP299)</f>
        <v>#DIV/0!</v>
      </c>
      <c r="CQ301" s="3" t="e">
        <f>SUM(CQ280,CQ287,CQ297,CQ299)</f>
        <v>#DIV/0!</v>
      </c>
      <c r="CR301" s="3" t="e">
        <f>SUM(CR280,CR287,CR297,CR299)</f>
        <v>#DIV/0!</v>
      </c>
      <c r="CS301" s="3" t="e">
        <f>SUM(CS280,CS287,CS297,CS299)</f>
        <v>#DIV/0!</v>
      </c>
      <c r="CT301" s="3" t="e">
        <f>SUM(CP301:CS301)</f>
        <v>#DIV/0!</v>
      </c>
      <c r="CU301" s="3" t="e">
        <f>SUM(CU280,CU287,CU297,CU299)</f>
        <v>#DIV/0!</v>
      </c>
      <c r="CV301" s="3" t="e">
        <f>SUM(CV280,CV287,CV297,CV299)</f>
        <v>#DIV/0!</v>
      </c>
      <c r="CW301" s="3" t="e">
        <f>SUM(CW280,CW287,CW297,CW299)</f>
        <v>#DIV/0!</v>
      </c>
      <c r="CX301" s="3" t="e">
        <f>SUM(CX280,CX287,CX297,CX299)</f>
        <v>#DIV/0!</v>
      </c>
      <c r="CY301" s="3" t="e">
        <f>SUM(CU301:CX301)</f>
        <v>#DIV/0!</v>
      </c>
    </row>
    <row r="302">
      <c r="C302" s="4" t="inlineStr">
        <is>
          <t>Check</t>
        </is>
      </c>
      <c r="E302" s="51">
        <f>(E301)-(E131-D131)</f>
        <v>0</v>
      </c>
      <c r="F302" s="51">
        <f>(F301)-(F131-E131)</f>
        <v>0</v>
      </c>
      <c r="G302" s="51">
        <f>(G301)-(G131-F131)</f>
        <v>0</v>
      </c>
      <c r="I302" s="51">
        <f>(I301)-(I131-H131)</f>
        <v>0</v>
      </c>
      <c r="J302" s="51">
        <f>(J301)-(J131-I131)</f>
        <v>0</v>
      </c>
      <c r="K302" s="51">
        <f>(K301)-(K131-J131)</f>
        <v>0</v>
      </c>
      <c r="L302" s="51">
        <f>(L301)-(L131-K131)</f>
        <v>0</v>
      </c>
      <c r="N302" s="51">
        <f>(N301)-(N131-M131)</f>
        <v>0</v>
      </c>
      <c r="O302" s="51">
        <f>(O301)-(O131-N131)</f>
        <v>0</v>
      </c>
      <c r="P302" s="51">
        <f>(P301)-(P131-O131)</f>
        <v>0</v>
      </c>
      <c r="Q302" s="51">
        <f>(Q301)-(Q131-P131)</f>
        <v>0</v>
      </c>
      <c r="S302" s="51">
        <f>(S301)-(S131-R131)</f>
        <v>0</v>
      </c>
      <c r="T302" s="51">
        <f>(T301)-(T131-S131)</f>
        <v>0</v>
      </c>
      <c r="U302" s="51">
        <f>(U301)-(U131-T131)</f>
        <v>0</v>
      </c>
      <c r="V302" s="51">
        <f>(V301)-(V131-U131)</f>
        <v>0</v>
      </c>
      <c r="X302" s="51">
        <f>(X301)-(X131-W131)</f>
        <v>0</v>
      </c>
      <c r="Y302" s="51">
        <f>(Y301)-(Y131-X131)</f>
        <v>0</v>
      </c>
      <c r="Z302" s="51">
        <f>(Z301)-(Z131-Y131)</f>
        <v>0</v>
      </c>
      <c r="AA302" s="51">
        <f>(AA301)-(AA131-Z131)</f>
        <v>0</v>
      </c>
      <c r="AC302" s="51">
        <f>(AC301)-(AC131-AB131)</f>
        <v>0</v>
      </c>
      <c r="AD302" s="51">
        <f>(AD301)-(AD131-AC131)</f>
        <v>0</v>
      </c>
      <c r="AE302" s="51">
        <f>(AE301)-(AE131-AD131)</f>
        <v>0</v>
      </c>
      <c r="AF302" s="51">
        <f>(AF301)-(AF131-AE131)</f>
        <v>0</v>
      </c>
      <c r="AH302" s="51">
        <f>(AH301)-(AH131-AG131)</f>
        <v>0</v>
      </c>
      <c r="AI302" s="51">
        <f>(AI301)-(AI131-AH131)</f>
        <v>0</v>
      </c>
      <c r="AJ302" s="51">
        <f>(AJ301)-(AJ131-AI131)</f>
        <v>0</v>
      </c>
      <c r="AK302" s="51">
        <f>(AK301)-(AK131-AJ131)</f>
        <v>0</v>
      </c>
      <c r="AM302" s="51" t="e">
        <f>(AM301)-(AM131-AL131)</f>
        <v>#DIV/0!</v>
      </c>
      <c r="AN302" s="51" t="e">
        <f>(AN301)-(AN131-AM131)</f>
        <v>#DIV/0!</v>
      </c>
      <c r="AO302" s="51" t="e">
        <f>(AO301)-(AO131-AN131)</f>
        <v>#DIV/0!</v>
      </c>
      <c r="AP302" s="51" t="e">
        <f>(AP301)-(AP131-AO131)</f>
        <v>#DIV/0!</v>
      </c>
      <c r="AR302" s="51" t="e">
        <f>(AR301)-(AR131-AQ131)</f>
        <v>#DIV/0!</v>
      </c>
      <c r="AS302" s="51" t="e">
        <f>(AS301)-(AS131-AR131)</f>
        <v>#DIV/0!</v>
      </c>
      <c r="AT302" s="51" t="e">
        <f>(AT301)-(AT131-AS131)</f>
        <v>#DIV/0!</v>
      </c>
      <c r="AU302" s="51" t="e">
        <f>(AU301)-(AU131-AT131)</f>
        <v>#DIV/0!</v>
      </c>
      <c r="AW302" s="51" t="e">
        <f>(AW301)-(AW131-AV131)</f>
        <v>#DIV/0!</v>
      </c>
      <c r="AX302" s="51" t="e">
        <f>(AX301)-(AX131-AW131)</f>
        <v>#DIV/0!</v>
      </c>
      <c r="AY302" s="51" t="e">
        <f>(AY301)-(AY131-AX131)</f>
        <v>#DIV/0!</v>
      </c>
      <c r="AZ302" s="51" t="e">
        <f>(AZ301)-(AZ131-AY131)</f>
        <v>#DIV/0!</v>
      </c>
      <c r="BB302" s="51" t="e">
        <f>(BB301)-(BB131-BA131)</f>
        <v>#DIV/0!</v>
      </c>
      <c r="BC302" s="51" t="e">
        <f>(BC301)-(BC131-BB131)</f>
        <v>#DIV/0!</v>
      </c>
      <c r="BD302" s="51" t="e">
        <f>(BD301)-(BD131-BC131)</f>
        <v>#DIV/0!</v>
      </c>
      <c r="BE302" s="51" t="e">
        <f>(BE301)-(BE131-BD131)</f>
        <v>#DIV/0!</v>
      </c>
      <c r="BG302" s="51" t="e">
        <f>(BG301)-(BG131-BF131)</f>
        <v>#DIV/0!</v>
      </c>
      <c r="BH302" s="51" t="e">
        <f>(BH301)-(BH131-BG131)</f>
        <v>#DIV/0!</v>
      </c>
      <c r="BI302" s="51" t="e">
        <f>(BI301)-(BI131-BH131)</f>
        <v>#DIV/0!</v>
      </c>
      <c r="BJ302" s="51" t="e">
        <f>(BJ301)-(BJ131-BI131)</f>
        <v>#DIV/0!</v>
      </c>
      <c r="BL302" s="51" t="e">
        <f>(BL301)-(BL131-BK131)</f>
        <v>#DIV/0!</v>
      </c>
      <c r="BM302" s="51" t="e">
        <f>(BM301)-(BM131-BL131)</f>
        <v>#DIV/0!</v>
      </c>
      <c r="BN302" s="51" t="e">
        <f>(BN301)-(BN131-BM131)</f>
        <v>#DIV/0!</v>
      </c>
      <c r="BO302" s="51" t="e">
        <f>(BO301)-(BO131-BN131)</f>
        <v>#DIV/0!</v>
      </c>
      <c r="BQ302" s="51" t="e">
        <f>(BQ301)-(BQ131-BP131)</f>
        <v>#DIV/0!</v>
      </c>
      <c r="BR302" s="51" t="e">
        <f>(BR301)-(BR131-BQ131)</f>
        <v>#DIV/0!</v>
      </c>
      <c r="BS302" s="51" t="e">
        <f>(BS301)-(BS131-BR131)</f>
        <v>#DIV/0!</v>
      </c>
      <c r="BT302" s="51" t="e">
        <f>(BT301)-(BT131-BS131)</f>
        <v>#DIV/0!</v>
      </c>
      <c r="BV302" s="51" t="e">
        <f>(BV301)-(BV131-BU131)</f>
        <v>#DIV/0!</v>
      </c>
      <c r="BW302" s="51" t="e">
        <f>(BW301)-(BW131-BV131)</f>
        <v>#DIV/0!</v>
      </c>
      <c r="BX302" s="51" t="e">
        <f>(BX301)-(BX131-BW131)</f>
        <v>#DIV/0!</v>
      </c>
      <c r="BY302" s="51" t="e">
        <f>(BY301)-(BY131-BX131)</f>
        <v>#DIV/0!</v>
      </c>
      <c r="CA302" s="51" t="e">
        <f>(CA301)-(CA131-BZ131)</f>
        <v>#DIV/0!</v>
      </c>
      <c r="CB302" s="51" t="e">
        <f>(CB301)-(CB131-CA131)</f>
        <v>#DIV/0!</v>
      </c>
      <c r="CC302" s="51" t="e">
        <f>(CC301)-(CC131-CB131)</f>
        <v>#DIV/0!</v>
      </c>
      <c r="CD302" s="51" t="e">
        <f>(CD301)-(CD131-CC131)</f>
        <v>#DIV/0!</v>
      </c>
      <c r="CF302" s="51" t="e">
        <f>(CF301)-(CF131-CE131)</f>
        <v>#DIV/0!</v>
      </c>
      <c r="CG302" s="51" t="e">
        <f>(CG301)-(CG131-CF131)</f>
        <v>#DIV/0!</v>
      </c>
      <c r="CH302" s="51" t="e">
        <f>(CH301)-(CH131-CG131)</f>
        <v>#DIV/0!</v>
      </c>
      <c r="CI302" s="51" t="e">
        <f>(CI301)-(CI131-CH131)</f>
        <v>#DIV/0!</v>
      </c>
      <c r="CK302" s="51" t="e">
        <f>(CK301)-(CK131-CJ131)</f>
        <v>#DIV/0!</v>
      </c>
      <c r="CL302" s="51" t="e">
        <f>(CL301)-(CL131-CK131)</f>
        <v>#DIV/0!</v>
      </c>
      <c r="CM302" s="51" t="e">
        <f>(CM301)-(CM131-CL131)</f>
        <v>#DIV/0!</v>
      </c>
      <c r="CN302" s="51" t="e">
        <f>(CN301)-(CN131-CM131)</f>
        <v>#DIV/0!</v>
      </c>
      <c r="CP302" s="51" t="e">
        <f>(CP301)-(CP131-CO131)</f>
        <v>#DIV/0!</v>
      </c>
      <c r="CQ302" s="51" t="e">
        <f>(CQ301)-(CQ131-CP131)</f>
        <v>#DIV/0!</v>
      </c>
      <c r="CR302" s="51" t="e">
        <f>(CR301)-(CR131-CQ131)</f>
        <v>#DIV/0!</v>
      </c>
      <c r="CS302" s="51" t="e">
        <f>(CS301)-(CS131-CR131)</f>
        <v>#DIV/0!</v>
      </c>
      <c r="CU302" s="51" t="e">
        <f>(CU301)-(CU131-CT131)</f>
        <v>#DIV/0!</v>
      </c>
      <c r="CV302" s="51" t="e">
        <f>(CV301)-(CV131-CU131)</f>
        <v>#DIV/0!</v>
      </c>
      <c r="CW302" s="51" t="e">
        <f>(CW301)-(CW131-CV131)</f>
        <v>#DIV/0!</v>
      </c>
      <c r="CX302" s="51" t="e">
        <f>(CX301)-(CX131-CW131)</f>
        <v>#DIV/0!</v>
      </c>
    </row>
    <row r="304">
      <c r="C304" s="53" t="inlineStr">
        <is>
          <t>Ratio Analysis</t>
        </is>
      </c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  <c r="CO304" s="53" t="n"/>
      <c r="CP304" s="53" t="n"/>
      <c r="CQ304" s="53" t="n"/>
      <c r="CR304" s="53" t="n"/>
      <c r="CS304" s="53" t="n"/>
      <c r="CT304" s="53" t="n"/>
      <c r="CU304" s="53" t="n"/>
      <c r="CV304" s="53" t="n"/>
      <c r="CW304" s="53" t="n"/>
      <c r="CX304" s="53" t="n"/>
      <c r="CY304" s="53" t="n"/>
    </row>
    <row r="306" customFormat="1" s="234">
      <c r="C306" s="234" t="inlineStr">
        <is>
          <t>YEAR</t>
        </is>
      </c>
      <c r="D306" s="234" t="str">
        <f>D262</f>
        <v>1Q20</v>
      </c>
      <c r="E306" s="235" t="str">
        <f>E262</f>
        <v>2Q20</v>
      </c>
      <c r="F306" s="235" t="str">
        <f>F262</f>
        <v>3Q20</v>
      </c>
      <c r="G306" s="235" t="str">
        <f>G262</f>
        <v>4Q20</v>
      </c>
      <c r="H306" s="235">
        <f>H262</f>
        <v>2020</v>
      </c>
      <c r="I306" s="235" t="str">
        <f>I262</f>
        <v>1Q21</v>
      </c>
      <c r="J306" s="235" t="str">
        <f>J262</f>
        <v>2Q21</v>
      </c>
      <c r="K306" s="235" t="str">
        <f>K262</f>
        <v>3Q21</v>
      </c>
      <c r="L306" s="235" t="str">
        <f>L262</f>
        <v>4Q21</v>
      </c>
      <c r="M306" s="235">
        <f>M262</f>
        <v>2021</v>
      </c>
      <c r="N306" s="235" t="str">
        <f>N262</f>
        <v>1Q22</v>
      </c>
      <c r="O306" s="235" t="str">
        <f>O262</f>
        <v>2Q22</v>
      </c>
      <c r="P306" s="235" t="str">
        <f>P262</f>
        <v>3Q22</v>
      </c>
      <c r="Q306" s="235" t="str">
        <f>Q262</f>
        <v>4Q22</v>
      </c>
      <c r="R306" s="235">
        <f>R262</f>
        <v>2022</v>
      </c>
      <c r="S306" s="235" t="str">
        <f>S262</f>
        <v>1Q23</v>
      </c>
      <c r="T306" s="235" t="str">
        <f>T262</f>
        <v>2Q23</v>
      </c>
      <c r="U306" s="235" t="str">
        <f>U262</f>
        <v>3Q23</v>
      </c>
      <c r="V306" s="235" t="str">
        <f>V262</f>
        <v>4Q23</v>
      </c>
      <c r="W306" s="235">
        <f>W262</f>
        <v>2023</v>
      </c>
      <c r="X306" s="235" t="str">
        <f>X262</f>
        <v>1Q24</v>
      </c>
      <c r="Y306" s="235" t="str">
        <f>Y262</f>
        <v>2Q24</v>
      </c>
      <c r="Z306" s="235" t="str">
        <f>Z262</f>
        <v>3Q24</v>
      </c>
      <c r="AA306" s="235" t="str">
        <f>AA262</f>
        <v>4Q24</v>
      </c>
      <c r="AB306" s="235">
        <f>AB262</f>
        <v>2024</v>
      </c>
      <c r="AC306" s="235" t="str">
        <f>AC262</f>
        <v>1Q25</v>
      </c>
      <c r="AD306" s="235" t="str">
        <f>AD262</f>
        <v>2Q25</v>
      </c>
      <c r="AE306" s="235" t="str">
        <f>AE262</f>
        <v>3Q25</v>
      </c>
      <c r="AF306" s="235" t="str">
        <f>AF262</f>
        <v>4Q25</v>
      </c>
      <c r="AG306" s="235">
        <f>AG262</f>
        <v>2025</v>
      </c>
      <c r="AH306" s="235" t="str">
        <f>AH262</f>
        <v>1Q26</v>
      </c>
      <c r="AI306" s="235" t="str">
        <f>AI262</f>
        <v>2Q26</v>
      </c>
      <c r="AJ306" s="235" t="str">
        <f>AJ262</f>
        <v>3Q26</v>
      </c>
      <c r="AK306" s="235" t="str">
        <f>AK262</f>
        <v>4Q26</v>
      </c>
      <c r="AL306" s="235">
        <f>AL262</f>
        <v>2026</v>
      </c>
      <c r="AM306" s="235" t="str">
        <f>AM262</f>
        <v>1Q27</v>
      </c>
      <c r="AN306" s="235" t="str">
        <f>AN262</f>
        <v>2Q27</v>
      </c>
      <c r="AO306" s="235" t="str">
        <f>AO262</f>
        <v>3Q27</v>
      </c>
      <c r="AP306" s="235" t="str">
        <f>AP262</f>
        <v>4Q27</v>
      </c>
      <c r="AQ306" s="235">
        <f>AQ262</f>
        <v>2027</v>
      </c>
      <c r="AR306" s="235" t="str">
        <f>AR262</f>
        <v>1Q28</v>
      </c>
      <c r="AS306" s="235" t="str">
        <f>AS262</f>
        <v>2Q28</v>
      </c>
      <c r="AT306" s="235" t="str">
        <f>AT262</f>
        <v>3Q28</v>
      </c>
      <c r="AU306" s="235" t="str">
        <f>AU262</f>
        <v>4Q28</v>
      </c>
      <c r="AV306" s="235">
        <f>AV262</f>
        <v>2028</v>
      </c>
      <c r="AW306" s="235" t="str">
        <f>AW262</f>
        <v>1Q29</v>
      </c>
      <c r="AX306" s="235" t="str">
        <f>AX262</f>
        <v>2Q29</v>
      </c>
      <c r="AY306" s="235" t="str">
        <f>AY262</f>
        <v>3Q29</v>
      </c>
      <c r="AZ306" s="235" t="str">
        <f>AZ262</f>
        <v>4Q29</v>
      </c>
      <c r="BA306" s="235">
        <f>BA262</f>
        <v>2029</v>
      </c>
      <c r="BB306" s="235" t="str">
        <f>BB262</f>
        <v>1Q30</v>
      </c>
      <c r="BC306" s="235" t="str">
        <f>BC262</f>
        <v>2Q30</v>
      </c>
      <c r="BD306" s="235" t="str">
        <f>BD262</f>
        <v>3Q30</v>
      </c>
      <c r="BE306" s="235" t="str">
        <f>BE262</f>
        <v>4Q30</v>
      </c>
      <c r="BF306" s="235">
        <f>BF262</f>
        <v>2030</v>
      </c>
      <c r="BG306" s="235" t="str">
        <f>BG262</f>
        <v>1Q31</v>
      </c>
      <c r="BH306" s="235" t="str">
        <f>BH262</f>
        <v>2Q31</v>
      </c>
      <c r="BI306" s="235" t="str">
        <f>BI262</f>
        <v>3Q31</v>
      </c>
      <c r="BJ306" s="235" t="str">
        <f>BJ262</f>
        <v>4Q31</v>
      </c>
      <c r="BK306" s="235">
        <f>BK262</f>
        <v>2031</v>
      </c>
      <c r="BL306" s="235" t="str">
        <f>BL262</f>
        <v>1Q32</v>
      </c>
      <c r="BM306" s="235" t="str">
        <f>BM262</f>
        <v>2Q32</v>
      </c>
      <c r="BN306" s="235" t="str">
        <f>BN262</f>
        <v>3Q32</v>
      </c>
      <c r="BO306" s="235" t="str">
        <f>BO262</f>
        <v>4Q32</v>
      </c>
      <c r="BP306" s="235">
        <f>BP262</f>
        <v>2032</v>
      </c>
      <c r="BQ306" s="235" t="str">
        <f>BQ262</f>
        <v>1Q33</v>
      </c>
      <c r="BR306" s="235" t="str">
        <f>BR262</f>
        <v>2Q33</v>
      </c>
      <c r="BS306" s="235" t="str">
        <f>BS262</f>
        <v>3Q33</v>
      </c>
      <c r="BT306" s="235" t="str">
        <f>BT262</f>
        <v>4Q33</v>
      </c>
      <c r="BU306" s="235">
        <f>BU262</f>
        <v>2033</v>
      </c>
      <c r="BV306" s="235" t="str">
        <f>BV262</f>
        <v>1Q34</v>
      </c>
      <c r="BW306" s="235" t="str">
        <f>BW262</f>
        <v>2Q34</v>
      </c>
      <c r="BX306" s="235" t="str">
        <f>BX262</f>
        <v>3Q34</v>
      </c>
      <c r="BY306" s="235" t="str">
        <f>BY262</f>
        <v>4Q34</v>
      </c>
      <c r="BZ306" s="235">
        <f>BZ262</f>
        <v>2034</v>
      </c>
      <c r="CA306" s="235" t="str">
        <f>CA262</f>
        <v>1Q35</v>
      </c>
      <c r="CB306" s="235" t="str">
        <f>CB262</f>
        <v>2Q35</v>
      </c>
      <c r="CC306" s="235" t="str">
        <f>CC262</f>
        <v>3Q35</v>
      </c>
      <c r="CD306" s="235" t="str">
        <f>CD262</f>
        <v>4Q35</v>
      </c>
      <c r="CE306" s="235">
        <f>CE262</f>
        <v>2035</v>
      </c>
      <c r="CF306" s="235" t="str">
        <f>CF262</f>
        <v>1Q36</v>
      </c>
      <c r="CG306" s="235" t="str">
        <f>CG262</f>
        <v>2Q36</v>
      </c>
      <c r="CH306" s="235" t="str">
        <f>CH262</f>
        <v>3Q36</v>
      </c>
      <c r="CI306" s="235" t="str">
        <f>CI262</f>
        <v>4Q36</v>
      </c>
      <c r="CJ306" s="235">
        <f>CJ262</f>
        <v>2036</v>
      </c>
      <c r="CK306" s="235" t="str">
        <f>CK262</f>
        <v>1Q37</v>
      </c>
      <c r="CL306" s="235" t="str">
        <f>CL262</f>
        <v>2Q37</v>
      </c>
      <c r="CM306" s="235" t="str">
        <f>CM262</f>
        <v>3Q37</v>
      </c>
      <c r="CN306" s="235" t="str">
        <f>CN262</f>
        <v>4Q37</v>
      </c>
      <c r="CO306" s="235">
        <f>CO262</f>
        <v>2037</v>
      </c>
      <c r="CP306" s="235" t="str">
        <f>CP262</f>
        <v>1Q38</v>
      </c>
      <c r="CQ306" s="235" t="str">
        <f>CQ262</f>
        <v>2Q38</v>
      </c>
      <c r="CR306" s="235" t="str">
        <f>CR262</f>
        <v>3Q38</v>
      </c>
      <c r="CS306" s="235" t="str">
        <f>CS262</f>
        <v>4Q38</v>
      </c>
      <c r="CT306" s="235">
        <f>CT262</f>
        <v>2038</v>
      </c>
      <c r="CU306" s="235" t="str">
        <f>CU262</f>
        <v>1Q39</v>
      </c>
      <c r="CV306" s="235" t="str">
        <f>CV262</f>
        <v>2Q39</v>
      </c>
      <c r="CW306" s="235" t="str">
        <f>CW262</f>
        <v>3Q39</v>
      </c>
      <c r="CX306" s="235" t="str">
        <f>CX262</f>
        <v>4Q39</v>
      </c>
      <c r="CY306" s="235">
        <f>CY262</f>
        <v>2039</v>
      </c>
    </row>
    <row r="307" customFormat="1" s="233">
      <c r="A307" s="224" t="n"/>
      <c r="B307" s="224" t="n"/>
      <c r="C307" s="234" t="inlineStr">
        <is>
          <t>GROWTH &amp; MARGINS</t>
        </is>
      </c>
    </row>
    <row r="308" customFormat="1" s="233">
      <c r="A308" s="224" t="n"/>
      <c r="B308" s="224" t="n"/>
      <c r="C308" s="233" t="inlineStr">
        <is>
          <t>NET REVENUE GROWTH</t>
        </is>
      </c>
      <c r="E308" s="236">
        <f>E15/D15-1</f>
        <v>-0.0354479628228682</v>
      </c>
      <c r="F308" s="236">
        <f>F15/E15-1</f>
        <v>0.0903081232492997</v>
      </c>
      <c r="G308" s="236">
        <f>G15/F15-1</f>
        <v>-0.063611139656767</v>
      </c>
      <c r="H308" s="236" t="n"/>
      <c r="I308" s="220">
        <f>I15/H15-1</f>
        <v>-0.674292968855514</v>
      </c>
      <c r="J308" s="220">
        <f>J15/I15-1</f>
        <v>-0.0440371537568419</v>
      </c>
      <c r="K308" s="220">
        <f>K15/J15-1</f>
        <v>-0.0173505682311096</v>
      </c>
      <c r="L308" s="220">
        <f>L15/K15-1</f>
        <v>-0.15520437891763</v>
      </c>
      <c r="M308" s="236" t="n"/>
      <c r="N308" s="220">
        <f>N15/M15-1</f>
        <v>-0.699422225219757</v>
      </c>
      <c r="O308" s="220">
        <f>O15/N15-1</f>
        <v>0.0547494390426329</v>
      </c>
      <c r="P308" s="220">
        <f>P15/O15-1</f>
        <v>0.101687703871791</v>
      </c>
      <c r="Q308" s="220">
        <f>Q15/P15-1</f>
        <v>-0.185633367662204</v>
      </c>
      <c r="R308" s="236" t="n"/>
      <c r="S308" s="220">
        <f>S15/R15-1</f>
        <v>-0.687621272008624</v>
      </c>
      <c r="T308" s="220">
        <f>T15/S15-1</f>
        <v>-0.0912175763501467</v>
      </c>
      <c r="U308" s="220">
        <f>U15/T15-1</f>
        <v>-0.0246186950193026</v>
      </c>
      <c r="V308" s="220">
        <f>V15/U15-1</f>
        <v>-0.209382299506878</v>
      </c>
      <c r="W308" s="236" t="n"/>
      <c r="X308" s="220">
        <f>X15/W15-1</f>
        <v>-0.749362507197499</v>
      </c>
      <c r="Y308" s="220">
        <f>Y15/X15-1</f>
        <v>-0.136724647193961</v>
      </c>
      <c r="Z308" s="220">
        <f>Z15/Y15-1</f>
        <v>-0.152676399026764</v>
      </c>
      <c r="AA308" s="220">
        <f>AA15/Z15-1</f>
        <v>-0.23653984206748</v>
      </c>
      <c r="AB308" s="236" t="n"/>
      <c r="AC308" s="220">
        <f>AC15/AB15-1</f>
        <v>-0.734320031640958</v>
      </c>
      <c r="AD308" s="220">
        <f>AD15/AC15-1</f>
        <v>-0.058371856146674</v>
      </c>
      <c r="AE308" s="220">
        <f>AE15/AD15-1</f>
        <v>0.0312864037277418</v>
      </c>
      <c r="AF308" s="220">
        <f>AF15/AE15-1</f>
        <v>-0.224544134258512</v>
      </c>
      <c r="AG308" s="236" t="n"/>
      <c r="AH308" s="220">
        <f>AH15/AG15-1</f>
        <v>-0.71425212670457</v>
      </c>
      <c r="AI308" s="220">
        <f>AI15/AH15-1</f>
        <v>-0.056922731692722</v>
      </c>
      <c r="AJ308" s="220">
        <f>AJ15/AI15-1</f>
        <v>-0.0169733502538071</v>
      </c>
      <c r="AK308" s="220">
        <f>AK15/AJ15-1</f>
        <v>-0.224544134258512</v>
      </c>
      <c r="AL308" s="236" t="n"/>
      <c r="AM308" s="220">
        <f>AM15/AL15-1</f>
        <v>-0.721374682172481</v>
      </c>
      <c r="AN308" s="220">
        <f>AN15/AM15-1</f>
        <v>-0.056922731692722</v>
      </c>
      <c r="AO308" s="220">
        <f>AO15/AN15-1</f>
        <v>-0.0169733502538071</v>
      </c>
      <c r="AP308" s="220">
        <f>AP15/AO15-1</f>
        <v>-0.224544134258512</v>
      </c>
      <c r="AQ308" s="236" t="n"/>
      <c r="AR308" s="220">
        <f>AR15/AQ15-1</f>
        <v>-0.721374682172481</v>
      </c>
      <c r="AS308" s="220">
        <f>AS15/AR15-1</f>
        <v>-0.056922731692722</v>
      </c>
      <c r="AT308" s="220">
        <f>AT15/AS15-1</f>
        <v>-0.0169733502538071</v>
      </c>
      <c r="AU308" s="220">
        <f>AU15/AT15-1</f>
        <v>-0.224544134258512</v>
      </c>
      <c r="AV308" s="236" t="n"/>
      <c r="AW308" s="220">
        <f>AW15/AV15-1</f>
        <v>-0.721374682172481</v>
      </c>
      <c r="AX308" s="220">
        <f>AX15/AW15-1</f>
        <v>-0.056922731692722</v>
      </c>
      <c r="AY308" s="220">
        <f>AY15/AX15-1</f>
        <v>-0.0169733502538071</v>
      </c>
      <c r="AZ308" s="220">
        <f>AZ15/AY15-1</f>
        <v>-0.224544134258512</v>
      </c>
      <c r="BA308" s="236" t="n"/>
      <c r="BB308" s="220">
        <f>BB15/BA15-1</f>
        <v>-0.721374682172481</v>
      </c>
      <c r="BC308" s="220">
        <f>BC15/BB15-1</f>
        <v>-0.056922731692722</v>
      </c>
      <c r="BD308" s="220">
        <f>BD15/BC15-1</f>
        <v>-0.0169733502538071</v>
      </c>
      <c r="BE308" s="220">
        <f>BE15/BD15-1</f>
        <v>-0.224544134258512</v>
      </c>
      <c r="BF308" s="236" t="n"/>
      <c r="BG308" s="220">
        <f>BG15/BF15-1</f>
        <v>-0.721374682172481</v>
      </c>
      <c r="BH308" s="220">
        <f>BH15/BG15-1</f>
        <v>-0.056922731692722</v>
      </c>
      <c r="BI308" s="220">
        <f>BI15/BH15-1</f>
        <v>-0.0169733502538071</v>
      </c>
      <c r="BJ308" s="220">
        <f>BJ15/BI15-1</f>
        <v>-0.224544134258512</v>
      </c>
      <c r="BK308" s="236" t="n"/>
      <c r="BL308" s="220">
        <f>BL15/BK15-1</f>
        <v>-0.721374682172481</v>
      </c>
      <c r="BM308" s="220">
        <f>BM15/BL15-1</f>
        <v>-0.056922731692722</v>
      </c>
      <c r="BN308" s="220">
        <f>BN15/BM15-1</f>
        <v>-0.0169733502538071</v>
      </c>
      <c r="BO308" s="220">
        <f>BO15/BN15-1</f>
        <v>-0.224544134258512</v>
      </c>
      <c r="BP308" s="236" t="n"/>
      <c r="BQ308" s="220">
        <f>BQ15/BP15-1</f>
        <v>-0.721374682172481</v>
      </c>
      <c r="BR308" s="220">
        <f>BR15/BQ15-1</f>
        <v>-0.056922731692722</v>
      </c>
      <c r="BS308" s="220">
        <f>BS15/BR15-1</f>
        <v>-0.0169733502538071</v>
      </c>
      <c r="BT308" s="220">
        <f>BT15/BS15-1</f>
        <v>-0.224544134258512</v>
      </c>
      <c r="BU308" s="236" t="n"/>
      <c r="BV308" s="220">
        <f>BV15/BU15-1</f>
        <v>-0.721374682172481</v>
      </c>
      <c r="BW308" s="220">
        <f>BW15/BV15-1</f>
        <v>-0.056922731692722</v>
      </c>
      <c r="BX308" s="220">
        <f>BX15/BW15-1</f>
        <v>-0.0169733502538071</v>
      </c>
      <c r="BY308" s="220">
        <f>BY15/BX15-1</f>
        <v>-0.224544134258512</v>
      </c>
      <c r="BZ308" s="236" t="n"/>
      <c r="CA308" s="220">
        <f>CA15/BZ15-1</f>
        <v>-0.721374682172481</v>
      </c>
      <c r="CB308" s="220">
        <f>CB15/CA15-1</f>
        <v>-0.056922731692722</v>
      </c>
      <c r="CC308" s="220">
        <f>CC15/CB15-1</f>
        <v>-0.0169733502538071</v>
      </c>
      <c r="CD308" s="220">
        <f>CD15/CC15-1</f>
        <v>-0.224544134258512</v>
      </c>
      <c r="CE308" s="236" t="n"/>
      <c r="CF308" s="220">
        <f>CF15/CE15-1</f>
        <v>-0.721374682172481</v>
      </c>
      <c r="CG308" s="220">
        <f>CG15/CF15-1</f>
        <v>-0.056922731692722</v>
      </c>
      <c r="CH308" s="220">
        <f>CH15/CG15-1</f>
        <v>-0.0169733502538071</v>
      </c>
      <c r="CI308" s="220">
        <f>CI15/CH15-1</f>
        <v>-0.224544134258512</v>
      </c>
      <c r="CJ308" s="236" t="n"/>
      <c r="CK308" s="220">
        <f>CK15/CJ15-1</f>
        <v>-0.721374682172481</v>
      </c>
      <c r="CL308" s="220">
        <f>CL15/CK15-1</f>
        <v>-0.056922731692722</v>
      </c>
      <c r="CM308" s="220">
        <f>CM15/CL15-1</f>
        <v>-0.0169733502538071</v>
      </c>
      <c r="CN308" s="220">
        <f>CN15/CM15-1</f>
        <v>-0.224544134258512</v>
      </c>
      <c r="CO308" s="236" t="n"/>
      <c r="CP308" s="220">
        <f>CP15/CO15-1</f>
        <v>-0.721374682172481</v>
      </c>
      <c r="CQ308" s="220">
        <f>CQ15/CP15-1</f>
        <v>-0.056922731692722</v>
      </c>
      <c r="CR308" s="220">
        <f>CR15/CQ15-1</f>
        <v>-0.0169733502538071</v>
      </c>
      <c r="CS308" s="220">
        <f>CS15/CR15-1</f>
        <v>-0.224544134258512</v>
      </c>
      <c r="CT308" s="236" t="n"/>
      <c r="CU308" s="220">
        <f>CU15/CT15-1</f>
        <v>-0.721374682172481</v>
      </c>
      <c r="CV308" s="220">
        <f>CV15/CU15-1</f>
        <v>-0.056922731692722</v>
      </c>
      <c r="CW308" s="220">
        <f>CW15/CV15-1</f>
        <v>-0.0169733502538071</v>
      </c>
      <c r="CX308" s="220">
        <f>CX15/CW15-1</f>
        <v>-0.224544134258512</v>
      </c>
      <c r="CY308" s="236" t="n"/>
    </row>
    <row r="309" customFormat="1" s="233">
      <c r="A309" s="224" t="n"/>
      <c r="B309" s="224" t="n"/>
      <c r="C309" s="233" t="inlineStr">
        <is>
          <t>GROSS MARGIN</t>
        </is>
      </c>
      <c r="D309" s="220">
        <f>SUM(D15,D41)/D15</f>
        <v>1</v>
      </c>
      <c r="E309" s="220">
        <f>SUM(E15,E41)/E15</f>
        <v>1</v>
      </c>
      <c r="F309" s="220">
        <f>SUM(F15,F41)/F15</f>
        <v>1</v>
      </c>
      <c r="G309" s="220">
        <f>SUM(G15,G41)/G15</f>
        <v>1</v>
      </c>
      <c r="I309" s="221">
        <f>SUM(I15,I41)/I15</f>
        <v>1</v>
      </c>
      <c r="J309" s="221">
        <f>SUM(J15,J41)/J15</f>
        <v>1</v>
      </c>
      <c r="K309" s="221">
        <f>SUM(K15,K41)/K15</f>
        <v>1</v>
      </c>
      <c r="L309" s="221">
        <f>SUM(L15,L41)/L15</f>
        <v>1</v>
      </c>
      <c r="N309" s="221">
        <f>SUM(N15,N41)/N15</f>
        <v>1</v>
      </c>
      <c r="O309" s="221">
        <f>SUM(O15,O41)/O15</f>
        <v>1</v>
      </c>
      <c r="P309" s="221">
        <f>SUM(P15,P41)/P15</f>
        <v>1</v>
      </c>
      <c r="Q309" s="221">
        <f>SUM(Q15,Q41)/Q15</f>
        <v>1</v>
      </c>
      <c r="S309" s="221">
        <f>SUM(S15,S41)/S15</f>
        <v>1</v>
      </c>
      <c r="T309" s="221">
        <f>SUM(T15,T41)/T15</f>
        <v>1</v>
      </c>
      <c r="U309" s="221">
        <f>SUM(U15,U41)/U15</f>
        <v>1</v>
      </c>
      <c r="V309" s="221">
        <f>SUM(V15,V41)/V15</f>
        <v>1</v>
      </c>
      <c r="X309" s="221">
        <f>SUM(X15,X41)/X15</f>
        <v>1</v>
      </c>
      <c r="Y309" s="221">
        <f>SUM(Y15,Y41)/Y15</f>
        <v>1</v>
      </c>
      <c r="Z309" s="221">
        <f>SUM(Z15,Z41)/Z15</f>
        <v>1</v>
      </c>
      <c r="AA309" s="221">
        <f>SUM(AA15,AA41)/AA15</f>
        <v>1</v>
      </c>
      <c r="AC309" s="221">
        <f>SUM(AC15,AC41)/AC15</f>
        <v>1</v>
      </c>
      <c r="AD309" s="221">
        <f>SUM(AD15,AD41)/AD15</f>
        <v>1</v>
      </c>
      <c r="AE309" s="221">
        <f>SUM(AE15,AE41)/AE15</f>
        <v>1</v>
      </c>
      <c r="AF309" s="221">
        <f>SUM(AF15,AF41)/AF15</f>
        <v>1</v>
      </c>
      <c r="AH309" s="221">
        <f>SUM(AH15,AH41)/AH15</f>
        <v>1</v>
      </c>
      <c r="AI309" s="221">
        <f>SUM(AI15,AI41)/AI15</f>
        <v>1</v>
      </c>
      <c r="AJ309" s="221">
        <f>SUM(AJ15,AJ41)/AJ15</f>
        <v>0</v>
      </c>
      <c r="AK309" s="221">
        <f>SUM(AK15,AK41)/AK15</f>
        <v>0</v>
      </c>
      <c r="AM309" s="221">
        <f>SUM(AM15,AM41)/AM15</f>
        <v>0</v>
      </c>
      <c r="AN309" s="221">
        <f>SUM(AN15,AN41)/AN15</f>
        <v>0</v>
      </c>
      <c r="AO309" s="221">
        <f>SUM(AO15,AO41)/AO15</f>
        <v>0</v>
      </c>
      <c r="AP309" s="221">
        <f>SUM(AP15,AP41)/AP15</f>
        <v>0</v>
      </c>
      <c r="AR309" s="221">
        <f>SUM(AR15,AR41)/AR15</f>
        <v>0</v>
      </c>
      <c r="AS309" s="221">
        <f>SUM(AS15,AS41)/AS15</f>
        <v>0</v>
      </c>
      <c r="AT309" s="221">
        <f>SUM(AT15,AT41)/AT15</f>
        <v>0</v>
      </c>
      <c r="AU309" s="221">
        <f>SUM(AU15,AU41)/AU15</f>
        <v>0</v>
      </c>
      <c r="AW309" s="221">
        <f>SUM(AW15,AW41)/AW15</f>
        <v>0</v>
      </c>
      <c r="AX309" s="221">
        <f>SUM(AX15,AX41)/AX15</f>
        <v>0</v>
      </c>
      <c r="AY309" s="221">
        <f>SUM(AY15,AY41)/AY15</f>
        <v>0</v>
      </c>
      <c r="AZ309" s="221">
        <f>SUM(AZ15,AZ41)/AZ15</f>
        <v>0</v>
      </c>
      <c r="BB309" s="221">
        <f>SUM(BB15,BB41)/BB15</f>
        <v>0</v>
      </c>
      <c r="BC309" s="221">
        <f>SUM(BC15,BC41)/BC15</f>
        <v>0</v>
      </c>
      <c r="BD309" s="221">
        <f>SUM(BD15,BD41)/BD15</f>
        <v>0</v>
      </c>
      <c r="BE309" s="221">
        <f>SUM(BE15,BE41)/BE15</f>
        <v>0</v>
      </c>
      <c r="BG309" s="221">
        <f>SUM(BG15,BG41)/BG15</f>
        <v>0</v>
      </c>
      <c r="BH309" s="221">
        <f>SUM(BH15,BH41)/BH15</f>
        <v>0</v>
      </c>
      <c r="BI309" s="221">
        <f>SUM(BI15,BI41)/BI15</f>
        <v>0</v>
      </c>
      <c r="BJ309" s="221">
        <f>SUM(BJ15,BJ41)/BJ15</f>
        <v>0</v>
      </c>
      <c r="BL309" s="221">
        <f>SUM(BL15,BL41)/BL15</f>
        <v>0</v>
      </c>
      <c r="BM309" s="221">
        <f>SUM(BM15,BM41)/BM15</f>
        <v>0</v>
      </c>
      <c r="BN309" s="221">
        <f>SUM(BN15,BN41)/BN15</f>
        <v>0</v>
      </c>
      <c r="BO309" s="221">
        <f>SUM(BO15,BO41)/BO15</f>
        <v>0</v>
      </c>
      <c r="BQ309" s="221">
        <f>SUM(BQ15,BQ41)/BQ15</f>
        <v>0</v>
      </c>
      <c r="BR309" s="221">
        <f>SUM(BR15,BR41)/BR15</f>
        <v>0</v>
      </c>
      <c r="BS309" s="221">
        <f>SUM(BS15,BS41)/BS15</f>
        <v>0</v>
      </c>
      <c r="BT309" s="221">
        <f>SUM(BT15,BT41)/BT15</f>
        <v>0</v>
      </c>
      <c r="BV309" s="221">
        <f>SUM(BV15,BV41)/BV15</f>
        <v>0</v>
      </c>
      <c r="BW309" s="221">
        <f>SUM(BW15,BW41)/BW15</f>
        <v>0</v>
      </c>
      <c r="BX309" s="221">
        <f>SUM(BX15,BX41)/BX15</f>
        <v>0</v>
      </c>
      <c r="BY309" s="221">
        <f>SUM(BY15,BY41)/BY15</f>
        <v>0</v>
      </c>
      <c r="CA309" s="221">
        <f>SUM(CA15,CA41)/CA15</f>
        <v>0</v>
      </c>
      <c r="CB309" s="221">
        <f>SUM(CB15,CB41)/CB15</f>
        <v>0</v>
      </c>
      <c r="CC309" s="221">
        <f>SUM(CC15,CC41)/CC15</f>
        <v>0</v>
      </c>
      <c r="CD309" s="221">
        <f>SUM(CD15,CD41)/CD15</f>
        <v>0</v>
      </c>
      <c r="CF309" s="221">
        <f>SUM(CF15,CF41)/CF15</f>
        <v>0</v>
      </c>
      <c r="CG309" s="221">
        <f>SUM(CG15,CG41)/CG15</f>
        <v>0</v>
      </c>
      <c r="CH309" s="221">
        <f>SUM(CH15,CH41)/CH15</f>
        <v>0</v>
      </c>
      <c r="CI309" s="221">
        <f>SUM(CI15,CI41)/CI15</f>
        <v>0</v>
      </c>
      <c r="CK309" s="221">
        <f>SUM(CK15,CK41)/CK15</f>
        <v>0</v>
      </c>
      <c r="CL309" s="221">
        <f>SUM(CL15,CL41)/CL15</f>
        <v>0</v>
      </c>
      <c r="CM309" s="221">
        <f>SUM(CM15,CM41)/CM15</f>
        <v>0</v>
      </c>
      <c r="CN309" s="221">
        <f>SUM(CN15,CN41)/CN15</f>
        <v>0</v>
      </c>
      <c r="CP309" s="221">
        <f>SUM(CP15,CP41)/CP15</f>
        <v>0</v>
      </c>
      <c r="CQ309" s="221">
        <f>SUM(CQ15,CQ41)/CQ15</f>
        <v>0</v>
      </c>
      <c r="CR309" s="221">
        <f>SUM(CR15,CR41)/CR15</f>
        <v>0</v>
      </c>
      <c r="CS309" s="221">
        <f>SUM(CS15,CS41)/CS15</f>
        <v>0</v>
      </c>
      <c r="CU309" s="221">
        <f>SUM(CU15,CU41)/CU15</f>
        <v>0</v>
      </c>
      <c r="CV309" s="221">
        <f>SUM(CV15,CV41)/CV15</f>
        <v>0</v>
      </c>
      <c r="CW309" s="221">
        <f>SUM(CW15,CW41)/CW15</f>
        <v>0</v>
      </c>
      <c r="CX309" s="221">
        <f>SUM(CX15,CX41)/CX15</f>
        <v>0</v>
      </c>
    </row>
    <row r="310" customFormat="1" s="233">
      <c r="A310" s="224" t="n"/>
      <c r="B310" s="224" t="n"/>
      <c r="C310" s="233" t="inlineStr">
        <is>
          <t>EBIT MARGIN</t>
        </is>
      </c>
      <c r="D310" s="236">
        <f>(D60/D15)</f>
        <v>0.104290500378256</v>
      </c>
      <c r="E310" s="236">
        <f>(E60/E15)</f>
        <v>0.155742296918768</v>
      </c>
      <c r="F310" s="236">
        <f>(F60/F15)</f>
        <v>0.134004727160621</v>
      </c>
      <c r="G310" s="236">
        <f>(G60/G15)</f>
        <v>0.179762949956102</v>
      </c>
      <c r="I310" s="222">
        <f>(I60/I15)</f>
        <v>0.20227235030685</v>
      </c>
      <c r="J310" s="222">
        <f>(J60/J15)</f>
        <v>0.194586622711894</v>
      </c>
      <c r="K310" s="222">
        <f>(K60/K15)</f>
        <v>0.149377593360996</v>
      </c>
      <c r="L310" s="222">
        <f>(L60/L15)</f>
        <v>0.12906259797262</v>
      </c>
      <c r="N310" s="222">
        <f>(N60/N15)</f>
        <v>0.199700822737472</v>
      </c>
      <c r="O310" s="222">
        <f>(O60/O15)</f>
        <v>0.187632959863849</v>
      </c>
      <c r="P310" s="222">
        <f>(P60/P15)</f>
        <v>0.190267765190525</v>
      </c>
      <c r="Q310" s="222">
        <f>(Q60/Q15)</f>
        <v>0.199019917799557</v>
      </c>
      <c r="S310" s="222">
        <f>(S60/S15)</f>
        <v>0.224190487145569</v>
      </c>
      <c r="T310" s="222">
        <f>(T60/T15)</f>
        <v>0.222517562179609</v>
      </c>
      <c r="U310" s="222">
        <f>(U60/U15)</f>
        <v>0.196340513885284</v>
      </c>
      <c r="V310" s="222">
        <f>(V60/V15)</f>
        <v>0</v>
      </c>
      <c r="X310" s="222">
        <f>(X60/X15)</f>
        <v>0</v>
      </c>
      <c r="Y310" s="222">
        <f>(Y60/Y15)</f>
        <v>0</v>
      </c>
      <c r="Z310" s="222">
        <f>(Z60/Z15)</f>
        <v>0</v>
      </c>
      <c r="AA310" s="222">
        <f>(AA60/AA15)</f>
        <v>0</v>
      </c>
      <c r="AC310" s="222">
        <f>(AC60/AC15)</f>
        <v>0</v>
      </c>
      <c r="AD310" s="222">
        <f>(AD60/AD15)</f>
        <v>0</v>
      </c>
      <c r="AE310" s="222">
        <f>(AE60/AE15)</f>
        <v>0</v>
      </c>
      <c r="AF310" s="222">
        <f>(AF60/AF15)</f>
        <v>0</v>
      </c>
      <c r="AH310" s="222">
        <f>(AH60/AH15)</f>
        <v>0</v>
      </c>
      <c r="AI310" s="222">
        <f>(AI60/AI15)</f>
        <v>0</v>
      </c>
      <c r="AJ310" s="222">
        <f>(AJ60/AJ15)</f>
        <v>0</v>
      </c>
      <c r="AK310" s="222">
        <f>(AK60/AK15)</f>
        <v>0</v>
      </c>
      <c r="AM310" s="222">
        <f>(AM60/AM15)</f>
        <v>0</v>
      </c>
      <c r="AN310" s="222">
        <f>(AN60/AN15)</f>
        <v>0</v>
      </c>
      <c r="AO310" s="222">
        <f>(AO60/AO15)</f>
        <v>0</v>
      </c>
      <c r="AP310" s="222">
        <f>(AP60/AP15)</f>
        <v>0</v>
      </c>
      <c r="AR310" s="222">
        <f>(AR60/AR15)</f>
        <v>0</v>
      </c>
      <c r="AS310" s="222">
        <f>(AS60/AS15)</f>
        <v>0</v>
      </c>
      <c r="AT310" s="222">
        <f>(AT60/AT15)</f>
        <v>0</v>
      </c>
      <c r="AU310" s="222">
        <f>(AU60/AU15)</f>
        <v>0</v>
      </c>
      <c r="AW310" s="222">
        <f>(AW60/AW15)</f>
        <v>0</v>
      </c>
      <c r="AX310" s="222">
        <f>(AX60/AX15)</f>
        <v>0</v>
      </c>
      <c r="AY310" s="222">
        <f>(AY60/AY15)</f>
        <v>0</v>
      </c>
      <c r="AZ310" s="222">
        <f>(AZ60/AZ15)</f>
        <v>0</v>
      </c>
      <c r="BB310" s="222">
        <f>(BB60/BB15)</f>
        <v>0</v>
      </c>
      <c r="BC310" s="222">
        <f>(BC60/BC15)</f>
        <v>0</v>
      </c>
      <c r="BD310" s="222">
        <f>(BD60/BD15)</f>
        <v>0</v>
      </c>
      <c r="BE310" s="222">
        <f>(BE60/BE15)</f>
        <v>0</v>
      </c>
      <c r="BG310" s="222">
        <f>(BG60/BG15)</f>
        <v>0</v>
      </c>
      <c r="BH310" s="222">
        <f>(BH60/BH15)</f>
        <v>0</v>
      </c>
      <c r="BI310" s="222">
        <f>(BI60/BI15)</f>
        <v>0</v>
      </c>
      <c r="BJ310" s="222">
        <f>(BJ60/BJ15)</f>
        <v>0</v>
      </c>
      <c r="BL310" s="222">
        <f>(BL60/BL15)</f>
        <v>0</v>
      </c>
      <c r="BM310" s="222">
        <f>(BM60/BM15)</f>
        <v>0</v>
      </c>
      <c r="BN310" s="222">
        <f>(BN60/BN15)</f>
        <v>0</v>
      </c>
      <c r="BO310" s="222">
        <f>(BO60/BO15)</f>
        <v>0</v>
      </c>
      <c r="BQ310" s="222">
        <f>(BQ60/BQ15)</f>
        <v>0</v>
      </c>
      <c r="BR310" s="222">
        <f>(BR60/BR15)</f>
        <v>0</v>
      </c>
      <c r="BS310" s="222">
        <f>(BS60/BS15)</f>
        <v>0</v>
      </c>
      <c r="BT310" s="222">
        <f>(BT60/BT15)</f>
        <v>0</v>
      </c>
      <c r="BV310" s="222">
        <f>(BV60/BV15)</f>
        <v>0</v>
      </c>
      <c r="BW310" s="222">
        <f>(BW60/BW15)</f>
        <v>0</v>
      </c>
      <c r="BX310" s="222">
        <f>(BX60/BX15)</f>
        <v>0</v>
      </c>
      <c r="BY310" s="222">
        <f>(BY60/BY15)</f>
        <v>0</v>
      </c>
      <c r="CA310" s="222">
        <f>(CA60/CA15)</f>
        <v>0</v>
      </c>
      <c r="CB310" s="222">
        <f>(CB60/CB15)</f>
        <v>0</v>
      </c>
      <c r="CC310" s="222">
        <f>(CC60/CC15)</f>
        <v>0</v>
      </c>
      <c r="CD310" s="222">
        <f>(CD60/CD15)</f>
        <v>0</v>
      </c>
      <c r="CF310" s="222">
        <f>(CF60/CF15)</f>
        <v>0</v>
      </c>
      <c r="CG310" s="222">
        <f>(CG60/CG15)</f>
        <v>0</v>
      </c>
      <c r="CH310" s="222">
        <f>(CH60/CH15)</f>
        <v>0</v>
      </c>
      <c r="CI310" s="222">
        <f>(CI60/CI15)</f>
        <v>0</v>
      </c>
      <c r="CK310" s="222">
        <f>(CK60/CK15)</f>
        <v>0</v>
      </c>
      <c r="CL310" s="222">
        <f>(CL60/CL15)</f>
        <v>0</v>
      </c>
      <c r="CM310" s="222">
        <f>(CM60/CM15)</f>
        <v>0</v>
      </c>
      <c r="CN310" s="222">
        <f>(CN60/CN15)</f>
        <v>0</v>
      </c>
      <c r="CP310" s="222">
        <f>(CP60/CP15)</f>
        <v>0</v>
      </c>
      <c r="CQ310" s="222">
        <f>(CQ60/CQ15)</f>
        <v>0</v>
      </c>
      <c r="CR310" s="222">
        <f>(CR60/CR15)</f>
        <v>0</v>
      </c>
      <c r="CS310" s="222">
        <f>(CS60/CS15)</f>
        <v>0</v>
      </c>
      <c r="CU310" s="222">
        <f>(CU60/CU15)</f>
        <v>0</v>
      </c>
      <c r="CV310" s="222">
        <f>(CV60/CV15)</f>
        <v>0</v>
      </c>
      <c r="CW310" s="222">
        <f>(CW60/CW15)</f>
        <v>0</v>
      </c>
      <c r="CX310" s="222">
        <f>(CX60/CX15)</f>
        <v>0</v>
      </c>
    </row>
    <row r="311" customFormat="1" s="233">
      <c r="A311" s="224" t="n"/>
      <c r="B311" s="224" t="n"/>
      <c r="C311" s="233" t="inlineStr">
        <is>
          <t>EBITDA MARTGIN</t>
        </is>
      </c>
      <c r="D311" s="236">
        <f>D56/D15</f>
        <v>0.161461147735869</v>
      </c>
      <c r="E311" s="236">
        <f>E56/E15</f>
        <v>0.21703081232493</v>
      </c>
      <c r="F311" s="236">
        <f>F56/F15</f>
        <v>0.185797965265646</v>
      </c>
      <c r="G311" s="236">
        <f>G56/G15</f>
        <v>0.238805970149254</v>
      </c>
      <c r="I311" s="222">
        <f>I56/I15</f>
        <v>0.245065516669431</v>
      </c>
      <c r="J311" s="222">
        <f>J56/J15</f>
        <v>0.239264335907001</v>
      </c>
      <c r="K311" s="222">
        <f>K56/K15</f>
        <v>0.191842500220712</v>
      </c>
      <c r="L311" s="222">
        <f>L56/L15</f>
        <v>0.179851604138363</v>
      </c>
      <c r="N311" s="222">
        <f>N56/N15</f>
        <v>0.233133881824981</v>
      </c>
      <c r="O311" s="222">
        <f>O56/O15</f>
        <v>0.223798042830804</v>
      </c>
      <c r="P311" s="222">
        <f>P56/P15</f>
        <v>0.219361483007209</v>
      </c>
      <c r="Q311" s="222">
        <f>Q56/Q15</f>
        <v>0.238065128042997</v>
      </c>
      <c r="S311" s="222">
        <f>S56/S15</f>
        <v>0.253005118766895</v>
      </c>
      <c r="T311" s="222">
        <f>T56/T15</f>
        <v>0.256186317321689</v>
      </c>
      <c r="U311" s="222">
        <f>U56/U15</f>
        <v>0.227290423046976</v>
      </c>
      <c r="V311" s="222">
        <f>V56/V15</f>
        <v>0.0426754205990973</v>
      </c>
      <c r="X311" s="222">
        <f>X56/X15</f>
        <v>0.0344601247128323</v>
      </c>
      <c r="Y311" s="222">
        <f>Y56/Y15</f>
        <v>0.0420468369829684</v>
      </c>
      <c r="Z311" s="222">
        <f>Z56/Z15</f>
        <v>0.0466618808327351</v>
      </c>
      <c r="AA311" s="222">
        <f>AA56/AA15</f>
        <v>0.0645275035260931</v>
      </c>
      <c r="AC311" s="222">
        <f>AC56/AC15</f>
        <v>0.0434850740421531</v>
      </c>
      <c r="AD311" s="222">
        <f>AD56/AD15</f>
        <v>0.0469296055916126</v>
      </c>
      <c r="AE311" s="222">
        <f>AE56/AE15</f>
        <v>0.0452638373406487</v>
      </c>
      <c r="AF311" s="222">
        <f>AF56/AF15</f>
        <v>0.0613879929247737</v>
      </c>
      <c r="AH311" s="222">
        <f>AH56/AH15</f>
        <v>0.044431146682624</v>
      </c>
      <c r="AI311" s="222">
        <f>AI56/AI15</f>
        <v>0.0478267766497462</v>
      </c>
      <c r="AJ311" s="222">
        <f>AJ56/AJ15</f>
        <v>0</v>
      </c>
      <c r="AK311" s="222">
        <f>AK56/AK15</f>
        <v>0</v>
      </c>
      <c r="AM311" s="222">
        <f>AM56/AM15</f>
        <v>0</v>
      </c>
      <c r="AN311" s="222">
        <f>AN56/AN15</f>
        <v>0</v>
      </c>
      <c r="AO311" s="222">
        <f>AO56/AO15</f>
        <v>0</v>
      </c>
      <c r="AP311" s="222">
        <f>AP56/AP15</f>
        <v>0</v>
      </c>
      <c r="AR311" s="222">
        <f>AR56/AR15</f>
        <v>0</v>
      </c>
      <c r="AS311" s="222">
        <f>AS56/AS15</f>
        <v>0</v>
      </c>
      <c r="AT311" s="222">
        <f>AT56/AT15</f>
        <v>0</v>
      </c>
      <c r="AU311" s="222">
        <f>AU56/AU15</f>
        <v>0</v>
      </c>
      <c r="AW311" s="222">
        <f>AW56/AW15</f>
        <v>0</v>
      </c>
      <c r="AX311" s="222">
        <f>AX56/AX15</f>
        <v>0</v>
      </c>
      <c r="AY311" s="222">
        <f>AY56/AY15</f>
        <v>0</v>
      </c>
      <c r="AZ311" s="222">
        <f>AZ56/AZ15</f>
        <v>0</v>
      </c>
      <c r="BB311" s="222">
        <f>BB56/BB15</f>
        <v>0</v>
      </c>
      <c r="BC311" s="222">
        <f>BC56/BC15</f>
        <v>0</v>
      </c>
      <c r="BD311" s="222">
        <f>BD56/BD15</f>
        <v>0</v>
      </c>
      <c r="BE311" s="222">
        <f>BE56/BE15</f>
        <v>0</v>
      </c>
      <c r="BG311" s="222">
        <f>BG56/BG15</f>
        <v>0</v>
      </c>
      <c r="BH311" s="222">
        <f>BH56/BH15</f>
        <v>0</v>
      </c>
      <c r="BI311" s="222">
        <f>BI56/BI15</f>
        <v>0</v>
      </c>
      <c r="BJ311" s="222">
        <f>BJ56/BJ15</f>
        <v>0</v>
      </c>
      <c r="BL311" s="222">
        <f>BL56/BL15</f>
        <v>0</v>
      </c>
      <c r="BM311" s="222">
        <f>BM56/BM15</f>
        <v>0</v>
      </c>
      <c r="BN311" s="222">
        <f>BN56/BN15</f>
        <v>0</v>
      </c>
      <c r="BO311" s="222">
        <f>BO56/BO15</f>
        <v>0</v>
      </c>
      <c r="BQ311" s="222">
        <f>BQ56/BQ15</f>
        <v>0</v>
      </c>
      <c r="BR311" s="222">
        <f>BR56/BR15</f>
        <v>0</v>
      </c>
      <c r="BS311" s="222">
        <f>BS56/BS15</f>
        <v>0</v>
      </c>
      <c r="BT311" s="222">
        <f>BT56/BT15</f>
        <v>0</v>
      </c>
      <c r="BV311" s="222">
        <f>BV56/BV15</f>
        <v>0</v>
      </c>
      <c r="BW311" s="222">
        <f>BW56/BW15</f>
        <v>0</v>
      </c>
      <c r="BX311" s="222">
        <f>BX56/BX15</f>
        <v>0</v>
      </c>
      <c r="BY311" s="222">
        <f>BY56/BY15</f>
        <v>0</v>
      </c>
      <c r="CA311" s="222">
        <f>CA56/CA15</f>
        <v>0</v>
      </c>
      <c r="CB311" s="222">
        <f>CB56/CB15</f>
        <v>0</v>
      </c>
      <c r="CC311" s="222">
        <f>CC56/CC15</f>
        <v>0</v>
      </c>
      <c r="CD311" s="222">
        <f>CD56/CD15</f>
        <v>0</v>
      </c>
      <c r="CF311" s="222">
        <f>CF56/CF15</f>
        <v>0</v>
      </c>
      <c r="CG311" s="222">
        <f>CG56/CG15</f>
        <v>0</v>
      </c>
      <c r="CH311" s="222">
        <f>CH56/CH15</f>
        <v>0</v>
      </c>
      <c r="CI311" s="222">
        <f>CI56/CI15</f>
        <v>0</v>
      </c>
      <c r="CK311" s="222">
        <f>CK56/CK15</f>
        <v>0</v>
      </c>
      <c r="CL311" s="222">
        <f>CL56/CL15</f>
        <v>0</v>
      </c>
      <c r="CM311" s="222">
        <f>CM56/CM15</f>
        <v>0</v>
      </c>
      <c r="CN311" s="222">
        <f>CN56/CN15</f>
        <v>0</v>
      </c>
      <c r="CP311" s="222">
        <f>CP56/CP15</f>
        <v>0</v>
      </c>
      <c r="CQ311" s="222">
        <f>CQ56/CQ15</f>
        <v>0</v>
      </c>
      <c r="CR311" s="222">
        <f>CR56/CR15</f>
        <v>0</v>
      </c>
      <c r="CS311" s="222">
        <f>CS56/CS15</f>
        <v>0</v>
      </c>
      <c r="CU311" s="222">
        <f>CU56/CU15</f>
        <v>0</v>
      </c>
      <c r="CV311" s="222">
        <f>CV56/CV15</f>
        <v>0</v>
      </c>
      <c r="CW311" s="222">
        <f>CW56/CW15</f>
        <v>0</v>
      </c>
      <c r="CX311" s="222">
        <f>CX56/CX15</f>
        <v>0</v>
      </c>
    </row>
    <row r="312" customFormat="1" s="233">
      <c r="A312" s="224" t="n"/>
      <c r="B312" s="224" t="n"/>
      <c r="C312" s="233" t="inlineStr">
        <is>
          <t>ETR</t>
        </is>
      </c>
      <c r="D312" s="236">
        <f>-D118/D117</f>
        <v>0.264008620689655</v>
      </c>
      <c r="E312" s="236">
        <f>-E118/E117</f>
        <v>0.359842519685039</v>
      </c>
      <c r="F312" s="236">
        <f>-F118/F117</f>
        <v>0.295964125560538</v>
      </c>
      <c r="G312" s="236">
        <f>-G118/G117</f>
        <v>0.201570680628272</v>
      </c>
      <c r="I312" s="222">
        <f>-I118/I117</f>
        <v>0.22923875432526</v>
      </c>
      <c r="J312" s="222">
        <f>-J118/J117</f>
        <v>0.228372093023256</v>
      </c>
      <c r="K312" s="222">
        <f>-K118/K117</f>
        <v>0.204587724736516</v>
      </c>
      <c r="L312" s="222">
        <f>-L118/L117</f>
        <v>0.217202432667246</v>
      </c>
      <c r="N312" s="222">
        <f>-N118/N117</f>
        <v>0.18064263322884</v>
      </c>
      <c r="O312" s="222">
        <f>-O118/O117</f>
        <v>0.257581725088618</v>
      </c>
      <c r="P312" s="222">
        <f>-P118/P117</f>
        <v>0.222876949740035</v>
      </c>
      <c r="Q312" s="222">
        <f>-Q118/Q117</f>
        <v>0.215403128760529</v>
      </c>
      <c r="S312" s="222">
        <f>-S118/S117</f>
        <v>0.257536382536383</v>
      </c>
      <c r="T312" s="222">
        <f>-T118/T117</f>
        <v>0.176372712146423</v>
      </c>
      <c r="U312" s="222">
        <f>-U118/U117</f>
        <v>0.230068337129841</v>
      </c>
      <c r="V312" s="222">
        <f>-V118/V117</f>
        <v>0.211738148984199</v>
      </c>
      <c r="X312" s="222">
        <f>-X118/X117</f>
        <v>0.240936798203401</v>
      </c>
      <c r="Y312" s="222">
        <f>-Y118/Y117</f>
        <v>0.265392781316348</v>
      </c>
      <c r="Z312" s="222">
        <f>-Z118/Z117</f>
        <v>0.163923633969717</v>
      </c>
      <c r="AA312" s="222">
        <f>-AA118/AA117</f>
        <v>0.0301675977653631</v>
      </c>
      <c r="AC312" s="222">
        <f>-AC118/AC117</f>
        <v>0.23063756953359</v>
      </c>
      <c r="AD312" s="222">
        <f>-AD118/AD117</f>
        <v>0.211875</v>
      </c>
      <c r="AE312" s="222">
        <f>-AE118/AE117</f>
        <v>0.248421052631579</v>
      </c>
      <c r="AF312" s="222">
        <f>-AF118/AF117</f>
        <v>0.23444976076555</v>
      </c>
      <c r="AH312" s="222">
        <f>-AH118/AH117</f>
        <v>0.225904928041867</v>
      </c>
      <c r="AI312" s="222">
        <f>-AI118/AI117</f>
        <v>0.281083953241233</v>
      </c>
      <c r="AJ312" s="222">
        <f>-AJ118/AJ117</f>
        <v>0</v>
      </c>
      <c r="AK312" s="222">
        <f>-AK118/AK117</f>
        <v>0</v>
      </c>
      <c r="AM312" s="222">
        <f>-AM118/AM117</f>
        <v>0</v>
      </c>
      <c r="AN312" s="222">
        <f>-AN118/AN117</f>
        <v>0</v>
      </c>
      <c r="AO312" s="222">
        <f>-AO118/AO117</f>
        <v>0</v>
      </c>
      <c r="AP312" s="222">
        <f>-AP118/AP117</f>
        <v>0</v>
      </c>
      <c r="AR312" s="222">
        <f>-AR118/AR117</f>
        <v>0</v>
      </c>
      <c r="AS312" s="222">
        <f>-AS118/AS117</f>
        <v>0</v>
      </c>
      <c r="AT312" s="222">
        <f>-AT118/AT117</f>
        <v>0</v>
      </c>
      <c r="AU312" s="222">
        <f>-AU118/AU117</f>
        <v>0</v>
      </c>
      <c r="AW312" s="222">
        <f>-AW118/AW117</f>
        <v>0</v>
      </c>
      <c r="AX312" s="222">
        <f>-AX118/AX117</f>
        <v>0</v>
      </c>
      <c r="AY312" s="222">
        <f>-AY118/AY117</f>
        <v>0</v>
      </c>
      <c r="AZ312" s="222">
        <f>-AZ118/AZ117</f>
        <v>0</v>
      </c>
      <c r="BB312" s="222">
        <f>-BB118/BB117</f>
        <v>0</v>
      </c>
      <c r="BC312" s="222">
        <f>-BC118/BC117</f>
        <v>0</v>
      </c>
      <c r="BD312" s="222">
        <f>-BD118/BD117</f>
        <v>0</v>
      </c>
      <c r="BE312" s="222">
        <f>-BE118/BE117</f>
        <v>0</v>
      </c>
      <c r="BG312" s="222">
        <f>-BG118/BG117</f>
        <v>0</v>
      </c>
      <c r="BH312" s="222">
        <f>-BH118/BH117</f>
        <v>0</v>
      </c>
      <c r="BI312" s="222">
        <f>-BI118/BI117</f>
        <v>0</v>
      </c>
      <c r="BJ312" s="222">
        <f>-BJ118/BJ117</f>
        <v>0</v>
      </c>
      <c r="BL312" s="222">
        <f>-BL118/BL117</f>
        <v>0</v>
      </c>
      <c r="BM312" s="222">
        <f>-BM118/BM117</f>
        <v>0</v>
      </c>
      <c r="BN312" s="222">
        <f>-BN118/BN117</f>
        <v>0</v>
      </c>
      <c r="BO312" s="222">
        <f>-BO118/BO117</f>
        <v>0</v>
      </c>
      <c r="BQ312" s="222">
        <f>-BQ118/BQ117</f>
        <v>0</v>
      </c>
      <c r="BR312" s="222">
        <f>-BR118/BR117</f>
        <v>0</v>
      </c>
      <c r="BS312" s="222">
        <f>-BS118/BS117</f>
        <v>0</v>
      </c>
      <c r="BT312" s="222">
        <f>-BT118/BT117</f>
        <v>0</v>
      </c>
      <c r="BV312" s="222">
        <f>-BV118/BV117</f>
        <v>0</v>
      </c>
      <c r="BW312" s="222">
        <f>-BW118/BW117</f>
        <v>0</v>
      </c>
      <c r="BX312" s="222">
        <f>-BX118/BX117</f>
        <v>0</v>
      </c>
      <c r="BY312" s="222">
        <f>-BY118/BY117</f>
        <v>0</v>
      </c>
      <c r="CA312" s="222">
        <f>-CA118/CA117</f>
        <v>0</v>
      </c>
      <c r="CB312" s="222">
        <f>-CB118/CB117</f>
        <v>0</v>
      </c>
      <c r="CC312" s="222">
        <f>-CC118/CC117</f>
        <v>0</v>
      </c>
      <c r="CD312" s="222">
        <f>-CD118/CD117</f>
        <v>0</v>
      </c>
      <c r="CF312" s="222">
        <f>-CF118/CF117</f>
        <v>0</v>
      </c>
      <c r="CG312" s="222">
        <f>-CG118/CG117</f>
        <v>0</v>
      </c>
      <c r="CH312" s="222">
        <f>-CH118/CH117</f>
        <v>0</v>
      </c>
      <c r="CI312" s="222">
        <f>-CI118/CI117</f>
        <v>0</v>
      </c>
      <c r="CK312" s="222">
        <f>-CK118/CK117</f>
        <v>0</v>
      </c>
      <c r="CL312" s="222">
        <f>-CL118/CL117</f>
        <v>0</v>
      </c>
      <c r="CM312" s="222">
        <f>-CM118/CM117</f>
        <v>0</v>
      </c>
      <c r="CN312" s="222">
        <f>-CN118/CN117</f>
        <v>0</v>
      </c>
      <c r="CP312" s="222">
        <f>-CP118/CP117</f>
        <v>0</v>
      </c>
      <c r="CQ312" s="222">
        <f>-CQ118/CQ117</f>
        <v>0</v>
      </c>
      <c r="CR312" s="222">
        <f>-CR118/CR117</f>
        <v>0</v>
      </c>
      <c r="CS312" s="222">
        <f>-CS118/CS117</f>
        <v>0</v>
      </c>
      <c r="CU312" s="222">
        <f>-CU118/CU117</f>
        <v>0</v>
      </c>
      <c r="CV312" s="222">
        <f>-CV118/CV117</f>
        <v>0</v>
      </c>
      <c r="CW312" s="222">
        <f>-CW118/CW117</f>
        <v>0</v>
      </c>
      <c r="CX312" s="222">
        <f>-CX118/CX117</f>
        <v>0</v>
      </c>
    </row>
    <row r="313" customFormat="1" s="233">
      <c r="A313" s="224" t="n"/>
      <c r="B313" s="224" t="n"/>
    </row>
    <row r="314" customFormat="1" s="233">
      <c r="A314" s="224" t="n"/>
      <c r="B314" s="224" t="n"/>
      <c r="C314" s="234" t="inlineStr">
        <is>
          <t>CAPITAL STRUCTURE</t>
        </is>
      </c>
    </row>
    <row r="315" customFormat="1" s="233">
      <c r="A315" s="224" t="n"/>
      <c r="B315" s="224" t="n"/>
      <c r="C315" s="233" t="inlineStr">
        <is>
          <t>MARKET DEBT / EQUITY</t>
        </is>
      </c>
    </row>
    <row r="316" customFormat="1" s="233">
      <c r="A316" s="224" t="n"/>
      <c r="B316" s="224" t="n"/>
      <c r="C316" s="233" t="inlineStr">
        <is>
          <t>NET DEBT / (NET DEBT + MARKET CAP)</t>
        </is>
      </c>
    </row>
    <row r="317" customFormat="1" s="233">
      <c r="A317" s="224" t="n"/>
      <c r="B317" s="224" t="n"/>
    </row>
    <row r="318" customFormat="1" s="233">
      <c r="A318" s="224" t="n"/>
      <c r="B318" s="224" t="n"/>
      <c r="C318" s="234" t="inlineStr">
        <is>
          <t>FINANCIAL RISK RATIOS</t>
        </is>
      </c>
    </row>
    <row r="319" customFormat="1" s="233">
      <c r="A319" s="224" t="n"/>
      <c r="B319" s="224" t="n"/>
      <c r="C319" s="233" t="inlineStr">
        <is>
          <t>EBITDA / TOTAL INTEREST</t>
        </is>
      </c>
      <c r="D319" s="219">
        <f>D56/-D61</f>
        <v>4.36842105263158</v>
      </c>
      <c r="E319" s="219">
        <f>E56/-E61</f>
        <v>6.67931034482759</v>
      </c>
      <c r="F319" s="219">
        <f>F56/-F61</f>
        <v>6.50359712230216</v>
      </c>
      <c r="G319" s="219">
        <f>G56/-G61</f>
        <v>8.02952029520295</v>
      </c>
      <c r="I319" s="219">
        <f>I56/-I61</f>
        <v>11.0261194029851</v>
      </c>
      <c r="J319" s="219">
        <f>J56/-J61</f>
        <v>11.3032786885246</v>
      </c>
      <c r="K319" s="219">
        <f>K56/-K61</f>
        <v>10.347619047619</v>
      </c>
      <c r="L319" s="219">
        <f>L56/-L61</f>
        <v>7.51528384279476</v>
      </c>
      <c r="N319" s="219">
        <f>N56/-N61</f>
        <v>16.668449197861</v>
      </c>
      <c r="O319" s="219">
        <f>O56/-O61</f>
        <v>10.6621621621622</v>
      </c>
      <c r="P319" s="219">
        <f>P56/-P61</f>
        <v>9.76504297994269</v>
      </c>
      <c r="Q319" s="219">
        <f>Q56/-Q61</f>
        <v>6.28810020876827</v>
      </c>
      <c r="S319" s="219">
        <f>S56/-S61</f>
        <v>7.7311072056239</v>
      </c>
      <c r="T319" s="219">
        <f>T56/-T61</f>
        <v>6.4975922953451</v>
      </c>
      <c r="U319" s="219">
        <f>U56/-U61</f>
        <v>4.47953964194373</v>
      </c>
      <c r="V319" s="219">
        <f>V56/-V61</f>
        <v>0.648379052369077</v>
      </c>
      <c r="X319" s="219">
        <f>X56/-X61</f>
        <v>0.62799043062201</v>
      </c>
      <c r="Y319" s="219">
        <f>Y56/-Y61</f>
        <v>0.658333333333333</v>
      </c>
      <c r="Z319" s="219">
        <f>Z56/-Z61</f>
        <v>0.597701149425287</v>
      </c>
      <c r="AA319" s="219">
        <f>AA56/-AA61</f>
        <v>0.662243667068758</v>
      </c>
      <c r="AC319" s="219">
        <f>AC56/-AC61</f>
        <v>0.707908163265306</v>
      </c>
      <c r="AD319" s="219">
        <f>AD56/-AD61</f>
        <v>0.710327455919396</v>
      </c>
      <c r="AE319" s="219">
        <f>AE56/-AE61</f>
        <v>0.736220472440945</v>
      </c>
      <c r="AF319" s="219">
        <f>AF56/-AF61</f>
        <v>0.820584144645341</v>
      </c>
      <c r="AH319" s="219">
        <f>AH56/-AH61</f>
        <v>0.834269662921348</v>
      </c>
      <c r="AI319" s="219">
        <f>AI56/-AI61</f>
        <v>0.849295774647887</v>
      </c>
      <c r="AJ319" s="219" t="e">
        <f>AJ56/-AJ61</f>
        <v>#DIV/0!</v>
      </c>
      <c r="AK319" s="219" t="e">
        <f>AK56/-AK61</f>
        <v>#DIV/0!</v>
      </c>
      <c r="AM319" s="219" t="e">
        <f>AM56/-AM61</f>
        <v>#DIV/0!</v>
      </c>
      <c r="AN319" s="219" t="e">
        <f>AN56/-AN61</f>
        <v>#DIV/0!</v>
      </c>
      <c r="AO319" s="219" t="e">
        <f>AO56/-AO61</f>
        <v>#DIV/0!</v>
      </c>
      <c r="AP319" s="219" t="e">
        <f>AP56/-AP61</f>
        <v>#DIV/0!</v>
      </c>
      <c r="AR319" s="219" t="e">
        <f>AR56/-AR61</f>
        <v>#DIV/0!</v>
      </c>
      <c r="AS319" s="219" t="e">
        <f>AS56/-AS61</f>
        <v>#DIV/0!</v>
      </c>
      <c r="AT319" s="219" t="e">
        <f>AT56/-AT61</f>
        <v>#DIV/0!</v>
      </c>
      <c r="AU319" s="219" t="e">
        <f>AU56/-AU61</f>
        <v>#DIV/0!</v>
      </c>
      <c r="AW319" s="219" t="e">
        <f>AW56/-AW61</f>
        <v>#DIV/0!</v>
      </c>
      <c r="AX319" s="219" t="e">
        <f>AX56/-AX61</f>
        <v>#DIV/0!</v>
      </c>
      <c r="AY319" s="219" t="e">
        <f>AY56/-AY61</f>
        <v>#DIV/0!</v>
      </c>
      <c r="AZ319" s="219" t="e">
        <f>AZ56/-AZ61</f>
        <v>#DIV/0!</v>
      </c>
      <c r="BB319" s="219" t="e">
        <f>BB56/-BB61</f>
        <v>#DIV/0!</v>
      </c>
      <c r="BC319" s="219" t="e">
        <f>BC56/-BC61</f>
        <v>#DIV/0!</v>
      </c>
      <c r="BD319" s="219" t="e">
        <f>BD56/-BD61</f>
        <v>#DIV/0!</v>
      </c>
      <c r="BE319" s="219" t="e">
        <f>BE56/-BE61</f>
        <v>#DIV/0!</v>
      </c>
      <c r="BG319" s="219" t="e">
        <f>BG56/-BG61</f>
        <v>#DIV/0!</v>
      </c>
      <c r="BH319" s="219" t="e">
        <f>BH56/-BH61</f>
        <v>#DIV/0!</v>
      </c>
      <c r="BI319" s="219" t="e">
        <f>BI56/-BI61</f>
        <v>#DIV/0!</v>
      </c>
      <c r="BJ319" s="219" t="e">
        <f>BJ56/-BJ61</f>
        <v>#DIV/0!</v>
      </c>
      <c r="BL319" s="219" t="e">
        <f>BL56/-BL61</f>
        <v>#DIV/0!</v>
      </c>
      <c r="BM319" s="219" t="e">
        <f>BM56/-BM61</f>
        <v>#DIV/0!</v>
      </c>
      <c r="BN319" s="219" t="e">
        <f>BN56/-BN61</f>
        <v>#DIV/0!</v>
      </c>
      <c r="BO319" s="219" t="e">
        <f>BO56/-BO61</f>
        <v>#DIV/0!</v>
      </c>
      <c r="BQ319" s="219" t="e">
        <f>BQ56/-BQ61</f>
        <v>#DIV/0!</v>
      </c>
      <c r="BR319" s="219" t="e">
        <f>BR56/-BR61</f>
        <v>#DIV/0!</v>
      </c>
      <c r="BS319" s="219" t="e">
        <f>BS56/-BS61</f>
        <v>#DIV/0!</v>
      </c>
      <c r="BT319" s="219" t="e">
        <f>BT56/-BT61</f>
        <v>#DIV/0!</v>
      </c>
      <c r="BV319" s="219" t="e">
        <f>BV56/-BV61</f>
        <v>#DIV/0!</v>
      </c>
      <c r="BW319" s="219" t="e">
        <f>BW56/-BW61</f>
        <v>#DIV/0!</v>
      </c>
      <c r="BX319" s="219" t="e">
        <f>BX56/-BX61</f>
        <v>#DIV/0!</v>
      </c>
      <c r="BY319" s="219" t="e">
        <f>BY56/-BY61</f>
        <v>#DIV/0!</v>
      </c>
      <c r="CA319" s="219" t="e">
        <f>CA56/-CA61</f>
        <v>#DIV/0!</v>
      </c>
      <c r="CB319" s="219" t="e">
        <f>CB56/-CB61</f>
        <v>#DIV/0!</v>
      </c>
      <c r="CC319" s="219" t="e">
        <f>CC56/-CC61</f>
        <v>#DIV/0!</v>
      </c>
      <c r="CD319" s="219" t="e">
        <f>CD56/-CD61</f>
        <v>#DIV/0!</v>
      </c>
      <c r="CF319" s="219" t="e">
        <f>CF56/-CF61</f>
        <v>#DIV/0!</v>
      </c>
      <c r="CG319" s="219" t="e">
        <f>CG56/-CG61</f>
        <v>#DIV/0!</v>
      </c>
      <c r="CH319" s="219" t="e">
        <f>CH56/-CH61</f>
        <v>#DIV/0!</v>
      </c>
      <c r="CI319" s="219" t="e">
        <f>CI56/-CI61</f>
        <v>#DIV/0!</v>
      </c>
      <c r="CK319" s="219" t="e">
        <f>CK56/-CK61</f>
        <v>#DIV/0!</v>
      </c>
      <c r="CL319" s="219" t="e">
        <f>CL56/-CL61</f>
        <v>#DIV/0!</v>
      </c>
      <c r="CM319" s="219" t="e">
        <f>CM56/-CM61</f>
        <v>#DIV/0!</v>
      </c>
      <c r="CN319" s="219" t="e">
        <f>CN56/-CN61</f>
        <v>#DIV/0!</v>
      </c>
      <c r="CP319" s="219" t="e">
        <f>CP56/-CP61</f>
        <v>#DIV/0!</v>
      </c>
      <c r="CQ319" s="219" t="e">
        <f>CQ56/-CQ61</f>
        <v>#DIV/0!</v>
      </c>
      <c r="CR319" s="219" t="e">
        <f>CR56/-CR61</f>
        <v>#DIV/0!</v>
      </c>
      <c r="CS319" s="219" t="e">
        <f>CS56/-CS61</f>
        <v>#DIV/0!</v>
      </c>
      <c r="CU319" s="219" t="e">
        <f>CU56/-CU61</f>
        <v>#DIV/0!</v>
      </c>
      <c r="CV319" s="219" t="e">
        <f>CV56/-CV61</f>
        <v>#DIV/0!</v>
      </c>
      <c r="CW319" s="219" t="e">
        <f>CW56/-CW61</f>
        <v>#DIV/0!</v>
      </c>
      <c r="CX319" s="219" t="e">
        <f>CX56/-CX61</f>
        <v>#DIV/0!</v>
      </c>
    </row>
    <row r="320" customFormat="1" s="233">
      <c r="A320" s="224" t="n"/>
      <c r="B320" s="224" t="n"/>
      <c r="C320" s="233" t="inlineStr">
        <is>
          <t>(EBITDA - CAPEX) / TOTAL INTEREST</t>
        </is>
      </c>
      <c r="D320" s="219">
        <f>(D56-D155)/-D61</f>
        <v>4.36842105263158</v>
      </c>
      <c r="E320" s="219">
        <f>(E56-E155)/-E61</f>
        <v>4.5551724137931</v>
      </c>
      <c r="F320" s="219">
        <f>(F56-F155)/-F61</f>
        <v>4.46402877697842</v>
      </c>
      <c r="G320" s="219">
        <f>(G56-G155)/-G61</f>
        <v>6.32472324723247</v>
      </c>
      <c r="I320" s="219">
        <f>(I56-I155)/-I61</f>
        <v>30.5223880597015</v>
      </c>
      <c r="J320" s="219">
        <f>(J56-J155)/-J61</f>
        <v>9.19262295081967</v>
      </c>
      <c r="K320" s="219">
        <f>(K56-K155)/-K61</f>
        <v>8.05714285714286</v>
      </c>
      <c r="L320" s="219">
        <f>(L56-L155)/-L61</f>
        <v>5.39301310043668</v>
      </c>
      <c r="N320" s="219">
        <f>(N56-N155)/-N61</f>
        <v>14.2780748663102</v>
      </c>
      <c r="O320" s="219">
        <f>(O56-O155)/-O61</f>
        <v>8.93918918918919</v>
      </c>
      <c r="P320" s="219">
        <f>(P56-P155)/-P61</f>
        <v>8.46991404011461</v>
      </c>
      <c r="Q320" s="219">
        <f>(Q56-Q155)/-Q61</f>
        <v>5.25678496868476</v>
      </c>
      <c r="S320" s="219">
        <f>(S56-S155)/-S61</f>
        <v>6.8506151142355</v>
      </c>
      <c r="T320" s="219">
        <f>(T56-T155)/-T61</f>
        <v>5.64365971107544</v>
      </c>
      <c r="U320" s="219">
        <f>(U56-U155)/-U61</f>
        <v>3.8695652173913</v>
      </c>
      <c r="V320" s="219">
        <f>(V56-V155)/-V61</f>
        <v>0</v>
      </c>
      <c r="X320" s="219">
        <f>(X56-X155)/-X61</f>
        <v>0</v>
      </c>
      <c r="Y320" s="219">
        <f>(Y56-Y155)/-Y61</f>
        <v>0</v>
      </c>
      <c r="Z320" s="219">
        <f>(Z56-Z155)/-Z61</f>
        <v>0</v>
      </c>
      <c r="AA320" s="219">
        <f>(AA56-AA155)/-AA61</f>
        <v>0</v>
      </c>
      <c r="AC320" s="219">
        <f>(AC56-AC155)/-AC61</f>
        <v>0</v>
      </c>
      <c r="AD320" s="219">
        <f>(AD56-AD155)/-AD61</f>
        <v>0</v>
      </c>
      <c r="AE320" s="219">
        <f>(AE56-AE155)/-AE61</f>
        <v>0</v>
      </c>
      <c r="AF320" s="219">
        <f>(AF56-AF155)/-AF61</f>
        <v>0</v>
      </c>
      <c r="AH320" s="219">
        <f>(AH56-AH155)/-AH61</f>
        <v>0</v>
      </c>
      <c r="AI320" s="219">
        <f>(AI56-AI155)/-AI61</f>
        <v>0</v>
      </c>
      <c r="AJ320" s="219" t="e">
        <f>(AJ56-AJ155)/-AJ61</f>
        <v>#DIV/0!</v>
      </c>
      <c r="AK320" s="219" t="e">
        <f>(AK56-AK155)/-AK61</f>
        <v>#DIV/0!</v>
      </c>
      <c r="AM320" s="219" t="e">
        <f>(AM56-AM155)/-AM61</f>
        <v>#DIV/0!</v>
      </c>
      <c r="AN320" s="219" t="e">
        <f>(AN56-AN155)/-AN61</f>
        <v>#DIV/0!</v>
      </c>
      <c r="AO320" s="219" t="e">
        <f>(AO56-AO155)/-AO61</f>
        <v>#DIV/0!</v>
      </c>
      <c r="AP320" s="219" t="e">
        <f>(AP56-AP155)/-AP61</f>
        <v>#DIV/0!</v>
      </c>
      <c r="AR320" s="219" t="e">
        <f>(AR56-AR155)/-AR61</f>
        <v>#DIV/0!</v>
      </c>
      <c r="AS320" s="219" t="e">
        <f>(AS56-AS155)/-AS61</f>
        <v>#DIV/0!</v>
      </c>
      <c r="AT320" s="219" t="e">
        <f>(AT56-AT155)/-AT61</f>
        <v>#DIV/0!</v>
      </c>
      <c r="AU320" s="219" t="e">
        <f>(AU56-AU155)/-AU61</f>
        <v>#DIV/0!</v>
      </c>
      <c r="AW320" s="219" t="e">
        <f>(AW56-AW155)/-AW61</f>
        <v>#DIV/0!</v>
      </c>
      <c r="AX320" s="219" t="e">
        <f>(AX56-AX155)/-AX61</f>
        <v>#DIV/0!</v>
      </c>
      <c r="AY320" s="219" t="e">
        <f>(AY56-AY155)/-AY61</f>
        <v>#DIV/0!</v>
      </c>
      <c r="AZ320" s="219" t="e">
        <f>(AZ56-AZ155)/-AZ61</f>
        <v>#DIV/0!</v>
      </c>
      <c r="BB320" s="219" t="e">
        <f>(BB56-BB155)/-BB61</f>
        <v>#DIV/0!</v>
      </c>
      <c r="BC320" s="219" t="e">
        <f>(BC56-BC155)/-BC61</f>
        <v>#DIV/0!</v>
      </c>
      <c r="BD320" s="219" t="e">
        <f>(BD56-BD155)/-BD61</f>
        <v>#DIV/0!</v>
      </c>
      <c r="BE320" s="219" t="e">
        <f>(BE56-BE155)/-BE61</f>
        <v>#DIV/0!</v>
      </c>
      <c r="BG320" s="219" t="e">
        <f>(BG56-BG155)/-BG61</f>
        <v>#DIV/0!</v>
      </c>
      <c r="BH320" s="219" t="e">
        <f>(BH56-BH155)/-BH61</f>
        <v>#DIV/0!</v>
      </c>
      <c r="BI320" s="219" t="e">
        <f>(BI56-BI155)/-BI61</f>
        <v>#DIV/0!</v>
      </c>
      <c r="BJ320" s="219" t="e">
        <f>(BJ56-BJ155)/-BJ61</f>
        <v>#DIV/0!</v>
      </c>
      <c r="BL320" s="219" t="e">
        <f>(BL56-BL155)/-BL61</f>
        <v>#DIV/0!</v>
      </c>
      <c r="BM320" s="219" t="e">
        <f>(BM56-BM155)/-BM61</f>
        <v>#DIV/0!</v>
      </c>
      <c r="BN320" s="219" t="e">
        <f>(BN56-BN155)/-BN61</f>
        <v>#DIV/0!</v>
      </c>
      <c r="BO320" s="219" t="e">
        <f>(BO56-BO155)/-BO61</f>
        <v>#DIV/0!</v>
      </c>
      <c r="BQ320" s="219" t="e">
        <f>(BQ56-BQ155)/-BQ61</f>
        <v>#DIV/0!</v>
      </c>
      <c r="BR320" s="219" t="e">
        <f>(BR56-BR155)/-BR61</f>
        <v>#DIV/0!</v>
      </c>
      <c r="BS320" s="219" t="e">
        <f>(BS56-BS155)/-BS61</f>
        <v>#DIV/0!</v>
      </c>
      <c r="BT320" s="219" t="e">
        <f>(BT56-BT155)/-BT61</f>
        <v>#DIV/0!</v>
      </c>
      <c r="BV320" s="219" t="e">
        <f>(BV56-BV155)/-BV61</f>
        <v>#DIV/0!</v>
      </c>
      <c r="BW320" s="219" t="e">
        <f>(BW56-BW155)/-BW61</f>
        <v>#DIV/0!</v>
      </c>
      <c r="BX320" s="219" t="e">
        <f>(BX56-BX155)/-BX61</f>
        <v>#DIV/0!</v>
      </c>
      <c r="BY320" s="219" t="e">
        <f>(BY56-BY155)/-BY61</f>
        <v>#DIV/0!</v>
      </c>
      <c r="CA320" s="219" t="e">
        <f>(CA56-CA155)/-CA61</f>
        <v>#DIV/0!</v>
      </c>
      <c r="CB320" s="219" t="e">
        <f>(CB56-CB155)/-CB61</f>
        <v>#DIV/0!</v>
      </c>
      <c r="CC320" s="219" t="e">
        <f>(CC56-CC155)/-CC61</f>
        <v>#DIV/0!</v>
      </c>
      <c r="CD320" s="219" t="e">
        <f>(CD56-CD155)/-CD61</f>
        <v>#DIV/0!</v>
      </c>
      <c r="CF320" s="219" t="e">
        <f>(CF56-CF155)/-CF61</f>
        <v>#DIV/0!</v>
      </c>
      <c r="CG320" s="219" t="e">
        <f>(CG56-CG155)/-CG61</f>
        <v>#DIV/0!</v>
      </c>
      <c r="CH320" s="219" t="e">
        <f>(CH56-CH155)/-CH61</f>
        <v>#DIV/0!</v>
      </c>
      <c r="CI320" s="219" t="e">
        <f>(CI56-CI155)/-CI61</f>
        <v>#DIV/0!</v>
      </c>
      <c r="CK320" s="219" t="e">
        <f>(CK56-CK155)/-CK61</f>
        <v>#DIV/0!</v>
      </c>
      <c r="CL320" s="219" t="e">
        <f>(CL56-CL155)/-CL61</f>
        <v>#DIV/0!</v>
      </c>
      <c r="CM320" s="219" t="e">
        <f>(CM56-CM155)/-CM61</f>
        <v>#DIV/0!</v>
      </c>
      <c r="CN320" s="219" t="e">
        <f>(CN56-CN155)/-CN61</f>
        <v>#DIV/0!</v>
      </c>
      <c r="CP320" s="219" t="e">
        <f>(CP56-CP155)/-CP61</f>
        <v>#DIV/0!</v>
      </c>
      <c r="CQ320" s="219" t="e">
        <f>(CQ56-CQ155)/-CQ61</f>
        <v>#DIV/0!</v>
      </c>
      <c r="CR320" s="219" t="e">
        <f>(CR56-CR155)/-CR61</f>
        <v>#DIV/0!</v>
      </c>
      <c r="CS320" s="219" t="e">
        <f>(CS56-CS155)/-CS61</f>
        <v>#DIV/0!</v>
      </c>
      <c r="CU320" s="219" t="e">
        <f>(CU56-CU155)/-CU61</f>
        <v>#DIV/0!</v>
      </c>
      <c r="CV320" s="219" t="e">
        <f>(CV56-CV155)/-CV61</f>
        <v>#DIV/0!</v>
      </c>
      <c r="CW320" s="219" t="e">
        <f>(CW56-CW155)/-CW61</f>
        <v>#DIV/0!</v>
      </c>
      <c r="CX320" s="219" t="e">
        <f>(CX56-CX155)/-CX61</f>
        <v>#DIV/0!</v>
      </c>
    </row>
    <row r="321" customFormat="1" s="233">
      <c r="A321" s="224" t="n"/>
      <c r="B321" s="224" t="n"/>
      <c r="C321" s="233" t="inlineStr">
        <is>
          <t>TOTAL DEBT / EBITDA LTM</t>
        </is>
      </c>
      <c r="D321" s="219" t="str">
        <f>""</f>
        <v/>
      </c>
      <c r="E321" s="219" t="str">
        <f>""</f>
        <v/>
      </c>
      <c r="F321" s="219" t="str">
        <f>""</f>
        <v/>
      </c>
      <c r="G321" s="219">
        <f>IFERROR(SUM(G199,G200,G201,G204,G222,G225)/(G56+F56+E56+D56),"")</f>
        <v>4.41968981793662</v>
      </c>
      <c r="I321" s="219">
        <f>IFERROR(SUM(I199,I200,I201,I204,I222,I225)/(I56+G56+F56+E56),"")</f>
        <v>3.75687246507436</v>
      </c>
      <c r="J321" s="219">
        <f>IFERROR(SUM(J199,J200,J201,J204,J222,J225)/(J56+I56+G56+F56),"")</f>
        <v>4.40177374445705</v>
      </c>
      <c r="K321" s="219">
        <f>IFERROR(SUM(K199,K200,K201,K204,K222,K225)/(K56+J56+I56+G56),"")</f>
        <v>4.35370701649771</v>
      </c>
      <c r="L321" s="219">
        <f>IFERROR(SUM(L199,L200,L201,L204,L222,L225)/(L56+K56+J56+I56),"")</f>
        <v>4.56209014260435</v>
      </c>
      <c r="N321" s="219">
        <f>IFERROR(SUM(N199,N200,N201,N204,N222,N225)/(N56+L56+K56+J56),"")</f>
        <v>4.59207697819634</v>
      </c>
      <c r="O321" s="219">
        <f>IFERROR(SUM(O199,O200,O201,O204,O222,O225)/(O56+N56+L56+K56),"")</f>
        <v>1.39431494049375</v>
      </c>
      <c r="P321" s="219">
        <f>IFERROR(SUM(P199,P200,P201,P204,P222,P225)/(P56+O56+N56+L56),"")</f>
        <v>1.1043676547974</v>
      </c>
      <c r="Q321" s="219">
        <f>IFERROR(SUM(Q199,Q200,Q201,Q204,Q222,Q225)/(Q56+P56+O56+N56),"")</f>
        <v>1.11313322303632</v>
      </c>
      <c r="S321" s="219">
        <f>IFERROR(SUM(S199,S200,S201,S204,S222,S225)/(S56+Q56+P56+O56),"")</f>
        <v>1.22425760286225</v>
      </c>
      <c r="T321" s="219">
        <f>IFERROR(SUM(T199,T200,T201,T204,T222,T225)/(T56+S56+Q56+P56),"")</f>
        <v>1.15309073787583</v>
      </c>
      <c r="U321" s="219">
        <f>IFERROR(SUM(U199,U200,U201,U204,U222,U225)/(U56+T56+S56+Q56),"")</f>
        <v>1.19897072583879</v>
      </c>
      <c r="V321" s="219">
        <f>IFERROR(SUM(V199,V200,V201,V204,V222,V225)/(V56+U56+T56+S56),"")</f>
        <v>1.37265437048917</v>
      </c>
      <c r="X321" s="219">
        <f>IFERROR(SUM(X199,X200,X201,X204,X222,X225)/(X56+V56+U56+T56),"")</f>
        <v>2.05898092135877</v>
      </c>
      <c r="Y321" s="219">
        <f>IFERROR(SUM(Y199,Y200,Y201,Y204,Y222,Y225)/(Y56+X56+V56+U56),"")</f>
        <v>2.99823564007057</v>
      </c>
      <c r="Z321" s="219">
        <f>IFERROR(SUM(Z199,Z200,Z201,Z204,Z222,Z225)/(Z56+Y56+X56+V56),"")</f>
        <v>6.38951841359773</v>
      </c>
      <c r="AA321" s="219">
        <f>IFERROR(SUM(AA199,AA200,AA201,AA204,AA222,AA225)/(AA56+Z56+Y56+X56),"")</f>
        <v>5.96693060083838</v>
      </c>
      <c r="AC321" s="219">
        <f>IFERROR(SUM(AC199,AC200,AC201,AC204,AC222,AC225)/(AC56+AA56+Z56+Y56),"")</f>
        <v>7.32567753789619</v>
      </c>
      <c r="AD321" s="219">
        <f>IFERROR(SUM(AD199,AD200,AD201,AD204,AD222,AD225)/(AD56+AC56+AA56+Z56),"")</f>
        <v>6.67595978062157</v>
      </c>
      <c r="AE321" s="219">
        <f>IFERROR(SUM(AE199,AE200,AE201,AE204,AE222,AE225)/(AE56+AD56+AC56+AA56),"")</f>
        <v>6.18932256617317</v>
      </c>
      <c r="AF321" s="219">
        <f>IFERROR(SUM(AF199,AF200,AF201,AF204,AF222,AF225)/(AF56+AE56+AD56+AC56),"")</f>
        <v>6.34008810572687</v>
      </c>
      <c r="AH321" s="219">
        <f>IFERROR(SUM(AH199,AH200,AH201,AH204,AH222,AH225)/(AH56+AF56+AE56+AD56),"")</f>
        <v>6.77003031615418</v>
      </c>
      <c r="AI321" s="219">
        <f>IFERROR(SUM(AI199,AI200,AI201,AI204,AI222,AI225)/(AI56+AH56+AF56+AE56),"")</f>
        <v>7.28918228279387</v>
      </c>
      <c r="AJ321" s="219">
        <f>IFERROR(SUM(AJ199,AJ200,AJ201,AJ204,AJ222,AJ225)/(AJ56+AI56+AH56+AF56),"")</f>
        <v>9.57750419697818</v>
      </c>
      <c r="AK321" s="219">
        <f>IFERROR(SUM(AK199,AK200,AK201,AK204,AK222,AK225)/(AK56+AJ56+AI56+AH56),"")</f>
        <v>14.2982456140351</v>
      </c>
      <c r="AM321" s="219">
        <f>IFERROR(SUM(AM199,AM200,AM201,AM204,AM222,AM225)/(AM56+AK56+AJ56+AI56),"")</f>
        <v>28.3830845771144</v>
      </c>
      <c r="AN321" s="219" t="str">
        <f>IFERROR(SUM(AN199,AN200,AN201,AN204,AN222,AN225)/(AN56+AM56+AK56+AJ56),"")</f>
        <v/>
      </c>
      <c r="AO321" s="219" t="str">
        <f>IFERROR(SUM(AO199,AO200,AO201,AO204,AO222,AO225)/(AO56+AN56+AM56+AK56),"")</f>
        <v/>
      </c>
      <c r="AP321" s="219" t="str">
        <f>IFERROR(SUM(AP199,AP200,AP201,AP204,AP222,AP225)/(AP56+AO56+AN56+AM56),"")</f>
        <v/>
      </c>
      <c r="AR321" s="219" t="str">
        <f>IFERROR(SUM(AR199,AR200,AR201,AR204,AR222,AR225)/(AR56+AP56+AO56+AN56),"")</f>
        <v/>
      </c>
      <c r="AS321" s="219" t="str">
        <f>IFERROR(SUM(AS199,AS200,AS201,AS204,AS222,AS225)/(AS56+AR56+AP56+AO56),"")</f>
        <v/>
      </c>
      <c r="AT321" s="219" t="str">
        <f>IFERROR(SUM(AT199,AT200,AT201,AT204,AT222,AT225)/(AT56+AS56+AR56+AP56),"")</f>
        <v/>
      </c>
      <c r="AU321" s="219" t="str">
        <f>IFERROR(SUM(AU199,AU200,AU201,AU204,AU222,AU225)/(AU56+AT56+AS56+AR56),"")</f>
        <v/>
      </c>
      <c r="AW321" s="219" t="str">
        <f>IFERROR(SUM(AW199,AW200,AW201,AW204,AW222,AW225)/(AW56+AU56+AT56+AS56),"")</f>
        <v/>
      </c>
      <c r="AX321" s="219" t="str">
        <f>IFERROR(SUM(AX199,AX200,AX201,AX204,AX222,AX225)/(AX56+AW56+AU56+AT56),"")</f>
        <v/>
      </c>
      <c r="AY321" s="219" t="str">
        <f>IFERROR(SUM(AY199,AY200,AY201,AY204,AY222,AY225)/(AY56+AX56+AW56+AU56),"")</f>
        <v/>
      </c>
      <c r="AZ321" s="219" t="str">
        <f>IFERROR(SUM(AZ199,AZ200,AZ201,AZ204,AZ222,AZ225)/(AZ56+AY56+AX56+AW56),"")</f>
        <v/>
      </c>
      <c r="BB321" s="219" t="str">
        <f>IFERROR(SUM(BB199,BB200,BB201,BB204,BB222,BB225)/(BB56+AZ56+AY56+AX56),"")</f>
        <v/>
      </c>
      <c r="BC321" s="219" t="str">
        <f>IFERROR(SUM(BC199,BC200,BC201,BC204,BC222,BC225)/(BC56+BB56+AZ56+AY56),"")</f>
        <v/>
      </c>
      <c r="BD321" s="219" t="str">
        <f>IFERROR(SUM(BD199,BD200,BD201,BD204,BD222,BD225)/(BD56+BC56+BB56+AZ56),"")</f>
        <v/>
      </c>
      <c r="BE321" s="219" t="str">
        <f>IFERROR(SUM(BE199,BE200,BE201,BE204,BE222,BE225)/(BE56+BD56+BC56+BB56),"")</f>
        <v/>
      </c>
      <c r="BG321" s="219" t="str">
        <f>IFERROR(SUM(BG199,BG200,BG201,BG204,BG222,BG225)/(BG56+BE56+BD56+BC56),"")</f>
        <v/>
      </c>
      <c r="BH321" s="219" t="str">
        <f>IFERROR(SUM(BH199,BH200,BH201,BH204,BH222,BH225)/(BH56+BG56+BE56+BD56),"")</f>
        <v/>
      </c>
      <c r="BI321" s="219" t="str">
        <f>IFERROR(SUM(BI199,BI200,BI201,BI204,BI222,BI225)/(BI56+BH56+BG56+BE56),"")</f>
        <v/>
      </c>
      <c r="BJ321" s="219" t="str">
        <f>IFERROR(SUM(BJ199,BJ200,BJ201,BJ204,BJ222,BJ225)/(BJ56+BI56+BH56+BG56),"")</f>
        <v/>
      </c>
      <c r="BL321" s="219" t="str">
        <f>IFERROR(SUM(BL199,BL200,BL201,BL204,BL222,BL225)/(BL56+BJ56+BI56+BH56),"")</f>
        <v/>
      </c>
      <c r="BM321" s="219" t="str">
        <f>IFERROR(SUM(BM199,BM200,BM201,BM204,BM222,BM225)/(BM56+BL56+BJ56+BI56),"")</f>
        <v/>
      </c>
      <c r="BN321" s="219" t="str">
        <f>IFERROR(SUM(BN199,BN200,BN201,BN204,BN222,BN225)/(BN56+BM56+BL56+BJ56),"")</f>
        <v/>
      </c>
      <c r="BO321" s="219" t="str">
        <f>IFERROR(SUM(BO199,BO200,BO201,BO204,BO222,BO225)/(BO56+BN56+BM56+BL56),"")</f>
        <v/>
      </c>
      <c r="BQ321" s="219" t="str">
        <f>IFERROR(SUM(BQ199,BQ200,BQ201,BQ204,BQ222,BQ225)/(BQ56+BO56+BN56+BM56),"")</f>
        <v/>
      </c>
      <c r="BR321" s="219" t="str">
        <f>IFERROR(SUM(BR199,BR200,BR201,BR204,BR222,BR225)/(BR56+BQ56+BO56+BN56),"")</f>
        <v/>
      </c>
      <c r="BS321" s="219" t="str">
        <f>IFERROR(SUM(BS199,BS200,BS201,BS204,BS222,BS225)/(BS56+BR56+BQ56+BO56),"")</f>
        <v/>
      </c>
      <c r="BT321" s="219" t="str">
        <f>IFERROR(SUM(BT199,BT200,BT201,BT204,BT222,BT225)/(BT56+BS56+BR56+BQ56),"")</f>
        <v/>
      </c>
      <c r="BV321" s="219" t="str">
        <f>IFERROR(SUM(BV199,BV200,BV201,BV204,BV222,BV225)/(BV56+BT56+BS56+BR56),"")</f>
        <v/>
      </c>
      <c r="BW321" s="219" t="str">
        <f>IFERROR(SUM(BW199,BW200,BW201,BW204,BW222,BW225)/(BW56+BV56+BT56+BS56),"")</f>
        <v/>
      </c>
      <c r="BX321" s="219" t="str">
        <f>IFERROR(SUM(BX199,BX200,BX201,BX204,BX222,BX225)/(BX56+BW56+BV56+BT56),"")</f>
        <v/>
      </c>
      <c r="BY321" s="219" t="str">
        <f>IFERROR(SUM(BY199,BY200,BY201,BY204,BY222,BY225)/(BY56+BX56+BW56+BV56),"")</f>
        <v/>
      </c>
      <c r="CA321" s="219" t="str">
        <f>IFERROR(SUM(CA199,CA200,CA201,CA204,CA222,CA225)/(CA56+BY56+BX56+BW56),"")</f>
        <v/>
      </c>
      <c r="CB321" s="219" t="str">
        <f>IFERROR(SUM(CB199,CB200,CB201,CB204,CB222,CB225)/(CB56+CA56+BY56+BX56),"")</f>
        <v/>
      </c>
      <c r="CC321" s="219" t="str">
        <f>IFERROR(SUM(CC199,CC200,CC201,CC204,CC222,CC225)/(CC56+CB56+CA56+BY56),"")</f>
        <v/>
      </c>
      <c r="CD321" s="219" t="str">
        <f>IFERROR(SUM(CD199,CD200,CD201,CD204,CD222,CD225)/(CD56+CC56+CB56+CA56),"")</f>
        <v/>
      </c>
      <c r="CF321" s="219" t="str">
        <f>IFERROR(SUM(CF199,CF200,CF201,CF204,CF222,CF225)/(CF56+CD56+CC56+CB56),"")</f>
        <v/>
      </c>
      <c r="CG321" s="219" t="str">
        <f>IFERROR(SUM(CG199,CG200,CG201,CG204,CG222,CG225)/(CG56+CF56+CD56+CC56),"")</f>
        <v/>
      </c>
      <c r="CH321" s="219" t="str">
        <f>IFERROR(SUM(CH199,CH200,CH201,CH204,CH222,CH225)/(CH56+CG56+CF56+CD56),"")</f>
        <v/>
      </c>
      <c r="CI321" s="219" t="str">
        <f>IFERROR(SUM(CI199,CI200,CI201,CI204,CI222,CI225)/(CI56+CH56+CG56+CF56),"")</f>
        <v/>
      </c>
      <c r="CK321" s="219" t="str">
        <f>IFERROR(SUM(CK199,CK200,CK201,CK204,CK222,CK225)/(CK56+CI56+CH56+CG56),"")</f>
        <v/>
      </c>
      <c r="CL321" s="219" t="str">
        <f>IFERROR(SUM(CL199,CL200,CL201,CL204,CL222,CL225)/(CL56+CK56+CI56+CH56),"")</f>
        <v/>
      </c>
      <c r="CM321" s="219" t="str">
        <f>IFERROR(SUM(CM199,CM200,CM201,CM204,CM222,CM225)/(CM56+CL56+CK56+CI56),"")</f>
        <v/>
      </c>
      <c r="CN321" s="219" t="str">
        <f>IFERROR(SUM(CN199,CN200,CN201,CN204,CN222,CN225)/(CN56+CM56+CL56+CK56),"")</f>
        <v/>
      </c>
      <c r="CP321" s="219" t="str">
        <f>IFERROR(SUM(CP199,CP200,CP201,CP204,CP222,CP225)/(CP56+CN56+CM56+CL56),"")</f>
        <v/>
      </c>
      <c r="CQ321" s="219" t="str">
        <f>IFERROR(SUM(CQ199,CQ200,CQ201,CQ204,CQ222,CQ225)/(CQ56+CP56+CN56+CM56),"")</f>
        <v/>
      </c>
      <c r="CR321" s="219" t="str">
        <f>IFERROR(SUM(CR199,CR200,CR201,CR204,CR222,CR225)/(CR56+CQ56+CP56+CN56),"")</f>
        <v/>
      </c>
      <c r="CS321" s="219" t="str">
        <f>IFERROR(SUM(CS199,CS200,CS201,CS204,CS222,CS225)/(CS56+CR56+CQ56+CP56),"")</f>
        <v/>
      </c>
      <c r="CU321" s="219" t="str">
        <f>IFERROR(SUM(CU199,CU200,CU201,CU204,CU222,CU225)/(CU56+CS56+CR56+CQ56),"")</f>
        <v/>
      </c>
      <c r="CV321" s="219" t="str">
        <f>IFERROR(SUM(CV199,CV200,CV201,CV204,CV222,CV225)/(CV56+CU56+CS56+CR56),"")</f>
        <v/>
      </c>
      <c r="CW321" s="219" t="str">
        <f>IFERROR(SUM(CW199,CW200,CW201,CW204,CW222,CW225)/(CW56+CV56+CU56+CS56),"")</f>
        <v/>
      </c>
      <c r="CX321" s="219" t="str">
        <f>IFERROR(SUM(CX199,CX200,CX201,CX204,CX222,CX225)/(CX56+CW56+CV56+CU56),"")</f>
        <v/>
      </c>
    </row>
    <row r="322" customFormat="1" s="233">
      <c r="A322" s="224" t="n"/>
      <c r="B322" s="224" t="n"/>
      <c r="C322" s="233" t="inlineStr">
        <is>
          <t>TOTAL DEBT / TOTAL CAPITALIZATION</t>
        </is>
      </c>
      <c r="D322" s="221">
        <f>SUM(D199+D200+D201+D204+D222+D225)/(SUM(D199+D200+D201+D204+D222+D225)+D258)</f>
        <v>0.74312065643335</v>
      </c>
      <c r="E322" s="221">
        <f>SUM(E199+E200+E201+E204+E222+E225)/(SUM(E199+E200+E201+E204+E222+E225)+E258)</f>
        <v>0.725302591203546</v>
      </c>
      <c r="F322" s="221">
        <f>SUM(F199+F200+F201+F204+F222+F225)/(SUM(F199+F200+F201+F204+F222+F225)+F258)</f>
        <v>0.716625071150225</v>
      </c>
      <c r="G322" s="221">
        <f>SUM(G199+G200+G201+G204+G222+G225)/(SUM(G199+G200+G201+G204+G222+G225)+G258)</f>
        <v>0.699389645311366</v>
      </c>
      <c r="I322" s="221">
        <f>SUM(I199+I200+I201+I204+I222+I225)/(SUM(I199+I200+I201+I204+I222+I225)+I258)</f>
        <v>0.688369596631023</v>
      </c>
      <c r="J322" s="221">
        <f>SUM(J199+J200+J201+J204+J222+J225)/(SUM(J199+J200+J201+J204+J222+J225)+J258)</f>
        <v>0.730677713679237</v>
      </c>
      <c r="K322" s="221">
        <f>SUM(K199+K200+K201+K204+K222+K225)/(SUM(K199+K200+K201+K204+K222+K225)+K258)</f>
        <v>0.70382866599187</v>
      </c>
      <c r="L322" s="221">
        <f>SUM(L199+L200+L201+L204+L222+L225)/(SUM(L199+L200+L201+L204+L222+L225)+L258)</f>
        <v>0.711077941462782</v>
      </c>
      <c r="N322" s="221">
        <f>SUM(N199+N200+N201+N204+N222+N225)/(SUM(N199+N200+N201+N204+N222+N225)+N258)</f>
        <v>0.702408167099865</v>
      </c>
      <c r="O322" s="221">
        <f>SUM(O199+O200+O201+O204+O222+O225)/(SUM(O199+O200+O201+O204+O222+O225)+O258)</f>
        <v>0.425616236827093</v>
      </c>
      <c r="P322" s="221">
        <f>SUM(P199+P200+P201+P204+P222+P225)/(SUM(P199+P200+P201+P204+P222+P225)+P258)</f>
        <v>0.382166378342287</v>
      </c>
      <c r="Q322" s="221">
        <f>SUM(Q199+Q200+Q201+Q204+Q222+Q225)/(SUM(Q199+Q200+Q201+Q204+Q222+Q225)+Q258)</f>
        <v>0.397272599465767</v>
      </c>
      <c r="S322" s="221">
        <f>SUM(S199+S200+S201+S204+S222+S225)/(SUM(S199+S200+S201+S204+S222+S225)+S258)</f>
        <v>0.431936379702095</v>
      </c>
      <c r="T322" s="221">
        <f>SUM(T199+T200+T201+T204+T222+T225)/(SUM(T199+T200+T201+T204+T222+T225)+T258)</f>
        <v>0.42543739918104</v>
      </c>
      <c r="U322" s="221">
        <f>SUM(U199+U200+U201+U204+U222+U225)/(SUM(U199+U200+U201+U204+U222+U225)+U258)</f>
        <v>0.450445699937225</v>
      </c>
      <c r="V322" s="221">
        <f>SUM(V199+V200+V201+V204+V222+V225)/(SUM(V199+V200+V201+V204+V222+V225)+V258)</f>
        <v>0.435591408794788</v>
      </c>
      <c r="X322" s="221">
        <f>SUM(X199+X200+X201+X204+X222+X225)/(SUM(X199+X200+X201+X204+X222+X225)+X258)</f>
        <v>0.437174262072373</v>
      </c>
      <c r="Y322" s="221">
        <f>SUM(Y199+Y200+Y201+Y204+Y222+Y225)/(SUM(Y199+Y200+Y201+Y204+Y222+Y225)+Y258)</f>
        <v>0.397835756834794</v>
      </c>
      <c r="Z322" s="221">
        <f>SUM(Z199+Z200+Z201+Z204+Z222+Z225)/(SUM(Z199+Z200+Z201+Z204+Z222+Z225)+Z258)</f>
        <v>0.371194250918866</v>
      </c>
      <c r="AA322" s="221">
        <f>SUM(AA199+AA200+AA201+AA204+AA222+AA225)/(SUM(AA199+AA200+AA201+AA204+AA222+AA225)+AA258)</f>
        <v>0.362148409893993</v>
      </c>
      <c r="AC322" s="221">
        <f>SUM(AC199+AC200+AC201+AC204+AC222+AC225)/(SUM(AC199+AC200+AC201+AC204+AC222+AC225)+AC258)</f>
        <v>0.39547686356197</v>
      </c>
      <c r="AD322" s="221">
        <f>SUM(AD199+AD200+AD201+AD204+AD222+AD225)/(SUM(AD199+AD200+AD201+AD204+AD222+AD225)+AD258)</f>
        <v>0.36635649971157</v>
      </c>
      <c r="AE322" s="221">
        <f>SUM(AE199+AE200+AE201+AE204+AE222+AE225)/(SUM(AE199+AE200+AE201+AE204+AE222+AE225)+AE258)</f>
        <v>0.346607039670377</v>
      </c>
      <c r="AF322" s="221">
        <f>SUM(AF199+AF200+AF201+AF204+AF222+AF225)/(SUM(AF199+AF200+AF201+AF204+AF222+AF225)+AF258)</f>
        <v>0.353186581265798</v>
      </c>
      <c r="AH322" s="221">
        <f>SUM(AH199+AH200+AH201+AH204+AH222+AH225)/(SUM(AH199+AH200+AH201+AH204+AH222+AH225)+AH258)</f>
        <v>0.362758748723661</v>
      </c>
      <c r="AI322" s="221">
        <f>SUM(AI199+AI200+AI201+AI204+AI222+AI225)/(SUM(AI199+AI200+AI201+AI204+AI222+AI225)+AI258)</f>
        <v>0.37901939941536</v>
      </c>
      <c r="AJ322" s="221">
        <f>SUM(AJ199+AJ200+AJ201+AJ204+AJ222+AJ225)/(SUM(AJ199+AJ200+AJ201+AJ204+AJ222+AJ225)+AJ258)</f>
        <v>0.355451713395639</v>
      </c>
      <c r="AK322" s="221">
        <f>SUM(AK199+AK200+AK201+AK204+AK222+AK225)/(SUM(AK199+AK200+AK201+AK204+AK222+AK225)+AK258)</f>
        <v>0.337194869673149</v>
      </c>
      <c r="AM322" s="221">
        <f>SUM(AM199+AM200+AM201+AM204+AM222+AM225)/(SUM(AM199+AM200+AM201+AM204+AM222+AM225)+AM258)</f>
        <v>0.320842081583683</v>
      </c>
      <c r="AN322" s="221">
        <f>SUM(AN199+AN200+AN201+AN204+AN222+AN225)/(SUM(AN199+AN200+AN201+AN204+AN222+AN225)+AN258)</f>
        <v>0.265094018153093</v>
      </c>
      <c r="AO322" s="221">
        <f>SUM(AO199+AO200+AO201+AO204+AO222+AO225)/(SUM(AO199+AO200+AO201+AO204+AO222+AO225)+AO258)</f>
        <v>0.254903712970824</v>
      </c>
      <c r="AP322" s="221">
        <f>SUM(AP199+AP200+AP201+AP204+AP222+AP225)/(SUM(AP199+AP200+AP201+AP204+AP222+AP225)+AP258)</f>
        <v>0.218437308556259</v>
      </c>
      <c r="AR322" s="221">
        <f>SUM(AR199+AR200+AR201+AR204+AR222+AR225)/(SUM(AR199+AR200+AR201+AR204+AR222+AR225)+AR258)</f>
        <v>0.191141488256776</v>
      </c>
      <c r="AS322" s="221">
        <f>SUM(AS199+AS200+AS201+AS204+AS222+AS225)/(SUM(AS199+AS200+AS201+AS204+AS222+AS225)+AS258)</f>
        <v>0.14611096408479</v>
      </c>
      <c r="AT322" s="221">
        <f>SUM(AT199+AT200+AT201+AT204+AT222+AT225)/(SUM(AT199+AT200+AT201+AT204+AT222+AT225)+AT258)</f>
        <v>0.133377493765586</v>
      </c>
      <c r="AU322" s="221">
        <f>SUM(AU199+AU200+AU201+AU204+AU222+AU225)/(SUM(AU199+AU200+AU201+AU204+AU222+AU225)+AU258)</f>
        <v>0.109776982431834</v>
      </c>
      <c r="AW322" s="221">
        <f>SUM(AW199+AW200+AW201+AW204+AW222+AW225)/(SUM(AW199+AW200+AW201+AW204+AW222+AW225)+AW258)</f>
        <v>0.0932829719742307</v>
      </c>
      <c r="AX322" s="221">
        <f>SUM(AX199+AX200+AX201+AX204+AX222+AX225)/(SUM(AX199+AX200+AX201+AX204+AX222+AX225)+AX258)</f>
        <v>0.0655671761866452</v>
      </c>
      <c r="AY322" s="221">
        <f>SUM(AY199+AY200+AY201+AY204+AY222+AY225)/(SUM(AY199+AY200+AY201+AY204+AY222+AY225)+AY258)</f>
        <v>0.0593053837437758</v>
      </c>
      <c r="AZ322" s="221">
        <f>SUM(AZ199+AZ200+AZ201+AZ204+AZ222+AZ225)/(SUM(AZ199+AZ200+AZ201+AZ204+AZ222+AZ225)+AZ258)</f>
        <v>0.046744670042443</v>
      </c>
      <c r="BB322" s="221">
        <f>SUM(BB199+BB200+BB201+BB204+BB222+BB225)/(SUM(BB199+BB200+BB201+BB204+BB222+BB225)+BB258)</f>
        <v>0.0385764033674056</v>
      </c>
      <c r="BC322" s="221">
        <f>SUM(BC199+BC200+BC201+BC204+BC222+BC225)/(SUM(BC199+BC200+BC201+BC204+BC222+BC225)+BC258)</f>
        <v>0.0261738469514312</v>
      </c>
      <c r="BD322" s="221">
        <f>SUM(BD199+BD200+BD201+BD204+BD222+BD225)/(SUM(BD199+BD200+BD201+BD204+BD222+BD225)+BD258)</f>
        <v>0.0233997522620444</v>
      </c>
      <c r="BE322" s="221">
        <f>SUM(BE199+BE200+BE201+BE204+BE222+BE225)/(SUM(BE199+BE200+BE201+BE204+BE222+BE225)+BE258)</f>
        <v>0.018175716647852</v>
      </c>
      <c r="BG322" s="221">
        <f>SUM(BG199+BG200+BG201+BG204+BG222+BG225)/(SUM(BG199+BG200+BG201+BG204+BG222+BG225)+BG258)</f>
        <v>0.0148587829601925</v>
      </c>
      <c r="BH322" s="221">
        <f>SUM(BH199+BH200+BH201+BH204+BH222+BH225)/(SUM(BH199+BH200+BH201+BH204+BH222+BH225)+BH258)</f>
        <v>0.00990825241931562</v>
      </c>
      <c r="BI322" s="221">
        <f>SUM(BI199+BI200+BI201+BI204+BI222+BI225)/(SUM(BI199+BI200+BI201+BI204+BI222+BI225)+BI258)</f>
        <v>0.0088333432255767</v>
      </c>
      <c r="BJ322" s="221">
        <f>SUM(BJ199+BJ200+BJ201+BJ204+BJ222+BJ225)/(SUM(BJ199+BJ200+BJ201+BJ204+BJ222+BJ225)+BJ258)</f>
        <v>0.00681047655429281</v>
      </c>
      <c r="BL322" s="221">
        <f>SUM(BL199+BL200+BL201+BL204+BL222+BL225)/(SUM(BL199+BL200+BL201+BL204+BL222+BL225)+BL258)</f>
        <v>0.00554149809860078</v>
      </c>
      <c r="BM322" s="221">
        <f>SUM(BM199+BM200+BM201+BM204+BM222+BM225)/(SUM(BM199+BM200+BM201+BM204+BM222+BM225)+BM258)</f>
        <v>0.00367281377450018</v>
      </c>
      <c r="BN322" s="221">
        <f>SUM(BN199+BN200+BN201+BN204+BN222+BN225)/(SUM(BN199+BN200+BN201+BN204+BN222+BN225)+BN258)</f>
        <v>0.00326910117767866</v>
      </c>
      <c r="BO322" s="221">
        <f>SUM(BO199+BO200+BO201+BO204+BO222+BO225)/(SUM(BO199+BO200+BO201+BO204+BO222+BO225)+BO258)</f>
        <v>0.00251440660224556</v>
      </c>
      <c r="BQ322" s="221">
        <f>SUM(BQ199+BQ200+BQ201+BQ204+BQ222+BQ225)/(SUM(BQ199+BQ200+BQ201+BQ204+BQ222+BQ225)+BQ258)</f>
        <v>0.00204281472297093</v>
      </c>
      <c r="BR322" s="221">
        <f>SUM(BR199+BR200+BR201+BR204+BR222+BR225)/(SUM(BR199+BR200+BR201+BR204+BR222+BR225)+BR258)</f>
        <v>0.00135062810717461</v>
      </c>
      <c r="BS322" s="221">
        <f>SUM(BS199+BS200+BS201+BS204+BS222+BS225)/(SUM(BS199+BS200+BS201+BS204+BS222+BS225)+BS258)</f>
        <v>0.00120162207395547</v>
      </c>
      <c r="BT322" s="221">
        <f>SUM(BT199+BT200+BT201+BT204+BT222+BT225)/(SUM(BT199+BT200+BT201+BT204+BT222+BT225)+BT258)</f>
        <v>0.000923289853025634</v>
      </c>
      <c r="BV322" s="221">
        <f>SUM(BV199+BV200+BV201+BV204+BV222+BV225)/(SUM(BV199+BV200+BV201+BV204+BV222+BV225)+BV258)</f>
        <v>0.000749649123475555</v>
      </c>
      <c r="BW322" s="221">
        <f>SUM(BW199+BW200+BW201+BW204+BW222+BW225)/(SUM(BW199+BW200+BW201+BW204+BW222+BW225)+BW258)</f>
        <v>0.000495213070523289</v>
      </c>
      <c r="BX322" s="221">
        <f>SUM(BX199+BX200+BX201+BX204+BX222+BX225)/(SUM(BX199+BX200+BX201+BX204+BX222+BX225)+BX258)</f>
        <v>0.000440488588964874</v>
      </c>
      <c r="BY322" s="221">
        <f>SUM(BY199+BY200+BY201+BY204+BY222+BY225)/(SUM(BY199+BY200+BY201+BY204+BY222+BY225)+BY258)</f>
        <v>0.000338342923867623</v>
      </c>
      <c r="CA322" s="221">
        <f>SUM(CA199+CA200+CA201+CA204+CA222+CA225)/(SUM(CA199+CA200+CA201+CA204+CA222+CA225)+CA258)</f>
        <v>0.000274653219619358</v>
      </c>
      <c r="CB322" s="221">
        <f>SUM(CB199+CB200+CB201+CB204+CB222+CB225)/(SUM(CB199+CB200+CB201+CB204+CB222+CB225)+CB258)</f>
        <v>0.000181374547565086</v>
      </c>
      <c r="CC322" s="221">
        <f>SUM(CC199+CC200+CC201+CC204+CC222+CC225)/(SUM(CC199+CC200+CC201+CC204+CC222+CC225)+CC258)</f>
        <v>0.000161320866411534</v>
      </c>
      <c r="CD322" s="221">
        <f>SUM(CD199+CD200+CD201+CD204+CD222+CD225)/(SUM(CD199+CD200+CD201+CD204+CD222+CD225)+CD258)</f>
        <v>0.000123895419669945</v>
      </c>
      <c r="CF322" s="221">
        <f>SUM(CF199+CF200+CF201+CF204+CF222+CF225)/(SUM(CF199+CF200+CF201+CF204+CF222+CF225)+CF258)</f>
        <v>0.000100564978928567</v>
      </c>
      <c r="CG322" s="221">
        <f>SUM(CG199+CG200+CG201+CG204+CG222+CG225)/(SUM(CG199+CG200+CG201+CG204+CG222+CG225)+CG258)</f>
        <v>6.64029948522761e-05</v>
      </c>
      <c r="CH322" s="221">
        <f>SUM(CH199+CH200+CH201+CH204+CH222+CH225)/(SUM(CH199+CH200+CH201+CH204+CH222+CH225)+CH258)</f>
        <v>5.90595679460815e-05</v>
      </c>
      <c r="CI322" s="221">
        <f>SUM(CI199+CI200+CI201+CI204+CI222+CI225)/(SUM(CI199+CI200+CI201+CI204+CI222+CI225)+CI258)</f>
        <v>4.53560009207732e-05</v>
      </c>
      <c r="CK322" s="221">
        <f>SUM(CK199+CK200+CK201+CK204+CK222+CK225)/(SUM(CK199+CK200+CK201+CK204+CK222+CK225)+CK258)</f>
        <v>3.68140533586568e-05</v>
      </c>
      <c r="CL322" s="221">
        <f>SUM(CL199+CL200+CL201+CL204+CL222+CL225)/(SUM(CL199+CL200+CL201+CL204+CL222+CL225)+CL258)</f>
        <v>2.43072343757621e-05</v>
      </c>
      <c r="CM322" s="221">
        <f>SUM(CM199+CM200+CM201+CM204+CM222+CM225)/(SUM(CM199+CM200+CM201+CM204+CM222+CM225)+CM258)</f>
        <v>2.16189311929092e-05</v>
      </c>
      <c r="CN322" s="221">
        <f>SUM(CN199+CN200+CN201+CN204+CN222+CN225)/(SUM(CN199+CN200+CN201+CN204+CN222+CN225)+CN258)</f>
        <v>1.66024067675333e-05</v>
      </c>
      <c r="CP322" s="221">
        <f>SUM(CP199+CP200+CP201+CP204+CP222+CP225)/(SUM(CP199+CP200+CP201+CP204+CP222+CP225)+CP258)</f>
        <v>1.3475507997303e-05</v>
      </c>
      <c r="CQ322" s="221">
        <f>SUM(CQ199+CQ200+CQ201+CQ204+CQ222+CQ225)/(SUM(CQ199+CQ200+CQ201+CQ204+CQ222+CQ225)+CQ258)</f>
        <v>8.89734040747327e-06</v>
      </c>
      <c r="CR322" s="221">
        <f>SUM(CR199+CR200+CR201+CR204+CR222+CR225)/(SUM(CR199+CR200+CR201+CR204+CR222+CR225)+CR258)</f>
        <v>7.91329492220441e-06</v>
      </c>
      <c r="CS322" s="221">
        <f>SUM(CS199+CS200+CS201+CS204+CS222+CS225)/(SUM(CS199+CS200+CS201+CS204+CS222+CS225)+CS258)</f>
        <v>6.07703090343631e-06</v>
      </c>
      <c r="CU322" s="221">
        <f>SUM(CU199+CU200+CU201+CU204+CU222+CU225)/(SUM(CU199+CU200+CU201+CU204+CU222+CU225)+CU258)</f>
        <v>4.9324629307413e-06</v>
      </c>
      <c r="CV322" s="221">
        <f>SUM(CV199+CV200+CV201+CV204+CV222+CV225)/(SUM(CV199+CV200+CV201+CV204+CV222+CV225)+CV258)</f>
        <v>3.25668949386733e-06</v>
      </c>
      <c r="CW322" s="221">
        <f>SUM(CW199+CW200+CW201+CW204+CW222+CW225)/(SUM(CW199+CW200+CW201+CW204+CW222+CW225)+CW258)</f>
        <v>2.89649619719674e-06</v>
      </c>
      <c r="CX322" s="221">
        <f>SUM(CX199+CX200+CX201+CX204+CX222+CX225)/(SUM(CX199+CX200+CX201+CX204+CX222+CX225)+CX258)</f>
        <v>2.22436490679185e-06</v>
      </c>
    </row>
    <row r="323" customFormat="1" s="233">
      <c r="A323" s="224" t="n"/>
      <c r="B323" s="224" t="n"/>
      <c r="C323" s="233" t="inlineStr">
        <is>
          <t>NET DEBT / EBITDA LTM (com arrendamentos)</t>
        </is>
      </c>
      <c r="D323" s="219" t="str">
        <f>""</f>
        <v/>
      </c>
      <c r="E323" s="219" t="str">
        <f>""</f>
        <v/>
      </c>
      <c r="F323" s="219" t="str">
        <f>""</f>
        <v/>
      </c>
      <c r="G323" s="219">
        <f>IFERROR((SUM(G199,G200,G201,G204,G222,G225)-G131)/(G56+F56+E56+D56),"")</f>
        <v>3.4807821982468</v>
      </c>
      <c r="I323" s="219">
        <f>IFERROR((SUM(I199,I200,I201,I204,I222,I225)-I131)/(I56+G56+F56+E56),"")</f>
        <v>2.94772420009013</v>
      </c>
      <c r="J323" s="219">
        <f>IFERROR((SUM(J199,J200,J201,J204,J222,J225)-J131)/(J56+I56+G56+F56),"")</f>
        <v>3.62637929256471</v>
      </c>
      <c r="K323" s="219">
        <f>IFERROR((SUM(K199,K200,K201,K204,K222,K225)-K131)/(K56+J56+I56+G56),"")</f>
        <v>3.55694692903995</v>
      </c>
      <c r="L323" s="219">
        <f>IFERROR((SUM(L199,L200,L201,L204,L222,L225)-L131)/(L56+K56+J56+I56),"")</f>
        <v>4.09659623191423</v>
      </c>
      <c r="N323" s="219">
        <f>IFERROR((SUM(N199,N200,N201,N204,N222,N225)-N131)/(N56+L56+K56+J56),"")</f>
        <v>4.19510697103081</v>
      </c>
      <c r="O323" s="219">
        <f>IFERROR((SUM(O199,O200,O201,O204,O222,O225)-O131)/(O56+N56+L56+K56),"")</f>
        <v>0.965574899183633</v>
      </c>
      <c r="P323" s="219">
        <f>IFERROR((SUM(P199,P200,P201,P204,P222,P225)-P131)/(P56+O56+N56+L56),"")</f>
        <v>0.685669180845466</v>
      </c>
      <c r="Q323" s="219">
        <f>IFERROR((SUM(Q199,Q200,Q201,Q204,Q222,Q225)-Q131)/(Q56+P56+O56+N56),"")</f>
        <v>0.799889702985898</v>
      </c>
      <c r="S323" s="219">
        <f>IFERROR((SUM(S199,S200,S201,S204,S222,S225)-S131)/(S56+Q56+P56+O56),"")</f>
        <v>0.84737030411449</v>
      </c>
      <c r="T323" s="219">
        <f>IFERROR((SUM(T199,T200,T201,T204,T222,T225)-T131)/(T56+S56+Q56+P56),"")</f>
        <v>0.710768816842672</v>
      </c>
      <c r="U323" s="219">
        <f>IFERROR((SUM(U199,U200,U201,U204,U222,U225)-U131)/(U56+T56+S56+Q56),"")</f>
        <v>0.700507953482155</v>
      </c>
      <c r="V323" s="219">
        <f>IFERROR((SUM(V199,V200,V201,V204,V222,V225)-V131)/(V56+U56+T56+S56),"")</f>
        <v>0.960705693664796</v>
      </c>
      <c r="X323" s="219">
        <f>IFERROR((SUM(X199,X200,X201,X204,X222,X225)-X131)/(X56+V56+U56+T56),"")</f>
        <v>1.41298278268962</v>
      </c>
      <c r="Y323" s="219">
        <f>IFERROR((SUM(Y199,Y200,Y201,Y204,Y222,Y225)-Y131)/(Y56+X56+V56+U56),"")</f>
        <v>1.62517153499314</v>
      </c>
      <c r="Z323" s="219">
        <f>IFERROR((SUM(Z199,Z200,Z201,Z204,Z222,Z225)-Z131)/(Z56+Y56+X56+V56),"")</f>
        <v>2.93153918791313</v>
      </c>
      <c r="AA323" s="219">
        <f>IFERROR((SUM(AA199,AA200,AA201,AA204,AA222,AA225)-AA131)/(AA56+Z56+Y56+X56),"")</f>
        <v>2.89240801117839</v>
      </c>
      <c r="AC323" s="219">
        <f>IFERROR((SUM(AC199,AC200,AC201,AC204,AC222,AC225)-AC131)/(AC56+AA56+Z56+Y56),"")</f>
        <v>3.6550298576022</v>
      </c>
      <c r="AD323" s="219">
        <f>IFERROR((SUM(AD199,AD200,AD201,AD204,AD222,AD225)-AD131)/(AD56+AC56+AA56+Z56),"")</f>
        <v>2.75457038391225</v>
      </c>
      <c r="AE323" s="219">
        <f>IFERROR((SUM(AE199,AE200,AE201,AE204,AE222,AE225)-AE131)/(AE56+AD56+AC56+AA56),"")</f>
        <v>2.4764468371467</v>
      </c>
      <c r="AF323" s="219">
        <f>IFERROR((SUM(AF199,AF200,AF201,AF204,AF222,AF225)-AF131)/(AF56+AE56+AD56+AC56),"")</f>
        <v>3.34537444933921</v>
      </c>
      <c r="AH323" s="219">
        <f>IFERROR((SUM(AH199,AH200,AH201,AH204,AH222,AH225)-AH131)/(AH56+AF56+AE56+AD56),"")</f>
        <v>3.3464703334777</v>
      </c>
      <c r="AI323" s="219">
        <f>IFERROR((SUM(AI199,AI200,AI201,AI204,AI222,AI225)-AI131)/(AI56+AH56+AF56+AE56),"")</f>
        <v>3.48679727427598</v>
      </c>
      <c r="AJ323" s="219">
        <f>IFERROR((SUM(AJ199,AJ200,AJ201,AJ204,AJ222,AJ225)-AJ131)/(AJ56+AI56+AH56+AF56),"")</f>
        <v>-1.99720201454952</v>
      </c>
      <c r="AK323" s="219">
        <f>IFERROR((SUM(AK199,AK200,AK201,AK204,AK222,AK225)-AK131)/(AK56+AJ56+AI56+AH56),"")</f>
        <v>-5.14703425229741</v>
      </c>
      <c r="AM323" s="219" t="str">
        <f>IFERROR((SUM(AM199,AM200,AM201,AM204,AM222,AM225)-AM131)/(AM56+AK56+AJ56+AI56),"")</f>
        <v/>
      </c>
      <c r="AN323" s="219" t="str">
        <f>IFERROR((SUM(AN199,AN200,AN201,AN204,AN222,AN225)-AN131)/(AN56+AM56+AK56+AJ56),"")</f>
        <v/>
      </c>
      <c r="AO323" s="219" t="str">
        <f>IFERROR((SUM(AO199,AO200,AO201,AO204,AO222,AO225)-AO131)/(AO56+AN56+AM56+AK56),"")</f>
        <v/>
      </c>
      <c r="AP323" s="219" t="str">
        <f>IFERROR((SUM(AP199,AP200,AP201,AP204,AP222,AP225)-AP131)/(AP56+AO56+AN56+AM56),"")</f>
        <v/>
      </c>
      <c r="AR323" s="219" t="str">
        <f>IFERROR((SUM(AR199,AR200,AR201,AR204,AR222,AR225)-AR131)/(AR56+AP56+AO56+AN56),"")</f>
        <v/>
      </c>
      <c r="AS323" s="219" t="str">
        <f>IFERROR((SUM(AS199,AS200,AS201,AS204,AS222,AS225)-AS131)/(AS56+AR56+AP56+AO56),"")</f>
        <v/>
      </c>
      <c r="AT323" s="219" t="str">
        <f>IFERROR((SUM(AT199,AT200,AT201,AT204,AT222,AT225)-AT131)/(AT56+AS56+AR56+AP56),"")</f>
        <v/>
      </c>
      <c r="AU323" s="219" t="str">
        <f>IFERROR((SUM(AU199,AU200,AU201,AU204,AU222,AU225)-AU131)/(AU56+AT56+AS56+AR56),"")</f>
        <v/>
      </c>
      <c r="AW323" s="219" t="str">
        <f>IFERROR((SUM(AW199,AW200,AW201,AW204,AW222,AW225)-AW131)/(AW56+AU56+AT56+AS56),"")</f>
        <v/>
      </c>
      <c r="AX323" s="219" t="str">
        <f>IFERROR((SUM(AX199,AX200,AX201,AX204,AX222,AX225)-AX131)/(AX56+AW56+AU56+AT56),"")</f>
        <v/>
      </c>
      <c r="AY323" s="219" t="str">
        <f>IFERROR((SUM(AY199,AY200,AY201,AY204,AY222,AY225)-AY131)/(AY56+AX56+AW56+AU56),"")</f>
        <v/>
      </c>
      <c r="AZ323" s="219" t="str">
        <f>IFERROR((SUM(AZ199,AZ200,AZ201,AZ204,AZ222,AZ225)-AZ131)/(AZ56+AY56+AX56+AW56),"")</f>
        <v/>
      </c>
      <c r="BB323" s="219" t="str">
        <f>IFERROR((SUM(BB199,BB200,BB201,BB204,BB222,BB225)-BB131)/(BB56+AZ56+AY56+AX56),"")</f>
        <v/>
      </c>
      <c r="BC323" s="219" t="str">
        <f>IFERROR((SUM(BC199,BC200,BC201,BC204,BC222,BC225)-BC131)/(BC56+BB56+AZ56+AY56),"")</f>
        <v/>
      </c>
      <c r="BD323" s="219" t="str">
        <f>IFERROR((SUM(BD199,BD200,BD201,BD204,BD222,BD225)-BD131)/(BD56+BC56+BB56+AZ56),"")</f>
        <v/>
      </c>
      <c r="BE323" s="219" t="str">
        <f>IFERROR((SUM(BE199,BE200,BE201,BE204,BE222,BE225)-BE131)/(BE56+BD56+BC56+BB56),"")</f>
        <v/>
      </c>
      <c r="BG323" s="219" t="str">
        <f>IFERROR((SUM(BG199,BG200,BG201,BG204,BG222,BG225)-BG131)/(BG56+BE56+BD56+BC56),"")</f>
        <v/>
      </c>
      <c r="BH323" s="219" t="str">
        <f>IFERROR((SUM(BH199,BH200,BH201,BH204,BH222,BH225)-BH131)/(BH56+BG56+BE56+BD56),"")</f>
        <v/>
      </c>
      <c r="BI323" s="219" t="str">
        <f>IFERROR((SUM(BI199,BI200,BI201,BI204,BI222,BI225)-BI131)/(BI56+BH56+BG56+BE56),"")</f>
        <v/>
      </c>
      <c r="BJ323" s="219" t="str">
        <f>IFERROR((SUM(BJ199,BJ200,BJ201,BJ204,BJ222,BJ225)-BJ131)/(BJ56+BI56+BH56+BG56),"")</f>
        <v/>
      </c>
      <c r="BL323" s="219" t="str">
        <f>IFERROR((SUM(BL199,BL200,BL201,BL204,BL222,BL225)-BL131)/(BL56+BJ56+BI56+BH56),"")</f>
        <v/>
      </c>
      <c r="BM323" s="219" t="str">
        <f>IFERROR((SUM(BM199,BM200,BM201,BM204,BM222,BM225)-BM131)/(BM56+BL56+BJ56+BI56),"")</f>
        <v/>
      </c>
      <c r="BN323" s="219" t="str">
        <f>IFERROR((SUM(BN199,BN200,BN201,BN204,BN222,BN225)-BN131)/(BN56+BM56+BL56+BJ56),"")</f>
        <v/>
      </c>
      <c r="BO323" s="219" t="str">
        <f>IFERROR((SUM(BO199,BO200,BO201,BO204,BO222,BO225)-BO131)/(BO56+BN56+BM56+BL56),"")</f>
        <v/>
      </c>
      <c r="BQ323" s="219" t="str">
        <f>IFERROR((SUM(BQ199,BQ200,BQ201,BQ204,BQ222,BQ225)-BQ131)/(BQ56+BO56+BN56+BM56),"")</f>
        <v/>
      </c>
      <c r="BR323" s="219" t="str">
        <f>IFERROR((SUM(BR199,BR200,BR201,BR204,BR222,BR225)-BR131)/(BR56+BQ56+BO56+BN56),"")</f>
        <v/>
      </c>
      <c r="BS323" s="219" t="str">
        <f>IFERROR((SUM(BS199,BS200,BS201,BS204,BS222,BS225)-BS131)/(BS56+BR56+BQ56+BO56),"")</f>
        <v/>
      </c>
      <c r="BT323" s="219" t="str">
        <f>IFERROR((SUM(BT199,BT200,BT201,BT204,BT222,BT225)-BT131)/(BT56+BS56+BR56+BQ56),"")</f>
        <v/>
      </c>
      <c r="BV323" s="219" t="str">
        <f>IFERROR((SUM(BV199,BV200,BV201,BV204,BV222,BV225)-BV131)/(BV56+BT56+BS56+BR56),"")</f>
        <v/>
      </c>
      <c r="BW323" s="219" t="str">
        <f>IFERROR((SUM(BW199,BW200,BW201,BW204,BW222,BW225)-BW131)/(BW56+BV56+BT56+BS56),"")</f>
        <v/>
      </c>
      <c r="BX323" s="219" t="str">
        <f>IFERROR((SUM(BX199,BX200,BX201,BX204,BX222,BX225)-BX131)/(BX56+BW56+BV56+BT56),"")</f>
        <v/>
      </c>
      <c r="BY323" s="219" t="str">
        <f>IFERROR((SUM(BY199,BY200,BY201,BY204,BY222,BY225)-BY131)/(BY56+BX56+BW56+BV56),"")</f>
        <v/>
      </c>
      <c r="CA323" s="219" t="str">
        <f>IFERROR((SUM(CA199,CA200,CA201,CA204,CA222,CA225)-CA131)/(CA56+BY56+BX56+BW56),"")</f>
        <v/>
      </c>
      <c r="CB323" s="219" t="str">
        <f>IFERROR((SUM(CB199,CB200,CB201,CB204,CB222,CB225)-CB131)/(CB56+CA56+BY56+BX56),"")</f>
        <v/>
      </c>
      <c r="CC323" s="219" t="str">
        <f>IFERROR((SUM(CC199,CC200,CC201,CC204,CC222,CC225)-CC131)/(CC56+CB56+CA56+BY56),"")</f>
        <v/>
      </c>
      <c r="CD323" s="219" t="str">
        <f>IFERROR((SUM(CD199,CD200,CD201,CD204,CD222,CD225)-CD131)/(CD56+CC56+CB56+CA56),"")</f>
        <v/>
      </c>
      <c r="CF323" s="219" t="str">
        <f>IFERROR((SUM(CF199,CF200,CF201,CF204,CF222,CF225)-CF131)/(CF56+CD56+CC56+CB56),"")</f>
        <v/>
      </c>
      <c r="CG323" s="219" t="str">
        <f>IFERROR((SUM(CG199,CG200,CG201,CG204,CG222,CG225)-CG131)/(CG56+CF56+CD56+CC56),"")</f>
        <v/>
      </c>
      <c r="CH323" s="219" t="str">
        <f>IFERROR((SUM(CH199,CH200,CH201,CH204,CH222,CH225)-CH131)/(CH56+CG56+CF56+CD56),"")</f>
        <v/>
      </c>
      <c r="CI323" s="219" t="str">
        <f>IFERROR((SUM(CI199,CI200,CI201,CI204,CI222,CI225)-CI131)/(CI56+CH56+CG56+CF56),"")</f>
        <v/>
      </c>
      <c r="CK323" s="219" t="str">
        <f>IFERROR((SUM(CK199,CK200,CK201,CK204,CK222,CK225)-CK131)/(CK56+CI56+CH56+CG56),"")</f>
        <v/>
      </c>
      <c r="CL323" s="219" t="str">
        <f>IFERROR((SUM(CL199,CL200,CL201,CL204,CL222,CL225)-CL131)/(CL56+CK56+CI56+CH56),"")</f>
        <v/>
      </c>
      <c r="CM323" s="219" t="str">
        <f>IFERROR((SUM(CM199,CM200,CM201,CM204,CM222,CM225)-CM131)/(CM56+CL56+CK56+CI56),"")</f>
        <v/>
      </c>
      <c r="CN323" s="219" t="str">
        <f>IFERROR((SUM(CN199,CN200,CN201,CN204,CN222,CN225)-CN131)/(CN56+CM56+CL56+CK56),"")</f>
        <v/>
      </c>
      <c r="CP323" s="219" t="str">
        <f>IFERROR((SUM(CP199,CP200,CP201,CP204,CP222,CP225)-CP131)/(CP56+CN56+CM56+CL56),"")</f>
        <v/>
      </c>
      <c r="CQ323" s="219" t="str">
        <f>IFERROR((SUM(CQ199,CQ200,CQ201,CQ204,CQ222,CQ225)-CQ131)/(CQ56+CP56+CN56+CM56),"")</f>
        <v/>
      </c>
      <c r="CR323" s="219" t="str">
        <f>IFERROR((SUM(CR199,CR200,CR201,CR204,CR222,CR225)-CR131)/(CR56+CQ56+CP56+CN56),"")</f>
        <v/>
      </c>
      <c r="CS323" s="219" t="str">
        <f>IFERROR((SUM(CS199,CS200,CS201,CS204,CS222,CS225)-CS131)/(CS56+CR56+CQ56+CP56),"")</f>
        <v/>
      </c>
      <c r="CU323" s="219" t="str">
        <f>IFERROR((SUM(CU199,CU200,CU201,CU204,CU222,CU225)-CU131)/(CU56+CS56+CR56+CQ56),"")</f>
        <v/>
      </c>
      <c r="CV323" s="219" t="str">
        <f>IFERROR((SUM(CV199,CV200,CV201,CV204,CV222,CV225)-CV131)/(CV56+CU56+CS56+CR56),"")</f>
        <v/>
      </c>
      <c r="CW323" s="219" t="str">
        <f>IFERROR((SUM(CW199,CW200,CW201,CW204,CW222,CW225)-CW131)/(CW56+CV56+CU56+CS56),"")</f>
        <v/>
      </c>
      <c r="CX323" s="219" t="str">
        <f>IFERROR((SUM(CX199,CX200,CX201,CX204,CX222,CX225)-CX131)/(CX56+CW56+CV56+CU56),"")</f>
        <v/>
      </c>
    </row>
    <row r="324" customFormat="1" s="233">
      <c r="A324" s="224" t="n"/>
      <c r="B324" s="224" t="n"/>
      <c r="C324" s="237" t="inlineStr">
        <is>
          <t>NET DEBT (EX IFRS 16) / EBITDA LTM</t>
        </is>
      </c>
      <c r="D324" s="219" t="str">
        <f>""</f>
        <v/>
      </c>
      <c r="E324" s="219" t="str">
        <f>""</f>
        <v/>
      </c>
      <c r="F324" s="219" t="str">
        <f>""</f>
        <v/>
      </c>
      <c r="G324" s="219">
        <f>IFERROR((SUM(G199,G200,G204,G225)-G131)/(G56+F56+E56+D56),"")</f>
        <v>3.4807821982468</v>
      </c>
      <c r="I324" s="219">
        <f>IFERROR((SUM(I199,I200,I204,I225)-I131)/(I56+G56+F56+E56),"")</f>
        <v>2.94772420009013</v>
      </c>
      <c r="J324" s="219">
        <f>IFERROR((SUM(J199,J200,J204,J225)-J131)/(J56+I56+G56+F56),"")</f>
        <v>3.62637929256471</v>
      </c>
      <c r="K324" s="219">
        <f>IFERROR((SUM(K199,K200,K204,K225)-K131)/(K56+J56+I56+G56),"")</f>
        <v>3.55694692903995</v>
      </c>
      <c r="L324" s="219">
        <f>IFERROR((SUM(L199,L200,L204,L225)-L131)/(L56+K56+J56+I56),"")</f>
        <v>4.09659623191423</v>
      </c>
      <c r="N324" s="219">
        <f>IFERROR((SUM(N199,N200,N204,N225)-N131)/(N56+L56+K56+J56),"")</f>
        <v>4.19510697103081</v>
      </c>
      <c r="O324" s="219">
        <f>IFERROR((SUM(O199,O200,O204,O225)-O131)/(O56+N56+L56+K56),"")</f>
        <v>0.965574899183633</v>
      </c>
      <c r="P324" s="219">
        <f>IFERROR((SUM(P199,P200,P204,P225)-P131)/(P56+O56+N56+L56),"")</f>
        <v>0.685669180845466</v>
      </c>
      <c r="Q324" s="219">
        <f>IFERROR((SUM(Q199,Q200,Q204,Q225)-Q131)/(Q56+P56+O56+N56),"")</f>
        <v>0.799889702985898</v>
      </c>
      <c r="S324" s="219">
        <f>IFERROR((SUM(S199,S200,S204,S225)-S131)/(S56+Q56+P56+O56),"")</f>
        <v>0.84737030411449</v>
      </c>
      <c r="T324" s="219">
        <f>IFERROR((SUM(T199,T200,T204,T225)-T131)/(T56+S56+Q56+P56),"")</f>
        <v>0.710768816842672</v>
      </c>
      <c r="U324" s="219">
        <f>IFERROR((SUM(U199,U200,U204,U225)-U131)/(U56+T56+S56+Q56),"")</f>
        <v>0.700507953482155</v>
      </c>
      <c r="V324" s="219">
        <f>IFERROR((SUM(V199,V200,V204,V225)-V131)/(V56+U56+T56+S56),"")</f>
        <v>0.960705693664796</v>
      </c>
      <c r="X324" s="219">
        <f>IFERROR((SUM(X199,X200,X204,X225)-X131)/(X56+V56+U56+T56),"")</f>
        <v>1.41298278268962</v>
      </c>
      <c r="Y324" s="219">
        <f>IFERROR((SUM(Y199,Y200,Y204,Y225)-Y131)/(Y56+X56+V56+U56),"")</f>
        <v>1.62517153499314</v>
      </c>
      <c r="Z324" s="219">
        <f>IFERROR((SUM(Z199,Z200,Z204,Z225)-Z131)/(Z56+Y56+X56+V56),"")</f>
        <v>2.93153918791313</v>
      </c>
      <c r="AA324" s="219">
        <f>IFERROR((SUM(AA199,AA200,AA204,AA225)-AA131)/(AA56+Z56+Y56+X56),"")</f>
        <v>2.89240801117839</v>
      </c>
      <c r="AC324" s="219">
        <f>IFERROR((SUM(AC199,AC200,AC204,AC225)-AC131)/(AC56+AA56+Z56+Y56),"")</f>
        <v>3.6550298576022</v>
      </c>
      <c r="AD324" s="219">
        <f>IFERROR((SUM(AD199,AD200,AD204,AD225)-AD131)/(AD56+AC56+AA56+Z56),"")</f>
        <v>2.75457038391225</v>
      </c>
      <c r="AE324" s="219">
        <f>IFERROR((SUM(AE199,AE200,AE204,AE225)-AE131)/(AE56+AD56+AC56+AA56),"")</f>
        <v>2.4764468371467</v>
      </c>
      <c r="AF324" s="219">
        <f>IFERROR((SUM(AF199,AF200,AF204,AF225)-AF131)/(AF56+AE56+AD56+AC56),"")</f>
        <v>3.34537444933921</v>
      </c>
      <c r="AH324" s="219">
        <f>IFERROR((SUM(AH199,AH200,AH204,AH225)-AH131)/(AH56+AF56+AE56+AD56),"")</f>
        <v>3.3464703334777</v>
      </c>
      <c r="AI324" s="219">
        <f>IFERROR((SUM(AI199,AI200,AI204,AI225)-AI131)/(AI56+AH56+AF56+AE56),"")</f>
        <v>3.48679727427598</v>
      </c>
      <c r="AJ324" s="219">
        <f>IFERROR((SUM(AJ199,AJ200,AJ204,AJ225)-AJ131)/(AJ56+AI56+AH56+AF56),"")</f>
        <v>-1.99720201454952</v>
      </c>
      <c r="AK324" s="219">
        <f>IFERROR((SUM(AK199,AK200,AK204,AK225)-AK131)/(AK56+AJ56+AI56+AH56),"")</f>
        <v>-5.14703425229741</v>
      </c>
      <c r="AM324" s="219" t="str">
        <f>IFERROR((SUM(AM199,AM200,AM204,AM225)-AM131)/(AM56+AK56+AJ56+AI56),"")</f>
        <v/>
      </c>
      <c r="AN324" s="219" t="str">
        <f>IFERROR((SUM(AN199,AN200,AN204,AN225)-AN131)/(AN56+AM56+AK56+AJ56),"")</f>
        <v/>
      </c>
      <c r="AO324" s="219" t="str">
        <f>IFERROR((SUM(AO199,AO200,AO204,AO225)-AO131)/(AO56+AN56+AM56+AK56),"")</f>
        <v/>
      </c>
      <c r="AP324" s="219" t="str">
        <f>IFERROR((SUM(AP199,AP200,AP204,AP225)-AP131)/(AP56+AO56+AN56+AM56),"")</f>
        <v/>
      </c>
      <c r="AR324" s="219" t="str">
        <f>IFERROR((SUM(AR199,AR200,AR204,AR225)-AR131)/(AR56+AP56+AO56+AN56),"")</f>
        <v/>
      </c>
      <c r="AS324" s="219" t="str">
        <f>IFERROR((SUM(AS199,AS200,AS204,AS225)-AS131)/(AS56+AR56+AP56+AO56),"")</f>
        <v/>
      </c>
      <c r="AT324" s="219" t="str">
        <f>IFERROR((SUM(AT199,AT200,AT204,AT225)-AT131)/(AT56+AS56+AR56+AP56),"")</f>
        <v/>
      </c>
      <c r="AU324" s="219" t="str">
        <f>IFERROR((SUM(AU199,AU200,AU204,AU225)-AU131)/(AU56+AT56+AS56+AR56),"")</f>
        <v/>
      </c>
      <c r="AW324" s="219" t="str">
        <f>IFERROR((SUM(AW199,AW200,AW204,AW225)-AW131)/(AW56+AU56+AT56+AS56),"")</f>
        <v/>
      </c>
      <c r="AX324" s="219" t="str">
        <f>IFERROR((SUM(AX199,AX200,AX204,AX225)-AX131)/(AX56+AW56+AU56+AT56),"")</f>
        <v/>
      </c>
      <c r="AY324" s="219" t="str">
        <f>IFERROR((SUM(AY199,AY200,AY204,AY225)-AY131)/(AY56+AX56+AW56+AU56),"")</f>
        <v/>
      </c>
      <c r="AZ324" s="219" t="str">
        <f>IFERROR((SUM(AZ199,AZ200,AZ204,AZ225)-AZ131)/(AZ56+AY56+AX56+AW56),"")</f>
        <v/>
      </c>
      <c r="BB324" s="219" t="str">
        <f>IFERROR((SUM(BB199,BB200,BB204,BB225)-BB131)/(BB56+AZ56+AY56+AX56),"")</f>
        <v/>
      </c>
      <c r="BC324" s="219" t="str">
        <f>IFERROR((SUM(BC199,BC200,BC204,BC225)-BC131)/(BC56+BB56+AZ56+AY56),"")</f>
        <v/>
      </c>
      <c r="BD324" s="219" t="str">
        <f>IFERROR((SUM(BD199,BD200,BD204,BD225)-BD131)/(BD56+BC56+BB56+AZ56),"")</f>
        <v/>
      </c>
      <c r="BE324" s="219" t="str">
        <f>IFERROR((SUM(BE199,BE200,BE204,BE225)-BE131)/(BE56+BD56+BC56+BB56),"")</f>
        <v/>
      </c>
      <c r="BG324" s="219" t="str">
        <f>IFERROR((SUM(BG199,BG200,BG204,BG225)-BG131)/(BG56+BE56+BD56+BC56),"")</f>
        <v/>
      </c>
      <c r="BH324" s="219" t="str">
        <f>IFERROR((SUM(BH199,BH200,BH204,BH225)-BH131)/(BH56+BG56+BE56+BD56),"")</f>
        <v/>
      </c>
      <c r="BI324" s="219" t="str">
        <f>IFERROR((SUM(BI199,BI200,BI204,BI225)-BI131)/(BI56+BH56+BG56+BE56),"")</f>
        <v/>
      </c>
      <c r="BJ324" s="219" t="str">
        <f>IFERROR((SUM(BJ199,BJ200,BJ204,BJ225)-BJ131)/(BJ56+BI56+BH56+BG56),"")</f>
        <v/>
      </c>
      <c r="BL324" s="219" t="str">
        <f>IFERROR((SUM(BL199,BL200,BL204,BL225)-BL131)/(BL56+BJ56+BI56+BH56),"")</f>
        <v/>
      </c>
      <c r="BM324" s="219" t="str">
        <f>IFERROR((SUM(BM199,BM200,BM204,BM225)-BM131)/(BM56+BL56+BJ56+BI56),"")</f>
        <v/>
      </c>
      <c r="BN324" s="219" t="str">
        <f>IFERROR((SUM(BN199,BN200,BN204,BN225)-BN131)/(BN56+BM56+BL56+BJ56),"")</f>
        <v/>
      </c>
      <c r="BO324" s="219" t="str">
        <f>IFERROR((SUM(BO199,BO200,BO204,BO225)-BO131)/(BO56+BN56+BM56+BL56),"")</f>
        <v/>
      </c>
      <c r="BQ324" s="219" t="str">
        <f>IFERROR((SUM(BQ199,BQ200,BQ204,BQ225)-BQ131)/(BQ56+BO56+BN56+BM56),"")</f>
        <v/>
      </c>
      <c r="BR324" s="219" t="str">
        <f>IFERROR((SUM(BR199,BR200,BR204,BR225)-BR131)/(BR56+BQ56+BO56+BN56),"")</f>
        <v/>
      </c>
      <c r="BS324" s="219" t="str">
        <f>IFERROR((SUM(BS199,BS200,BS204,BS225)-BS131)/(BS56+BR56+BQ56+BO56),"")</f>
        <v/>
      </c>
      <c r="BT324" s="219" t="str">
        <f>IFERROR((SUM(BT199,BT200,BT204,BT225)-BT131)/(BT56+BS56+BR56+BQ56),"")</f>
        <v/>
      </c>
      <c r="BV324" s="219" t="str">
        <f>IFERROR((SUM(BV199,BV200,BV204,BV225)-BV131)/(BV56+BT56+BS56+BR56),"")</f>
        <v/>
      </c>
      <c r="BW324" s="219" t="str">
        <f>IFERROR((SUM(BW199,BW200,BW204,BW225)-BW131)/(BW56+BV56+BT56+BS56),"")</f>
        <v/>
      </c>
      <c r="BX324" s="219" t="str">
        <f>IFERROR((SUM(BX199,BX200,BX204,BX225)-BX131)/(BX56+BW56+BV56+BT56),"")</f>
        <v/>
      </c>
      <c r="BY324" s="219" t="str">
        <f>IFERROR((SUM(BY199,BY200,BY204,BY225)-BY131)/(BY56+BX56+BW56+BV56),"")</f>
        <v/>
      </c>
      <c r="CA324" s="219" t="str">
        <f>IFERROR((SUM(CA199,CA200,CA204,CA225)-CA131)/(CA56+BY56+BX56+BW56),"")</f>
        <v/>
      </c>
      <c r="CB324" s="219" t="str">
        <f>IFERROR((SUM(CB199,CB200,CB204,CB225)-CB131)/(CB56+CA56+BY56+BX56),"")</f>
        <v/>
      </c>
      <c r="CC324" s="219" t="str">
        <f>IFERROR((SUM(CC199,CC200,CC204,CC225)-CC131)/(CC56+CB56+CA56+BY56),"")</f>
        <v/>
      </c>
      <c r="CD324" s="219" t="str">
        <f>IFERROR((SUM(CD199,CD200,CD204,CD225)-CD131)/(CD56+CC56+CB56+CA56),"")</f>
        <v/>
      </c>
      <c r="CF324" s="219" t="str">
        <f>IFERROR((SUM(CF199,CF200,CF204,CF225)-CF131)/(CF56+CD56+CC56+CB56),"")</f>
        <v/>
      </c>
      <c r="CG324" s="219" t="str">
        <f>IFERROR((SUM(CG199,CG200,CG204,CG225)-CG131)/(CG56+CF56+CD56+CC56),"")</f>
        <v/>
      </c>
      <c r="CH324" s="219" t="str">
        <f>IFERROR((SUM(CH199,CH200,CH204,CH225)-CH131)/(CH56+CG56+CF56+CD56),"")</f>
        <v/>
      </c>
      <c r="CI324" s="219" t="str">
        <f>IFERROR((SUM(CI199,CI200,CI204,CI225)-CI131)/(CI56+CH56+CG56+CF56),"")</f>
        <v/>
      </c>
      <c r="CK324" s="219" t="str">
        <f>IFERROR((SUM(CK199,CK200,CK204,CK225)-CK131)/(CK56+CI56+CH56+CG56),"")</f>
        <v/>
      </c>
      <c r="CL324" s="219" t="str">
        <f>IFERROR((SUM(CL199,CL200,CL204,CL225)-CL131)/(CL56+CK56+CI56+CH56),"")</f>
        <v/>
      </c>
      <c r="CM324" s="219" t="str">
        <f>IFERROR((SUM(CM199,CM200,CM204,CM225)-CM131)/(CM56+CL56+CK56+CI56),"")</f>
        <v/>
      </c>
      <c r="CN324" s="219" t="str">
        <f>IFERROR((SUM(CN199,CN200,CN204,CN225)-CN131)/(CN56+CM56+CL56+CK56),"")</f>
        <v/>
      </c>
      <c r="CP324" s="219" t="str">
        <f>IFERROR((SUM(CP199,CP200,CP204,CP225)-CP131)/(CP56+CN56+CM56+CL56),"")</f>
        <v/>
      </c>
      <c r="CQ324" s="219" t="str">
        <f>IFERROR((SUM(CQ199,CQ200,CQ204,CQ225)-CQ131)/(CQ56+CP56+CN56+CM56),"")</f>
        <v/>
      </c>
      <c r="CR324" s="219" t="str">
        <f>IFERROR((SUM(CR199,CR200,CR204,CR225)-CR131)/(CR56+CQ56+CP56+CN56),"")</f>
        <v/>
      </c>
      <c r="CS324" s="219" t="str">
        <f>IFERROR((SUM(CS199,CS200,CS204,CS225)-CS131)/(CS56+CR56+CQ56+CP56),"")</f>
        <v/>
      </c>
      <c r="CU324" s="219" t="str">
        <f>IFERROR((SUM(CU199,CU200,CU204,CU225)-CU131)/(CU56+CS56+CR56+CQ56),"")</f>
        <v/>
      </c>
      <c r="CV324" s="219" t="str">
        <f>IFERROR((SUM(CV199,CV200,CV204,CV225)-CV131)/(CV56+CU56+CS56+CR56),"")</f>
        <v/>
      </c>
      <c r="CW324" s="219" t="str">
        <f>IFERROR((SUM(CW199,CW200,CW204,CW225)-CW131)/(CW56+CV56+CU56+CS56),"")</f>
        <v/>
      </c>
      <c r="CX324" s="219" t="str">
        <f>IFERROR((SUM(CX199,CX200,CX204,CX225)-CX131)/(CX56+CW56+CV56+CU56),"")</f>
        <v/>
      </c>
    </row>
    <row r="325" customFormat="1" s="233">
      <c r="A325" s="224" t="n"/>
      <c r="B325" s="224" t="n"/>
      <c r="C325" s="233" t="inlineStr">
        <is>
          <t>INTEREST COVERAGE</t>
        </is>
      </c>
      <c r="D325" s="219">
        <f>D60/-D61</f>
        <v>2.82163742690058</v>
      </c>
      <c r="E325" s="219">
        <f>E60/-E61</f>
        <v>4.79310344827586</v>
      </c>
      <c r="F325" s="219">
        <f>F60/-F61</f>
        <v>4.69064748201439</v>
      </c>
      <c r="G325" s="219">
        <f>G60/-G61</f>
        <v>6.04428044280443</v>
      </c>
      <c r="I325" s="219">
        <f>I60/-I61</f>
        <v>9.10074626865672</v>
      </c>
      <c r="J325" s="219">
        <f>J60/-J61</f>
        <v>9.19262295081967</v>
      </c>
      <c r="K325" s="219">
        <f>K60/-K61</f>
        <v>8.05714285714286</v>
      </c>
      <c r="L325" s="219">
        <f>L60/-L61</f>
        <v>5.39301310043668</v>
      </c>
      <c r="N325" s="219">
        <f>N60/-N61</f>
        <v>14.2780748663102</v>
      </c>
      <c r="O325" s="219">
        <f>O60/-O61</f>
        <v>8.93918918918919</v>
      </c>
      <c r="P325" s="219">
        <f>P60/-P61</f>
        <v>8.46991404011461</v>
      </c>
      <c r="Q325" s="219">
        <f>Q60/-Q61</f>
        <v>5.25678496868476</v>
      </c>
      <c r="S325" s="219">
        <f>S60/-S61</f>
        <v>6.8506151142355</v>
      </c>
      <c r="T325" s="219">
        <f>T60/-T61</f>
        <v>5.64365971107544</v>
      </c>
      <c r="U325" s="219">
        <f>U60/-U61</f>
        <v>3.8695652173913</v>
      </c>
      <c r="V325" s="219">
        <f>V60/-V61</f>
        <v>0</v>
      </c>
      <c r="X325" s="219">
        <f>X60/-X61</f>
        <v>0</v>
      </c>
      <c r="Y325" s="219">
        <f>Y60/-Y61</f>
        <v>0</v>
      </c>
      <c r="Z325" s="219">
        <f>Z60/-Z61</f>
        <v>0</v>
      </c>
      <c r="AA325" s="219">
        <f>AA60/-AA61</f>
        <v>0</v>
      </c>
      <c r="AC325" s="219">
        <f>AC60/-AC61</f>
        <v>0</v>
      </c>
      <c r="AD325" s="219">
        <f>AD60/-AD61</f>
        <v>0</v>
      </c>
      <c r="AE325" s="219">
        <f>AE60/-AE61</f>
        <v>0</v>
      </c>
      <c r="AF325" s="219">
        <f>AF60/-AF61</f>
        <v>0</v>
      </c>
      <c r="AH325" s="219">
        <f>AH60/-AH61</f>
        <v>0</v>
      </c>
      <c r="AI325" s="219">
        <f>AI60/-AI61</f>
        <v>0</v>
      </c>
      <c r="AJ325" s="219" t="e">
        <f>AJ60/-AJ61</f>
        <v>#DIV/0!</v>
      </c>
      <c r="AK325" s="219" t="e">
        <f>AK60/-AK61</f>
        <v>#DIV/0!</v>
      </c>
      <c r="AM325" s="219" t="e">
        <f>AM60/-AM61</f>
        <v>#DIV/0!</v>
      </c>
      <c r="AN325" s="219" t="e">
        <f>AN60/-AN61</f>
        <v>#DIV/0!</v>
      </c>
      <c r="AO325" s="219" t="e">
        <f>AO60/-AO61</f>
        <v>#DIV/0!</v>
      </c>
      <c r="AP325" s="219" t="e">
        <f>AP60/-AP61</f>
        <v>#DIV/0!</v>
      </c>
      <c r="AR325" s="219" t="e">
        <f>AR60/-AR61</f>
        <v>#DIV/0!</v>
      </c>
      <c r="AS325" s="219" t="e">
        <f>AS60/-AS61</f>
        <v>#DIV/0!</v>
      </c>
      <c r="AT325" s="219" t="e">
        <f>AT60/-AT61</f>
        <v>#DIV/0!</v>
      </c>
      <c r="AU325" s="219" t="e">
        <f>AU60/-AU61</f>
        <v>#DIV/0!</v>
      </c>
      <c r="AW325" s="219" t="e">
        <f>AW60/-AW61</f>
        <v>#DIV/0!</v>
      </c>
      <c r="AX325" s="219" t="e">
        <f>AX60/-AX61</f>
        <v>#DIV/0!</v>
      </c>
      <c r="AY325" s="219" t="e">
        <f>AY60/-AY61</f>
        <v>#DIV/0!</v>
      </c>
      <c r="AZ325" s="219" t="e">
        <f>AZ60/-AZ61</f>
        <v>#DIV/0!</v>
      </c>
      <c r="BB325" s="219" t="e">
        <f>BB60/-BB61</f>
        <v>#DIV/0!</v>
      </c>
      <c r="BC325" s="219" t="e">
        <f>BC60/-BC61</f>
        <v>#DIV/0!</v>
      </c>
      <c r="BD325" s="219" t="e">
        <f>BD60/-BD61</f>
        <v>#DIV/0!</v>
      </c>
      <c r="BE325" s="219" t="e">
        <f>BE60/-BE61</f>
        <v>#DIV/0!</v>
      </c>
      <c r="BG325" s="219" t="e">
        <f>BG60/-BG61</f>
        <v>#DIV/0!</v>
      </c>
      <c r="BH325" s="219" t="e">
        <f>BH60/-BH61</f>
        <v>#DIV/0!</v>
      </c>
      <c r="BI325" s="219" t="e">
        <f>BI60/-BI61</f>
        <v>#DIV/0!</v>
      </c>
      <c r="BJ325" s="219" t="e">
        <f>BJ60/-BJ61</f>
        <v>#DIV/0!</v>
      </c>
      <c r="BL325" s="219" t="e">
        <f>BL60/-BL61</f>
        <v>#DIV/0!</v>
      </c>
      <c r="BM325" s="219" t="e">
        <f>BM60/-BM61</f>
        <v>#DIV/0!</v>
      </c>
      <c r="BN325" s="219" t="e">
        <f>BN60/-BN61</f>
        <v>#DIV/0!</v>
      </c>
      <c r="BO325" s="219" t="e">
        <f>BO60/-BO61</f>
        <v>#DIV/0!</v>
      </c>
      <c r="BQ325" s="219" t="e">
        <f>BQ60/-BQ61</f>
        <v>#DIV/0!</v>
      </c>
      <c r="BR325" s="219" t="e">
        <f>BR60/-BR61</f>
        <v>#DIV/0!</v>
      </c>
      <c r="BS325" s="219" t="e">
        <f>BS60/-BS61</f>
        <v>#DIV/0!</v>
      </c>
      <c r="BT325" s="219" t="e">
        <f>BT60/-BT61</f>
        <v>#DIV/0!</v>
      </c>
      <c r="BV325" s="219" t="e">
        <f>BV60/-BV61</f>
        <v>#DIV/0!</v>
      </c>
      <c r="BW325" s="219" t="e">
        <f>BW60/-BW61</f>
        <v>#DIV/0!</v>
      </c>
      <c r="BX325" s="219" t="e">
        <f>BX60/-BX61</f>
        <v>#DIV/0!</v>
      </c>
      <c r="BY325" s="219" t="e">
        <f>BY60/-BY61</f>
        <v>#DIV/0!</v>
      </c>
      <c r="CA325" s="219" t="e">
        <f>CA60/-CA61</f>
        <v>#DIV/0!</v>
      </c>
      <c r="CB325" s="219" t="e">
        <f>CB60/-CB61</f>
        <v>#DIV/0!</v>
      </c>
      <c r="CC325" s="219" t="e">
        <f>CC60/-CC61</f>
        <v>#DIV/0!</v>
      </c>
      <c r="CD325" s="219" t="e">
        <f>CD60/-CD61</f>
        <v>#DIV/0!</v>
      </c>
      <c r="CF325" s="219" t="e">
        <f>CF60/-CF61</f>
        <v>#DIV/0!</v>
      </c>
      <c r="CG325" s="219" t="e">
        <f>CG60/-CG61</f>
        <v>#DIV/0!</v>
      </c>
      <c r="CH325" s="219" t="e">
        <f>CH60/-CH61</f>
        <v>#DIV/0!</v>
      </c>
      <c r="CI325" s="219" t="e">
        <f>CI60/-CI61</f>
        <v>#DIV/0!</v>
      </c>
      <c r="CK325" s="219" t="e">
        <f>CK60/-CK61</f>
        <v>#DIV/0!</v>
      </c>
      <c r="CL325" s="219" t="e">
        <f>CL60/-CL61</f>
        <v>#DIV/0!</v>
      </c>
      <c r="CM325" s="219" t="e">
        <f>CM60/-CM61</f>
        <v>#DIV/0!</v>
      </c>
      <c r="CN325" s="219" t="e">
        <f>CN60/-CN61</f>
        <v>#DIV/0!</v>
      </c>
      <c r="CP325" s="219" t="e">
        <f>CP60/-CP61</f>
        <v>#DIV/0!</v>
      </c>
      <c r="CQ325" s="219" t="e">
        <f>CQ60/-CQ61</f>
        <v>#DIV/0!</v>
      </c>
      <c r="CR325" s="219" t="e">
        <f>CR60/-CR61</f>
        <v>#DIV/0!</v>
      </c>
      <c r="CS325" s="219" t="e">
        <f>CS60/-CS61</f>
        <v>#DIV/0!</v>
      </c>
      <c r="CU325" s="219" t="e">
        <f>CU60/-CU61</f>
        <v>#DIV/0!</v>
      </c>
      <c r="CV325" s="219" t="e">
        <f>CV60/-CV61</f>
        <v>#DIV/0!</v>
      </c>
      <c r="CW325" s="219" t="e">
        <f>CW60/-CW61</f>
        <v>#DIV/0!</v>
      </c>
      <c r="CX325" s="219" t="e">
        <f>CX60/-CX61</f>
        <v>#DIV/0!</v>
      </c>
    </row>
    <row r="326" customFormat="1" s="233">
      <c r="A326" s="224" t="n"/>
      <c r="B326" s="224" t="n"/>
    </row>
    <row r="327" customFormat="1" s="233">
      <c r="A327" s="224" t="n"/>
      <c r="B327" s="224" t="n"/>
      <c r="C327" s="234" t="inlineStr">
        <is>
          <t>INTERNAL LIQUIDITY</t>
        </is>
      </c>
    </row>
    <row r="328" customFormat="1" s="233">
      <c r="A328" s="224" t="n"/>
      <c r="B328" s="224" t="n"/>
      <c r="C328" s="233" t="inlineStr">
        <is>
          <t>CURRENT RATIO</t>
        </is>
      </c>
      <c r="D328" s="219">
        <f>SUM(D131,D132,D136,D140,D141,D142)/SUM(D185,D189,D191,D192)</f>
        <v>2.19858456721675</v>
      </c>
      <c r="E328" s="219">
        <f>SUM(E131,E132,E136,E140,E141,E142)/SUM(E185,E189,E191,E192)</f>
        <v>2.25156579696554</v>
      </c>
      <c r="F328" s="219">
        <f>SUM(F131,F132,F136,F140,F141,F142)/SUM(F185,F189,F191,F192)</f>
        <v>2.24496435246072</v>
      </c>
      <c r="G328" s="219">
        <f>SUM(G131,G132,G136,G140,G141,G142)/SUM(G185,G189,G191,G192)</f>
        <v>2.32121751512994</v>
      </c>
      <c r="I328" s="219">
        <f>SUM(I131,I132,I136,I140,I141,I142)/SUM(I185,I189,I191,I192)</f>
        <v>2.48230235968538</v>
      </c>
      <c r="J328" s="219">
        <f>SUM(J131,J132,J136,J140,J141,J142)/SUM(J185,J189,J191,J192)</f>
        <v>3.50583747012318</v>
      </c>
      <c r="K328" s="219">
        <f>SUM(K131,K132,K136,K140,K141,K142)/SUM(K185,K189,K191,K192)</f>
        <v>3.73517396816453</v>
      </c>
      <c r="L328" s="219">
        <f>SUM(L131,L132,L136,L140,L141,L142)/SUM(L185,L189,L191,L192)</f>
        <v>4.31712776948686</v>
      </c>
      <c r="N328" s="219">
        <f>SUM(N131,N132,N136,N140,N141,N142)/SUM(N185,N189,N191,N192)</f>
        <v>4.01725278640134</v>
      </c>
      <c r="O328" s="219">
        <f>SUM(O131,O132,O136,O140,O141,O142)/SUM(O185,O189,O191,O192)</f>
        <v>0.785378382972294</v>
      </c>
      <c r="P328" s="219">
        <f>SUM(P131,P132,P136,P140,P141,P142)/SUM(P185,P189,P191,P192)</f>
        <v>0.752041140918248</v>
      </c>
      <c r="Q328" s="219">
        <f>SUM(Q131,Q132,Q136,Q140,Q141,Q142)/SUM(Q185,Q189,Q191,Q192)</f>
        <v>0.801336070296745</v>
      </c>
      <c r="S328" s="219">
        <f>SUM(S131,S132,S136,S140,S141,S142)/SUM(S185,S189,S191,S192)</f>
        <v>0.833802768522653</v>
      </c>
      <c r="T328" s="219">
        <f>SUM(T131,T132,T136,T140,T141,T142)/SUM(T185,T189,T191,T192)</f>
        <v>0.79719151383475</v>
      </c>
      <c r="U328" s="219">
        <f>SUM(U131,U132,U136,U140,U141,U142)/SUM(U185,U189,U191,U192)</f>
        <v>0.75375733425371</v>
      </c>
      <c r="V328" s="219">
        <f>SUM(V131,V132,V136,V140,V141,V142)/SUM(V185,V189,V191,V192)</f>
        <v>0.750670459162942</v>
      </c>
      <c r="X328" s="219">
        <f>SUM(X131,X132,X136,X140,X141,X142)/SUM(X185,X189,X191,X192)</f>
        <v>0.743797562333725</v>
      </c>
      <c r="Y328" s="219">
        <f>SUM(Y131,Y132,Y136,Y140,Y141,Y142)/SUM(Y185,Y189,Y191,Y192)</f>
        <v>0.735391848165184</v>
      </c>
      <c r="Z328" s="219">
        <f>SUM(Z131,Z132,Z136,Z140,Z141,Z142)/SUM(Z185,Z189,Z191,Z192)</f>
        <v>0.700869515799045</v>
      </c>
      <c r="AA328" s="219">
        <f>SUM(AA131,AA132,AA136,AA140,AA141,AA142)/SUM(AA185,AA189,AA191,AA192)</f>
        <v>0.723029600570613</v>
      </c>
      <c r="AC328" s="219">
        <f>SUM(AC131,AC132,AC136,AC140,AC141,AC142)/SUM(AC185,AC189,AC191,AC192)</f>
        <v>0.770467769276584</v>
      </c>
      <c r="AD328" s="219">
        <f>SUM(AD131,AD132,AD136,AD140,AD141,AD142)/SUM(AD185,AD189,AD191,AD192)</f>
        <v>0.75313162459048</v>
      </c>
      <c r="AE328" s="219">
        <f>SUM(AE131,AE132,AE136,AE140,AE141,AE142)/SUM(AE185,AE189,AE191,AE192)</f>
        <v>0.752900743624447</v>
      </c>
      <c r="AF328" s="219">
        <f>SUM(AF131,AF132,AF136,AF140,AF141,AF142)/SUM(AF185,AF189,AF191,AF192)</f>
        <v>0.798098083626492</v>
      </c>
      <c r="AH328" s="219">
        <f>SUM(AH131,AH132,AH136,AH140,AH141,AH142)/SUM(AH185,AH189,AH191,AH192)</f>
        <v>0.826893694772158</v>
      </c>
      <c r="AI328" s="219">
        <f>SUM(AI131,AI132,AI136,AI140,AI141,AI142)/SUM(AI185,AI189,AI191,AI192)</f>
        <v>0.854690522243714</v>
      </c>
      <c r="AJ328" s="219">
        <f>SUM(AJ131,AJ132,AJ136,AJ140,AJ141,AJ142)/SUM(AJ185,AJ189,AJ191,AJ192)</f>
        <v>0.918278529980658</v>
      </c>
      <c r="AK328" s="219">
        <f>SUM(AK131,AK132,AK136,AK140,AK141,AK142)/SUM(AK185,AK189,AK191,AK192)</f>
        <v>0.960058027079304</v>
      </c>
      <c r="AM328" s="219" t="e">
        <f>SUM(AM131,AM132,AM136,AM140,AM141,AM142)/SUM(AM185,AM189,AM191,AM192)</f>
        <v>#DIV/0!</v>
      </c>
      <c r="AN328" s="219" t="e">
        <f>SUM(AN131,AN132,AN136,AN140,AN141,AN142)/SUM(AN185,AN189,AN191,AN192)</f>
        <v>#DIV/0!</v>
      </c>
      <c r="AO328" s="219" t="e">
        <f>SUM(AO131,AO132,AO136,AO140,AO141,AO142)/SUM(AO185,AO189,AO191,AO192)</f>
        <v>#DIV/0!</v>
      </c>
      <c r="AP328" s="219" t="e">
        <f>SUM(AP131,AP132,AP136,AP140,AP141,AP142)/SUM(AP185,AP189,AP191,AP192)</f>
        <v>#DIV/0!</v>
      </c>
      <c r="AR328" s="219" t="e">
        <f>SUM(AR131,AR132,AR136,AR140,AR141,AR142)/SUM(AR185,AR189,AR191,AR192)</f>
        <v>#DIV/0!</v>
      </c>
      <c r="AS328" s="219" t="e">
        <f>SUM(AS131,AS132,AS136,AS140,AS141,AS142)/SUM(AS185,AS189,AS191,AS192)</f>
        <v>#DIV/0!</v>
      </c>
      <c r="AT328" s="219" t="e">
        <f>SUM(AT131,AT132,AT136,AT140,AT141,AT142)/SUM(AT185,AT189,AT191,AT192)</f>
        <v>#DIV/0!</v>
      </c>
      <c r="AU328" s="219" t="e">
        <f>SUM(AU131,AU132,AU136,AU140,AU141,AU142)/SUM(AU185,AU189,AU191,AU192)</f>
        <v>#DIV/0!</v>
      </c>
      <c r="AW328" s="219" t="e">
        <f>SUM(AW131,AW132,AW136,AW140,AW141,AW142)/SUM(AW185,AW189,AW191,AW192)</f>
        <v>#DIV/0!</v>
      </c>
      <c r="AX328" s="219" t="e">
        <f>SUM(AX131,AX132,AX136,AX140,AX141,AX142)/SUM(AX185,AX189,AX191,AX192)</f>
        <v>#DIV/0!</v>
      </c>
      <c r="AY328" s="219" t="e">
        <f>SUM(AY131,AY132,AY136,AY140,AY141,AY142)/SUM(AY185,AY189,AY191,AY192)</f>
        <v>#DIV/0!</v>
      </c>
      <c r="AZ328" s="219" t="e">
        <f>SUM(AZ131,AZ132,AZ136,AZ140,AZ141,AZ142)/SUM(AZ185,AZ189,AZ191,AZ192)</f>
        <v>#DIV/0!</v>
      </c>
      <c r="BB328" s="219" t="e">
        <f>SUM(BB131,BB132,BB136,BB140,BB141,BB142)/SUM(BB185,BB189,BB191,BB192)</f>
        <v>#DIV/0!</v>
      </c>
      <c r="BC328" s="219" t="e">
        <f>SUM(BC131,BC132,BC136,BC140,BC141,BC142)/SUM(BC185,BC189,BC191,BC192)</f>
        <v>#DIV/0!</v>
      </c>
      <c r="BD328" s="219" t="e">
        <f>SUM(BD131,BD132,BD136,BD140,BD141,BD142)/SUM(BD185,BD189,BD191,BD192)</f>
        <v>#DIV/0!</v>
      </c>
      <c r="BE328" s="219" t="e">
        <f>SUM(BE131,BE132,BE136,BE140,BE141,BE142)/SUM(BE185,BE189,BE191,BE192)</f>
        <v>#DIV/0!</v>
      </c>
      <c r="BG328" s="219" t="e">
        <f>SUM(BG131,BG132,BG136,BG140,BG141,BG142)/SUM(BG185,BG189,BG191,BG192)</f>
        <v>#DIV/0!</v>
      </c>
      <c r="BH328" s="219" t="e">
        <f>SUM(BH131,BH132,BH136,BH140,BH141,BH142)/SUM(BH185,BH189,BH191,BH192)</f>
        <v>#DIV/0!</v>
      </c>
      <c r="BI328" s="219" t="e">
        <f>SUM(BI131,BI132,BI136,BI140,BI141,BI142)/SUM(BI185,BI189,BI191,BI192)</f>
        <v>#DIV/0!</v>
      </c>
      <c r="BJ328" s="219" t="e">
        <f>SUM(BJ131,BJ132,BJ136,BJ140,BJ141,BJ142)/SUM(BJ185,BJ189,BJ191,BJ192)</f>
        <v>#DIV/0!</v>
      </c>
      <c r="BL328" s="219" t="e">
        <f>SUM(BL131,BL132,BL136,BL140,BL141,BL142)/SUM(BL185,BL189,BL191,BL192)</f>
        <v>#DIV/0!</v>
      </c>
      <c r="BM328" s="219" t="e">
        <f>SUM(BM131,BM132,BM136,BM140,BM141,BM142)/SUM(BM185,BM189,BM191,BM192)</f>
        <v>#DIV/0!</v>
      </c>
      <c r="BN328" s="219" t="e">
        <f>SUM(BN131,BN132,BN136,BN140,BN141,BN142)/SUM(BN185,BN189,BN191,BN192)</f>
        <v>#DIV/0!</v>
      </c>
      <c r="BO328" s="219" t="e">
        <f>SUM(BO131,BO132,BO136,BO140,BO141,BO142)/SUM(BO185,BO189,BO191,BO192)</f>
        <v>#DIV/0!</v>
      </c>
      <c r="BQ328" s="219" t="e">
        <f>SUM(BQ131,BQ132,BQ136,BQ140,BQ141,BQ142)/SUM(BQ185,BQ189,BQ191,BQ192)</f>
        <v>#DIV/0!</v>
      </c>
      <c r="BR328" s="219" t="e">
        <f>SUM(BR131,BR132,BR136,BR140,BR141,BR142)/SUM(BR185,BR189,BR191,BR192)</f>
        <v>#DIV/0!</v>
      </c>
      <c r="BS328" s="219" t="e">
        <f>SUM(BS131,BS132,BS136,BS140,BS141,BS142)/SUM(BS185,BS189,BS191,BS192)</f>
        <v>#DIV/0!</v>
      </c>
      <c r="BT328" s="219" t="e">
        <f>SUM(BT131,BT132,BT136,BT140,BT141,BT142)/SUM(BT185,BT189,BT191,BT192)</f>
        <v>#DIV/0!</v>
      </c>
      <c r="BV328" s="219" t="e">
        <f>SUM(BV131,BV132,BV136,BV140,BV141,BV142)/SUM(BV185,BV189,BV191,BV192)</f>
        <v>#DIV/0!</v>
      </c>
      <c r="BW328" s="219" t="e">
        <f>SUM(BW131,BW132,BW136,BW140,BW141,BW142)/SUM(BW185,BW189,BW191,BW192)</f>
        <v>#DIV/0!</v>
      </c>
      <c r="BX328" s="219" t="e">
        <f>SUM(BX131,BX132,BX136,BX140,BX141,BX142)/SUM(BX185,BX189,BX191,BX192)</f>
        <v>#DIV/0!</v>
      </c>
      <c r="BY328" s="219" t="e">
        <f>SUM(BY131,BY132,BY136,BY140,BY141,BY142)/SUM(BY185,BY189,BY191,BY192)</f>
        <v>#DIV/0!</v>
      </c>
      <c r="CA328" s="219" t="e">
        <f>SUM(CA131,CA132,CA136,CA140,CA141,CA142)/SUM(CA185,CA189,CA191,CA192)</f>
        <v>#DIV/0!</v>
      </c>
      <c r="CB328" s="219" t="e">
        <f>SUM(CB131,CB132,CB136,CB140,CB141,CB142)/SUM(CB185,CB189,CB191,CB192)</f>
        <v>#DIV/0!</v>
      </c>
      <c r="CC328" s="219" t="e">
        <f>SUM(CC131,CC132,CC136,CC140,CC141,CC142)/SUM(CC185,CC189,CC191,CC192)</f>
        <v>#DIV/0!</v>
      </c>
      <c r="CD328" s="219" t="e">
        <f>SUM(CD131,CD132,CD136,CD140,CD141,CD142)/SUM(CD185,CD189,CD191,CD192)</f>
        <v>#DIV/0!</v>
      </c>
      <c r="CF328" s="219" t="e">
        <f>SUM(CF131,CF132,CF136,CF140,CF141,CF142)/SUM(CF185,CF189,CF191,CF192)</f>
        <v>#DIV/0!</v>
      </c>
      <c r="CG328" s="219" t="e">
        <f>SUM(CG131,CG132,CG136,CG140,CG141,CG142)/SUM(CG185,CG189,CG191,CG192)</f>
        <v>#DIV/0!</v>
      </c>
      <c r="CH328" s="219" t="e">
        <f>SUM(CH131,CH132,CH136,CH140,CH141,CH142)/SUM(CH185,CH189,CH191,CH192)</f>
        <v>#DIV/0!</v>
      </c>
      <c r="CI328" s="219" t="e">
        <f>SUM(CI131,CI132,CI136,CI140,CI141,CI142)/SUM(CI185,CI189,CI191,CI192)</f>
        <v>#DIV/0!</v>
      </c>
      <c r="CK328" s="219" t="e">
        <f>SUM(CK131,CK132,CK136,CK140,CK141,CK142)/SUM(CK185,CK189,CK191,CK192)</f>
        <v>#DIV/0!</v>
      </c>
      <c r="CL328" s="219" t="e">
        <f>SUM(CL131,CL132,CL136,CL140,CL141,CL142)/SUM(CL185,CL189,CL191,CL192)</f>
        <v>#DIV/0!</v>
      </c>
      <c r="CM328" s="219" t="e">
        <f>SUM(CM131,CM132,CM136,CM140,CM141,CM142)/SUM(CM185,CM189,CM191,CM192)</f>
        <v>#DIV/0!</v>
      </c>
      <c r="CN328" s="219" t="e">
        <f>SUM(CN131,CN132,CN136,CN140,CN141,CN142)/SUM(CN185,CN189,CN191,CN192)</f>
        <v>#DIV/0!</v>
      </c>
      <c r="CP328" s="219" t="e">
        <f>SUM(CP131,CP132,CP136,CP140,CP141,CP142)/SUM(CP185,CP189,CP191,CP192)</f>
        <v>#DIV/0!</v>
      </c>
      <c r="CQ328" s="219" t="e">
        <f>SUM(CQ131,CQ132,CQ136,CQ140,CQ141,CQ142)/SUM(CQ185,CQ189,CQ191,CQ192)</f>
        <v>#DIV/0!</v>
      </c>
      <c r="CR328" s="219" t="e">
        <f>SUM(CR131,CR132,CR136,CR140,CR141,CR142)/SUM(CR185,CR189,CR191,CR192)</f>
        <v>#DIV/0!</v>
      </c>
      <c r="CS328" s="219" t="e">
        <f>SUM(CS131,CS132,CS136,CS140,CS141,CS142)/SUM(CS185,CS189,CS191,CS192)</f>
        <v>#DIV/0!</v>
      </c>
      <c r="CU328" s="219" t="e">
        <f>SUM(CU131,CU132,CU136,CU140,CU141,CU142)/SUM(CU185,CU189,CU191,CU192)</f>
        <v>#DIV/0!</v>
      </c>
      <c r="CV328" s="219" t="e">
        <f>SUM(CV131,CV132,CV136,CV140,CV141,CV142)/SUM(CV185,CV189,CV191,CV192)</f>
        <v>#DIV/0!</v>
      </c>
      <c r="CW328" s="219" t="e">
        <f>SUM(CW131,CW132,CW136,CW140,CW141,CW142)/SUM(CW185,CW189,CW191,CW192)</f>
        <v>#DIV/0!</v>
      </c>
      <c r="CX328" s="219" t="e">
        <f>SUM(CX131,CX132,CX136,CX140,CX141,CX142)/SUM(CX185,CX189,CX191,CX192)</f>
        <v>#DIV/0!</v>
      </c>
    </row>
    <row r="329" customFormat="1" s="233">
      <c r="A329" s="224" t="n"/>
      <c r="B329" s="224" t="n"/>
      <c r="C329" s="233" t="inlineStr">
        <is>
          <t>CASH RATIO</t>
        </is>
      </c>
      <c r="D329" s="219">
        <f>SUM(D131)/SUM(D185,D189,D191,D192)</f>
        <v>0.290261561541974</v>
      </c>
      <c r="E329" s="219">
        <f>SUM(E131)/SUM(E185,E189,E191,E192)</f>
        <v>0.274307532571926</v>
      </c>
      <c r="F329" s="219">
        <f>SUM(F131)/SUM(F185,F189,F191,F192)</f>
        <v>0.244549041323458</v>
      </c>
      <c r="G329" s="219">
        <f>SUM(G131)/SUM(G185,G189,G191,G192)</f>
        <v>0.247846208615166</v>
      </c>
      <c r="I329" s="219">
        <f>SUM(I131)/SUM(I185,I189,I191,I192)</f>
        <v>0.239368084255433</v>
      </c>
      <c r="J329" s="219">
        <f>SUM(J131)/SUM(J185,J189,J191,J192)</f>
        <v>0.345605809891524</v>
      </c>
      <c r="K329" s="219">
        <f>SUM(K131)/SUM(K185,K189,K191,K192)</f>
        <v>0.376437995961873</v>
      </c>
      <c r="L329" s="219">
        <f>SUM(L131)/SUM(L185,L189,L191,L192)</f>
        <v>0.256686947537596</v>
      </c>
      <c r="N329" s="219">
        <f>SUM(N131)/SUM(N185,N189,N191,N192)</f>
        <v>0.197363733523335</v>
      </c>
      <c r="O329" s="219">
        <f>SUM(O131)/SUM(O185,O189,O191,O192)</f>
        <v>0.0823245009348619</v>
      </c>
      <c r="P329" s="219">
        <f>SUM(P131)/SUM(P185,P189,P191,P192)</f>
        <v>0.0843671579542643</v>
      </c>
      <c r="Q329" s="219">
        <f>SUM(Q131)/SUM(Q185,Q189,Q191,Q192)</f>
        <v>0.071593200806684</v>
      </c>
      <c r="S329" s="219">
        <f>SUM(S131)/SUM(S185,S189,S191,S192)</f>
        <v>0.0904578710541682</v>
      </c>
      <c r="T329" s="219">
        <f>SUM(T131)/SUM(T185,T189,T191,T192)</f>
        <v>0.105054636078983</v>
      </c>
      <c r="U329" s="219">
        <f>SUM(U131)/SUM(U185,U189,U191,U192)</f>
        <v>0.117002918013241</v>
      </c>
      <c r="V329" s="219">
        <f>SUM(V131)/SUM(V185,V189,V191,V192)</f>
        <v>0.0834945144250305</v>
      </c>
      <c r="X329" s="219">
        <f>SUM(X131)/SUM(X185,X189,X191,X192)</f>
        <v>0.0858906143661449</v>
      </c>
      <c r="Y329" s="219">
        <f>SUM(Y131)/SUM(Y185,Y189,Y191,Y192)</f>
        <v>0.101629496350683</v>
      </c>
      <c r="Z329" s="219">
        <f>SUM(Z131)/SUM(Z185,Z189,Z191,Z192)</f>
        <v>0.104057740395544</v>
      </c>
      <c r="AA329" s="219">
        <f>SUM(AA131)/SUM(AA185,AA189,AA191,AA192)</f>
        <v>0.0980890394674275</v>
      </c>
      <c r="AC329" s="219">
        <f>SUM(AC131)/SUM(AC185,AC189,AC191,AC192)</f>
        <v>0.122035399581558</v>
      </c>
      <c r="AD329" s="219">
        <f>SUM(AD131)/SUM(AD185,AD189,AD191,AD192)</f>
        <v>0.127192137213336</v>
      </c>
      <c r="AE329" s="219">
        <f>SUM(AE131)/SUM(AE185,AE189,AE191,AE192)</f>
        <v>0.125853495339041</v>
      </c>
      <c r="AF329" s="219">
        <f>SUM(AF131)/SUM(AF185,AF189,AF191,AF192)</f>
        <v>0.109199556647872</v>
      </c>
      <c r="AH329" s="219">
        <f>SUM(AH131)/SUM(AH185,AH189,AH191,AH192)</f>
        <v>0.124513679965977</v>
      </c>
      <c r="AI329" s="219">
        <f>SUM(AI131)/SUM(AI185,AI189,AI191,AI192)</f>
        <v>0.143907156673114</v>
      </c>
      <c r="AJ329" s="219">
        <f>SUM(AJ131)/SUM(AJ185,AJ189,AJ191,AJ192)</f>
        <v>0.333397807865893</v>
      </c>
      <c r="AK329" s="219">
        <f>SUM(AK131)/SUM(AK185,AK189,AK191,AK192)</f>
        <v>0.375177304964539</v>
      </c>
      <c r="AM329" s="219" t="e">
        <f>SUM(AM131)/SUM(AM185,AM189,AM191,AM192)</f>
        <v>#DIV/0!</v>
      </c>
      <c r="AN329" s="219" t="e">
        <f>SUM(AN131)/SUM(AN185,AN189,AN191,AN192)</f>
        <v>#DIV/0!</v>
      </c>
      <c r="AO329" s="219" t="e">
        <f>SUM(AO131)/SUM(AO185,AO189,AO191,AO192)</f>
        <v>#DIV/0!</v>
      </c>
      <c r="AP329" s="219" t="e">
        <f>SUM(AP131)/SUM(AP185,AP189,AP191,AP192)</f>
        <v>#DIV/0!</v>
      </c>
      <c r="AR329" s="219" t="e">
        <f>SUM(AR131)/SUM(AR185,AR189,AR191,AR192)</f>
        <v>#DIV/0!</v>
      </c>
      <c r="AS329" s="219" t="e">
        <f>SUM(AS131)/SUM(AS185,AS189,AS191,AS192)</f>
        <v>#DIV/0!</v>
      </c>
      <c r="AT329" s="219" t="e">
        <f>SUM(AT131)/SUM(AT185,AT189,AT191,AT192)</f>
        <v>#DIV/0!</v>
      </c>
      <c r="AU329" s="219" t="e">
        <f>SUM(AU131)/SUM(AU185,AU189,AU191,AU192)</f>
        <v>#DIV/0!</v>
      </c>
      <c r="AW329" s="219" t="e">
        <f>SUM(AW131)/SUM(AW185,AW189,AW191,AW192)</f>
        <v>#DIV/0!</v>
      </c>
      <c r="AX329" s="219" t="e">
        <f>SUM(AX131)/SUM(AX185,AX189,AX191,AX192)</f>
        <v>#DIV/0!</v>
      </c>
      <c r="AY329" s="219" t="e">
        <f>SUM(AY131)/SUM(AY185,AY189,AY191,AY192)</f>
        <v>#DIV/0!</v>
      </c>
      <c r="AZ329" s="219" t="e">
        <f>SUM(AZ131)/SUM(AZ185,AZ189,AZ191,AZ192)</f>
        <v>#DIV/0!</v>
      </c>
      <c r="BB329" s="219" t="e">
        <f>SUM(BB131)/SUM(BB185,BB189,BB191,BB192)</f>
        <v>#DIV/0!</v>
      </c>
      <c r="BC329" s="219" t="e">
        <f>SUM(BC131)/SUM(BC185,BC189,BC191,BC192)</f>
        <v>#DIV/0!</v>
      </c>
      <c r="BD329" s="219" t="e">
        <f>SUM(BD131)/SUM(BD185,BD189,BD191,BD192)</f>
        <v>#DIV/0!</v>
      </c>
      <c r="BE329" s="219" t="e">
        <f>SUM(BE131)/SUM(BE185,BE189,BE191,BE192)</f>
        <v>#DIV/0!</v>
      </c>
      <c r="BG329" s="219" t="e">
        <f>SUM(BG131)/SUM(BG185,BG189,BG191,BG192)</f>
        <v>#DIV/0!</v>
      </c>
      <c r="BH329" s="219" t="e">
        <f>SUM(BH131)/SUM(BH185,BH189,BH191,BH192)</f>
        <v>#DIV/0!</v>
      </c>
      <c r="BI329" s="219" t="e">
        <f>SUM(BI131)/SUM(BI185,BI189,BI191,BI192)</f>
        <v>#DIV/0!</v>
      </c>
      <c r="BJ329" s="219" t="e">
        <f>SUM(BJ131)/SUM(BJ185,BJ189,BJ191,BJ192)</f>
        <v>#DIV/0!</v>
      </c>
      <c r="BL329" s="219" t="e">
        <f>SUM(BL131)/SUM(BL185,BL189,BL191,BL192)</f>
        <v>#DIV/0!</v>
      </c>
      <c r="BM329" s="219" t="e">
        <f>SUM(BM131)/SUM(BM185,BM189,BM191,BM192)</f>
        <v>#DIV/0!</v>
      </c>
      <c r="BN329" s="219" t="e">
        <f>SUM(BN131)/SUM(BN185,BN189,BN191,BN192)</f>
        <v>#DIV/0!</v>
      </c>
      <c r="BO329" s="219" t="e">
        <f>SUM(BO131)/SUM(BO185,BO189,BO191,BO192)</f>
        <v>#DIV/0!</v>
      </c>
      <c r="BQ329" s="219" t="e">
        <f>SUM(BQ131)/SUM(BQ185,BQ189,BQ191,BQ192)</f>
        <v>#DIV/0!</v>
      </c>
      <c r="BR329" s="219" t="e">
        <f>SUM(BR131)/SUM(BR185,BR189,BR191,BR192)</f>
        <v>#DIV/0!</v>
      </c>
      <c r="BS329" s="219" t="e">
        <f>SUM(BS131)/SUM(BS185,BS189,BS191,BS192)</f>
        <v>#DIV/0!</v>
      </c>
      <c r="BT329" s="219" t="e">
        <f>SUM(BT131)/SUM(BT185,BT189,BT191,BT192)</f>
        <v>#DIV/0!</v>
      </c>
      <c r="BV329" s="219" t="e">
        <f>SUM(BV131)/SUM(BV185,BV189,BV191,BV192)</f>
        <v>#DIV/0!</v>
      </c>
      <c r="BW329" s="219" t="e">
        <f>SUM(BW131)/SUM(BW185,BW189,BW191,BW192)</f>
        <v>#DIV/0!</v>
      </c>
      <c r="BX329" s="219" t="e">
        <f>SUM(BX131)/SUM(BX185,BX189,BX191,BX192)</f>
        <v>#DIV/0!</v>
      </c>
      <c r="BY329" s="219" t="e">
        <f>SUM(BY131)/SUM(BY185,BY189,BY191,BY192)</f>
        <v>#DIV/0!</v>
      </c>
      <c r="CA329" s="219" t="e">
        <f>SUM(CA131)/SUM(CA185,CA189,CA191,CA192)</f>
        <v>#DIV/0!</v>
      </c>
      <c r="CB329" s="219" t="e">
        <f>SUM(CB131)/SUM(CB185,CB189,CB191,CB192)</f>
        <v>#DIV/0!</v>
      </c>
      <c r="CC329" s="219" t="e">
        <f>SUM(CC131)/SUM(CC185,CC189,CC191,CC192)</f>
        <v>#DIV/0!</v>
      </c>
      <c r="CD329" s="219" t="e">
        <f>SUM(CD131)/SUM(CD185,CD189,CD191,CD192)</f>
        <v>#DIV/0!</v>
      </c>
      <c r="CF329" s="219" t="e">
        <f>SUM(CF131)/SUM(CF185,CF189,CF191,CF192)</f>
        <v>#DIV/0!</v>
      </c>
      <c r="CG329" s="219" t="e">
        <f>SUM(CG131)/SUM(CG185,CG189,CG191,CG192)</f>
        <v>#DIV/0!</v>
      </c>
      <c r="CH329" s="219" t="e">
        <f>SUM(CH131)/SUM(CH185,CH189,CH191,CH192)</f>
        <v>#DIV/0!</v>
      </c>
      <c r="CI329" s="219" t="e">
        <f>SUM(CI131)/SUM(CI185,CI189,CI191,CI192)</f>
        <v>#DIV/0!</v>
      </c>
      <c r="CK329" s="219" t="e">
        <f>SUM(CK131)/SUM(CK185,CK189,CK191,CK192)</f>
        <v>#DIV/0!</v>
      </c>
      <c r="CL329" s="219" t="e">
        <f>SUM(CL131)/SUM(CL185,CL189,CL191,CL192)</f>
        <v>#DIV/0!</v>
      </c>
      <c r="CM329" s="219" t="e">
        <f>SUM(CM131)/SUM(CM185,CM189,CM191,CM192)</f>
        <v>#DIV/0!</v>
      </c>
      <c r="CN329" s="219" t="e">
        <f>SUM(CN131)/SUM(CN185,CN189,CN191,CN192)</f>
        <v>#DIV/0!</v>
      </c>
      <c r="CP329" s="219" t="e">
        <f>SUM(CP131)/SUM(CP185,CP189,CP191,CP192)</f>
        <v>#DIV/0!</v>
      </c>
      <c r="CQ329" s="219" t="e">
        <f>SUM(CQ131)/SUM(CQ185,CQ189,CQ191,CQ192)</f>
        <v>#DIV/0!</v>
      </c>
      <c r="CR329" s="219" t="e">
        <f>SUM(CR131)/SUM(CR185,CR189,CR191,CR192)</f>
        <v>#DIV/0!</v>
      </c>
      <c r="CS329" s="219" t="e">
        <f>SUM(CS131)/SUM(CS185,CS189,CS191,CS192)</f>
        <v>#DIV/0!</v>
      </c>
      <c r="CU329" s="219" t="e">
        <f>SUM(CU131)/SUM(CU185,CU189,CU191,CU192)</f>
        <v>#DIV/0!</v>
      </c>
      <c r="CV329" s="219" t="e">
        <f>SUM(CV131)/SUM(CV185,CV189,CV191,CV192)</f>
        <v>#DIV/0!</v>
      </c>
      <c r="CW329" s="219" t="e">
        <f>SUM(CW131)/SUM(CW185,CW189,CW191,CW192)</f>
        <v>#DIV/0!</v>
      </c>
      <c r="CX329" s="219" t="e">
        <f>SUM(CX131)/SUM(CX185,CX189,CX191,CX192)</f>
        <v>#DIV/0!</v>
      </c>
    </row>
    <row r="330" customFormat="1" s="233">
      <c r="A330" s="224" t="n"/>
      <c r="B330" s="224" t="n"/>
    </row>
    <row r="331" customFormat="1" s="233">
      <c r="A331" s="224" t="n"/>
      <c r="B331" s="224" t="n"/>
      <c r="C331" s="234" t="inlineStr">
        <is>
          <t>OPERATING EFFICIENCY</t>
        </is>
      </c>
    </row>
    <row r="332" customFormat="1" s="238">
      <c r="A332" s="222" t="n"/>
      <c r="B332" s="222" t="n"/>
      <c r="C332" s="238" t="inlineStr">
        <is>
          <t>RETURN ON CAPITAL (ROIC)</t>
        </is>
      </c>
      <c r="D332" s="238">
        <f>D334/D337</f>
        <v>0.0188071094437687</v>
      </c>
      <c r="E332" s="238">
        <f>E334/E337</f>
        <v>0.0226896217874339</v>
      </c>
      <c r="F332" s="238">
        <f>F334/F337</f>
        <v>0.0234612654997076</v>
      </c>
      <c r="G332" s="238">
        <f>G334/G337</f>
        <v>0.0323495405444467</v>
      </c>
      <c r="H332" s="238">
        <f>H334/H337</f>
        <v>0.0947555690365925</v>
      </c>
      <c r="I332" s="222">
        <f>I334/I337</f>
        <v>0.0449808981934939</v>
      </c>
      <c r="J332" s="222">
        <f>J334/J337</f>
        <v>0.0336638864751879</v>
      </c>
      <c r="K332" s="222">
        <f>K334/K337</f>
        <v>0.0245590797398871</v>
      </c>
      <c r="L332" s="222">
        <f>L334/L337</f>
        <v>0.0167490470487864</v>
      </c>
      <c r="M332" s="222">
        <f>M334/M337</f>
        <v>0.102618539945554</v>
      </c>
      <c r="N332" s="222">
        <f>N334/N337</f>
        <v>0.0361170865957703</v>
      </c>
      <c r="O332" s="222">
        <f>O334/O337</f>
        <v>0.0665708345052533</v>
      </c>
      <c r="P332" s="222">
        <f>P334/P337</f>
        <v>0.0801247204941911</v>
      </c>
      <c r="Q332" s="222">
        <f>Q334/Q337</f>
        <v>0.0615303015379652</v>
      </c>
      <c r="R332" s="222">
        <f>R334/R337</f>
        <v>0.262384166400477</v>
      </c>
      <c r="S332" s="222">
        <f>S334/S337</f>
        <v>0.0830356108588162</v>
      </c>
      <c r="T332" s="222">
        <f>T334/T337</f>
        <v>0.0846128135600636</v>
      </c>
      <c r="U332" s="222">
        <f>U334/U337</f>
        <v>0.0708429839099067</v>
      </c>
      <c r="V332" s="222">
        <f>V334/V337</f>
        <v>0</v>
      </c>
      <c r="W332" s="222">
        <f>W334/W337</f>
        <v>0.234619166240159</v>
      </c>
      <c r="X332" s="222">
        <f>X334/X337</f>
        <v>0</v>
      </c>
      <c r="Y332" s="222">
        <f>Y334/Y337</f>
        <v>0</v>
      </c>
      <c r="Z332" s="222">
        <f>Z334/Z337</f>
        <v>0</v>
      </c>
      <c r="AA332" s="222">
        <f>AA334/AA337</f>
        <v>0</v>
      </c>
      <c r="AB332" s="222">
        <f>AB334/AB337</f>
        <v>0</v>
      </c>
      <c r="AC332" s="222">
        <f>AC334/AC337</f>
        <v>0</v>
      </c>
      <c r="AD332" s="222">
        <f>AD334/AD337</f>
        <v>0</v>
      </c>
      <c r="AE332" s="222">
        <f>AE334/AE337</f>
        <v>0</v>
      </c>
      <c r="AF332" s="222">
        <f>AF334/AF337</f>
        <v>0</v>
      </c>
      <c r="AG332" s="222">
        <f>AG334/AG337</f>
        <v>0</v>
      </c>
      <c r="AH332" s="222">
        <f>AH334/AH337</f>
        <v>0</v>
      </c>
      <c r="AI332" s="222">
        <f>AI334/AI337</f>
        <v>0</v>
      </c>
      <c r="AJ332" s="222">
        <f>AJ334/AJ337</f>
        <v>0</v>
      </c>
      <c r="AK332" s="222">
        <f>AK334/AK337</f>
        <v>0</v>
      </c>
      <c r="AL332" s="222">
        <f>AL334/AL337</f>
        <v>0</v>
      </c>
      <c r="AM332" s="222" t="e">
        <f>AM334/AM337</f>
        <v>#DIV/0!</v>
      </c>
      <c r="AN332" s="222">
        <f>AN334/AN337</f>
        <v>0</v>
      </c>
      <c r="AO332" s="222" t="e">
        <f>AO334/AO337</f>
        <v>#DIV/0!</v>
      </c>
      <c r="AP332" s="222" t="e">
        <f>AP334/AP337</f>
        <v>#DIV/0!</v>
      </c>
      <c r="AQ332" s="222" t="e">
        <f>AQ334/AQ337</f>
        <v>#DIV/0!</v>
      </c>
      <c r="AR332" s="222" t="e">
        <f>AR334/AR337</f>
        <v>#DIV/0!</v>
      </c>
      <c r="AS332" s="222" t="e">
        <f>AS334/AS337</f>
        <v>#DIV/0!</v>
      </c>
      <c r="AT332" s="222" t="e">
        <f>AT334/AT337</f>
        <v>#DIV/0!</v>
      </c>
      <c r="AU332" s="222" t="e">
        <f>AU334/AU337</f>
        <v>#DIV/0!</v>
      </c>
      <c r="AV332" s="222" t="e">
        <f>AV334/AV337</f>
        <v>#DIV/0!</v>
      </c>
      <c r="AW332" s="222" t="e">
        <f>AW334/AW337</f>
        <v>#DIV/0!</v>
      </c>
      <c r="AX332" s="222" t="e">
        <f>AX334/AX337</f>
        <v>#DIV/0!</v>
      </c>
      <c r="AY332" s="222" t="e">
        <f>AY334/AY337</f>
        <v>#DIV/0!</v>
      </c>
      <c r="AZ332" s="222" t="e">
        <f>AZ334/AZ337</f>
        <v>#DIV/0!</v>
      </c>
      <c r="BA332" s="222" t="e">
        <f>BA334/BA337</f>
        <v>#DIV/0!</v>
      </c>
      <c r="BB332" s="222" t="e">
        <f>BB334/BB337</f>
        <v>#DIV/0!</v>
      </c>
      <c r="BC332" s="222" t="e">
        <f>BC334/BC337</f>
        <v>#DIV/0!</v>
      </c>
      <c r="BD332" s="222" t="e">
        <f>BD334/BD337</f>
        <v>#DIV/0!</v>
      </c>
      <c r="BE332" s="222" t="e">
        <f>BE334/BE337</f>
        <v>#DIV/0!</v>
      </c>
      <c r="BF332" s="222" t="e">
        <f>BF334/BF337</f>
        <v>#DIV/0!</v>
      </c>
      <c r="BG332" s="222" t="e">
        <f>BG334/BG337</f>
        <v>#DIV/0!</v>
      </c>
      <c r="BH332" s="222" t="e">
        <f>BH334/BH337</f>
        <v>#DIV/0!</v>
      </c>
      <c r="BI332" s="222" t="e">
        <f>BI334/BI337</f>
        <v>#DIV/0!</v>
      </c>
      <c r="BJ332" s="222" t="e">
        <f>BJ334/BJ337</f>
        <v>#DIV/0!</v>
      </c>
      <c r="BK332" s="222" t="e">
        <f>BK334/BK337</f>
        <v>#DIV/0!</v>
      </c>
      <c r="BL332" s="222" t="e">
        <f>BL334/BL337</f>
        <v>#DIV/0!</v>
      </c>
      <c r="BM332" s="222" t="e">
        <f>BM334/BM337</f>
        <v>#DIV/0!</v>
      </c>
      <c r="BN332" s="222" t="e">
        <f>BN334/BN337</f>
        <v>#DIV/0!</v>
      </c>
      <c r="BO332" s="222" t="e">
        <f>BO334/BO337</f>
        <v>#DIV/0!</v>
      </c>
      <c r="BP332" s="222" t="e">
        <f>BP334/BP337</f>
        <v>#DIV/0!</v>
      </c>
      <c r="BQ332" s="222" t="e">
        <f>BQ334/BQ337</f>
        <v>#DIV/0!</v>
      </c>
      <c r="BR332" s="222" t="e">
        <f>BR334/BR337</f>
        <v>#DIV/0!</v>
      </c>
      <c r="BS332" s="222" t="e">
        <f>BS334/BS337</f>
        <v>#DIV/0!</v>
      </c>
      <c r="BT332" s="222" t="e">
        <f>BT334/BT337</f>
        <v>#DIV/0!</v>
      </c>
      <c r="BU332" s="222" t="e">
        <f>BU334/BU337</f>
        <v>#DIV/0!</v>
      </c>
      <c r="BV332" s="222" t="e">
        <f>BV334/BV337</f>
        <v>#DIV/0!</v>
      </c>
      <c r="BW332" s="222" t="e">
        <f>BW334/BW337</f>
        <v>#DIV/0!</v>
      </c>
      <c r="BX332" s="222" t="e">
        <f>BX334/BX337</f>
        <v>#DIV/0!</v>
      </c>
      <c r="BY332" s="222" t="e">
        <f>BY334/BY337</f>
        <v>#DIV/0!</v>
      </c>
      <c r="BZ332" s="222" t="e">
        <f>BZ334/BZ337</f>
        <v>#DIV/0!</v>
      </c>
      <c r="CA332" s="222" t="e">
        <f>CA334/CA337</f>
        <v>#DIV/0!</v>
      </c>
      <c r="CB332" s="222" t="e">
        <f>CB334/CB337</f>
        <v>#DIV/0!</v>
      </c>
      <c r="CC332" s="222" t="e">
        <f>CC334/CC337</f>
        <v>#DIV/0!</v>
      </c>
      <c r="CD332" s="222" t="e">
        <f>CD334/CD337</f>
        <v>#DIV/0!</v>
      </c>
      <c r="CE332" s="222" t="e">
        <f>CE334/CE337</f>
        <v>#DIV/0!</v>
      </c>
      <c r="CF332" s="222" t="e">
        <f>CF334/CF337</f>
        <v>#DIV/0!</v>
      </c>
      <c r="CG332" s="222" t="e">
        <f>CG334/CG337</f>
        <v>#DIV/0!</v>
      </c>
      <c r="CH332" s="222" t="e">
        <f>CH334/CH337</f>
        <v>#DIV/0!</v>
      </c>
      <c r="CI332" s="222" t="e">
        <f>CI334/CI337</f>
        <v>#DIV/0!</v>
      </c>
      <c r="CJ332" s="222" t="e">
        <f>CJ334/CJ337</f>
        <v>#DIV/0!</v>
      </c>
      <c r="CK332" s="222" t="e">
        <f>CK334/CK337</f>
        <v>#DIV/0!</v>
      </c>
      <c r="CL332" s="222" t="e">
        <f>CL334/CL337</f>
        <v>#DIV/0!</v>
      </c>
      <c r="CM332" s="222" t="e">
        <f>CM334/CM337</f>
        <v>#DIV/0!</v>
      </c>
      <c r="CN332" s="222" t="e">
        <f>CN334/CN337</f>
        <v>#DIV/0!</v>
      </c>
      <c r="CO332" s="222" t="e">
        <f>CO334/CO337</f>
        <v>#DIV/0!</v>
      </c>
      <c r="CP332" s="222" t="e">
        <f>CP334/CP337</f>
        <v>#DIV/0!</v>
      </c>
      <c r="CQ332" s="222" t="e">
        <f>CQ334/CQ337</f>
        <v>#DIV/0!</v>
      </c>
      <c r="CR332" s="222" t="e">
        <f>CR334/CR337</f>
        <v>#DIV/0!</v>
      </c>
      <c r="CS332" s="222" t="e">
        <f>CS334/CS337</f>
        <v>#DIV/0!</v>
      </c>
      <c r="CT332" s="222" t="e">
        <f>CT334/CT337</f>
        <v>#DIV/0!</v>
      </c>
      <c r="CU332" s="222" t="e">
        <f>CU334/CU337</f>
        <v>#DIV/0!</v>
      </c>
      <c r="CV332" s="222" t="e">
        <f>CV334/CV337</f>
        <v>#DIV/0!</v>
      </c>
      <c r="CW332" s="222" t="e">
        <f>CW334/CW337</f>
        <v>#DIV/0!</v>
      </c>
      <c r="CX332" s="222" t="e">
        <f>CX334/CX337</f>
        <v>#DIV/0!</v>
      </c>
      <c r="CY332" s="222" t="e">
        <f>CY334/CY337</f>
        <v>#DIV/0!</v>
      </c>
    </row>
    <row r="333" customFormat="1" s="238">
      <c r="A333" s="222" t="n"/>
      <c r="B333" s="222" t="n"/>
      <c r="C333" s="238" t="inlineStr">
        <is>
          <t>RETURN ON CAPITAL (ROIC) - EX GOODWILL</t>
        </is>
      </c>
      <c r="D333" s="238">
        <f>D334/D338</f>
        <v>0.0203814297079945</v>
      </c>
      <c r="E333" s="238">
        <f>E334/E338</f>
        <v>0.0245582451808516</v>
      </c>
      <c r="F333" s="238">
        <f>F334/F338</f>
        <v>0.0254663739325675</v>
      </c>
      <c r="G333" s="238">
        <f>G334/G338</f>
        <v>0.0351245427601356</v>
      </c>
      <c r="H333" s="238">
        <f>H334/H338</f>
        <v>0.102883873476161</v>
      </c>
      <c r="I333" s="222">
        <f>I334/I338</f>
        <v>0.048697942600334</v>
      </c>
      <c r="J333" s="222">
        <f>J334/J338</f>
        <v>0.035859554446262</v>
      </c>
      <c r="K333" s="222">
        <f>K334/K338</f>
        <v>0.0261282022509817</v>
      </c>
      <c r="L333" s="222">
        <f>L334/L338</f>
        <v>0.017729515031836</v>
      </c>
      <c r="M333" s="222">
        <f>M334/M338</f>
        <v>0.108625699194127</v>
      </c>
      <c r="N333" s="222">
        <f>N334/N338</f>
        <v>0.0385427091134425</v>
      </c>
      <c r="O333" s="222">
        <f>O334/O338</f>
        <v>0.0762740732058054</v>
      </c>
      <c r="P333" s="222">
        <f>P334/P338</f>
        <v>0.0919495551602473</v>
      </c>
      <c r="Q333" s="222">
        <f>Q334/Q338</f>
        <v>0.0700150590700991</v>
      </c>
      <c r="R333" s="222">
        <f>R334/R338</f>
        <v>0.298565787106585</v>
      </c>
      <c r="S333" s="222">
        <f>S334/S338</f>
        <v>0.0936882321994491</v>
      </c>
      <c r="T333" s="222">
        <f>T334/T338</f>
        <v>0.0957915234062114</v>
      </c>
      <c r="U333" s="222">
        <f>U334/U338</f>
        <v>0.0803744165262049</v>
      </c>
      <c r="V333" s="222">
        <f>V334/V338</f>
        <v>0</v>
      </c>
      <c r="W333" s="222">
        <f>W334/W338</f>
        <v>0.264886206324356</v>
      </c>
      <c r="X333" s="222">
        <f>X334/X338</f>
        <v>0</v>
      </c>
      <c r="Y333" s="222">
        <f>Y334/Y338</f>
        <v>0</v>
      </c>
      <c r="Z333" s="222">
        <f>Z334/Z338</f>
        <v>0</v>
      </c>
      <c r="AA333" s="222">
        <f>AA334/AA338</f>
        <v>0</v>
      </c>
      <c r="AB333" s="222">
        <f>AB334/AB338</f>
        <v>0</v>
      </c>
      <c r="AC333" s="222">
        <f>AC334/AC338</f>
        <v>0</v>
      </c>
      <c r="AD333" s="222">
        <f>AD334/AD338</f>
        <v>0</v>
      </c>
      <c r="AE333" s="222">
        <f>AE334/AE338</f>
        <v>0</v>
      </c>
      <c r="AF333" s="222">
        <f>AF334/AF338</f>
        <v>0</v>
      </c>
      <c r="AG333" s="222">
        <f>AG334/AG338</f>
        <v>0</v>
      </c>
      <c r="AH333" s="222">
        <f>AH334/AH338</f>
        <v>0</v>
      </c>
      <c r="AI333" s="222">
        <f>AI334/AI338</f>
        <v>0</v>
      </c>
      <c r="AJ333" s="222">
        <f>AJ334/AJ338</f>
        <v>0</v>
      </c>
      <c r="AK333" s="222">
        <f>AK334/AK338</f>
        <v>0</v>
      </c>
      <c r="AL333" s="222">
        <f>AL334/AL338</f>
        <v>0</v>
      </c>
      <c r="AM333" s="222" t="e">
        <f>AM334/AM338</f>
        <v>#DIV/0!</v>
      </c>
      <c r="AN333" s="222">
        <f>AN334/AN338</f>
        <v>0</v>
      </c>
      <c r="AO333" s="222" t="e">
        <f>AO334/AO338</f>
        <v>#DIV/0!</v>
      </c>
      <c r="AP333" s="222" t="e">
        <f>AP334/AP338</f>
        <v>#DIV/0!</v>
      </c>
      <c r="AQ333" s="222" t="e">
        <f>AQ334/AQ338</f>
        <v>#DIV/0!</v>
      </c>
      <c r="AR333" s="222" t="e">
        <f>AR334/AR338</f>
        <v>#DIV/0!</v>
      </c>
      <c r="AS333" s="222" t="e">
        <f>AS334/AS338</f>
        <v>#DIV/0!</v>
      </c>
      <c r="AT333" s="222" t="e">
        <f>AT334/AT338</f>
        <v>#DIV/0!</v>
      </c>
      <c r="AU333" s="222" t="e">
        <f>AU334/AU338</f>
        <v>#DIV/0!</v>
      </c>
      <c r="AV333" s="222" t="e">
        <f>AV334/AV338</f>
        <v>#DIV/0!</v>
      </c>
      <c r="AW333" s="222" t="e">
        <f>AW334/AW338</f>
        <v>#DIV/0!</v>
      </c>
      <c r="AX333" s="222" t="e">
        <f>AX334/AX338</f>
        <v>#DIV/0!</v>
      </c>
      <c r="AY333" s="222" t="e">
        <f>AY334/AY338</f>
        <v>#DIV/0!</v>
      </c>
      <c r="AZ333" s="222" t="e">
        <f>AZ334/AZ338</f>
        <v>#DIV/0!</v>
      </c>
      <c r="BA333" s="222" t="e">
        <f>BA334/BA338</f>
        <v>#DIV/0!</v>
      </c>
      <c r="BB333" s="222" t="e">
        <f>BB334/BB338</f>
        <v>#DIV/0!</v>
      </c>
      <c r="BC333" s="222" t="e">
        <f>BC334/BC338</f>
        <v>#DIV/0!</v>
      </c>
      <c r="BD333" s="222" t="e">
        <f>BD334/BD338</f>
        <v>#DIV/0!</v>
      </c>
      <c r="BE333" s="222" t="e">
        <f>BE334/BE338</f>
        <v>#DIV/0!</v>
      </c>
      <c r="BF333" s="222" t="e">
        <f>BF334/BF338</f>
        <v>#DIV/0!</v>
      </c>
      <c r="BG333" s="222" t="e">
        <f>BG334/BG338</f>
        <v>#DIV/0!</v>
      </c>
      <c r="BH333" s="222" t="e">
        <f>BH334/BH338</f>
        <v>#DIV/0!</v>
      </c>
      <c r="BI333" s="222" t="e">
        <f>BI334/BI338</f>
        <v>#DIV/0!</v>
      </c>
      <c r="BJ333" s="222" t="e">
        <f>BJ334/BJ338</f>
        <v>#DIV/0!</v>
      </c>
      <c r="BK333" s="222" t="e">
        <f>BK334/BK338</f>
        <v>#DIV/0!</v>
      </c>
      <c r="BL333" s="222" t="e">
        <f>BL334/BL338</f>
        <v>#DIV/0!</v>
      </c>
      <c r="BM333" s="222" t="e">
        <f>BM334/BM338</f>
        <v>#DIV/0!</v>
      </c>
      <c r="BN333" s="222" t="e">
        <f>BN334/BN338</f>
        <v>#DIV/0!</v>
      </c>
      <c r="BO333" s="222" t="e">
        <f>BO334/BO338</f>
        <v>#DIV/0!</v>
      </c>
      <c r="BP333" s="222" t="e">
        <f>BP334/BP338</f>
        <v>#DIV/0!</v>
      </c>
      <c r="BQ333" s="222" t="e">
        <f>BQ334/BQ338</f>
        <v>#DIV/0!</v>
      </c>
      <c r="BR333" s="222" t="e">
        <f>BR334/BR338</f>
        <v>#DIV/0!</v>
      </c>
      <c r="BS333" s="222" t="e">
        <f>BS334/BS338</f>
        <v>#DIV/0!</v>
      </c>
      <c r="BT333" s="222" t="e">
        <f>BT334/BT338</f>
        <v>#DIV/0!</v>
      </c>
      <c r="BU333" s="222" t="e">
        <f>BU334/BU338</f>
        <v>#DIV/0!</v>
      </c>
      <c r="BV333" s="222" t="e">
        <f>BV334/BV338</f>
        <v>#DIV/0!</v>
      </c>
      <c r="BW333" s="222" t="e">
        <f>BW334/BW338</f>
        <v>#DIV/0!</v>
      </c>
      <c r="BX333" s="222" t="e">
        <f>BX334/BX338</f>
        <v>#DIV/0!</v>
      </c>
      <c r="BY333" s="222" t="e">
        <f>BY334/BY338</f>
        <v>#DIV/0!</v>
      </c>
      <c r="BZ333" s="222" t="e">
        <f>BZ334/BZ338</f>
        <v>#DIV/0!</v>
      </c>
      <c r="CA333" s="222" t="e">
        <f>CA334/CA338</f>
        <v>#DIV/0!</v>
      </c>
      <c r="CB333" s="222" t="e">
        <f>CB334/CB338</f>
        <v>#DIV/0!</v>
      </c>
      <c r="CC333" s="222" t="e">
        <f>CC334/CC338</f>
        <v>#DIV/0!</v>
      </c>
      <c r="CD333" s="222" t="e">
        <f>CD334/CD338</f>
        <v>#DIV/0!</v>
      </c>
      <c r="CE333" s="222" t="e">
        <f>CE334/CE338</f>
        <v>#DIV/0!</v>
      </c>
      <c r="CF333" s="222" t="e">
        <f>CF334/CF338</f>
        <v>#DIV/0!</v>
      </c>
      <c r="CG333" s="222" t="e">
        <f>CG334/CG338</f>
        <v>#DIV/0!</v>
      </c>
      <c r="CH333" s="222" t="e">
        <f>CH334/CH338</f>
        <v>#DIV/0!</v>
      </c>
      <c r="CI333" s="222" t="e">
        <f>CI334/CI338</f>
        <v>#DIV/0!</v>
      </c>
      <c r="CJ333" s="222" t="e">
        <f>CJ334/CJ338</f>
        <v>#DIV/0!</v>
      </c>
      <c r="CK333" s="222" t="e">
        <f>CK334/CK338</f>
        <v>#DIV/0!</v>
      </c>
      <c r="CL333" s="222" t="e">
        <f>CL334/CL338</f>
        <v>#DIV/0!</v>
      </c>
      <c r="CM333" s="222" t="e">
        <f>CM334/CM338</f>
        <v>#DIV/0!</v>
      </c>
      <c r="CN333" s="222" t="e">
        <f>CN334/CN338</f>
        <v>#DIV/0!</v>
      </c>
      <c r="CO333" s="222" t="e">
        <f>CO334/CO338</f>
        <v>#DIV/0!</v>
      </c>
      <c r="CP333" s="222" t="e">
        <f>CP334/CP338</f>
        <v>#DIV/0!</v>
      </c>
      <c r="CQ333" s="222" t="e">
        <f>CQ334/CQ338</f>
        <v>#DIV/0!</v>
      </c>
      <c r="CR333" s="222" t="e">
        <f>CR334/CR338</f>
        <v>#DIV/0!</v>
      </c>
      <c r="CS333" s="222" t="e">
        <f>CS334/CS338</f>
        <v>#DIV/0!</v>
      </c>
      <c r="CT333" s="222" t="e">
        <f>CT334/CT338</f>
        <v>#DIV/0!</v>
      </c>
      <c r="CU333" s="222" t="e">
        <f>CU334/CU338</f>
        <v>#DIV/0!</v>
      </c>
      <c r="CV333" s="222" t="e">
        <f>CV334/CV338</f>
        <v>#DIV/0!</v>
      </c>
      <c r="CW333" s="222" t="e">
        <f>CW334/CW338</f>
        <v>#DIV/0!</v>
      </c>
      <c r="CX333" s="222" t="e">
        <f>CX334/CX338</f>
        <v>#DIV/0!</v>
      </c>
      <c r="CY333" s="222" t="e">
        <f>CY334/CY338</f>
        <v>#DIV/0!</v>
      </c>
    </row>
    <row r="334" customFormat="1" s="233">
      <c r="A334" s="224" t="n"/>
      <c r="B334" s="224" t="n"/>
      <c r="C334" s="233" t="inlineStr">
        <is>
          <t>NOPLAT</t>
        </is>
      </c>
      <c r="D334" s="233">
        <f>D335*(1-D336)</f>
        <v>710.231681034483</v>
      </c>
      <c r="E334" s="233">
        <f>E335*(1-E336)</f>
        <v>889.818897637795</v>
      </c>
      <c r="F334" s="233">
        <f>F335*(1-F336)</f>
        <v>918.062780269058</v>
      </c>
      <c r="G334" s="233">
        <f>G335*(1-G336)</f>
        <v>1307.82722513089</v>
      </c>
      <c r="H334" s="233">
        <f>H335*(1-H336)</f>
        <v>3830.77814501136</v>
      </c>
      <c r="I334" s="223">
        <f>I335*(1-I336)</f>
        <v>1879.88667820069</v>
      </c>
      <c r="J334" s="224">
        <f>J335*(1-J336)</f>
        <v>1730.76139534884</v>
      </c>
      <c r="K334" s="224">
        <f>K335*(1-K336)</f>
        <v>1345.83756974582</v>
      </c>
      <c r="L334" s="224">
        <f>L335*(1-L336)</f>
        <v>966.754995655951</v>
      </c>
      <c r="M334" s="224">
        <f>M335*(1-M336)</f>
        <v>5923.14212565735</v>
      </c>
      <c r="N334" s="223">
        <f>N335*(1-N336)</f>
        <v>2187.684169279</v>
      </c>
      <c r="O334" s="224">
        <f>O335*(1-O336)</f>
        <v>1964.43875541552</v>
      </c>
      <c r="P334" s="224">
        <f>P335*(1-P336)</f>
        <v>2297.17573656846</v>
      </c>
      <c r="Q334" s="224">
        <f>Q335*(1-Q336)</f>
        <v>1975.61492178099</v>
      </c>
      <c r="R334" s="224">
        <f>R335*(1-R336)</f>
        <v>8424.63081478651</v>
      </c>
      <c r="S334" s="223">
        <f>S335*(1-S336)</f>
        <v>2894.12318087318</v>
      </c>
      <c r="T334" s="224">
        <f>T335*(1-T336)</f>
        <v>2895.87354409318</v>
      </c>
      <c r="U334" s="224">
        <f>U335*(1-U336)</f>
        <v>2329.8132118451</v>
      </c>
      <c r="V334" s="224">
        <f>V335*(1-V336)</f>
        <v>0</v>
      </c>
      <c r="W334" s="224">
        <f>W335*(1-W336)</f>
        <v>8143.39664102967</v>
      </c>
      <c r="X334" s="223">
        <f>X335*(1-X336)</f>
        <v>0</v>
      </c>
      <c r="Y334" s="224">
        <f>Y335*(1-Y336)</f>
        <v>0</v>
      </c>
      <c r="Z334" s="224">
        <f>Z335*(1-Z336)</f>
        <v>0</v>
      </c>
      <c r="AA334" s="224">
        <f>AA335*(1-AA336)</f>
        <v>0</v>
      </c>
      <c r="AB334" s="224">
        <f>AB335*(1-AB336)</f>
        <v>0</v>
      </c>
      <c r="AC334" s="223">
        <f>AC335*(1-AC336)</f>
        <v>0</v>
      </c>
      <c r="AD334" s="224">
        <f>AD335*(1-AD336)</f>
        <v>0</v>
      </c>
      <c r="AE334" s="224">
        <f>AE335*(1-AE336)</f>
        <v>0</v>
      </c>
      <c r="AF334" s="224">
        <f>AF335*(1-AF336)</f>
        <v>0</v>
      </c>
      <c r="AG334" s="224">
        <f>AG335*(1-AG336)</f>
        <v>0</v>
      </c>
      <c r="AH334" s="223">
        <f>AH335*(1-AH336)</f>
        <v>0</v>
      </c>
      <c r="AI334" s="224">
        <f>AI335*(1-AI336)</f>
        <v>0</v>
      </c>
      <c r="AJ334" s="224">
        <f>AJ335*(1-AJ336)</f>
        <v>0</v>
      </c>
      <c r="AK334" s="224">
        <f>AK335*(1-AK336)</f>
        <v>0</v>
      </c>
      <c r="AL334" s="224">
        <f>AL335*(1-AL336)</f>
        <v>0</v>
      </c>
      <c r="AM334" s="223">
        <f>AM335*(1-AM336)</f>
        <v>0</v>
      </c>
      <c r="AN334" s="224">
        <f>AN335*(1-AN336)</f>
        <v>0</v>
      </c>
      <c r="AO334" s="224">
        <f>AO335*(1-AO336)</f>
        <v>0</v>
      </c>
      <c r="AP334" s="224">
        <f>AP335*(1-AP336)</f>
        <v>0</v>
      </c>
      <c r="AQ334" s="224">
        <f>AQ335*(1-AQ336)</f>
        <v>0</v>
      </c>
      <c r="AR334" s="223">
        <f>AR335*(1-AR336)</f>
        <v>0</v>
      </c>
      <c r="AS334" s="224">
        <f>AS335*(1-AS336)</f>
        <v>0</v>
      </c>
      <c r="AT334" s="224">
        <f>AT335*(1-AT336)</f>
        <v>0</v>
      </c>
      <c r="AU334" s="224">
        <f>AU335*(1-AU336)</f>
        <v>0</v>
      </c>
      <c r="AV334" s="224">
        <f>AV335*(1-AV336)</f>
        <v>0</v>
      </c>
      <c r="AW334" s="223">
        <f>AW335*(1-AW336)</f>
        <v>0</v>
      </c>
      <c r="AX334" s="224">
        <f>AX335*(1-AX336)</f>
        <v>0</v>
      </c>
      <c r="AY334" s="224">
        <f>AY335*(1-AY336)</f>
        <v>0</v>
      </c>
      <c r="AZ334" s="224">
        <f>AZ335*(1-AZ336)</f>
        <v>0</v>
      </c>
      <c r="BA334" s="224">
        <f>BA335*(1-BA336)</f>
        <v>0</v>
      </c>
      <c r="BB334" s="223">
        <f>BB335*(1-BB336)</f>
        <v>0</v>
      </c>
      <c r="BC334" s="224">
        <f>BC335*(1-BC336)</f>
        <v>0</v>
      </c>
      <c r="BD334" s="224">
        <f>BD335*(1-BD336)</f>
        <v>0</v>
      </c>
      <c r="BE334" s="224">
        <f>BE335*(1-BE336)</f>
        <v>0</v>
      </c>
      <c r="BF334" s="224">
        <f>BF335*(1-BF336)</f>
        <v>0</v>
      </c>
      <c r="BG334" s="223">
        <f>BG335*(1-BG336)</f>
        <v>0</v>
      </c>
      <c r="BH334" s="224">
        <f>BH335*(1-BH336)</f>
        <v>0</v>
      </c>
      <c r="BI334" s="224">
        <f>BI335*(1-BI336)</f>
        <v>0</v>
      </c>
      <c r="BJ334" s="224">
        <f>BJ335*(1-BJ336)</f>
        <v>0</v>
      </c>
      <c r="BK334" s="224">
        <f>BK335*(1-BK336)</f>
        <v>0</v>
      </c>
      <c r="BL334" s="223">
        <f>BL335*(1-BL336)</f>
        <v>0</v>
      </c>
      <c r="BM334" s="224">
        <f>BM335*(1-BM336)</f>
        <v>0</v>
      </c>
      <c r="BN334" s="224">
        <f>BN335*(1-BN336)</f>
        <v>0</v>
      </c>
      <c r="BO334" s="224">
        <f>BO335*(1-BO336)</f>
        <v>0</v>
      </c>
      <c r="BP334" s="224">
        <f>BP335*(1-BP336)</f>
        <v>0</v>
      </c>
      <c r="BQ334" s="223">
        <f>BQ335*(1-BQ336)</f>
        <v>0</v>
      </c>
      <c r="BR334" s="224">
        <f>BR335*(1-BR336)</f>
        <v>0</v>
      </c>
      <c r="BS334" s="224">
        <f>BS335*(1-BS336)</f>
        <v>0</v>
      </c>
      <c r="BT334" s="224">
        <f>BT335*(1-BT336)</f>
        <v>0</v>
      </c>
      <c r="BU334" s="224">
        <f>BU335*(1-BU336)</f>
        <v>0</v>
      </c>
      <c r="BV334" s="223">
        <f>BV335*(1-BV336)</f>
        <v>0</v>
      </c>
      <c r="BW334" s="224">
        <f>BW335*(1-BW336)</f>
        <v>0</v>
      </c>
      <c r="BX334" s="224">
        <f>BX335*(1-BX336)</f>
        <v>0</v>
      </c>
      <c r="BY334" s="224">
        <f>BY335*(1-BY336)</f>
        <v>0</v>
      </c>
      <c r="BZ334" s="224">
        <f>BZ335*(1-BZ336)</f>
        <v>0</v>
      </c>
      <c r="CA334" s="223">
        <f>CA335*(1-CA336)</f>
        <v>0</v>
      </c>
      <c r="CB334" s="224">
        <f>CB335*(1-CB336)</f>
        <v>0</v>
      </c>
      <c r="CC334" s="224">
        <f>CC335*(1-CC336)</f>
        <v>0</v>
      </c>
      <c r="CD334" s="224">
        <f>CD335*(1-CD336)</f>
        <v>0</v>
      </c>
      <c r="CE334" s="224">
        <f>CE335*(1-CE336)</f>
        <v>0</v>
      </c>
      <c r="CF334" s="223">
        <f>CF335*(1-CF336)</f>
        <v>0</v>
      </c>
      <c r="CG334" s="224">
        <f>CG335*(1-CG336)</f>
        <v>0</v>
      </c>
      <c r="CH334" s="224">
        <f>CH335*(1-CH336)</f>
        <v>0</v>
      </c>
      <c r="CI334" s="224">
        <f>CI335*(1-CI336)</f>
        <v>0</v>
      </c>
      <c r="CJ334" s="224">
        <f>CJ335*(1-CJ336)</f>
        <v>0</v>
      </c>
      <c r="CK334" s="223">
        <f>CK335*(1-CK336)</f>
        <v>0</v>
      </c>
      <c r="CL334" s="224">
        <f>CL335*(1-CL336)</f>
        <v>0</v>
      </c>
      <c r="CM334" s="224">
        <f>CM335*(1-CM336)</f>
        <v>0</v>
      </c>
      <c r="CN334" s="224">
        <f>CN335*(1-CN336)</f>
        <v>0</v>
      </c>
      <c r="CO334" s="224">
        <f>CO335*(1-CO336)</f>
        <v>0</v>
      </c>
      <c r="CP334" s="223">
        <f>CP335*(1-CP336)</f>
        <v>0</v>
      </c>
      <c r="CQ334" s="224">
        <f>CQ335*(1-CQ336)</f>
        <v>0</v>
      </c>
      <c r="CR334" s="224">
        <f>CR335*(1-CR336)</f>
        <v>0</v>
      </c>
      <c r="CS334" s="224">
        <f>CS335*(1-CS336)</f>
        <v>0</v>
      </c>
      <c r="CT334" s="224">
        <f>CT335*(1-CT336)</f>
        <v>0</v>
      </c>
      <c r="CU334" s="223">
        <f>CU335*(1-CU336)</f>
        <v>0</v>
      </c>
      <c r="CV334" s="224">
        <f>CV335*(1-CV336)</f>
        <v>0</v>
      </c>
      <c r="CW334" s="224">
        <f>CW335*(1-CW336)</f>
        <v>0</v>
      </c>
      <c r="CX334" s="224">
        <f>CX335*(1-CX336)</f>
        <v>0</v>
      </c>
      <c r="CY334" s="224">
        <f>CY335*(1-CY336)</f>
        <v>0</v>
      </c>
    </row>
    <row r="335" customFormat="1" s="233">
      <c r="A335" s="224" t="n"/>
      <c r="B335" s="224" t="n"/>
      <c r="C335" s="233" t="inlineStr">
        <is>
          <t>EBIT</t>
        </is>
      </c>
      <c r="D335" s="239">
        <f>D60</f>
        <v>965</v>
      </c>
      <c r="E335" s="239">
        <f>E60</f>
        <v>1390</v>
      </c>
      <c r="F335" s="239">
        <f>F60</f>
        <v>1304</v>
      </c>
      <c r="G335" s="239">
        <f>G60</f>
        <v>1638</v>
      </c>
      <c r="H335" s="239">
        <f>H60</f>
        <v>5297</v>
      </c>
      <c r="I335" s="36">
        <f>I60</f>
        <v>2439</v>
      </c>
      <c r="J335" s="36">
        <f>J60</f>
        <v>2243</v>
      </c>
      <c r="K335" s="36">
        <f>K60</f>
        <v>1692</v>
      </c>
      <c r="L335" s="36">
        <f>L60</f>
        <v>1235</v>
      </c>
      <c r="M335" s="36">
        <f>M60</f>
        <v>7609</v>
      </c>
      <c r="N335" s="36">
        <f>N60</f>
        <v>2670</v>
      </c>
      <c r="O335" s="36">
        <f>O60</f>
        <v>2646</v>
      </c>
      <c r="P335" s="36">
        <f>P60</f>
        <v>2956</v>
      </c>
      <c r="Q335" s="36">
        <f>Q60</f>
        <v>2518</v>
      </c>
      <c r="R335" s="36">
        <f>R60</f>
        <v>10790</v>
      </c>
      <c r="S335" s="36">
        <f>S60</f>
        <v>3898</v>
      </c>
      <c r="T335" s="36">
        <f>T60</f>
        <v>3516</v>
      </c>
      <c r="U335" s="36">
        <f>U60</f>
        <v>3026</v>
      </c>
      <c r="V335" s="36">
        <f>V60</f>
        <v>0</v>
      </c>
      <c r="W335" s="36">
        <f>W60</f>
        <v>10440</v>
      </c>
      <c r="X335" s="36">
        <f>X60</f>
        <v>0</v>
      </c>
      <c r="Y335" s="36">
        <f>Y60</f>
        <v>0</v>
      </c>
      <c r="Z335" s="36">
        <f>Z60</f>
        <v>0</v>
      </c>
      <c r="AA335" s="36">
        <f>AA60</f>
        <v>0</v>
      </c>
      <c r="AB335" s="36">
        <f>AB60</f>
        <v>0</v>
      </c>
      <c r="AC335" s="36">
        <f>AC60</f>
        <v>0</v>
      </c>
      <c r="AD335" s="36">
        <f>AD60</f>
        <v>0</v>
      </c>
      <c r="AE335" s="36">
        <f>AE60</f>
        <v>0</v>
      </c>
      <c r="AF335" s="36">
        <f>AF60</f>
        <v>0</v>
      </c>
      <c r="AG335" s="36">
        <f>AG60</f>
        <v>0</v>
      </c>
      <c r="AH335" s="36">
        <f>AH60</f>
        <v>0</v>
      </c>
      <c r="AI335" s="36">
        <f>AI60</f>
        <v>0</v>
      </c>
      <c r="AJ335" s="36">
        <f>AJ60</f>
        <v>0</v>
      </c>
      <c r="AK335" s="36">
        <f>AK60</f>
        <v>0</v>
      </c>
      <c r="AL335" s="36">
        <f>AL60</f>
        <v>0</v>
      </c>
      <c r="AM335" s="36">
        <f>AM60</f>
        <v>0</v>
      </c>
      <c r="AN335" s="36">
        <f>AN60</f>
        <v>0</v>
      </c>
      <c r="AO335" s="36">
        <f>AO60</f>
        <v>0</v>
      </c>
      <c r="AP335" s="36">
        <f>AP60</f>
        <v>0</v>
      </c>
      <c r="AQ335" s="36">
        <f>AQ60</f>
        <v>0</v>
      </c>
      <c r="AR335" s="36">
        <f>AR60</f>
        <v>0</v>
      </c>
      <c r="AS335" s="36">
        <f>AS60</f>
        <v>0</v>
      </c>
      <c r="AT335" s="36">
        <f>AT60</f>
        <v>0</v>
      </c>
      <c r="AU335" s="36">
        <f>AU60</f>
        <v>0</v>
      </c>
      <c r="AV335" s="36">
        <f>AV60</f>
        <v>0</v>
      </c>
      <c r="AW335" s="36">
        <f>AW60</f>
        <v>0</v>
      </c>
      <c r="AX335" s="36">
        <f>AX60</f>
        <v>0</v>
      </c>
      <c r="AY335" s="36">
        <f>AY60</f>
        <v>0</v>
      </c>
      <c r="AZ335" s="36">
        <f>AZ60</f>
        <v>0</v>
      </c>
      <c r="BA335" s="36">
        <f>BA60</f>
        <v>0</v>
      </c>
      <c r="BB335" s="36">
        <f>BB60</f>
        <v>0</v>
      </c>
      <c r="BC335" s="36">
        <f>BC60</f>
        <v>0</v>
      </c>
      <c r="BD335" s="36">
        <f>BD60</f>
        <v>0</v>
      </c>
      <c r="BE335" s="36">
        <f>BE60</f>
        <v>0</v>
      </c>
      <c r="BF335" s="36">
        <f>BF60</f>
        <v>0</v>
      </c>
      <c r="BG335" s="36">
        <f>BG60</f>
        <v>0</v>
      </c>
      <c r="BH335" s="36">
        <f>BH60</f>
        <v>0</v>
      </c>
      <c r="BI335" s="36">
        <f>BI60</f>
        <v>0</v>
      </c>
      <c r="BJ335" s="36">
        <f>BJ60</f>
        <v>0</v>
      </c>
      <c r="BK335" s="36">
        <f>BK60</f>
        <v>0</v>
      </c>
      <c r="BL335" s="36">
        <f>BL60</f>
        <v>0</v>
      </c>
      <c r="BM335" s="36">
        <f>BM60</f>
        <v>0</v>
      </c>
      <c r="BN335" s="36">
        <f>BN60</f>
        <v>0</v>
      </c>
      <c r="BO335" s="36">
        <f>BO60</f>
        <v>0</v>
      </c>
      <c r="BP335" s="36">
        <f>BP60</f>
        <v>0</v>
      </c>
      <c r="BQ335" s="36">
        <f>BQ60</f>
        <v>0</v>
      </c>
      <c r="BR335" s="36">
        <f>BR60</f>
        <v>0</v>
      </c>
      <c r="BS335" s="36">
        <f>BS60</f>
        <v>0</v>
      </c>
      <c r="BT335" s="36">
        <f>BT60</f>
        <v>0</v>
      </c>
      <c r="BU335" s="36">
        <f>BU60</f>
        <v>0</v>
      </c>
      <c r="BV335" s="36">
        <f>BV60</f>
        <v>0</v>
      </c>
      <c r="BW335" s="36">
        <f>BW60</f>
        <v>0</v>
      </c>
      <c r="BX335" s="36">
        <f>BX60</f>
        <v>0</v>
      </c>
      <c r="BY335" s="36">
        <f>BY60</f>
        <v>0</v>
      </c>
      <c r="BZ335" s="36">
        <f>BZ60</f>
        <v>0</v>
      </c>
      <c r="CA335" s="36">
        <f>CA60</f>
        <v>0</v>
      </c>
      <c r="CB335" s="36">
        <f>CB60</f>
        <v>0</v>
      </c>
      <c r="CC335" s="36">
        <f>CC60</f>
        <v>0</v>
      </c>
      <c r="CD335" s="36">
        <f>CD60</f>
        <v>0</v>
      </c>
      <c r="CE335" s="36">
        <f>CE60</f>
        <v>0</v>
      </c>
      <c r="CF335" s="36">
        <f>CF60</f>
        <v>0</v>
      </c>
      <c r="CG335" s="36">
        <f>CG60</f>
        <v>0</v>
      </c>
      <c r="CH335" s="36">
        <f>CH60</f>
        <v>0</v>
      </c>
      <c r="CI335" s="36">
        <f>CI60</f>
        <v>0</v>
      </c>
      <c r="CJ335" s="36">
        <f>CJ60</f>
        <v>0</v>
      </c>
      <c r="CK335" s="36">
        <f>CK60</f>
        <v>0</v>
      </c>
      <c r="CL335" s="36">
        <f>CL60</f>
        <v>0</v>
      </c>
      <c r="CM335" s="36">
        <f>CM60</f>
        <v>0</v>
      </c>
      <c r="CN335" s="36">
        <f>CN60</f>
        <v>0</v>
      </c>
      <c r="CO335" s="36">
        <f>CO60</f>
        <v>0</v>
      </c>
      <c r="CP335" s="36">
        <f>CP60</f>
        <v>0</v>
      </c>
      <c r="CQ335" s="36">
        <f>CQ60</f>
        <v>0</v>
      </c>
      <c r="CR335" s="36">
        <f>CR60</f>
        <v>0</v>
      </c>
      <c r="CS335" s="36">
        <f>CS60</f>
        <v>0</v>
      </c>
      <c r="CT335" s="36">
        <f>CT60</f>
        <v>0</v>
      </c>
      <c r="CU335" s="36">
        <f>CU60</f>
        <v>0</v>
      </c>
      <c r="CV335" s="36">
        <f>CV60</f>
        <v>0</v>
      </c>
      <c r="CW335" s="36">
        <f>CW60</f>
        <v>0</v>
      </c>
      <c r="CX335" s="36">
        <f>CX60</f>
        <v>0</v>
      </c>
      <c r="CY335" s="36">
        <f>CY60</f>
        <v>0</v>
      </c>
    </row>
    <row r="336" customFormat="1" s="233">
      <c r="A336" s="224" t="n"/>
      <c r="B336" s="224" t="n"/>
      <c r="C336" s="233" t="inlineStr">
        <is>
          <t>ETR</t>
        </is>
      </c>
      <c r="D336" s="240">
        <f>D119</f>
        <v>0.264008620689655</v>
      </c>
      <c r="E336" s="240">
        <f>E119</f>
        <v>0.359842519685039</v>
      </c>
      <c r="F336" s="240">
        <f>F119</f>
        <v>0.295964125560538</v>
      </c>
      <c r="G336" s="240">
        <f>G119</f>
        <v>0.201570680628272</v>
      </c>
      <c r="H336" s="240">
        <f>H119</f>
        <v>0.276802313571576</v>
      </c>
      <c r="I336" s="225">
        <f>I119</f>
        <v>0.22923875432526</v>
      </c>
      <c r="J336" s="225">
        <f>J119</f>
        <v>0.228372093023256</v>
      </c>
      <c r="K336" s="225">
        <f>K119</f>
        <v>0.204587724736516</v>
      </c>
      <c r="L336" s="225">
        <f>L119</f>
        <v>0.217202432667246</v>
      </c>
      <c r="M336" s="225">
        <f>M119</f>
        <v>0.221561029615278</v>
      </c>
      <c r="N336" s="225">
        <f>N119</f>
        <v>0.18064263322884</v>
      </c>
      <c r="O336" s="225">
        <f>O119</f>
        <v>0.257581725088618</v>
      </c>
      <c r="P336" s="225">
        <f>P119</f>
        <v>0.222876949740035</v>
      </c>
      <c r="Q336" s="225">
        <f>Q119</f>
        <v>0.215403128760529</v>
      </c>
      <c r="R336" s="225">
        <f>R119</f>
        <v>0.219218645524883</v>
      </c>
      <c r="S336" s="225">
        <f>S119</f>
        <v>0.257536382536383</v>
      </c>
      <c r="T336" s="225">
        <f>T119</f>
        <v>0.176372712146423</v>
      </c>
      <c r="U336" s="225">
        <f>U119</f>
        <v>0.230068337129841</v>
      </c>
      <c r="V336" s="225">
        <f>V119</f>
        <v>0.211738148984199</v>
      </c>
      <c r="W336" s="225">
        <f>W119</f>
        <v>0.219981164652331</v>
      </c>
      <c r="X336" s="225">
        <f>X119</f>
        <v>0.240936798203401</v>
      </c>
      <c r="Y336" s="225">
        <f>Y119</f>
        <v>0.265392781316348</v>
      </c>
      <c r="Z336" s="225">
        <f>Z119</f>
        <v>0.163923633969717</v>
      </c>
      <c r="AA336" s="225">
        <f>AA119</f>
        <v>0.0301675977653631</v>
      </c>
      <c r="AB336" s="225">
        <f>AB119</f>
        <v>0.20948516358103</v>
      </c>
      <c r="AC336" s="225">
        <f>AC119</f>
        <v>0.23063756953359</v>
      </c>
      <c r="AD336" s="225">
        <f>AD119</f>
        <v>0.211875</v>
      </c>
      <c r="AE336" s="225">
        <f>AE119</f>
        <v>0.248421052631579</v>
      </c>
      <c r="AF336" s="225">
        <f>AF119</f>
        <v>0.23444976076555</v>
      </c>
      <c r="AG336" s="225">
        <f>AG119</f>
        <v>0.230396902226525</v>
      </c>
      <c r="AH336" s="225">
        <f>AH119</f>
        <v>0.225904928041867</v>
      </c>
      <c r="AI336" s="225">
        <f>AI119</f>
        <v>0.281083953241233</v>
      </c>
      <c r="AJ336" s="225">
        <f>AJ119</f>
        <v>0</v>
      </c>
      <c r="AK336" s="225">
        <f>AK119</f>
        <v>0</v>
      </c>
      <c r="AL336" s="225">
        <f>AL119</f>
        <v>0.107142857142857</v>
      </c>
      <c r="AM336" s="225">
        <f>AM119</f>
        <v>0</v>
      </c>
      <c r="AN336" s="225">
        <f>AN119</f>
        <v>0</v>
      </c>
      <c r="AO336" s="225">
        <f>AO119</f>
        <v>0</v>
      </c>
      <c r="AP336" s="225">
        <f>AP119</f>
        <v>0</v>
      </c>
      <c r="AQ336" s="225">
        <f>AQ119</f>
        <v>0</v>
      </c>
      <c r="AR336" s="225">
        <f>AR119</f>
        <v>0</v>
      </c>
      <c r="AS336" s="225">
        <f>AS119</f>
        <v>0</v>
      </c>
      <c r="AT336" s="225">
        <f>AT119</f>
        <v>0</v>
      </c>
      <c r="AU336" s="225">
        <f>AU119</f>
        <v>0</v>
      </c>
      <c r="AV336" s="225">
        <f>AV119</f>
        <v>0</v>
      </c>
      <c r="AW336" s="225">
        <f>AW119</f>
        <v>0</v>
      </c>
      <c r="AX336" s="225">
        <f>AX119</f>
        <v>0</v>
      </c>
      <c r="AY336" s="225">
        <f>AY119</f>
        <v>0</v>
      </c>
      <c r="AZ336" s="225">
        <f>AZ119</f>
        <v>0</v>
      </c>
      <c r="BA336" s="225">
        <f>BA119</f>
        <v>0</v>
      </c>
      <c r="BB336" s="225">
        <f>BB119</f>
        <v>0</v>
      </c>
      <c r="BC336" s="225">
        <f>BC119</f>
        <v>0</v>
      </c>
      <c r="BD336" s="225">
        <f>BD119</f>
        <v>0</v>
      </c>
      <c r="BE336" s="225">
        <f>BE119</f>
        <v>0</v>
      </c>
      <c r="BF336" s="225">
        <f>BF119</f>
        <v>0</v>
      </c>
      <c r="BG336" s="225">
        <f>BG119</f>
        <v>0</v>
      </c>
      <c r="BH336" s="225">
        <f>BH119</f>
        <v>0</v>
      </c>
      <c r="BI336" s="225">
        <f>BI119</f>
        <v>0</v>
      </c>
      <c r="BJ336" s="225">
        <f>BJ119</f>
        <v>0</v>
      </c>
      <c r="BK336" s="225">
        <f>BK119</f>
        <v>0</v>
      </c>
      <c r="BL336" s="225">
        <f>BL119</f>
        <v>0</v>
      </c>
      <c r="BM336" s="225">
        <f>BM119</f>
        <v>0</v>
      </c>
      <c r="BN336" s="225">
        <f>BN119</f>
        <v>0</v>
      </c>
      <c r="BO336" s="225">
        <f>BO119</f>
        <v>0</v>
      </c>
      <c r="BP336" s="225">
        <f>BP119</f>
        <v>0</v>
      </c>
      <c r="BQ336" s="225">
        <f>BQ119</f>
        <v>0</v>
      </c>
      <c r="BR336" s="225">
        <f>BR119</f>
        <v>0</v>
      </c>
      <c r="BS336" s="225">
        <f>BS119</f>
        <v>0</v>
      </c>
      <c r="BT336" s="225">
        <f>BT119</f>
        <v>0</v>
      </c>
      <c r="BU336" s="225">
        <f>BU119</f>
        <v>0</v>
      </c>
      <c r="BV336" s="225">
        <f>BV119</f>
        <v>0</v>
      </c>
      <c r="BW336" s="225">
        <f>BW119</f>
        <v>0</v>
      </c>
      <c r="BX336" s="225">
        <f>BX119</f>
        <v>0</v>
      </c>
      <c r="BY336" s="225">
        <f>BY119</f>
        <v>0</v>
      </c>
      <c r="BZ336" s="225">
        <f>BZ119</f>
        <v>0</v>
      </c>
      <c r="CA336" s="225">
        <f>CA119</f>
        <v>0</v>
      </c>
      <c r="CB336" s="225">
        <f>CB119</f>
        <v>0</v>
      </c>
      <c r="CC336" s="225">
        <f>CC119</f>
        <v>0</v>
      </c>
      <c r="CD336" s="225">
        <f>CD119</f>
        <v>0</v>
      </c>
      <c r="CE336" s="225">
        <f>CE119</f>
        <v>0</v>
      </c>
      <c r="CF336" s="225">
        <f>CF119</f>
        <v>0</v>
      </c>
      <c r="CG336" s="225">
        <f>CG119</f>
        <v>0</v>
      </c>
      <c r="CH336" s="225">
        <f>CH119</f>
        <v>0</v>
      </c>
      <c r="CI336" s="225">
        <f>CI119</f>
        <v>0</v>
      </c>
      <c r="CJ336" s="225">
        <f>CJ119</f>
        <v>0</v>
      </c>
      <c r="CK336" s="225">
        <f>CK119</f>
        <v>0</v>
      </c>
      <c r="CL336" s="225">
        <f>CL119</f>
        <v>0</v>
      </c>
      <c r="CM336" s="225">
        <f>CM119</f>
        <v>0</v>
      </c>
      <c r="CN336" s="225">
        <f>CN119</f>
        <v>0</v>
      </c>
      <c r="CO336" s="225">
        <f>CO119</f>
        <v>0</v>
      </c>
      <c r="CP336" s="225">
        <f>CP119</f>
        <v>0</v>
      </c>
      <c r="CQ336" s="225">
        <f>CQ119</f>
        <v>0</v>
      </c>
      <c r="CR336" s="225">
        <f>CR119</f>
        <v>0</v>
      </c>
      <c r="CS336" s="225">
        <f>CS119</f>
        <v>0</v>
      </c>
      <c r="CT336" s="225">
        <f>CT119</f>
        <v>0</v>
      </c>
      <c r="CU336" s="225">
        <f>CU119</f>
        <v>0</v>
      </c>
      <c r="CV336" s="225">
        <f>CV119</f>
        <v>0</v>
      </c>
      <c r="CW336" s="225">
        <f>CW119</f>
        <v>0</v>
      </c>
      <c r="CX336" s="225">
        <f>CX119</f>
        <v>0</v>
      </c>
      <c r="CY336" s="225">
        <f>CY119</f>
        <v>0</v>
      </c>
    </row>
    <row r="337" customFormat="1" s="233">
      <c r="A337" s="224" t="n"/>
      <c r="B337" s="224" t="n"/>
      <c r="C337" s="233" t="inlineStr">
        <is>
          <t>INVESTED CAPITAL</t>
        </is>
      </c>
      <c r="D337" s="239">
        <f>D340-D341+D342</f>
        <v>37764</v>
      </c>
      <c r="E337" s="239">
        <f>E340-E341+E342</f>
        <v>39217</v>
      </c>
      <c r="F337" s="239">
        <f>F340-F341+F342</f>
        <v>39131</v>
      </c>
      <c r="G337" s="239">
        <f>G340-G341+G342</f>
        <v>40428</v>
      </c>
      <c r="H337" s="239">
        <f>H340-H341+H342</f>
        <v>40428</v>
      </c>
      <c r="I337" s="36">
        <f>I340-I341+I342</f>
        <v>41793</v>
      </c>
      <c r="J337" s="36">
        <f>J340-J341+J342</f>
        <v>51413</v>
      </c>
      <c r="K337" s="36">
        <f>K340-K341+K342</f>
        <v>54800</v>
      </c>
      <c r="L337" s="36">
        <f>L340-L341+L342</f>
        <v>57720</v>
      </c>
      <c r="M337" s="36">
        <f>M340-M341+M342</f>
        <v>57720</v>
      </c>
      <c r="N337" s="36">
        <f>N340-N341+N342</f>
        <v>60572</v>
      </c>
      <c r="O337" s="36">
        <f>O340-O341+O342</f>
        <v>29509</v>
      </c>
      <c r="P337" s="36">
        <f>P340-P341+P342</f>
        <v>28670</v>
      </c>
      <c r="Q337" s="36">
        <f>Q340-Q341+Q342</f>
        <v>32108</v>
      </c>
      <c r="R337" s="36">
        <f>R340-R341+R342</f>
        <v>32108</v>
      </c>
      <c r="S337" s="36">
        <f>S340-S341+S342</f>
        <v>34854</v>
      </c>
      <c r="T337" s="36">
        <f>T340-T341+T342</f>
        <v>34225</v>
      </c>
      <c r="U337" s="36">
        <f>U340-U341+U342</f>
        <v>32887</v>
      </c>
      <c r="V337" s="36">
        <f>V340-V341+V342</f>
        <v>34709</v>
      </c>
      <c r="W337" s="36">
        <f>W340-W341+W342</f>
        <v>34709</v>
      </c>
      <c r="X337" s="36">
        <f>X340-X341+X342</f>
        <v>35423</v>
      </c>
      <c r="Y337" s="36">
        <f>Y340-Y341+Y342</f>
        <v>31920</v>
      </c>
      <c r="Z337" s="36">
        <f>Z340-Z341+Z342</f>
        <v>29612</v>
      </c>
      <c r="AA337" s="36">
        <f>AA340-AA341+AA342</f>
        <v>29222</v>
      </c>
      <c r="AB337" s="36">
        <f>AB340-AB341+AB342</f>
        <v>29222</v>
      </c>
      <c r="AC337" s="36">
        <f>AC340-AC341+AC342</f>
        <v>32831</v>
      </c>
      <c r="AD337" s="36">
        <f>AD340-AD341+AD342</f>
        <v>31780</v>
      </c>
      <c r="AE337" s="36">
        <f>AE340-AE341+AE342</f>
        <v>31961</v>
      </c>
      <c r="AF337" s="36">
        <f>AF340-AF341+AF342</f>
        <v>34385</v>
      </c>
      <c r="AG337" s="36">
        <f>AG340-AG341+AG342</f>
        <v>34385</v>
      </c>
      <c r="AH337" s="36">
        <f>AH340-AH341+AH342</f>
        <v>35609</v>
      </c>
      <c r="AI337" s="36">
        <f>AI340-AI341+AI342</f>
        <v>36639</v>
      </c>
      <c r="AJ337" s="36">
        <f>AJ340-AJ341+AJ342</f>
        <v>27888</v>
      </c>
      <c r="AK337" s="36">
        <f>AK340-AK341+AK342</f>
        <v>27888</v>
      </c>
      <c r="AL337" s="36">
        <f>AL340-AL341+AL342</f>
        <v>27888</v>
      </c>
      <c r="AM337" s="36" t="e">
        <f>AM340-AM341+AM342</f>
        <v>#DIV/0!</v>
      </c>
      <c r="AN337" s="36">
        <f>AN340-AN341+AN342</f>
        <v>27888</v>
      </c>
      <c r="AO337" s="36" t="e">
        <f>AO340-AO341+AO342</f>
        <v>#DIV/0!</v>
      </c>
      <c r="AP337" s="36" t="e">
        <f>AP340-AP341+AP342</f>
        <v>#DIV/0!</v>
      </c>
      <c r="AQ337" s="36" t="e">
        <f>AQ340-AQ341+AQ342</f>
        <v>#DIV/0!</v>
      </c>
      <c r="AR337" s="36" t="e">
        <f>AR340-AR341+AR342</f>
        <v>#DIV/0!</v>
      </c>
      <c r="AS337" s="36" t="e">
        <f>AS340-AS341+AS342</f>
        <v>#DIV/0!</v>
      </c>
      <c r="AT337" s="36" t="e">
        <f>AT340-AT341+AT342</f>
        <v>#DIV/0!</v>
      </c>
      <c r="AU337" s="36" t="e">
        <f>AU340-AU341+AU342</f>
        <v>#DIV/0!</v>
      </c>
      <c r="AV337" s="36" t="e">
        <f>AV340-AV341+AV342</f>
        <v>#DIV/0!</v>
      </c>
      <c r="AW337" s="36" t="e">
        <f>AW340-AW341+AW342</f>
        <v>#DIV/0!</v>
      </c>
      <c r="AX337" s="36" t="e">
        <f>AX340-AX341+AX342</f>
        <v>#DIV/0!</v>
      </c>
      <c r="AY337" s="36" t="e">
        <f>AY340-AY341+AY342</f>
        <v>#DIV/0!</v>
      </c>
      <c r="AZ337" s="36" t="e">
        <f>AZ340-AZ341+AZ342</f>
        <v>#DIV/0!</v>
      </c>
      <c r="BA337" s="36" t="e">
        <f>BA340-BA341+BA342</f>
        <v>#DIV/0!</v>
      </c>
      <c r="BB337" s="36" t="e">
        <f>BB340-BB341+BB342</f>
        <v>#DIV/0!</v>
      </c>
      <c r="BC337" s="36" t="e">
        <f>BC340-BC341+BC342</f>
        <v>#DIV/0!</v>
      </c>
      <c r="BD337" s="36" t="e">
        <f>BD340-BD341+BD342</f>
        <v>#DIV/0!</v>
      </c>
      <c r="BE337" s="36" t="e">
        <f>BE340-BE341+BE342</f>
        <v>#DIV/0!</v>
      </c>
      <c r="BF337" s="36" t="e">
        <f>BF340-BF341+BF342</f>
        <v>#DIV/0!</v>
      </c>
      <c r="BG337" s="36" t="e">
        <f>BG340-BG341+BG342</f>
        <v>#DIV/0!</v>
      </c>
      <c r="BH337" s="36" t="e">
        <f>BH340-BH341+BH342</f>
        <v>#DIV/0!</v>
      </c>
      <c r="BI337" s="36" t="e">
        <f>BI340-BI341+BI342</f>
        <v>#DIV/0!</v>
      </c>
      <c r="BJ337" s="36" t="e">
        <f>BJ340-BJ341+BJ342</f>
        <v>#DIV/0!</v>
      </c>
      <c r="BK337" s="36" t="e">
        <f>BK340-BK341+BK342</f>
        <v>#DIV/0!</v>
      </c>
      <c r="BL337" s="36" t="e">
        <f>BL340-BL341+BL342</f>
        <v>#DIV/0!</v>
      </c>
      <c r="BM337" s="36" t="e">
        <f>BM340-BM341+BM342</f>
        <v>#DIV/0!</v>
      </c>
      <c r="BN337" s="36" t="e">
        <f>BN340-BN341+BN342</f>
        <v>#DIV/0!</v>
      </c>
      <c r="BO337" s="36" t="e">
        <f>BO340-BO341+BO342</f>
        <v>#DIV/0!</v>
      </c>
      <c r="BP337" s="36" t="e">
        <f>BP340-BP341+BP342</f>
        <v>#DIV/0!</v>
      </c>
      <c r="BQ337" s="36" t="e">
        <f>BQ340-BQ341+BQ342</f>
        <v>#DIV/0!</v>
      </c>
      <c r="BR337" s="36" t="e">
        <f>BR340-BR341+BR342</f>
        <v>#DIV/0!</v>
      </c>
      <c r="BS337" s="36" t="e">
        <f>BS340-BS341+BS342</f>
        <v>#DIV/0!</v>
      </c>
      <c r="BT337" s="36" t="e">
        <f>BT340-BT341+BT342</f>
        <v>#DIV/0!</v>
      </c>
      <c r="BU337" s="36" t="e">
        <f>BU340-BU341+BU342</f>
        <v>#DIV/0!</v>
      </c>
      <c r="BV337" s="36" t="e">
        <f>BV340-BV341+BV342</f>
        <v>#DIV/0!</v>
      </c>
      <c r="BW337" s="36" t="e">
        <f>BW340-BW341+BW342</f>
        <v>#DIV/0!</v>
      </c>
      <c r="BX337" s="36" t="e">
        <f>BX340-BX341+BX342</f>
        <v>#DIV/0!</v>
      </c>
      <c r="BY337" s="36" t="e">
        <f>BY340-BY341+BY342</f>
        <v>#DIV/0!</v>
      </c>
      <c r="BZ337" s="36" t="e">
        <f>BZ340-BZ341+BZ342</f>
        <v>#DIV/0!</v>
      </c>
      <c r="CA337" s="36" t="e">
        <f>CA340-CA341+CA342</f>
        <v>#DIV/0!</v>
      </c>
      <c r="CB337" s="36" t="e">
        <f>CB340-CB341+CB342</f>
        <v>#DIV/0!</v>
      </c>
      <c r="CC337" s="36" t="e">
        <f>CC340-CC341+CC342</f>
        <v>#DIV/0!</v>
      </c>
      <c r="CD337" s="36" t="e">
        <f>CD340-CD341+CD342</f>
        <v>#DIV/0!</v>
      </c>
      <c r="CE337" s="36" t="e">
        <f>CE340-CE341+CE342</f>
        <v>#DIV/0!</v>
      </c>
      <c r="CF337" s="36" t="e">
        <f>CF340-CF341+CF342</f>
        <v>#DIV/0!</v>
      </c>
      <c r="CG337" s="36" t="e">
        <f>CG340-CG341+CG342</f>
        <v>#DIV/0!</v>
      </c>
      <c r="CH337" s="36" t="e">
        <f>CH340-CH341+CH342</f>
        <v>#DIV/0!</v>
      </c>
      <c r="CI337" s="36" t="e">
        <f>CI340-CI341+CI342</f>
        <v>#DIV/0!</v>
      </c>
      <c r="CJ337" s="36" t="e">
        <f>CJ340-CJ341+CJ342</f>
        <v>#DIV/0!</v>
      </c>
      <c r="CK337" s="36" t="e">
        <f>CK340-CK341+CK342</f>
        <v>#DIV/0!</v>
      </c>
      <c r="CL337" s="36" t="e">
        <f>CL340-CL341+CL342</f>
        <v>#DIV/0!</v>
      </c>
      <c r="CM337" s="36" t="e">
        <f>CM340-CM341+CM342</f>
        <v>#DIV/0!</v>
      </c>
      <c r="CN337" s="36" t="e">
        <f>CN340-CN341+CN342</f>
        <v>#DIV/0!</v>
      </c>
      <c r="CO337" s="36" t="e">
        <f>CO340-CO341+CO342</f>
        <v>#DIV/0!</v>
      </c>
      <c r="CP337" s="36" t="e">
        <f>CP340-CP341+CP342</f>
        <v>#DIV/0!</v>
      </c>
      <c r="CQ337" s="36" t="e">
        <f>CQ340-CQ341+CQ342</f>
        <v>#DIV/0!</v>
      </c>
      <c r="CR337" s="36" t="e">
        <f>CR340-CR341+CR342</f>
        <v>#DIV/0!</v>
      </c>
      <c r="CS337" s="36" t="e">
        <f>CS340-CS341+CS342</f>
        <v>#DIV/0!</v>
      </c>
      <c r="CT337" s="36" t="e">
        <f>CT340-CT341+CT342</f>
        <v>#DIV/0!</v>
      </c>
      <c r="CU337" s="36" t="e">
        <f>CU340-CU341+CU342</f>
        <v>#DIV/0!</v>
      </c>
      <c r="CV337" s="36" t="e">
        <f>CV340-CV341+CV342</f>
        <v>#DIV/0!</v>
      </c>
      <c r="CW337" s="36" t="e">
        <f>CW340-CW341+CW342</f>
        <v>#DIV/0!</v>
      </c>
      <c r="CX337" s="36" t="e">
        <f>CX340-CX341+CX342</f>
        <v>#DIV/0!</v>
      </c>
      <c r="CY337" s="36" t="e">
        <f>CY340-CY341+CY342</f>
        <v>#DIV/0!</v>
      </c>
    </row>
    <row r="338" customFormat="1" s="233">
      <c r="A338" s="224" t="n"/>
      <c r="B338" s="224" t="n"/>
      <c r="C338" s="233" t="inlineStr">
        <is>
          <t>INVESTED CAPITAL - EX GOODWILL</t>
        </is>
      </c>
      <c r="D338" s="241">
        <f>D337-D166</f>
        <v>34847</v>
      </c>
      <c r="E338" s="241">
        <f>E337-E166</f>
        <v>36233</v>
      </c>
      <c r="F338" s="241">
        <f>F337-F166</f>
        <v>36050</v>
      </c>
      <c r="G338" s="241">
        <f>G337-G166</f>
        <v>37234</v>
      </c>
      <c r="H338" s="241">
        <f>H337-H166</f>
        <v>37234</v>
      </c>
      <c r="I338" s="226">
        <f>I337-I166</f>
        <v>38603</v>
      </c>
      <c r="J338" s="226">
        <f>J337-J166</f>
        <v>48265</v>
      </c>
      <c r="K338" s="226">
        <f>K337-K166</f>
        <v>51509</v>
      </c>
      <c r="L338" s="226">
        <f>L337-L166</f>
        <v>54528</v>
      </c>
      <c r="M338" s="226">
        <f>M337-M166</f>
        <v>54528</v>
      </c>
      <c r="N338" s="226">
        <f>N337-N166</f>
        <v>56760</v>
      </c>
      <c r="O338" s="226">
        <f>O337-O166</f>
        <v>25755</v>
      </c>
      <c r="P338" s="226">
        <f>P337-P166</f>
        <v>24983</v>
      </c>
      <c r="Q338" s="226">
        <f>Q337-Q166</f>
        <v>28217</v>
      </c>
      <c r="R338" s="226">
        <f>R337-R166</f>
        <v>28217</v>
      </c>
      <c r="S338" s="226">
        <f>S337-S166</f>
        <v>30891</v>
      </c>
      <c r="T338" s="226">
        <f>T337-T166</f>
        <v>30231</v>
      </c>
      <c r="U338" s="226">
        <f>U337-U166</f>
        <v>28987</v>
      </c>
      <c r="V338" s="226">
        <f>V337-V166</f>
        <v>30743</v>
      </c>
      <c r="W338" s="226">
        <f>W337-W166</f>
        <v>30743</v>
      </c>
      <c r="X338" s="226">
        <f>X337-X166</f>
        <v>31487</v>
      </c>
      <c r="Y338" s="226">
        <f>Y337-Y166</f>
        <v>27960</v>
      </c>
      <c r="Z338" s="226">
        <f>Z337-Z166</f>
        <v>25653</v>
      </c>
      <c r="AA338" s="226">
        <f>AA337-AA166</f>
        <v>25350</v>
      </c>
      <c r="AB338" s="226">
        <f>AB337-AB166</f>
        <v>25350</v>
      </c>
      <c r="AC338" s="226">
        <f>AC337-AC166</f>
        <v>28737</v>
      </c>
      <c r="AD338" s="226">
        <f>AD337-AD166</f>
        <v>27571</v>
      </c>
      <c r="AE338" s="226">
        <f>AE337-AE166</f>
        <v>27773</v>
      </c>
      <c r="AF338" s="226">
        <f>AF337-AF166</f>
        <v>30105</v>
      </c>
      <c r="AG338" s="226">
        <f>AG337-AG166</f>
        <v>30105</v>
      </c>
      <c r="AH338" s="226">
        <f>AH337-AH166</f>
        <v>31096</v>
      </c>
      <c r="AI338" s="226">
        <f>AI337-AI166</f>
        <v>32173</v>
      </c>
      <c r="AJ338" s="226">
        <f>AJ337-AJ166</f>
        <v>23422</v>
      </c>
      <c r="AK338" s="226">
        <f>AK337-AK166</f>
        <v>23422</v>
      </c>
      <c r="AL338" s="226">
        <f>AL337-AL166</f>
        <v>23422</v>
      </c>
      <c r="AM338" s="226" t="e">
        <f>AM337-AM166</f>
        <v>#DIV/0!</v>
      </c>
      <c r="AN338" s="226">
        <f>AN337-AN166</f>
        <v>23422</v>
      </c>
      <c r="AO338" s="226" t="e">
        <f>AO337-AO166</f>
        <v>#DIV/0!</v>
      </c>
      <c r="AP338" s="226" t="e">
        <f>AP337-AP166</f>
        <v>#DIV/0!</v>
      </c>
      <c r="AQ338" s="226" t="e">
        <f>AQ337-AQ166</f>
        <v>#DIV/0!</v>
      </c>
      <c r="AR338" s="226" t="e">
        <f>AR337-AR166</f>
        <v>#DIV/0!</v>
      </c>
      <c r="AS338" s="226" t="e">
        <f>AS337-AS166</f>
        <v>#DIV/0!</v>
      </c>
      <c r="AT338" s="226" t="e">
        <f>AT337-AT166</f>
        <v>#DIV/0!</v>
      </c>
      <c r="AU338" s="226" t="e">
        <f>AU337-AU166</f>
        <v>#DIV/0!</v>
      </c>
      <c r="AV338" s="226" t="e">
        <f>AV337-AV166</f>
        <v>#DIV/0!</v>
      </c>
      <c r="AW338" s="226" t="e">
        <f>AW337-AW166</f>
        <v>#DIV/0!</v>
      </c>
      <c r="AX338" s="226" t="e">
        <f>AX337-AX166</f>
        <v>#DIV/0!</v>
      </c>
      <c r="AY338" s="226" t="e">
        <f>AY337-AY166</f>
        <v>#DIV/0!</v>
      </c>
      <c r="AZ338" s="226" t="e">
        <f>AZ337-AZ166</f>
        <v>#DIV/0!</v>
      </c>
      <c r="BA338" s="226" t="e">
        <f>BA337-BA166</f>
        <v>#DIV/0!</v>
      </c>
      <c r="BB338" s="226" t="e">
        <f>BB337-BB166</f>
        <v>#DIV/0!</v>
      </c>
      <c r="BC338" s="226" t="e">
        <f>BC337-BC166</f>
        <v>#DIV/0!</v>
      </c>
      <c r="BD338" s="226" t="e">
        <f>BD337-BD166</f>
        <v>#DIV/0!</v>
      </c>
      <c r="BE338" s="226" t="e">
        <f>BE337-BE166</f>
        <v>#DIV/0!</v>
      </c>
      <c r="BF338" s="226" t="e">
        <f>BF337-BF166</f>
        <v>#DIV/0!</v>
      </c>
      <c r="BG338" s="226" t="e">
        <f>BG337-BG166</f>
        <v>#DIV/0!</v>
      </c>
      <c r="BH338" s="226" t="e">
        <f>BH337-BH166</f>
        <v>#DIV/0!</v>
      </c>
      <c r="BI338" s="226" t="e">
        <f>BI337-BI166</f>
        <v>#DIV/0!</v>
      </c>
      <c r="BJ338" s="226" t="e">
        <f>BJ337-BJ166</f>
        <v>#DIV/0!</v>
      </c>
      <c r="BK338" s="226" t="e">
        <f>BK337-BK166</f>
        <v>#DIV/0!</v>
      </c>
      <c r="BL338" s="226" t="e">
        <f>BL337-BL166</f>
        <v>#DIV/0!</v>
      </c>
      <c r="BM338" s="226" t="e">
        <f>BM337-BM166</f>
        <v>#DIV/0!</v>
      </c>
      <c r="BN338" s="226" t="e">
        <f>BN337-BN166</f>
        <v>#DIV/0!</v>
      </c>
      <c r="BO338" s="226" t="e">
        <f>BO337-BO166</f>
        <v>#DIV/0!</v>
      </c>
      <c r="BP338" s="226" t="e">
        <f>BP337-BP166</f>
        <v>#DIV/0!</v>
      </c>
      <c r="BQ338" s="226" t="e">
        <f>BQ337-BQ166</f>
        <v>#DIV/0!</v>
      </c>
      <c r="BR338" s="226" t="e">
        <f>BR337-BR166</f>
        <v>#DIV/0!</v>
      </c>
      <c r="BS338" s="226" t="e">
        <f>BS337-BS166</f>
        <v>#DIV/0!</v>
      </c>
      <c r="BT338" s="226" t="e">
        <f>BT337-BT166</f>
        <v>#DIV/0!</v>
      </c>
      <c r="BU338" s="226" t="e">
        <f>BU337-BU166</f>
        <v>#DIV/0!</v>
      </c>
      <c r="BV338" s="226" t="e">
        <f>BV337-BV166</f>
        <v>#DIV/0!</v>
      </c>
      <c r="BW338" s="226" t="e">
        <f>BW337-BW166</f>
        <v>#DIV/0!</v>
      </c>
      <c r="BX338" s="226" t="e">
        <f>BX337-BX166</f>
        <v>#DIV/0!</v>
      </c>
      <c r="BY338" s="226" t="e">
        <f>BY337-BY166</f>
        <v>#DIV/0!</v>
      </c>
      <c r="BZ338" s="226" t="e">
        <f>BZ337-BZ166</f>
        <v>#DIV/0!</v>
      </c>
      <c r="CA338" s="226" t="e">
        <f>CA337-CA166</f>
        <v>#DIV/0!</v>
      </c>
      <c r="CB338" s="226" t="e">
        <f>CB337-CB166</f>
        <v>#DIV/0!</v>
      </c>
      <c r="CC338" s="226" t="e">
        <f>CC337-CC166</f>
        <v>#DIV/0!</v>
      </c>
      <c r="CD338" s="226" t="e">
        <f>CD337-CD166</f>
        <v>#DIV/0!</v>
      </c>
      <c r="CE338" s="226" t="e">
        <f>CE337-CE166</f>
        <v>#DIV/0!</v>
      </c>
      <c r="CF338" s="226" t="e">
        <f>CF337-CF166</f>
        <v>#DIV/0!</v>
      </c>
      <c r="CG338" s="226" t="e">
        <f>CG337-CG166</f>
        <v>#DIV/0!</v>
      </c>
      <c r="CH338" s="226" t="e">
        <f>CH337-CH166</f>
        <v>#DIV/0!</v>
      </c>
      <c r="CI338" s="226" t="e">
        <f>CI337-CI166</f>
        <v>#DIV/0!</v>
      </c>
      <c r="CJ338" s="226" t="e">
        <f>CJ337-CJ166</f>
        <v>#DIV/0!</v>
      </c>
      <c r="CK338" s="226" t="e">
        <f>CK337-CK166</f>
        <v>#DIV/0!</v>
      </c>
      <c r="CL338" s="226" t="e">
        <f>CL337-CL166</f>
        <v>#DIV/0!</v>
      </c>
      <c r="CM338" s="226" t="e">
        <f>CM337-CM166</f>
        <v>#DIV/0!</v>
      </c>
      <c r="CN338" s="226" t="e">
        <f>CN337-CN166</f>
        <v>#DIV/0!</v>
      </c>
      <c r="CO338" s="226" t="e">
        <f>CO337-CO166</f>
        <v>#DIV/0!</v>
      </c>
      <c r="CP338" s="226" t="e">
        <f>CP337-CP166</f>
        <v>#DIV/0!</v>
      </c>
      <c r="CQ338" s="226" t="e">
        <f>CQ337-CQ166</f>
        <v>#DIV/0!</v>
      </c>
      <c r="CR338" s="226" t="e">
        <f>CR337-CR166</f>
        <v>#DIV/0!</v>
      </c>
      <c r="CS338" s="226" t="e">
        <f>CS337-CS166</f>
        <v>#DIV/0!</v>
      </c>
      <c r="CT338" s="226" t="e">
        <f>CT337-CT166</f>
        <v>#DIV/0!</v>
      </c>
      <c r="CU338" s="226" t="e">
        <f>CU337-CU166</f>
        <v>#DIV/0!</v>
      </c>
      <c r="CV338" s="226" t="e">
        <f>CV337-CV166</f>
        <v>#DIV/0!</v>
      </c>
      <c r="CW338" s="226" t="e">
        <f>CW337-CW166</f>
        <v>#DIV/0!</v>
      </c>
      <c r="CX338" s="226" t="e">
        <f>CX337-CX166</f>
        <v>#DIV/0!</v>
      </c>
      <c r="CY338" s="226" t="e">
        <f>CY337-CY166</f>
        <v>#DIV/0!</v>
      </c>
    </row>
    <row r="339" customFormat="1" s="233">
      <c r="A339" s="224" t="n"/>
      <c r="B339" s="224" t="n"/>
      <c r="C339" s="233" t="inlineStr">
        <is>
          <t>OPERATING WORKING CAPITAL</t>
        </is>
      </c>
      <c r="D339" s="242">
        <f>D340-D341</f>
        <v>27851</v>
      </c>
      <c r="E339" s="242">
        <f>E340-E341</f>
        <v>29178</v>
      </c>
      <c r="F339" s="242">
        <f>F340-F341</f>
        <v>28906</v>
      </c>
      <c r="G339" s="242">
        <f>G340-G341</f>
        <v>30151</v>
      </c>
      <c r="H339" s="242">
        <f>H340-H341</f>
        <v>30151</v>
      </c>
      <c r="I339" s="36">
        <f>I340-I341</f>
        <v>37293</v>
      </c>
      <c r="J339" s="36">
        <f>J340-J341</f>
        <v>46998</v>
      </c>
      <c r="K339" s="36">
        <f>K340-K341</f>
        <v>50234</v>
      </c>
      <c r="L339" s="36">
        <f>L340-L341</f>
        <v>53319</v>
      </c>
      <c r="M339" s="36">
        <f>M340-M341</f>
        <v>53319</v>
      </c>
      <c r="N339" s="36">
        <f>N340-N341</f>
        <v>55408</v>
      </c>
      <c r="O339" s="36">
        <f>O340-O341</f>
        <v>-15723</v>
      </c>
      <c r="P339" s="36">
        <f>P340-P341</f>
        <v>-18805</v>
      </c>
      <c r="Q339" s="36">
        <f>Q340-Q341</f>
        <v>-15009</v>
      </c>
      <c r="R339" s="36">
        <f>R340-R341</f>
        <v>-15009</v>
      </c>
      <c r="S339" s="36">
        <f>S340-S341</f>
        <v>-14944</v>
      </c>
      <c r="T339" s="36">
        <f>T340-T341</f>
        <v>-19271</v>
      </c>
      <c r="U339" s="36">
        <f>U340-U341</f>
        <v>-23154</v>
      </c>
      <c r="V339" s="36">
        <f>V340-V341</f>
        <v>-20477</v>
      </c>
      <c r="W339" s="36">
        <f>W340-W341</f>
        <v>-20477</v>
      </c>
      <c r="X339" s="36">
        <f>X340-X341</f>
        <v>-22117</v>
      </c>
      <c r="Y339" s="36">
        <f>Y340-Y341</f>
        <v>-25240</v>
      </c>
      <c r="Z339" s="36">
        <f>Z340-Z341</f>
        <v>-28378</v>
      </c>
      <c r="AA339" s="36">
        <f>AA340-AA341</f>
        <v>-25240</v>
      </c>
      <c r="AB339" s="36">
        <f>AB340-AB341</f>
        <v>-25240</v>
      </c>
      <c r="AC339" s="36">
        <f>AC340-AC341</f>
        <v>-23021</v>
      </c>
      <c r="AD339" s="36">
        <f>AD340-AD341</f>
        <v>-25233</v>
      </c>
      <c r="AE339" s="36">
        <f>AE340-AE341</f>
        <v>-24525</v>
      </c>
      <c r="AF339" s="36">
        <f>AF340-AF341</f>
        <v>-19367</v>
      </c>
      <c r="AG339" s="36">
        <f>AG340-AG341</f>
        <v>-19367</v>
      </c>
      <c r="AH339" s="36">
        <f>AH340-AH341</f>
        <v>-18895</v>
      </c>
      <c r="AI339" s="36">
        <f>AI340-AI341</f>
        <v>-17943</v>
      </c>
      <c r="AJ339" s="36">
        <f>AJ340-AJ341</f>
        <v>-25754</v>
      </c>
      <c r="AK339" s="36">
        <f>AK340-AK341</f>
        <v>-25754</v>
      </c>
      <c r="AL339" s="36">
        <f>AL340-AL341</f>
        <v>-25754</v>
      </c>
      <c r="AM339" s="36" t="e">
        <f>AM340-AM341</f>
        <v>#DIV/0!</v>
      </c>
      <c r="AN339" s="36">
        <f>AN340-AN341</f>
        <v>-25754</v>
      </c>
      <c r="AO339" s="36" t="e">
        <f>AO340-AO341</f>
        <v>#DIV/0!</v>
      </c>
      <c r="AP339" s="36" t="e">
        <f>AP340-AP341</f>
        <v>#DIV/0!</v>
      </c>
      <c r="AQ339" s="36" t="e">
        <f>AQ340-AQ341</f>
        <v>#DIV/0!</v>
      </c>
      <c r="AR339" s="36" t="e">
        <f>AR340-AR341</f>
        <v>#DIV/0!</v>
      </c>
      <c r="AS339" s="36" t="e">
        <f>AS340-AS341</f>
        <v>#DIV/0!</v>
      </c>
      <c r="AT339" s="36" t="e">
        <f>AT340-AT341</f>
        <v>#DIV/0!</v>
      </c>
      <c r="AU339" s="36" t="e">
        <f>AU340-AU341</f>
        <v>#DIV/0!</v>
      </c>
      <c r="AV339" s="36" t="e">
        <f>AV340-AV341</f>
        <v>#DIV/0!</v>
      </c>
      <c r="AW339" s="36" t="e">
        <f>AW340-AW341</f>
        <v>#DIV/0!</v>
      </c>
      <c r="AX339" s="36" t="e">
        <f>AX340-AX341</f>
        <v>#DIV/0!</v>
      </c>
      <c r="AY339" s="36" t="e">
        <f>AY340-AY341</f>
        <v>#DIV/0!</v>
      </c>
      <c r="AZ339" s="36" t="e">
        <f>AZ340-AZ341</f>
        <v>#DIV/0!</v>
      </c>
      <c r="BA339" s="36" t="e">
        <f>BA340-BA341</f>
        <v>#DIV/0!</v>
      </c>
      <c r="BB339" s="36" t="e">
        <f>BB340-BB341</f>
        <v>#DIV/0!</v>
      </c>
      <c r="BC339" s="36" t="e">
        <f>BC340-BC341</f>
        <v>#DIV/0!</v>
      </c>
      <c r="BD339" s="36" t="e">
        <f>BD340-BD341</f>
        <v>#DIV/0!</v>
      </c>
      <c r="BE339" s="36" t="e">
        <f>BE340-BE341</f>
        <v>#DIV/0!</v>
      </c>
      <c r="BF339" s="36" t="e">
        <f>BF340-BF341</f>
        <v>#DIV/0!</v>
      </c>
      <c r="BG339" s="36" t="e">
        <f>BG340-BG341</f>
        <v>#DIV/0!</v>
      </c>
      <c r="BH339" s="36" t="e">
        <f>BH340-BH341</f>
        <v>#DIV/0!</v>
      </c>
      <c r="BI339" s="36" t="e">
        <f>BI340-BI341</f>
        <v>#DIV/0!</v>
      </c>
      <c r="BJ339" s="36" t="e">
        <f>BJ340-BJ341</f>
        <v>#DIV/0!</v>
      </c>
      <c r="BK339" s="36" t="e">
        <f>BK340-BK341</f>
        <v>#DIV/0!</v>
      </c>
      <c r="BL339" s="36" t="e">
        <f>BL340-BL341</f>
        <v>#DIV/0!</v>
      </c>
      <c r="BM339" s="36" t="e">
        <f>BM340-BM341</f>
        <v>#DIV/0!</v>
      </c>
      <c r="BN339" s="36" t="e">
        <f>BN340-BN341</f>
        <v>#DIV/0!</v>
      </c>
      <c r="BO339" s="36" t="e">
        <f>BO340-BO341</f>
        <v>#DIV/0!</v>
      </c>
      <c r="BP339" s="36" t="e">
        <f>BP340-BP341</f>
        <v>#DIV/0!</v>
      </c>
      <c r="BQ339" s="36" t="e">
        <f>BQ340-BQ341</f>
        <v>#DIV/0!</v>
      </c>
      <c r="BR339" s="36" t="e">
        <f>BR340-BR341</f>
        <v>#DIV/0!</v>
      </c>
      <c r="BS339" s="36" t="e">
        <f>BS340-BS341</f>
        <v>#DIV/0!</v>
      </c>
      <c r="BT339" s="36" t="e">
        <f>BT340-BT341</f>
        <v>#DIV/0!</v>
      </c>
      <c r="BU339" s="36" t="e">
        <f>BU340-BU341</f>
        <v>#DIV/0!</v>
      </c>
      <c r="BV339" s="36" t="e">
        <f>BV340-BV341</f>
        <v>#DIV/0!</v>
      </c>
      <c r="BW339" s="36" t="e">
        <f>BW340-BW341</f>
        <v>#DIV/0!</v>
      </c>
      <c r="BX339" s="36" t="e">
        <f>BX340-BX341</f>
        <v>#DIV/0!</v>
      </c>
      <c r="BY339" s="36" t="e">
        <f>BY340-BY341</f>
        <v>#DIV/0!</v>
      </c>
      <c r="BZ339" s="36" t="e">
        <f>BZ340-BZ341</f>
        <v>#DIV/0!</v>
      </c>
      <c r="CA339" s="36" t="e">
        <f>CA340-CA341</f>
        <v>#DIV/0!</v>
      </c>
      <c r="CB339" s="36" t="e">
        <f>CB340-CB341</f>
        <v>#DIV/0!</v>
      </c>
      <c r="CC339" s="36" t="e">
        <f>CC340-CC341</f>
        <v>#DIV/0!</v>
      </c>
      <c r="CD339" s="36" t="e">
        <f>CD340-CD341</f>
        <v>#DIV/0!</v>
      </c>
      <c r="CE339" s="36" t="e">
        <f>CE340-CE341</f>
        <v>#DIV/0!</v>
      </c>
      <c r="CF339" s="36" t="e">
        <f>CF340-CF341</f>
        <v>#DIV/0!</v>
      </c>
      <c r="CG339" s="36" t="e">
        <f>CG340-CG341</f>
        <v>#DIV/0!</v>
      </c>
      <c r="CH339" s="36" t="e">
        <f>CH340-CH341</f>
        <v>#DIV/0!</v>
      </c>
      <c r="CI339" s="36" t="e">
        <f>CI340-CI341</f>
        <v>#DIV/0!</v>
      </c>
      <c r="CJ339" s="36" t="e">
        <f>CJ340-CJ341</f>
        <v>#DIV/0!</v>
      </c>
      <c r="CK339" s="36" t="e">
        <f>CK340-CK341</f>
        <v>#DIV/0!</v>
      </c>
      <c r="CL339" s="36" t="e">
        <f>CL340-CL341</f>
        <v>#DIV/0!</v>
      </c>
      <c r="CM339" s="36" t="e">
        <f>CM340-CM341</f>
        <v>#DIV/0!</v>
      </c>
      <c r="CN339" s="36" t="e">
        <f>CN340-CN341</f>
        <v>#DIV/0!</v>
      </c>
      <c r="CO339" s="36" t="e">
        <f>CO340-CO341</f>
        <v>#DIV/0!</v>
      </c>
      <c r="CP339" s="36" t="e">
        <f>CP340-CP341</f>
        <v>#DIV/0!</v>
      </c>
      <c r="CQ339" s="36" t="e">
        <f>CQ340-CQ341</f>
        <v>#DIV/0!</v>
      </c>
      <c r="CR339" s="36" t="e">
        <f>CR340-CR341</f>
        <v>#DIV/0!</v>
      </c>
      <c r="CS339" s="36" t="e">
        <f>CS340-CS341</f>
        <v>#DIV/0!</v>
      </c>
      <c r="CT339" s="36" t="e">
        <f>CT340-CT341</f>
        <v>#DIV/0!</v>
      </c>
      <c r="CU339" s="36" t="e">
        <f>CU340-CU341</f>
        <v>#DIV/0!</v>
      </c>
      <c r="CV339" s="36" t="e">
        <f>CV340-CV341</f>
        <v>#DIV/0!</v>
      </c>
      <c r="CW339" s="36" t="e">
        <f>CW340-CW341</f>
        <v>#DIV/0!</v>
      </c>
      <c r="CX339" s="36" t="e">
        <f>CX340-CX341</f>
        <v>#DIV/0!</v>
      </c>
      <c r="CY339" s="36" t="e">
        <f>CY340-CY341</f>
        <v>#DIV/0!</v>
      </c>
    </row>
    <row r="340" customFormat="1" s="233">
      <c r="A340" s="224" t="n"/>
      <c r="B340" s="224" t="n"/>
      <c r="C340" s="233" t="inlineStr">
        <is>
          <t>CURRENT ASSETS</t>
        </is>
      </c>
      <c r="D340" s="241">
        <f>D132+D136+D140+D141+D142</f>
        <v>58513</v>
      </c>
      <c r="E340" s="241">
        <f>E132+E136+E140+E141+E142</f>
        <v>59035</v>
      </c>
      <c r="F340" s="241">
        <f>F132+F136+F140+F141+F142</f>
        <v>57800</v>
      </c>
      <c r="G340" s="241">
        <f>G132+G136+G140+G141+G142</f>
        <v>58241</v>
      </c>
      <c r="H340" s="241">
        <f>H132+H136+H140+H141+H142</f>
        <v>58241</v>
      </c>
      <c r="I340" s="226">
        <f>I132+I136+I140+I141+I142</f>
        <v>67297</v>
      </c>
      <c r="J340" s="226">
        <f>J132+J136+J140+J141+J142</f>
        <v>68754</v>
      </c>
      <c r="K340" s="226">
        <f>K132+K136+K140+K141+K142</f>
        <v>71531</v>
      </c>
      <c r="L340" s="226">
        <f>L132+L136+L140+L141+L142</f>
        <v>70741</v>
      </c>
      <c r="M340" s="226">
        <f>M132+M136+M140+M141+M142</f>
        <v>70741</v>
      </c>
      <c r="N340" s="226">
        <f>N132+N136+N140+N141+N142</f>
        <v>75057</v>
      </c>
      <c r="O340" s="226">
        <f>O132+O136+O140+O141+O142</f>
        <v>37226</v>
      </c>
      <c r="P340" s="226">
        <f>P132+P136+P140+P141+P142</f>
        <v>37781</v>
      </c>
      <c r="Q340" s="226">
        <f>Q132+Q136+Q140+Q141+Q142</f>
        <v>40527</v>
      </c>
      <c r="R340" s="226">
        <f>R132+R136+R140+R141+R142</f>
        <v>40527</v>
      </c>
      <c r="S340" s="226">
        <f>S132+S136+S140+S141+S142</f>
        <v>43282</v>
      </c>
      <c r="T340" s="226">
        <f>T132+T136+T140+T141+T142</f>
        <v>43325</v>
      </c>
      <c r="U340" s="226">
        <f>U132+U136+U140+U141+U142</f>
        <v>40588</v>
      </c>
      <c r="V340" s="226">
        <f>V132+V136+V140+V141+V142</f>
        <v>41048</v>
      </c>
      <c r="W340" s="226">
        <f>W132+W136+W140+W141+W142</f>
        <v>41048</v>
      </c>
      <c r="X340" s="226">
        <f>X132+X136+X140+X141+X142</f>
        <v>42535</v>
      </c>
      <c r="Y340" s="226">
        <f>Y132+Y136+Y140+Y141+Y142</f>
        <v>43677</v>
      </c>
      <c r="Z340" s="226">
        <f>Z132+Z136+Z140+Z141+Z142</f>
        <v>42006</v>
      </c>
      <c r="AA340" s="226">
        <f>AA132+AA136+AA140+AA141+AA142</f>
        <v>42056</v>
      </c>
      <c r="AB340" s="226">
        <f>AB132+AB136+AB140+AB141+AB142</f>
        <v>42056</v>
      </c>
      <c r="AC340" s="226">
        <f>AC132+AC136+AC140+AC141+AC142</f>
        <v>42460</v>
      </c>
      <c r="AD340" s="226">
        <f>AD132+AD136+AD140+AD141+AD142</f>
        <v>42224</v>
      </c>
      <c r="AE340" s="226">
        <f>AE132+AE136+AE140+AE141+AE142</f>
        <v>41234</v>
      </c>
      <c r="AF340" s="226">
        <f>AF132+AF136+AF140+AF141+AF142</f>
        <v>42886</v>
      </c>
      <c r="AG340" s="226">
        <f>AG132+AG136+AG140+AG141+AG142</f>
        <v>42886</v>
      </c>
      <c r="AH340" s="226">
        <f>AH132+AH136+AH140+AH141+AH142</f>
        <v>44592</v>
      </c>
      <c r="AI340" s="226">
        <f>AI132+AI136+AI140+AI141+AI142</f>
        <v>44097</v>
      </c>
      <c r="AJ340" s="226">
        <f>AJ132+AJ136+AJ140+AJ141+AJ142</f>
        <v>36286</v>
      </c>
      <c r="AK340" s="226">
        <f>AK132+AK136+AK140+AK141+AK142</f>
        <v>36286</v>
      </c>
      <c r="AL340" s="226">
        <f>AL132+AL136+AL140+AL141+AL142</f>
        <v>36286</v>
      </c>
      <c r="AM340" s="226">
        <f>AM132+AM136+AM140+AM141+AM142</f>
        <v>36286</v>
      </c>
      <c r="AN340" s="226">
        <f>AN132+AN136+AN140+AN141+AN142</f>
        <v>36286</v>
      </c>
      <c r="AO340" s="226">
        <f>AO132+AO136+AO140+AO141+AO142</f>
        <v>36286</v>
      </c>
      <c r="AP340" s="226">
        <f>AP132+AP136+AP140+AP141+AP142</f>
        <v>36286</v>
      </c>
      <c r="AQ340" s="226">
        <f>AQ132+AQ136+AQ140+AQ141+AQ142</f>
        <v>36286</v>
      </c>
      <c r="AR340" s="226">
        <f>AR132+AR136+AR140+AR141+AR142</f>
        <v>36286</v>
      </c>
      <c r="AS340" s="226">
        <f>AS132+AS136+AS140+AS141+AS142</f>
        <v>36286</v>
      </c>
      <c r="AT340" s="226">
        <f>AT132+AT136+AT140+AT141+AT142</f>
        <v>36286</v>
      </c>
      <c r="AU340" s="226">
        <f>AU132+AU136+AU140+AU141+AU142</f>
        <v>36286</v>
      </c>
      <c r="AV340" s="226">
        <f>AV132+AV136+AV140+AV141+AV142</f>
        <v>36286</v>
      </c>
      <c r="AW340" s="226">
        <f>AW132+AW136+AW140+AW141+AW142</f>
        <v>36286</v>
      </c>
      <c r="AX340" s="226">
        <f>AX132+AX136+AX140+AX141+AX142</f>
        <v>36286</v>
      </c>
      <c r="AY340" s="226">
        <f>AY132+AY136+AY140+AY141+AY142</f>
        <v>36286</v>
      </c>
      <c r="AZ340" s="226">
        <f>AZ132+AZ136+AZ140+AZ141+AZ142</f>
        <v>36286</v>
      </c>
      <c r="BA340" s="226">
        <f>BA132+BA136+BA140+BA141+BA142</f>
        <v>36286</v>
      </c>
      <c r="BB340" s="226">
        <f>BB132+BB136+BB140+BB141+BB142</f>
        <v>36286</v>
      </c>
      <c r="BC340" s="226">
        <f>BC132+BC136+BC140+BC141+BC142</f>
        <v>36286</v>
      </c>
      <c r="BD340" s="226">
        <f>BD132+BD136+BD140+BD141+BD142</f>
        <v>36286</v>
      </c>
      <c r="BE340" s="226">
        <f>BE132+BE136+BE140+BE141+BE142</f>
        <v>36286</v>
      </c>
      <c r="BF340" s="226">
        <f>BF132+BF136+BF140+BF141+BF142</f>
        <v>36286</v>
      </c>
      <c r="BG340" s="226">
        <f>BG132+BG136+BG140+BG141+BG142</f>
        <v>36286</v>
      </c>
      <c r="BH340" s="226">
        <f>BH132+BH136+BH140+BH141+BH142</f>
        <v>36286</v>
      </c>
      <c r="BI340" s="226">
        <f>BI132+BI136+BI140+BI141+BI142</f>
        <v>36286</v>
      </c>
      <c r="BJ340" s="226">
        <f>BJ132+BJ136+BJ140+BJ141+BJ142</f>
        <v>36286</v>
      </c>
      <c r="BK340" s="226">
        <f>BK132+BK136+BK140+BK141+BK142</f>
        <v>36286</v>
      </c>
      <c r="BL340" s="226">
        <f>BL132+BL136+BL140+BL141+BL142</f>
        <v>36286</v>
      </c>
      <c r="BM340" s="226">
        <f>BM132+BM136+BM140+BM141+BM142</f>
        <v>36286</v>
      </c>
      <c r="BN340" s="226">
        <f>BN132+BN136+BN140+BN141+BN142</f>
        <v>36286</v>
      </c>
      <c r="BO340" s="226">
        <f>BO132+BO136+BO140+BO141+BO142</f>
        <v>36286</v>
      </c>
      <c r="BP340" s="226">
        <f>BP132+BP136+BP140+BP141+BP142</f>
        <v>36286</v>
      </c>
      <c r="BQ340" s="226">
        <f>BQ132+BQ136+BQ140+BQ141+BQ142</f>
        <v>36286</v>
      </c>
      <c r="BR340" s="226">
        <f>BR132+BR136+BR140+BR141+BR142</f>
        <v>36286</v>
      </c>
      <c r="BS340" s="226">
        <f>BS132+BS136+BS140+BS141+BS142</f>
        <v>36286</v>
      </c>
      <c r="BT340" s="226">
        <f>BT132+BT136+BT140+BT141+BT142</f>
        <v>36286</v>
      </c>
      <c r="BU340" s="226">
        <f>BU132+BU136+BU140+BU141+BU142</f>
        <v>36286</v>
      </c>
      <c r="BV340" s="226">
        <f>BV132+BV136+BV140+BV141+BV142</f>
        <v>36286</v>
      </c>
      <c r="BW340" s="226">
        <f>BW132+BW136+BW140+BW141+BW142</f>
        <v>36286</v>
      </c>
      <c r="BX340" s="226">
        <f>BX132+BX136+BX140+BX141+BX142</f>
        <v>36286</v>
      </c>
      <c r="BY340" s="226">
        <f>BY132+BY136+BY140+BY141+BY142</f>
        <v>36286</v>
      </c>
      <c r="BZ340" s="226">
        <f>BZ132+BZ136+BZ140+BZ141+BZ142</f>
        <v>36286</v>
      </c>
      <c r="CA340" s="226">
        <f>CA132+CA136+CA140+CA141+CA142</f>
        <v>36286</v>
      </c>
      <c r="CB340" s="226">
        <f>CB132+CB136+CB140+CB141+CB142</f>
        <v>36286</v>
      </c>
      <c r="CC340" s="226">
        <f>CC132+CC136+CC140+CC141+CC142</f>
        <v>36286</v>
      </c>
      <c r="CD340" s="226">
        <f>CD132+CD136+CD140+CD141+CD142</f>
        <v>36286</v>
      </c>
      <c r="CE340" s="226">
        <f>CE132+CE136+CE140+CE141+CE142</f>
        <v>36286</v>
      </c>
      <c r="CF340" s="226">
        <f>CF132+CF136+CF140+CF141+CF142</f>
        <v>36286</v>
      </c>
      <c r="CG340" s="226">
        <f>CG132+CG136+CG140+CG141+CG142</f>
        <v>36286</v>
      </c>
      <c r="CH340" s="226">
        <f>CH132+CH136+CH140+CH141+CH142</f>
        <v>36286</v>
      </c>
      <c r="CI340" s="226">
        <f>CI132+CI136+CI140+CI141+CI142</f>
        <v>36286</v>
      </c>
      <c r="CJ340" s="226">
        <f>CJ132+CJ136+CJ140+CJ141+CJ142</f>
        <v>36286</v>
      </c>
      <c r="CK340" s="226">
        <f>CK132+CK136+CK140+CK141+CK142</f>
        <v>36286</v>
      </c>
      <c r="CL340" s="226">
        <f>CL132+CL136+CL140+CL141+CL142</f>
        <v>36286</v>
      </c>
      <c r="CM340" s="226">
        <f>CM132+CM136+CM140+CM141+CM142</f>
        <v>36286</v>
      </c>
      <c r="CN340" s="226">
        <f>CN132+CN136+CN140+CN141+CN142</f>
        <v>36286</v>
      </c>
      <c r="CO340" s="226">
        <f>CO132+CO136+CO140+CO141+CO142</f>
        <v>36286</v>
      </c>
      <c r="CP340" s="226">
        <f>CP132+CP136+CP140+CP141+CP142</f>
        <v>36286</v>
      </c>
      <c r="CQ340" s="226">
        <f>CQ132+CQ136+CQ140+CQ141+CQ142</f>
        <v>36286</v>
      </c>
      <c r="CR340" s="226">
        <f>CR132+CR136+CR140+CR141+CR142</f>
        <v>36286</v>
      </c>
      <c r="CS340" s="226">
        <f>CS132+CS136+CS140+CS141+CS142</f>
        <v>36286</v>
      </c>
      <c r="CT340" s="226">
        <f>CT132+CT136+CT140+CT141+CT142</f>
        <v>36286</v>
      </c>
      <c r="CU340" s="226">
        <f>CU132+CU136+CU140+CU141+CU142</f>
        <v>36286</v>
      </c>
      <c r="CV340" s="226">
        <f>CV132+CV136+CV140+CV141+CV142</f>
        <v>36286</v>
      </c>
      <c r="CW340" s="226">
        <f>CW132+CW136+CW140+CW141+CW142</f>
        <v>36286</v>
      </c>
      <c r="CX340" s="226">
        <f>CX132+CX136+CX140+CX141+CX142</f>
        <v>36286</v>
      </c>
      <c r="CY340" s="226">
        <f>CY132+CY136+CY140+CY141+CY142</f>
        <v>36286</v>
      </c>
    </row>
    <row r="341" customFormat="1" s="233">
      <c r="A341" s="224" t="n"/>
      <c r="B341" s="224" t="n"/>
      <c r="C341" s="233" t="inlineStr">
        <is>
          <t>CURRENT LIABILITIES</t>
        </is>
      </c>
      <c r="D341" s="241">
        <f>D185+D189+D191+D192</f>
        <v>30662</v>
      </c>
      <c r="E341" s="241">
        <f>E185+E189+E191+E192</f>
        <v>29857</v>
      </c>
      <c r="F341" s="241">
        <f>F185+F189+F191+F192</f>
        <v>28894</v>
      </c>
      <c r="G341" s="241">
        <f>G185+G189+G191+G192</f>
        <v>28090</v>
      </c>
      <c r="H341" s="241">
        <f>H185+H189+H191+H192</f>
        <v>28090</v>
      </c>
      <c r="I341" s="226">
        <f>I185+I189+I191+I192</f>
        <v>30004</v>
      </c>
      <c r="J341" s="226">
        <f>J185+J189+J191+J192</f>
        <v>21756</v>
      </c>
      <c r="K341" s="226">
        <f>K185+K189+K191+K192</f>
        <v>21297</v>
      </c>
      <c r="L341" s="226">
        <f>L185+L189+L191+L192</f>
        <v>17422</v>
      </c>
      <c r="M341" s="226">
        <f>M185+M189+M191+M192</f>
        <v>17422</v>
      </c>
      <c r="N341" s="226">
        <f>N185+N189+N191+N192</f>
        <v>19649</v>
      </c>
      <c r="O341" s="226">
        <f>O185+O189+O191+O192</f>
        <v>52949</v>
      </c>
      <c r="P341" s="226">
        <f>P185+P189+P191+P192</f>
        <v>56586</v>
      </c>
      <c r="Q341" s="226">
        <f>Q185+Q189+Q191+Q192</f>
        <v>55536</v>
      </c>
      <c r="R341" s="226">
        <f>R185+R189+R191+R192</f>
        <v>55536</v>
      </c>
      <c r="S341" s="226">
        <f>S185+S189+S191+S192</f>
        <v>58226</v>
      </c>
      <c r="T341" s="226">
        <f>T185+T189+T191+T192</f>
        <v>62596</v>
      </c>
      <c r="U341" s="226">
        <f>U185+U189+U191+U192</f>
        <v>63742</v>
      </c>
      <c r="V341" s="226">
        <f>V185+V189+V191+V192</f>
        <v>61525</v>
      </c>
      <c r="W341" s="226">
        <f>W185+W189+W191+W192</f>
        <v>61525</v>
      </c>
      <c r="X341" s="226">
        <f>X185+X189+X191+X192</f>
        <v>64652</v>
      </c>
      <c r="Y341" s="226">
        <f>Y185+Y189+Y191+Y192</f>
        <v>68917</v>
      </c>
      <c r="Z341" s="226">
        <f>Z185+Z189+Z191+Z192</f>
        <v>70384</v>
      </c>
      <c r="AA341" s="226">
        <f>AA185+AA189+AA191+AA192</f>
        <v>67296</v>
      </c>
      <c r="AB341" s="226">
        <f>AB185+AB189+AB191+AB192</f>
        <v>67296</v>
      </c>
      <c r="AC341" s="226">
        <f>AC185+AC189+AC191+AC192</f>
        <v>65481</v>
      </c>
      <c r="AD341" s="226">
        <f>AD185+AD189+AD191+AD192</f>
        <v>67457</v>
      </c>
      <c r="AE341" s="226">
        <f>AE185+AE189+AE191+AE192</f>
        <v>65759</v>
      </c>
      <c r="AF341" s="226">
        <f>AF185+AF189+AF191+AF192</f>
        <v>62253</v>
      </c>
      <c r="AG341" s="226">
        <f>AG185+AG189+AG191+AG192</f>
        <v>62253</v>
      </c>
      <c r="AH341" s="226">
        <f>AH185+AH189+AH191+AH192</f>
        <v>63487</v>
      </c>
      <c r="AI341" s="226">
        <f>AI185+AI189+AI191+AI192</f>
        <v>62040</v>
      </c>
      <c r="AJ341" s="226">
        <f>AJ185+AJ189+AJ191+AJ192</f>
        <v>62040</v>
      </c>
      <c r="AK341" s="226">
        <f>AK185+AK189+AK191+AK192</f>
        <v>62040</v>
      </c>
      <c r="AL341" s="226">
        <f>AL185+AL189+AL191+AL192</f>
        <v>62040</v>
      </c>
      <c r="AM341" s="226" t="e">
        <f>AM185+AM189+AM191+AM192</f>
        <v>#DIV/0!</v>
      </c>
      <c r="AN341" s="226">
        <f>AN185+AN189+AN191+AN192</f>
        <v>62040</v>
      </c>
      <c r="AO341" s="226" t="e">
        <f>AO185+AO189+AO191+AO192</f>
        <v>#DIV/0!</v>
      </c>
      <c r="AP341" s="226" t="e">
        <f>AP185+AP189+AP191+AP192</f>
        <v>#DIV/0!</v>
      </c>
      <c r="AQ341" s="226" t="e">
        <f>AQ185+AQ189+AQ191+AQ192</f>
        <v>#DIV/0!</v>
      </c>
      <c r="AR341" s="226" t="e">
        <f>AR185+AR189+AR191+AR192</f>
        <v>#DIV/0!</v>
      </c>
      <c r="AS341" s="226" t="e">
        <f>AS185+AS189+AS191+AS192</f>
        <v>#DIV/0!</v>
      </c>
      <c r="AT341" s="226" t="e">
        <f>AT185+AT189+AT191+AT192</f>
        <v>#DIV/0!</v>
      </c>
      <c r="AU341" s="226" t="e">
        <f>AU185+AU189+AU191+AU192</f>
        <v>#DIV/0!</v>
      </c>
      <c r="AV341" s="226" t="e">
        <f>AV185+AV189+AV191+AV192</f>
        <v>#DIV/0!</v>
      </c>
      <c r="AW341" s="226" t="e">
        <f>AW185+AW189+AW191+AW192</f>
        <v>#DIV/0!</v>
      </c>
      <c r="AX341" s="226" t="e">
        <f>AX185+AX189+AX191+AX192</f>
        <v>#DIV/0!</v>
      </c>
      <c r="AY341" s="226" t="e">
        <f>AY185+AY189+AY191+AY192</f>
        <v>#DIV/0!</v>
      </c>
      <c r="AZ341" s="226" t="e">
        <f>AZ185+AZ189+AZ191+AZ192</f>
        <v>#DIV/0!</v>
      </c>
      <c r="BA341" s="226" t="e">
        <f>BA185+BA189+BA191+BA192</f>
        <v>#DIV/0!</v>
      </c>
      <c r="BB341" s="226" t="e">
        <f>BB185+BB189+BB191+BB192</f>
        <v>#DIV/0!</v>
      </c>
      <c r="BC341" s="226" t="e">
        <f>BC185+BC189+BC191+BC192</f>
        <v>#DIV/0!</v>
      </c>
      <c r="BD341" s="226" t="e">
        <f>BD185+BD189+BD191+BD192</f>
        <v>#DIV/0!</v>
      </c>
      <c r="BE341" s="226" t="e">
        <f>BE185+BE189+BE191+BE192</f>
        <v>#DIV/0!</v>
      </c>
      <c r="BF341" s="226" t="e">
        <f>BF185+BF189+BF191+BF192</f>
        <v>#DIV/0!</v>
      </c>
      <c r="BG341" s="226" t="e">
        <f>BG185+BG189+BG191+BG192</f>
        <v>#DIV/0!</v>
      </c>
      <c r="BH341" s="226" t="e">
        <f>BH185+BH189+BH191+BH192</f>
        <v>#DIV/0!</v>
      </c>
      <c r="BI341" s="226" t="e">
        <f>BI185+BI189+BI191+BI192</f>
        <v>#DIV/0!</v>
      </c>
      <c r="BJ341" s="226" t="e">
        <f>BJ185+BJ189+BJ191+BJ192</f>
        <v>#DIV/0!</v>
      </c>
      <c r="BK341" s="226" t="e">
        <f>BK185+BK189+BK191+BK192</f>
        <v>#DIV/0!</v>
      </c>
      <c r="BL341" s="226" t="e">
        <f>BL185+BL189+BL191+BL192</f>
        <v>#DIV/0!</v>
      </c>
      <c r="BM341" s="226" t="e">
        <f>BM185+BM189+BM191+BM192</f>
        <v>#DIV/0!</v>
      </c>
      <c r="BN341" s="226" t="e">
        <f>BN185+BN189+BN191+BN192</f>
        <v>#DIV/0!</v>
      </c>
      <c r="BO341" s="226" t="e">
        <f>BO185+BO189+BO191+BO192</f>
        <v>#DIV/0!</v>
      </c>
      <c r="BP341" s="226" t="e">
        <f>BP185+BP189+BP191+BP192</f>
        <v>#DIV/0!</v>
      </c>
      <c r="BQ341" s="226" t="e">
        <f>BQ185+BQ189+BQ191+BQ192</f>
        <v>#DIV/0!</v>
      </c>
      <c r="BR341" s="226" t="e">
        <f>BR185+BR189+BR191+BR192</f>
        <v>#DIV/0!</v>
      </c>
      <c r="BS341" s="226" t="e">
        <f>BS185+BS189+BS191+BS192</f>
        <v>#DIV/0!</v>
      </c>
      <c r="BT341" s="226" t="e">
        <f>BT185+BT189+BT191+BT192</f>
        <v>#DIV/0!</v>
      </c>
      <c r="BU341" s="226" t="e">
        <f>BU185+BU189+BU191+BU192</f>
        <v>#DIV/0!</v>
      </c>
      <c r="BV341" s="226" t="e">
        <f>BV185+BV189+BV191+BV192</f>
        <v>#DIV/0!</v>
      </c>
      <c r="BW341" s="226" t="e">
        <f>BW185+BW189+BW191+BW192</f>
        <v>#DIV/0!</v>
      </c>
      <c r="BX341" s="226" t="e">
        <f>BX185+BX189+BX191+BX192</f>
        <v>#DIV/0!</v>
      </c>
      <c r="BY341" s="226" t="e">
        <f>BY185+BY189+BY191+BY192</f>
        <v>#DIV/0!</v>
      </c>
      <c r="BZ341" s="226" t="e">
        <f>BZ185+BZ189+BZ191+BZ192</f>
        <v>#DIV/0!</v>
      </c>
      <c r="CA341" s="226" t="e">
        <f>CA185+CA189+CA191+CA192</f>
        <v>#DIV/0!</v>
      </c>
      <c r="CB341" s="226" t="e">
        <f>CB185+CB189+CB191+CB192</f>
        <v>#DIV/0!</v>
      </c>
      <c r="CC341" s="226" t="e">
        <f>CC185+CC189+CC191+CC192</f>
        <v>#DIV/0!</v>
      </c>
      <c r="CD341" s="226" t="e">
        <f>CD185+CD189+CD191+CD192</f>
        <v>#DIV/0!</v>
      </c>
      <c r="CE341" s="226" t="e">
        <f>CE185+CE189+CE191+CE192</f>
        <v>#DIV/0!</v>
      </c>
      <c r="CF341" s="226" t="e">
        <f>CF185+CF189+CF191+CF192</f>
        <v>#DIV/0!</v>
      </c>
      <c r="CG341" s="226" t="e">
        <f>CG185+CG189+CG191+CG192</f>
        <v>#DIV/0!</v>
      </c>
      <c r="CH341" s="226" t="e">
        <f>CH185+CH189+CH191+CH192</f>
        <v>#DIV/0!</v>
      </c>
      <c r="CI341" s="226" t="e">
        <f>CI185+CI189+CI191+CI192</f>
        <v>#DIV/0!</v>
      </c>
      <c r="CJ341" s="226" t="e">
        <f>CJ185+CJ189+CJ191+CJ192</f>
        <v>#DIV/0!</v>
      </c>
      <c r="CK341" s="226" t="e">
        <f>CK185+CK189+CK191+CK192</f>
        <v>#DIV/0!</v>
      </c>
      <c r="CL341" s="226" t="e">
        <f>CL185+CL189+CL191+CL192</f>
        <v>#DIV/0!</v>
      </c>
      <c r="CM341" s="226" t="e">
        <f>CM185+CM189+CM191+CM192</f>
        <v>#DIV/0!</v>
      </c>
      <c r="CN341" s="226" t="e">
        <f>CN185+CN189+CN191+CN192</f>
        <v>#DIV/0!</v>
      </c>
      <c r="CO341" s="226" t="e">
        <f>CO185+CO189+CO191+CO192</f>
        <v>#DIV/0!</v>
      </c>
      <c r="CP341" s="226" t="e">
        <f>CP185+CP189+CP191+CP192</f>
        <v>#DIV/0!</v>
      </c>
      <c r="CQ341" s="226" t="e">
        <f>CQ185+CQ189+CQ191+CQ192</f>
        <v>#DIV/0!</v>
      </c>
      <c r="CR341" s="226" t="e">
        <f>CR185+CR189+CR191+CR192</f>
        <v>#DIV/0!</v>
      </c>
      <c r="CS341" s="226" t="e">
        <f>CS185+CS189+CS191+CS192</f>
        <v>#DIV/0!</v>
      </c>
      <c r="CT341" s="226" t="e">
        <f>CT185+CT189+CT191+CT192</f>
        <v>#DIV/0!</v>
      </c>
      <c r="CU341" s="226" t="e">
        <f>CU185+CU189+CU191+CU192</f>
        <v>#DIV/0!</v>
      </c>
      <c r="CV341" s="226" t="e">
        <f>CV185+CV189+CV191+CV192</f>
        <v>#DIV/0!</v>
      </c>
      <c r="CW341" s="226" t="e">
        <f>CW185+CW189+CW191+CW192</f>
        <v>#DIV/0!</v>
      </c>
      <c r="CX341" s="226" t="e">
        <f>CX185+CX189+CX191+CX192</f>
        <v>#DIV/0!</v>
      </c>
      <c r="CY341" s="226" t="e">
        <f>CY185+CY189+CY191+CY192</f>
        <v>#DIV/0!</v>
      </c>
    </row>
    <row r="342" customFormat="1" s="233">
      <c r="A342" s="224" t="n"/>
      <c r="B342" s="224" t="n"/>
      <c r="C342" s="233" t="inlineStr">
        <is>
          <t>FIXED ASSETS</t>
        </is>
      </c>
      <c r="D342" s="241">
        <f>D153+D163+D166+D167+D176-D227</f>
        <v>9913</v>
      </c>
      <c r="E342" s="241">
        <f>E153+E163+E166+E167+E176-E227</f>
        <v>10039</v>
      </c>
      <c r="F342" s="241">
        <f>F153+F163+F166+F167+F176-F227</f>
        <v>10225</v>
      </c>
      <c r="G342" s="241">
        <f>G153+G163+G166+G167+G176-G227</f>
        <v>10277</v>
      </c>
      <c r="H342" s="241">
        <f>H153+H163+H166+H167+H176-H227</f>
        <v>10277</v>
      </c>
      <c r="I342" s="226">
        <f>I153+I163+I166+I167+I176-I227</f>
        <v>4500</v>
      </c>
      <c r="J342" s="226">
        <f>J153+J163+J166+J167+J176-J227</f>
        <v>4415</v>
      </c>
      <c r="K342" s="226">
        <f>K153+K163+K166+K167+K176-K227</f>
        <v>4566</v>
      </c>
      <c r="L342" s="226">
        <f>L153+L163+L166+L167+L176-L227</f>
        <v>4401</v>
      </c>
      <c r="M342" s="226">
        <f>M153+M163+M166+M167+M176-M227</f>
        <v>4401</v>
      </c>
      <c r="N342" s="226">
        <f>N153+N163+N166+N167+N176-N227</f>
        <v>5164</v>
      </c>
      <c r="O342" s="226">
        <f>O153+O163+O166+O167+O176-O227</f>
        <v>45232</v>
      </c>
      <c r="P342" s="226">
        <f>P153+P163+P166+P167+P176-P227</f>
        <v>47475</v>
      </c>
      <c r="Q342" s="226">
        <f>Q153+Q163+Q166+Q167+Q176-Q227</f>
        <v>47117</v>
      </c>
      <c r="R342" s="226">
        <f>R153+R163+R166+R167+R176-R227</f>
        <v>47117</v>
      </c>
      <c r="S342" s="226">
        <f>S153+S163+S166+S167+S176-S227</f>
        <v>49798</v>
      </c>
      <c r="T342" s="226">
        <f>T153+T163+T166+T167+T176-T227</f>
        <v>53496</v>
      </c>
      <c r="U342" s="226">
        <f>U153+U163+U166+U167+U176-U227</f>
        <v>56041</v>
      </c>
      <c r="V342" s="226">
        <f>V153+V163+V166+V167+V176-V227</f>
        <v>55186</v>
      </c>
      <c r="W342" s="226">
        <f>W153+W163+W166+W167+W176-W227</f>
        <v>55186</v>
      </c>
      <c r="X342" s="226">
        <f>X153+X163+X166+X167+X176-X227</f>
        <v>57540</v>
      </c>
      <c r="Y342" s="226">
        <f>Y153+Y163+Y166+Y167+Y176-Y227</f>
        <v>57160</v>
      </c>
      <c r="Z342" s="226">
        <f>Z153+Z163+Z166+Z167+Z176-Z227</f>
        <v>57990</v>
      </c>
      <c r="AA342" s="226">
        <f>AA153+AA163+AA166+AA167+AA176-AA227</f>
        <v>54462</v>
      </c>
      <c r="AB342" s="226">
        <f>AB153+AB163+AB166+AB167+AB176-AB227</f>
        <v>54462</v>
      </c>
      <c r="AC342" s="226">
        <f>AC153+AC163+AC166+AC167+AC176-AC227</f>
        <v>55852</v>
      </c>
      <c r="AD342" s="226">
        <f>AD153+AD163+AD166+AD167+AD176-AD227</f>
        <v>57013</v>
      </c>
      <c r="AE342" s="226">
        <f>AE153+AE163+AE166+AE167+AE176-AE227</f>
        <v>56486</v>
      </c>
      <c r="AF342" s="226">
        <f>AF153+AF163+AF166+AF167+AF176-AF227</f>
        <v>53752</v>
      </c>
      <c r="AG342" s="226">
        <f>AG153+AG163+AG166+AG167+AG176-AG227</f>
        <v>53752</v>
      </c>
      <c r="AH342" s="226">
        <f>AH153+AH163+AH166+AH167+AH176-AH227</f>
        <v>54504</v>
      </c>
      <c r="AI342" s="226">
        <f>AI153+AI163+AI166+AI167+AI176-AI227</f>
        <v>54582</v>
      </c>
      <c r="AJ342" s="226">
        <f>AJ153+AJ163+AJ166+AJ167+AJ176-AJ227</f>
        <v>53642</v>
      </c>
      <c r="AK342" s="226">
        <f>AK153+AK163+AK166+AK167+AK176-AK227</f>
        <v>53642</v>
      </c>
      <c r="AL342" s="226">
        <f>AL153+AL163+AL166+AL167+AL176-AL227</f>
        <v>53642</v>
      </c>
      <c r="AM342" s="226">
        <f>AM153+AM163+AM166+AM167+AM176-AM227</f>
        <v>53642</v>
      </c>
      <c r="AN342" s="226">
        <f>AN153+AN163+AN166+AN167+AN176-AN227</f>
        <v>53642</v>
      </c>
      <c r="AO342" s="226">
        <f>AO153+AO163+AO166+AO167+AO176-AO227</f>
        <v>53642</v>
      </c>
      <c r="AP342" s="226">
        <f>AP153+AP163+AP166+AP167+AP176-AP227</f>
        <v>53642</v>
      </c>
      <c r="AQ342" s="226">
        <f>AQ153+AQ163+AQ166+AQ167+AQ176-AQ227</f>
        <v>53642</v>
      </c>
      <c r="AR342" s="226">
        <f>AR153+AR163+AR166+AR167+AR176-AR227</f>
        <v>53642</v>
      </c>
      <c r="AS342" s="226">
        <f>AS153+AS163+AS166+AS167+AS176-AS227</f>
        <v>53642</v>
      </c>
      <c r="AT342" s="226">
        <f>AT153+AT163+AT166+AT167+AT176-AT227</f>
        <v>53642</v>
      </c>
      <c r="AU342" s="226">
        <f>AU153+AU163+AU166+AU167+AU176-AU227</f>
        <v>53642</v>
      </c>
      <c r="AV342" s="226">
        <f>AV153+AV163+AV166+AV167+AV176-AV227</f>
        <v>53642</v>
      </c>
      <c r="AW342" s="226">
        <f>AW153+AW163+AW166+AW167+AW176-AW227</f>
        <v>53642</v>
      </c>
      <c r="AX342" s="226">
        <f>AX153+AX163+AX166+AX167+AX176-AX227</f>
        <v>53642</v>
      </c>
      <c r="AY342" s="226">
        <f>AY153+AY163+AY166+AY167+AY176-AY227</f>
        <v>53642</v>
      </c>
      <c r="AZ342" s="226">
        <f>AZ153+AZ163+AZ166+AZ167+AZ176-AZ227</f>
        <v>53642</v>
      </c>
      <c r="BA342" s="226">
        <f>BA153+BA163+BA166+BA167+BA176-BA227</f>
        <v>53642</v>
      </c>
      <c r="BB342" s="226">
        <f>BB153+BB163+BB166+BB167+BB176-BB227</f>
        <v>53642</v>
      </c>
      <c r="BC342" s="226">
        <f>BC153+BC163+BC166+BC167+BC176-BC227</f>
        <v>53642</v>
      </c>
      <c r="BD342" s="226">
        <f>BD153+BD163+BD166+BD167+BD176-BD227</f>
        <v>53642</v>
      </c>
      <c r="BE342" s="226">
        <f>BE153+BE163+BE166+BE167+BE176-BE227</f>
        <v>53642</v>
      </c>
      <c r="BF342" s="226">
        <f>BF153+BF163+BF166+BF167+BF176-BF227</f>
        <v>53642</v>
      </c>
      <c r="BG342" s="226">
        <f>BG153+BG163+BG166+BG167+BG176-BG227</f>
        <v>53642</v>
      </c>
      <c r="BH342" s="226">
        <f>BH153+BH163+BH166+BH167+BH176-BH227</f>
        <v>53642</v>
      </c>
      <c r="BI342" s="226">
        <f>BI153+BI163+BI166+BI167+BI176-BI227</f>
        <v>53642</v>
      </c>
      <c r="BJ342" s="226">
        <f>BJ153+BJ163+BJ166+BJ167+BJ176-BJ227</f>
        <v>53642</v>
      </c>
      <c r="BK342" s="226">
        <f>BK153+BK163+BK166+BK167+BK176-BK227</f>
        <v>53642</v>
      </c>
      <c r="BL342" s="226">
        <f>BL153+BL163+BL166+BL167+BL176-BL227</f>
        <v>53642</v>
      </c>
      <c r="BM342" s="226">
        <f>BM153+BM163+BM166+BM167+BM176-BM227</f>
        <v>53642</v>
      </c>
      <c r="BN342" s="226">
        <f>BN153+BN163+BN166+BN167+BN176-BN227</f>
        <v>53642</v>
      </c>
      <c r="BO342" s="226">
        <f>BO153+BO163+BO166+BO167+BO176-BO227</f>
        <v>53642</v>
      </c>
      <c r="BP342" s="226">
        <f>BP153+BP163+BP166+BP167+BP176-BP227</f>
        <v>53642</v>
      </c>
      <c r="BQ342" s="226">
        <f>BQ153+BQ163+BQ166+BQ167+BQ176-BQ227</f>
        <v>53642</v>
      </c>
      <c r="BR342" s="226">
        <f>BR153+BR163+BR166+BR167+BR176-BR227</f>
        <v>53642</v>
      </c>
      <c r="BS342" s="226">
        <f>BS153+BS163+BS166+BS167+BS176-BS227</f>
        <v>53642</v>
      </c>
      <c r="BT342" s="226">
        <f>BT153+BT163+BT166+BT167+BT176-BT227</f>
        <v>53642</v>
      </c>
      <c r="BU342" s="226">
        <f>BU153+BU163+BU166+BU167+BU176-BU227</f>
        <v>53642</v>
      </c>
      <c r="BV342" s="226">
        <f>BV153+BV163+BV166+BV167+BV176-BV227</f>
        <v>53642</v>
      </c>
      <c r="BW342" s="226">
        <f>BW153+BW163+BW166+BW167+BW176-BW227</f>
        <v>53642</v>
      </c>
      <c r="BX342" s="226">
        <f>BX153+BX163+BX166+BX167+BX176-BX227</f>
        <v>53642</v>
      </c>
      <c r="BY342" s="226">
        <f>BY153+BY163+BY166+BY167+BY176-BY227</f>
        <v>53642</v>
      </c>
      <c r="BZ342" s="226">
        <f>BZ153+BZ163+BZ166+BZ167+BZ176-BZ227</f>
        <v>53642</v>
      </c>
      <c r="CA342" s="226">
        <f>CA153+CA163+CA166+CA167+CA176-CA227</f>
        <v>53642</v>
      </c>
      <c r="CB342" s="226">
        <f>CB153+CB163+CB166+CB167+CB176-CB227</f>
        <v>53642</v>
      </c>
      <c r="CC342" s="226">
        <f>CC153+CC163+CC166+CC167+CC176-CC227</f>
        <v>53642</v>
      </c>
      <c r="CD342" s="226">
        <f>CD153+CD163+CD166+CD167+CD176-CD227</f>
        <v>53642</v>
      </c>
      <c r="CE342" s="226">
        <f>CE153+CE163+CE166+CE167+CE176-CE227</f>
        <v>53642</v>
      </c>
      <c r="CF342" s="226">
        <f>CF153+CF163+CF166+CF167+CF176-CF227</f>
        <v>53642</v>
      </c>
      <c r="CG342" s="226">
        <f>CG153+CG163+CG166+CG167+CG176-CG227</f>
        <v>53642</v>
      </c>
      <c r="CH342" s="226">
        <f>CH153+CH163+CH166+CH167+CH176-CH227</f>
        <v>53642</v>
      </c>
      <c r="CI342" s="226">
        <f>CI153+CI163+CI166+CI167+CI176-CI227</f>
        <v>53642</v>
      </c>
      <c r="CJ342" s="226">
        <f>CJ153+CJ163+CJ166+CJ167+CJ176-CJ227</f>
        <v>53642</v>
      </c>
      <c r="CK342" s="226">
        <f>CK153+CK163+CK166+CK167+CK176-CK227</f>
        <v>53642</v>
      </c>
      <c r="CL342" s="226">
        <f>CL153+CL163+CL166+CL167+CL176-CL227</f>
        <v>53642</v>
      </c>
      <c r="CM342" s="226">
        <f>CM153+CM163+CM166+CM167+CM176-CM227</f>
        <v>53642</v>
      </c>
      <c r="CN342" s="226">
        <f>CN153+CN163+CN166+CN167+CN176-CN227</f>
        <v>53642</v>
      </c>
      <c r="CO342" s="226">
        <f>CO153+CO163+CO166+CO167+CO176-CO227</f>
        <v>53642</v>
      </c>
      <c r="CP342" s="226">
        <f>CP153+CP163+CP166+CP167+CP176-CP227</f>
        <v>53642</v>
      </c>
      <c r="CQ342" s="226">
        <f>CQ153+CQ163+CQ166+CQ167+CQ176-CQ227</f>
        <v>53642</v>
      </c>
      <c r="CR342" s="226">
        <f>CR153+CR163+CR166+CR167+CR176-CR227</f>
        <v>53642</v>
      </c>
      <c r="CS342" s="226">
        <f>CS153+CS163+CS166+CS167+CS176-CS227</f>
        <v>53642</v>
      </c>
      <c r="CT342" s="226">
        <f>CT153+CT163+CT166+CT167+CT176-CT227</f>
        <v>53642</v>
      </c>
      <c r="CU342" s="226">
        <f>CU153+CU163+CU166+CU167+CU176-CU227</f>
        <v>53642</v>
      </c>
      <c r="CV342" s="226">
        <f>CV153+CV163+CV166+CV167+CV176-CV227</f>
        <v>53642</v>
      </c>
      <c r="CW342" s="226">
        <f>CW153+CW163+CW166+CW167+CW176-CW227</f>
        <v>53642</v>
      </c>
      <c r="CX342" s="226">
        <f>CX153+CX163+CX166+CX167+CX176-CX227</f>
        <v>53642</v>
      </c>
      <c r="CY342" s="226">
        <f>CY153+CY163+CY166+CY167+CY176-CY227</f>
        <v>53642</v>
      </c>
    </row>
    <row r="343" customFormat="1" s="233">
      <c r="A343" s="224" t="n"/>
      <c r="B343" s="224" t="n"/>
    </row>
    <row r="344" customFormat="1" s="233">
      <c r="A344" s="224" t="n"/>
      <c r="B344" s="224" t="n"/>
    </row>
    <row r="345" customFormat="1" s="233">
      <c r="A345" s="224" t="n"/>
      <c r="B345" s="224" t="n"/>
    </row>
    <row r="346" customFormat="1" s="233">
      <c r="A346" s="224" t="n"/>
      <c r="B346" s="224" t="n"/>
    </row>
    <row r="347" customFormat="1" s="233">
      <c r="A347" s="224" t="n"/>
      <c r="B347" s="224" t="n"/>
    </row>
    <row r="348" customFormat="1" s="233">
      <c r="A348" s="224" t="n"/>
      <c r="B348" s="224" t="n"/>
    </row>
    <row r="349" customFormat="1" s="233">
      <c r="A349" s="224" t="n"/>
      <c r="B349" s="224" t="n"/>
    </row>
    <row r="350" customFormat="1" s="233">
      <c r="A350" s="224" t="n"/>
      <c r="B350" s="224" t="n"/>
      <c r="C350" s="234" t="inlineStr">
        <is>
          <t>DUPONT ANALYSIS</t>
        </is>
      </c>
    </row>
    <row r="351" customFormat="1" s="233">
      <c r="A351" s="224" t="n"/>
      <c r="B351" s="224" t="n"/>
      <c r="C351" s="233" t="inlineStr">
        <is>
          <t>NET PROFIT MARGIN</t>
        </is>
      </c>
      <c r="D351" s="238">
        <f>D124/D15</f>
        <v>0.0719766562196045</v>
      </c>
      <c r="E351" s="238">
        <f>E124/E15</f>
        <v>0.0908683473389356</v>
      </c>
      <c r="F351" s="238">
        <f>F124/F15</f>
        <v>0.0777926215188573</v>
      </c>
      <c r="G351" s="238">
        <f>G124/G15</f>
        <v>0.134328358208955</v>
      </c>
      <c r="I351" s="222">
        <f>I124/I15</f>
        <v>0.148449162381821</v>
      </c>
      <c r="J351" s="222">
        <f>J124/J15</f>
        <v>0.144616986206298</v>
      </c>
      <c r="K351" s="222">
        <f>K124/K15</f>
        <v>0.113269179835791</v>
      </c>
      <c r="L351" s="222">
        <f>L124/L15</f>
        <v>0.0943672275054865</v>
      </c>
      <c r="N351" s="222">
        <f>N124/N15</f>
        <v>0.156918474195961</v>
      </c>
      <c r="O351" s="222">
        <f>O124/O15</f>
        <v>0.133598071195575</v>
      </c>
      <c r="P351" s="222">
        <f>P124/P15</f>
        <v>0.14456745623069</v>
      </c>
      <c r="Q351" s="222">
        <f>Q124/Q15</f>
        <v>0.154837179892507</v>
      </c>
      <c r="S351" s="222">
        <f>S124/S15</f>
        <v>0.164490711451084</v>
      </c>
      <c r="T351" s="222">
        <f>T124/T15</f>
        <v>0.188469084235175</v>
      </c>
      <c r="U351" s="222">
        <f>U124/U15</f>
        <v>0.15371139371918</v>
      </c>
      <c r="V351" s="222">
        <f>V124/V15</f>
        <v>0.143701272055806</v>
      </c>
      <c r="X351" s="222">
        <f>X124/X15</f>
        <v>0.155562848703643</v>
      </c>
      <c r="Y351" s="222">
        <f>Y124/Y15</f>
        <v>0.131843065693431</v>
      </c>
      <c r="Z351" s="222">
        <f>Z124/Z15</f>
        <v>0.111719310839914</v>
      </c>
      <c r="AA351" s="222">
        <f>AA124/AA15</f>
        <v>0.102139163140574</v>
      </c>
      <c r="AC351" s="222">
        <f>AC124/AC15</f>
        <v>0.141346078508188</v>
      </c>
      <c r="AD351" s="222">
        <f>AD124/AD15</f>
        <v>0.107255782992178</v>
      </c>
      <c r="AE351" s="222">
        <f>AE124/AE15</f>
        <v>0.0859286751654026</v>
      </c>
      <c r="AF351" s="222">
        <f>AF124/AF15</f>
        <v>0.0682551243366975</v>
      </c>
      <c r="AH351" s="222">
        <f>AH124/AH15</f>
        <v>0.132620240855711</v>
      </c>
      <c r="AI351" s="222">
        <f>AI124/AI15</f>
        <v>0.109375</v>
      </c>
      <c r="AJ351" s="222">
        <f>AJ124/AJ15</f>
        <v>0.241971921897692</v>
      </c>
      <c r="AK351" s="222">
        <f>AK124/AK15</f>
        <v>0.271355738216627</v>
      </c>
      <c r="AM351" s="222">
        <f>AM124/AM15</f>
        <v>0.193731767521879</v>
      </c>
      <c r="AN351" s="222">
        <f>AN124/AN15</f>
        <v>0.88991116751269</v>
      </c>
      <c r="AO351" s="222">
        <f>AO124/AO15</f>
        <v>0.208649346457964</v>
      </c>
      <c r="AP351" s="222">
        <f>AP124/AP15</f>
        <v>1.1663718655707</v>
      </c>
      <c r="AR351" s="222">
        <f>AR124/AR15</f>
        <v>0.837160595407286</v>
      </c>
      <c r="AS351" s="222">
        <f>AS124/AS15</f>
        <v>2.18892766497462</v>
      </c>
      <c r="AT351" s="222">
        <f>AT124/AT15</f>
        <v>0.90269485234791</v>
      </c>
      <c r="AU351" s="222">
        <f>AU124/AU15</f>
        <v>2.87046093018416</v>
      </c>
      <c r="AW351" s="222">
        <f>AW124/AW15</f>
        <v>2.06223352531977</v>
      </c>
      <c r="AX351" s="222">
        <f>AX124/AX15</f>
        <v>6.15149111675127</v>
      </c>
      <c r="AY351" s="222">
        <f>AY124/AY15</f>
        <v>2.22414071324835</v>
      </c>
      <c r="AZ351" s="222">
        <f>AZ124/AZ15</f>
        <v>8.06867131411924</v>
      </c>
      <c r="BB351" s="222">
        <f>BB124/BB15</f>
        <v>5.79923704091555</v>
      </c>
      <c r="BC351" s="222">
        <f>BC124/BC15</f>
        <v>16.6746510152284</v>
      </c>
      <c r="BD351" s="222">
        <f>BD124/BD15</f>
        <v>6.25512344682911</v>
      </c>
      <c r="BE351" s="222">
        <f>BE124/BE15</f>
        <v>21.8732702112163</v>
      </c>
      <c r="BG351" s="222">
        <f>BG124/BG15</f>
        <v>15.7233899319321</v>
      </c>
      <c r="BH351" s="222">
        <f>BH124/BH15</f>
        <v>45.646097715736</v>
      </c>
      <c r="BI351" s="222">
        <f>BI124/BI15</f>
        <v>16.9599806357915</v>
      </c>
      <c r="BJ351" s="222">
        <f>BJ124/BJ15</f>
        <v>59.8788887732806</v>
      </c>
      <c r="BL351" s="222">
        <f>BL124/BL15</f>
        <v>43.0457027451567</v>
      </c>
      <c r="BM351" s="222">
        <f>BM124/BM15</f>
        <v>124.635310913706</v>
      </c>
      <c r="BN351" s="222">
        <f>BN124/BN15</f>
        <v>46.4316604808778</v>
      </c>
      <c r="BO351" s="222">
        <f>BO124/BO15</f>
        <v>163.499323691603</v>
      </c>
      <c r="BQ351" s="222">
        <f>BQ124/BQ15</f>
        <v>117.538634153639</v>
      </c>
      <c r="BR351" s="222">
        <f>BR124/BR15</f>
        <v>340.55663071066</v>
      </c>
      <c r="BS351" s="222">
        <f>BS124/BS15</f>
        <v>126.784734548975</v>
      </c>
      <c r="BT351" s="222">
        <f>BT124/BT15</f>
        <v>446.751430652378</v>
      </c>
      <c r="BV351" s="222">
        <f>BV124/BV15</f>
        <v>321.169122597053</v>
      </c>
      <c r="BW351" s="222">
        <f>BW124/BW15</f>
        <v>930.377696700508</v>
      </c>
      <c r="BX351" s="222">
        <f>BX124/BX15</f>
        <v>346.434242375343</v>
      </c>
      <c r="BY351" s="222">
        <f>BY124/BY15</f>
        <v>1220.49651441057</v>
      </c>
      <c r="CA351" s="222">
        <f>CA124/CA15</f>
        <v>877.415962300845</v>
      </c>
      <c r="CB351" s="222">
        <f>CB124/CB15</f>
        <v>2541.86246827411</v>
      </c>
      <c r="CC351" s="222">
        <f>CC124/CC15</f>
        <v>946.439406164273</v>
      </c>
      <c r="CD351" s="222">
        <f>CD124/CD15</f>
        <v>3334.49089584851</v>
      </c>
      <c r="CF351" s="222">
        <f>CF124/CF15</f>
        <v>2397.17061859526</v>
      </c>
      <c r="CG351" s="222">
        <f>CG124/CG15</f>
        <v>6944.47414340102</v>
      </c>
      <c r="CH351" s="222">
        <f>CH124/CH15</f>
        <v>2585.74874939487</v>
      </c>
      <c r="CI351" s="222">
        <f>CI124/CI15</f>
        <v>9109.96982624077</v>
      </c>
      <c r="CK351" s="222">
        <f>CK124/CK15</f>
        <v>6549.17361059167</v>
      </c>
      <c r="CL351" s="222">
        <f>CL124/CL15</f>
        <v>18972.667036802</v>
      </c>
      <c r="CM351" s="222">
        <f>CM124/CM15</f>
        <v>7064.37776343392</v>
      </c>
      <c r="CN351" s="222">
        <f>CN124/CN15</f>
        <v>24888.9164499012</v>
      </c>
      <c r="CP351" s="222">
        <f>CP124/CP15</f>
        <v>17892.6889071733</v>
      </c>
      <c r="CQ351" s="222">
        <f>CQ124/CQ15</f>
        <v>51834.2761738579</v>
      </c>
      <c r="CR351" s="222">
        <f>CR124/CR15</f>
        <v>19300.2544779732</v>
      </c>
      <c r="CS351" s="222">
        <f>CS124/CS15</f>
        <v>67997.7675580065</v>
      </c>
      <c r="CU351" s="222">
        <f>CU124/CU15</f>
        <v>48883.7254843294</v>
      </c>
      <c r="CV351" s="222">
        <f>CV124/CV15</f>
        <v>141613.880234772</v>
      </c>
      <c r="CW351" s="222">
        <f>CW124/CW15</f>
        <v>52729.2659351299</v>
      </c>
      <c r="CX351" s="222">
        <f>CX124/CX15</f>
        <v>185773.363021538</v>
      </c>
    </row>
    <row r="352" customFormat="1" s="233">
      <c r="A352" s="224" t="n"/>
      <c r="B352" s="224" t="n"/>
      <c r="C352" s="233" t="inlineStr">
        <is>
          <t>ASSET TURNOVER</t>
        </is>
      </c>
      <c r="D352" s="238">
        <f>D124/D184</f>
        <v>0.00861288570467889</v>
      </c>
      <c r="E352" s="238">
        <f>E124/E184</f>
        <v>0.0104964796024022</v>
      </c>
      <c r="F352" s="238">
        <f>F124/F184</f>
        <v>0.0100811015967293</v>
      </c>
      <c r="G352" s="238">
        <f>G124/G184</f>
        <v>0.0162162162162162</v>
      </c>
      <c r="I352" s="222">
        <f>I124/I184</f>
        <v>0.0226642525228225</v>
      </c>
      <c r="J352" s="222">
        <f>J124/J184</f>
        <v>0.020659825500694</v>
      </c>
      <c r="K352" s="222">
        <f>K124/K184</f>
        <v>0.0152531088760492</v>
      </c>
      <c r="L352" s="222">
        <f>L124/L184</f>
        <v>0.0113422262416158</v>
      </c>
      <c r="N352" s="222">
        <f>N124/N184</f>
        <v>0.0249467889035541</v>
      </c>
      <c r="O352" s="222">
        <f>O124/O184</f>
        <v>0.0217008189640278</v>
      </c>
      <c r="P352" s="222">
        <f>P124/P184</f>
        <v>0.0249472398089526</v>
      </c>
      <c r="Q352" s="222">
        <f>Q124/Q184</f>
        <v>0.0213817943680419</v>
      </c>
      <c r="S352" s="222">
        <f>S124/S184</f>
        <v>0.0290807040377439</v>
      </c>
      <c r="T352" s="222">
        <f>T124/T184</f>
        <v>0.0288016093310251</v>
      </c>
      <c r="U352" s="222">
        <f>U124/U184</f>
        <v>0.0227598067001643</v>
      </c>
      <c r="V352" s="222">
        <f>V124/V184</f>
        <v>0.0172731846386047</v>
      </c>
      <c r="X352" s="222">
        <f>X124/X184</f>
        <v>0.0224372325519749</v>
      </c>
      <c r="Y352" s="222">
        <f>Y124/Y184</f>
        <v>0.0160792277519682</v>
      </c>
      <c r="Z352" s="222">
        <f>Z124/Z184</f>
        <v>0.011600819977637</v>
      </c>
      <c r="AA352" s="222">
        <f>AA124/AA184</f>
        <v>0.00842715697398152</v>
      </c>
      <c r="AC352" s="222">
        <f>AC124/AC184</f>
        <v>0.0169703583153815</v>
      </c>
      <c r="AD352" s="222">
        <f>AD124/AD184</f>
        <v>0.0119554430191899</v>
      </c>
      <c r="AE352" s="222">
        <f>AE124/AE184</f>
        <v>0.0100475489641119</v>
      </c>
      <c r="AF352" s="222">
        <f>AF124/AF184</f>
        <v>0.00634208592753007</v>
      </c>
      <c r="AH352" s="222">
        <f>AH124/AH184</f>
        <v>0.0165699385987047</v>
      </c>
      <c r="AI352" s="222">
        <f>AI124/AI184</f>
        <v>0.012815151430669</v>
      </c>
      <c r="AJ352" s="222">
        <f>AJ124/AJ184</f>
        <v>0.0271154872017432</v>
      </c>
      <c r="AK352" s="222">
        <f>AK124/AK184</f>
        <v>0.0230372411843686</v>
      </c>
      <c r="AM352" s="222" t="e">
        <f>AM124/AM184</f>
        <v>#DIV/0!</v>
      </c>
      <c r="AN352" s="222" t="e">
        <f>AN124/AN184</f>
        <v>#DIV/0!</v>
      </c>
      <c r="AO352" s="222" t="e">
        <f>AO124/AO184</f>
        <v>#DIV/0!</v>
      </c>
      <c r="AP352" s="222" t="e">
        <f>AP124/AP184</f>
        <v>#DIV/0!</v>
      </c>
      <c r="AR352" s="222" t="e">
        <f>AR124/AR184</f>
        <v>#DIV/0!</v>
      </c>
      <c r="AS352" s="222" t="e">
        <f>AS124/AS184</f>
        <v>#DIV/0!</v>
      </c>
      <c r="AT352" s="222" t="e">
        <f>AT124/AT184</f>
        <v>#DIV/0!</v>
      </c>
      <c r="AU352" s="222" t="e">
        <f>AU124/AU184</f>
        <v>#DIV/0!</v>
      </c>
      <c r="AW352" s="222" t="e">
        <f>AW124/AW184</f>
        <v>#DIV/0!</v>
      </c>
      <c r="AX352" s="222" t="e">
        <f>AX124/AX184</f>
        <v>#DIV/0!</v>
      </c>
      <c r="AY352" s="222" t="e">
        <f>AY124/AY184</f>
        <v>#DIV/0!</v>
      </c>
      <c r="AZ352" s="222" t="e">
        <f>AZ124/AZ184</f>
        <v>#DIV/0!</v>
      </c>
      <c r="BB352" s="222" t="e">
        <f>BB124/BB184</f>
        <v>#DIV/0!</v>
      </c>
      <c r="BC352" s="222" t="e">
        <f>BC124/BC184</f>
        <v>#DIV/0!</v>
      </c>
      <c r="BD352" s="222" t="e">
        <f>BD124/BD184</f>
        <v>#DIV/0!</v>
      </c>
      <c r="BE352" s="222" t="e">
        <f>BE124/BE184</f>
        <v>#DIV/0!</v>
      </c>
      <c r="BG352" s="222" t="e">
        <f>BG124/BG184</f>
        <v>#DIV/0!</v>
      </c>
      <c r="BH352" s="222" t="e">
        <f>BH124/BH184</f>
        <v>#DIV/0!</v>
      </c>
      <c r="BI352" s="222" t="e">
        <f>BI124/BI184</f>
        <v>#DIV/0!</v>
      </c>
      <c r="BJ352" s="222" t="e">
        <f>BJ124/BJ184</f>
        <v>#DIV/0!</v>
      </c>
      <c r="BL352" s="222" t="e">
        <f>BL124/BL184</f>
        <v>#DIV/0!</v>
      </c>
      <c r="BM352" s="222" t="e">
        <f>BM124/BM184</f>
        <v>#DIV/0!</v>
      </c>
      <c r="BN352" s="222" t="e">
        <f>BN124/BN184</f>
        <v>#DIV/0!</v>
      </c>
      <c r="BO352" s="222" t="e">
        <f>BO124/BO184</f>
        <v>#DIV/0!</v>
      </c>
      <c r="BQ352" s="222" t="e">
        <f>BQ124/BQ184</f>
        <v>#DIV/0!</v>
      </c>
      <c r="BR352" s="222" t="e">
        <f>BR124/BR184</f>
        <v>#DIV/0!</v>
      </c>
      <c r="BS352" s="222" t="e">
        <f>BS124/BS184</f>
        <v>#DIV/0!</v>
      </c>
      <c r="BT352" s="222" t="e">
        <f>BT124/BT184</f>
        <v>#DIV/0!</v>
      </c>
      <c r="BV352" s="222" t="e">
        <f>BV124/BV184</f>
        <v>#DIV/0!</v>
      </c>
      <c r="BW352" s="222" t="e">
        <f>BW124/BW184</f>
        <v>#DIV/0!</v>
      </c>
      <c r="BX352" s="222" t="e">
        <f>BX124/BX184</f>
        <v>#DIV/0!</v>
      </c>
      <c r="BY352" s="222" t="e">
        <f>BY124/BY184</f>
        <v>#DIV/0!</v>
      </c>
      <c r="CA352" s="222" t="e">
        <f>CA124/CA184</f>
        <v>#DIV/0!</v>
      </c>
      <c r="CB352" s="222" t="e">
        <f>CB124/CB184</f>
        <v>#DIV/0!</v>
      </c>
      <c r="CC352" s="222" t="e">
        <f>CC124/CC184</f>
        <v>#DIV/0!</v>
      </c>
      <c r="CD352" s="222" t="e">
        <f>CD124/CD184</f>
        <v>#DIV/0!</v>
      </c>
      <c r="CF352" s="222" t="e">
        <f>CF124/CF184</f>
        <v>#DIV/0!</v>
      </c>
      <c r="CG352" s="222" t="e">
        <f>CG124/CG184</f>
        <v>#DIV/0!</v>
      </c>
      <c r="CH352" s="222" t="e">
        <f>CH124/CH184</f>
        <v>#DIV/0!</v>
      </c>
      <c r="CI352" s="222" t="e">
        <f>CI124/CI184</f>
        <v>#DIV/0!</v>
      </c>
      <c r="CK352" s="222" t="e">
        <f>CK124/CK184</f>
        <v>#DIV/0!</v>
      </c>
      <c r="CL352" s="222" t="e">
        <f>CL124/CL184</f>
        <v>#DIV/0!</v>
      </c>
      <c r="CM352" s="222" t="e">
        <f>CM124/CM184</f>
        <v>#DIV/0!</v>
      </c>
      <c r="CN352" s="222" t="e">
        <f>CN124/CN184</f>
        <v>#DIV/0!</v>
      </c>
      <c r="CP352" s="222" t="e">
        <f>CP124/CP184</f>
        <v>#DIV/0!</v>
      </c>
      <c r="CQ352" s="222" t="e">
        <f>CQ124/CQ184</f>
        <v>#DIV/0!</v>
      </c>
      <c r="CR352" s="222" t="e">
        <f>CR124/CR184</f>
        <v>#DIV/0!</v>
      </c>
      <c r="CS352" s="222" t="e">
        <f>CS124/CS184</f>
        <v>#DIV/0!</v>
      </c>
      <c r="CU352" s="222" t="e">
        <f>CU124/CU184</f>
        <v>#DIV/0!</v>
      </c>
      <c r="CV352" s="222" t="e">
        <f>CV124/CV184</f>
        <v>#DIV/0!</v>
      </c>
      <c r="CW352" s="222" t="e">
        <f>CW124/CW184</f>
        <v>#DIV/0!</v>
      </c>
      <c r="CX352" s="222" t="e">
        <f>CX124/CX184</f>
        <v>#DIV/0!</v>
      </c>
    </row>
    <row r="353" customFormat="1" s="233">
      <c r="A353" s="224" t="n"/>
      <c r="B353" s="224" t="n"/>
      <c r="C353" s="233" t="inlineStr">
        <is>
          <t>EQUITY MULTIPLIER</t>
        </is>
      </c>
      <c r="D353" s="238">
        <f>D184/D258</f>
        <v>6.51715128529288</v>
      </c>
      <c r="E353" s="238">
        <f>E184/E258</f>
        <v>5.99363897292685</v>
      </c>
      <c r="F353" s="238">
        <f>F184/F258</f>
        <v>5.80122064276885</v>
      </c>
      <c r="G353" s="238">
        <f>G184/G258</f>
        <v>5.35851199772824</v>
      </c>
      <c r="I353" s="222">
        <f>I184/I258</f>
        <v>5.23178325384208</v>
      </c>
      <c r="J353" s="222">
        <f>J184/J258</f>
        <v>5.12858323269561</v>
      </c>
      <c r="K353" s="222">
        <f>K184/K258</f>
        <v>4.56298144732559</v>
      </c>
      <c r="L353" s="222">
        <f>L184/L258</f>
        <v>4.47068733153639</v>
      </c>
      <c r="N353" s="222">
        <f>N184/N258</f>
        <v>4.42486583184258</v>
      </c>
      <c r="O353" s="222">
        <f>O184/O258</f>
        <v>4.53802728555747</v>
      </c>
      <c r="P353" s="222">
        <f>P184/P258</f>
        <v>4.42255735127966</v>
      </c>
      <c r="Q353" s="222">
        <f>Q184/Q258</f>
        <v>4.27411830565404</v>
      </c>
      <c r="S353" s="222">
        <f>S184/S258</f>
        <v>4.37078352073241</v>
      </c>
      <c r="T353" s="222">
        <f>T184/T258</f>
        <v>4.46600725639254</v>
      </c>
      <c r="U353" s="222">
        <f>U184/U258</f>
        <v>4.75587133327241</v>
      </c>
      <c r="V353" s="222">
        <f>V184/V258</f>
        <v>4.57058478741152</v>
      </c>
      <c r="X353" s="222">
        <f>X184/X258</f>
        <v>4.63565347142983</v>
      </c>
      <c r="Y353" s="222">
        <f>Y184/Y258</f>
        <v>4.65855976500065</v>
      </c>
      <c r="Z353" s="222">
        <f>Z184/Z258</f>
        <v>4.68135223555071</v>
      </c>
      <c r="AA353" s="222">
        <f>AA184/AA258</f>
        <v>4.57006736394256</v>
      </c>
      <c r="AC353" s="222">
        <f>AC184/AC258</f>
        <v>4.36061202723767</v>
      </c>
      <c r="AD353" s="222">
        <f>AD184/AD258</f>
        <v>4.26761399620013</v>
      </c>
      <c r="AE353" s="222">
        <f>AE184/AE258</f>
        <v>4.07567193447918</v>
      </c>
      <c r="AF353" s="222">
        <f>AF184/AF258</f>
        <v>3.92442235459271</v>
      </c>
      <c r="AH353" s="222">
        <f>AH184/AH258</f>
        <v>3.89661325564457</v>
      </c>
      <c r="AI353" s="222">
        <f>AI184/AI258</f>
        <v>3.83748796405264</v>
      </c>
      <c r="AJ353" s="222">
        <f>AJ184/AJ258</f>
        <v>3.5637506041566</v>
      </c>
      <c r="AK353" s="222">
        <f>AK184/AK258</f>
        <v>3.36507936507937</v>
      </c>
      <c r="AM353" s="222" t="e">
        <f>AM184/AM258</f>
        <v>#DIV/0!</v>
      </c>
      <c r="AN353" s="222" t="e">
        <f>AN184/AN258</f>
        <v>#DIV/0!</v>
      </c>
      <c r="AO353" s="222" t="e">
        <f>AO184/AO258</f>
        <v>#DIV/0!</v>
      </c>
      <c r="AP353" s="222" t="e">
        <f>AP184/AP258</f>
        <v>#DIV/0!</v>
      </c>
      <c r="AR353" s="222" t="e">
        <f>AR184/AR258</f>
        <v>#DIV/0!</v>
      </c>
      <c r="AS353" s="222" t="e">
        <f>AS184/AS258</f>
        <v>#DIV/0!</v>
      </c>
      <c r="AT353" s="222" t="e">
        <f>AT184/AT258</f>
        <v>#DIV/0!</v>
      </c>
      <c r="AU353" s="222" t="e">
        <f>AU184/AU258</f>
        <v>#DIV/0!</v>
      </c>
      <c r="AW353" s="222" t="e">
        <f>AW184/AW258</f>
        <v>#DIV/0!</v>
      </c>
      <c r="AX353" s="222" t="e">
        <f>AX184/AX258</f>
        <v>#DIV/0!</v>
      </c>
      <c r="AY353" s="222" t="e">
        <f>AY184/AY258</f>
        <v>#DIV/0!</v>
      </c>
      <c r="AZ353" s="222" t="e">
        <f>AZ184/AZ258</f>
        <v>#DIV/0!</v>
      </c>
      <c r="BB353" s="222" t="e">
        <f>BB184/BB258</f>
        <v>#DIV/0!</v>
      </c>
      <c r="BC353" s="222" t="e">
        <f>BC184/BC258</f>
        <v>#DIV/0!</v>
      </c>
      <c r="BD353" s="222" t="e">
        <f>BD184/BD258</f>
        <v>#DIV/0!</v>
      </c>
      <c r="BE353" s="222" t="e">
        <f>BE184/BE258</f>
        <v>#DIV/0!</v>
      </c>
      <c r="BG353" s="222" t="e">
        <f>BG184/BG258</f>
        <v>#DIV/0!</v>
      </c>
      <c r="BH353" s="222" t="e">
        <f>BH184/BH258</f>
        <v>#DIV/0!</v>
      </c>
      <c r="BI353" s="222" t="e">
        <f>BI184/BI258</f>
        <v>#DIV/0!</v>
      </c>
      <c r="BJ353" s="222" t="e">
        <f>BJ184/BJ258</f>
        <v>#DIV/0!</v>
      </c>
      <c r="BL353" s="222" t="e">
        <f>BL184/BL258</f>
        <v>#DIV/0!</v>
      </c>
      <c r="BM353" s="222" t="e">
        <f>BM184/BM258</f>
        <v>#DIV/0!</v>
      </c>
      <c r="BN353" s="222" t="e">
        <f>BN184/BN258</f>
        <v>#DIV/0!</v>
      </c>
      <c r="BO353" s="222" t="e">
        <f>BO184/BO258</f>
        <v>#DIV/0!</v>
      </c>
      <c r="BQ353" s="222" t="e">
        <f>BQ184/BQ258</f>
        <v>#DIV/0!</v>
      </c>
      <c r="BR353" s="222" t="e">
        <f>BR184/BR258</f>
        <v>#DIV/0!</v>
      </c>
      <c r="BS353" s="222" t="e">
        <f>BS184/BS258</f>
        <v>#DIV/0!</v>
      </c>
      <c r="BT353" s="222" t="e">
        <f>BT184/BT258</f>
        <v>#DIV/0!</v>
      </c>
      <c r="BV353" s="222" t="e">
        <f>BV184/BV258</f>
        <v>#DIV/0!</v>
      </c>
      <c r="BW353" s="222" t="e">
        <f>BW184/BW258</f>
        <v>#DIV/0!</v>
      </c>
      <c r="BX353" s="222" t="e">
        <f>BX184/BX258</f>
        <v>#DIV/0!</v>
      </c>
      <c r="BY353" s="222" t="e">
        <f>BY184/BY258</f>
        <v>#DIV/0!</v>
      </c>
      <c r="CA353" s="222" t="e">
        <f>CA184/CA258</f>
        <v>#DIV/0!</v>
      </c>
      <c r="CB353" s="222" t="e">
        <f>CB184/CB258</f>
        <v>#DIV/0!</v>
      </c>
      <c r="CC353" s="222" t="e">
        <f>CC184/CC258</f>
        <v>#DIV/0!</v>
      </c>
      <c r="CD353" s="222" t="e">
        <f>CD184/CD258</f>
        <v>#DIV/0!</v>
      </c>
      <c r="CF353" s="222" t="e">
        <f>CF184/CF258</f>
        <v>#DIV/0!</v>
      </c>
      <c r="CG353" s="222" t="e">
        <f>CG184/CG258</f>
        <v>#DIV/0!</v>
      </c>
      <c r="CH353" s="222" t="e">
        <f>CH184/CH258</f>
        <v>#DIV/0!</v>
      </c>
      <c r="CI353" s="222" t="e">
        <f>CI184/CI258</f>
        <v>#DIV/0!</v>
      </c>
      <c r="CK353" s="222" t="e">
        <f>CK184/CK258</f>
        <v>#DIV/0!</v>
      </c>
      <c r="CL353" s="222" t="e">
        <f>CL184/CL258</f>
        <v>#DIV/0!</v>
      </c>
      <c r="CM353" s="222" t="e">
        <f>CM184/CM258</f>
        <v>#DIV/0!</v>
      </c>
      <c r="CN353" s="222" t="e">
        <f>CN184/CN258</f>
        <v>#DIV/0!</v>
      </c>
      <c r="CP353" s="222" t="e">
        <f>CP184/CP258</f>
        <v>#DIV/0!</v>
      </c>
      <c r="CQ353" s="222" t="e">
        <f>CQ184/CQ258</f>
        <v>#DIV/0!</v>
      </c>
      <c r="CR353" s="222" t="e">
        <f>CR184/CR258</f>
        <v>#DIV/0!</v>
      </c>
      <c r="CS353" s="222" t="e">
        <f>CS184/CS258</f>
        <v>#DIV/0!</v>
      </c>
      <c r="CU353" s="222" t="e">
        <f>CU184/CU258</f>
        <v>#DIV/0!</v>
      </c>
      <c r="CV353" s="222" t="e">
        <f>CV184/CV258</f>
        <v>#DIV/0!</v>
      </c>
      <c r="CW353" s="222" t="e">
        <f>CW184/CW258</f>
        <v>#DIV/0!</v>
      </c>
      <c r="CX353" s="222" t="e">
        <f>CX184/CX258</f>
        <v>#DIV/0!</v>
      </c>
    </row>
    <row r="354" customFormat="1" s="233">
      <c r="A354" s="224" t="n"/>
      <c r="B354" s="224" t="n"/>
      <c r="C354" s="233" t="inlineStr">
        <is>
          <t>ROE - DUPONT</t>
        </is>
      </c>
      <c r="D354" s="238">
        <f>PRODUCT(D351:D353)</f>
        <v>0.00404015617718134</v>
      </c>
      <c r="E354" s="238">
        <f>PRODUCT(E351:E353)</f>
        <v>0.00571671939274508</v>
      </c>
      <c r="F354" s="238">
        <f>PRODUCT(F351:F353)</f>
        <v>0.00454952213301722</v>
      </c>
      <c r="G354" s="238">
        <f>PRODUCT(G351:G353)</f>
        <v>0.0116724343637485</v>
      </c>
      <c r="I354" s="222">
        <f>PRODUCT(I351:I353)</f>
        <v>0.017602278793287</v>
      </c>
      <c r="J354" s="222">
        <f>PRODUCT(J351:J353)</f>
        <v>0.0153229845551325</v>
      </c>
      <c r="K354" s="222">
        <f>PRODUCT(K351:K353)</f>
        <v>0.00788349559126176</v>
      </c>
      <c r="L354" s="222">
        <f>PRODUCT(L351:L353)</f>
        <v>0.00478513064001877</v>
      </c>
      <c r="N354" s="222">
        <f>PRODUCT(N351:N353)</f>
        <v>0.0173216331086566</v>
      </c>
      <c r="O354" s="222">
        <f>PRODUCT(O351:O353)</f>
        <v>0.0131565922394262</v>
      </c>
      <c r="P354" s="222">
        <f>PRODUCT(P351:P353)</f>
        <v>0.0159502140145468</v>
      </c>
      <c r="Q354" s="222">
        <f>PRODUCT(Q351:Q353)</f>
        <v>0.0141503095451307</v>
      </c>
      <c r="S354" s="222">
        <f>PRODUCT(S351:S353)</f>
        <v>0.0209076678703214</v>
      </c>
      <c r="T354" s="222">
        <f>PRODUCT(T351:T353)</f>
        <v>0.0242424383574789</v>
      </c>
      <c r="U354" s="222">
        <f>PRODUCT(U351:U353)</f>
        <v>0.0166381381577601</v>
      </c>
      <c r="V354" s="222">
        <f>PRODUCT(V351:V353)</f>
        <v>0.0113450077717533</v>
      </c>
      <c r="X354" s="222">
        <f>PRODUCT(X351:X353)</f>
        <v>0.0161802840089368</v>
      </c>
      <c r="Y354" s="222">
        <f>PRODUCT(Y351:Y353)</f>
        <v>0.00987584240841543</v>
      </c>
      <c r="Z354" s="222">
        <f>PRODUCT(Z351:Z353)</f>
        <v>0.00606719921464309</v>
      </c>
      <c r="AA354" s="222">
        <f>PRODUCT(AA351:AA353)</f>
        <v>0.00393365240068953</v>
      </c>
      <c r="AC354" s="222">
        <f>PRODUCT(AC351:AC353)</f>
        <v>0.0104597721564021</v>
      </c>
      <c r="AD354" s="222">
        <f>PRODUCT(AD351:AD353)</f>
        <v>0.00547232046694577</v>
      </c>
      <c r="AE354" s="222">
        <f>PRODUCT(AE351:AE353)</f>
        <v>0.00351882335721743</v>
      </c>
      <c r="AF354" s="222">
        <f>PRODUCT(AF351:AF353)</f>
        <v>0.00169880341331994</v>
      </c>
      <c r="AH354" s="222">
        <f>PRODUCT(AH351:AH353)</f>
        <v>0.00856284366486437</v>
      </c>
      <c r="AI354" s="222">
        <f>PRODUCT(AI351:AI353)</f>
        <v>0.00537884258763953</v>
      </c>
      <c r="AJ354" s="222">
        <f>PRODUCT(AJ351:AJ353)</f>
        <v>0.0233824325365291</v>
      </c>
      <c r="AK354" s="222">
        <f>PRODUCT(AK351:AK353)</f>
        <v>0.0210360788677535</v>
      </c>
      <c r="AM354" s="222" t="e">
        <f>PRODUCT(AM351:AM353)</f>
        <v>#DIV/0!</v>
      </c>
      <c r="AN354" s="222" t="e">
        <f>PRODUCT(AN351:AN353)</f>
        <v>#DIV/0!</v>
      </c>
      <c r="AO354" s="222" t="e">
        <f>PRODUCT(AO351:AO353)</f>
        <v>#DIV/0!</v>
      </c>
      <c r="AP354" s="222" t="e">
        <f>PRODUCT(AP351:AP353)</f>
        <v>#DIV/0!</v>
      </c>
      <c r="AR354" s="222" t="e">
        <f>PRODUCT(AR351:AR353)</f>
        <v>#DIV/0!</v>
      </c>
      <c r="AS354" s="222" t="e">
        <f>PRODUCT(AS351:AS353)</f>
        <v>#DIV/0!</v>
      </c>
      <c r="AT354" s="222" t="e">
        <f>PRODUCT(AT351:AT353)</f>
        <v>#DIV/0!</v>
      </c>
      <c r="AU354" s="222" t="e">
        <f>PRODUCT(AU351:AU353)</f>
        <v>#DIV/0!</v>
      </c>
      <c r="AW354" s="222" t="e">
        <f>PRODUCT(AW351:AW353)</f>
        <v>#DIV/0!</v>
      </c>
      <c r="AX354" s="222" t="e">
        <f>PRODUCT(AX351:AX353)</f>
        <v>#DIV/0!</v>
      </c>
      <c r="AY354" s="222" t="e">
        <f>PRODUCT(AY351:AY353)</f>
        <v>#DIV/0!</v>
      </c>
      <c r="AZ354" s="222" t="e">
        <f>PRODUCT(AZ351:AZ353)</f>
        <v>#DIV/0!</v>
      </c>
      <c r="BB354" s="222" t="e">
        <f>PRODUCT(BB351:BB353)</f>
        <v>#DIV/0!</v>
      </c>
      <c r="BC354" s="222" t="e">
        <f>PRODUCT(BC351:BC353)</f>
        <v>#DIV/0!</v>
      </c>
      <c r="BD354" s="222" t="e">
        <f>PRODUCT(BD351:BD353)</f>
        <v>#DIV/0!</v>
      </c>
      <c r="BE354" s="222" t="e">
        <f>PRODUCT(BE351:BE353)</f>
        <v>#DIV/0!</v>
      </c>
      <c r="BG354" s="222" t="e">
        <f>PRODUCT(BG351:BG353)</f>
        <v>#DIV/0!</v>
      </c>
      <c r="BH354" s="222" t="e">
        <f>PRODUCT(BH351:BH353)</f>
        <v>#DIV/0!</v>
      </c>
      <c r="BI354" s="222" t="e">
        <f>PRODUCT(BI351:BI353)</f>
        <v>#DIV/0!</v>
      </c>
      <c r="BJ354" s="222" t="e">
        <f>PRODUCT(BJ351:BJ353)</f>
        <v>#DIV/0!</v>
      </c>
      <c r="BL354" s="222" t="e">
        <f>PRODUCT(BL351:BL353)</f>
        <v>#DIV/0!</v>
      </c>
      <c r="BM354" s="222" t="e">
        <f>PRODUCT(BM351:BM353)</f>
        <v>#DIV/0!</v>
      </c>
      <c r="BN354" s="222" t="e">
        <f>PRODUCT(BN351:BN353)</f>
        <v>#DIV/0!</v>
      </c>
      <c r="BO354" s="222" t="e">
        <f>PRODUCT(BO351:BO353)</f>
        <v>#DIV/0!</v>
      </c>
      <c r="BQ354" s="222" t="e">
        <f>PRODUCT(BQ351:BQ353)</f>
        <v>#DIV/0!</v>
      </c>
      <c r="BR354" s="222" t="e">
        <f>PRODUCT(BR351:BR353)</f>
        <v>#DIV/0!</v>
      </c>
      <c r="BS354" s="222" t="e">
        <f>PRODUCT(BS351:BS353)</f>
        <v>#DIV/0!</v>
      </c>
      <c r="BT354" s="222" t="e">
        <f>PRODUCT(BT351:BT353)</f>
        <v>#DIV/0!</v>
      </c>
      <c r="BV354" s="222" t="e">
        <f>PRODUCT(BV351:BV353)</f>
        <v>#DIV/0!</v>
      </c>
      <c r="BW354" s="222" t="e">
        <f>PRODUCT(BW351:BW353)</f>
        <v>#DIV/0!</v>
      </c>
      <c r="BX354" s="222" t="e">
        <f>PRODUCT(BX351:BX353)</f>
        <v>#DIV/0!</v>
      </c>
      <c r="BY354" s="222" t="e">
        <f>PRODUCT(BY351:BY353)</f>
        <v>#DIV/0!</v>
      </c>
      <c r="CA354" s="222" t="e">
        <f>PRODUCT(CA351:CA353)</f>
        <v>#DIV/0!</v>
      </c>
      <c r="CB354" s="222" t="e">
        <f>PRODUCT(CB351:CB353)</f>
        <v>#DIV/0!</v>
      </c>
      <c r="CC354" s="222" t="e">
        <f>PRODUCT(CC351:CC353)</f>
        <v>#DIV/0!</v>
      </c>
      <c r="CD354" s="222" t="e">
        <f>PRODUCT(CD351:CD353)</f>
        <v>#DIV/0!</v>
      </c>
      <c r="CF354" s="222" t="e">
        <f>PRODUCT(CF351:CF353)</f>
        <v>#DIV/0!</v>
      </c>
      <c r="CG354" s="222" t="e">
        <f>PRODUCT(CG351:CG353)</f>
        <v>#DIV/0!</v>
      </c>
      <c r="CH354" s="222" t="e">
        <f>PRODUCT(CH351:CH353)</f>
        <v>#DIV/0!</v>
      </c>
      <c r="CI354" s="222" t="e">
        <f>PRODUCT(CI351:CI353)</f>
        <v>#DIV/0!</v>
      </c>
      <c r="CK354" s="222" t="e">
        <f>PRODUCT(CK351:CK353)</f>
        <v>#DIV/0!</v>
      </c>
      <c r="CL354" s="222" t="e">
        <f>PRODUCT(CL351:CL353)</f>
        <v>#DIV/0!</v>
      </c>
      <c r="CM354" s="222" t="e">
        <f>PRODUCT(CM351:CM353)</f>
        <v>#DIV/0!</v>
      </c>
      <c r="CN354" s="222" t="e">
        <f>PRODUCT(CN351:CN353)</f>
        <v>#DIV/0!</v>
      </c>
      <c r="CP354" s="222" t="e">
        <f>PRODUCT(CP351:CP353)</f>
        <v>#DIV/0!</v>
      </c>
      <c r="CQ354" s="222" t="e">
        <f>PRODUCT(CQ351:CQ353)</f>
        <v>#DIV/0!</v>
      </c>
      <c r="CR354" s="222" t="e">
        <f>PRODUCT(CR351:CR353)</f>
        <v>#DIV/0!</v>
      </c>
      <c r="CS354" s="222" t="e">
        <f>PRODUCT(CS351:CS353)</f>
        <v>#DIV/0!</v>
      </c>
      <c r="CU354" s="222" t="e">
        <f>PRODUCT(CU351:CU353)</f>
        <v>#DIV/0!</v>
      </c>
      <c r="CV354" s="222" t="e">
        <f>PRODUCT(CV351:CV353)</f>
        <v>#DIV/0!</v>
      </c>
      <c r="CW354" s="222" t="e">
        <f>PRODUCT(CW351:CW353)</f>
        <v>#DIV/0!</v>
      </c>
      <c r="CX354" s="222" t="e">
        <f>PRODUCT(CX351:CX353)</f>
        <v>#DIV/0!</v>
      </c>
    </row>
    <row r="355" customFormat="1" s="233">
      <c r="A355" s="224" t="n"/>
      <c r="B355" s="224" t="n"/>
      <c r="C355" s="233" t="inlineStr">
        <is>
          <t>ROE</t>
        </is>
      </c>
      <c r="D355" s="238">
        <f>D124/D258</f>
        <v>0.0561314791403287</v>
      </c>
      <c r="E355" s="238">
        <f>E124/E258</f>
        <v>0.0629121092234893</v>
      </c>
      <c r="F355" s="238">
        <f>F124/F258</f>
        <v>0.058482694684796</v>
      </c>
      <c r="G355" s="238">
        <f>G124/G258</f>
        <v>0.0868947891523499</v>
      </c>
      <c r="I355" s="222">
        <f>I124/I258</f>
        <v>0.118574456809751</v>
      </c>
      <c r="J355" s="222">
        <f>J124/J258</f>
        <v>0.105955634653277</v>
      </c>
      <c r="K355" s="222">
        <f>K124/K258</f>
        <v>0.0695996528154497</v>
      </c>
      <c r="L355" s="222">
        <f>L124/L258</f>
        <v>0.0507075471698113</v>
      </c>
      <c r="N355" s="222">
        <f>N124/N258</f>
        <v>0.110386193833526</v>
      </c>
      <c r="O355" s="222">
        <f>O124/O258</f>
        <v>0.0984789085777011</v>
      </c>
      <c r="P355" s="222">
        <f>P124/P258</f>
        <v>0.11033059881122</v>
      </c>
      <c r="Q355" s="222">
        <f>Q124/Q258</f>
        <v>0.0913883187161784</v>
      </c>
      <c r="S355" s="222">
        <f>S124/S258</f>
        <v>0.127105461979468</v>
      </c>
      <c r="T355" s="222">
        <f>T124/T258</f>
        <v>0.128628196268141</v>
      </c>
      <c r="U355" s="222">
        <f>U124/U258</f>
        <v>0.108242712236133</v>
      </c>
      <c r="V355" s="222">
        <f>V124/V258</f>
        <v>0.0789485549393571</v>
      </c>
      <c r="X355" s="222">
        <f>X124/X258</f>
        <v>0.104011234968841</v>
      </c>
      <c r="Y355" s="222">
        <f>Y124/Y258</f>
        <v>0.0749060434576008</v>
      </c>
      <c r="Z355" s="222">
        <f>Z124/Z258</f>
        <v>0.0543075245365322</v>
      </c>
      <c r="AA355" s="222">
        <f>AA124/AA258</f>
        <v>0.0385126750576139</v>
      </c>
      <c r="AC355" s="222">
        <f>AC124/AC258</f>
        <v>0.0740011485765855</v>
      </c>
      <c r="AD355" s="222">
        <f>AD124/AD258</f>
        <v>0.051021215959468</v>
      </c>
      <c r="AE355" s="222">
        <f>AE124/AE258</f>
        <v>0.040950513323336</v>
      </c>
      <c r="AF355" s="222">
        <f>AF124/AF258</f>
        <v>0.0248890237887468</v>
      </c>
      <c r="AH355" s="222">
        <f>AH124/AH258</f>
        <v>0.0645666423889294</v>
      </c>
      <c r="AI355" s="222">
        <f>AI124/AI258</f>
        <v>0.0491779893727043</v>
      </c>
      <c r="AJ355" s="222">
        <f>AJ124/AJ258</f>
        <v>0.0966328338972128</v>
      </c>
      <c r="AK355" s="222">
        <f>AK124/AK258</f>
        <v>0.0775221449378753</v>
      </c>
      <c r="AM355" s="222">
        <f>AM124/AM258</f>
        <v>0.0714896905793701</v>
      </c>
      <c r="AN355" s="222">
        <f>AN124/AN258</f>
        <v>0.236474381941956</v>
      </c>
      <c r="AO355" s="222">
        <f>AO124/AO258</f>
        <v>0.0516910530103142</v>
      </c>
      <c r="AP355" s="222">
        <f>AP124/AP258</f>
        <v>0.183059261557555</v>
      </c>
      <c r="AR355" s="222">
        <f>AR124/AR258</f>
        <v>0.154530141109546</v>
      </c>
      <c r="AS355" s="222">
        <f>AS124/AS258</f>
        <v>0.275919297754494</v>
      </c>
      <c r="AT355" s="222">
        <f>AT124/AT258</f>
        <v>0.100606987095904</v>
      </c>
      <c r="AU355" s="222">
        <f>AU124/AU258</f>
        <v>0.198772263531039</v>
      </c>
      <c r="AW355" s="222">
        <f>AW124/AW258</f>
        <v>0.165725930066904</v>
      </c>
      <c r="AX355" s="222">
        <f>AX124/AX258</f>
        <v>0.31797142447164</v>
      </c>
      <c r="AY355" s="222">
        <f>AY124/AY258</f>
        <v>0.101541204379024</v>
      </c>
      <c r="AZ355" s="222">
        <f>AZ124/AZ258</f>
        <v>0.222185930440114</v>
      </c>
      <c r="BB355" s="222">
        <f>BB124/BB258</f>
        <v>0.181760637674364</v>
      </c>
      <c r="BC355" s="222">
        <f>BC124/BC258</f>
        <v>0.330150663806452</v>
      </c>
      <c r="BD355" s="222">
        <f>BD124/BD258</f>
        <v>0.108533773482682</v>
      </c>
      <c r="BE355" s="222">
        <f>BE124/BE258</f>
        <v>0.227385709001153</v>
      </c>
      <c r="BG355" s="222">
        <f>BG124/BG258</f>
        <v>0.185247755190887</v>
      </c>
      <c r="BH355" s="222">
        <f>BH124/BH258</f>
        <v>0.336507364785968</v>
      </c>
      <c r="BI355" s="222">
        <f>BI124/BI258</f>
        <v>0.109455694818348</v>
      </c>
      <c r="BJ355" s="222">
        <f>BJ124/BJ258</f>
        <v>0.230574236004688</v>
      </c>
      <c r="BL355" s="222">
        <f>BL124/BL258</f>
        <v>0.187366673178355</v>
      </c>
      <c r="BM355" s="222">
        <f>BM124/BM258</f>
        <v>0.338459981045921</v>
      </c>
      <c r="BN355" s="222">
        <f>BN124/BN258</f>
        <v>0.11028063137412</v>
      </c>
      <c r="BO355" s="222">
        <f>BO124/BO258</f>
        <v>0.231438982217077</v>
      </c>
      <c r="BQ355" s="222">
        <f>BQ124/BQ258</f>
        <v>0.187940219334195</v>
      </c>
      <c r="BR355" s="222">
        <f>BR124/BR258</f>
        <v>0.339298068467005</v>
      </c>
      <c r="BS355" s="222">
        <f>BS124/BS258</f>
        <v>0.110456587918627</v>
      </c>
      <c r="BT355" s="222">
        <f>BT124/BT258</f>
        <v>0.231844529701873</v>
      </c>
      <c r="BV355" s="222">
        <f>BV124/BV258</f>
        <v>0.188208629900297</v>
      </c>
      <c r="BW355" s="222">
        <f>BW124/BW258</f>
        <v>0.339575077019686</v>
      </c>
      <c r="BX355" s="222">
        <f>BX124/BX258</f>
        <v>0.110555768222474</v>
      </c>
      <c r="BY355" s="222">
        <f>BY124/BY258</f>
        <v>0.231970244696719</v>
      </c>
      <c r="CA355" s="222">
        <f>CA124/CA258</f>
        <v>0.188291858453045</v>
      </c>
      <c r="CB355" s="222">
        <f>CB124/CB258</f>
        <v>0.339685074334498</v>
      </c>
      <c r="CC355" s="222">
        <f>CC124/CC258</f>
        <v>0.110582910178358</v>
      </c>
      <c r="CD355" s="222">
        <f>CD124/CD258</f>
        <v>0.232022590493868</v>
      </c>
      <c r="CF355" s="222">
        <f>CF124/CF258</f>
        <v>0.188326488977381</v>
      </c>
      <c r="CG355" s="222">
        <f>CG124/CG258</f>
        <v>0.339723170326041</v>
      </c>
      <c r="CH355" s="222">
        <f>CH124/CH258</f>
        <v>0.110595339766468</v>
      </c>
      <c r="CI355" s="222">
        <f>CI124/CI258</f>
        <v>0.232040111799146</v>
      </c>
      <c r="CK355" s="222">
        <f>CK124/CK258</f>
        <v>0.188338084413987</v>
      </c>
      <c r="CL355" s="222">
        <f>CL124/CL258</f>
        <v>0.339737734912993</v>
      </c>
      <c r="CM355" s="222">
        <f>CM124/CM258</f>
        <v>0.110599232076941</v>
      </c>
      <c r="CN355" s="222">
        <f>CN124/CN258</f>
        <v>0.232046981848711</v>
      </c>
      <c r="CP355" s="222">
        <f>CP124/CP258</f>
        <v>0.188342629496263</v>
      </c>
      <c r="CQ355" s="222">
        <f>CQ124/CQ258</f>
        <v>0.339742912744715</v>
      </c>
      <c r="CR355" s="222">
        <f>CR124/CR258</f>
        <v>0.110600836640478</v>
      </c>
      <c r="CS355" s="222">
        <f>CS124/CS258</f>
        <v>0.232049380028334</v>
      </c>
      <c r="CU355" s="222">
        <f>CU124/CU258</f>
        <v>0.188344216395031</v>
      </c>
      <c r="CV355" s="222">
        <f>CV124/CV258</f>
        <v>0.339744853589963</v>
      </c>
      <c r="CW355" s="222">
        <f>CW124/CW258</f>
        <v>0.110601377075148</v>
      </c>
      <c r="CX355" s="222">
        <f>CX124/CX258</f>
        <v>0.232050291141558</v>
      </c>
    </row>
    <row r="357">
      <c r="C357" s="53" t="inlineStr">
        <is>
          <t>Scenario Analysis</t>
        </is>
      </c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  <c r="CO357" s="53" t="n"/>
      <c r="CP357" s="53" t="n"/>
      <c r="CQ357" s="53" t="n"/>
      <c r="CR357" s="53" t="n"/>
      <c r="CS357" s="53" t="n"/>
      <c r="CT357" s="53" t="n"/>
      <c r="CU357" s="53" t="n"/>
      <c r="CV357" s="53" t="n"/>
      <c r="CW357" s="53" t="n"/>
      <c r="CX357" s="53" t="n"/>
      <c r="CY357" s="53" t="n"/>
    </row>
    <row r="360">
      <c r="C360" s="4" t="inlineStr">
        <is>
          <t>Bull case</t>
        </is>
      </c>
    </row>
    <row r="361">
      <c r="C361" s="4" t="inlineStr">
        <is>
          <t>Base case</t>
        </is>
      </c>
    </row>
    <row r="362">
      <c r="C362" s="4" t="inlineStr">
        <is>
          <t>Bear case</t>
        </is>
      </c>
    </row>
    <row r="365">
      <c r="C365" s="4" t="inlineStr">
        <is>
          <t>Bull case</t>
        </is>
      </c>
    </row>
    <row r="366">
      <c r="C366" s="4" t="inlineStr">
        <is>
          <t>Base case</t>
        </is>
      </c>
    </row>
    <row r="367">
      <c r="C367" s="4" t="inlineStr">
        <is>
          <t>Bear case</t>
        </is>
      </c>
    </row>
    <row r="370">
      <c r="C370" s="4" t="inlineStr">
        <is>
          <t>% Gross Margin</t>
        </is>
      </c>
    </row>
    <row r="371">
      <c r="C371" s="4" t="inlineStr">
        <is>
          <t>Bull case</t>
        </is>
      </c>
    </row>
    <row r="372">
      <c r="C372" s="4" t="inlineStr">
        <is>
          <t>Base case</t>
        </is>
      </c>
    </row>
    <row r="373">
      <c r="C373" s="4" t="inlineStr">
        <is>
          <t>Bear case</t>
        </is>
      </c>
    </row>
    <row r="376">
      <c r="C376" s="4" t="inlineStr">
        <is>
          <t>Capital expenditures</t>
        </is>
      </c>
    </row>
    <row r="377">
      <c r="C377" s="4" t="inlineStr">
        <is>
          <t>Bull case</t>
        </is>
      </c>
    </row>
    <row r="378">
      <c r="C378" s="4" t="inlineStr">
        <is>
          <t>Base case</t>
        </is>
      </c>
    </row>
    <row r="379">
      <c r="C379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02:G302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02:L302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02:Q302">
    <cfRule type="cellIs" priority="44" operator="notEqual" dxfId="0">
      <formula>0</formula>
    </cfRule>
  </conditionalFormatting>
  <conditionalFormatting sqref="S302:V302">
    <cfRule type="cellIs" priority="43" operator="notEqual" dxfId="0">
      <formula>0</formula>
    </cfRule>
  </conditionalFormatting>
  <conditionalFormatting sqref="X302:AA302">
    <cfRule type="cellIs" priority="42" operator="notEqual" dxfId="0">
      <formula>0</formula>
    </cfRule>
  </conditionalFormatting>
  <conditionalFormatting sqref="AC302:AF302">
    <cfRule type="cellIs" priority="41" operator="notEqual" dxfId="0">
      <formula>0</formula>
    </cfRule>
  </conditionalFormatting>
  <conditionalFormatting sqref="AH302:AK302">
    <cfRule type="cellIs" priority="14" operator="notEqual" dxfId="0">
      <formula>0</formula>
    </cfRule>
  </conditionalFormatting>
  <conditionalFormatting sqref="AM302:AP302">
    <cfRule type="cellIs" priority="13" operator="notEqual" dxfId="0">
      <formula>0</formula>
    </cfRule>
  </conditionalFormatting>
  <conditionalFormatting sqref="AR302:AU302">
    <cfRule type="cellIs" priority="12" operator="notEqual" dxfId="0">
      <formula>0</formula>
    </cfRule>
  </conditionalFormatting>
  <conditionalFormatting sqref="AW302:AZ302">
    <cfRule type="cellIs" priority="11" operator="notEqual" dxfId="0">
      <formula>0</formula>
    </cfRule>
  </conditionalFormatting>
  <conditionalFormatting sqref="BB302:BE302">
    <cfRule type="cellIs" priority="10" operator="notEqual" dxfId="0">
      <formula>0</formula>
    </cfRule>
  </conditionalFormatting>
  <conditionalFormatting sqref="BG302:BJ302">
    <cfRule type="cellIs" priority="9" operator="notEqual" dxfId="0">
      <formula>0</formula>
    </cfRule>
  </conditionalFormatting>
  <conditionalFormatting sqref="BL302:BO302">
    <cfRule type="cellIs" priority="8" operator="notEqual" dxfId="0">
      <formula>0</formula>
    </cfRule>
  </conditionalFormatting>
  <conditionalFormatting sqref="BQ302:BT302">
    <cfRule type="cellIs" priority="7" operator="notEqual" dxfId="0">
      <formula>0</formula>
    </cfRule>
  </conditionalFormatting>
  <conditionalFormatting sqref="BV302:BY302">
    <cfRule type="cellIs" priority="6" operator="notEqual" dxfId="0">
      <formula>0</formula>
    </cfRule>
  </conditionalFormatting>
  <conditionalFormatting sqref="CA302:CD302">
    <cfRule type="cellIs" priority="5" operator="notEqual" dxfId="0">
      <formula>0</formula>
    </cfRule>
  </conditionalFormatting>
  <conditionalFormatting sqref="CF302:CI302">
    <cfRule type="cellIs" priority="4" operator="notEqual" dxfId="0">
      <formula>0</formula>
    </cfRule>
  </conditionalFormatting>
  <conditionalFormatting sqref="CK302:CN302">
    <cfRule type="cellIs" priority="3" operator="notEqual" dxfId="0">
      <formula>0</formula>
    </cfRule>
  </conditionalFormatting>
  <conditionalFormatting sqref="CP302:CS302">
    <cfRule type="cellIs" priority="2" operator="notEqual" dxfId="0">
      <formula>0</formula>
    </cfRule>
  </conditionalFormatting>
  <conditionalFormatting sqref="CU302:CX302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60785</v>
      </c>
      <c r="E18" s="83">
        <f>Model!AB15</f>
        <v>48039</v>
      </c>
      <c r="F18" s="83">
        <f>Model!AG15</f>
        <v>46786</v>
      </c>
      <c r="G18" s="83">
        <f>Model!AL15</f>
        <v>47982</v>
      </c>
      <c r="H18" s="83">
        <f>Model!AQ15</f>
        <v>47982</v>
      </c>
      <c r="I18" s="83">
        <f>Model!AV15</f>
        <v>47982</v>
      </c>
      <c r="J18" s="83">
        <f>Model!BA15</f>
        <v>47982</v>
      </c>
      <c r="K18" s="83">
        <f>Model!BF15</f>
        <v>47982</v>
      </c>
      <c r="L18" s="83">
        <f>Model!BK15</f>
        <v>47982</v>
      </c>
      <c r="M18" s="83">
        <f>Model!BP15</f>
        <v>47982</v>
      </c>
      <c r="N18" s="83">
        <f>Model!BU15</f>
        <v>47982</v>
      </c>
      <c r="O18" s="83">
        <f>Model!BZ15</f>
        <v>47982</v>
      </c>
      <c r="P18" s="83">
        <f>Model!CE15</f>
        <v>47982</v>
      </c>
      <c r="Q18" s="83">
        <f>Model!CJ15</f>
        <v>47982</v>
      </c>
      <c r="R18" s="83">
        <f>Model!CO15</f>
        <v>47982</v>
      </c>
      <c r="S18" s="83" t="n"/>
      <c r="T18" s="83" t="n"/>
      <c r="U18" s="83" t="n"/>
      <c r="V18" s="84" t="n"/>
      <c r="X18" s="85">
        <f>((L18/F18)^(1/6))-1</f>
        <v>0.0042158497476481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-0.209689890598009</v>
      </c>
      <c r="F19" s="87">
        <f>F18/E18-1</f>
        <v>-0.0260829742500884</v>
      </c>
      <c r="G19" s="87">
        <f>G18/F18-1</f>
        <v>0.0255632026674646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Model!W56</f>
        <v>12470</v>
      </c>
      <c r="E20" s="83">
        <f>Model!AB56</f>
        <v>2147</v>
      </c>
      <c r="F20" s="83">
        <f>Model!AG56</f>
        <v>2270</v>
      </c>
      <c r="G20" s="83">
        <f>Model!AL56</f>
        <v>1197</v>
      </c>
      <c r="H20" s="83">
        <f>Model!AQ56</f>
        <v>0</v>
      </c>
      <c r="I20" s="83">
        <f>Model!BA56</f>
        <v>0</v>
      </c>
      <c r="J20" s="83">
        <f>Model!BA56</f>
        <v>0</v>
      </c>
      <c r="K20" s="83">
        <f>Model!BF56</f>
        <v>0</v>
      </c>
      <c r="L20" s="83">
        <f>Model!BK56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0.205149296701489</v>
      </c>
      <c r="E21" s="92">
        <f>E20/E18</f>
        <v>0.0446928537230167</v>
      </c>
      <c r="F21" s="92">
        <f>F20/F18</f>
        <v>0.0485187876715257</v>
      </c>
      <c r="G21" s="92">
        <f>G20/G18</f>
        <v>0.0249468550706515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Model!W60</f>
        <v>10440</v>
      </c>
      <c r="E22" s="83">
        <f>Model!AB60</f>
        <v>0</v>
      </c>
      <c r="F22" s="83">
        <f>Model!AG60</f>
        <v>0</v>
      </c>
      <c r="G22" s="83">
        <f>Model!AL60</f>
        <v>0</v>
      </c>
      <c r="H22" s="83">
        <f>Model!AQ60</f>
        <v>0</v>
      </c>
      <c r="I22" s="83">
        <f>Model!AV60</f>
        <v>0</v>
      </c>
      <c r="J22" s="83">
        <f>Model!BA60</f>
        <v>0</v>
      </c>
      <c r="K22" s="83">
        <f>Model!BF60</f>
        <v>0</v>
      </c>
      <c r="L22" s="83">
        <f>Model!BK60</f>
        <v>0</v>
      </c>
      <c r="M22" s="83">
        <f>Model!BP60</f>
        <v>0</v>
      </c>
      <c r="N22" s="83">
        <f>Model!BU60</f>
        <v>0</v>
      </c>
      <c r="O22" s="83">
        <f>Model!BZ60</f>
        <v>0</v>
      </c>
      <c r="P22" s="83">
        <f>Model!CE60</f>
        <v>0</v>
      </c>
      <c r="Q22" s="83">
        <f>Model!CJ60</f>
        <v>0</v>
      </c>
      <c r="R22" s="83">
        <f>Model!CO60</f>
        <v>0</v>
      </c>
      <c r="S22" s="83" t="n"/>
      <c r="T22" s="83" t="n"/>
      <c r="U22" s="83" t="n"/>
      <c r="V22" s="84" t="n"/>
      <c r="X22" s="85" t="e">
        <f>((L22/F22)^(1/6))-1</f>
        <v>#DIV/0!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0.171752899564037</v>
      </c>
      <c r="E23" s="92">
        <f>E22/E18</f>
        <v>0</v>
      </c>
      <c r="F23" s="92">
        <f>F22/F18</f>
        <v>0</v>
      </c>
      <c r="G23" s="92">
        <f>G22/G18</f>
        <v>0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Model!W119</f>
        <v>0.219981164652331</v>
      </c>
      <c r="E24" s="95">
        <f>Model!AB119</f>
        <v>0.20948516358103</v>
      </c>
      <c r="F24" s="95">
        <f>Model!AG119</f>
        <v>0.230396902226525</v>
      </c>
      <c r="G24" s="95">
        <f>Model!AL119</f>
        <v>0.107142857142857</v>
      </c>
      <c r="H24" s="95">
        <f>Model!AQ119</f>
        <v>0</v>
      </c>
      <c r="I24" s="95">
        <f>Model!AV119</f>
        <v>0</v>
      </c>
      <c r="J24" s="95">
        <f>Model!BA119</f>
        <v>0</v>
      </c>
      <c r="K24" s="95">
        <f>Model!BF119</f>
        <v>0</v>
      </c>
      <c r="L24" s="95">
        <f>Model!BK119</f>
        <v>0</v>
      </c>
      <c r="M24" s="95">
        <f>Model!BP119</f>
        <v>0</v>
      </c>
      <c r="N24" s="95">
        <f>Model!BU119</f>
        <v>0</v>
      </c>
      <c r="O24" s="95">
        <f>Model!BZ119</f>
        <v>0</v>
      </c>
      <c r="P24" s="95">
        <f>Model!CE119</f>
        <v>0</v>
      </c>
      <c r="Q24" s="95">
        <f>Model!CJ119</f>
        <v>0</v>
      </c>
      <c r="R24" s="95">
        <f>Model!CO119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8143.39664102967</v>
      </c>
      <c r="E25" s="97">
        <f>E22*(1-E24)</f>
        <v>0</v>
      </c>
      <c r="F25" s="97">
        <f>F22*(1-F24)</f>
        <v>0</v>
      </c>
      <c r="G25" s="97">
        <f>G22*(1-G24)</f>
        <v>0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Model!W57</f>
        <v>-2030</v>
      </c>
      <c r="E26" s="100">
        <f>Model!AB57</f>
        <v>-2147</v>
      </c>
      <c r="F26" s="100">
        <f>Model!AG57</f>
        <v>-2270</v>
      </c>
      <c r="G26" s="100">
        <f>Model!AL57</f>
        <v>-1197</v>
      </c>
      <c r="H26" s="100">
        <f>Model!AQ57</f>
        <v>0</v>
      </c>
      <c r="I26" s="100">
        <f>Model!AV57</f>
        <v>0</v>
      </c>
      <c r="J26" s="100">
        <f>Model!BA57</f>
        <v>0</v>
      </c>
      <c r="K26" s="100">
        <f>Model!BF57</f>
        <v>0</v>
      </c>
      <c r="L26" s="101">
        <f>Model!BK57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-2638</v>
      </c>
      <c r="E27" s="103">
        <f>SUM(E28:E39)</f>
        <v>5116</v>
      </c>
      <c r="F27" s="103">
        <f>SUM(F28:F39)</f>
        <v>-4826</v>
      </c>
      <c r="G27" s="103">
        <f>SUM(G28:G39)</f>
        <v>5780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Model!W267</f>
        <v>0</v>
      </c>
      <c r="E28" s="106">
        <f>Model!AB267</f>
        <v>0</v>
      </c>
      <c r="F28" s="106">
        <f>Model!AG267</f>
        <v>0</v>
      </c>
      <c r="G28" s="106">
        <f>Model!AL267</f>
        <v>0</v>
      </c>
      <c r="H28" s="106">
        <f>Model!AQ267</f>
        <v>0</v>
      </c>
      <c r="I28" s="106">
        <f>Model!AV267</f>
        <v>0</v>
      </c>
      <c r="J28" s="106">
        <f>Model!BA267</f>
        <v>0</v>
      </c>
      <c r="K28" s="106">
        <f>Model!BF267</f>
        <v>0</v>
      </c>
      <c r="L28" s="107">
        <f>Model!BK267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Model!W268</f>
        <v>1119</v>
      </c>
      <c r="E29" s="106">
        <f>Model!AB268</f>
        <v>1193</v>
      </c>
      <c r="F29" s="106">
        <f>Model!AG268</f>
        <v>-542</v>
      </c>
      <c r="G29" s="106">
        <f>Model!AL268</f>
        <v>8286</v>
      </c>
      <c r="H29" s="106">
        <f>Model!AQ268</f>
        <v>0</v>
      </c>
      <c r="I29" s="106">
        <f>Model!AV268</f>
        <v>0</v>
      </c>
      <c r="J29" s="106">
        <f>Model!BA268</f>
        <v>0</v>
      </c>
      <c r="K29" s="106">
        <f>Model!BF268</f>
        <v>0</v>
      </c>
      <c r="L29" s="107">
        <f>Model!BK268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Model!W269</f>
        <v>-919</v>
      </c>
      <c r="E30" s="106">
        <f>Model!AB269</f>
        <v>-19</v>
      </c>
      <c r="F30" s="106">
        <f>Model!AG269</f>
        <v>-416</v>
      </c>
      <c r="G30" s="106">
        <f>Model!AL269</f>
        <v>-75</v>
      </c>
      <c r="H30" s="106">
        <f>Model!AQ269</f>
        <v>0</v>
      </c>
      <c r="I30" s="106">
        <f>Model!AV269</f>
        <v>0</v>
      </c>
      <c r="J30" s="106">
        <f>Model!BA269</f>
        <v>0</v>
      </c>
      <c r="K30" s="106">
        <f>Model!BF269</f>
        <v>0</v>
      </c>
      <c r="L30" s="107">
        <f>Model!BK269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Model!W270</f>
        <v>0</v>
      </c>
      <c r="E31" s="106">
        <f>Model!AB270</f>
        <v>0</v>
      </c>
      <c r="F31" s="106">
        <f>Model!AG270</f>
        <v>0</v>
      </c>
      <c r="G31" s="106">
        <f>Model!AL270</f>
        <v>0</v>
      </c>
      <c r="H31" s="106">
        <f>Model!AQ270</f>
        <v>0</v>
      </c>
      <c r="I31" s="106">
        <f>Model!AV270</f>
        <v>0</v>
      </c>
      <c r="J31" s="106">
        <f>Model!BA270</f>
        <v>0</v>
      </c>
      <c r="K31" s="106">
        <f>Model!BF270</f>
        <v>0</v>
      </c>
      <c r="L31" s="107">
        <f>Model!BK270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Model!W271</f>
        <v>-721</v>
      </c>
      <c r="E32" s="106">
        <f>Model!AB271</f>
        <v>-2182</v>
      </c>
      <c r="F32" s="106">
        <f>Model!AG271</f>
        <v>128</v>
      </c>
      <c r="G32" s="106">
        <f>Model!AL271</f>
        <v>-1611</v>
      </c>
      <c r="H32" s="106">
        <f>Model!AQ271</f>
        <v>0</v>
      </c>
      <c r="I32" s="106">
        <f>Model!AV271</f>
        <v>0</v>
      </c>
      <c r="J32" s="106">
        <f>Model!BA271</f>
        <v>0</v>
      </c>
      <c r="K32" s="106">
        <f>Model!BF271</f>
        <v>0</v>
      </c>
      <c r="L32" s="107">
        <f>Model!BK271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Model!W272</f>
        <v>0</v>
      </c>
      <c r="E33" s="106">
        <f>Model!AB272</f>
        <v>0</v>
      </c>
      <c r="F33" s="106">
        <f>Model!AG272</f>
        <v>0</v>
      </c>
      <c r="G33" s="106">
        <f>Model!AL272</f>
        <v>0</v>
      </c>
      <c r="H33" s="106">
        <f>Model!AQ272</f>
        <v>0</v>
      </c>
      <c r="I33" s="106">
        <f>Model!AV272</f>
        <v>0</v>
      </c>
      <c r="J33" s="106">
        <f>Model!BA272</f>
        <v>0</v>
      </c>
      <c r="K33" s="106">
        <f>Model!BF272</f>
        <v>0</v>
      </c>
      <c r="L33" s="107">
        <f>Model!BK272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Model!W273</f>
        <v>0</v>
      </c>
      <c r="E34" s="106">
        <f>Model!AB273</f>
        <v>0</v>
      </c>
      <c r="F34" s="106">
        <f>Model!AG273</f>
        <v>0</v>
      </c>
      <c r="G34" s="106">
        <f>Model!AL273</f>
        <v>0</v>
      </c>
      <c r="H34" s="106" t="e">
        <f>Model!AQ273</f>
        <v>#DIV/0!</v>
      </c>
      <c r="I34" s="106" t="e">
        <f>Model!AV273</f>
        <v>#DIV/0!</v>
      </c>
      <c r="J34" s="106" t="e">
        <f>Model!BA273</f>
        <v>#DIV/0!</v>
      </c>
      <c r="K34" s="106" t="e">
        <f>Model!BF273</f>
        <v>#DIV/0!</v>
      </c>
      <c r="L34" s="107" t="e">
        <f>Model!BK273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Model!W274</f>
        <v>0</v>
      </c>
      <c r="E35" s="106">
        <f>Model!AB274</f>
        <v>0</v>
      </c>
      <c r="F35" s="106">
        <f>Model!AG274</f>
        <v>0</v>
      </c>
      <c r="G35" s="106">
        <f>Model!AL274</f>
        <v>0</v>
      </c>
      <c r="H35" s="106" t="e">
        <f>Model!AQ274</f>
        <v>#DIV/0!</v>
      </c>
      <c r="I35" s="106" t="e">
        <f>Model!AV274</f>
        <v>#DIV/0!</v>
      </c>
      <c r="J35" s="106" t="e">
        <f>Model!BA274</f>
        <v>#DIV/0!</v>
      </c>
      <c r="K35" s="106" t="e">
        <f>Model!BF274</f>
        <v>#DIV/0!</v>
      </c>
      <c r="L35" s="107" t="e">
        <f>Model!BK274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Model!W275</f>
        <v>5989</v>
      </c>
      <c r="E36" s="106">
        <f>Model!AB275</f>
        <v>5771</v>
      </c>
      <c r="F36" s="106">
        <f>Model!AG275</f>
        <v>-5043</v>
      </c>
      <c r="G36" s="106">
        <f>Model!AL275</f>
        <v>-213</v>
      </c>
      <c r="H36" s="106">
        <f>Model!AQ275</f>
        <v>0</v>
      </c>
      <c r="I36" s="106">
        <f>Model!AV275</f>
        <v>0</v>
      </c>
      <c r="J36" s="106">
        <f>Model!BA275</f>
        <v>0</v>
      </c>
      <c r="K36" s="106">
        <f>Model!BF275</f>
        <v>0</v>
      </c>
      <c r="L36" s="107">
        <f>Model!BK275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Model!W276</f>
        <v>31</v>
      </c>
      <c r="E37" s="106">
        <f>Model!AB276</f>
        <v>-102</v>
      </c>
      <c r="F37" s="106">
        <f>Model!AG276</f>
        <v>-14</v>
      </c>
      <c r="G37" s="106">
        <f>Model!AL276</f>
        <v>-23</v>
      </c>
      <c r="H37" s="106">
        <f>Model!AQ276</f>
        <v>0</v>
      </c>
      <c r="I37" s="106">
        <f>Model!AV276</f>
        <v>0</v>
      </c>
      <c r="J37" s="106">
        <f>Model!BA276</f>
        <v>0</v>
      </c>
      <c r="K37" s="106">
        <f>Model!BF276</f>
        <v>0</v>
      </c>
      <c r="L37" s="107">
        <f>Model!BK276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(Model!W176-Model!R176)*-1</f>
        <v>-8137</v>
      </c>
      <c r="E38" s="106">
        <f>(Model!AB176-Model!W176)*-1</f>
        <v>455</v>
      </c>
      <c r="F38" s="106">
        <f>(Model!AG176-Model!AB176)*-1</f>
        <v>1061</v>
      </c>
      <c r="G38" s="106">
        <f>(Model!AL176-Model!AG176)*-1</f>
        <v>-584</v>
      </c>
      <c r="H38" s="106">
        <f>(Model!AQ176-Model!AL176)*-1</f>
        <v>0</v>
      </c>
      <c r="I38" s="106">
        <f>(Model!AV176-Model!AQ176)*-1</f>
        <v>0</v>
      </c>
      <c r="J38" s="106">
        <f>(Model!BA176-Model!AV176)*-1</f>
        <v>0</v>
      </c>
      <c r="K38" s="106">
        <f>(Model!BF176-Model!BA176)*-1</f>
        <v>0</v>
      </c>
      <c r="L38" s="107">
        <f>(Model!BK176-Model!BF176)*-1</f>
        <v>0</v>
      </c>
      <c r="M38">
        <f>(Model!BP176-Model!BK176)*-1</f>
        <v>0</v>
      </c>
      <c r="N38">
        <f>(Model!BU176-Model!BP176)*-1</f>
        <v>0</v>
      </c>
      <c r="O38">
        <f>(Model!BZ176-Model!BU176)*-1</f>
        <v>0</v>
      </c>
      <c r="P38">
        <f>(Model!CE176-Model!BZ176)*-1</f>
        <v>0</v>
      </c>
      <c r="Q38">
        <f>(Model!CJ176-Model!CE176)*-1</f>
        <v>0</v>
      </c>
      <c r="R38">
        <f>(Model!CO176-Model!CJ176)*-1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Model!W227-Model!R227</f>
        <v>0</v>
      </c>
      <c r="E39" s="106">
        <f>Model!AB227-Model!W227</f>
        <v>0</v>
      </c>
      <c r="F39" s="106">
        <f>Model!AG227-Model!AB227</f>
        <v>0</v>
      </c>
      <c r="G39" s="106">
        <f>Model!AL227-Model!AG227</f>
        <v>0</v>
      </c>
      <c r="H39" s="106">
        <f>Model!AQ227-Model!AL227</f>
        <v>0</v>
      </c>
      <c r="I39" s="106">
        <f>Model!AV227-Model!AQ227</f>
        <v>0</v>
      </c>
      <c r="J39" s="106">
        <f>Model!BA227-Model!AV227</f>
        <v>0</v>
      </c>
      <c r="K39" s="106">
        <f>Model!BF227-Model!BA227</f>
        <v>0</v>
      </c>
      <c r="L39" s="107">
        <f>Model!BK227-Model!BF227</f>
        <v>0</v>
      </c>
      <c r="M39">
        <f>Model!BP227-Model!BK227</f>
        <v>0</v>
      </c>
      <c r="N39">
        <f>Model!BU227-Model!BP227</f>
        <v>0</v>
      </c>
      <c r="O39">
        <f>Model!BZ227-Model!BU227</f>
        <v>0</v>
      </c>
      <c r="P39">
        <f>Model!CE227-Model!BZ227</f>
        <v>0</v>
      </c>
      <c r="Q39">
        <f>Model!CJ227-Model!CE227</f>
        <v>0</v>
      </c>
      <c r="R39">
        <f>Model!CO227-Model!CJ227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-4668</v>
      </c>
      <c r="E44" s="103">
        <f>SUM(E27+E40+E41+E42+E26)</f>
        <v>2969</v>
      </c>
      <c r="F44" s="103">
        <f>SUM(F27+F40+F41+F42+F26)</f>
        <v>-7096</v>
      </c>
      <c r="G44" s="103">
        <f>SUM(G27+G40+G41+G42+G26)</f>
        <v>4583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Model!W337</f>
        <v>34709</v>
      </c>
      <c r="E46" s="106">
        <f>Model!AB337</f>
        <v>29222</v>
      </c>
      <c r="F46" s="106">
        <f>Model!AG337</f>
        <v>34385</v>
      </c>
      <c r="G46" s="106">
        <f>Model!AL337</f>
        <v>27888</v>
      </c>
      <c r="H46" s="106" t="e">
        <f>Model!AQ337</f>
        <v>#DIV/0!</v>
      </c>
      <c r="I46" s="106" t="e">
        <f>Model!AV337</f>
        <v>#DIV/0!</v>
      </c>
      <c r="J46" s="106" t="e">
        <f>Model!BA337</f>
        <v>#DIV/0!</v>
      </c>
      <c r="K46" s="106" t="e">
        <f>Model!BF337</f>
        <v>#DIV/0!</v>
      </c>
      <c r="L46" s="106" t="e">
        <f>Model!BK337</f>
        <v>#DIV/0!</v>
      </c>
      <c r="M46" s="115" t="e">
        <f>Model!BP337</f>
        <v>#DIV/0!</v>
      </c>
      <c r="N46" s="115" t="e">
        <f>Model!BU337</f>
        <v>#DIV/0!</v>
      </c>
      <c r="O46" s="115" t="e">
        <f>Model!BZ337</f>
        <v>#DIV/0!</v>
      </c>
      <c r="P46" s="115" t="e">
        <f>Model!CE337</f>
        <v>#DIV/0!</v>
      </c>
      <c r="Q46" s="115" t="e">
        <f>Model!CJ337</f>
        <v>#DIV/0!</v>
      </c>
      <c r="R46" s="115" t="e">
        <f>Model!CO337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Model!W338</f>
        <v>30743</v>
      </c>
      <c r="E47" s="106">
        <f>Model!AB338</f>
        <v>25350</v>
      </c>
      <c r="F47" s="106">
        <f>Model!AG338</f>
        <v>30105</v>
      </c>
      <c r="G47" s="106">
        <f>Model!AL338</f>
        <v>23422</v>
      </c>
      <c r="H47" s="106" t="e">
        <f>Model!AQ338</f>
        <v>#DIV/0!</v>
      </c>
      <c r="I47" s="106" t="e">
        <f>Model!AV338</f>
        <v>#DIV/0!</v>
      </c>
      <c r="J47" s="106" t="e">
        <f>Model!BA338</f>
        <v>#DIV/0!</v>
      </c>
      <c r="K47" s="106" t="e">
        <f>Model!BF338</f>
        <v>#DIV/0!</v>
      </c>
      <c r="L47" s="106" t="e">
        <f>Model!BK338</f>
        <v>#DIV/0!</v>
      </c>
      <c r="M47" t="e">
        <f>Model!BP338</f>
        <v>#DIV/0!</v>
      </c>
      <c r="N47" t="e">
        <f>Model!BU338</f>
        <v>#DIV/0!</v>
      </c>
      <c r="O47" t="e">
        <f>Model!BZ338</f>
        <v>#DIV/0!</v>
      </c>
      <c r="P47" t="e">
        <f>Model!CE338</f>
        <v>#DIV/0!</v>
      </c>
      <c r="Q47" t="e">
        <f>Model!CJ338</f>
        <v>#DIV/0!</v>
      </c>
      <c r="R47" t="e">
        <f>Model!CO338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0.571012585341778</v>
      </c>
      <c r="E48" s="92">
        <f>E46/E18</f>
        <v>0.608297425008847</v>
      </c>
      <c r="F48" s="92">
        <f>F46/F18</f>
        <v>0.734942076689608</v>
      </c>
      <c r="G48" s="92">
        <f>G46/G18</f>
        <v>0.581217956733775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1.75127488547639</v>
      </c>
      <c r="E51" s="124">
        <f>E18/E46</f>
        <v>1.64393265348025</v>
      </c>
      <c r="F51" s="124">
        <f>F18/F46</f>
        <v>1.36065144685183</v>
      </c>
      <c r="G51" s="124">
        <f>G18/G46</f>
        <v>1.72052495697074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3475.39664102967</v>
      </c>
      <c r="E53" s="125">
        <f>E25+E44</f>
        <v>2969</v>
      </c>
      <c r="F53" s="125">
        <f>F25+F44</f>
        <v>-7096</v>
      </c>
      <c r="G53" s="126">
        <f>(G25+G44)*stub_year_fraction</f>
        <v>1192.83561643836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0.230396902226525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2026-10-14T11:55:05Z</dcterms:modified>
  <cp:lastModifiedBy>Lucas Nascimento</cp:lastModifiedBy>
</cp:coreProperties>
</file>