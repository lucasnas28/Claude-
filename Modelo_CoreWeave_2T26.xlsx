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#,##0.0"/>
    <numFmt numFmtId="193" formatCode="_(\$* #,##0.00_);_(\$* \(#,##0.00\);_(\$* \-??_);_(@_)"/>
    <numFmt numFmtId="194" formatCode="m/d/yyyy"/>
    <numFmt numFmtId="195" formatCode="0_);\(0\)"/>
    <numFmt numFmtId="196" formatCode="_(* #,##0.00_);_(* \(#,##0.00\);_(* \-??_);_(@_)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3" fontId="4" fillId="0" borderId="0" applyAlignment="1">
      <alignment horizontal="general" vertical="bottom"/>
    </xf>
    <xf numFmtId="194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5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6" fontId="9" fillId="0" borderId="0" applyAlignment="1">
      <alignment horizontal="general" vertical="bottom"/>
    </xf>
  </cellStyleXfs>
  <cellXfs count="522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2" fontId="12" fillId="4" borderId="0" applyAlignment="1" pivotButton="0" quotePrefix="0" xfId="0">
      <alignment horizontal="center" vertical="bottom"/>
    </xf>
    <xf numFmtId="192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  <xf numFmtId="192" fontId="12" fillId="4" borderId="0" applyAlignment="1" pivotButton="0" quotePrefix="0" xfId="0">
      <alignment horizontal="center" vertical="bottom"/>
    </xf>
    <xf numFmtId="192" fontId="6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CoreWeave, Inc. (CRWV, CIK 1769628)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FQ1</t>
        </is>
      </c>
      <c r="L2" s="254" t="inlineStr">
        <is>
          <t>FQ2</t>
        </is>
      </c>
      <c r="M2" s="254" t="inlineStr">
        <is>
          <t>FQ3</t>
        </is>
      </c>
      <c r="N2" s="254" t="inlineStr">
        <is>
          <t>FQ4</t>
        </is>
      </c>
      <c r="O2" s="254" t="inlineStr">
        <is>
          <t>FQ1</t>
        </is>
      </c>
      <c r="P2" s="254" t="inlineStr">
        <is>
          <t>FQ2</t>
        </is>
      </c>
      <c r="Q2" s="254" t="inlineStr">
        <is>
          <t>FQ3</t>
        </is>
      </c>
      <c r="R2" s="254" t="inlineStr">
        <is>
          <t>FQ4</t>
        </is>
      </c>
      <c r="S2" s="254" t="inlineStr">
        <is>
          <t>FQ1</t>
        </is>
      </c>
      <c r="T2" s="254" t="inlineStr">
        <is>
          <t>FQ2</t>
        </is>
      </c>
      <c r="U2" s="254" t="inlineStr">
        <is>
          <t>FQ3</t>
        </is>
      </c>
      <c r="V2" s="254" t="inlineStr">
        <is>
          <t>FQ4</t>
        </is>
      </c>
      <c r="W2" s="254" t="inlineStr">
        <is>
          <t>FQ1</t>
        </is>
      </c>
      <c r="X2" s="254" t="inlineStr">
        <is>
          <t>FQ2</t>
        </is>
      </c>
      <c r="Y2" s="254" t="inlineStr">
        <is>
          <t>FQ3</t>
        </is>
      </c>
      <c r="Z2" s="254" t="inlineStr">
        <is>
          <t>FQ4</t>
        </is>
      </c>
      <c r="AA2" s="254" t="inlineStr">
        <is>
          <t>FQ1</t>
        </is>
      </c>
      <c r="AB2" s="254" t="inlineStr">
        <is>
          <t>FQ2</t>
        </is>
      </c>
      <c r="AC2" s="254" t="inlineStr">
        <is>
          <t>FQ3</t>
        </is>
      </c>
      <c r="AD2" s="254" t="inlineStr">
        <is>
          <t>FQ4</t>
        </is>
      </c>
      <c r="AE2" s="254" t="inlineStr">
        <is>
          <t>FQ1</t>
        </is>
      </c>
      <c r="AF2" s="254" t="inlineStr">
        <is>
          <t>FQ2</t>
        </is>
      </c>
      <c r="AG2" s="254" t="inlineStr">
        <is>
          <t>FQ3</t>
        </is>
      </c>
      <c r="AH2" s="254" t="inlineStr">
        <is>
          <t>FQ4</t>
        </is>
      </c>
      <c r="AI2" s="254" t="inlineStr">
        <is>
          <t>FQ1</t>
        </is>
      </c>
      <c r="AJ2" s="254" t="inlineStr">
        <is>
          <t>FQ2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0</v>
      </c>
      <c r="L6" s="257" t="n">
        <v>0</v>
      </c>
      <c r="M6" s="257" t="n">
        <v>0</v>
      </c>
      <c r="N6" s="257" t="n">
        <v>0</v>
      </c>
      <c r="O6" s="257" t="n">
        <v>0</v>
      </c>
      <c r="P6" s="257" t="n">
        <v>0</v>
      </c>
      <c r="Q6" s="257" t="n">
        <v>0</v>
      </c>
      <c r="R6" s="257" t="n">
        <v>0</v>
      </c>
      <c r="S6" s="257" t="n">
        <v>0</v>
      </c>
      <c r="T6" s="257" t="n">
        <v>0</v>
      </c>
      <c r="U6" s="257" t="n">
        <v>0</v>
      </c>
      <c r="V6" s="257" t="n">
        <v>0</v>
      </c>
      <c r="W6" s="257" t="n">
        <v>0</v>
      </c>
      <c r="X6" s="257" t="n">
        <v>0</v>
      </c>
      <c r="Y6" s="257" t="n">
        <v>0</v>
      </c>
      <c r="Z6" s="257" t="n">
        <v>0</v>
      </c>
      <c r="AA6" s="257" t="n">
        <v>188684000</v>
      </c>
      <c r="AB6" s="257" t="n">
        <v>395371000</v>
      </c>
      <c r="AC6" s="257" t="n">
        <v>583941000</v>
      </c>
      <c r="AD6" s="257" t="n">
        <v>747004000</v>
      </c>
      <c r="AE6" s="257" t="n">
        <v>982000000</v>
      </c>
      <c r="AF6" s="257" t="n">
        <v>1212000000</v>
      </c>
      <c r="AG6" s="257" t="n">
        <v>1364676000</v>
      </c>
      <c r="AH6" s="257" t="n">
        <v>1571904000</v>
      </c>
      <c r="AI6" s="257" t="n">
        <v>2078000000</v>
      </c>
      <c r="AJ6" s="257" t="n">
        <v>2575000000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[us-gaap:CostOfRevenue/CostOfGoodsAndServicesSold]</t>
        </is>
      </c>
      <c r="J7" s="254" t="inlineStr">
        <is>
          <t>fonte</t>
        </is>
      </c>
      <c r="K7" s="257" t="n">
        <v>0</v>
      </c>
      <c r="L7" s="257" t="n">
        <v>0</v>
      </c>
      <c r="M7" s="257" t="n">
        <v>0</v>
      </c>
      <c r="N7" s="257" t="n">
        <v>0</v>
      </c>
      <c r="O7" s="257" t="n">
        <v>0</v>
      </c>
      <c r="P7" s="257" t="n">
        <v>0</v>
      </c>
      <c r="Q7" s="257" t="n">
        <v>0</v>
      </c>
      <c r="R7" s="257" t="n">
        <v>0</v>
      </c>
      <c r="S7" s="257" t="n">
        <v>0</v>
      </c>
      <c r="T7" s="257" t="n">
        <v>0</v>
      </c>
      <c r="U7" s="257" t="n">
        <v>0</v>
      </c>
      <c r="V7" s="257" t="n">
        <v>0</v>
      </c>
      <c r="W7" s="257" t="n">
        <v>0</v>
      </c>
      <c r="X7" s="257" t="n">
        <v>0</v>
      </c>
      <c r="Y7" s="257" t="n">
        <v>0</v>
      </c>
      <c r="Z7" s="257" t="n">
        <v>0</v>
      </c>
      <c r="AA7" s="257" t="n">
        <v>59220000</v>
      </c>
      <c r="AB7" s="257" t="n">
        <v>108838000</v>
      </c>
      <c r="AC7" s="257" t="n">
        <v>143134000</v>
      </c>
      <c r="AD7" s="257" t="n">
        <v>181808000</v>
      </c>
      <c r="AE7" s="257" t="n">
        <v>262000000</v>
      </c>
      <c r="AF7" s="257" t="n">
        <v>313000000</v>
      </c>
      <c r="AG7" s="257" t="n">
        <v>368824000</v>
      </c>
      <c r="AH7" s="257" t="n">
        <v>509115000</v>
      </c>
      <c r="AI7" s="257" t="n">
        <v>716000000</v>
      </c>
      <c r="AJ7" s="257" t="n">
        <v>879000000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  <c r="AA8" s="257" t="n">
        <v>16847000</v>
      </c>
      <c r="AB8" s="257" t="n">
        <v>77721000</v>
      </c>
      <c r="AC8" s="257" t="n">
        <v>117116000</v>
      </c>
      <c r="AD8" s="257" t="n">
        <v>112316000</v>
      </c>
      <c r="AE8" s="257" t="n">
        <v>-27000000</v>
      </c>
      <c r="AF8" s="257" t="n">
        <v>19000000</v>
      </c>
      <c r="AG8" s="257" t="n">
        <v>51850000</v>
      </c>
      <c r="AH8" s="257" t="n">
        <v>-89589000</v>
      </c>
      <c r="AI8" s="257" t="n">
        <v>-144000000</v>
      </c>
      <c r="AJ8" s="257" t="n">
        <v>-49000000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0</v>
      </c>
      <c r="L9" s="257">
        <f>N(L6)-N(L7)-N(L8)</f>
        <v>0</v>
      </c>
      <c r="M9" s="257">
        <f>N(M6)-N(M7)-N(M8)</f>
        <v>0</v>
      </c>
      <c r="N9" s="257">
        <f>N(N6)-N(N7)-N(N8)</f>
        <v>0</v>
      </c>
      <c r="O9" s="257">
        <f>N(O6)-N(O7)-N(O8)</f>
        <v>0</v>
      </c>
      <c r="P9" s="257">
        <f>N(P6)-N(P7)-N(P8)</f>
        <v>0</v>
      </c>
      <c r="Q9" s="257">
        <f>N(Q6)-N(Q7)-N(Q8)</f>
        <v>0</v>
      </c>
      <c r="R9" s="257">
        <f>N(R6)-N(R7)-N(R8)</f>
        <v>0</v>
      </c>
      <c r="S9" s="257">
        <f>N(S6)-N(S7)-N(S8)</f>
        <v>0</v>
      </c>
      <c r="T9" s="257">
        <f>N(T6)-N(T7)-N(T8)</f>
        <v>0</v>
      </c>
      <c r="U9" s="257">
        <f>N(U6)-N(U7)-N(U8)</f>
        <v>0</v>
      </c>
      <c r="V9" s="257">
        <f>N(V6)-N(V7)-N(V8)</f>
        <v>0</v>
      </c>
      <c r="W9" s="257">
        <f>N(W6)-N(W7)-N(W8)</f>
        <v>0</v>
      </c>
      <c r="X9" s="257">
        <f>N(X6)-N(X7)-N(X8)</f>
        <v>0</v>
      </c>
      <c r="Y9" s="257">
        <f>N(Y6)-N(Y7)-N(Y8)</f>
        <v>0</v>
      </c>
      <c r="Z9" s="257">
        <f>N(Z6)-N(Z7)-N(Z8)</f>
        <v>0</v>
      </c>
      <c r="AA9" s="257">
        <f>N(AA6)-N(AA7)-N(AA8)</f>
        <v>112617000</v>
      </c>
      <c r="AB9" s="257">
        <f>N(AB6)-N(AB7)-N(AB8)</f>
        <v>208812000</v>
      </c>
      <c r="AC9" s="257">
        <f>N(AC6)-N(AC7)-N(AC8)</f>
        <v>323691000</v>
      </c>
      <c r="AD9" s="257">
        <f>N(AD6)-N(AD7)-N(AD8)</f>
        <v>452880000</v>
      </c>
      <c r="AE9" s="257">
        <f>N(AE6)-N(AE7)-N(AE8)</f>
        <v>747000000</v>
      </c>
      <c r="AF9" s="257">
        <f>N(AF6)-N(AF7)-N(AF8)</f>
        <v>880000000</v>
      </c>
      <c r="AG9" s="257">
        <f>N(AG6)-N(AG7)-N(AG8)</f>
        <v>944002000</v>
      </c>
      <c r="AH9" s="257">
        <f>N(AH6)-N(AH7)-N(AH8)</f>
        <v>1152378000</v>
      </c>
      <c r="AI9" s="257">
        <f>N(AI6)-N(AI7)-N(AI8)</f>
        <v>1506000000</v>
      </c>
      <c r="AJ9" s="257">
        <f>N(AJ6)-N(AJ7)-N(AJ8)</f>
        <v>1745000000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  <c r="AA10" s="257" t="n">
        <v>-113849000</v>
      </c>
      <c r="AB10" s="257" t="n">
        <v>-282870000</v>
      </c>
      <c r="AC10" s="257" t="n">
        <v>-318148000</v>
      </c>
      <c r="AD10" s="257" t="n">
        <v>-29133000</v>
      </c>
      <c r="AE10" s="257" t="n">
        <v>-269000000</v>
      </c>
      <c r="AF10" s="257" t="n">
        <v>-242000000</v>
      </c>
      <c r="AG10" s="257" t="n">
        <v>-236804000</v>
      </c>
      <c r="AH10" s="257" t="n">
        <v>-466857000</v>
      </c>
      <c r="AI10" s="257" t="n">
        <v>-656000000</v>
      </c>
      <c r="AJ10" s="257" t="n">
        <v>-564000000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0</v>
      </c>
      <c r="L11" s="257">
        <f>N(L10)-N(L8)</f>
        <v>0</v>
      </c>
      <c r="M11" s="257">
        <f>N(M10)-N(M8)</f>
        <v>0</v>
      </c>
      <c r="N11" s="257">
        <f>N(N10)-N(N8)</f>
        <v>0</v>
      </c>
      <c r="O11" s="257">
        <f>N(O10)-N(O8)</f>
        <v>0</v>
      </c>
      <c r="P11" s="257">
        <f>N(P10)-N(P8)</f>
        <v>0</v>
      </c>
      <c r="Q11" s="257">
        <f>N(Q10)-N(Q8)</f>
        <v>0</v>
      </c>
      <c r="R11" s="257">
        <f>N(R10)-N(R8)</f>
        <v>0</v>
      </c>
      <c r="S11" s="257">
        <f>N(S10)-N(S8)</f>
        <v>0</v>
      </c>
      <c r="T11" s="257">
        <f>N(T10)-N(T8)</f>
        <v>0</v>
      </c>
      <c r="U11" s="257">
        <f>N(U10)-N(U8)</f>
        <v>0</v>
      </c>
      <c r="V11" s="257">
        <f>N(V10)-N(V8)</f>
        <v>0</v>
      </c>
      <c r="W11" s="257">
        <f>N(W10)-N(W8)</f>
        <v>0</v>
      </c>
      <c r="X11" s="257">
        <f>N(X10)-N(X8)</f>
        <v>0</v>
      </c>
      <c r="Y11" s="257">
        <f>N(Y10)-N(Y8)</f>
        <v>0</v>
      </c>
      <c r="Z11" s="257">
        <f>N(Z10)-N(Z8)</f>
        <v>0</v>
      </c>
      <c r="AA11" s="257">
        <f>N(AA10)-N(AA8)</f>
        <v>-130696000</v>
      </c>
      <c r="AB11" s="257">
        <f>N(AB10)-N(AB8)</f>
        <v>-360591000</v>
      </c>
      <c r="AC11" s="257">
        <f>N(AC10)-N(AC8)</f>
        <v>-435264000</v>
      </c>
      <c r="AD11" s="257">
        <f>N(AD10)-N(AD8)</f>
        <v>-141449000</v>
      </c>
      <c r="AE11" s="257">
        <f>N(AE10)-N(AE8)</f>
        <v>-242000000</v>
      </c>
      <c r="AF11" s="257">
        <f>N(AF10)-N(AF8)</f>
        <v>-261000000</v>
      </c>
      <c r="AG11" s="257">
        <f>N(AG10)-N(AG8)</f>
        <v>-288654000</v>
      </c>
      <c r="AH11" s="257">
        <f>N(AH10)-N(AH8)</f>
        <v>-377268000</v>
      </c>
      <c r="AI11" s="257">
        <f>N(AI10)-N(AI8)</f>
        <v>-512000000</v>
      </c>
      <c r="AJ11" s="257">
        <f>N(AJ10)-N(AJ8)</f>
        <v>-515000000</v>
      </c>
    </row>
    <row r="12" ht="15" customHeight="1" s="255">
      <c r="A12" s="254" t="n">
        <v>5</v>
      </c>
      <c r="B12" s="254" t="n">
        <v>-1</v>
      </c>
      <c r="C12" s="254" t="n">
        <v>6</v>
      </c>
      <c r="D12" s="254" t="n">
        <v>1</v>
      </c>
      <c r="G12" s="254" t="inlineStr">
        <is>
          <t>moeda</t>
        </is>
      </c>
      <c r="H12" s="254" t="inlineStr">
        <is>
          <t>Despesa de juros (divulgado positivo): COD1=5 lança; COD2=6 devolve ao não operacional, que já a contém [us-gaap:InterestExpense/InterestExpenseNonoperating]</t>
        </is>
      </c>
      <c r="J12" s="254" t="inlineStr">
        <is>
          <t>fonte</t>
        </is>
      </c>
      <c r="K12" s="257" t="n">
        <v>0</v>
      </c>
      <c r="L12" s="257" t="n">
        <v>0</v>
      </c>
      <c r="M12" s="257" t="n">
        <v>0</v>
      </c>
      <c r="N12" s="257" t="n">
        <v>0</v>
      </c>
      <c r="O12" s="257" t="n">
        <v>0</v>
      </c>
      <c r="P12" s="257" t="n">
        <v>0</v>
      </c>
      <c r="Q12" s="257" t="n">
        <v>0</v>
      </c>
      <c r="R12" s="257" t="n">
        <v>0</v>
      </c>
      <c r="S12" s="257" t="n">
        <v>0</v>
      </c>
      <c r="T12" s="257" t="n">
        <v>0</v>
      </c>
      <c r="U12" s="257" t="n">
        <v>0</v>
      </c>
      <c r="V12" s="257" t="n">
        <v>0</v>
      </c>
      <c r="W12" s="257" t="n">
        <v>0</v>
      </c>
      <c r="X12" s="257" t="n">
        <v>0</v>
      </c>
      <c r="Y12" s="257" t="n">
        <v>0</v>
      </c>
      <c r="Z12" s="257" t="n">
        <v>0</v>
      </c>
      <c r="AA12" s="257" t="n">
        <v>40503000</v>
      </c>
      <c r="AB12" s="257" t="n">
        <v>67097000</v>
      </c>
      <c r="AC12" s="257" t="n">
        <v>102328000</v>
      </c>
      <c r="AD12" s="257" t="n">
        <v>139072000</v>
      </c>
      <c r="AE12" s="257" t="n">
        <v>257000000</v>
      </c>
      <c r="AF12" s="257" t="n">
        <v>256000000</v>
      </c>
      <c r="AG12" s="257" t="n">
        <v>283416000</v>
      </c>
      <c r="AH12" s="257" t="n">
        <v>351051000</v>
      </c>
      <c r="AI12" s="257" t="n">
        <v>427000000</v>
      </c>
      <c r="AJ12" s="257" t="n">
        <v>558000000</v>
      </c>
    </row>
    <row r="13" ht="15" customHeight="1" s="255">
      <c r="A13" s="254" t="n">
        <v>7</v>
      </c>
      <c r="B13" s="254" t="n">
        <v>-1</v>
      </c>
      <c r="G13" s="254" t="inlineStr">
        <is>
          <t>moeda</t>
        </is>
      </c>
      <c r="H13" s="254" t="inlineStr">
        <is>
          <t>Imposto de renda (divulgado positivo) [us-gaap:IncomeTaxExpenseBenefit]</t>
        </is>
      </c>
      <c r="J13" s="254" t="inlineStr">
        <is>
          <t>fonte</t>
        </is>
      </c>
      <c r="K13" s="257" t="n">
        <v>0</v>
      </c>
      <c r="L13" s="257" t="n">
        <v>0</v>
      </c>
      <c r="M13" s="257" t="n">
        <v>0</v>
      </c>
      <c r="N13" s="257" t="n">
        <v>0</v>
      </c>
      <c r="O13" s="257" t="n">
        <v>0</v>
      </c>
      <c r="P13" s="257" t="n">
        <v>0</v>
      </c>
      <c r="Q13" s="257" t="n">
        <v>0</v>
      </c>
      <c r="R13" s="257" t="n">
        <v>0</v>
      </c>
      <c r="S13" s="257" t="n">
        <v>0</v>
      </c>
      <c r="T13" s="257" t="n">
        <v>0</v>
      </c>
      <c r="U13" s="257" t="n">
        <v>0</v>
      </c>
      <c r="V13" s="257" t="n">
        <v>0</v>
      </c>
      <c r="W13" s="257" t="n">
        <v>0</v>
      </c>
      <c r="X13" s="257" t="n">
        <v>0</v>
      </c>
      <c r="Y13" s="257" t="n">
        <v>0</v>
      </c>
      <c r="Z13" s="257" t="n">
        <v>0</v>
      </c>
      <c r="AA13" s="257" t="n">
        <v>15399000</v>
      </c>
      <c r="AB13" s="257" t="n">
        <v>40151000</v>
      </c>
      <c r="AC13" s="257" t="n">
        <v>41659000</v>
      </c>
      <c r="AD13" s="257" t="n">
        <v>21791000</v>
      </c>
      <c r="AE13" s="257" t="n">
        <v>46000000</v>
      </c>
      <c r="AF13" s="257" t="n">
        <v>48000000</v>
      </c>
      <c r="AG13" s="257" t="n">
        <v>-126680000</v>
      </c>
      <c r="AH13" s="257" t="n">
        <v>-15131000</v>
      </c>
      <c r="AI13" s="257" t="n">
        <v>84000000</v>
      </c>
      <c r="AJ13" s="257" t="n">
        <v>62000000</v>
      </c>
    </row>
    <row r="14" ht="15" customHeight="1" s="255">
      <c r="G14" s="254" t="inlineStr">
        <is>
          <t>moeda</t>
        </is>
      </c>
      <c r="H14" s="254" t="inlineStr">
        <is>
          <t>Lucro líquido atribuído à companhia [us-gaap:NetIncomeLoss]</t>
        </is>
      </c>
      <c r="J14" s="254" t="inlineStr">
        <is>
          <t>memoria</t>
        </is>
      </c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  <c r="AA14" s="257" t="n">
        <v>-129248000</v>
      </c>
      <c r="AB14" s="257" t="n">
        <v>-323021000</v>
      </c>
      <c r="AC14" s="257" t="n">
        <v>-359807000</v>
      </c>
      <c r="AD14" s="257" t="n">
        <v>-50924000</v>
      </c>
      <c r="AE14" s="257" t="n">
        <v>-315000000</v>
      </c>
      <c r="AF14" s="257" t="n">
        <v>-290000000</v>
      </c>
      <c r="AG14" s="257" t="n">
        <v>-110124000</v>
      </c>
      <c r="AH14" s="257" t="n">
        <v>-451726000</v>
      </c>
      <c r="AI14" s="257" t="n">
        <v>-740000000</v>
      </c>
      <c r="AJ14" s="257" t="n">
        <v>-626000000</v>
      </c>
    </row>
    <row r="15" ht="15" customHeight="1" s="255">
      <c r="A15" s="254" t="n">
        <v>8</v>
      </c>
      <c r="B15" s="254" t="n">
        <v>1</v>
      </c>
      <c r="G15" s="254" t="inlineStr">
        <is>
          <t>moeda</t>
        </is>
      </c>
      <c r="H15" s="254" t="inlineStr">
        <is>
          <t>Resultado após IR não classificado acima (equivalência patrimonial, operações descontinuadas): lucro - (LAIR - IR - minoritários); zero quando não há</t>
        </is>
      </c>
      <c r="J15" s="254" t="inlineStr">
        <is>
          <t>derivada</t>
        </is>
      </c>
      <c r="K15" s="257">
        <f>N(K14)-(N(K10)-N(K13)-0)</f>
        <v>0</v>
      </c>
      <c r="L15" s="257">
        <f>N(L14)-(N(L10)-N(L13)-0)</f>
        <v>0</v>
      </c>
      <c r="M15" s="257">
        <f>N(M14)-(N(M10)-N(M13)-0)</f>
        <v>0</v>
      </c>
      <c r="N15" s="257">
        <f>N(N14)-(N(N10)-N(N13)-0)</f>
        <v>0</v>
      </c>
      <c r="O15" s="257">
        <f>N(O14)-(N(O10)-N(O13)-0)</f>
        <v>0</v>
      </c>
      <c r="P15" s="257">
        <f>N(P14)-(N(P10)-N(P13)-0)</f>
        <v>0</v>
      </c>
      <c r="Q15" s="257">
        <f>N(Q14)-(N(Q10)-N(Q13)-0)</f>
        <v>0</v>
      </c>
      <c r="R15" s="257">
        <f>N(R14)-(N(R10)-N(R13)-0)</f>
        <v>0</v>
      </c>
      <c r="S15" s="257">
        <f>N(S14)-(N(S10)-N(S13)-0)</f>
        <v>0</v>
      </c>
      <c r="T15" s="257">
        <f>N(T14)-(N(T10)-N(T13)-0)</f>
        <v>0</v>
      </c>
      <c r="U15" s="257">
        <f>N(U14)-(N(U10)-N(U13)-0)</f>
        <v>0</v>
      </c>
      <c r="V15" s="257">
        <f>N(V14)-(N(V10)-N(V13)-0)</f>
        <v>0</v>
      </c>
      <c r="W15" s="257">
        <f>N(W14)-(N(W10)-N(W13)-0)</f>
        <v>0</v>
      </c>
      <c r="X15" s="257">
        <f>N(X14)-(N(X10)-N(X13)-0)</f>
        <v>0</v>
      </c>
      <c r="Y15" s="257">
        <f>N(Y14)-(N(Y10)-N(Y13)-0)</f>
        <v>0</v>
      </c>
      <c r="Z15" s="257">
        <f>N(Z14)-(N(Z10)-N(Z13)-0)</f>
        <v>0</v>
      </c>
      <c r="AA15" s="257">
        <f>N(AA14)-(N(AA10)-N(AA13)-0)</f>
        <v>0</v>
      </c>
      <c r="AB15" s="257">
        <f>N(AB14)-(N(AB10)-N(AB13)-0)</f>
        <v>0</v>
      </c>
      <c r="AC15" s="257">
        <f>N(AC14)-(N(AC10)-N(AC13)-0)</f>
        <v>0</v>
      </c>
      <c r="AD15" s="257">
        <f>N(AD14)-(N(AD10)-N(AD13)-0)</f>
        <v>0</v>
      </c>
      <c r="AE15" s="257">
        <f>N(AE14)-(N(AE10)-N(AE13)-0)</f>
        <v>0</v>
      </c>
      <c r="AF15" s="257">
        <f>N(AF14)-(N(AF10)-N(AF13)-0)</f>
        <v>0</v>
      </c>
      <c r="AG15" s="257">
        <f>N(AG14)-(N(AG10)-N(AG13)-0)</f>
        <v>0</v>
      </c>
      <c r="AH15" s="257">
        <f>N(AH14)-(N(AH10)-N(AH13)-0)</f>
        <v>0</v>
      </c>
      <c r="AI15" s="257">
        <f>N(AI14)-(N(AI10)-N(AI13)-0)</f>
        <v>0</v>
      </c>
      <c r="AJ15" s="257">
        <f>N(AJ14)-(N(AJ10)-N(AJ13)-0)</f>
        <v>0</v>
      </c>
    </row>
    <row r="16" ht="15" customHeight="1" s="255">
      <c r="A16" s="254" t="n">
        <v>44</v>
      </c>
      <c r="B16" s="254" t="n">
        <v>1</v>
      </c>
      <c r="G16" s="254" t="inlineStr">
        <is>
          <t>moeda</t>
        </is>
      </c>
      <c r="H16" s="254" t="inlineStr">
        <is>
          <t>Lucro líquido (check IS, código 44)</t>
        </is>
      </c>
      <c r="J16" s="254" t="inlineStr">
        <is>
          <t>derivada</t>
        </is>
      </c>
      <c r="K16" s="257">
        <f>N(K14)</f>
        <v>0</v>
      </c>
      <c r="L16" s="257">
        <f>N(L14)</f>
        <v>0</v>
      </c>
      <c r="M16" s="257">
        <f>N(M14)</f>
        <v>0</v>
      </c>
      <c r="N16" s="257">
        <f>N(N14)</f>
        <v>0</v>
      </c>
      <c r="O16" s="257">
        <f>N(O14)</f>
        <v>0</v>
      </c>
      <c r="P16" s="257">
        <f>N(P14)</f>
        <v>0</v>
      </c>
      <c r="Q16" s="257">
        <f>N(Q14)</f>
        <v>0</v>
      </c>
      <c r="R16" s="257">
        <f>N(R14)</f>
        <v>0</v>
      </c>
      <c r="S16" s="257">
        <f>N(S14)</f>
        <v>0</v>
      </c>
      <c r="T16" s="257">
        <f>N(T14)</f>
        <v>0</v>
      </c>
      <c r="U16" s="257">
        <f>N(U14)</f>
        <v>0</v>
      </c>
      <c r="V16" s="257">
        <f>N(V14)</f>
        <v>0</v>
      </c>
      <c r="W16" s="257">
        <f>N(W14)</f>
        <v>0</v>
      </c>
      <c r="X16" s="257">
        <f>N(X14)</f>
        <v>0</v>
      </c>
      <c r="Y16" s="257">
        <f>N(Y14)</f>
        <v>0</v>
      </c>
      <c r="Z16" s="257">
        <f>N(Z14)</f>
        <v>0</v>
      </c>
      <c r="AA16" s="257">
        <f>N(AA14)</f>
        <v>-129248000</v>
      </c>
      <c r="AB16" s="257">
        <f>N(AB14)</f>
        <v>-323021000</v>
      </c>
      <c r="AC16" s="257">
        <f>N(AC14)</f>
        <v>-359807000</v>
      </c>
      <c r="AD16" s="257">
        <f>N(AD14)</f>
        <v>-50924000</v>
      </c>
      <c r="AE16" s="257">
        <f>N(AE14)</f>
        <v>-315000000</v>
      </c>
      <c r="AF16" s="257">
        <f>N(AF14)</f>
        <v>-290000000</v>
      </c>
      <c r="AG16" s="257">
        <f>N(AG14)</f>
        <v>-110124000</v>
      </c>
      <c r="AH16" s="257">
        <f>N(AH14)</f>
        <v>-451726000</v>
      </c>
      <c r="AI16" s="257">
        <f>N(AI14)</f>
        <v>-740000000</v>
      </c>
      <c r="AJ16" s="257">
        <f>N(AJ14)</f>
        <v>-626000000</v>
      </c>
    </row>
    <row r="17" ht="15" customHeight="1" s="255">
      <c r="H17" s="256" t="inlineStr">
        <is>
          <t>DFC - trimestre isolado (desacumulado na extração)</t>
        </is>
      </c>
    </row>
    <row r="18" ht="15" customHeight="1" s="255">
      <c r="A18" s="254" t="n">
        <v>4</v>
      </c>
      <c r="B18" s="254" t="n">
        <v>-1</v>
      </c>
      <c r="C18" s="254" t="n">
        <v>3</v>
      </c>
      <c r="D18" s="254" t="n">
        <v>1</v>
      </c>
      <c r="G18" s="254" t="inlineStr">
        <is>
          <t>moeda</t>
        </is>
      </c>
      <c r="H18" s="25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8" s="254" t="inlineStr">
        <is>
          <t>fonte</t>
        </is>
      </c>
      <c r="K18" s="257" t="n">
        <v>0</v>
      </c>
      <c r="L18" s="257" t="n">
        <v>0</v>
      </c>
      <c r="M18" s="257" t="n">
        <v>0</v>
      </c>
      <c r="N18" s="257" t="n">
        <v>0</v>
      </c>
      <c r="O18" s="257" t="n">
        <v>0</v>
      </c>
      <c r="P18" s="257" t="n">
        <v>0</v>
      </c>
      <c r="Q18" s="257" t="n">
        <v>0</v>
      </c>
      <c r="R18" s="257" t="n">
        <v>0</v>
      </c>
      <c r="S18" s="257" t="n">
        <v>0</v>
      </c>
      <c r="T18" s="257" t="n">
        <v>0</v>
      </c>
      <c r="U18" s="257" t="n">
        <v>0</v>
      </c>
      <c r="V18" s="257" t="n">
        <v>0</v>
      </c>
      <c r="W18" s="257" t="n">
        <v>0</v>
      </c>
      <c r="X18" s="257" t="n">
        <v>0</v>
      </c>
      <c r="Y18" s="257" t="n">
        <v>0</v>
      </c>
      <c r="Z18" s="257" t="n">
        <v>0</v>
      </c>
      <c r="AA18" s="257" t="n">
        <v>79510000</v>
      </c>
      <c r="AB18" s="257" t="n">
        <v>164460000</v>
      </c>
      <c r="AC18" s="257" t="n">
        <v>254024000</v>
      </c>
      <c r="AD18" s="257" t="n">
        <v>365006000</v>
      </c>
      <c r="AE18" s="257" t="n">
        <v>443497000</v>
      </c>
      <c r="AF18" s="257" t="n">
        <v>559481000</v>
      </c>
      <c r="AG18" s="257" t="n">
        <v>630479000</v>
      </c>
      <c r="AH18" s="257" t="n">
        <v>820543000</v>
      </c>
      <c r="AI18" s="257" t="n">
        <v>1147000000</v>
      </c>
      <c r="AJ18" s="257" t="n">
        <v>1393000000</v>
      </c>
    </row>
    <row r="19" ht="15" customHeight="1" s="255">
      <c r="A19" s="254" t="n">
        <v>10</v>
      </c>
      <c r="B19" s="254" t="n">
        <v>-1</v>
      </c>
      <c r="G19" s="254" t="inlineStr">
        <is>
          <t>moeda</t>
        </is>
      </c>
      <c r="H19" s="254" t="inlineStr">
        <is>
          <t>Dividendos pagos [us-gaap:PaymentsOfDividends]</t>
        </is>
      </c>
      <c r="J19" s="254" t="inlineStr">
        <is>
          <t>fonte</t>
        </is>
      </c>
      <c r="K19" s="257" t="n">
        <v>0</v>
      </c>
      <c r="L19" s="257" t="n">
        <v>0</v>
      </c>
      <c r="M19" s="257" t="n">
        <v>0</v>
      </c>
      <c r="N19" s="257" t="n">
        <v>0</v>
      </c>
      <c r="O19" s="257" t="n">
        <v>0</v>
      </c>
      <c r="P19" s="257" t="n">
        <v>0</v>
      </c>
      <c r="Q19" s="257" t="n">
        <v>0</v>
      </c>
      <c r="R19" s="257" t="n">
        <v>0</v>
      </c>
      <c r="S19" s="257" t="n">
        <v>0</v>
      </c>
      <c r="T19" s="257" t="n">
        <v>0</v>
      </c>
      <c r="U19" s="257" t="n">
        <v>0</v>
      </c>
      <c r="V19" s="257" t="n">
        <v>0</v>
      </c>
      <c r="W19" s="257" t="n">
        <v>0</v>
      </c>
      <c r="X19" s="257" t="n">
        <v>0</v>
      </c>
      <c r="Y19" s="257" t="n">
        <v>0</v>
      </c>
      <c r="Z19" s="257" t="n">
        <v>0</v>
      </c>
      <c r="AA19" s="257" t="n">
        <v>0</v>
      </c>
      <c r="AB19" s="257" t="n">
        <v>0</v>
      </c>
      <c r="AC19" s="257" t="n">
        <v>0</v>
      </c>
      <c r="AD19" s="257" t="n">
        <v>0</v>
      </c>
      <c r="AE19" s="257" t="n">
        <v>0</v>
      </c>
      <c r="AF19" s="257" t="n">
        <v>0</v>
      </c>
      <c r="AG19" s="257" t="n">
        <v>0</v>
      </c>
      <c r="AH19" s="257" t="n">
        <v>0</v>
      </c>
      <c r="AI19" s="257" t="n">
        <v>0</v>
      </c>
      <c r="AJ19" s="257" t="n">
        <v>0</v>
      </c>
    </row>
    <row r="20" ht="15" customHeight="1" s="255">
      <c r="H20" s="256" t="inlineStr">
        <is>
          <t>BALANÇO DE FACE (USD, saldo no fim do trimestre; cada trimestre lido da instância do próprio 10-Q/10-K)</t>
        </is>
      </c>
    </row>
    <row r="21" ht="15" customHeight="1" s="255">
      <c r="A21" s="254" t="n">
        <v>11</v>
      </c>
      <c r="B21" s="254" t="n">
        <v>1</v>
      </c>
      <c r="G21" s="254" t="inlineStr">
        <is>
          <t>moeda</t>
        </is>
      </c>
      <c r="H21" s="254" t="inlineStr">
        <is>
          <t>CashAndCashEquivalentsAtCarryingValue</t>
        </is>
      </c>
      <c r="J21" s="254" t="inlineStr">
        <is>
          <t>fonte</t>
        </is>
      </c>
      <c r="K21" s="257" t="n">
        <v>0</v>
      </c>
      <c r="L21" s="257" t="n">
        <v>0</v>
      </c>
      <c r="M21" s="257" t="n">
        <v>0</v>
      </c>
      <c r="N21" s="257" t="n">
        <v>0</v>
      </c>
      <c r="O21" s="257" t="n">
        <v>0</v>
      </c>
      <c r="P21" s="257" t="n">
        <v>0</v>
      </c>
      <c r="Q21" s="257" t="n">
        <v>0</v>
      </c>
      <c r="R21" s="257" t="n">
        <v>0</v>
      </c>
      <c r="S21" s="257" t="n">
        <v>0</v>
      </c>
      <c r="T21" s="257" t="n">
        <v>0</v>
      </c>
      <c r="U21" s="257" t="n">
        <v>0</v>
      </c>
      <c r="V21" s="257" t="n">
        <v>0</v>
      </c>
      <c r="W21" s="257" t="n">
        <v>0</v>
      </c>
      <c r="X21" s="257" t="n">
        <v>0</v>
      </c>
      <c r="Y21" s="257" t="n">
        <v>0</v>
      </c>
      <c r="Z21" s="257" t="n">
        <v>0</v>
      </c>
      <c r="AA21" s="257" t="n">
        <v>0</v>
      </c>
      <c r="AB21" s="257" t="n">
        <v>0</v>
      </c>
      <c r="AC21" s="257" t="n">
        <v>0</v>
      </c>
      <c r="AD21" s="257" t="n">
        <v>1361083000</v>
      </c>
      <c r="AE21" s="257" t="n">
        <v>1276456000</v>
      </c>
      <c r="AF21" s="257" t="n">
        <v>1152883000</v>
      </c>
      <c r="AG21" s="257" t="n">
        <v>1894399000</v>
      </c>
      <c r="AH21" s="257" t="n">
        <v>3127000000</v>
      </c>
      <c r="AI21" s="257" t="n">
        <v>2244000000</v>
      </c>
      <c r="AJ21" s="257" t="n">
        <v>5524000000</v>
      </c>
    </row>
    <row r="22" ht="15" customHeight="1" s="255">
      <c r="A22" s="254" t="n">
        <v>11</v>
      </c>
      <c r="B22" s="254" t="n">
        <v>1</v>
      </c>
      <c r="G22" s="254" t="inlineStr">
        <is>
          <t>moeda</t>
        </is>
      </c>
      <c r="H22" s="254" t="inlineStr">
        <is>
          <t>MarketableSecuritiesCurrent</t>
        </is>
      </c>
      <c r="J22" s="254" t="inlineStr">
        <is>
          <t>fonte</t>
        </is>
      </c>
      <c r="K22" s="257" t="n">
        <v>0</v>
      </c>
      <c r="L22" s="257" t="n">
        <v>0</v>
      </c>
      <c r="M22" s="257" t="n">
        <v>0</v>
      </c>
      <c r="N22" s="257" t="n">
        <v>0</v>
      </c>
      <c r="O22" s="257" t="n">
        <v>0</v>
      </c>
      <c r="P22" s="257" t="n">
        <v>0</v>
      </c>
      <c r="Q22" s="257" t="n">
        <v>0</v>
      </c>
      <c r="R22" s="257" t="n">
        <v>0</v>
      </c>
      <c r="S22" s="257" t="n">
        <v>0</v>
      </c>
      <c r="T22" s="257" t="n">
        <v>0</v>
      </c>
      <c r="U22" s="257" t="n">
        <v>0</v>
      </c>
      <c r="V22" s="257" t="n">
        <v>0</v>
      </c>
      <c r="W22" s="257" t="n">
        <v>0</v>
      </c>
      <c r="X22" s="257" t="n">
        <v>0</v>
      </c>
      <c r="Y22" s="257" t="n">
        <v>0</v>
      </c>
      <c r="Z22" s="257" t="n">
        <v>0</v>
      </c>
      <c r="AA22" s="257" t="n">
        <v>0</v>
      </c>
      <c r="AB22" s="257" t="n">
        <v>0</v>
      </c>
      <c r="AC22" s="257" t="n">
        <v>0</v>
      </c>
      <c r="AD22" s="257" t="n">
        <v>0</v>
      </c>
      <c r="AE22" s="257" t="n">
        <v>0</v>
      </c>
      <c r="AF22" s="257" t="n">
        <v>0</v>
      </c>
      <c r="AG22" s="257" t="n">
        <v>47449000</v>
      </c>
      <c r="AH22" s="257" t="n">
        <v>34000000</v>
      </c>
      <c r="AI22" s="257" t="n">
        <v>22000000</v>
      </c>
      <c r="AJ22" s="257" t="n">
        <v>15000000</v>
      </c>
    </row>
    <row r="23" ht="15" customHeight="1" s="255">
      <c r="A23" s="254" t="n">
        <v>12</v>
      </c>
      <c r="B23" s="254" t="n">
        <v>1</v>
      </c>
      <c r="G23" s="254" t="inlineStr">
        <is>
          <t>moeda</t>
        </is>
      </c>
      <c r="H23" s="254" t="inlineStr">
        <is>
          <t>AccountsReceivableNetCurrent</t>
        </is>
      </c>
      <c r="J23" s="254" t="inlineStr">
        <is>
          <t>fonte</t>
        </is>
      </c>
      <c r="K23" s="257" t="n">
        <v>0</v>
      </c>
      <c r="L23" s="257" t="n">
        <v>0</v>
      </c>
      <c r="M23" s="257" t="n">
        <v>0</v>
      </c>
      <c r="N23" s="257" t="n">
        <v>0</v>
      </c>
      <c r="O23" s="257" t="n">
        <v>0</v>
      </c>
      <c r="P23" s="257" t="n">
        <v>0</v>
      </c>
      <c r="Q23" s="257" t="n">
        <v>0</v>
      </c>
      <c r="R23" s="257" t="n">
        <v>0</v>
      </c>
      <c r="S23" s="257" t="n">
        <v>0</v>
      </c>
      <c r="T23" s="257" t="n">
        <v>0</v>
      </c>
      <c r="U23" s="257" t="n">
        <v>0</v>
      </c>
      <c r="V23" s="257" t="n">
        <v>0</v>
      </c>
      <c r="W23" s="257" t="n">
        <v>0</v>
      </c>
      <c r="X23" s="257" t="n">
        <v>0</v>
      </c>
      <c r="Y23" s="257" t="n">
        <v>0</v>
      </c>
      <c r="Z23" s="257" t="n">
        <v>0</v>
      </c>
      <c r="AA23" s="257" t="n">
        <v>0</v>
      </c>
      <c r="AB23" s="257" t="n">
        <v>0</v>
      </c>
      <c r="AC23" s="257" t="n">
        <v>0</v>
      </c>
      <c r="AD23" s="257" t="n">
        <v>416526000</v>
      </c>
      <c r="AE23" s="257" t="n">
        <v>1055208000</v>
      </c>
      <c r="AF23" s="257" t="n">
        <v>1933698000</v>
      </c>
      <c r="AG23" s="257" t="n">
        <v>1659229000</v>
      </c>
      <c r="AH23" s="257" t="n">
        <v>3169000000</v>
      </c>
      <c r="AI23" s="257" t="n">
        <v>2120000000</v>
      </c>
      <c r="AJ23" s="257" t="n">
        <v>2541000000</v>
      </c>
    </row>
    <row r="24" ht="15" customHeight="1" s="255">
      <c r="A24" s="254" t="n">
        <v>16</v>
      </c>
      <c r="B24" s="254" t="n">
        <v>1</v>
      </c>
      <c r="G24" s="254" t="inlineStr">
        <is>
          <t>moeda</t>
        </is>
      </c>
      <c r="H24" s="254" t="inlineStr">
        <is>
          <t>RestrictedCashAndCashEquivalentsAtCarryingValue</t>
        </is>
      </c>
      <c r="J24" s="254" t="inlineStr">
        <is>
          <t>fonte</t>
        </is>
      </c>
      <c r="K24" s="257" t="n">
        <v>0</v>
      </c>
      <c r="L24" s="257" t="n">
        <v>0</v>
      </c>
      <c r="M24" s="257" t="n">
        <v>0</v>
      </c>
      <c r="N24" s="257" t="n">
        <v>0</v>
      </c>
      <c r="O24" s="257" t="n">
        <v>0</v>
      </c>
      <c r="P24" s="257" t="n">
        <v>0</v>
      </c>
      <c r="Q24" s="257" t="n">
        <v>0</v>
      </c>
      <c r="R24" s="257" t="n">
        <v>0</v>
      </c>
      <c r="S24" s="257" t="n">
        <v>0</v>
      </c>
      <c r="T24" s="257" t="n">
        <v>0</v>
      </c>
      <c r="U24" s="257" t="n">
        <v>0</v>
      </c>
      <c r="V24" s="257" t="n">
        <v>0</v>
      </c>
      <c r="W24" s="257" t="n">
        <v>0</v>
      </c>
      <c r="X24" s="257" t="n">
        <v>0</v>
      </c>
      <c r="Y24" s="257" t="n">
        <v>0</v>
      </c>
      <c r="Z24" s="257" t="n">
        <v>0</v>
      </c>
      <c r="AA24" s="257" t="n">
        <v>0</v>
      </c>
      <c r="AB24" s="257" t="n">
        <v>0</v>
      </c>
      <c r="AC24" s="257" t="n">
        <v>0</v>
      </c>
      <c r="AD24" s="257" t="n">
        <v>37394000</v>
      </c>
      <c r="AE24" s="257" t="n">
        <v>624250000</v>
      </c>
      <c r="AF24" s="257" t="n">
        <v>560173000</v>
      </c>
      <c r="AG24" s="257" t="n">
        <v>596777000</v>
      </c>
      <c r="AH24" s="257" t="n">
        <v>819000000</v>
      </c>
      <c r="AI24" s="257" t="n">
        <v>777000000</v>
      </c>
      <c r="AJ24" s="257" t="n">
        <v>873000000</v>
      </c>
    </row>
    <row r="25" ht="15" customHeight="1" s="255">
      <c r="A25" s="254" t="n">
        <v>16</v>
      </c>
      <c r="B25" s="254" t="n">
        <v>1</v>
      </c>
      <c r="G25" s="254" t="inlineStr">
        <is>
          <t>moeda</t>
        </is>
      </c>
      <c r="H25" s="254" t="inlineStr">
        <is>
          <t>PrepaidExpenseAndOtherAssetsCurrent</t>
        </is>
      </c>
      <c r="J25" s="254" t="inlineStr">
        <is>
          <t>fonte</t>
        </is>
      </c>
      <c r="K25" s="257" t="n">
        <v>0</v>
      </c>
      <c r="L25" s="257" t="n">
        <v>0</v>
      </c>
      <c r="M25" s="257" t="n">
        <v>0</v>
      </c>
      <c r="N25" s="257" t="n">
        <v>0</v>
      </c>
      <c r="O25" s="257" t="n">
        <v>0</v>
      </c>
      <c r="P25" s="257" t="n">
        <v>0</v>
      </c>
      <c r="Q25" s="257" t="n">
        <v>0</v>
      </c>
      <c r="R25" s="257" t="n">
        <v>0</v>
      </c>
      <c r="S25" s="257" t="n">
        <v>0</v>
      </c>
      <c r="T25" s="257" t="n">
        <v>0</v>
      </c>
      <c r="U25" s="257" t="n">
        <v>0</v>
      </c>
      <c r="V25" s="257" t="n">
        <v>0</v>
      </c>
      <c r="W25" s="257" t="n">
        <v>0</v>
      </c>
      <c r="X25" s="257" t="n">
        <v>0</v>
      </c>
      <c r="Y25" s="257" t="n">
        <v>0</v>
      </c>
      <c r="Z25" s="257" t="n">
        <v>0</v>
      </c>
      <c r="AA25" s="257" t="n">
        <v>0</v>
      </c>
      <c r="AB25" s="257" t="n">
        <v>0</v>
      </c>
      <c r="AC25" s="257" t="n">
        <v>0</v>
      </c>
      <c r="AD25" s="257" t="n">
        <v>101246000</v>
      </c>
      <c r="AE25" s="257" t="n">
        <v>146733000</v>
      </c>
      <c r="AF25" s="257" t="n">
        <v>299229000</v>
      </c>
      <c r="AG25" s="257" t="n">
        <v>533429000</v>
      </c>
      <c r="AH25" s="257" t="n">
        <v>339000000</v>
      </c>
      <c r="AI25" s="257" t="n">
        <v>446000000</v>
      </c>
      <c r="AJ25" s="257" t="n">
        <v>567000000</v>
      </c>
    </row>
    <row r="26" ht="15" customHeight="1" s="255">
      <c r="A26" s="254" t="n">
        <v>18</v>
      </c>
      <c r="B26" s="254" t="n">
        <v>1</v>
      </c>
      <c r="G26" s="254" t="inlineStr">
        <is>
          <t>moeda</t>
        </is>
      </c>
      <c r="H26" s="254" t="inlineStr">
        <is>
          <t>PropertyPlantAndEquipmentAndFinanceLeaseRightOfUseAssetAfterAccumulatedDepreciationAndAmortization</t>
        </is>
      </c>
      <c r="J26" s="254" t="inlineStr">
        <is>
          <t>fonte</t>
        </is>
      </c>
      <c r="K26" s="257" t="n">
        <v>0</v>
      </c>
      <c r="L26" s="257" t="n">
        <v>0</v>
      </c>
      <c r="M26" s="257" t="n">
        <v>0</v>
      </c>
      <c r="N26" s="257" t="n">
        <v>0</v>
      </c>
      <c r="O26" s="257" t="n">
        <v>0</v>
      </c>
      <c r="P26" s="257" t="n">
        <v>0</v>
      </c>
      <c r="Q26" s="257" t="n">
        <v>0</v>
      </c>
      <c r="R26" s="257" t="n">
        <v>0</v>
      </c>
      <c r="S26" s="257" t="n">
        <v>0</v>
      </c>
      <c r="T26" s="257" t="n">
        <v>0</v>
      </c>
      <c r="U26" s="257" t="n">
        <v>0</v>
      </c>
      <c r="V26" s="257" t="n">
        <v>0</v>
      </c>
      <c r="W26" s="257" t="n">
        <v>0</v>
      </c>
      <c r="X26" s="257" t="n">
        <v>0</v>
      </c>
      <c r="Y26" s="257" t="n">
        <v>0</v>
      </c>
      <c r="Z26" s="257" t="n">
        <v>0</v>
      </c>
      <c r="AA26" s="257" t="n">
        <v>0</v>
      </c>
      <c r="AB26" s="257" t="n">
        <v>0</v>
      </c>
      <c r="AC26" s="257" t="n">
        <v>0</v>
      </c>
      <c r="AD26" s="257" t="n">
        <v>11914774000</v>
      </c>
      <c r="AE26" s="257" t="n">
        <v>14210992000</v>
      </c>
      <c r="AF26" s="257" t="n">
        <v>16631510000</v>
      </c>
      <c r="AG26" s="257" t="n">
        <v>20659181000</v>
      </c>
      <c r="AH26" s="257" t="n">
        <v>30557000000</v>
      </c>
      <c r="AI26" s="257" t="n">
        <v>36424000000</v>
      </c>
      <c r="AJ26" s="257" t="n">
        <v>46736000000</v>
      </c>
    </row>
    <row r="27" ht="15" customHeight="1" s="255">
      <c r="A27" s="254" t="n">
        <v>19</v>
      </c>
      <c r="B27" s="254" t="n">
        <v>1</v>
      </c>
      <c r="G27" s="254" t="inlineStr">
        <is>
          <t>moeda</t>
        </is>
      </c>
      <c r="H27" s="254" t="inlineStr">
        <is>
          <t>OperatingLeaseRightOfUseAsset</t>
        </is>
      </c>
      <c r="J27" s="254" t="inlineStr">
        <is>
          <t>fonte</t>
        </is>
      </c>
      <c r="K27" s="257" t="n">
        <v>0</v>
      </c>
      <c r="L27" s="257" t="n">
        <v>0</v>
      </c>
      <c r="M27" s="257" t="n">
        <v>0</v>
      </c>
      <c r="N27" s="257" t="n">
        <v>0</v>
      </c>
      <c r="O27" s="257" t="n">
        <v>0</v>
      </c>
      <c r="P27" s="257" t="n">
        <v>0</v>
      </c>
      <c r="Q27" s="257" t="n">
        <v>0</v>
      </c>
      <c r="R27" s="257" t="n">
        <v>0</v>
      </c>
      <c r="S27" s="257" t="n">
        <v>0</v>
      </c>
      <c r="T27" s="257" t="n">
        <v>0</v>
      </c>
      <c r="U27" s="257" t="n">
        <v>0</v>
      </c>
      <c r="V27" s="257" t="n">
        <v>0</v>
      </c>
      <c r="W27" s="257" t="n">
        <v>0</v>
      </c>
      <c r="X27" s="257" t="n">
        <v>0</v>
      </c>
      <c r="Y27" s="257" t="n">
        <v>0</v>
      </c>
      <c r="Z27" s="257" t="n">
        <v>0</v>
      </c>
      <c r="AA27" s="257" t="n">
        <v>0</v>
      </c>
      <c r="AB27" s="257" t="n">
        <v>0</v>
      </c>
      <c r="AC27" s="257" t="n">
        <v>0</v>
      </c>
      <c r="AD27" s="257" t="n">
        <v>2589547000</v>
      </c>
      <c r="AE27" s="257" t="n">
        <v>3063220000</v>
      </c>
      <c r="AF27" s="257" t="n">
        <v>3380201000</v>
      </c>
      <c r="AG27" s="257" t="n">
        <v>4677057000</v>
      </c>
      <c r="AH27" s="257" t="n">
        <v>8231000000</v>
      </c>
      <c r="AI27" s="257" t="n">
        <v>10182000000</v>
      </c>
      <c r="AJ27" s="257" t="n">
        <v>16595000000</v>
      </c>
    </row>
    <row r="28" ht="15" customHeight="1" s="255">
      <c r="A28" s="254" t="n">
        <v>20</v>
      </c>
      <c r="B28" s="254" t="n">
        <v>1</v>
      </c>
      <c r="G28" s="254" t="inlineStr">
        <is>
          <t>moeda</t>
        </is>
      </c>
      <c r="H28" s="254" t="inlineStr">
        <is>
          <t>Goodwill</t>
        </is>
      </c>
      <c r="J28" s="254" t="inlineStr">
        <is>
          <t>fonte</t>
        </is>
      </c>
      <c r="K28" s="257" t="n">
        <v>0</v>
      </c>
      <c r="L28" s="257" t="n">
        <v>0</v>
      </c>
      <c r="M28" s="257" t="n">
        <v>0</v>
      </c>
      <c r="N28" s="257" t="n">
        <v>0</v>
      </c>
      <c r="O28" s="257" t="n">
        <v>0</v>
      </c>
      <c r="P28" s="257" t="n">
        <v>0</v>
      </c>
      <c r="Q28" s="257" t="n">
        <v>0</v>
      </c>
      <c r="R28" s="257" t="n">
        <v>0</v>
      </c>
      <c r="S28" s="257" t="n">
        <v>0</v>
      </c>
      <c r="T28" s="257" t="n">
        <v>0</v>
      </c>
      <c r="U28" s="257" t="n">
        <v>0</v>
      </c>
      <c r="V28" s="257" t="n">
        <v>0</v>
      </c>
      <c r="W28" s="257" t="n">
        <v>0</v>
      </c>
      <c r="X28" s="257" t="n">
        <v>0</v>
      </c>
      <c r="Y28" s="257" t="n">
        <v>0</v>
      </c>
      <c r="Z28" s="257" t="n">
        <v>0</v>
      </c>
      <c r="AA28" s="257" t="n">
        <v>0</v>
      </c>
      <c r="AB28" s="257" t="n">
        <v>0</v>
      </c>
      <c r="AC28" s="257" t="n">
        <v>0</v>
      </c>
      <c r="AD28" s="257" t="n">
        <v>19544000</v>
      </c>
      <c r="AE28" s="257" t="n">
        <v>19544000</v>
      </c>
      <c r="AF28" s="257" t="n">
        <v>812970000</v>
      </c>
      <c r="AG28" s="257" t="n">
        <v>829979000</v>
      </c>
      <c r="AH28" s="257" t="n">
        <v>1101000000</v>
      </c>
      <c r="AI28" s="257" t="n">
        <v>1101000000</v>
      </c>
      <c r="AJ28" s="257" t="n">
        <v>1101000000</v>
      </c>
    </row>
    <row r="29" ht="15" customHeight="1" s="255">
      <c r="A29" s="254" t="n">
        <v>21</v>
      </c>
      <c r="B29" s="254" t="n">
        <v>1</v>
      </c>
      <c r="G29" s="254" t="inlineStr">
        <is>
          <t>moeda</t>
        </is>
      </c>
      <c r="H29" s="254" t="inlineStr">
        <is>
          <t>IntangibleAssetsNetExcludingGoodwill</t>
        </is>
      </c>
      <c r="J29" s="254" t="inlineStr">
        <is>
          <t>fonte</t>
        </is>
      </c>
      <c r="K29" s="257" t="n">
        <v>0</v>
      </c>
      <c r="L29" s="257" t="n">
        <v>0</v>
      </c>
      <c r="M29" s="257" t="n">
        <v>0</v>
      </c>
      <c r="N29" s="257" t="n">
        <v>0</v>
      </c>
      <c r="O29" s="257" t="n">
        <v>0</v>
      </c>
      <c r="P29" s="257" t="n">
        <v>0</v>
      </c>
      <c r="Q29" s="257" t="n">
        <v>0</v>
      </c>
      <c r="R29" s="257" t="n">
        <v>0</v>
      </c>
      <c r="S29" s="257" t="n">
        <v>0</v>
      </c>
      <c r="T29" s="257" t="n">
        <v>0</v>
      </c>
      <c r="U29" s="257" t="n">
        <v>0</v>
      </c>
      <c r="V29" s="257" t="n">
        <v>0</v>
      </c>
      <c r="W29" s="257" t="n">
        <v>0</v>
      </c>
      <c r="X29" s="257" t="n">
        <v>0</v>
      </c>
      <c r="Y29" s="257" t="n">
        <v>0</v>
      </c>
      <c r="Z29" s="257" t="n">
        <v>0</v>
      </c>
      <c r="AA29" s="257" t="n">
        <v>0</v>
      </c>
      <c r="AB29" s="257" t="n">
        <v>0</v>
      </c>
      <c r="AC29" s="257" t="n">
        <v>0</v>
      </c>
      <c r="AD29" s="257" t="n">
        <v>4909000</v>
      </c>
      <c r="AE29" s="257" t="n">
        <v>4395000</v>
      </c>
      <c r="AF29" s="257" t="n">
        <v>205895000</v>
      </c>
      <c r="AG29" s="257" t="n">
        <v>200001000</v>
      </c>
      <c r="AH29" s="257" t="n">
        <v>235000000</v>
      </c>
      <c r="AI29" s="257" t="n">
        <v>224000000</v>
      </c>
      <c r="AJ29" s="257" t="n">
        <v>245000000</v>
      </c>
    </row>
    <row r="30" ht="15" customHeight="1" s="255">
      <c r="A30" s="254" t="n">
        <v>22</v>
      </c>
      <c r="B30" s="254" t="n">
        <v>1</v>
      </c>
      <c r="G30" s="254" t="inlineStr">
        <is>
          <t>moeda</t>
        </is>
      </c>
      <c r="H30" s="254" t="inlineStr">
        <is>
          <t>RestrictedCashAndCashEquivalentsNoncurrent</t>
        </is>
      </c>
      <c r="J30" s="254" t="inlineStr">
        <is>
          <t>fonte</t>
        </is>
      </c>
      <c r="K30" s="257" t="n">
        <v>0</v>
      </c>
      <c r="L30" s="257" t="n">
        <v>0</v>
      </c>
      <c r="M30" s="257" t="n">
        <v>0</v>
      </c>
      <c r="N30" s="257" t="n">
        <v>0</v>
      </c>
      <c r="O30" s="257" t="n">
        <v>0</v>
      </c>
      <c r="P30" s="257" t="n">
        <v>0</v>
      </c>
      <c r="Q30" s="257" t="n">
        <v>0</v>
      </c>
      <c r="R30" s="257" t="n">
        <v>0</v>
      </c>
      <c r="S30" s="257" t="n">
        <v>0</v>
      </c>
      <c r="T30" s="257" t="n">
        <v>0</v>
      </c>
      <c r="U30" s="257" t="n">
        <v>0</v>
      </c>
      <c r="V30" s="257" t="n">
        <v>0</v>
      </c>
      <c r="W30" s="257" t="n">
        <v>0</v>
      </c>
      <c r="X30" s="257" t="n">
        <v>0</v>
      </c>
      <c r="Y30" s="257" t="n">
        <v>0</v>
      </c>
      <c r="Z30" s="257" t="n">
        <v>0</v>
      </c>
      <c r="AA30" s="257" t="n">
        <v>0</v>
      </c>
      <c r="AB30" s="257" t="n">
        <v>0</v>
      </c>
      <c r="AC30" s="257" t="n">
        <v>0</v>
      </c>
      <c r="AD30" s="257" t="n">
        <v>637356000</v>
      </c>
      <c r="AE30" s="257" t="n">
        <v>617110000</v>
      </c>
      <c r="AF30" s="257" t="n">
        <v>340527000</v>
      </c>
      <c r="AG30" s="257" t="n">
        <v>477515000</v>
      </c>
      <c r="AH30" s="257" t="n">
        <v>184000000</v>
      </c>
      <c r="AI30" s="257" t="n">
        <v>299000000</v>
      </c>
      <c r="AJ30" s="257" t="n">
        <v>507000000</v>
      </c>
    </row>
    <row r="31" ht="15" customHeight="1" s="255">
      <c r="A31" s="254" t="n">
        <v>22</v>
      </c>
      <c r="B31" s="254" t="n">
        <v>1</v>
      </c>
      <c r="G31" s="254" t="inlineStr">
        <is>
          <t>moeda</t>
        </is>
      </c>
      <c r="H31" s="254" t="inlineStr">
        <is>
          <t>AvailableForSaleSecuritiesDebtSecuritiesNoncurrent</t>
        </is>
      </c>
      <c r="J31" s="254" t="inlineStr">
        <is>
          <t>fonte</t>
        </is>
      </c>
      <c r="K31" s="257" t="n">
        <v>0</v>
      </c>
      <c r="L31" s="257" t="n">
        <v>0</v>
      </c>
      <c r="M31" s="257" t="n">
        <v>0</v>
      </c>
      <c r="N31" s="257" t="n">
        <v>0</v>
      </c>
      <c r="O31" s="257" t="n">
        <v>0</v>
      </c>
      <c r="P31" s="257" t="n">
        <v>0</v>
      </c>
      <c r="Q31" s="257" t="n">
        <v>0</v>
      </c>
      <c r="R31" s="257" t="n">
        <v>0</v>
      </c>
      <c r="S31" s="257" t="n">
        <v>0</v>
      </c>
      <c r="T31" s="257" t="n">
        <v>0</v>
      </c>
      <c r="U31" s="257" t="n">
        <v>0</v>
      </c>
      <c r="V31" s="257" t="n">
        <v>0</v>
      </c>
      <c r="W31" s="257" t="n">
        <v>0</v>
      </c>
      <c r="X31" s="257" t="n">
        <v>0</v>
      </c>
      <c r="Y31" s="257" t="n">
        <v>0</v>
      </c>
      <c r="Z31" s="257" t="n">
        <v>0</v>
      </c>
      <c r="AA31" s="257" t="n">
        <v>0</v>
      </c>
      <c r="AB31" s="257" t="n">
        <v>0</v>
      </c>
      <c r="AC31" s="257" t="n">
        <v>0</v>
      </c>
      <c r="AD31" s="257" t="n">
        <v>29308000</v>
      </c>
      <c r="AE31" s="257" t="n">
        <v>0</v>
      </c>
      <c r="AF31" s="257" t="n">
        <v>0</v>
      </c>
      <c r="AG31" s="257" t="n">
        <v>0</v>
      </c>
      <c r="AH31" s="257" t="n">
        <v>0</v>
      </c>
      <c r="AI31" s="257" t="n">
        <v>0</v>
      </c>
      <c r="AJ31" s="257" t="n">
        <v>0</v>
      </c>
    </row>
    <row r="32" ht="15" customHeight="1" s="255">
      <c r="A32" s="254" t="n">
        <v>22</v>
      </c>
      <c r="B32" s="254" t="n">
        <v>1</v>
      </c>
      <c r="G32" s="254" t="inlineStr">
        <is>
          <t>moeda</t>
        </is>
      </c>
      <c r="H32" s="254" t="inlineStr">
        <is>
          <t>OtherAssetsNoncurrent</t>
        </is>
      </c>
      <c r="J32" s="254" t="inlineStr">
        <is>
          <t>fonte</t>
        </is>
      </c>
      <c r="K32" s="257" t="n">
        <v>0</v>
      </c>
      <c r="L32" s="257" t="n">
        <v>0</v>
      </c>
      <c r="M32" s="257" t="n">
        <v>0</v>
      </c>
      <c r="N32" s="257" t="n">
        <v>0</v>
      </c>
      <c r="O32" s="257" t="n">
        <v>0</v>
      </c>
      <c r="P32" s="257" t="n">
        <v>0</v>
      </c>
      <c r="Q32" s="257" t="n">
        <v>0</v>
      </c>
      <c r="R32" s="257" t="n">
        <v>0</v>
      </c>
      <c r="S32" s="257" t="n">
        <v>0</v>
      </c>
      <c r="T32" s="257" t="n">
        <v>0</v>
      </c>
      <c r="U32" s="257" t="n">
        <v>0</v>
      </c>
      <c r="V32" s="257" t="n">
        <v>0</v>
      </c>
      <c r="W32" s="257" t="n">
        <v>0</v>
      </c>
      <c r="X32" s="257" t="n">
        <v>0</v>
      </c>
      <c r="Y32" s="257" t="n">
        <v>0</v>
      </c>
      <c r="Z32" s="257" t="n">
        <v>0</v>
      </c>
      <c r="AA32" s="257" t="n">
        <v>0</v>
      </c>
      <c r="AB32" s="257" t="n">
        <v>0</v>
      </c>
      <c r="AC32" s="257" t="n">
        <v>0</v>
      </c>
      <c r="AD32" s="257" t="n">
        <v>720912000</v>
      </c>
      <c r="AE32" s="257" t="n">
        <v>842475000</v>
      </c>
      <c r="AF32" s="257" t="n">
        <v>924277000</v>
      </c>
      <c r="AG32" s="257" t="n">
        <v>1335482000</v>
      </c>
      <c r="AH32" s="257" t="n">
        <v>1506000000</v>
      </c>
      <c r="AI32" s="257" t="n">
        <v>1734000000</v>
      </c>
      <c r="AJ32" s="257" t="n">
        <v>2366000000</v>
      </c>
    </row>
    <row r="33" ht="15" customHeight="1" s="255">
      <c r="A33" s="254" t="n">
        <v>23</v>
      </c>
      <c r="B33" s="254" t="n">
        <v>1</v>
      </c>
      <c r="G33" s="254" t="inlineStr">
        <is>
          <t>moeda</t>
        </is>
      </c>
      <c r="H33" s="254" t="inlineStr">
        <is>
          <t>AccountsPayableCurrent</t>
        </is>
      </c>
      <c r="J33" s="254" t="inlineStr">
        <is>
          <t>fonte</t>
        </is>
      </c>
      <c r="K33" s="257" t="n">
        <v>0</v>
      </c>
      <c r="L33" s="257" t="n">
        <v>0</v>
      </c>
      <c r="M33" s="257" t="n">
        <v>0</v>
      </c>
      <c r="N33" s="257" t="n">
        <v>0</v>
      </c>
      <c r="O33" s="257" t="n">
        <v>0</v>
      </c>
      <c r="P33" s="257" t="n">
        <v>0</v>
      </c>
      <c r="Q33" s="257" t="n">
        <v>0</v>
      </c>
      <c r="R33" s="257" t="n">
        <v>0</v>
      </c>
      <c r="S33" s="257" t="n">
        <v>0</v>
      </c>
      <c r="T33" s="257" t="n">
        <v>0</v>
      </c>
      <c r="U33" s="257" t="n">
        <v>0</v>
      </c>
      <c r="V33" s="257" t="n">
        <v>0</v>
      </c>
      <c r="W33" s="257" t="n">
        <v>0</v>
      </c>
      <c r="X33" s="257" t="n">
        <v>0</v>
      </c>
      <c r="Y33" s="257" t="n">
        <v>0</v>
      </c>
      <c r="Z33" s="257" t="n">
        <v>0</v>
      </c>
      <c r="AA33" s="257" t="n">
        <v>0</v>
      </c>
      <c r="AB33" s="257" t="n">
        <v>0</v>
      </c>
      <c r="AC33" s="257" t="n">
        <v>0</v>
      </c>
      <c r="AD33" s="257" t="n">
        <v>868259000</v>
      </c>
      <c r="AE33" s="257" t="n">
        <v>1242100000</v>
      </c>
      <c r="AF33" s="257" t="n">
        <v>1226579000</v>
      </c>
      <c r="AG33" s="257" t="n">
        <v>1156978000</v>
      </c>
      <c r="AH33" s="257" t="n">
        <v>1623000000</v>
      </c>
      <c r="AI33" s="257" t="n">
        <v>3371000000</v>
      </c>
      <c r="AJ33" s="257" t="n">
        <v>3633000000</v>
      </c>
    </row>
    <row r="34" ht="15" customHeight="1" s="255">
      <c r="A34" s="254" t="n">
        <v>24</v>
      </c>
      <c r="B34" s="254" t="n">
        <v>1</v>
      </c>
      <c r="G34" s="254" t="inlineStr">
        <is>
          <t>moeda</t>
        </is>
      </c>
      <c r="H34" s="254" t="inlineStr">
        <is>
          <t>AccruedLiabilitiesCurrent</t>
        </is>
      </c>
      <c r="J34" s="254" t="inlineStr">
        <is>
          <t>fonte</t>
        </is>
      </c>
      <c r="K34" s="257" t="n">
        <v>0</v>
      </c>
      <c r="L34" s="257" t="n">
        <v>0</v>
      </c>
      <c r="M34" s="257" t="n">
        <v>0</v>
      </c>
      <c r="N34" s="257" t="n">
        <v>0</v>
      </c>
      <c r="O34" s="257" t="n">
        <v>0</v>
      </c>
      <c r="P34" s="257" t="n">
        <v>0</v>
      </c>
      <c r="Q34" s="257" t="n">
        <v>0</v>
      </c>
      <c r="R34" s="257" t="n">
        <v>0</v>
      </c>
      <c r="S34" s="257" t="n">
        <v>0</v>
      </c>
      <c r="T34" s="257" t="n">
        <v>0</v>
      </c>
      <c r="U34" s="257" t="n">
        <v>0</v>
      </c>
      <c r="V34" s="257" t="n">
        <v>0</v>
      </c>
      <c r="W34" s="257" t="n">
        <v>0</v>
      </c>
      <c r="X34" s="257" t="n">
        <v>0</v>
      </c>
      <c r="Y34" s="257" t="n">
        <v>0</v>
      </c>
      <c r="Z34" s="257" t="n">
        <v>0</v>
      </c>
      <c r="AA34" s="257" t="n">
        <v>0</v>
      </c>
      <c r="AB34" s="257" t="n">
        <v>0</v>
      </c>
      <c r="AC34" s="257" t="n">
        <v>0</v>
      </c>
      <c r="AD34" s="257" t="n">
        <v>355821000</v>
      </c>
      <c r="AE34" s="257" t="n">
        <v>1377013000</v>
      </c>
      <c r="AF34" s="257" t="n">
        <v>1411237000</v>
      </c>
      <c r="AG34" s="257" t="n">
        <v>3172274000</v>
      </c>
      <c r="AH34" s="257" t="n">
        <v>5773000000</v>
      </c>
      <c r="AI34" s="257" t="n">
        <v>2726000000</v>
      </c>
      <c r="AJ34" s="257" t="n">
        <v>6424000000</v>
      </c>
    </row>
    <row r="35" ht="15" customHeight="1" s="255">
      <c r="A35" s="254" t="n">
        <v>26</v>
      </c>
      <c r="B35" s="254" t="n">
        <v>1</v>
      </c>
      <c r="G35" s="254" t="inlineStr">
        <is>
          <t>moeda</t>
        </is>
      </c>
      <c r="H35" s="254" t="inlineStr">
        <is>
          <t>ContractWithCustomerLiabilityCurrent</t>
        </is>
      </c>
      <c r="J35" s="254" t="inlineStr">
        <is>
          <t>fonte</t>
        </is>
      </c>
      <c r="K35" s="257" t="n">
        <v>0</v>
      </c>
      <c r="L35" s="257" t="n">
        <v>0</v>
      </c>
      <c r="M35" s="257" t="n">
        <v>0</v>
      </c>
      <c r="N35" s="257" t="n">
        <v>0</v>
      </c>
      <c r="O35" s="257" t="n">
        <v>0</v>
      </c>
      <c r="P35" s="257" t="n">
        <v>0</v>
      </c>
      <c r="Q35" s="257" t="n">
        <v>0</v>
      </c>
      <c r="R35" s="257" t="n">
        <v>0</v>
      </c>
      <c r="S35" s="257" t="n">
        <v>0</v>
      </c>
      <c r="T35" s="257" t="n">
        <v>0</v>
      </c>
      <c r="U35" s="257" t="n">
        <v>0</v>
      </c>
      <c r="V35" s="257" t="n">
        <v>0</v>
      </c>
      <c r="W35" s="257" t="n">
        <v>0</v>
      </c>
      <c r="X35" s="257" t="n">
        <v>0</v>
      </c>
      <c r="Y35" s="257" t="n">
        <v>0</v>
      </c>
      <c r="Z35" s="257" t="n">
        <v>0</v>
      </c>
      <c r="AA35" s="257" t="n">
        <v>0</v>
      </c>
      <c r="AB35" s="257" t="n">
        <v>0</v>
      </c>
      <c r="AC35" s="257" t="n">
        <v>0</v>
      </c>
      <c r="AD35" s="257" t="n">
        <v>768927000</v>
      </c>
      <c r="AE35" s="257" t="n">
        <v>436530000</v>
      </c>
      <c r="AF35" s="257" t="n">
        <v>951346000</v>
      </c>
      <c r="AG35" s="257" t="n">
        <v>1107580000</v>
      </c>
      <c r="AH35" s="257" t="n">
        <v>1709000000</v>
      </c>
      <c r="AI35" s="257" t="n">
        <v>2130000000</v>
      </c>
      <c r="AJ35" s="257" t="n">
        <v>2686000000</v>
      </c>
    </row>
    <row r="36" ht="15" customHeight="1" s="255">
      <c r="A36" s="254" t="n">
        <v>26</v>
      </c>
      <c r="B36" s="254" t="n">
        <v>1</v>
      </c>
      <c r="G36" s="254" t="inlineStr">
        <is>
          <t>moeda</t>
        </is>
      </c>
      <c r="H36" s="254" t="inlineStr">
        <is>
          <t>FinanceLeaseLiabilityCurrent</t>
        </is>
      </c>
      <c r="J36" s="254" t="inlineStr">
        <is>
          <t>fonte</t>
        </is>
      </c>
      <c r="K36" s="257" t="n">
        <v>0</v>
      </c>
      <c r="L36" s="257" t="n">
        <v>0</v>
      </c>
      <c r="M36" s="257" t="n">
        <v>0</v>
      </c>
      <c r="N36" s="257" t="n">
        <v>0</v>
      </c>
      <c r="O36" s="257" t="n">
        <v>0</v>
      </c>
      <c r="P36" s="257" t="n">
        <v>0</v>
      </c>
      <c r="Q36" s="257" t="n">
        <v>0</v>
      </c>
      <c r="R36" s="257" t="n">
        <v>0</v>
      </c>
      <c r="S36" s="257" t="n">
        <v>0</v>
      </c>
      <c r="T36" s="257" t="n">
        <v>0</v>
      </c>
      <c r="U36" s="257" t="n">
        <v>0</v>
      </c>
      <c r="V36" s="257" t="n">
        <v>0</v>
      </c>
      <c r="W36" s="257" t="n">
        <v>0</v>
      </c>
      <c r="X36" s="257" t="n">
        <v>0</v>
      </c>
      <c r="Y36" s="257" t="n">
        <v>0</v>
      </c>
      <c r="Z36" s="257" t="n">
        <v>0</v>
      </c>
      <c r="AA36" s="257" t="n">
        <v>0</v>
      </c>
      <c r="AB36" s="257" t="n">
        <v>0</v>
      </c>
      <c r="AC36" s="257" t="n">
        <v>0</v>
      </c>
      <c r="AD36" s="257" t="n">
        <v>57801000</v>
      </c>
      <c r="AE36" s="257" t="n">
        <v>59010000</v>
      </c>
      <c r="AF36" s="257" t="n">
        <v>60396000</v>
      </c>
      <c r="AG36" s="257" t="n">
        <v>48990000</v>
      </c>
      <c r="AH36" s="257" t="n">
        <v>38000000</v>
      </c>
      <c r="AI36" s="257" t="n">
        <v>23000000</v>
      </c>
      <c r="AJ36" s="257" t="n">
        <v>7000000</v>
      </c>
    </row>
    <row r="37" ht="15" customHeight="1" s="255">
      <c r="A37" s="254" t="n">
        <v>26</v>
      </c>
      <c r="B37" s="254" t="n">
        <v>1</v>
      </c>
      <c r="G37" s="254" t="inlineStr">
        <is>
          <t>moeda</t>
        </is>
      </c>
      <c r="H37" s="254" t="inlineStr">
        <is>
          <t>OtherLiabilitiesCurrent</t>
        </is>
      </c>
      <c r="J37" s="254" t="inlineStr">
        <is>
          <t>fonte</t>
        </is>
      </c>
      <c r="K37" s="257" t="n">
        <v>0</v>
      </c>
      <c r="L37" s="257" t="n">
        <v>0</v>
      </c>
      <c r="M37" s="257" t="n">
        <v>0</v>
      </c>
      <c r="N37" s="257" t="n">
        <v>0</v>
      </c>
      <c r="O37" s="257" t="n">
        <v>0</v>
      </c>
      <c r="P37" s="257" t="n">
        <v>0</v>
      </c>
      <c r="Q37" s="257" t="n">
        <v>0</v>
      </c>
      <c r="R37" s="257" t="n">
        <v>0</v>
      </c>
      <c r="S37" s="257" t="n">
        <v>0</v>
      </c>
      <c r="T37" s="257" t="n">
        <v>0</v>
      </c>
      <c r="U37" s="257" t="n">
        <v>0</v>
      </c>
      <c r="V37" s="257" t="n">
        <v>0</v>
      </c>
      <c r="W37" s="257" t="n">
        <v>0</v>
      </c>
      <c r="X37" s="257" t="n">
        <v>0</v>
      </c>
      <c r="Y37" s="257" t="n">
        <v>0</v>
      </c>
      <c r="Z37" s="257" t="n">
        <v>0</v>
      </c>
      <c r="AA37" s="257" t="n">
        <v>0</v>
      </c>
      <c r="AB37" s="257" t="n">
        <v>0</v>
      </c>
      <c r="AC37" s="257" t="n">
        <v>0</v>
      </c>
      <c r="AD37" s="257" t="n">
        <v>230244000</v>
      </c>
      <c r="AE37" s="257" t="n">
        <v>0</v>
      </c>
      <c r="AF37" s="257" t="n">
        <v>53000</v>
      </c>
      <c r="AG37" s="257" t="n">
        <v>171401000</v>
      </c>
      <c r="AH37" s="257" t="n">
        <v>162000000</v>
      </c>
      <c r="AI37" s="257" t="n">
        <v>1534000000</v>
      </c>
      <c r="AJ37" s="257" t="n">
        <v>70000000</v>
      </c>
    </row>
    <row r="38" ht="15" customHeight="1" s="255">
      <c r="A38" s="254" t="n">
        <v>26</v>
      </c>
      <c r="B38" s="254" t="n">
        <v>1</v>
      </c>
      <c r="G38" s="254" t="inlineStr">
        <is>
          <t>moeda</t>
        </is>
      </c>
      <c r="H38" s="254" t="inlineStr">
        <is>
          <t>RecourseDebtCurrent</t>
        </is>
      </c>
      <c r="J38" s="254" t="inlineStr">
        <is>
          <t>fonte</t>
        </is>
      </c>
      <c r="K38" s="257" t="n">
        <v>0</v>
      </c>
      <c r="L38" s="257" t="n">
        <v>0</v>
      </c>
      <c r="M38" s="257" t="n">
        <v>0</v>
      </c>
      <c r="N38" s="257" t="n">
        <v>0</v>
      </c>
      <c r="O38" s="257" t="n">
        <v>0</v>
      </c>
      <c r="P38" s="257" t="n">
        <v>0</v>
      </c>
      <c r="Q38" s="257" t="n">
        <v>0</v>
      </c>
      <c r="R38" s="257" t="n">
        <v>0</v>
      </c>
      <c r="S38" s="257" t="n">
        <v>0</v>
      </c>
      <c r="T38" s="257" t="n">
        <v>0</v>
      </c>
      <c r="U38" s="257" t="n">
        <v>0</v>
      </c>
      <c r="V38" s="257" t="n">
        <v>0</v>
      </c>
      <c r="W38" s="257" t="n">
        <v>0</v>
      </c>
      <c r="X38" s="257" t="n">
        <v>0</v>
      </c>
      <c r="Y38" s="257" t="n">
        <v>0</v>
      </c>
      <c r="Z38" s="257" t="n">
        <v>0</v>
      </c>
      <c r="AA38" s="257" t="n">
        <v>0</v>
      </c>
      <c r="AB38" s="257" t="n">
        <v>0</v>
      </c>
      <c r="AC38" s="257" t="n">
        <v>0</v>
      </c>
      <c r="AD38" s="257" t="n">
        <v>0</v>
      </c>
      <c r="AE38" s="257" t="n">
        <v>0</v>
      </c>
      <c r="AF38" s="257" t="n">
        <v>0</v>
      </c>
      <c r="AG38" s="257" t="n">
        <v>0</v>
      </c>
      <c r="AH38" s="257" t="n">
        <v>0</v>
      </c>
      <c r="AI38" s="257" t="n">
        <v>0</v>
      </c>
      <c r="AJ38" s="257" t="n">
        <v>6235000000</v>
      </c>
    </row>
    <row r="39" ht="15" customHeight="1" s="255">
      <c r="A39" s="254" t="n">
        <v>26</v>
      </c>
      <c r="B39" s="254" t="n">
        <v>1</v>
      </c>
      <c r="G39" s="254" t="inlineStr">
        <is>
          <t>moeda</t>
        </is>
      </c>
      <c r="H39" s="254" t="inlineStr">
        <is>
          <t>NonRecourseDebtCurrent</t>
        </is>
      </c>
      <c r="J39" s="254" t="inlineStr">
        <is>
          <t>fonte</t>
        </is>
      </c>
      <c r="K39" s="257" t="n">
        <v>0</v>
      </c>
      <c r="L39" s="257" t="n">
        <v>0</v>
      </c>
      <c r="M39" s="257" t="n">
        <v>0</v>
      </c>
      <c r="N39" s="257" t="n">
        <v>0</v>
      </c>
      <c r="O39" s="257" t="n">
        <v>0</v>
      </c>
      <c r="P39" s="257" t="n">
        <v>0</v>
      </c>
      <c r="Q39" s="257" t="n">
        <v>0</v>
      </c>
      <c r="R39" s="257" t="n">
        <v>0</v>
      </c>
      <c r="S39" s="257" t="n">
        <v>0</v>
      </c>
      <c r="T39" s="257" t="n">
        <v>0</v>
      </c>
      <c r="U39" s="257" t="n">
        <v>0</v>
      </c>
      <c r="V39" s="257" t="n">
        <v>0</v>
      </c>
      <c r="W39" s="257" t="n">
        <v>0</v>
      </c>
      <c r="X39" s="257" t="n">
        <v>0</v>
      </c>
      <c r="Y39" s="257" t="n">
        <v>0</v>
      </c>
      <c r="Z39" s="257" t="n">
        <v>0</v>
      </c>
      <c r="AA39" s="257" t="n">
        <v>0</v>
      </c>
      <c r="AB39" s="257" t="n">
        <v>0</v>
      </c>
      <c r="AC39" s="257" t="n">
        <v>0</v>
      </c>
      <c r="AD39" s="257" t="n">
        <v>0</v>
      </c>
      <c r="AE39" s="257" t="n">
        <v>0</v>
      </c>
      <c r="AF39" s="257" t="n">
        <v>0</v>
      </c>
      <c r="AG39" s="257" t="n">
        <v>0</v>
      </c>
      <c r="AH39" s="257" t="n">
        <v>0</v>
      </c>
      <c r="AI39" s="257" t="n">
        <v>0</v>
      </c>
      <c r="AJ39" s="257" t="n">
        <v>1278000000</v>
      </c>
    </row>
    <row r="40" ht="15" customHeight="1" s="255">
      <c r="A40" s="254" t="n">
        <v>27</v>
      </c>
      <c r="B40" s="254" t="n">
        <v>1</v>
      </c>
      <c r="G40" s="254" t="inlineStr">
        <is>
          <t>moeda</t>
        </is>
      </c>
      <c r="H40" s="254" t="inlineStr">
        <is>
          <t>LongTermDebtCurrent</t>
        </is>
      </c>
      <c r="J40" s="254" t="inlineStr">
        <is>
          <t>fonte</t>
        </is>
      </c>
      <c r="K40" s="257" t="n">
        <v>0</v>
      </c>
      <c r="L40" s="257" t="n">
        <v>0</v>
      </c>
      <c r="M40" s="257" t="n">
        <v>0</v>
      </c>
      <c r="N40" s="257" t="n">
        <v>0</v>
      </c>
      <c r="O40" s="257" t="n">
        <v>0</v>
      </c>
      <c r="P40" s="257" t="n">
        <v>0</v>
      </c>
      <c r="Q40" s="257" t="n">
        <v>0</v>
      </c>
      <c r="R40" s="257" t="n">
        <v>0</v>
      </c>
      <c r="S40" s="257" t="n">
        <v>0</v>
      </c>
      <c r="T40" s="257" t="n">
        <v>0</v>
      </c>
      <c r="U40" s="257" t="n">
        <v>0</v>
      </c>
      <c r="V40" s="257" t="n">
        <v>0</v>
      </c>
      <c r="W40" s="257" t="n">
        <v>0</v>
      </c>
      <c r="X40" s="257" t="n">
        <v>0</v>
      </c>
      <c r="Y40" s="257" t="n">
        <v>0</v>
      </c>
      <c r="Z40" s="257" t="n">
        <v>0</v>
      </c>
      <c r="AA40" s="257" t="n">
        <v>0</v>
      </c>
      <c r="AB40" s="257" t="n">
        <v>0</v>
      </c>
      <c r="AC40" s="257" t="n">
        <v>0</v>
      </c>
      <c r="AD40" s="257" t="n">
        <v>2468425000</v>
      </c>
      <c r="AE40" s="257" t="n">
        <v>3776595000</v>
      </c>
      <c r="AF40" s="257" t="n">
        <v>3627664000</v>
      </c>
      <c r="AG40" s="257" t="n">
        <v>3712177000</v>
      </c>
      <c r="AH40" s="257" t="n">
        <v>6708000000</v>
      </c>
      <c r="AI40" s="257" t="n">
        <v>7547000000</v>
      </c>
      <c r="AJ40" s="257" t="n">
        <v>0</v>
      </c>
    </row>
    <row r="41" ht="15" customHeight="1" s="255">
      <c r="A41" s="254" t="n">
        <v>29</v>
      </c>
      <c r="B41" s="254" t="n">
        <v>1</v>
      </c>
      <c r="G41" s="254" t="inlineStr">
        <is>
          <t>moeda</t>
        </is>
      </c>
      <c r="H41" s="254" t="inlineStr">
        <is>
          <t>OperatingLeaseLiabilityCurrent</t>
        </is>
      </c>
      <c r="J41" s="254" t="inlineStr">
        <is>
          <t>fonte</t>
        </is>
      </c>
      <c r="K41" s="257" t="n">
        <v>0</v>
      </c>
      <c r="L41" s="257" t="n">
        <v>0</v>
      </c>
      <c r="M41" s="257" t="n">
        <v>0</v>
      </c>
      <c r="N41" s="257" t="n">
        <v>0</v>
      </c>
      <c r="O41" s="257" t="n">
        <v>0</v>
      </c>
      <c r="P41" s="257" t="n">
        <v>0</v>
      </c>
      <c r="Q41" s="257" t="n">
        <v>0</v>
      </c>
      <c r="R41" s="257" t="n">
        <v>0</v>
      </c>
      <c r="S41" s="257" t="n">
        <v>0</v>
      </c>
      <c r="T41" s="257" t="n">
        <v>0</v>
      </c>
      <c r="U41" s="257" t="n">
        <v>0</v>
      </c>
      <c r="V41" s="257" t="n">
        <v>0</v>
      </c>
      <c r="W41" s="257" t="n">
        <v>0</v>
      </c>
      <c r="X41" s="257" t="n">
        <v>0</v>
      </c>
      <c r="Y41" s="257" t="n">
        <v>0</v>
      </c>
      <c r="Z41" s="257" t="n">
        <v>0</v>
      </c>
      <c r="AA41" s="257" t="n">
        <v>0</v>
      </c>
      <c r="AB41" s="257" t="n">
        <v>0</v>
      </c>
      <c r="AC41" s="257" t="n">
        <v>0</v>
      </c>
      <c r="AD41" s="257" t="n">
        <v>213104000</v>
      </c>
      <c r="AE41" s="257" t="n">
        <v>239549000</v>
      </c>
      <c r="AF41" s="257" t="n">
        <v>279080000</v>
      </c>
      <c r="AG41" s="257" t="n">
        <v>345472000</v>
      </c>
      <c r="AH41" s="257" t="n">
        <v>427000000</v>
      </c>
      <c r="AI41" s="257" t="n">
        <v>487000000</v>
      </c>
      <c r="AJ41" s="257" t="n">
        <v>584000000</v>
      </c>
    </row>
    <row r="42" ht="15" customHeight="1" s="255">
      <c r="A42" s="254" t="n">
        <v>30</v>
      </c>
      <c r="B42" s="254" t="n">
        <v>1</v>
      </c>
      <c r="G42" s="254" t="inlineStr">
        <is>
          <t>moeda</t>
        </is>
      </c>
      <c r="H42" s="254" t="inlineStr">
        <is>
          <t>LongTermDebtNoncurrent</t>
        </is>
      </c>
      <c r="J42" s="254" t="inlineStr">
        <is>
          <t>fonte</t>
        </is>
      </c>
      <c r="K42" s="257" t="n">
        <v>0</v>
      </c>
      <c r="L42" s="257" t="n">
        <v>0</v>
      </c>
      <c r="M42" s="257" t="n">
        <v>0</v>
      </c>
      <c r="N42" s="257" t="n">
        <v>0</v>
      </c>
      <c r="O42" s="257" t="n">
        <v>0</v>
      </c>
      <c r="P42" s="257" t="n">
        <v>0</v>
      </c>
      <c r="Q42" s="257" t="n">
        <v>0</v>
      </c>
      <c r="R42" s="257" t="n">
        <v>0</v>
      </c>
      <c r="S42" s="257" t="n">
        <v>0</v>
      </c>
      <c r="T42" s="257" t="n">
        <v>0</v>
      </c>
      <c r="U42" s="257" t="n">
        <v>0</v>
      </c>
      <c r="V42" s="257" t="n">
        <v>0</v>
      </c>
      <c r="W42" s="257" t="n">
        <v>0</v>
      </c>
      <c r="X42" s="257" t="n">
        <v>0</v>
      </c>
      <c r="Y42" s="257" t="n">
        <v>0</v>
      </c>
      <c r="Z42" s="257" t="n">
        <v>0</v>
      </c>
      <c r="AA42" s="257" t="n">
        <v>0</v>
      </c>
      <c r="AB42" s="257" t="n">
        <v>0</v>
      </c>
      <c r="AC42" s="257" t="n">
        <v>0</v>
      </c>
      <c r="AD42" s="257" t="n">
        <v>5457915000</v>
      </c>
      <c r="AE42" s="257" t="n">
        <v>4935071000</v>
      </c>
      <c r="AF42" s="257" t="n">
        <v>7423837000</v>
      </c>
      <c r="AG42" s="257" t="n">
        <v>10322757000</v>
      </c>
      <c r="AH42" s="257" t="n">
        <v>14665000000</v>
      </c>
      <c r="AI42" s="257" t="n">
        <v>17312000000</v>
      </c>
      <c r="AJ42" s="257" t="n">
        <v>0</v>
      </c>
    </row>
    <row r="43" ht="15" customHeight="1" s="255">
      <c r="A43" s="254" t="n">
        <v>31</v>
      </c>
      <c r="B43" s="254" t="n">
        <v>1</v>
      </c>
      <c r="G43" s="254" t="inlineStr">
        <is>
          <t>moeda</t>
        </is>
      </c>
      <c r="H43" s="254" t="inlineStr">
        <is>
          <t>OperatingLeaseLiabilityNoncurrent</t>
        </is>
      </c>
      <c r="J43" s="254" t="inlineStr">
        <is>
          <t>fonte</t>
        </is>
      </c>
      <c r="K43" s="257" t="n">
        <v>0</v>
      </c>
      <c r="L43" s="257" t="n">
        <v>0</v>
      </c>
      <c r="M43" s="257" t="n">
        <v>0</v>
      </c>
      <c r="N43" s="257" t="n">
        <v>0</v>
      </c>
      <c r="O43" s="257" t="n">
        <v>0</v>
      </c>
      <c r="P43" s="257" t="n">
        <v>0</v>
      </c>
      <c r="Q43" s="257" t="n">
        <v>0</v>
      </c>
      <c r="R43" s="257" t="n">
        <v>0</v>
      </c>
      <c r="S43" s="257" t="n">
        <v>0</v>
      </c>
      <c r="T43" s="257" t="n">
        <v>0</v>
      </c>
      <c r="U43" s="257" t="n">
        <v>0</v>
      </c>
      <c r="V43" s="257" t="n">
        <v>0</v>
      </c>
      <c r="W43" s="257" t="n">
        <v>0</v>
      </c>
      <c r="X43" s="257" t="n">
        <v>0</v>
      </c>
      <c r="Y43" s="257" t="n">
        <v>0</v>
      </c>
      <c r="Z43" s="257" t="n">
        <v>0</v>
      </c>
      <c r="AA43" s="257" t="n">
        <v>0</v>
      </c>
      <c r="AB43" s="257" t="n">
        <v>0</v>
      </c>
      <c r="AC43" s="257" t="n">
        <v>0</v>
      </c>
      <c r="AD43" s="257" t="n">
        <v>2388912000</v>
      </c>
      <c r="AE43" s="257" t="n">
        <v>2867838000</v>
      </c>
      <c r="AF43" s="257" t="n">
        <v>3168392000</v>
      </c>
      <c r="AG43" s="257" t="n">
        <v>4378869000</v>
      </c>
      <c r="AH43" s="257" t="n">
        <v>7768000000</v>
      </c>
      <c r="AI43" s="257" t="n">
        <v>9563000000</v>
      </c>
      <c r="AJ43" s="257" t="n">
        <v>15735000000</v>
      </c>
    </row>
    <row r="44" ht="15" customHeight="1" s="255">
      <c r="A44" s="254" t="n">
        <v>33</v>
      </c>
      <c r="B44" s="254" t="n">
        <v>1</v>
      </c>
      <c r="G44" s="254" t="inlineStr">
        <is>
          <t>moeda</t>
        </is>
      </c>
      <c r="H44" s="254" t="inlineStr">
        <is>
          <t>DeferredIncomeTaxLiabilitiesNet</t>
        </is>
      </c>
      <c r="J44" s="254" t="inlineStr">
        <is>
          <t>fonte</t>
        </is>
      </c>
      <c r="K44" s="257" t="n">
        <v>0</v>
      </c>
      <c r="L44" s="257" t="n">
        <v>0</v>
      </c>
      <c r="M44" s="257" t="n">
        <v>0</v>
      </c>
      <c r="N44" s="257" t="n">
        <v>0</v>
      </c>
      <c r="O44" s="257" t="n">
        <v>0</v>
      </c>
      <c r="P44" s="257" t="n">
        <v>0</v>
      </c>
      <c r="Q44" s="257" t="n">
        <v>0</v>
      </c>
      <c r="R44" s="257" t="n">
        <v>0</v>
      </c>
      <c r="S44" s="257" t="n">
        <v>0</v>
      </c>
      <c r="T44" s="257" t="n">
        <v>0</v>
      </c>
      <c r="U44" s="257" t="n">
        <v>0</v>
      </c>
      <c r="V44" s="257" t="n">
        <v>0</v>
      </c>
      <c r="W44" s="257" t="n">
        <v>0</v>
      </c>
      <c r="X44" s="257" t="n">
        <v>0</v>
      </c>
      <c r="Y44" s="257" t="n">
        <v>0</v>
      </c>
      <c r="Z44" s="257" t="n">
        <v>0</v>
      </c>
      <c r="AA44" s="257" t="n">
        <v>0</v>
      </c>
      <c r="AB44" s="257" t="n">
        <v>0</v>
      </c>
      <c r="AC44" s="257" t="n">
        <v>0</v>
      </c>
      <c r="AD44" s="257" t="n">
        <v>149232000</v>
      </c>
      <c r="AE44" s="257" t="n">
        <v>193849000</v>
      </c>
      <c r="AF44" s="257" t="n">
        <v>245659000</v>
      </c>
      <c r="AG44" s="257" t="n">
        <v>117633000</v>
      </c>
      <c r="AH44" s="257" t="n">
        <v>115000000</v>
      </c>
      <c r="AI44" s="257" t="n">
        <v>194000000</v>
      </c>
      <c r="AJ44" s="257" t="n">
        <v>256000000</v>
      </c>
    </row>
    <row r="45" ht="15" customHeight="1" s="255">
      <c r="A45" s="254" t="n">
        <v>34</v>
      </c>
      <c r="B45" s="254" t="n">
        <v>1</v>
      </c>
      <c r="G45" s="254" t="inlineStr">
        <is>
          <t>moeda</t>
        </is>
      </c>
      <c r="H45" s="254" t="inlineStr">
        <is>
          <t>DerivativeLiabilitiesNoncurrent</t>
        </is>
      </c>
      <c r="J45" s="254" t="inlineStr">
        <is>
          <t>fonte</t>
        </is>
      </c>
      <c r="K45" s="257" t="n">
        <v>0</v>
      </c>
      <c r="L45" s="257" t="n">
        <v>0</v>
      </c>
      <c r="M45" s="257" t="n">
        <v>0</v>
      </c>
      <c r="N45" s="257" t="n">
        <v>0</v>
      </c>
      <c r="O45" s="257" t="n">
        <v>0</v>
      </c>
      <c r="P45" s="257" t="n">
        <v>0</v>
      </c>
      <c r="Q45" s="257" t="n">
        <v>0</v>
      </c>
      <c r="R45" s="257" t="n">
        <v>0</v>
      </c>
      <c r="S45" s="257" t="n">
        <v>0</v>
      </c>
      <c r="T45" s="257" t="n">
        <v>0</v>
      </c>
      <c r="U45" s="257" t="n">
        <v>0</v>
      </c>
      <c r="V45" s="257" t="n">
        <v>0</v>
      </c>
      <c r="W45" s="257" t="n">
        <v>0</v>
      </c>
      <c r="X45" s="257" t="n">
        <v>0</v>
      </c>
      <c r="Y45" s="257" t="n">
        <v>0</v>
      </c>
      <c r="Z45" s="257" t="n">
        <v>0</v>
      </c>
      <c r="AA45" s="257" t="n">
        <v>0</v>
      </c>
      <c r="AB45" s="257" t="n">
        <v>0</v>
      </c>
      <c r="AC45" s="257" t="n">
        <v>0</v>
      </c>
      <c r="AD45" s="257" t="n">
        <v>200089000</v>
      </c>
      <c r="AE45" s="257" t="n">
        <v>491000</v>
      </c>
      <c r="AF45" s="257" t="n">
        <v>698000</v>
      </c>
      <c r="AG45" s="257" t="n">
        <v>1710000</v>
      </c>
      <c r="AH45" s="257" t="n">
        <v>1000000</v>
      </c>
      <c r="AI45" s="257" t="n">
        <v>0</v>
      </c>
      <c r="AJ45" s="257" t="n">
        <v>0</v>
      </c>
    </row>
    <row r="46" ht="15" customHeight="1" s="255">
      <c r="A46" s="254" t="n">
        <v>34</v>
      </c>
      <c r="B46" s="254" t="n">
        <v>1</v>
      </c>
      <c r="G46" s="254" t="inlineStr">
        <is>
          <t>moeda</t>
        </is>
      </c>
      <c r="H46" s="254" t="inlineStr">
        <is>
          <t>ContractWithCustomerLiabilityNoncurrent</t>
        </is>
      </c>
      <c r="J46" s="254" t="inlineStr">
        <is>
          <t>fonte</t>
        </is>
      </c>
      <c r="K46" s="257" t="n">
        <v>0</v>
      </c>
      <c r="L46" s="257" t="n">
        <v>0</v>
      </c>
      <c r="M46" s="257" t="n">
        <v>0</v>
      </c>
      <c r="N46" s="257" t="n">
        <v>0</v>
      </c>
      <c r="O46" s="257" t="n">
        <v>0</v>
      </c>
      <c r="P46" s="257" t="n">
        <v>0</v>
      </c>
      <c r="Q46" s="257" t="n">
        <v>0</v>
      </c>
      <c r="R46" s="257" t="n">
        <v>0</v>
      </c>
      <c r="S46" s="257" t="n">
        <v>0</v>
      </c>
      <c r="T46" s="257" t="n">
        <v>0</v>
      </c>
      <c r="U46" s="257" t="n">
        <v>0</v>
      </c>
      <c r="V46" s="257" t="n">
        <v>0</v>
      </c>
      <c r="W46" s="257" t="n">
        <v>0</v>
      </c>
      <c r="X46" s="257" t="n">
        <v>0</v>
      </c>
      <c r="Y46" s="257" t="n">
        <v>0</v>
      </c>
      <c r="Z46" s="257" t="n">
        <v>0</v>
      </c>
      <c r="AA46" s="257" t="n">
        <v>0</v>
      </c>
      <c r="AB46" s="257" t="n">
        <v>0</v>
      </c>
      <c r="AC46" s="257" t="n">
        <v>0</v>
      </c>
      <c r="AD46" s="257" t="n">
        <v>3294977000</v>
      </c>
      <c r="AE46" s="257" t="n">
        <v>3611469000</v>
      </c>
      <c r="AF46" s="257" t="n">
        <v>3896173000</v>
      </c>
      <c r="AG46" s="257" t="n">
        <v>4228222000</v>
      </c>
      <c r="AH46" s="257" t="n">
        <v>6476000000</v>
      </c>
      <c r="AI46" s="257" t="n">
        <v>5393000000</v>
      </c>
      <c r="AJ46" s="257" t="n">
        <v>7006000000</v>
      </c>
    </row>
    <row r="47" ht="15" customHeight="1" s="255">
      <c r="A47" s="254" t="n">
        <v>34</v>
      </c>
      <c r="B47" s="254" t="n">
        <v>1</v>
      </c>
      <c r="G47" s="254" t="inlineStr">
        <is>
          <t>moeda</t>
        </is>
      </c>
      <c r="H47" s="254" t="inlineStr">
        <is>
          <t>FinanceLeaseLiabilityNoncurrent</t>
        </is>
      </c>
      <c r="J47" s="254" t="inlineStr">
        <is>
          <t>fonte</t>
        </is>
      </c>
      <c r="K47" s="257" t="n">
        <v>0</v>
      </c>
      <c r="L47" s="257" t="n">
        <v>0</v>
      </c>
      <c r="M47" s="257" t="n">
        <v>0</v>
      </c>
      <c r="N47" s="257" t="n">
        <v>0</v>
      </c>
      <c r="O47" s="257" t="n">
        <v>0</v>
      </c>
      <c r="P47" s="257" t="n">
        <v>0</v>
      </c>
      <c r="Q47" s="257" t="n">
        <v>0</v>
      </c>
      <c r="R47" s="257" t="n">
        <v>0</v>
      </c>
      <c r="S47" s="257" t="n">
        <v>0</v>
      </c>
      <c r="T47" s="257" t="n">
        <v>0</v>
      </c>
      <c r="U47" s="257" t="n">
        <v>0</v>
      </c>
      <c r="V47" s="257" t="n">
        <v>0</v>
      </c>
      <c r="W47" s="257" t="n">
        <v>0</v>
      </c>
      <c r="X47" s="257" t="n">
        <v>0</v>
      </c>
      <c r="Y47" s="257" t="n">
        <v>0</v>
      </c>
      <c r="Z47" s="257" t="n">
        <v>0</v>
      </c>
      <c r="AA47" s="257" t="n">
        <v>0</v>
      </c>
      <c r="AB47" s="257" t="n">
        <v>0</v>
      </c>
      <c r="AC47" s="257" t="n">
        <v>0</v>
      </c>
      <c r="AD47" s="257" t="n">
        <v>34120000</v>
      </c>
      <c r="AE47" s="257" t="n">
        <v>18814000</v>
      </c>
      <c r="AF47" s="257" t="n">
        <v>3112000</v>
      </c>
      <c r="AG47" s="257" t="n">
        <v>12000</v>
      </c>
      <c r="AH47" s="257" t="n">
        <v>216000000</v>
      </c>
      <c r="AI47" s="257" t="n">
        <v>215000000</v>
      </c>
      <c r="AJ47" s="257" t="n">
        <v>214000000</v>
      </c>
    </row>
    <row r="48" ht="15" customHeight="1" s="255">
      <c r="A48" s="254" t="n">
        <v>34</v>
      </c>
      <c r="B48" s="254" t="n">
        <v>1</v>
      </c>
      <c r="G48" s="254" t="inlineStr">
        <is>
          <t>moeda</t>
        </is>
      </c>
      <c r="H48" s="254" t="inlineStr">
        <is>
          <t>OtherLiabilitiesNoncurrent</t>
        </is>
      </c>
      <c r="J48" s="254" t="inlineStr">
        <is>
          <t>fonte</t>
        </is>
      </c>
      <c r="K48" s="257" t="n">
        <v>0</v>
      </c>
      <c r="L48" s="257" t="n">
        <v>0</v>
      </c>
      <c r="M48" s="257" t="n">
        <v>0</v>
      </c>
      <c r="N48" s="257" t="n">
        <v>0</v>
      </c>
      <c r="O48" s="257" t="n">
        <v>0</v>
      </c>
      <c r="P48" s="257" t="n">
        <v>0</v>
      </c>
      <c r="Q48" s="257" t="n">
        <v>0</v>
      </c>
      <c r="R48" s="257" t="n">
        <v>0</v>
      </c>
      <c r="S48" s="257" t="n">
        <v>0</v>
      </c>
      <c r="T48" s="257" t="n">
        <v>0</v>
      </c>
      <c r="U48" s="257" t="n">
        <v>0</v>
      </c>
      <c r="V48" s="257" t="n">
        <v>0</v>
      </c>
      <c r="W48" s="257" t="n">
        <v>0</v>
      </c>
      <c r="X48" s="257" t="n">
        <v>0</v>
      </c>
      <c r="Y48" s="257" t="n">
        <v>0</v>
      </c>
      <c r="Z48" s="257" t="n">
        <v>0</v>
      </c>
      <c r="AA48" s="257" t="n">
        <v>0</v>
      </c>
      <c r="AB48" s="257" t="n">
        <v>0</v>
      </c>
      <c r="AC48" s="257" t="n">
        <v>0</v>
      </c>
      <c r="AD48" s="257" t="n">
        <v>36260000</v>
      </c>
      <c r="AE48" s="257" t="n">
        <v>32772000</v>
      </c>
      <c r="AF48" s="257" t="n">
        <v>126331000</v>
      </c>
      <c r="AG48" s="257" t="n">
        <v>268409000</v>
      </c>
      <c r="AH48" s="257" t="n">
        <v>286000000</v>
      </c>
      <c r="AI48" s="257" t="n">
        <v>319000000</v>
      </c>
      <c r="AJ48" s="257" t="n">
        <v>363000000</v>
      </c>
    </row>
    <row r="49" ht="15" customHeight="1" s="255">
      <c r="A49" s="254" t="n">
        <v>34</v>
      </c>
      <c r="B49" s="254" t="n">
        <v>1</v>
      </c>
      <c r="G49" s="254" t="inlineStr">
        <is>
          <t>moeda</t>
        </is>
      </c>
      <c r="H49" s="254" t="inlineStr">
        <is>
          <t>RecourseDebtNonCurrent</t>
        </is>
      </c>
      <c r="J49" s="254" t="inlineStr">
        <is>
          <t>fonte</t>
        </is>
      </c>
      <c r="K49" s="257" t="n">
        <v>0</v>
      </c>
      <c r="L49" s="257" t="n">
        <v>0</v>
      </c>
      <c r="M49" s="257" t="n">
        <v>0</v>
      </c>
      <c r="N49" s="257" t="n">
        <v>0</v>
      </c>
      <c r="O49" s="257" t="n">
        <v>0</v>
      </c>
      <c r="P49" s="257" t="n">
        <v>0</v>
      </c>
      <c r="Q49" s="257" t="n">
        <v>0</v>
      </c>
      <c r="R49" s="257" t="n">
        <v>0</v>
      </c>
      <c r="S49" s="257" t="n">
        <v>0</v>
      </c>
      <c r="T49" s="257" t="n">
        <v>0</v>
      </c>
      <c r="U49" s="257" t="n">
        <v>0</v>
      </c>
      <c r="V49" s="257" t="n">
        <v>0</v>
      </c>
      <c r="W49" s="257" t="n">
        <v>0</v>
      </c>
      <c r="X49" s="257" t="n">
        <v>0</v>
      </c>
      <c r="Y49" s="257" t="n">
        <v>0</v>
      </c>
      <c r="Z49" s="257" t="n">
        <v>0</v>
      </c>
      <c r="AA49" s="257" t="n">
        <v>0</v>
      </c>
      <c r="AB49" s="257" t="n">
        <v>0</v>
      </c>
      <c r="AC49" s="257" t="n">
        <v>0</v>
      </c>
      <c r="AD49" s="257" t="n">
        <v>0</v>
      </c>
      <c r="AE49" s="257" t="n">
        <v>0</v>
      </c>
      <c r="AF49" s="257" t="n">
        <v>0</v>
      </c>
      <c r="AG49" s="257" t="n">
        <v>0</v>
      </c>
      <c r="AH49" s="257" t="n">
        <v>0</v>
      </c>
      <c r="AI49" s="257" t="n">
        <v>0</v>
      </c>
      <c r="AJ49" s="257" t="n">
        <v>25170000000</v>
      </c>
    </row>
    <row r="50" ht="15" customHeight="1" s="255">
      <c r="A50" s="254" t="n">
        <v>34</v>
      </c>
      <c r="B50" s="254" t="n">
        <v>1</v>
      </c>
      <c r="G50" s="254" t="inlineStr">
        <is>
          <t>moeda</t>
        </is>
      </c>
      <c r="H50" s="254" t="inlineStr">
        <is>
          <t>NonRecourseDebtNonCurrent</t>
        </is>
      </c>
      <c r="J50" s="254" t="inlineStr">
        <is>
          <t>fonte</t>
        </is>
      </c>
      <c r="K50" s="257" t="n">
        <v>0</v>
      </c>
      <c r="L50" s="257" t="n">
        <v>0</v>
      </c>
      <c r="M50" s="257" t="n">
        <v>0</v>
      </c>
      <c r="N50" s="257" t="n">
        <v>0</v>
      </c>
      <c r="O50" s="257" t="n">
        <v>0</v>
      </c>
      <c r="P50" s="257" t="n">
        <v>0</v>
      </c>
      <c r="Q50" s="257" t="n">
        <v>0</v>
      </c>
      <c r="R50" s="257" t="n">
        <v>0</v>
      </c>
      <c r="S50" s="257" t="n">
        <v>0</v>
      </c>
      <c r="T50" s="257" t="n">
        <v>0</v>
      </c>
      <c r="U50" s="257" t="n">
        <v>0</v>
      </c>
      <c r="V50" s="257" t="n">
        <v>0</v>
      </c>
      <c r="W50" s="257" t="n">
        <v>0</v>
      </c>
      <c r="X50" s="257" t="n">
        <v>0</v>
      </c>
      <c r="Y50" s="257" t="n">
        <v>0</v>
      </c>
      <c r="Z50" s="257" t="n">
        <v>0</v>
      </c>
      <c r="AA50" s="257" t="n">
        <v>0</v>
      </c>
      <c r="AB50" s="257" t="n">
        <v>0</v>
      </c>
      <c r="AC50" s="257" t="n">
        <v>0</v>
      </c>
      <c r="AD50" s="257" t="n">
        <v>0</v>
      </c>
      <c r="AE50" s="257" t="n">
        <v>0</v>
      </c>
      <c r="AF50" s="257" t="n">
        <v>0</v>
      </c>
      <c r="AG50" s="257" t="n">
        <v>0</v>
      </c>
      <c r="AH50" s="257" t="n">
        <v>0</v>
      </c>
      <c r="AI50" s="257" t="n">
        <v>0</v>
      </c>
      <c r="AJ50" s="257" t="n">
        <v>2385000000</v>
      </c>
    </row>
    <row r="51" ht="15" customHeight="1" s="255">
      <c r="A51" s="254" t="n">
        <v>37</v>
      </c>
      <c r="B51" s="254" t="n">
        <v>1</v>
      </c>
      <c r="G51" s="254" t="inlineStr">
        <is>
          <t>moeda</t>
        </is>
      </c>
      <c r="H51" s="254" t="inlineStr">
        <is>
          <t>AdditionalPaidInCapital</t>
        </is>
      </c>
      <c r="J51" s="254" t="inlineStr">
        <is>
          <t>fonte</t>
        </is>
      </c>
      <c r="K51" s="257" t="n">
        <v>0</v>
      </c>
      <c r="L51" s="257" t="n">
        <v>0</v>
      </c>
      <c r="M51" s="257" t="n">
        <v>0</v>
      </c>
      <c r="N51" s="257" t="n">
        <v>0</v>
      </c>
      <c r="O51" s="257" t="n">
        <v>0</v>
      </c>
      <c r="P51" s="257" t="n">
        <v>0</v>
      </c>
      <c r="Q51" s="257" t="n">
        <v>0</v>
      </c>
      <c r="R51" s="257" t="n">
        <v>0</v>
      </c>
      <c r="S51" s="257" t="n">
        <v>0</v>
      </c>
      <c r="T51" s="257" t="n">
        <v>0</v>
      </c>
      <c r="U51" s="257" t="n">
        <v>0</v>
      </c>
      <c r="V51" s="257" t="n">
        <v>0</v>
      </c>
      <c r="W51" s="257" t="n">
        <v>0</v>
      </c>
      <c r="X51" s="257" t="n">
        <v>0</v>
      </c>
      <c r="Y51" s="257" t="n">
        <v>0</v>
      </c>
      <c r="Z51" s="257" t="n">
        <v>0</v>
      </c>
      <c r="AA51" s="257" t="n">
        <v>0</v>
      </c>
      <c r="AB51" s="257" t="n">
        <v>0</v>
      </c>
      <c r="AC51" s="257" t="n">
        <v>0</v>
      </c>
      <c r="AD51" s="257" t="n">
        <v>1096160000</v>
      </c>
      <c r="AE51" s="257" t="n">
        <v>3730521000</v>
      </c>
      <c r="AF51" s="257" t="n">
        <v>4772825000</v>
      </c>
      <c r="AG51" s="257" t="n">
        <v>6104329000</v>
      </c>
      <c r="AH51" s="257" t="n">
        <v>6012000000</v>
      </c>
      <c r="AI51" s="257" t="n">
        <v>8171000000</v>
      </c>
      <c r="AJ51" s="257" t="n">
        <v>9085000000</v>
      </c>
    </row>
    <row r="52" ht="15" customHeight="1" s="255">
      <c r="A52" s="254" t="n">
        <v>38</v>
      </c>
      <c r="B52" s="254" t="n">
        <v>1</v>
      </c>
      <c r="G52" s="254" t="inlineStr">
        <is>
          <t>moeda</t>
        </is>
      </c>
      <c r="H52" s="254" t="inlineStr">
        <is>
          <t>TreasuryStockCommonValue (divulgado positivo, lançado negativo)</t>
        </is>
      </c>
      <c r="J52" s="254" t="inlineStr">
        <is>
          <t>fonte</t>
        </is>
      </c>
      <c r="K52" s="257" t="n">
        <v>0</v>
      </c>
      <c r="L52" s="257" t="n">
        <v>0</v>
      </c>
      <c r="M52" s="257" t="n">
        <v>0</v>
      </c>
      <c r="N52" s="257" t="n">
        <v>0</v>
      </c>
      <c r="O52" s="257" t="n">
        <v>0</v>
      </c>
      <c r="P52" s="257" t="n">
        <v>0</v>
      </c>
      <c r="Q52" s="257" t="n">
        <v>0</v>
      </c>
      <c r="R52" s="257" t="n">
        <v>0</v>
      </c>
      <c r="S52" s="257" t="n">
        <v>0</v>
      </c>
      <c r="T52" s="257" t="n">
        <v>0</v>
      </c>
      <c r="U52" s="257" t="n">
        <v>0</v>
      </c>
      <c r="V52" s="257" t="n">
        <v>0</v>
      </c>
      <c r="W52" s="257" t="n">
        <v>0</v>
      </c>
      <c r="X52" s="257" t="n">
        <v>0</v>
      </c>
      <c r="Y52" s="257" t="n">
        <v>0</v>
      </c>
      <c r="Z52" s="257" t="n">
        <v>0</v>
      </c>
      <c r="AA52" s="257" t="n">
        <v>0</v>
      </c>
      <c r="AB52" s="257" t="n">
        <v>0</v>
      </c>
      <c r="AC52" s="257" t="n">
        <v>0</v>
      </c>
      <c r="AD52" s="257" t="n">
        <v>-33524000</v>
      </c>
      <c r="AE52" s="257" t="n">
        <v>-33524000</v>
      </c>
      <c r="AF52" s="257" t="n">
        <v>-33524000</v>
      </c>
      <c r="AG52" s="257" t="n">
        <v>-33524000</v>
      </c>
      <c r="AH52" s="257" t="n">
        <v>-34000000</v>
      </c>
      <c r="AI52" s="257" t="n">
        <v>-34000000</v>
      </c>
      <c r="AJ52" s="257" t="n">
        <v>-34000000</v>
      </c>
    </row>
    <row r="53" ht="15" customHeight="1" s="255">
      <c r="A53" s="254" t="n">
        <v>39</v>
      </c>
      <c r="B53" s="254" t="n">
        <v>1</v>
      </c>
      <c r="G53" s="254" t="inlineStr">
        <is>
          <t>moeda</t>
        </is>
      </c>
      <c r="H53" s="254" t="inlineStr">
        <is>
          <t>AccumulatedOtherComprehensiveIncomeLossNetOfTax</t>
        </is>
      </c>
      <c r="J53" s="254" t="inlineStr">
        <is>
          <t>fonte</t>
        </is>
      </c>
      <c r="K53" s="257" t="n">
        <v>0</v>
      </c>
      <c r="L53" s="257" t="n">
        <v>0</v>
      </c>
      <c r="M53" s="257" t="n">
        <v>0</v>
      </c>
      <c r="N53" s="257" t="n">
        <v>0</v>
      </c>
      <c r="O53" s="257" t="n">
        <v>0</v>
      </c>
      <c r="P53" s="257" t="n">
        <v>0</v>
      </c>
      <c r="Q53" s="257" t="n">
        <v>0</v>
      </c>
      <c r="R53" s="257" t="n">
        <v>0</v>
      </c>
      <c r="S53" s="257" t="n">
        <v>0</v>
      </c>
      <c r="T53" s="257" t="n">
        <v>0</v>
      </c>
      <c r="U53" s="257" t="n">
        <v>0</v>
      </c>
      <c r="V53" s="257" t="n">
        <v>0</v>
      </c>
      <c r="W53" s="257" t="n">
        <v>0</v>
      </c>
      <c r="X53" s="257" t="n">
        <v>0</v>
      </c>
      <c r="Y53" s="257" t="n">
        <v>0</v>
      </c>
      <c r="Z53" s="257" t="n">
        <v>0</v>
      </c>
      <c r="AA53" s="257" t="n">
        <v>0</v>
      </c>
      <c r="AB53" s="257" t="n">
        <v>0</v>
      </c>
      <c r="AC53" s="257" t="n">
        <v>0</v>
      </c>
      <c r="AD53" s="257" t="n">
        <v>0</v>
      </c>
      <c r="AE53" s="257" t="n">
        <v>0</v>
      </c>
      <c r="AF53" s="257" t="n">
        <v>-271000</v>
      </c>
      <c r="AG53" s="257" t="n">
        <v>-1284000</v>
      </c>
      <c r="AH53" s="257" t="n">
        <v>0</v>
      </c>
      <c r="AI53" s="257" t="n">
        <v>5000000</v>
      </c>
      <c r="AJ53" s="257" t="n">
        <v>-18000000</v>
      </c>
    </row>
    <row r="54" ht="15" customHeight="1" s="255">
      <c r="A54" s="254" t="n">
        <v>41</v>
      </c>
      <c r="B54" s="254" t="n">
        <v>1</v>
      </c>
      <c r="G54" s="254" t="inlineStr">
        <is>
          <t>moeda</t>
        </is>
      </c>
      <c r="H54" s="254" t="inlineStr">
        <is>
          <t>RetainedEarningsAccumulatedDeficit</t>
        </is>
      </c>
      <c r="J54" s="254" t="inlineStr">
        <is>
          <t>fonte</t>
        </is>
      </c>
      <c r="K54" s="257" t="n">
        <v>0</v>
      </c>
      <c r="L54" s="257" t="n">
        <v>0</v>
      </c>
      <c r="M54" s="257" t="n">
        <v>0</v>
      </c>
      <c r="N54" s="257" t="n">
        <v>0</v>
      </c>
      <c r="O54" s="257" t="n">
        <v>0</v>
      </c>
      <c r="P54" s="257" t="n">
        <v>0</v>
      </c>
      <c r="Q54" s="257" t="n">
        <v>0</v>
      </c>
      <c r="R54" s="257" t="n">
        <v>0</v>
      </c>
      <c r="S54" s="257" t="n">
        <v>0</v>
      </c>
      <c r="T54" s="257" t="n">
        <v>0</v>
      </c>
      <c r="U54" s="257" t="n">
        <v>0</v>
      </c>
      <c r="V54" s="257" t="n">
        <v>0</v>
      </c>
      <c r="W54" s="257" t="n">
        <v>0</v>
      </c>
      <c r="X54" s="257" t="n">
        <v>0</v>
      </c>
      <c r="Y54" s="257" t="n">
        <v>0</v>
      </c>
      <c r="Z54" s="257" t="n">
        <v>0</v>
      </c>
      <c r="AA54" s="257" t="n">
        <v>0</v>
      </c>
      <c r="AB54" s="257" t="n">
        <v>0</v>
      </c>
      <c r="AC54" s="257" t="n">
        <v>0</v>
      </c>
      <c r="AD54" s="257" t="n">
        <v>-1476235000</v>
      </c>
      <c r="AE54" s="257" t="n">
        <v>-1790876000</v>
      </c>
      <c r="AF54" s="257" t="n">
        <v>-2081385000</v>
      </c>
      <c r="AG54" s="257" t="n">
        <v>-2191509000</v>
      </c>
      <c r="AH54" s="257" t="n">
        <v>-2643000000</v>
      </c>
      <c r="AI54" s="257" t="n">
        <v>-3383000000</v>
      </c>
      <c r="AJ54" s="257" t="n">
        <v>-4009000000</v>
      </c>
    </row>
    <row r="55" ht="15" customHeight="1" s="255">
      <c r="A55" s="254" t="n">
        <v>9</v>
      </c>
      <c r="B55" s="254" t="n">
        <v>1</v>
      </c>
      <c r="G55" s="254" t="inlineStr">
        <is>
          <t>moeda</t>
        </is>
      </c>
      <c r="H55" s="254" t="inlineStr">
        <is>
          <t>[vazio] Minoritários (DRE): não aparece como linha própria nas demonstrações (zero)</t>
        </is>
      </c>
      <c r="J55" s="254" t="inlineStr">
        <is>
          <t>derivada</t>
        </is>
      </c>
      <c r="K55" s="257" t="n">
        <v>0</v>
      </c>
      <c r="L55" s="257" t="n">
        <v>0</v>
      </c>
      <c r="M55" s="257" t="n">
        <v>0</v>
      </c>
      <c r="N55" s="257" t="n">
        <v>0</v>
      </c>
      <c r="O55" s="257" t="n">
        <v>0</v>
      </c>
      <c r="P55" s="257" t="n">
        <v>0</v>
      </c>
      <c r="Q55" s="257" t="n">
        <v>0</v>
      </c>
      <c r="R55" s="257" t="n">
        <v>0</v>
      </c>
      <c r="S55" s="257" t="n">
        <v>0</v>
      </c>
      <c r="T55" s="257" t="n">
        <v>0</v>
      </c>
      <c r="U55" s="257" t="n">
        <v>0</v>
      </c>
      <c r="V55" s="257" t="n">
        <v>0</v>
      </c>
      <c r="W55" s="257" t="n">
        <v>0</v>
      </c>
      <c r="X55" s="257" t="n">
        <v>0</v>
      </c>
      <c r="Y55" s="257" t="n">
        <v>0</v>
      </c>
      <c r="Z55" s="257" t="n">
        <v>0</v>
      </c>
      <c r="AA55" s="257" t="n">
        <v>0</v>
      </c>
      <c r="AB55" s="257" t="n">
        <v>0</v>
      </c>
      <c r="AC55" s="257" t="n">
        <v>0</v>
      </c>
      <c r="AD55" s="257" t="n">
        <v>0</v>
      </c>
      <c r="AE55" s="257" t="n">
        <v>0</v>
      </c>
      <c r="AF55" s="257" t="n">
        <v>0</v>
      </c>
      <c r="AG55" s="257" t="n">
        <v>0</v>
      </c>
      <c r="AH55" s="257" t="n">
        <v>0</v>
      </c>
      <c r="AI55" s="257" t="n">
        <v>0</v>
      </c>
      <c r="AJ55" s="257" t="n">
        <v>0</v>
      </c>
    </row>
    <row r="56" ht="15" customHeight="1" s="255">
      <c r="A56" s="254" t="n">
        <v>13</v>
      </c>
      <c r="B56" s="254" t="n">
        <v>1</v>
      </c>
      <c r="G56" s="254" t="inlineStr">
        <is>
          <t>moeda</t>
        </is>
      </c>
      <c r="H56" s="254" t="inlineStr">
        <is>
          <t>[vazio] Estoques: não aparece como linha própria nas demonstrações (zero)</t>
        </is>
      </c>
      <c r="J56" s="254" t="inlineStr">
        <is>
          <t>derivada</t>
        </is>
      </c>
      <c r="K56" s="257" t="n">
        <v>0</v>
      </c>
      <c r="L56" s="257" t="n">
        <v>0</v>
      </c>
      <c r="M56" s="257" t="n">
        <v>0</v>
      </c>
      <c r="N56" s="257" t="n">
        <v>0</v>
      </c>
      <c r="O56" s="257" t="n">
        <v>0</v>
      </c>
      <c r="P56" s="257" t="n">
        <v>0</v>
      </c>
      <c r="Q56" s="257" t="n">
        <v>0</v>
      </c>
      <c r="R56" s="257" t="n">
        <v>0</v>
      </c>
      <c r="S56" s="257" t="n">
        <v>0</v>
      </c>
      <c r="T56" s="257" t="n">
        <v>0</v>
      </c>
      <c r="U56" s="257" t="n">
        <v>0</v>
      </c>
      <c r="V56" s="257" t="n">
        <v>0</v>
      </c>
      <c r="W56" s="257" t="n">
        <v>0</v>
      </c>
      <c r="X56" s="257" t="n">
        <v>0</v>
      </c>
      <c r="Y56" s="257" t="n">
        <v>0</v>
      </c>
      <c r="Z56" s="257" t="n">
        <v>0</v>
      </c>
      <c r="AA56" s="257" t="n">
        <v>0</v>
      </c>
      <c r="AB56" s="257" t="n">
        <v>0</v>
      </c>
      <c r="AC56" s="257" t="n">
        <v>0</v>
      </c>
      <c r="AD56" s="257" t="n">
        <v>0</v>
      </c>
      <c r="AE56" s="257" t="n">
        <v>0</v>
      </c>
      <c r="AF56" s="257" t="n">
        <v>0</v>
      </c>
      <c r="AG56" s="257" t="n">
        <v>0</v>
      </c>
      <c r="AH56" s="257" t="n">
        <v>0</v>
      </c>
      <c r="AI56" s="257" t="n">
        <v>0</v>
      </c>
      <c r="AJ56" s="257" t="n">
        <v>0</v>
      </c>
    </row>
    <row r="57" ht="15" customHeight="1" s="255">
      <c r="A57" s="254" t="n">
        <v>14</v>
      </c>
      <c r="B57" s="254" t="n">
        <v>1</v>
      </c>
      <c r="G57" s="254" t="inlineStr">
        <is>
          <t>moeda</t>
        </is>
      </c>
      <c r="H57" s="254" t="inlineStr">
        <is>
          <t>[vazio] IR diferido ativo: não aparece como linha própria nas demonstrações (zero)</t>
        </is>
      </c>
      <c r="J57" s="254" t="inlineStr">
        <is>
          <t>derivada</t>
        </is>
      </c>
      <c r="K57" s="257" t="n">
        <v>0</v>
      </c>
      <c r="L57" s="257" t="n">
        <v>0</v>
      </c>
      <c r="M57" s="257" t="n">
        <v>0</v>
      </c>
      <c r="N57" s="257" t="n">
        <v>0</v>
      </c>
      <c r="O57" s="257" t="n">
        <v>0</v>
      </c>
      <c r="P57" s="257" t="n">
        <v>0</v>
      </c>
      <c r="Q57" s="257" t="n">
        <v>0</v>
      </c>
      <c r="R57" s="257" t="n">
        <v>0</v>
      </c>
      <c r="S57" s="257" t="n">
        <v>0</v>
      </c>
      <c r="T57" s="257" t="n">
        <v>0</v>
      </c>
      <c r="U57" s="257" t="n">
        <v>0</v>
      </c>
      <c r="V57" s="257" t="n">
        <v>0</v>
      </c>
      <c r="W57" s="257" t="n">
        <v>0</v>
      </c>
      <c r="X57" s="257" t="n">
        <v>0</v>
      </c>
      <c r="Y57" s="257" t="n">
        <v>0</v>
      </c>
      <c r="Z57" s="257" t="n">
        <v>0</v>
      </c>
      <c r="AA57" s="257" t="n">
        <v>0</v>
      </c>
      <c r="AB57" s="257" t="n">
        <v>0</v>
      </c>
      <c r="AC57" s="257" t="n">
        <v>0</v>
      </c>
      <c r="AD57" s="257" t="n">
        <v>0</v>
      </c>
      <c r="AE57" s="257" t="n">
        <v>0</v>
      </c>
      <c r="AF57" s="257" t="n">
        <v>0</v>
      </c>
      <c r="AG57" s="257" t="n">
        <v>0</v>
      </c>
      <c r="AH57" s="257" t="n">
        <v>0</v>
      </c>
      <c r="AI57" s="257" t="n">
        <v>0</v>
      </c>
      <c r="AJ57" s="257" t="n">
        <v>0</v>
      </c>
    </row>
    <row r="58" ht="15" customHeight="1" s="255">
      <c r="A58" s="254" t="n">
        <v>15</v>
      </c>
      <c r="B58" s="254" t="n">
        <v>1</v>
      </c>
      <c r="G58" s="254" t="inlineStr">
        <is>
          <t>moeda</t>
        </is>
      </c>
      <c r="H58" s="254" t="inlineStr">
        <is>
          <t>[vazio] Despesas antecipadas: não aparece como linha própria nas demonstrações (zero)</t>
        </is>
      </c>
      <c r="J58" s="254" t="inlineStr">
        <is>
          <t>derivada</t>
        </is>
      </c>
      <c r="K58" s="257" t="n">
        <v>0</v>
      </c>
      <c r="L58" s="257" t="n">
        <v>0</v>
      </c>
      <c r="M58" s="257" t="n">
        <v>0</v>
      </c>
      <c r="N58" s="257" t="n">
        <v>0</v>
      </c>
      <c r="O58" s="257" t="n">
        <v>0</v>
      </c>
      <c r="P58" s="257" t="n">
        <v>0</v>
      </c>
      <c r="Q58" s="257" t="n">
        <v>0</v>
      </c>
      <c r="R58" s="257" t="n">
        <v>0</v>
      </c>
      <c r="S58" s="257" t="n">
        <v>0</v>
      </c>
      <c r="T58" s="257" t="n">
        <v>0</v>
      </c>
      <c r="U58" s="257" t="n">
        <v>0</v>
      </c>
      <c r="V58" s="257" t="n">
        <v>0</v>
      </c>
      <c r="W58" s="257" t="n">
        <v>0</v>
      </c>
      <c r="X58" s="257" t="n">
        <v>0</v>
      </c>
      <c r="Y58" s="257" t="n">
        <v>0</v>
      </c>
      <c r="Z58" s="257" t="n">
        <v>0</v>
      </c>
      <c r="AA58" s="257" t="n">
        <v>0</v>
      </c>
      <c r="AB58" s="257" t="n">
        <v>0</v>
      </c>
      <c r="AC58" s="257" t="n">
        <v>0</v>
      </c>
      <c r="AD58" s="257" t="n">
        <v>0</v>
      </c>
      <c r="AE58" s="257" t="n">
        <v>0</v>
      </c>
      <c r="AF58" s="257" t="n">
        <v>0</v>
      </c>
      <c r="AG58" s="257" t="n">
        <v>0</v>
      </c>
      <c r="AH58" s="257" t="n">
        <v>0</v>
      </c>
      <c r="AI58" s="257" t="n">
        <v>0</v>
      </c>
      <c r="AJ58" s="257" t="n">
        <v>0</v>
      </c>
    </row>
    <row r="59" ht="15" customHeight="1" s="255">
      <c r="A59" s="254" t="n">
        <v>17</v>
      </c>
      <c r="B59" s="254" t="n">
        <v>1</v>
      </c>
      <c r="G59" s="254" t="inlineStr">
        <is>
          <t>moeda</t>
        </is>
      </c>
      <c r="H59" s="254" t="inlineStr">
        <is>
          <t>[vazio] Investimentos em coligadas: não aparece como linha própria nas demonstrações (zero)</t>
        </is>
      </c>
      <c r="J59" s="254" t="inlineStr">
        <is>
          <t>derivada</t>
        </is>
      </c>
      <c r="K59" s="257" t="n">
        <v>0</v>
      </c>
      <c r="L59" s="257" t="n">
        <v>0</v>
      </c>
      <c r="M59" s="257" t="n">
        <v>0</v>
      </c>
      <c r="N59" s="257" t="n">
        <v>0</v>
      </c>
      <c r="O59" s="257" t="n">
        <v>0</v>
      </c>
      <c r="P59" s="257" t="n">
        <v>0</v>
      </c>
      <c r="Q59" s="257" t="n">
        <v>0</v>
      </c>
      <c r="R59" s="257" t="n">
        <v>0</v>
      </c>
      <c r="S59" s="257" t="n">
        <v>0</v>
      </c>
      <c r="T59" s="257" t="n">
        <v>0</v>
      </c>
      <c r="U59" s="257" t="n">
        <v>0</v>
      </c>
      <c r="V59" s="257" t="n">
        <v>0</v>
      </c>
      <c r="W59" s="257" t="n">
        <v>0</v>
      </c>
      <c r="X59" s="257" t="n">
        <v>0</v>
      </c>
      <c r="Y59" s="257" t="n">
        <v>0</v>
      </c>
      <c r="Z59" s="257" t="n">
        <v>0</v>
      </c>
      <c r="AA59" s="257" t="n">
        <v>0</v>
      </c>
      <c r="AB59" s="257" t="n">
        <v>0</v>
      </c>
      <c r="AC59" s="257" t="n">
        <v>0</v>
      </c>
      <c r="AD59" s="257" t="n">
        <v>0</v>
      </c>
      <c r="AE59" s="257" t="n">
        <v>0</v>
      </c>
      <c r="AF59" s="257" t="n">
        <v>0</v>
      </c>
      <c r="AG59" s="257" t="n">
        <v>0</v>
      </c>
      <c r="AH59" s="257" t="n">
        <v>0</v>
      </c>
      <c r="AI59" s="257" t="n">
        <v>0</v>
      </c>
      <c r="AJ59" s="257" t="n">
        <v>0</v>
      </c>
    </row>
    <row r="60" ht="15" customHeight="1" s="255">
      <c r="A60" s="254" t="n">
        <v>25</v>
      </c>
      <c r="B60" s="254" t="n">
        <v>1</v>
      </c>
      <c r="G60" s="254" t="inlineStr">
        <is>
          <t>moeda</t>
        </is>
      </c>
      <c r="H60" s="254" t="inlineStr">
        <is>
          <t>[vazio] Impostos a pagar: não aparece como linha própria nas demonstrações (zero)</t>
        </is>
      </c>
      <c r="J60" s="254" t="inlineStr">
        <is>
          <t>derivada</t>
        </is>
      </c>
      <c r="K60" s="257" t="n">
        <v>0</v>
      </c>
      <c r="L60" s="257" t="n">
        <v>0</v>
      </c>
      <c r="M60" s="257" t="n">
        <v>0</v>
      </c>
      <c r="N60" s="257" t="n">
        <v>0</v>
      </c>
      <c r="O60" s="257" t="n">
        <v>0</v>
      </c>
      <c r="P60" s="257" t="n">
        <v>0</v>
      </c>
      <c r="Q60" s="257" t="n">
        <v>0</v>
      </c>
      <c r="R60" s="257" t="n">
        <v>0</v>
      </c>
      <c r="S60" s="257" t="n">
        <v>0</v>
      </c>
      <c r="T60" s="257" t="n">
        <v>0</v>
      </c>
      <c r="U60" s="257" t="n">
        <v>0</v>
      </c>
      <c r="V60" s="257" t="n">
        <v>0</v>
      </c>
      <c r="W60" s="257" t="n">
        <v>0</v>
      </c>
      <c r="X60" s="257" t="n">
        <v>0</v>
      </c>
      <c r="Y60" s="257" t="n">
        <v>0</v>
      </c>
      <c r="Z60" s="257" t="n">
        <v>0</v>
      </c>
      <c r="AA60" s="257" t="n">
        <v>0</v>
      </c>
      <c r="AB60" s="257" t="n">
        <v>0</v>
      </c>
      <c r="AC60" s="257" t="n">
        <v>0</v>
      </c>
      <c r="AD60" s="257" t="n">
        <v>0</v>
      </c>
      <c r="AE60" s="257" t="n">
        <v>0</v>
      </c>
      <c r="AF60" s="257" t="n">
        <v>0</v>
      </c>
      <c r="AG60" s="257" t="n">
        <v>0</v>
      </c>
      <c r="AH60" s="257" t="n">
        <v>0</v>
      </c>
      <c r="AI60" s="257" t="n">
        <v>0</v>
      </c>
      <c r="AJ60" s="257" t="n">
        <v>0</v>
      </c>
    </row>
    <row r="61" ht="15" customHeight="1" s="255">
      <c r="A61" s="254" t="n">
        <v>28</v>
      </c>
      <c r="B61" s="254" t="n">
        <v>1</v>
      </c>
      <c r="G61" s="254" t="inlineStr">
        <is>
          <t>moeda</t>
        </is>
      </c>
      <c r="H61" s="254" t="inlineStr">
        <is>
          <t>[vazio] Revolving: não aparece como linha própria nas demonstrações (zero)</t>
        </is>
      </c>
      <c r="J61" s="254" t="inlineStr">
        <is>
          <t>derivada</t>
        </is>
      </c>
      <c r="K61" s="257" t="n">
        <v>0</v>
      </c>
      <c r="L61" s="257" t="n">
        <v>0</v>
      </c>
      <c r="M61" s="257" t="n">
        <v>0</v>
      </c>
      <c r="N61" s="257" t="n">
        <v>0</v>
      </c>
      <c r="O61" s="257" t="n">
        <v>0</v>
      </c>
      <c r="P61" s="257" t="n">
        <v>0</v>
      </c>
      <c r="Q61" s="257" t="n">
        <v>0</v>
      </c>
      <c r="R61" s="257" t="n">
        <v>0</v>
      </c>
      <c r="S61" s="257" t="n">
        <v>0</v>
      </c>
      <c r="T61" s="257" t="n">
        <v>0</v>
      </c>
      <c r="U61" s="257" t="n">
        <v>0</v>
      </c>
      <c r="V61" s="257" t="n">
        <v>0</v>
      </c>
      <c r="W61" s="257" t="n">
        <v>0</v>
      </c>
      <c r="X61" s="257" t="n">
        <v>0</v>
      </c>
      <c r="Y61" s="257" t="n">
        <v>0</v>
      </c>
      <c r="Z61" s="257" t="n">
        <v>0</v>
      </c>
      <c r="AA61" s="257" t="n">
        <v>0</v>
      </c>
      <c r="AB61" s="257" t="n">
        <v>0</v>
      </c>
      <c r="AC61" s="257" t="n">
        <v>0</v>
      </c>
      <c r="AD61" s="257" t="n">
        <v>0</v>
      </c>
      <c r="AE61" s="257" t="n">
        <v>0</v>
      </c>
      <c r="AF61" s="257" t="n">
        <v>0</v>
      </c>
      <c r="AG61" s="257" t="n">
        <v>0</v>
      </c>
      <c r="AH61" s="257" t="n">
        <v>0</v>
      </c>
      <c r="AI61" s="257" t="n">
        <v>0</v>
      </c>
      <c r="AJ61" s="257" t="n">
        <v>0</v>
      </c>
    </row>
    <row r="62" ht="15" customHeight="1" s="255">
      <c r="A62" s="254" t="n">
        <v>32</v>
      </c>
      <c r="B62" s="254" t="n">
        <v>1</v>
      </c>
      <c r="G62" s="254" t="inlineStr">
        <is>
          <t>moeda</t>
        </is>
      </c>
      <c r="H62" s="254" t="inlineStr">
        <is>
          <t>[vazio] Dívida conversível: não aparece como linha própria nas demonstrações (zero)</t>
        </is>
      </c>
      <c r="J62" s="254" t="inlineStr">
        <is>
          <t>derivada</t>
        </is>
      </c>
      <c r="K62" s="257" t="n">
        <v>0</v>
      </c>
      <c r="L62" s="257" t="n">
        <v>0</v>
      </c>
      <c r="M62" s="257" t="n">
        <v>0</v>
      </c>
      <c r="N62" s="257" t="n">
        <v>0</v>
      </c>
      <c r="O62" s="257" t="n">
        <v>0</v>
      </c>
      <c r="P62" s="257" t="n">
        <v>0</v>
      </c>
      <c r="Q62" s="257" t="n">
        <v>0</v>
      </c>
      <c r="R62" s="257" t="n">
        <v>0</v>
      </c>
      <c r="S62" s="257" t="n">
        <v>0</v>
      </c>
      <c r="T62" s="257" t="n">
        <v>0</v>
      </c>
      <c r="U62" s="257" t="n">
        <v>0</v>
      </c>
      <c r="V62" s="257" t="n">
        <v>0</v>
      </c>
      <c r="W62" s="257" t="n">
        <v>0</v>
      </c>
      <c r="X62" s="257" t="n">
        <v>0</v>
      </c>
      <c r="Y62" s="257" t="n">
        <v>0</v>
      </c>
      <c r="Z62" s="257" t="n">
        <v>0</v>
      </c>
      <c r="AA62" s="257" t="n">
        <v>0</v>
      </c>
      <c r="AB62" s="257" t="n">
        <v>0</v>
      </c>
      <c r="AC62" s="257" t="n">
        <v>0</v>
      </c>
      <c r="AD62" s="257" t="n">
        <v>0</v>
      </c>
      <c r="AE62" s="257" t="n">
        <v>0</v>
      </c>
      <c r="AF62" s="257" t="n">
        <v>0</v>
      </c>
      <c r="AG62" s="257" t="n">
        <v>0</v>
      </c>
      <c r="AH62" s="257" t="n">
        <v>0</v>
      </c>
      <c r="AI62" s="257" t="n">
        <v>0</v>
      </c>
      <c r="AJ62" s="257" t="n">
        <v>0</v>
      </c>
    </row>
    <row r="63" ht="15" customHeight="1" s="255">
      <c r="A63" s="254" t="n">
        <v>35</v>
      </c>
      <c r="B63" s="254" t="n">
        <v>1</v>
      </c>
      <c r="G63" s="254" t="inlineStr">
        <is>
          <t>moeda</t>
        </is>
      </c>
      <c r="H63" s="254" t="inlineStr">
        <is>
          <t>[vazio] Participação de minoritários (balanço): não aparece como linha própria nas demonstrações (zero)</t>
        </is>
      </c>
      <c r="J63" s="254" t="inlineStr">
        <is>
          <t>derivada</t>
        </is>
      </c>
      <c r="K63" s="257" t="n">
        <v>0</v>
      </c>
      <c r="L63" s="257" t="n">
        <v>0</v>
      </c>
      <c r="M63" s="257" t="n">
        <v>0</v>
      </c>
      <c r="N63" s="257" t="n">
        <v>0</v>
      </c>
      <c r="O63" s="257" t="n">
        <v>0</v>
      </c>
      <c r="P63" s="257" t="n">
        <v>0</v>
      </c>
      <c r="Q63" s="257" t="n">
        <v>0</v>
      </c>
      <c r="R63" s="257" t="n">
        <v>0</v>
      </c>
      <c r="S63" s="257" t="n">
        <v>0</v>
      </c>
      <c r="T63" s="257" t="n">
        <v>0</v>
      </c>
      <c r="U63" s="257" t="n">
        <v>0</v>
      </c>
      <c r="V63" s="257" t="n">
        <v>0</v>
      </c>
      <c r="W63" s="257" t="n">
        <v>0</v>
      </c>
      <c r="X63" s="257" t="n">
        <v>0</v>
      </c>
      <c r="Y63" s="257" t="n">
        <v>0</v>
      </c>
      <c r="Z63" s="257" t="n">
        <v>0</v>
      </c>
      <c r="AA63" s="257" t="n">
        <v>0</v>
      </c>
      <c r="AB63" s="257" t="n">
        <v>0</v>
      </c>
      <c r="AC63" s="257" t="n">
        <v>0</v>
      </c>
      <c r="AD63" s="257" t="n">
        <v>0</v>
      </c>
      <c r="AE63" s="257" t="n">
        <v>0</v>
      </c>
      <c r="AF63" s="257" t="n">
        <v>0</v>
      </c>
      <c r="AG63" s="257" t="n">
        <v>0</v>
      </c>
      <c r="AH63" s="257" t="n">
        <v>0</v>
      </c>
      <c r="AI63" s="257" t="n">
        <v>0</v>
      </c>
      <c r="AJ63" s="257" t="n">
        <v>0</v>
      </c>
    </row>
    <row r="64" ht="15" customHeight="1" s="255">
      <c r="A64" s="254" t="n">
        <v>40</v>
      </c>
      <c r="B64" s="254" t="n">
        <v>1</v>
      </c>
      <c r="G64" s="254" t="inlineStr">
        <is>
          <t>moeda</t>
        </is>
      </c>
      <c r="H64" s="254" t="inlineStr">
        <is>
          <t>[vazio] Outras contas do PL: não aparece como linha própria nas demonstrações (zero)</t>
        </is>
      </c>
      <c r="J64" s="254" t="inlineStr">
        <is>
          <t>derivada</t>
        </is>
      </c>
      <c r="K64" s="257" t="n">
        <v>0</v>
      </c>
      <c r="L64" s="257" t="n">
        <v>0</v>
      </c>
      <c r="M64" s="257" t="n">
        <v>0</v>
      </c>
      <c r="N64" s="257" t="n">
        <v>0</v>
      </c>
      <c r="O64" s="257" t="n">
        <v>0</v>
      </c>
      <c r="P64" s="257" t="n">
        <v>0</v>
      </c>
      <c r="Q64" s="257" t="n">
        <v>0</v>
      </c>
      <c r="R64" s="257" t="n">
        <v>0</v>
      </c>
      <c r="S64" s="257" t="n">
        <v>0</v>
      </c>
      <c r="T64" s="257" t="n">
        <v>0</v>
      </c>
      <c r="U64" s="257" t="n">
        <v>0</v>
      </c>
      <c r="V64" s="257" t="n">
        <v>0</v>
      </c>
      <c r="W64" s="257" t="n">
        <v>0</v>
      </c>
      <c r="X64" s="257" t="n">
        <v>0</v>
      </c>
      <c r="Y64" s="257" t="n">
        <v>0</v>
      </c>
      <c r="Z64" s="257" t="n">
        <v>0</v>
      </c>
      <c r="AA64" s="257" t="n">
        <v>0</v>
      </c>
      <c r="AB64" s="257" t="n">
        <v>0</v>
      </c>
      <c r="AC64" s="257" t="n">
        <v>0</v>
      </c>
      <c r="AD64" s="257" t="n">
        <v>0</v>
      </c>
      <c r="AE64" s="257" t="n">
        <v>0</v>
      </c>
      <c r="AF64" s="257" t="n">
        <v>0</v>
      </c>
      <c r="AG64" s="257" t="n">
        <v>0</v>
      </c>
      <c r="AH64" s="257" t="n">
        <v>0</v>
      </c>
      <c r="AI64" s="257" t="n">
        <v>0</v>
      </c>
      <c r="AJ64" s="257" t="n">
        <v>0</v>
      </c>
    </row>
    <row r="65" ht="15" customHeight="1" s="255">
      <c r="A65" s="254" t="n">
        <v>40</v>
      </c>
      <c r="B65" s="254" t="n">
        <v>1</v>
      </c>
      <c r="G65" s="254" t="inlineStr">
        <is>
          <t>moeda</t>
        </is>
      </c>
      <c r="H65" s="254" t="inlineStr">
        <is>
          <t>Linhas de face do patrimônio líquido sem tag própria (subtotal divulgado - soma das linhas)</t>
        </is>
      </c>
      <c r="J65" s="254" t="inlineStr">
        <is>
          <t>derivada</t>
        </is>
      </c>
      <c r="K65" s="257" t="n">
        <v>0</v>
      </c>
      <c r="L65" s="257" t="n">
        <v>0</v>
      </c>
      <c r="M65" s="257" t="n">
        <v>0</v>
      </c>
      <c r="N65" s="257" t="n">
        <v>0</v>
      </c>
      <c r="O65" s="257" t="n">
        <v>0</v>
      </c>
      <c r="P65" s="257" t="n">
        <v>0</v>
      </c>
      <c r="Q65" s="257" t="n">
        <v>0</v>
      </c>
      <c r="R65" s="257" t="n">
        <v>0</v>
      </c>
      <c r="S65" s="257" t="n">
        <v>0</v>
      </c>
      <c r="T65" s="257" t="n">
        <v>0</v>
      </c>
      <c r="U65" s="257" t="n">
        <v>0</v>
      </c>
      <c r="V65" s="257" t="n">
        <v>0</v>
      </c>
      <c r="W65" s="257" t="n">
        <v>0</v>
      </c>
      <c r="X65" s="257" t="n">
        <v>0</v>
      </c>
      <c r="Y65" s="257" t="n">
        <v>0</v>
      </c>
      <c r="Z65" s="257" t="n">
        <v>0</v>
      </c>
      <c r="AA65" s="257" t="n">
        <v>0</v>
      </c>
      <c r="AB65" s="257" t="n">
        <v>0</v>
      </c>
      <c r="AC65" s="257" t="n">
        <v>0</v>
      </c>
      <c r="AD65" s="257" t="n">
        <v>1722112000</v>
      </c>
      <c r="AE65" s="257" t="n">
        <v>1163161000</v>
      </c>
      <c r="AF65" s="257" t="n">
        <v>1163161000</v>
      </c>
      <c r="AG65" s="257" t="n">
        <v>2000</v>
      </c>
      <c r="AH65" s="257" t="n">
        <v>0</v>
      </c>
      <c r="AI65" s="257" t="n">
        <v>0</v>
      </c>
      <c r="AJ65" s="257" t="n">
        <v>0</v>
      </c>
    </row>
    <row r="66" ht="15" customHeight="1" s="255">
      <c r="H66" s="256" t="inlineStr">
        <is>
          <t>BALANÇO - totais divulgados (memória)</t>
        </is>
      </c>
    </row>
    <row r="67" ht="15" customHeight="1" s="255">
      <c r="G67" s="254" t="inlineStr">
        <is>
          <t>moeda</t>
        </is>
      </c>
      <c r="H67" s="254" t="inlineStr">
        <is>
          <t>Total do ativo [us-gaap:Assets]</t>
        </is>
      </c>
      <c r="J67" s="254" t="inlineStr">
        <is>
          <t>memoria</t>
        </is>
      </c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  <c r="AA67" s="257" t="n"/>
      <c r="AB67" s="257" t="n"/>
      <c r="AC67" s="257" t="n"/>
      <c r="AD67" s="257" t="n">
        <v>17832599000</v>
      </c>
      <c r="AE67" s="257" t="n">
        <v>21860383000</v>
      </c>
      <c r="AF67" s="257" t="n">
        <v>26241363000</v>
      </c>
      <c r="AG67" s="257" t="n">
        <v>32910498000</v>
      </c>
      <c r="AH67" s="257" t="n">
        <v>49302000000</v>
      </c>
      <c r="AI67" s="257" t="n">
        <v>55573000000</v>
      </c>
      <c r="AJ67" s="257" t="n">
        <v>77070000000</v>
      </c>
    </row>
    <row r="68" ht="15" customHeight="1" s="255">
      <c r="G68" s="254" t="inlineStr">
        <is>
          <t>moeda</t>
        </is>
      </c>
      <c r="H68" s="254" t="inlineStr">
        <is>
          <t>Total do passivo + PL [us-gaap:LiabilitiesAndStockholdersEquity]</t>
        </is>
      </c>
      <c r="J68" s="254" t="inlineStr">
        <is>
          <t>memoria</t>
        </is>
      </c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  <c r="AA68" s="257" t="n"/>
      <c r="AB68" s="257" t="n"/>
      <c r="AC68" s="257" t="n"/>
      <c r="AD68" s="257" t="n">
        <v>17832599000</v>
      </c>
      <c r="AE68" s="257" t="n">
        <v>21860383000</v>
      </c>
      <c r="AF68" s="257" t="n">
        <v>26241363000</v>
      </c>
      <c r="AG68" s="257" t="n">
        <v>32910498000</v>
      </c>
      <c r="AH68" s="257" t="n">
        <v>49302000000</v>
      </c>
      <c r="AI68" s="257" t="n">
        <v>55573000000</v>
      </c>
      <c r="AJ68" s="257" t="n">
        <v>77070000000</v>
      </c>
    </row>
    <row r="69" ht="15" customHeight="1" s="255">
      <c r="H69" s="256" t="inlineStr">
        <is>
          <t>CHECKS (devem ser 0)</t>
        </is>
      </c>
    </row>
    <row r="70" ht="15" customHeight="1" s="255">
      <c r="G70" s="254" t="inlineStr">
        <is>
          <t>moeda</t>
        </is>
      </c>
      <c r="H70" s="254" t="inlineStr">
        <is>
          <t>CHECK: contas de ativo - ativo total (USD, arredondado a 100 mil)</t>
        </is>
      </c>
      <c r="J70" s="254" t="inlineStr">
        <is>
          <t>derivada</t>
        </is>
      </c>
      <c r="K70" s="258">
        <f>ROUND(N(K21)+N(K22)+N(K23)+N(K24)+N(K25)+N(K26)+N(K27)+N(K28)+N(K29)+N(K30)+N(K31)+N(K32)-N(K67),-5)</f>
        <v>0</v>
      </c>
      <c r="L70" s="258">
        <f>ROUND(N(L21)+N(L22)+N(L23)+N(L24)+N(L25)+N(L26)+N(L27)+N(L28)+N(L29)+N(L30)+N(L31)+N(L32)-N(L67),-5)</f>
        <v>0</v>
      </c>
      <c r="M70" s="258">
        <f>ROUND(N(M21)+N(M22)+N(M23)+N(M24)+N(M25)+N(M26)+N(M27)+N(M28)+N(M29)+N(M30)+N(M31)+N(M32)-N(M67),-5)</f>
        <v>0</v>
      </c>
      <c r="N70" s="258">
        <f>ROUND(N(N21)+N(N22)+N(N23)+N(N24)+N(N25)+N(N26)+N(N27)+N(N28)+N(N29)+N(N30)+N(N31)+N(N32)-N(N67),-5)</f>
        <v>0</v>
      </c>
      <c r="O70" s="258">
        <f>ROUND(N(O21)+N(O22)+N(O23)+N(O24)+N(O25)+N(O26)+N(O27)+N(O28)+N(O29)+N(O30)+N(O31)+N(O32)-N(O67),-5)</f>
        <v>0</v>
      </c>
      <c r="P70" s="258">
        <f>ROUND(N(P21)+N(P22)+N(P23)+N(P24)+N(P25)+N(P26)+N(P27)+N(P28)+N(P29)+N(P30)+N(P31)+N(P32)-N(P67),-5)</f>
        <v>0</v>
      </c>
      <c r="Q70" s="258">
        <f>ROUND(N(Q21)+N(Q22)+N(Q23)+N(Q24)+N(Q25)+N(Q26)+N(Q27)+N(Q28)+N(Q29)+N(Q30)+N(Q31)+N(Q32)-N(Q67),-5)</f>
        <v>0</v>
      </c>
      <c r="R70" s="258">
        <f>ROUND(N(R21)+N(R22)+N(R23)+N(R24)+N(R25)+N(R26)+N(R27)+N(R28)+N(R29)+N(R30)+N(R31)+N(R32)-N(R67),-5)</f>
        <v>0</v>
      </c>
      <c r="S70" s="258">
        <f>ROUND(N(S21)+N(S22)+N(S23)+N(S24)+N(S25)+N(S26)+N(S27)+N(S28)+N(S29)+N(S30)+N(S31)+N(S32)-N(S67),-5)</f>
        <v>0</v>
      </c>
      <c r="T70" s="258">
        <f>ROUND(N(T21)+N(T22)+N(T23)+N(T24)+N(T25)+N(T26)+N(T27)+N(T28)+N(T29)+N(T30)+N(T31)+N(T32)-N(T67),-5)</f>
        <v>0</v>
      </c>
      <c r="U70" s="258">
        <f>ROUND(N(U21)+N(U22)+N(U23)+N(U24)+N(U25)+N(U26)+N(U27)+N(U28)+N(U29)+N(U30)+N(U31)+N(U32)-N(U67),-5)</f>
        <v>0</v>
      </c>
      <c r="V70" s="258">
        <f>ROUND(N(V21)+N(V22)+N(V23)+N(V24)+N(V25)+N(V26)+N(V27)+N(V28)+N(V29)+N(V30)+N(V31)+N(V32)-N(V67),-5)</f>
        <v>0</v>
      </c>
      <c r="W70" s="258">
        <f>ROUND(N(W21)+N(W22)+N(W23)+N(W24)+N(W25)+N(W26)+N(W27)+N(W28)+N(W29)+N(W30)+N(W31)+N(W32)-N(W67),-5)</f>
        <v>0</v>
      </c>
      <c r="X70" s="258">
        <f>ROUND(N(X21)+N(X22)+N(X23)+N(X24)+N(X25)+N(X26)+N(X27)+N(X28)+N(X29)+N(X30)+N(X31)+N(X32)-N(X67),-5)</f>
        <v>0</v>
      </c>
      <c r="Y70" s="258">
        <f>ROUND(N(Y21)+N(Y22)+N(Y23)+N(Y24)+N(Y25)+N(Y26)+N(Y27)+N(Y28)+N(Y29)+N(Y30)+N(Y31)+N(Y32)-N(Y67),-5)</f>
        <v>0</v>
      </c>
      <c r="Z70" s="258">
        <f>ROUND(N(Z21)+N(Z22)+N(Z23)+N(Z24)+N(Z25)+N(Z26)+N(Z27)+N(Z28)+N(Z29)+N(Z30)+N(Z31)+N(Z32)-N(Z67),-5)</f>
        <v>0</v>
      </c>
      <c r="AA70" s="258">
        <f>ROUND(N(AA21)+N(AA22)+N(AA23)+N(AA24)+N(AA25)+N(AA26)+N(AA27)+N(AA28)+N(AA29)+N(AA30)+N(AA31)+N(AA32)-N(AA67),-5)</f>
        <v>0</v>
      </c>
      <c r="AB70" s="258">
        <f>ROUND(N(AB21)+N(AB22)+N(AB23)+N(AB24)+N(AB25)+N(AB26)+N(AB27)+N(AB28)+N(AB29)+N(AB30)+N(AB31)+N(AB32)-N(AB67),-5)</f>
        <v>0</v>
      </c>
      <c r="AC70" s="258">
        <f>ROUND(N(AC21)+N(AC22)+N(AC23)+N(AC24)+N(AC25)+N(AC26)+N(AC27)+N(AC28)+N(AC29)+N(AC30)+N(AC31)+N(AC32)-N(AC67),-5)</f>
        <v>0</v>
      </c>
      <c r="AD70" s="258">
        <f>ROUND(N(AD21)+N(AD22)+N(AD23)+N(AD24)+N(AD25)+N(AD26)+N(AD27)+N(AD28)+N(AD29)+N(AD30)+N(AD31)+N(AD32)-N(AD67),-5)</f>
        <v>0</v>
      </c>
      <c r="AE70" s="258">
        <f>ROUND(N(AE21)+N(AE22)+N(AE23)+N(AE24)+N(AE25)+N(AE26)+N(AE27)+N(AE28)+N(AE29)+N(AE30)+N(AE31)+N(AE32)-N(AE67),-5)</f>
        <v>0</v>
      </c>
      <c r="AF70" s="258">
        <f>ROUND(N(AF21)+N(AF22)+N(AF23)+N(AF24)+N(AF25)+N(AF26)+N(AF27)+N(AF28)+N(AF29)+N(AF30)+N(AF31)+N(AF32)-N(AF67),-5)</f>
        <v>0</v>
      </c>
      <c r="AG70" s="258">
        <f>ROUND(N(AG21)+N(AG22)+N(AG23)+N(AG24)+N(AG25)+N(AG26)+N(AG27)+N(AG28)+N(AG29)+N(AG30)+N(AG31)+N(AG32)-N(AG67),-5)</f>
        <v>0</v>
      </c>
      <c r="AH70" s="258">
        <f>ROUND(N(AH21)+N(AH22)+N(AH23)+N(AH24)+N(AH25)+N(AH26)+N(AH27)+N(AH28)+N(AH29)+N(AH30)+N(AH31)+N(AH32)-N(AH67),-5)</f>
        <v>0</v>
      </c>
      <c r="AI70" s="258">
        <f>ROUND(N(AI21)+N(AI22)+N(AI23)+N(AI24)+N(AI25)+N(AI26)+N(AI27)+N(AI28)+N(AI29)+N(AI30)+N(AI31)+N(AI32)-N(AI67),-5)</f>
        <v>0</v>
      </c>
      <c r="AJ70" s="258">
        <f>ROUND(N(AJ21)+N(AJ22)+N(AJ23)+N(AJ24)+N(AJ25)+N(AJ26)+N(AJ27)+N(AJ28)+N(AJ29)+N(AJ30)+N(AJ31)+N(AJ32)-N(AJ67),-5)</f>
        <v>0</v>
      </c>
    </row>
    <row r="71" ht="15" customHeight="1" s="255">
      <c r="G71" s="254" t="inlineStr">
        <is>
          <t>moeda</t>
        </is>
      </c>
      <c r="H71" s="254" t="inlineStr">
        <is>
          <t>CHECK: passivo + PL (contas) - passivo + PL total</t>
        </is>
      </c>
      <c r="J71" s="254" t="inlineStr">
        <is>
          <t>derivada</t>
        </is>
      </c>
      <c r="K71" s="258">
        <f>ROUND(N(K33)+N(K34)+N(K35)+N(K36)+N(K37)+N(K38)+N(K39)+N(K40)+N(K41)+N(K42)+N(K43)+N(K44)+N(K45)+N(K46)+N(K47)+N(K48)+N(K49)+N(K50)+N(K51)+N(K52)+N(K53)+N(K54)+N(K65)-N(K68),-5)</f>
        <v>0</v>
      </c>
      <c r="L71" s="258">
        <f>ROUND(N(L33)+N(L34)+N(L35)+N(L36)+N(L37)+N(L38)+N(L39)+N(L40)+N(L41)+N(L42)+N(L43)+N(L44)+N(L45)+N(L46)+N(L47)+N(L48)+N(L49)+N(L50)+N(L51)+N(L52)+N(L53)+N(L54)+N(L65)-N(L68),-5)</f>
        <v>0</v>
      </c>
      <c r="M71" s="258">
        <f>ROUND(N(M33)+N(M34)+N(M35)+N(M36)+N(M37)+N(M38)+N(M39)+N(M40)+N(M41)+N(M42)+N(M43)+N(M44)+N(M45)+N(M46)+N(M47)+N(M48)+N(M49)+N(M50)+N(M51)+N(M52)+N(M53)+N(M54)+N(M65)-N(M68),-5)</f>
        <v>0</v>
      </c>
      <c r="N71" s="258">
        <f>ROUND(N(N33)+N(N34)+N(N35)+N(N36)+N(N37)+N(N38)+N(N39)+N(N40)+N(N41)+N(N42)+N(N43)+N(N44)+N(N45)+N(N46)+N(N47)+N(N48)+N(N49)+N(N50)+N(N51)+N(N52)+N(N53)+N(N54)+N(N65)-N(N68),-5)</f>
        <v>0</v>
      </c>
      <c r="O71" s="258">
        <f>ROUND(N(O33)+N(O34)+N(O35)+N(O36)+N(O37)+N(O38)+N(O39)+N(O40)+N(O41)+N(O42)+N(O43)+N(O44)+N(O45)+N(O46)+N(O47)+N(O48)+N(O49)+N(O50)+N(O51)+N(O52)+N(O53)+N(O54)+N(O65)-N(O68),-5)</f>
        <v>0</v>
      </c>
      <c r="P71" s="258">
        <f>ROUND(N(P33)+N(P34)+N(P35)+N(P36)+N(P37)+N(P38)+N(P39)+N(P40)+N(P41)+N(P42)+N(P43)+N(P44)+N(P45)+N(P46)+N(P47)+N(P48)+N(P49)+N(P50)+N(P51)+N(P52)+N(P53)+N(P54)+N(P65)-N(P68),-5)</f>
        <v>0</v>
      </c>
      <c r="Q71" s="258">
        <f>ROUND(N(Q33)+N(Q34)+N(Q35)+N(Q36)+N(Q37)+N(Q38)+N(Q39)+N(Q40)+N(Q41)+N(Q42)+N(Q43)+N(Q44)+N(Q45)+N(Q46)+N(Q47)+N(Q48)+N(Q49)+N(Q50)+N(Q51)+N(Q52)+N(Q53)+N(Q54)+N(Q65)-N(Q68),-5)</f>
        <v>0</v>
      </c>
      <c r="R71" s="258">
        <f>ROUND(N(R33)+N(R34)+N(R35)+N(R36)+N(R37)+N(R38)+N(R39)+N(R40)+N(R41)+N(R42)+N(R43)+N(R44)+N(R45)+N(R46)+N(R47)+N(R48)+N(R49)+N(R50)+N(R51)+N(R52)+N(R53)+N(R54)+N(R65)-N(R68),-5)</f>
        <v>0</v>
      </c>
      <c r="S71" s="258">
        <f>ROUND(N(S33)+N(S34)+N(S35)+N(S36)+N(S37)+N(S38)+N(S39)+N(S40)+N(S41)+N(S42)+N(S43)+N(S44)+N(S45)+N(S46)+N(S47)+N(S48)+N(S49)+N(S50)+N(S51)+N(S52)+N(S53)+N(S54)+N(S65)-N(S68),-5)</f>
        <v>0</v>
      </c>
      <c r="T71" s="258">
        <f>ROUND(N(T33)+N(T34)+N(T35)+N(T36)+N(T37)+N(T38)+N(T39)+N(T40)+N(T41)+N(T42)+N(T43)+N(T44)+N(T45)+N(T46)+N(T47)+N(T48)+N(T49)+N(T50)+N(T51)+N(T52)+N(T53)+N(T54)+N(T65)-N(T68),-5)</f>
        <v>0</v>
      </c>
      <c r="U71" s="258">
        <f>ROUND(N(U33)+N(U34)+N(U35)+N(U36)+N(U37)+N(U38)+N(U39)+N(U40)+N(U41)+N(U42)+N(U43)+N(U44)+N(U45)+N(U46)+N(U47)+N(U48)+N(U49)+N(U50)+N(U51)+N(U52)+N(U53)+N(U54)+N(U65)-N(U68),-5)</f>
        <v>0</v>
      </c>
      <c r="V71" s="258">
        <f>ROUND(N(V33)+N(V34)+N(V35)+N(V36)+N(V37)+N(V38)+N(V39)+N(V40)+N(V41)+N(V42)+N(V43)+N(V44)+N(V45)+N(V46)+N(V47)+N(V48)+N(V49)+N(V50)+N(V51)+N(V52)+N(V53)+N(V54)+N(V65)-N(V68),-5)</f>
        <v>0</v>
      </c>
      <c r="W71" s="258">
        <f>ROUND(N(W33)+N(W34)+N(W35)+N(W36)+N(W37)+N(W38)+N(W39)+N(W40)+N(W41)+N(W42)+N(W43)+N(W44)+N(W45)+N(W46)+N(W47)+N(W48)+N(W49)+N(W50)+N(W51)+N(W52)+N(W53)+N(W54)+N(W65)-N(W68),-5)</f>
        <v>0</v>
      </c>
      <c r="X71" s="258">
        <f>ROUND(N(X33)+N(X34)+N(X35)+N(X36)+N(X37)+N(X38)+N(X39)+N(X40)+N(X41)+N(X42)+N(X43)+N(X44)+N(X45)+N(X46)+N(X47)+N(X48)+N(X49)+N(X50)+N(X51)+N(X52)+N(X53)+N(X54)+N(X65)-N(X68),-5)</f>
        <v>0</v>
      </c>
      <c r="Y71" s="258">
        <f>ROUND(N(Y33)+N(Y34)+N(Y35)+N(Y36)+N(Y37)+N(Y38)+N(Y39)+N(Y40)+N(Y41)+N(Y42)+N(Y43)+N(Y44)+N(Y45)+N(Y46)+N(Y47)+N(Y48)+N(Y49)+N(Y50)+N(Y51)+N(Y52)+N(Y53)+N(Y54)+N(Y65)-N(Y68),-5)</f>
        <v>0</v>
      </c>
      <c r="Z71" s="258">
        <f>ROUND(N(Z33)+N(Z34)+N(Z35)+N(Z36)+N(Z37)+N(Z38)+N(Z39)+N(Z40)+N(Z41)+N(Z42)+N(Z43)+N(Z44)+N(Z45)+N(Z46)+N(Z47)+N(Z48)+N(Z49)+N(Z50)+N(Z51)+N(Z52)+N(Z53)+N(Z54)+N(Z65)-N(Z68),-5)</f>
        <v>0</v>
      </c>
      <c r="AA71" s="258">
        <f>ROUND(N(AA33)+N(AA34)+N(AA35)+N(AA36)+N(AA37)+N(AA38)+N(AA39)+N(AA40)+N(AA41)+N(AA42)+N(AA43)+N(AA44)+N(AA45)+N(AA46)+N(AA47)+N(AA48)+N(AA49)+N(AA50)+N(AA51)+N(AA52)+N(AA53)+N(AA54)+N(AA65)-N(AA68),-5)</f>
        <v>0</v>
      </c>
      <c r="AB71" s="258">
        <f>ROUND(N(AB33)+N(AB34)+N(AB35)+N(AB36)+N(AB37)+N(AB38)+N(AB39)+N(AB40)+N(AB41)+N(AB42)+N(AB43)+N(AB44)+N(AB45)+N(AB46)+N(AB47)+N(AB48)+N(AB49)+N(AB50)+N(AB51)+N(AB52)+N(AB53)+N(AB54)+N(AB65)-N(AB68),-5)</f>
        <v>0</v>
      </c>
      <c r="AC71" s="258">
        <f>ROUND(N(AC33)+N(AC34)+N(AC35)+N(AC36)+N(AC37)+N(AC38)+N(AC39)+N(AC40)+N(AC41)+N(AC42)+N(AC43)+N(AC44)+N(AC45)+N(AC46)+N(AC47)+N(AC48)+N(AC49)+N(AC50)+N(AC51)+N(AC52)+N(AC53)+N(AC54)+N(AC65)-N(AC68),-5)</f>
        <v>0</v>
      </c>
      <c r="AD71" s="258">
        <f>ROUND(N(AD33)+N(AD34)+N(AD35)+N(AD36)+N(AD37)+N(AD38)+N(AD39)+N(AD40)+N(AD41)+N(AD42)+N(AD43)+N(AD44)+N(AD45)+N(AD46)+N(AD47)+N(AD48)+N(AD49)+N(AD50)+N(AD51)+N(AD52)+N(AD53)+N(AD54)+N(AD65)-N(AD68),-5)</f>
        <v>0</v>
      </c>
      <c r="AE71" s="258">
        <f>ROUND(N(AE33)+N(AE34)+N(AE35)+N(AE36)+N(AE37)+N(AE38)+N(AE39)+N(AE40)+N(AE41)+N(AE42)+N(AE43)+N(AE44)+N(AE45)+N(AE46)+N(AE47)+N(AE48)+N(AE49)+N(AE50)+N(AE51)+N(AE52)+N(AE53)+N(AE54)+N(AE65)-N(AE68),-5)</f>
        <v>0</v>
      </c>
      <c r="AF71" s="258">
        <f>ROUND(N(AF33)+N(AF34)+N(AF35)+N(AF36)+N(AF37)+N(AF38)+N(AF39)+N(AF40)+N(AF41)+N(AF42)+N(AF43)+N(AF44)+N(AF45)+N(AF46)+N(AF47)+N(AF48)+N(AF49)+N(AF50)+N(AF51)+N(AF52)+N(AF53)+N(AF54)+N(AF65)-N(AF68),-5)</f>
        <v>0</v>
      </c>
      <c r="AG71" s="258">
        <f>ROUND(N(AG33)+N(AG34)+N(AG35)+N(AG36)+N(AG37)+N(AG38)+N(AG39)+N(AG40)+N(AG41)+N(AG42)+N(AG43)+N(AG44)+N(AG45)+N(AG46)+N(AG47)+N(AG48)+N(AG49)+N(AG50)+N(AG51)+N(AG52)+N(AG53)+N(AG54)+N(AG65)-N(AG68),-5)</f>
        <v>0</v>
      </c>
      <c r="AH71" s="258">
        <f>ROUND(N(AH33)+N(AH34)+N(AH35)+N(AH36)+N(AH37)+N(AH38)+N(AH39)+N(AH40)+N(AH41)+N(AH42)+N(AH43)+N(AH44)+N(AH45)+N(AH46)+N(AH47)+N(AH48)+N(AH49)+N(AH50)+N(AH51)+N(AH52)+N(AH53)+N(AH54)+N(AH65)-N(AH68),-5)</f>
        <v>0</v>
      </c>
      <c r="AI71" s="258">
        <f>ROUND(N(AI33)+N(AI34)+N(AI35)+N(AI36)+N(AI37)+N(AI38)+N(AI39)+N(AI40)+N(AI41)+N(AI42)+N(AI43)+N(AI44)+N(AI45)+N(AI46)+N(AI47)+N(AI48)+N(AI49)+N(AI50)+N(AI51)+N(AI52)+N(AI53)+N(AI54)+N(AI65)-N(AI68),-5)</f>
        <v>0</v>
      </c>
      <c r="AJ71" s="258">
        <f>ROUND(N(AJ33)+N(AJ34)+N(AJ35)+N(AJ36)+N(AJ37)+N(AJ38)+N(AJ39)+N(AJ40)+N(AJ41)+N(AJ42)+N(AJ43)+N(AJ44)+N(AJ45)+N(AJ46)+N(AJ47)+N(AJ48)+N(AJ49)+N(AJ50)+N(AJ51)+N(AJ52)+N(AJ53)+N(AJ54)+N(AJ65)-N(AJ68),-5)</f>
        <v>0</v>
      </c>
    </row>
    <row r="72" ht="15" customHeight="1" s="255">
      <c r="H72" s="254" t="inlineStr">
        <is>
          <t>CHECK: receita - custo - despesas + não operacional - IR - minoritários + outros após IR - lucro (deve ser 0)</t>
        </is>
      </c>
      <c r="J72" s="254" t="inlineStr">
        <is>
          <t>derivada</t>
        </is>
      </c>
      <c r="K72" s="254">
        <f>ROUND(N(K6)-N(K7)-N(K9)+N(K11)-N(K13)+N(K15)-N(K16),-5)</f>
        <v>0</v>
      </c>
      <c r="L72" s="254">
        <f>ROUND(N(L6)-N(L7)-N(L9)+N(L11)-N(L13)+N(L15)-N(L16),-5)</f>
        <v>0</v>
      </c>
      <c r="M72" s="254">
        <f>ROUND(N(M6)-N(M7)-N(M9)+N(M11)-N(M13)+N(M15)-N(M16),-5)</f>
        <v>0</v>
      </c>
      <c r="N72" s="254">
        <f>ROUND(N(N6)-N(N7)-N(N9)+N(N11)-N(N13)+N(N15)-N(N16),-5)</f>
        <v>0</v>
      </c>
      <c r="O72" s="254">
        <f>ROUND(N(O6)-N(O7)-N(O9)+N(O11)-N(O13)+N(O15)-N(O16),-5)</f>
        <v>0</v>
      </c>
      <c r="P72" s="254">
        <f>ROUND(N(P6)-N(P7)-N(P9)+N(P11)-N(P13)+N(P15)-N(P16),-5)</f>
        <v>0</v>
      </c>
      <c r="Q72" s="254">
        <f>ROUND(N(Q6)-N(Q7)-N(Q9)+N(Q11)-N(Q13)+N(Q15)-N(Q16),-5)</f>
        <v>0</v>
      </c>
      <c r="R72" s="254">
        <f>ROUND(N(R6)-N(R7)-N(R9)+N(R11)-N(R13)+N(R15)-N(R16),-5)</f>
        <v>0</v>
      </c>
      <c r="S72" s="254">
        <f>ROUND(N(S6)-N(S7)-N(S9)+N(S11)-N(S13)+N(S15)-N(S16),-5)</f>
        <v>0</v>
      </c>
      <c r="T72" s="254">
        <f>ROUND(N(T6)-N(T7)-N(T9)+N(T11)-N(T13)+N(T15)-N(T16),-5)</f>
        <v>0</v>
      </c>
      <c r="U72" s="254">
        <f>ROUND(N(U6)-N(U7)-N(U9)+N(U11)-N(U13)+N(U15)-N(U16),-5)</f>
        <v>0</v>
      </c>
      <c r="V72" s="254">
        <f>ROUND(N(V6)-N(V7)-N(V9)+N(V11)-N(V13)+N(V15)-N(V16),-5)</f>
        <v>0</v>
      </c>
      <c r="W72" s="254">
        <f>ROUND(N(W6)-N(W7)-N(W9)+N(W11)-N(W13)+N(W15)-N(W16),-5)</f>
        <v>0</v>
      </c>
      <c r="X72" s="254">
        <f>ROUND(N(X6)-N(X7)-N(X9)+N(X11)-N(X13)+N(X15)-N(X16),-5)</f>
        <v>0</v>
      </c>
      <c r="Y72" s="254">
        <f>ROUND(N(Y6)-N(Y7)-N(Y9)+N(Y11)-N(Y13)+N(Y15)-N(Y16),-5)</f>
        <v>0</v>
      </c>
      <c r="Z72" s="254">
        <f>ROUND(N(Z6)-N(Z7)-N(Z9)+N(Z11)-N(Z13)+N(Z15)-N(Z16),-5)</f>
        <v>0</v>
      </c>
      <c r="AA72" s="254">
        <f>ROUND(N(AA6)-N(AA7)-N(AA9)+N(AA11)-N(AA13)+N(AA15)-N(AA16),-5)</f>
        <v>0</v>
      </c>
      <c r="AB72" s="254">
        <f>ROUND(N(AB6)-N(AB7)-N(AB9)+N(AB11)-N(AB13)+N(AB15)-N(AB16),-5)</f>
        <v>0</v>
      </c>
      <c r="AC72" s="254">
        <f>ROUND(N(AC6)-N(AC7)-N(AC9)+N(AC11)-N(AC13)+N(AC15)-N(AC16),-5)</f>
        <v>0</v>
      </c>
      <c r="AD72" s="254">
        <f>ROUND(N(AD6)-N(AD7)-N(AD9)+N(AD11)-N(AD13)+N(AD15)-N(AD16),-5)</f>
        <v>0</v>
      </c>
      <c r="AE72" s="254">
        <f>ROUND(N(AE6)-N(AE7)-N(AE9)+N(AE11)-N(AE13)+N(AE15)-N(AE16),-5)</f>
        <v>0</v>
      </c>
      <c r="AF72" s="254">
        <f>ROUND(N(AF6)-N(AF7)-N(AF9)+N(AF11)-N(AF13)+N(AF15)-N(AF16),-5)</f>
        <v>0</v>
      </c>
      <c r="AG72" s="254">
        <f>ROUND(N(AG6)-N(AG7)-N(AG9)+N(AG11)-N(AG13)+N(AG15)-N(AG16),-5)</f>
        <v>0</v>
      </c>
      <c r="AH72" s="254">
        <f>ROUND(N(AH6)-N(AH7)-N(AH9)+N(AH11)-N(AH13)+N(AH15)-N(AH16),-5)</f>
        <v>0</v>
      </c>
      <c r="AI72" s="254">
        <f>ROUND(N(AI6)-N(AI7)-N(AI9)+N(AI11)-N(AI13)+N(AI15)-N(AI16),-5)</f>
        <v>0</v>
      </c>
      <c r="AJ72" s="254">
        <f>ROUND(N(AJ6)-N(AJ7)-N(AJ9)+N(AJ11)-N(AJ13)+N(AJ15)-N(AJ16),-5)</f>
        <v>0</v>
      </c>
    </row>
    <row r="73" ht="15" customHeight="1" s="255">
      <c r="H73" s="254" t="inlineStr">
        <is>
          <t>[vazio] Sem 10-Q/10-K para: 1Q20, 2Q20, 3Q20, 4Q20, 1Q21, 2Q21, 3Q21, 4Q21, 1Q22, 2Q22, 3Q22, 4Q22, 1Q23, 2Q23, 3Q23, 4Q23, 1Q24, 2Q24, 3Q24</t>
        </is>
      </c>
    </row>
    <row r="75">
      <c r="H75" s="511" t="inlineStr">
        <is>
          <t>DRIVERS DE RECEITA (codigos 45+): receita EUA x fora dos EUA e RPO (carteira contratada) - SEC XBRL (USD, fator 0,000001).</t>
        </is>
      </c>
    </row>
    <row r="76">
      <c r="A76" s="254" t="n">
        <v>45</v>
      </c>
      <c r="B76" s="254" t="n">
        <v>1</v>
      </c>
      <c r="G76" s="254" t="inlineStr">
        <is>
          <t>moeda</t>
        </is>
      </c>
      <c r="H76" s="254" t="inlineStr">
        <is>
          <t>Estados Unidos - receita (USD)</t>
        </is>
      </c>
      <c r="J76" s="254" t="inlineStr">
        <is>
          <t>fonte</t>
        </is>
      </c>
      <c r="K76" s="512" t="n"/>
      <c r="L76" s="512" t="n"/>
      <c r="M76" s="512" t="n"/>
      <c r="N76" s="512" t="n"/>
      <c r="O76" s="512" t="n"/>
      <c r="P76" s="512" t="n"/>
      <c r="Q76" s="512" t="n"/>
      <c r="R76" s="512" t="n"/>
      <c r="S76" s="512" t="n"/>
      <c r="T76" s="512" t="n"/>
      <c r="U76" s="512" t="n"/>
      <c r="V76" s="512" t="n"/>
      <c r="W76" s="512" t="n"/>
      <c r="X76" s="512" t="n"/>
      <c r="Y76" s="512" t="n"/>
      <c r="Z76" s="512" t="n"/>
      <c r="AA76" s="512" t="n">
        <v>176964000</v>
      </c>
      <c r="AB76" s="512" t="n">
        <v>370107000</v>
      </c>
      <c r="AC76" s="512" t="n">
        <v>547150000</v>
      </c>
      <c r="AD76" s="512" t="n">
        <v>702779000</v>
      </c>
      <c r="AE76" s="512" t="n">
        <v>929000000</v>
      </c>
      <c r="AF76" s="512" t="n">
        <v>1148000000</v>
      </c>
      <c r="AG76" s="512" t="n">
        <v>1281336000</v>
      </c>
      <c r="AH76" s="512" t="n">
        <v>1442585000</v>
      </c>
      <c r="AI76" s="512" t="n">
        <v>1900000000</v>
      </c>
      <c r="AJ76" s="512" t="n">
        <v>2389000000</v>
      </c>
    </row>
    <row r="77">
      <c r="A77" s="254" t="n">
        <v>46</v>
      </c>
      <c r="B77" s="254" t="n">
        <v>1</v>
      </c>
      <c r="G77" s="254" t="inlineStr">
        <is>
          <t>moeda</t>
        </is>
      </c>
      <c r="H77" s="254" t="inlineStr">
        <is>
          <t>Fora dos EUA - receita (USD)</t>
        </is>
      </c>
      <c r="J77" s="254" t="inlineStr">
        <is>
          <t>fonte</t>
        </is>
      </c>
      <c r="K77" s="512" t="n"/>
      <c r="L77" s="512" t="n"/>
      <c r="M77" s="512" t="n"/>
      <c r="N77" s="512" t="n"/>
      <c r="O77" s="512" t="n"/>
      <c r="P77" s="512" t="n"/>
      <c r="Q77" s="512" t="n"/>
      <c r="R77" s="512" t="n"/>
      <c r="S77" s="512" t="n"/>
      <c r="T77" s="512" t="n"/>
      <c r="U77" s="512" t="n"/>
      <c r="V77" s="512" t="n"/>
      <c r="W77" s="512" t="n"/>
      <c r="X77" s="512" t="n"/>
      <c r="Y77" s="512" t="n"/>
      <c r="Z77" s="512" t="n"/>
      <c r="AA77" s="512" t="n">
        <v>11720000</v>
      </c>
      <c r="AB77" s="512" t="n">
        <v>25264000</v>
      </c>
      <c r="AC77" s="512" t="n">
        <v>36791000</v>
      </c>
      <c r="AD77" s="512" t="n">
        <v>44225000</v>
      </c>
      <c r="AE77" s="512" t="n">
        <v>53000000</v>
      </c>
      <c r="AF77" s="512" t="n">
        <v>64000000</v>
      </c>
      <c r="AG77" s="512" t="n">
        <v>83340000</v>
      </c>
      <c r="AH77" s="512" t="n">
        <v>129319000</v>
      </c>
      <c r="AI77" s="512" t="n">
        <v>178000000</v>
      </c>
      <c r="AJ77" s="512" t="n">
        <v>186000000</v>
      </c>
    </row>
    <row r="78">
      <c r="A78" s="254" t="n">
        <v>47</v>
      </c>
      <c r="B78" s="254" t="n">
        <v>1</v>
      </c>
      <c r="G78" s="254" t="inlineStr">
        <is>
          <t>moeda</t>
        </is>
      </c>
      <c r="H78" s="254" t="inlineStr">
        <is>
          <t>RPO - obrigações de desempenho remanescentes, saldo no fim do período (USD)</t>
        </is>
      </c>
      <c r="J78" s="254" t="inlineStr">
        <is>
          <t>fonte</t>
        </is>
      </c>
      <c r="K78" s="512" t="n"/>
      <c r="L78" s="512" t="n"/>
      <c r="M78" s="512" t="n"/>
      <c r="N78" s="512" t="n"/>
      <c r="O78" s="512" t="n"/>
      <c r="P78" s="512" t="n"/>
      <c r="Q78" s="512" t="n"/>
      <c r="R78" s="512" t="n"/>
      <c r="S78" s="512" t="n"/>
      <c r="T78" s="512" t="n"/>
      <c r="U78" s="512" t="n"/>
      <c r="V78" s="512" t="n"/>
      <c r="W78" s="512" t="n"/>
      <c r="X78" s="512" t="n"/>
      <c r="Y78" s="512" t="n"/>
      <c r="Z78" s="512" t="n"/>
      <c r="AA78" s="512" t="n"/>
      <c r="AB78" s="512" t="n"/>
      <c r="AC78" s="512" t="n"/>
      <c r="AD78" s="512" t="n"/>
      <c r="AE78" s="512" t="n">
        <v>14700000000</v>
      </c>
      <c r="AF78" s="512" t="n">
        <v>30100000000</v>
      </c>
      <c r="AG78" s="512" t="n">
        <v>50000000000</v>
      </c>
      <c r="AH78" s="512" t="n">
        <v>60700000000</v>
      </c>
      <c r="AI78" s="512" t="n">
        <v>98800000000</v>
      </c>
      <c r="AJ78" s="512" t="n">
        <v>103700000000</v>
      </c>
    </row>
    <row r="79">
      <c r="H79" s="254" t="inlineStr">
        <is>
          <t>Notas: CoreWeave tem um único segmento. IPO em mar/2025: os trimestres de 2024 vêm das colunas comparativas dos 10-Q de 2025 e do 10-K de 2025 (4T24 = ano - 9M); o balanço começa no 4T24 (comparativo do 10-Q do 1T25). Não há dado trimestral publicado antes de 2024.</t>
        </is>
      </c>
    </row>
    <row r="113">
      <c r="H113" s="511" t="inlineStr">
        <is>
          <t>CONVENCOES</t>
        </is>
      </c>
    </row>
    <row r="114">
      <c r="H114" s="254" t="inlineStr">
        <is>
          <t>Linhas de origem: 5 a 79. As formulas da Inputs (2) varrem as linhas 5 a 110; as linhas 80 a 110 estao livres para novas contas.</t>
        </is>
      </c>
    </row>
    <row r="115">
      <c r="H115" s="254" t="inlineStr">
        <is>
          <t>Periodos: colunas K a AJ = trimestres-calendário 1Q20 a 2Q26 (linha 2: trimestre fiscal correspondente).</t>
        </is>
      </c>
    </row>
    <row r="116">
      <c r="H116" s="254" t="inlineStr">
        <is>
          <t>Brutos em USD unidades: fator da célula B1 = 0,000001 converte para USD milhões nas linhas UNID = moeda.</t>
        </is>
      </c>
    </row>
    <row r="117">
      <c r="H117" s="254" t="inlineStr">
        <is>
          <t>ORIGEM: fonte = copiado da SEC; memoria = como divulgado, sem codigo; derivada = formula nesta aba ou desacumulado na extração.</t>
        </is>
      </c>
    </row>
    <row r="118">
      <c r="H118" s="254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s="254" t="inlineStr">
        <is>
          <t>Codigos 45 a 47: drivers de receita (memoria); alimentam o bloco logo abaixo da receita liquida no Model.</t>
        </is>
      </c>
    </row>
    <row r="143" ht="15" customHeight="1" s="255">
      <c r="H143" s="256" t="n"/>
    </row>
    <row r="144" ht="15" customHeight="1" s="255">
      <c r="H144" s="254" t="n"/>
    </row>
    <row r="145" ht="15" customHeight="1" s="255">
      <c r="H145" s="254" t="n"/>
    </row>
    <row r="146" ht="15" customHeight="1" s="255">
      <c r="H146" s="254" t="n"/>
    </row>
    <row r="147" ht="15" customHeight="1" s="255">
      <c r="H147" s="254" t="n"/>
    </row>
    <row r="148" ht="15" customHeight="1" s="255">
      <c r="H148" s="254" t="n"/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55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47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0</v>
      </c>
      <c r="E4" s="267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0</v>
      </c>
      <c r="F4" s="267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0</v>
      </c>
      <c r="G4" s="267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0</v>
      </c>
      <c r="H4" s="268">
        <f>SUM(D4:G4)</f>
        <v>0</v>
      </c>
      <c r="I4" s="267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0</v>
      </c>
      <c r="J4" s="267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0</v>
      </c>
      <c r="K4" s="267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0</v>
      </c>
      <c r="L4" s="267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0</v>
      </c>
      <c r="M4" s="268">
        <f>SUM(I4:L4)</f>
        <v>0</v>
      </c>
      <c r="N4" s="267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0</v>
      </c>
      <c r="O4" s="267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0</v>
      </c>
      <c r="P4" s="267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0</v>
      </c>
      <c r="Q4" s="267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0</v>
      </c>
      <c r="R4" s="268">
        <f>SUM(N4:Q4)</f>
        <v>0</v>
      </c>
      <c r="S4" s="267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188.684</v>
      </c>
      <c r="T4" s="267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395.371</v>
      </c>
      <c r="U4" s="267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583.941</v>
      </c>
      <c r="V4" s="267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747.004</v>
      </c>
      <c r="W4" s="268">
        <f>SUM(S4:V4)</f>
        <v>1915</v>
      </c>
      <c r="X4" s="267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982</v>
      </c>
      <c r="Y4" s="267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1212</v>
      </c>
      <c r="Z4" s="267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1364.676</v>
      </c>
      <c r="AA4" s="267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1571.904</v>
      </c>
      <c r="AB4" s="268">
        <f>SUM(X4:AA4)</f>
        <v>5130.58</v>
      </c>
      <c r="AC4" s="267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2078</v>
      </c>
      <c r="AD4" s="267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2575</v>
      </c>
      <c r="AE4" s="267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267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" s="267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" s="267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" s="267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" s="268">
        <f>SUM(AH4:AK4)</f>
        <v>0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0</v>
      </c>
      <c r="E5" s="267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0</v>
      </c>
      <c r="F5" s="267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0</v>
      </c>
      <c r="G5" s="267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0</v>
      </c>
      <c r="H5" s="268">
        <f>SUM(D5:G5)</f>
        <v>0</v>
      </c>
      <c r="I5" s="267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0</v>
      </c>
      <c r="J5" s="267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0</v>
      </c>
      <c r="K5" s="267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0</v>
      </c>
      <c r="L5" s="267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0</v>
      </c>
      <c r="M5" s="268">
        <f>SUM(I5:L5)</f>
        <v>0</v>
      </c>
      <c r="N5" s="267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0</v>
      </c>
      <c r="O5" s="267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0</v>
      </c>
      <c r="P5" s="267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0</v>
      </c>
      <c r="Q5" s="267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0</v>
      </c>
      <c r="R5" s="268">
        <f>SUM(N5:Q5)</f>
        <v>0</v>
      </c>
      <c r="S5" s="267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-59.22</v>
      </c>
      <c r="T5" s="267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-108.838</v>
      </c>
      <c r="U5" s="267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-143.134</v>
      </c>
      <c r="V5" s="267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-181.808</v>
      </c>
      <c r="W5" s="268">
        <f>SUM(S5:V5)</f>
        <v>-493</v>
      </c>
      <c r="X5" s="267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-262</v>
      </c>
      <c r="Y5" s="267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-313</v>
      </c>
      <c r="Z5" s="267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-368.824</v>
      </c>
      <c r="AA5" s="267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-509.115</v>
      </c>
      <c r="AB5" s="268">
        <f>SUM(X5:AA5)</f>
        <v>-1452.939</v>
      </c>
      <c r="AC5" s="267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-716</v>
      </c>
      <c r="AD5" s="267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-879</v>
      </c>
      <c r="AE5" s="267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267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5" s="267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5" s="267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5" s="267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5" s="268">
        <f>SUM(AH5:AK5)</f>
        <v>0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0</v>
      </c>
      <c r="E6" s="267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0</v>
      </c>
      <c r="F6" s="267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0</v>
      </c>
      <c r="G6" s="267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0</v>
      </c>
      <c r="H6" s="268">
        <f>SUM(D6:G6)</f>
        <v>0</v>
      </c>
      <c r="I6" s="267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0</v>
      </c>
      <c r="J6" s="267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0</v>
      </c>
      <c r="K6" s="267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0</v>
      </c>
      <c r="L6" s="267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0</v>
      </c>
      <c r="M6" s="268">
        <f>SUM(I6:L6)</f>
        <v>0</v>
      </c>
      <c r="N6" s="267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0</v>
      </c>
      <c r="O6" s="267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0</v>
      </c>
      <c r="P6" s="267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0</v>
      </c>
      <c r="Q6" s="267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0</v>
      </c>
      <c r="R6" s="268">
        <f>SUM(N6:Q6)</f>
        <v>0</v>
      </c>
      <c r="S6" s="267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-33.107</v>
      </c>
      <c r="T6" s="267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-44.352</v>
      </c>
      <c r="U6" s="267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-69.667</v>
      </c>
      <c r="V6" s="267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-87.874</v>
      </c>
      <c r="W6" s="268">
        <f>SUM(S6:V6)</f>
        <v>-235</v>
      </c>
      <c r="X6" s="267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-303.503</v>
      </c>
      <c r="Y6" s="267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-320.519</v>
      </c>
      <c r="Z6" s="267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-313.523</v>
      </c>
      <c r="AA6" s="267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-331.835</v>
      </c>
      <c r="AB6" s="268">
        <f>SUM(X6:AA6)</f>
        <v>-1269.38</v>
      </c>
      <c r="AC6" s="267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-359</v>
      </c>
      <c r="AD6" s="267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-352</v>
      </c>
      <c r="AE6" s="267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267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6" s="267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6" s="267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6" s="267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6" s="268">
        <f>SUM(AH6:AK6)</f>
        <v>0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0</v>
      </c>
      <c r="E7" s="267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0</v>
      </c>
      <c r="F7" s="267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0</v>
      </c>
      <c r="G7" s="267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0</v>
      </c>
      <c r="H7" s="268">
        <f>SUM(D7:G7)</f>
        <v>0</v>
      </c>
      <c r="I7" s="267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0</v>
      </c>
      <c r="J7" s="267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0</v>
      </c>
      <c r="K7" s="267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0</v>
      </c>
      <c r="L7" s="267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0</v>
      </c>
      <c r="M7" s="268">
        <f>SUM(I7:L7)</f>
        <v>0</v>
      </c>
      <c r="N7" s="267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0</v>
      </c>
      <c r="O7" s="267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0</v>
      </c>
      <c r="P7" s="267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0</v>
      </c>
      <c r="Q7" s="267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0</v>
      </c>
      <c r="R7" s="268">
        <f>SUM(N7:Q7)</f>
        <v>0</v>
      </c>
      <c r="S7" s="267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-79.51</v>
      </c>
      <c r="T7" s="267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-164.46</v>
      </c>
      <c r="U7" s="267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-254.024</v>
      </c>
      <c r="V7" s="267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-365.006</v>
      </c>
      <c r="W7" s="268">
        <f>SUM(S7:V7)</f>
        <v>-863</v>
      </c>
      <c r="X7" s="267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-443.497</v>
      </c>
      <c r="Y7" s="267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-559.481</v>
      </c>
      <c r="Z7" s="267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-630.479</v>
      </c>
      <c r="AA7" s="267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-820.543</v>
      </c>
      <c r="AB7" s="268">
        <f>SUM(X7:AA7)</f>
        <v>-2454</v>
      </c>
      <c r="AC7" s="267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-1147</v>
      </c>
      <c r="AD7" s="267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-1393</v>
      </c>
      <c r="AE7" s="267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267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7" s="267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7" s="267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7" s="267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7" s="268">
        <f>SUM(AH7:AK7)</f>
        <v>0</v>
      </c>
    </row>
    <row r="8" ht="12.75" customHeight="1" s="255">
      <c r="B8" s="265" t="n">
        <v>5</v>
      </c>
      <c r="C8" s="270" t="inlineStr">
        <is>
          <t>Interest Expense</t>
        </is>
      </c>
      <c r="D8" s="267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0</v>
      </c>
      <c r="E8" s="267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0</v>
      </c>
      <c r="F8" s="267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0</v>
      </c>
      <c r="G8" s="267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0</v>
      </c>
      <c r="H8" s="268">
        <f>SUM(D8:G8)</f>
        <v>0</v>
      </c>
      <c r="I8" s="267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0</v>
      </c>
      <c r="J8" s="267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0</v>
      </c>
      <c r="K8" s="267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0</v>
      </c>
      <c r="L8" s="267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0</v>
      </c>
      <c r="M8" s="268">
        <f>SUM(I8:L8)</f>
        <v>0</v>
      </c>
      <c r="N8" s="267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0</v>
      </c>
      <c r="O8" s="267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0</v>
      </c>
      <c r="P8" s="267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0</v>
      </c>
      <c r="Q8" s="267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0</v>
      </c>
      <c r="R8" s="268">
        <f>SUM(N8:Q8)</f>
        <v>0</v>
      </c>
      <c r="S8" s="267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-40.503</v>
      </c>
      <c r="T8" s="267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-67.097</v>
      </c>
      <c r="U8" s="267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-102.328</v>
      </c>
      <c r="V8" s="267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-139.072</v>
      </c>
      <c r="W8" s="268">
        <f>SUM(S8:V8)</f>
        <v>-349</v>
      </c>
      <c r="X8" s="267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-257</v>
      </c>
      <c r="Y8" s="267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-256</v>
      </c>
      <c r="Z8" s="267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-283.416</v>
      </c>
      <c r="AA8" s="267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-351.051</v>
      </c>
      <c r="AB8" s="268">
        <f>SUM(X8:AA8)</f>
        <v>-1147.467</v>
      </c>
      <c r="AC8" s="267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-427</v>
      </c>
      <c r="AD8" s="267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-558</v>
      </c>
      <c r="AE8" s="267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267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268" t="e">
        <f>SUM(AC8:AF8)</f>
        <v>#N/A</v>
      </c>
      <c r="AH8" s="267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8" s="267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8" s="267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8" s="267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8" s="268">
        <f>SUM(AH8:AK8)</f>
        <v>0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0</v>
      </c>
      <c r="E9" s="267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0</v>
      </c>
      <c r="F9" s="267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0</v>
      </c>
      <c r="G9" s="267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0</v>
      </c>
      <c r="H9" s="268">
        <f>SUM(D9:G9)</f>
        <v>0</v>
      </c>
      <c r="I9" s="267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0</v>
      </c>
      <c r="J9" s="267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0</v>
      </c>
      <c r="K9" s="267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0</v>
      </c>
      <c r="L9" s="267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0</v>
      </c>
      <c r="M9" s="268">
        <f>SUM(I9:L9)</f>
        <v>0</v>
      </c>
      <c r="N9" s="267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0</v>
      </c>
      <c r="O9" s="267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0</v>
      </c>
      <c r="P9" s="267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0</v>
      </c>
      <c r="Q9" s="267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0</v>
      </c>
      <c r="R9" s="268">
        <f>SUM(N9:Q9)</f>
        <v>0</v>
      </c>
      <c r="S9" s="267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-90.193</v>
      </c>
      <c r="T9" s="267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-293.494</v>
      </c>
      <c r="U9" s="267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-332.936</v>
      </c>
      <c r="V9" s="267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-2.37699999999998</v>
      </c>
      <c r="W9" s="268">
        <f>SUM(S9:V9)</f>
        <v>-719</v>
      </c>
      <c r="X9" s="267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15</v>
      </c>
      <c r="Y9" s="267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-5</v>
      </c>
      <c r="Z9" s="267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-5.238</v>
      </c>
      <c r="AA9" s="267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-26.217</v>
      </c>
      <c r="AB9" s="268">
        <f>SUM(X9:AA9)</f>
        <v>-21.455</v>
      </c>
      <c r="AC9" s="267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-85</v>
      </c>
      <c r="AD9" s="267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43</v>
      </c>
      <c r="AE9" s="267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267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9" s="267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9" s="267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9" s="267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9" s="268">
        <f>SUM(AH9:AK9)</f>
        <v>0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0</v>
      </c>
      <c r="E10" s="267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0</v>
      </c>
      <c r="F10" s="267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0</v>
      </c>
      <c r="G10" s="267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0</v>
      </c>
      <c r="H10" s="268">
        <f>SUM(D10:G10)</f>
        <v>0</v>
      </c>
      <c r="I10" s="267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0</v>
      </c>
      <c r="J10" s="267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0</v>
      </c>
      <c r="K10" s="267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0</v>
      </c>
      <c r="L10" s="267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0</v>
      </c>
      <c r="M10" s="268">
        <f>SUM(I10:L10)</f>
        <v>0</v>
      </c>
      <c r="N10" s="267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0</v>
      </c>
      <c r="O10" s="267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0</v>
      </c>
      <c r="P10" s="267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0</v>
      </c>
      <c r="Q10" s="267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0</v>
      </c>
      <c r="R10" s="268">
        <f>SUM(N10:Q10)</f>
        <v>0</v>
      </c>
      <c r="S10" s="267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-15.399</v>
      </c>
      <c r="T10" s="267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-40.151</v>
      </c>
      <c r="U10" s="267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-41.659</v>
      </c>
      <c r="V10" s="267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-21.791</v>
      </c>
      <c r="W10" s="268">
        <f>SUM(S10:V10)</f>
        <v>-119</v>
      </c>
      <c r="X10" s="267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-46</v>
      </c>
      <c r="Y10" s="267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-48</v>
      </c>
      <c r="Z10" s="267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126.68</v>
      </c>
      <c r="AA10" s="267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15.131</v>
      </c>
      <c r="AB10" s="268">
        <f>SUM(X10:AA10)</f>
        <v>47.811</v>
      </c>
      <c r="AC10" s="267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-84</v>
      </c>
      <c r="AD10" s="267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-62</v>
      </c>
      <c r="AE10" s="267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267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0" s="267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0" s="267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0" s="267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0" s="268">
        <f>SUM(AH10:AK10)</f>
        <v>0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0</v>
      </c>
      <c r="E11" s="267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267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0</v>
      </c>
      <c r="G11" s="267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0</v>
      </c>
      <c r="H11" s="268">
        <f>SUM(D11:G11)</f>
        <v>0</v>
      </c>
      <c r="I11" s="267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0</v>
      </c>
      <c r="J11" s="267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0</v>
      </c>
      <c r="K11" s="267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0</v>
      </c>
      <c r="L11" s="267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0</v>
      </c>
      <c r="M11" s="268">
        <f>SUM(I11:L11)</f>
        <v>0</v>
      </c>
      <c r="N11" s="267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0</v>
      </c>
      <c r="O11" s="267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0</v>
      </c>
      <c r="P11" s="267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0</v>
      </c>
      <c r="Q11" s="267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0</v>
      </c>
      <c r="R11" s="268">
        <f>SUM(N11:Q11)</f>
        <v>0</v>
      </c>
      <c r="S11" s="267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0</v>
      </c>
      <c r="T11" s="267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0</v>
      </c>
      <c r="U11" s="267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0</v>
      </c>
      <c r="V11" s="267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0</v>
      </c>
      <c r="W11" s="268">
        <f>SUM(S11:V11)</f>
        <v>0</v>
      </c>
      <c r="X11" s="267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0</v>
      </c>
      <c r="Y11" s="267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0</v>
      </c>
      <c r="Z11" s="267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0</v>
      </c>
      <c r="AA11" s="267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1" s="268">
        <f>SUM(X11:AA11)</f>
        <v>0</v>
      </c>
      <c r="AC11" s="267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1" s="267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1" s="267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267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1" s="267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1" s="267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1" s="267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1" s="268">
        <f>SUM(AH11:AK11)</f>
        <v>0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0</v>
      </c>
      <c r="E12" s="267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0</v>
      </c>
      <c r="F12" s="267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0</v>
      </c>
      <c r="G12" s="267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0</v>
      </c>
      <c r="H12" s="268">
        <f>SUM(D12:G12)</f>
        <v>0</v>
      </c>
      <c r="I12" s="267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0</v>
      </c>
      <c r="J12" s="267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0</v>
      </c>
      <c r="K12" s="267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0</v>
      </c>
      <c r="L12" s="267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0</v>
      </c>
      <c r="M12" s="268">
        <f>SUM(I12:L12)</f>
        <v>0</v>
      </c>
      <c r="N12" s="267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0</v>
      </c>
      <c r="O12" s="267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0</v>
      </c>
      <c r="P12" s="267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0</v>
      </c>
      <c r="Q12" s="267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0</v>
      </c>
      <c r="R12" s="268">
        <f>SUM(N12:Q12)</f>
        <v>0</v>
      </c>
      <c r="S12" s="267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0</v>
      </c>
      <c r="T12" s="267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0</v>
      </c>
      <c r="U12" s="267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0</v>
      </c>
      <c r="V12" s="267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0</v>
      </c>
      <c r="W12" s="268">
        <f>SUM(S12:V12)</f>
        <v>0</v>
      </c>
      <c r="X12" s="267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0</v>
      </c>
      <c r="Y12" s="267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0</v>
      </c>
      <c r="Z12" s="267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0</v>
      </c>
      <c r="AA12" s="267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2" s="268">
        <f>SUM(X12:AA12)</f>
        <v>0</v>
      </c>
      <c r="AC12" s="267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2" s="267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2" s="267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267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2" s="267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2" s="267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2" s="267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2" s="268">
        <f>SUM(AH12:AK12)</f>
        <v>0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0</v>
      </c>
      <c r="E13" s="267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0</v>
      </c>
      <c r="F13" s="267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0</v>
      </c>
      <c r="G13" s="267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0</v>
      </c>
      <c r="H13" s="268">
        <f>SUM(D13:G13)</f>
        <v>0</v>
      </c>
      <c r="I13" s="267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0</v>
      </c>
      <c r="J13" s="267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0</v>
      </c>
      <c r="K13" s="267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0</v>
      </c>
      <c r="L13" s="267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0</v>
      </c>
      <c r="M13" s="268">
        <f>SUM(I13:L13)</f>
        <v>0</v>
      </c>
      <c r="N13" s="267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0</v>
      </c>
      <c r="O13" s="267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0</v>
      </c>
      <c r="P13" s="267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0</v>
      </c>
      <c r="Q13" s="267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0</v>
      </c>
      <c r="R13" s="268">
        <f>SUM(N13:Q13)</f>
        <v>0</v>
      </c>
      <c r="S13" s="267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0</v>
      </c>
      <c r="T13" s="267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0</v>
      </c>
      <c r="U13" s="267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0</v>
      </c>
      <c r="V13" s="267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0</v>
      </c>
      <c r="W13" s="268">
        <f>SUM(S13:V13)</f>
        <v>0</v>
      </c>
      <c r="X13" s="267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0</v>
      </c>
      <c r="Y13" s="267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0</v>
      </c>
      <c r="Z13" s="267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0</v>
      </c>
      <c r="AA13" s="267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3" s="268">
        <f>SUM(X13:AA13)</f>
        <v>0</v>
      </c>
      <c r="AC13" s="267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3" s="267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3" s="267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267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3" s="267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3" s="267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3" s="267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3" s="268">
        <f>SUM(AH13:AK13)</f>
        <v>0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0</v>
      </c>
      <c r="E15" s="267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0</v>
      </c>
      <c r="F15" s="267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0</v>
      </c>
      <c r="G15" s="267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0</v>
      </c>
      <c r="H15" s="268">
        <f>G15</f>
        <v>0</v>
      </c>
      <c r="I15" s="267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0</v>
      </c>
      <c r="J15" s="267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0</v>
      </c>
      <c r="K15" s="267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0</v>
      </c>
      <c r="L15" s="267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0</v>
      </c>
      <c r="M15" s="268">
        <f>L15</f>
        <v>0</v>
      </c>
      <c r="N15" s="267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0</v>
      </c>
      <c r="O15" s="267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0</v>
      </c>
      <c r="P15" s="267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0</v>
      </c>
      <c r="Q15" s="267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0</v>
      </c>
      <c r="R15" s="268">
        <f>Q15</f>
        <v>0</v>
      </c>
      <c r="S15" s="267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0</v>
      </c>
      <c r="T15" s="267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0</v>
      </c>
      <c r="U15" s="267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0</v>
      </c>
      <c r="V15" s="267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1361.083</v>
      </c>
      <c r="W15" s="268">
        <f>V15</f>
        <v>1361.083</v>
      </c>
      <c r="X15" s="267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1276.456</v>
      </c>
      <c r="Y15" s="267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1152.883</v>
      </c>
      <c r="Z15" s="267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1941.848</v>
      </c>
      <c r="AA15" s="267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3161</v>
      </c>
      <c r="AB15" s="268">
        <f>AA15</f>
        <v>3161</v>
      </c>
      <c r="AC15" s="267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2266</v>
      </c>
      <c r="AD15" s="267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5539</v>
      </c>
      <c r="AE15" s="267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267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268" t="e">
        <f>AF15</f>
        <v>#N/A</v>
      </c>
      <c r="AH15" s="267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5" s="267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5" s="267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5" s="267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5" s="268">
        <f>AK15</f>
        <v>0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0</v>
      </c>
      <c r="E16" s="267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0</v>
      </c>
      <c r="F16" s="267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0</v>
      </c>
      <c r="G16" s="267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0</v>
      </c>
      <c r="H16" s="268">
        <f>G16</f>
        <v>0</v>
      </c>
      <c r="I16" s="267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0</v>
      </c>
      <c r="J16" s="267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0</v>
      </c>
      <c r="K16" s="267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0</v>
      </c>
      <c r="L16" s="267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0</v>
      </c>
      <c r="M16" s="268">
        <f>L16</f>
        <v>0</v>
      </c>
      <c r="N16" s="267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0</v>
      </c>
      <c r="O16" s="267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0</v>
      </c>
      <c r="P16" s="267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0</v>
      </c>
      <c r="Q16" s="267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0</v>
      </c>
      <c r="R16" s="268">
        <f>Q16</f>
        <v>0</v>
      </c>
      <c r="S16" s="267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0</v>
      </c>
      <c r="T16" s="267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0</v>
      </c>
      <c r="U16" s="267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0</v>
      </c>
      <c r="V16" s="267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416.526</v>
      </c>
      <c r="W16" s="268">
        <f>V16</f>
        <v>416.526</v>
      </c>
      <c r="X16" s="267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1055.208</v>
      </c>
      <c r="Y16" s="267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1933.698</v>
      </c>
      <c r="Z16" s="267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1659.229</v>
      </c>
      <c r="AA16" s="267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3169</v>
      </c>
      <c r="AB16" s="268">
        <f>AA16</f>
        <v>3169</v>
      </c>
      <c r="AC16" s="267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2120</v>
      </c>
      <c r="AD16" s="267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2541</v>
      </c>
      <c r="AE16" s="267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267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268" t="e">
        <f>AF16</f>
        <v>#N/A</v>
      </c>
      <c r="AH16" s="267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6" s="267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6" s="267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6" s="267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6" s="268">
        <f>AK16</f>
        <v>0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0</v>
      </c>
      <c r="E17" s="267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0</v>
      </c>
      <c r="F17" s="267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0</v>
      </c>
      <c r="G17" s="267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0</v>
      </c>
      <c r="H17" s="268">
        <f>G17</f>
        <v>0</v>
      </c>
      <c r="I17" s="267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0</v>
      </c>
      <c r="J17" s="267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0</v>
      </c>
      <c r="K17" s="267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0</v>
      </c>
      <c r="L17" s="267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0</v>
      </c>
      <c r="M17" s="268">
        <f>L17</f>
        <v>0</v>
      </c>
      <c r="N17" s="267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0</v>
      </c>
      <c r="O17" s="267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0</v>
      </c>
      <c r="P17" s="267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0</v>
      </c>
      <c r="Q17" s="267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0</v>
      </c>
      <c r="R17" s="268">
        <f>Q17</f>
        <v>0</v>
      </c>
      <c r="S17" s="267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0</v>
      </c>
      <c r="T17" s="267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0</v>
      </c>
      <c r="U17" s="267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0</v>
      </c>
      <c r="V17" s="267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0</v>
      </c>
      <c r="W17" s="268">
        <f>V17</f>
        <v>0</v>
      </c>
      <c r="X17" s="267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0</v>
      </c>
      <c r="Y17" s="267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0</v>
      </c>
      <c r="Z17" s="267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0</v>
      </c>
      <c r="AA17" s="267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7" s="268">
        <f>AA17</f>
        <v>0</v>
      </c>
      <c r="AC17" s="267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7" s="267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7" s="267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267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268" t="e">
        <f>AF17</f>
        <v>#N/A</v>
      </c>
      <c r="AH17" s="267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7" s="267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7" s="267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7" s="267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7" s="268">
        <f>AK17</f>
        <v>0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0</v>
      </c>
      <c r="E18" s="267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0</v>
      </c>
      <c r="F18" s="267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0</v>
      </c>
      <c r="G18" s="267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0</v>
      </c>
      <c r="H18" s="268">
        <f>G18</f>
        <v>0</v>
      </c>
      <c r="I18" s="267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0</v>
      </c>
      <c r="J18" s="267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0</v>
      </c>
      <c r="K18" s="267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0</v>
      </c>
      <c r="L18" s="267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0</v>
      </c>
      <c r="M18" s="268">
        <f>L18</f>
        <v>0</v>
      </c>
      <c r="N18" s="267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0</v>
      </c>
      <c r="O18" s="267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0</v>
      </c>
      <c r="P18" s="267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0</v>
      </c>
      <c r="Q18" s="267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0</v>
      </c>
      <c r="R18" s="268">
        <f>Q18</f>
        <v>0</v>
      </c>
      <c r="S18" s="267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0</v>
      </c>
      <c r="T18" s="267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0</v>
      </c>
      <c r="U18" s="267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0</v>
      </c>
      <c r="V18" s="267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0</v>
      </c>
      <c r="W18" s="268">
        <f>V18</f>
        <v>0</v>
      </c>
      <c r="X18" s="267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0</v>
      </c>
      <c r="Y18" s="267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0</v>
      </c>
      <c r="Z18" s="267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0</v>
      </c>
      <c r="AA18" s="267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8" s="268">
        <f>AA18</f>
        <v>0</v>
      </c>
      <c r="AC18" s="267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8" s="267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8" s="267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267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268" t="e">
        <f>AF18</f>
        <v>#N/A</v>
      </c>
      <c r="AH18" s="267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8" s="267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8" s="267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8" s="267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8" s="268">
        <f>AK18</f>
        <v>0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0</v>
      </c>
      <c r="E19" s="267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0</v>
      </c>
      <c r="F19" s="267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0</v>
      </c>
      <c r="G19" s="267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0</v>
      </c>
      <c r="H19" s="268">
        <f>G19</f>
        <v>0</v>
      </c>
      <c r="I19" s="267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0</v>
      </c>
      <c r="J19" s="267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0</v>
      </c>
      <c r="K19" s="267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0</v>
      </c>
      <c r="L19" s="267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0</v>
      </c>
      <c r="M19" s="268">
        <f>L19</f>
        <v>0</v>
      </c>
      <c r="N19" s="267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0</v>
      </c>
      <c r="O19" s="267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0</v>
      </c>
      <c r="P19" s="267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0</v>
      </c>
      <c r="Q19" s="267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0</v>
      </c>
      <c r="R19" s="268">
        <f>Q19</f>
        <v>0</v>
      </c>
      <c r="S19" s="267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0</v>
      </c>
      <c r="T19" s="267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0</v>
      </c>
      <c r="U19" s="267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0</v>
      </c>
      <c r="V19" s="267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0</v>
      </c>
      <c r="W19" s="268">
        <f>V19</f>
        <v>0</v>
      </c>
      <c r="X19" s="267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0</v>
      </c>
      <c r="Y19" s="267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0</v>
      </c>
      <c r="Z19" s="267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0</v>
      </c>
      <c r="AA19" s="267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9" s="268">
        <f>AA19</f>
        <v>0</v>
      </c>
      <c r="AC19" s="267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9" s="267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9" s="267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267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268" t="e">
        <f>AF19</f>
        <v>#N/A</v>
      </c>
      <c r="AH19" s="267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9" s="267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9" s="267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9" s="267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9" s="268">
        <f>AK19</f>
        <v>0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0</v>
      </c>
      <c r="E20" s="267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0</v>
      </c>
      <c r="F20" s="267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0</v>
      </c>
      <c r="G20" s="267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0</v>
      </c>
      <c r="H20" s="268">
        <f>G20</f>
        <v>0</v>
      </c>
      <c r="I20" s="267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0</v>
      </c>
      <c r="J20" s="267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0</v>
      </c>
      <c r="K20" s="267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0</v>
      </c>
      <c r="L20" s="267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0</v>
      </c>
      <c r="M20" s="268">
        <f>L20</f>
        <v>0</v>
      </c>
      <c r="N20" s="267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0</v>
      </c>
      <c r="O20" s="267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0</v>
      </c>
      <c r="P20" s="267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0</v>
      </c>
      <c r="Q20" s="267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0</v>
      </c>
      <c r="R20" s="268">
        <f>Q20</f>
        <v>0</v>
      </c>
      <c r="S20" s="267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0</v>
      </c>
      <c r="T20" s="267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0</v>
      </c>
      <c r="U20" s="267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0</v>
      </c>
      <c r="V20" s="267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138.64</v>
      </c>
      <c r="W20" s="268">
        <f>V20</f>
        <v>138.64</v>
      </c>
      <c r="X20" s="267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770.983</v>
      </c>
      <c r="Y20" s="267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859.402</v>
      </c>
      <c r="Z20" s="267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1130.206</v>
      </c>
      <c r="AA20" s="267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1158</v>
      </c>
      <c r="AB20" s="268">
        <f>AA20</f>
        <v>1158</v>
      </c>
      <c r="AC20" s="267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1223</v>
      </c>
      <c r="AD20" s="267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1440</v>
      </c>
      <c r="AE20" s="267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267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268" t="e">
        <f>AF20</f>
        <v>#N/A</v>
      </c>
      <c r="AH20" s="267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0" s="267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0" s="267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0" s="267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0" s="268">
        <f>AK20</f>
        <v>0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0</v>
      </c>
      <c r="E21" s="267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0</v>
      </c>
      <c r="F21" s="267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0</v>
      </c>
      <c r="G21" s="267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0</v>
      </c>
      <c r="H21" s="268">
        <f>G21</f>
        <v>0</v>
      </c>
      <c r="I21" s="267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0</v>
      </c>
      <c r="J21" s="267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0</v>
      </c>
      <c r="K21" s="267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0</v>
      </c>
      <c r="L21" s="267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0</v>
      </c>
      <c r="M21" s="268">
        <f>L21</f>
        <v>0</v>
      </c>
      <c r="N21" s="267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0</v>
      </c>
      <c r="O21" s="267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0</v>
      </c>
      <c r="P21" s="267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0</v>
      </c>
      <c r="Q21" s="267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0</v>
      </c>
      <c r="R21" s="268">
        <f>Q21</f>
        <v>0</v>
      </c>
      <c r="S21" s="267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0</v>
      </c>
      <c r="T21" s="267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0</v>
      </c>
      <c r="U21" s="267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0</v>
      </c>
      <c r="V21" s="267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0</v>
      </c>
      <c r="W21" s="268">
        <f>V21</f>
        <v>0</v>
      </c>
      <c r="X21" s="267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0</v>
      </c>
      <c r="Y21" s="267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0</v>
      </c>
      <c r="Z21" s="267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0</v>
      </c>
      <c r="AA21" s="267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1" s="268">
        <f>AA21</f>
        <v>0</v>
      </c>
      <c r="AC21" s="267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1" s="267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1" s="267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267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268" t="e">
        <f>AF21</f>
        <v>#N/A</v>
      </c>
      <c r="AH21" s="267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1" s="267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1" s="267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1" s="267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1" s="268">
        <f>AK21</f>
        <v>0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0</v>
      </c>
      <c r="E22" s="267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0</v>
      </c>
      <c r="F22" s="267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0</v>
      </c>
      <c r="G22" s="267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0</v>
      </c>
      <c r="H22" s="268">
        <f>G22</f>
        <v>0</v>
      </c>
      <c r="I22" s="267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0</v>
      </c>
      <c r="J22" s="267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0</v>
      </c>
      <c r="K22" s="267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0</v>
      </c>
      <c r="L22" s="267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0</v>
      </c>
      <c r="M22" s="268">
        <f>L22</f>
        <v>0</v>
      </c>
      <c r="N22" s="267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0</v>
      </c>
      <c r="O22" s="267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0</v>
      </c>
      <c r="P22" s="267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0</v>
      </c>
      <c r="Q22" s="267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0</v>
      </c>
      <c r="R22" s="268">
        <f>Q22</f>
        <v>0</v>
      </c>
      <c r="S22" s="267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0</v>
      </c>
      <c r="T22" s="267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0</v>
      </c>
      <c r="U22" s="267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0</v>
      </c>
      <c r="V22" s="267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11914.774</v>
      </c>
      <c r="W22" s="268">
        <f>V22</f>
        <v>11914.774</v>
      </c>
      <c r="X22" s="267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14210.992</v>
      </c>
      <c r="Y22" s="267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16631.51</v>
      </c>
      <c r="Z22" s="267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20659.181</v>
      </c>
      <c r="AA22" s="267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30557</v>
      </c>
      <c r="AB22" s="268">
        <f>AA22</f>
        <v>30557</v>
      </c>
      <c r="AC22" s="267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36424</v>
      </c>
      <c r="AD22" s="267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46736</v>
      </c>
      <c r="AE22" s="267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267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268" t="e">
        <f>AF22</f>
        <v>#N/A</v>
      </c>
      <c r="AH22" s="267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2" s="267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2" s="267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2" s="267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2" s="268">
        <f>AK22</f>
        <v>0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0</v>
      </c>
      <c r="E23" s="267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0</v>
      </c>
      <c r="F23" s="267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0</v>
      </c>
      <c r="G23" s="267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0</v>
      </c>
      <c r="H23" s="268">
        <f>G23</f>
        <v>0</v>
      </c>
      <c r="I23" s="267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0</v>
      </c>
      <c r="J23" s="267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0</v>
      </c>
      <c r="K23" s="267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0</v>
      </c>
      <c r="L23" s="267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0</v>
      </c>
      <c r="M23" s="268">
        <f>L23</f>
        <v>0</v>
      </c>
      <c r="N23" s="267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0</v>
      </c>
      <c r="O23" s="267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0</v>
      </c>
      <c r="P23" s="267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0</v>
      </c>
      <c r="Q23" s="267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0</v>
      </c>
      <c r="R23" s="268">
        <f>Q23</f>
        <v>0</v>
      </c>
      <c r="S23" s="267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0</v>
      </c>
      <c r="T23" s="267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0</v>
      </c>
      <c r="U23" s="267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0</v>
      </c>
      <c r="V23" s="267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2589.547</v>
      </c>
      <c r="W23" s="268">
        <f>V23</f>
        <v>2589.547</v>
      </c>
      <c r="X23" s="267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3063.22</v>
      </c>
      <c r="Y23" s="267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3380.201</v>
      </c>
      <c r="Z23" s="267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4677.057</v>
      </c>
      <c r="AA23" s="267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8231</v>
      </c>
      <c r="AB23" s="268">
        <f>AA23</f>
        <v>8231</v>
      </c>
      <c r="AC23" s="267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10182</v>
      </c>
      <c r="AD23" s="267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16595</v>
      </c>
      <c r="AE23" s="267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267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268" t="e">
        <f>AF23</f>
        <v>#N/A</v>
      </c>
      <c r="AH23" s="267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3" s="267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3" s="267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3" s="267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3" s="268">
        <f>AK23</f>
        <v>0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0</v>
      </c>
      <c r="E24" s="267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0</v>
      </c>
      <c r="F24" s="267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0</v>
      </c>
      <c r="G24" s="267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0</v>
      </c>
      <c r="H24" s="268">
        <f>G24</f>
        <v>0</v>
      </c>
      <c r="I24" s="267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0</v>
      </c>
      <c r="J24" s="267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0</v>
      </c>
      <c r="K24" s="267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0</v>
      </c>
      <c r="L24" s="267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0</v>
      </c>
      <c r="M24" s="268">
        <f>L24</f>
        <v>0</v>
      </c>
      <c r="N24" s="267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0</v>
      </c>
      <c r="O24" s="267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0</v>
      </c>
      <c r="P24" s="267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0</v>
      </c>
      <c r="Q24" s="267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0</v>
      </c>
      <c r="R24" s="268">
        <f>Q24</f>
        <v>0</v>
      </c>
      <c r="S24" s="267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0</v>
      </c>
      <c r="T24" s="267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0</v>
      </c>
      <c r="U24" s="267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0</v>
      </c>
      <c r="V24" s="267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19.544</v>
      </c>
      <c r="W24" s="268">
        <f>V24</f>
        <v>19.544</v>
      </c>
      <c r="X24" s="267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19.544</v>
      </c>
      <c r="Y24" s="267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812.97</v>
      </c>
      <c r="Z24" s="267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829.979</v>
      </c>
      <c r="AA24" s="267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1101</v>
      </c>
      <c r="AB24" s="268">
        <f>AA24</f>
        <v>1101</v>
      </c>
      <c r="AC24" s="267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1101</v>
      </c>
      <c r="AD24" s="267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1101</v>
      </c>
      <c r="AE24" s="267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267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268" t="e">
        <f>AF24</f>
        <v>#N/A</v>
      </c>
      <c r="AH24" s="267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4" s="267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4" s="267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4" s="267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4" s="268">
        <f>AK24</f>
        <v>0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0</v>
      </c>
      <c r="E25" s="267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0</v>
      </c>
      <c r="F25" s="267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0</v>
      </c>
      <c r="G25" s="267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0</v>
      </c>
      <c r="H25" s="268">
        <f>G25</f>
        <v>0</v>
      </c>
      <c r="I25" s="267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0</v>
      </c>
      <c r="J25" s="267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0</v>
      </c>
      <c r="K25" s="267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0</v>
      </c>
      <c r="L25" s="267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0</v>
      </c>
      <c r="M25" s="268">
        <f>L25</f>
        <v>0</v>
      </c>
      <c r="N25" s="267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0</v>
      </c>
      <c r="O25" s="267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0</v>
      </c>
      <c r="P25" s="267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0</v>
      </c>
      <c r="Q25" s="267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0</v>
      </c>
      <c r="R25" s="268">
        <f>Q25</f>
        <v>0</v>
      </c>
      <c r="S25" s="267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0</v>
      </c>
      <c r="T25" s="267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0</v>
      </c>
      <c r="U25" s="267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0</v>
      </c>
      <c r="V25" s="267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4.909</v>
      </c>
      <c r="W25" s="268">
        <f>V25</f>
        <v>4.909</v>
      </c>
      <c r="X25" s="267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4.395</v>
      </c>
      <c r="Y25" s="267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205.895</v>
      </c>
      <c r="Z25" s="267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200.001</v>
      </c>
      <c r="AA25" s="267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235</v>
      </c>
      <c r="AB25" s="268">
        <f>AA25</f>
        <v>235</v>
      </c>
      <c r="AC25" s="267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224</v>
      </c>
      <c r="AD25" s="267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245</v>
      </c>
      <c r="AE25" s="267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267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268" t="e">
        <f>AF25</f>
        <v>#N/A</v>
      </c>
      <c r="AH25" s="267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5" s="267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5" s="267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5" s="267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5" s="268">
        <f>AK25</f>
        <v>0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0</v>
      </c>
      <c r="E26" s="267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0</v>
      </c>
      <c r="F26" s="267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0</v>
      </c>
      <c r="G26" s="267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0</v>
      </c>
      <c r="H26" s="268">
        <f>G26</f>
        <v>0</v>
      </c>
      <c r="I26" s="267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0</v>
      </c>
      <c r="J26" s="267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0</v>
      </c>
      <c r="K26" s="267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0</v>
      </c>
      <c r="L26" s="267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0</v>
      </c>
      <c r="M26" s="268">
        <f>L26</f>
        <v>0</v>
      </c>
      <c r="N26" s="267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0</v>
      </c>
      <c r="O26" s="267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0</v>
      </c>
      <c r="P26" s="267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0</v>
      </c>
      <c r="Q26" s="267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0</v>
      </c>
      <c r="R26" s="268">
        <f>Q26</f>
        <v>0</v>
      </c>
      <c r="S26" s="267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0</v>
      </c>
      <c r="T26" s="267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0</v>
      </c>
      <c r="U26" s="267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0</v>
      </c>
      <c r="V26" s="267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1387.576</v>
      </c>
      <c r="W26" s="268">
        <f>V26</f>
        <v>1387.576</v>
      </c>
      <c r="X26" s="267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1459.585</v>
      </c>
      <c r="Y26" s="267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1264.804</v>
      </c>
      <c r="Z26" s="267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1812.997</v>
      </c>
      <c r="AA26" s="267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1690</v>
      </c>
      <c r="AB26" s="268">
        <f>AA26</f>
        <v>1690</v>
      </c>
      <c r="AC26" s="267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2033</v>
      </c>
      <c r="AD26" s="267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2873</v>
      </c>
      <c r="AE26" s="267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267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268" t="e">
        <f>AF26</f>
        <v>#N/A</v>
      </c>
      <c r="AH26" s="267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6" s="267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6" s="267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6" s="267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6" s="268">
        <f>AK26</f>
        <v>0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0</v>
      </c>
      <c r="E28" s="267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0</v>
      </c>
      <c r="F28" s="267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0</v>
      </c>
      <c r="G28" s="267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0</v>
      </c>
      <c r="H28" s="268">
        <f>G28</f>
        <v>0</v>
      </c>
      <c r="I28" s="267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0</v>
      </c>
      <c r="J28" s="267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0</v>
      </c>
      <c r="K28" s="267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0</v>
      </c>
      <c r="L28" s="267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0</v>
      </c>
      <c r="M28" s="268">
        <f>L28</f>
        <v>0</v>
      </c>
      <c r="N28" s="267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0</v>
      </c>
      <c r="O28" s="267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0</v>
      </c>
      <c r="P28" s="267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0</v>
      </c>
      <c r="Q28" s="267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0</v>
      </c>
      <c r="R28" s="268">
        <f>Q28</f>
        <v>0</v>
      </c>
      <c r="S28" s="267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0</v>
      </c>
      <c r="T28" s="267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0</v>
      </c>
      <c r="U28" s="267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0</v>
      </c>
      <c r="V28" s="267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868.259</v>
      </c>
      <c r="W28" s="268">
        <f>V28</f>
        <v>868.259</v>
      </c>
      <c r="X28" s="267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1242.1</v>
      </c>
      <c r="Y28" s="267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1226.579</v>
      </c>
      <c r="Z28" s="267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1156.978</v>
      </c>
      <c r="AA28" s="267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1623</v>
      </c>
      <c r="AB28" s="268">
        <f>AA28</f>
        <v>1623</v>
      </c>
      <c r="AC28" s="267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3371</v>
      </c>
      <c r="AD28" s="267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3633</v>
      </c>
      <c r="AE28" s="267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267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268" t="e">
        <f>AF28</f>
        <v>#N/A</v>
      </c>
      <c r="AH28" s="267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8" s="267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8" s="267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8" s="267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8" s="268">
        <f>AK28</f>
        <v>0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0</v>
      </c>
      <c r="E29" s="267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0</v>
      </c>
      <c r="F29" s="267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0</v>
      </c>
      <c r="G29" s="267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0</v>
      </c>
      <c r="H29" s="268">
        <f>G29</f>
        <v>0</v>
      </c>
      <c r="I29" s="267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0</v>
      </c>
      <c r="J29" s="267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0</v>
      </c>
      <c r="K29" s="267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0</v>
      </c>
      <c r="L29" s="267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0</v>
      </c>
      <c r="M29" s="268">
        <f>L29</f>
        <v>0</v>
      </c>
      <c r="N29" s="267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0</v>
      </c>
      <c r="O29" s="267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0</v>
      </c>
      <c r="P29" s="267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0</v>
      </c>
      <c r="Q29" s="267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0</v>
      </c>
      <c r="R29" s="268">
        <f>Q29</f>
        <v>0</v>
      </c>
      <c r="S29" s="267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0</v>
      </c>
      <c r="T29" s="267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0</v>
      </c>
      <c r="U29" s="267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0</v>
      </c>
      <c r="V29" s="267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355.821</v>
      </c>
      <c r="W29" s="268">
        <f>V29</f>
        <v>355.821</v>
      </c>
      <c r="X29" s="267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1377.013</v>
      </c>
      <c r="Y29" s="267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1411.237</v>
      </c>
      <c r="Z29" s="267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3172.274</v>
      </c>
      <c r="AA29" s="267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5773</v>
      </c>
      <c r="AB29" s="268">
        <f>AA29</f>
        <v>5773</v>
      </c>
      <c r="AC29" s="267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2726</v>
      </c>
      <c r="AD29" s="267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6424</v>
      </c>
      <c r="AE29" s="267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267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268" t="e">
        <f>AF29</f>
        <v>#N/A</v>
      </c>
      <c r="AH29" s="267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9" s="267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9" s="267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9" s="267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9" s="268">
        <f>AK29</f>
        <v>0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0</v>
      </c>
      <c r="E30" s="267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0</v>
      </c>
      <c r="F30" s="267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0</v>
      </c>
      <c r="G30" s="267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0</v>
      </c>
      <c r="H30" s="268">
        <f>G30</f>
        <v>0</v>
      </c>
      <c r="I30" s="267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0</v>
      </c>
      <c r="J30" s="267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0</v>
      </c>
      <c r="K30" s="267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0</v>
      </c>
      <c r="L30" s="267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0</v>
      </c>
      <c r="M30" s="268">
        <f>L30</f>
        <v>0</v>
      </c>
      <c r="N30" s="267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0</v>
      </c>
      <c r="O30" s="267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0</v>
      </c>
      <c r="P30" s="267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0</v>
      </c>
      <c r="Q30" s="267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0</v>
      </c>
      <c r="R30" s="268">
        <f>Q30</f>
        <v>0</v>
      </c>
      <c r="S30" s="267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0</v>
      </c>
      <c r="T30" s="267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0</v>
      </c>
      <c r="U30" s="267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0</v>
      </c>
      <c r="V30" s="267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0</v>
      </c>
      <c r="W30" s="268">
        <f>V30</f>
        <v>0</v>
      </c>
      <c r="X30" s="267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0</v>
      </c>
      <c r="Y30" s="267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0</v>
      </c>
      <c r="Z30" s="267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0</v>
      </c>
      <c r="AA30" s="267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0" s="268">
        <f>AA30</f>
        <v>0</v>
      </c>
      <c r="AC30" s="267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0" s="267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0" s="267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267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268" t="e">
        <f>AF30</f>
        <v>#N/A</v>
      </c>
      <c r="AH30" s="267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0" s="267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0" s="267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0" s="267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0" s="268">
        <f>AK30</f>
        <v>0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0</v>
      </c>
      <c r="E31" s="267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0</v>
      </c>
      <c r="F31" s="267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0</v>
      </c>
      <c r="G31" s="267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0</v>
      </c>
      <c r="H31" s="268">
        <f>G31</f>
        <v>0</v>
      </c>
      <c r="I31" s="267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0</v>
      </c>
      <c r="J31" s="267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0</v>
      </c>
      <c r="K31" s="267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0</v>
      </c>
      <c r="L31" s="267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0</v>
      </c>
      <c r="M31" s="268">
        <f>L31</f>
        <v>0</v>
      </c>
      <c r="N31" s="267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0</v>
      </c>
      <c r="O31" s="267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0</v>
      </c>
      <c r="P31" s="267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0</v>
      </c>
      <c r="Q31" s="267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0</v>
      </c>
      <c r="R31" s="268">
        <f>Q31</f>
        <v>0</v>
      </c>
      <c r="S31" s="267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0</v>
      </c>
      <c r="T31" s="267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0</v>
      </c>
      <c r="U31" s="267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0</v>
      </c>
      <c r="V31" s="267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1056.972</v>
      </c>
      <c r="W31" s="268">
        <f>V31</f>
        <v>1056.972</v>
      </c>
      <c r="X31" s="267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495.54</v>
      </c>
      <c r="Y31" s="267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1011.795</v>
      </c>
      <c r="Z31" s="267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1327.971</v>
      </c>
      <c r="AA31" s="267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1909</v>
      </c>
      <c r="AB31" s="268">
        <f>AA31</f>
        <v>1909</v>
      </c>
      <c r="AC31" s="267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3687</v>
      </c>
      <c r="AD31" s="267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10276</v>
      </c>
      <c r="AE31" s="267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267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268" t="e">
        <f>AF31</f>
        <v>#N/A</v>
      </c>
      <c r="AH31" s="267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1" s="267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1" s="267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1" s="267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1" s="268">
        <f>AK31</f>
        <v>0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0</v>
      </c>
      <c r="E32" s="267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0</v>
      </c>
      <c r="F32" s="267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0</v>
      </c>
      <c r="G32" s="267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0</v>
      </c>
      <c r="H32" s="268">
        <f>G32</f>
        <v>0</v>
      </c>
      <c r="I32" s="267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0</v>
      </c>
      <c r="J32" s="267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0</v>
      </c>
      <c r="K32" s="267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0</v>
      </c>
      <c r="L32" s="267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0</v>
      </c>
      <c r="M32" s="268">
        <f>L32</f>
        <v>0</v>
      </c>
      <c r="N32" s="267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0</v>
      </c>
      <c r="O32" s="267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0</v>
      </c>
      <c r="P32" s="267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0</v>
      </c>
      <c r="Q32" s="267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0</v>
      </c>
      <c r="R32" s="268">
        <f>Q32</f>
        <v>0</v>
      </c>
      <c r="S32" s="267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0</v>
      </c>
      <c r="T32" s="267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0</v>
      </c>
      <c r="U32" s="267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0</v>
      </c>
      <c r="V32" s="267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2468.425</v>
      </c>
      <c r="W32" s="268">
        <f>V32</f>
        <v>2468.425</v>
      </c>
      <c r="X32" s="267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3776.595</v>
      </c>
      <c r="Y32" s="267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3627.664</v>
      </c>
      <c r="Z32" s="267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3712.177</v>
      </c>
      <c r="AA32" s="267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6708</v>
      </c>
      <c r="AB32" s="268">
        <f>AA32</f>
        <v>6708</v>
      </c>
      <c r="AC32" s="267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7547</v>
      </c>
      <c r="AD32" s="267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2" s="267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267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268" t="e">
        <f>AF32</f>
        <v>#N/A</v>
      </c>
      <c r="AH32" s="267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2" s="267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2" s="267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2" s="267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2" s="268">
        <f>AK32</f>
        <v>0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0</v>
      </c>
      <c r="E33" s="267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0</v>
      </c>
      <c r="F33" s="267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0</v>
      </c>
      <c r="G33" s="267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0</v>
      </c>
      <c r="H33" s="268">
        <f>G33</f>
        <v>0</v>
      </c>
      <c r="I33" s="267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0</v>
      </c>
      <c r="J33" s="267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0</v>
      </c>
      <c r="K33" s="267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0</v>
      </c>
      <c r="L33" s="267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0</v>
      </c>
      <c r="M33" s="268">
        <f>L33</f>
        <v>0</v>
      </c>
      <c r="N33" s="267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0</v>
      </c>
      <c r="O33" s="267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0</v>
      </c>
      <c r="P33" s="267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0</v>
      </c>
      <c r="Q33" s="267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0</v>
      </c>
      <c r="R33" s="268">
        <f>Q33</f>
        <v>0</v>
      </c>
      <c r="S33" s="267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0</v>
      </c>
      <c r="T33" s="267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0</v>
      </c>
      <c r="U33" s="267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0</v>
      </c>
      <c r="V33" s="267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0</v>
      </c>
      <c r="W33" s="268">
        <f>V33</f>
        <v>0</v>
      </c>
      <c r="X33" s="267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0</v>
      </c>
      <c r="Y33" s="267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0</v>
      </c>
      <c r="Z33" s="267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0</v>
      </c>
      <c r="AA33" s="267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3" s="268">
        <f>AA33</f>
        <v>0</v>
      </c>
      <c r="AC33" s="267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3" s="267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3" s="267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267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268" t="e">
        <f>AF33</f>
        <v>#N/A</v>
      </c>
      <c r="AH33" s="267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3" s="267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3" s="267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3" s="267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0</v>
      </c>
      <c r="E34" s="267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0</v>
      </c>
      <c r="F34" s="267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0</v>
      </c>
      <c r="G34" s="267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0</v>
      </c>
      <c r="H34" s="268">
        <f>G34</f>
        <v>0</v>
      </c>
      <c r="I34" s="267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0</v>
      </c>
      <c r="J34" s="267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0</v>
      </c>
      <c r="K34" s="267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0</v>
      </c>
      <c r="L34" s="267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0</v>
      </c>
      <c r="M34" s="268">
        <f>L34</f>
        <v>0</v>
      </c>
      <c r="N34" s="267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0</v>
      </c>
      <c r="O34" s="267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0</v>
      </c>
      <c r="P34" s="267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0</v>
      </c>
      <c r="Q34" s="267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0</v>
      </c>
      <c r="R34" s="268">
        <f>Q34</f>
        <v>0</v>
      </c>
      <c r="S34" s="267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0</v>
      </c>
      <c r="T34" s="267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0</v>
      </c>
      <c r="U34" s="267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0</v>
      </c>
      <c r="V34" s="267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213.104</v>
      </c>
      <c r="W34" s="268">
        <f>V34</f>
        <v>213.104</v>
      </c>
      <c r="X34" s="267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239.549</v>
      </c>
      <c r="Y34" s="267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279.08</v>
      </c>
      <c r="Z34" s="267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345.472</v>
      </c>
      <c r="AA34" s="267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427</v>
      </c>
      <c r="AB34" s="268">
        <f>AA34</f>
        <v>427</v>
      </c>
      <c r="AC34" s="267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487</v>
      </c>
      <c r="AD34" s="267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584</v>
      </c>
      <c r="AE34" s="267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267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268" t="e">
        <f>AF34</f>
        <v>#N/A</v>
      </c>
      <c r="AH34" s="267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4" s="267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4" s="267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4" s="267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4" s="268">
        <f>AK34</f>
        <v>0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0</v>
      </c>
      <c r="E35" s="267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0</v>
      </c>
      <c r="F35" s="267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0</v>
      </c>
      <c r="G35" s="267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0</v>
      </c>
      <c r="H35" s="268">
        <f>G35</f>
        <v>0</v>
      </c>
      <c r="I35" s="267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0</v>
      </c>
      <c r="J35" s="267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0</v>
      </c>
      <c r="K35" s="267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0</v>
      </c>
      <c r="L35" s="267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0</v>
      </c>
      <c r="M35" s="268">
        <f>L35</f>
        <v>0</v>
      </c>
      <c r="N35" s="267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0</v>
      </c>
      <c r="O35" s="267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0</v>
      </c>
      <c r="P35" s="267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0</v>
      </c>
      <c r="Q35" s="267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0</v>
      </c>
      <c r="R35" s="268">
        <f>Q35</f>
        <v>0</v>
      </c>
      <c r="S35" s="267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0</v>
      </c>
      <c r="T35" s="267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0</v>
      </c>
      <c r="U35" s="267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0</v>
      </c>
      <c r="V35" s="267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5457.915</v>
      </c>
      <c r="W35" s="268">
        <f>V35</f>
        <v>5457.915</v>
      </c>
      <c r="X35" s="267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4935.071</v>
      </c>
      <c r="Y35" s="267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7423.837</v>
      </c>
      <c r="Z35" s="267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10322.757</v>
      </c>
      <c r="AA35" s="267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14665</v>
      </c>
      <c r="AB35" s="268">
        <f>AA35</f>
        <v>14665</v>
      </c>
      <c r="AC35" s="267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17312</v>
      </c>
      <c r="AD35" s="267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5" s="267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267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268" t="e">
        <f>AF35</f>
        <v>#N/A</v>
      </c>
      <c r="AH35" s="267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5" s="267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5" s="267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5" s="267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5" s="268">
        <f>AK35</f>
        <v>0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0</v>
      </c>
      <c r="E36" s="267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0</v>
      </c>
      <c r="F36" s="267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0</v>
      </c>
      <c r="G36" s="267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0</v>
      </c>
      <c r="H36" s="268">
        <f>G36</f>
        <v>0</v>
      </c>
      <c r="I36" s="267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0</v>
      </c>
      <c r="J36" s="267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0</v>
      </c>
      <c r="K36" s="267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0</v>
      </c>
      <c r="L36" s="267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0</v>
      </c>
      <c r="M36" s="268">
        <f>L36</f>
        <v>0</v>
      </c>
      <c r="N36" s="267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0</v>
      </c>
      <c r="O36" s="267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0</v>
      </c>
      <c r="P36" s="267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0</v>
      </c>
      <c r="Q36" s="267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0</v>
      </c>
      <c r="R36" s="268">
        <f>Q36</f>
        <v>0</v>
      </c>
      <c r="S36" s="267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0</v>
      </c>
      <c r="T36" s="267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0</v>
      </c>
      <c r="U36" s="267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0</v>
      </c>
      <c r="V36" s="267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2388.912</v>
      </c>
      <c r="W36" s="268">
        <f>V36</f>
        <v>2388.912</v>
      </c>
      <c r="X36" s="267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2867.838</v>
      </c>
      <c r="Y36" s="267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3168.392</v>
      </c>
      <c r="Z36" s="267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4378.869</v>
      </c>
      <c r="AA36" s="267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7768</v>
      </c>
      <c r="AB36" s="268">
        <f>AA36</f>
        <v>7768</v>
      </c>
      <c r="AC36" s="267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9563</v>
      </c>
      <c r="AD36" s="267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15735</v>
      </c>
      <c r="AE36" s="267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267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268" t="e">
        <f>AF36</f>
        <v>#N/A</v>
      </c>
      <c r="AH36" s="267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6" s="267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6" s="267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6" s="267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6" s="268">
        <f>AK36</f>
        <v>0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0</v>
      </c>
      <c r="E37" s="267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0</v>
      </c>
      <c r="F37" s="267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0</v>
      </c>
      <c r="G37" s="267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0</v>
      </c>
      <c r="H37" s="268">
        <f>G37</f>
        <v>0</v>
      </c>
      <c r="I37" s="267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0</v>
      </c>
      <c r="J37" s="267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0</v>
      </c>
      <c r="K37" s="267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0</v>
      </c>
      <c r="L37" s="267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0</v>
      </c>
      <c r="M37" s="268">
        <f>L37</f>
        <v>0</v>
      </c>
      <c r="N37" s="267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0</v>
      </c>
      <c r="O37" s="267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0</v>
      </c>
      <c r="P37" s="267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0</v>
      </c>
      <c r="Q37" s="267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0</v>
      </c>
      <c r="R37" s="268">
        <f>Q37</f>
        <v>0</v>
      </c>
      <c r="S37" s="267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0</v>
      </c>
      <c r="T37" s="267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0</v>
      </c>
      <c r="U37" s="267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0</v>
      </c>
      <c r="V37" s="267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0</v>
      </c>
      <c r="W37" s="268">
        <f>V37</f>
        <v>0</v>
      </c>
      <c r="X37" s="267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0</v>
      </c>
      <c r="Y37" s="267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0</v>
      </c>
      <c r="Z37" s="267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0</v>
      </c>
      <c r="AA37" s="267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7" s="268">
        <f>AA37</f>
        <v>0</v>
      </c>
      <c r="AC37" s="267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7" s="267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7" s="267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267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268" t="e">
        <f>AF37</f>
        <v>#N/A</v>
      </c>
      <c r="AH37" s="267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7" s="267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7" s="267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7" s="267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0</v>
      </c>
      <c r="E38" s="267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0</v>
      </c>
      <c r="F38" s="267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0</v>
      </c>
      <c r="G38" s="267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0</v>
      </c>
      <c r="H38" s="268">
        <f>G38</f>
        <v>0</v>
      </c>
      <c r="I38" s="267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0</v>
      </c>
      <c r="J38" s="267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0</v>
      </c>
      <c r="K38" s="267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0</v>
      </c>
      <c r="L38" s="267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0</v>
      </c>
      <c r="M38" s="268">
        <f>L38</f>
        <v>0</v>
      </c>
      <c r="N38" s="267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0</v>
      </c>
      <c r="O38" s="267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0</v>
      </c>
      <c r="P38" s="267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0</v>
      </c>
      <c r="Q38" s="267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0</v>
      </c>
      <c r="R38" s="268">
        <f>Q38</f>
        <v>0</v>
      </c>
      <c r="S38" s="267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0</v>
      </c>
      <c r="T38" s="267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0</v>
      </c>
      <c r="U38" s="267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0</v>
      </c>
      <c r="V38" s="267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149.232</v>
      </c>
      <c r="W38" s="268">
        <f>V38</f>
        <v>149.232</v>
      </c>
      <c r="X38" s="267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193.849</v>
      </c>
      <c r="Y38" s="267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245.659</v>
      </c>
      <c r="Z38" s="267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117.633</v>
      </c>
      <c r="AA38" s="267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115</v>
      </c>
      <c r="AB38" s="268">
        <f>AA38</f>
        <v>115</v>
      </c>
      <c r="AC38" s="267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194</v>
      </c>
      <c r="AD38" s="267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256</v>
      </c>
      <c r="AE38" s="267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267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268" t="e">
        <f>AF38</f>
        <v>#N/A</v>
      </c>
      <c r="AH38" s="267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8" s="267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8" s="267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8" s="267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8" s="268">
        <f>AK38</f>
        <v>0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0</v>
      </c>
      <c r="E39" s="267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0</v>
      </c>
      <c r="F39" s="267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0</v>
      </c>
      <c r="G39" s="267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0</v>
      </c>
      <c r="H39" s="268">
        <f>G39</f>
        <v>0</v>
      </c>
      <c r="I39" s="267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0</v>
      </c>
      <c r="J39" s="267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0</v>
      </c>
      <c r="K39" s="267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0</v>
      </c>
      <c r="L39" s="267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0</v>
      </c>
      <c r="M39" s="268">
        <f>L39</f>
        <v>0</v>
      </c>
      <c r="N39" s="267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0</v>
      </c>
      <c r="O39" s="267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0</v>
      </c>
      <c r="P39" s="267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0</v>
      </c>
      <c r="Q39" s="267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0</v>
      </c>
      <c r="R39" s="268">
        <f>Q39</f>
        <v>0</v>
      </c>
      <c r="S39" s="267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0</v>
      </c>
      <c r="T39" s="267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0</v>
      </c>
      <c r="U39" s="267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0</v>
      </c>
      <c r="V39" s="267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3565.446</v>
      </c>
      <c r="W39" s="268">
        <f>V39</f>
        <v>3565.446</v>
      </c>
      <c r="X39" s="267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3663.546</v>
      </c>
      <c r="Y39" s="267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4026.314</v>
      </c>
      <c r="Z39" s="267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4498.353</v>
      </c>
      <c r="AA39" s="267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6979</v>
      </c>
      <c r="AB39" s="268">
        <f>AA39</f>
        <v>6979</v>
      </c>
      <c r="AC39" s="267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5927</v>
      </c>
      <c r="AD39" s="267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35138</v>
      </c>
      <c r="AE39" s="267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267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268" t="e">
        <f>AF39</f>
        <v>#N/A</v>
      </c>
      <c r="AH39" s="267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9" s="267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9" s="267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9" s="267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9" s="268">
        <f>AK39</f>
        <v>0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0</v>
      </c>
      <c r="E41" s="267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0</v>
      </c>
      <c r="F41" s="267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0</v>
      </c>
      <c r="G41" s="267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0</v>
      </c>
      <c r="H41" s="268">
        <f>G41</f>
        <v>0</v>
      </c>
      <c r="I41" s="267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0</v>
      </c>
      <c r="J41" s="267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0</v>
      </c>
      <c r="K41" s="267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0</v>
      </c>
      <c r="L41" s="267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0</v>
      </c>
      <c r="M41" s="268">
        <f>L41</f>
        <v>0</v>
      </c>
      <c r="N41" s="267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0</v>
      </c>
      <c r="O41" s="267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0</v>
      </c>
      <c r="P41" s="267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0</v>
      </c>
      <c r="Q41" s="267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0</v>
      </c>
      <c r="R41" s="268">
        <f>Q41</f>
        <v>0</v>
      </c>
      <c r="S41" s="267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0</v>
      </c>
      <c r="T41" s="267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0</v>
      </c>
      <c r="U41" s="267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0</v>
      </c>
      <c r="V41" s="267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0</v>
      </c>
      <c r="W41" s="268">
        <f>V41</f>
        <v>0</v>
      </c>
      <c r="X41" s="267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0</v>
      </c>
      <c r="Y41" s="267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0</v>
      </c>
      <c r="Z41" s="267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0</v>
      </c>
      <c r="AA41" s="267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1" s="268">
        <f>AA41</f>
        <v>0</v>
      </c>
      <c r="AC41" s="267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1" s="267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1" s="267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267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268" t="e">
        <f>AF41</f>
        <v>#N/A</v>
      </c>
      <c r="AH41" s="267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1" s="267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1" s="267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1" s="267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1" s="268">
        <f>AK41</f>
        <v>0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267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267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267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268" t="e">
        <f>G42</f>
        <v>#N/A</v>
      </c>
      <c r="I42" s="267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267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267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267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268" t="e">
        <f>L42</f>
        <v>#N/A</v>
      </c>
      <c r="N42" s="267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267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267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267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268" t="e">
        <f>Q42</f>
        <v>#N/A</v>
      </c>
      <c r="S42" s="267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267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267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267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268" t="e">
        <f>V42</f>
        <v>#N/A</v>
      </c>
      <c r="X42" s="267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267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267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267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267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267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267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267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267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267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0</v>
      </c>
      <c r="E43" s="267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0</v>
      </c>
      <c r="F43" s="267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0</v>
      </c>
      <c r="G43" s="267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0</v>
      </c>
      <c r="H43" s="268">
        <f>G43</f>
        <v>0</v>
      </c>
      <c r="I43" s="267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0</v>
      </c>
      <c r="J43" s="267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0</v>
      </c>
      <c r="K43" s="267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0</v>
      </c>
      <c r="L43" s="267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0</v>
      </c>
      <c r="M43" s="268">
        <f>L43</f>
        <v>0</v>
      </c>
      <c r="N43" s="267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0</v>
      </c>
      <c r="O43" s="267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0</v>
      </c>
      <c r="P43" s="267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0</v>
      </c>
      <c r="Q43" s="267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0</v>
      </c>
      <c r="R43" s="268">
        <f>Q43</f>
        <v>0</v>
      </c>
      <c r="S43" s="267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0</v>
      </c>
      <c r="T43" s="267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0</v>
      </c>
      <c r="U43" s="267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0</v>
      </c>
      <c r="V43" s="267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1096.16</v>
      </c>
      <c r="W43" s="268">
        <f>V43</f>
        <v>1096.16</v>
      </c>
      <c r="X43" s="267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3730.521</v>
      </c>
      <c r="Y43" s="267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4772.825</v>
      </c>
      <c r="Z43" s="267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6104.329</v>
      </c>
      <c r="AA43" s="267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6012</v>
      </c>
      <c r="AB43" s="268">
        <f>AA43</f>
        <v>6012</v>
      </c>
      <c r="AC43" s="267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8171</v>
      </c>
      <c r="AD43" s="267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9085</v>
      </c>
      <c r="AE43" s="267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267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268" t="e">
        <f>AF43</f>
        <v>#N/A</v>
      </c>
      <c r="AH43" s="267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3" s="267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3" s="267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3" s="267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3" s="268">
        <f>AK43</f>
        <v>0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0</v>
      </c>
      <c r="E44" s="267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0</v>
      </c>
      <c r="F44" s="267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0</v>
      </c>
      <c r="G44" s="267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0</v>
      </c>
      <c r="H44" s="268">
        <f>G44</f>
        <v>0</v>
      </c>
      <c r="I44" s="267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0</v>
      </c>
      <c r="J44" s="267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0</v>
      </c>
      <c r="K44" s="267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0</v>
      </c>
      <c r="L44" s="267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0</v>
      </c>
      <c r="M44" s="268">
        <f>L44</f>
        <v>0</v>
      </c>
      <c r="N44" s="267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0</v>
      </c>
      <c r="O44" s="267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0</v>
      </c>
      <c r="P44" s="267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0</v>
      </c>
      <c r="Q44" s="267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0</v>
      </c>
      <c r="R44" s="268">
        <f>Q44</f>
        <v>0</v>
      </c>
      <c r="S44" s="267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0</v>
      </c>
      <c r="T44" s="267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0</v>
      </c>
      <c r="U44" s="267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0</v>
      </c>
      <c r="V44" s="267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-33.524</v>
      </c>
      <c r="W44" s="268">
        <f>V44</f>
        <v>-33.524</v>
      </c>
      <c r="X44" s="267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-33.524</v>
      </c>
      <c r="Y44" s="267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-33.524</v>
      </c>
      <c r="Z44" s="267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-33.524</v>
      </c>
      <c r="AA44" s="267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-34</v>
      </c>
      <c r="AB44" s="268">
        <f>AA44</f>
        <v>-34</v>
      </c>
      <c r="AC44" s="267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-34</v>
      </c>
      <c r="AD44" s="267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-34</v>
      </c>
      <c r="AE44" s="267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267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268" t="e">
        <f>AF44</f>
        <v>#N/A</v>
      </c>
      <c r="AH44" s="267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4" s="267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4" s="267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4" s="267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4" s="268">
        <f>AK44</f>
        <v>0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0</v>
      </c>
      <c r="E45" s="267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0</v>
      </c>
      <c r="F45" s="267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0</v>
      </c>
      <c r="G45" s="267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0</v>
      </c>
      <c r="H45" s="268">
        <f>G45</f>
        <v>0</v>
      </c>
      <c r="I45" s="267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0</v>
      </c>
      <c r="J45" s="267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0</v>
      </c>
      <c r="K45" s="267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0</v>
      </c>
      <c r="L45" s="267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0</v>
      </c>
      <c r="M45" s="268">
        <f>L45</f>
        <v>0</v>
      </c>
      <c r="N45" s="267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0</v>
      </c>
      <c r="O45" s="267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0</v>
      </c>
      <c r="P45" s="267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0</v>
      </c>
      <c r="Q45" s="267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0</v>
      </c>
      <c r="R45" s="268">
        <f>Q45</f>
        <v>0</v>
      </c>
      <c r="S45" s="267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0</v>
      </c>
      <c r="T45" s="267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0</v>
      </c>
      <c r="U45" s="267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0</v>
      </c>
      <c r="V45" s="267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0</v>
      </c>
      <c r="W45" s="268">
        <f>V45</f>
        <v>0</v>
      </c>
      <c r="X45" s="267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0</v>
      </c>
      <c r="Y45" s="267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-0.271</v>
      </c>
      <c r="Z45" s="267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-1.284</v>
      </c>
      <c r="AA45" s="267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5" s="268">
        <f>AA45</f>
        <v>0</v>
      </c>
      <c r="AC45" s="267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5</v>
      </c>
      <c r="AD45" s="267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-18</v>
      </c>
      <c r="AE45" s="267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267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268" t="e">
        <f>AF45</f>
        <v>#N/A</v>
      </c>
      <c r="AH45" s="267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5" s="267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5" s="267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5" s="267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5" s="268">
        <f>AK45</f>
        <v>0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0</v>
      </c>
      <c r="E46" s="267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0</v>
      </c>
      <c r="F46" s="267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0</v>
      </c>
      <c r="G46" s="267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0</v>
      </c>
      <c r="H46" s="268">
        <f>G46</f>
        <v>0</v>
      </c>
      <c r="I46" s="267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0</v>
      </c>
      <c r="J46" s="267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0</v>
      </c>
      <c r="K46" s="267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0</v>
      </c>
      <c r="L46" s="267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0</v>
      </c>
      <c r="M46" s="268">
        <f>L46</f>
        <v>0</v>
      </c>
      <c r="N46" s="267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0</v>
      </c>
      <c r="O46" s="267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0</v>
      </c>
      <c r="P46" s="267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0</v>
      </c>
      <c r="Q46" s="267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0</v>
      </c>
      <c r="R46" s="268">
        <f>Q46</f>
        <v>0</v>
      </c>
      <c r="S46" s="267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0</v>
      </c>
      <c r="T46" s="267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0</v>
      </c>
      <c r="U46" s="267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0</v>
      </c>
      <c r="V46" s="267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1722.112</v>
      </c>
      <c r="W46" s="268">
        <f>V46</f>
        <v>1722.112</v>
      </c>
      <c r="X46" s="267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1163.161</v>
      </c>
      <c r="Y46" s="267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1163.161</v>
      </c>
      <c r="Z46" s="267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0.002</v>
      </c>
      <c r="AA46" s="267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268">
        <f>AA46</f>
        <v>0</v>
      </c>
      <c r="AC46" s="267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267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6" s="267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267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268" t="e">
        <f>AF46</f>
        <v>#N/A</v>
      </c>
      <c r="AH46" s="267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6" s="267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6" s="267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6" s="267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6" s="268">
        <f>AK46</f>
        <v>0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0</v>
      </c>
      <c r="E47" s="267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0</v>
      </c>
      <c r="F47" s="267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0</v>
      </c>
      <c r="G47" s="267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0</v>
      </c>
      <c r="H47" s="268">
        <f>G47</f>
        <v>0</v>
      </c>
      <c r="I47" s="267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0</v>
      </c>
      <c r="J47" s="267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0</v>
      </c>
      <c r="K47" s="267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0</v>
      </c>
      <c r="L47" s="267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0</v>
      </c>
      <c r="M47" s="268">
        <f>L47</f>
        <v>0</v>
      </c>
      <c r="N47" s="267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0</v>
      </c>
      <c r="O47" s="267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0</v>
      </c>
      <c r="P47" s="267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0</v>
      </c>
      <c r="Q47" s="267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0</v>
      </c>
      <c r="R47" s="268">
        <f>Q47</f>
        <v>0</v>
      </c>
      <c r="S47" s="267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0</v>
      </c>
      <c r="T47" s="267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0</v>
      </c>
      <c r="U47" s="267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0</v>
      </c>
      <c r="V47" s="267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-1476.235</v>
      </c>
      <c r="W47" s="268">
        <f>V47</f>
        <v>-1476.235</v>
      </c>
      <c r="X47" s="267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-1790.876</v>
      </c>
      <c r="Y47" s="267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-2081.385</v>
      </c>
      <c r="Z47" s="267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-2191.509</v>
      </c>
      <c r="AA47" s="267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-2643</v>
      </c>
      <c r="AB47" s="268">
        <f>AA47</f>
        <v>-2643</v>
      </c>
      <c r="AC47" s="267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-3383</v>
      </c>
      <c r="AD47" s="267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-4009</v>
      </c>
      <c r="AE47" s="267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267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268" t="e">
        <f>AF47</f>
        <v>#N/A</v>
      </c>
      <c r="AH47" s="267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7" s="267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7" s="267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7" s="267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7" s="268">
        <f>AK47</f>
        <v>0</v>
      </c>
    </row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0</v>
      </c>
      <c r="E50" s="267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0</v>
      </c>
      <c r="F50" s="267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0</v>
      </c>
      <c r="G50" s="267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0</v>
      </c>
      <c r="H50" s="268">
        <f>SUM(D50:G50)</f>
        <v>0</v>
      </c>
      <c r="I50" s="267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0</v>
      </c>
      <c r="J50" s="267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0</v>
      </c>
      <c r="K50" s="267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0</v>
      </c>
      <c r="L50" s="267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0</v>
      </c>
      <c r="M50" s="268">
        <f>SUM(I50:L50)</f>
        <v>0</v>
      </c>
      <c r="N50" s="267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0</v>
      </c>
      <c r="O50" s="267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0</v>
      </c>
      <c r="P50" s="267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0</v>
      </c>
      <c r="Q50" s="267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0</v>
      </c>
      <c r="R50" s="268">
        <f>SUM(N50:Q50)</f>
        <v>0</v>
      </c>
      <c r="S50" s="267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-129.248</v>
      </c>
      <c r="T50" s="267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-323.021</v>
      </c>
      <c r="U50" s="267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-359.807</v>
      </c>
      <c r="V50" s="267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-50.924</v>
      </c>
      <c r="W50" s="268">
        <f>SUM(S50:V50)</f>
        <v>-863</v>
      </c>
      <c r="X50" s="267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-315</v>
      </c>
      <c r="Y50" s="267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-290</v>
      </c>
      <c r="Z50" s="267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-110.124</v>
      </c>
      <c r="AA50" s="267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-451.726</v>
      </c>
      <c r="AB50" s="268">
        <f>SUM(X50:AA50)</f>
        <v>-1166.85</v>
      </c>
      <c r="AC50" s="267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-740</v>
      </c>
      <c r="AD50" s="267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-626</v>
      </c>
      <c r="AE50" s="267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267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50" s="26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50" s="26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50" s="26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50" s="260">
        <f>SUM(AH50:AK50)</f>
        <v>0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Estados Unidos - receita (USD)</t>
        </is>
      </c>
      <c r="D53" s="520" t="e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53" s="520" t="e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53" s="520" t="e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53" s="520" t="e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53" s="521" t="e">
        <f>SUM(D53:G53)</f>
        <v>#N/A</v>
      </c>
      <c r="I53" s="520" t="e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53" s="520" t="e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53" s="520" t="e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53" s="520" t="e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53" s="521" t="e">
        <f>SUM(I53:L53)</f>
        <v>#N/A</v>
      </c>
      <c r="N53" s="520" t="e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53" s="520" t="e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53" s="520" t="e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53" s="520" t="e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53" s="521" t="e">
        <f>SUM(N53:Q53)</f>
        <v>#N/A</v>
      </c>
      <c r="S53" s="520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176.964</v>
      </c>
      <c r="T53" s="520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370.107</v>
      </c>
      <c r="U53" s="520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547.15</v>
      </c>
      <c r="V53" s="520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702.779</v>
      </c>
      <c r="W53" s="521">
        <f>SUM(S53:V53)</f>
        <v>1797</v>
      </c>
      <c r="X53" s="520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929</v>
      </c>
      <c r="Y53" s="520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1148</v>
      </c>
      <c r="Z53" s="520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1281.336</v>
      </c>
      <c r="AA53" s="520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1442.585</v>
      </c>
      <c r="AB53" s="521">
        <f>SUM(X53:AA53)</f>
        <v>4800.921</v>
      </c>
      <c r="AC53" s="520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1900</v>
      </c>
      <c r="AD53" s="520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2389</v>
      </c>
      <c r="AE53" s="520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520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521" t="e">
        <f>SUM(AC53:AF53)</f>
        <v>#N/A</v>
      </c>
      <c r="AH53" s="520" t="e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53" s="520" t="e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53" s="520" t="e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53" s="520" t="e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53" s="521" t="e">
        <f>SUM(AH53:AK53)</f>
        <v>#N/A</v>
      </c>
    </row>
    <row r="54">
      <c r="B54" s="265" t="n">
        <v>46</v>
      </c>
      <c r="C54" s="266" t="inlineStr">
        <is>
          <t>Fora dos EUA - receita (USD)</t>
        </is>
      </c>
      <c r="D54" s="520" t="e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54" s="520" t="e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54" s="520" t="e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54" s="520" t="e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54" s="521" t="e">
        <f>SUM(D54:G54)</f>
        <v>#N/A</v>
      </c>
      <c r="I54" s="520" t="e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54" s="520" t="e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54" s="520" t="e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54" s="520" t="e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54" s="521" t="e">
        <f>SUM(I54:L54)</f>
        <v>#N/A</v>
      </c>
      <c r="N54" s="520" t="e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54" s="520" t="e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54" s="520" t="e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54" s="520" t="e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54" s="521" t="e">
        <f>SUM(N54:Q54)</f>
        <v>#N/A</v>
      </c>
      <c r="S54" s="520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11.72</v>
      </c>
      <c r="T54" s="520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25.264</v>
      </c>
      <c r="U54" s="520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36.791</v>
      </c>
      <c r="V54" s="520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44.225</v>
      </c>
      <c r="W54" s="521">
        <f>SUM(S54:V54)</f>
        <v>118</v>
      </c>
      <c r="X54" s="520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53</v>
      </c>
      <c r="Y54" s="520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64</v>
      </c>
      <c r="Z54" s="520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83.34</v>
      </c>
      <c r="AA54" s="520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129.319</v>
      </c>
      <c r="AB54" s="521">
        <f>SUM(X54:AA54)</f>
        <v>329.659</v>
      </c>
      <c r="AC54" s="520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178</v>
      </c>
      <c r="AD54" s="520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186</v>
      </c>
      <c r="AE54" s="520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520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521" t="e">
        <f>SUM(AC54:AF54)</f>
        <v>#N/A</v>
      </c>
      <c r="AH54" s="520" t="e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54" s="520" t="e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54" s="520" t="e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54" s="520" t="e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54" s="521" t="e">
        <f>SUM(AH54:AK54)</f>
        <v>#N/A</v>
      </c>
    </row>
    <row r="55">
      <c r="B55" s="265" t="n">
        <v>47</v>
      </c>
      <c r="C55" s="266" t="inlineStr">
        <is>
          <t>RPO - obrigações de desempenho remanescentes, saldo no fim do período (USD)</t>
        </is>
      </c>
      <c r="D55" s="520" t="e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55" s="520" t="e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55" s="520" t="e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55" s="520" t="e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55" s="521" t="e">
        <f>G55</f>
        <v>#N/A</v>
      </c>
      <c r="I55" s="520" t="e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55" s="520" t="e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55" s="520" t="e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55" s="520" t="e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55" s="521" t="e">
        <f>L55</f>
        <v>#N/A</v>
      </c>
      <c r="N55" s="520" t="e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55" s="520" t="e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55" s="520" t="e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55" s="520" t="e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55" s="521" t="e">
        <f>Q55</f>
        <v>#N/A</v>
      </c>
      <c r="S55" s="520" t="e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55" s="520" t="e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55" s="520" t="e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55" s="520" t="e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55" s="521" t="e">
        <f>V55</f>
        <v>#N/A</v>
      </c>
      <c r="X55" s="520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14700</v>
      </c>
      <c r="Y55" s="520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30100</v>
      </c>
      <c r="Z55" s="520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50000</v>
      </c>
      <c r="AA55" s="520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60700</v>
      </c>
      <c r="AB55" s="521">
        <f>AA55</f>
        <v>60700</v>
      </c>
      <c r="AC55" s="520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98800</v>
      </c>
      <c r="AD55" s="520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103700</v>
      </c>
      <c r="AE55" s="520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520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521" t="e">
        <f>AF55</f>
        <v>#N/A</v>
      </c>
      <c r="AH55" s="520" t="e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55" s="520" t="e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55" s="520" t="e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55" s="520" t="e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55" s="521" t="e">
        <f>AK55</f>
        <v>#N/A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78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0</v>
      </c>
      <c r="G1" s="268">
        <f>SUM(G2,G3)</f>
        <v>0</v>
      </c>
      <c r="H1" s="268">
        <f>SUM(H2,H3)</f>
        <v>0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0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ABS(D183-D259)</f>
        <v>0</v>
      </c>
      <c r="E2" s="268">
        <f>ABS(E183-E259)</f>
        <v>0</v>
      </c>
      <c r="F2" s="268">
        <f>ABS(F183-F259)</f>
        <v>0</v>
      </c>
      <c r="G2" s="268">
        <f>ABS(G183-G259)</f>
        <v>0</v>
      </c>
      <c r="H2" s="268">
        <f>ABS(H183-H259)</f>
        <v>0</v>
      </c>
      <c r="I2" s="268">
        <f>ABS(I183-I259)</f>
        <v>0</v>
      </c>
      <c r="J2" s="268">
        <f>ABS(J183-J259)</f>
        <v>0</v>
      </c>
      <c r="K2" s="268">
        <f>ABS(K183-K259)</f>
        <v>0</v>
      </c>
      <c r="L2" s="268">
        <f>ABS(L183-L259)</f>
        <v>0</v>
      </c>
      <c r="M2" s="268">
        <f>ABS(M183-M259)</f>
        <v>0</v>
      </c>
      <c r="N2" s="268">
        <f>ABS(N183-N259)</f>
        <v>0</v>
      </c>
      <c r="O2" s="268">
        <f>ABS(O183-O259)</f>
        <v>0</v>
      </c>
      <c r="P2" s="268">
        <f>ABS(P183-P259)</f>
        <v>0</v>
      </c>
      <c r="Q2" s="268">
        <f>ABS(Q183-Q259)</f>
        <v>0</v>
      </c>
      <c r="R2" s="268">
        <f>ABS(R183-R259)</f>
        <v>0</v>
      </c>
      <c r="S2" s="268">
        <f>ABS(S183-S259)</f>
        <v>0</v>
      </c>
      <c r="T2" s="268">
        <f>ABS(T183-T259)</f>
        <v>0</v>
      </c>
      <c r="U2" s="268">
        <f>ABS(U183-U259)</f>
        <v>0</v>
      </c>
      <c r="V2" s="268">
        <f>ABS(V183-V259)</f>
        <v>0</v>
      </c>
      <c r="W2" s="268">
        <f>ABS(W183-W259)</f>
        <v>0</v>
      </c>
      <c r="X2" s="268">
        <f>ABS(X183-X259)</f>
        <v>0</v>
      </c>
      <c r="Y2" s="268">
        <f>ABS(Y183-Y259)</f>
        <v>0</v>
      </c>
      <c r="Z2" s="268">
        <f>ABS(Z183-Z259)</f>
        <v>0</v>
      </c>
      <c r="AA2" s="268">
        <f>ABS(AA183-AA259)</f>
        <v>0</v>
      </c>
      <c r="AB2" s="268">
        <f>ABS(AB183-AB259)</f>
        <v>0</v>
      </c>
      <c r="AC2" s="268">
        <f>ABS(AC183-AC259)</f>
        <v>0</v>
      </c>
      <c r="AD2" s="268">
        <f>ABS(AD183-AD259)</f>
        <v>0</v>
      </c>
      <c r="AE2" s="268">
        <f>ABS(AE183-AE259)</f>
        <v>0</v>
      </c>
      <c r="AF2" s="268">
        <f>ABS(AF183-AF259)</f>
        <v>0</v>
      </c>
      <c r="AG2" s="268">
        <f>ABS(AG183-AG259)</f>
        <v>0</v>
      </c>
      <c r="AH2" s="268">
        <f>ABS(AH183-AH259)</f>
        <v>0</v>
      </c>
      <c r="AI2" s="268">
        <f>ABS(AI183-AI259)</f>
        <v>0</v>
      </c>
      <c r="AJ2" s="268">
        <f>ABS(AJ183-AJ259)</f>
        <v>0</v>
      </c>
      <c r="AK2" s="268">
        <f>ABS(AK183-AK259)</f>
        <v>0</v>
      </c>
      <c r="AL2" s="268">
        <f>ABS(AL183-AL259)</f>
        <v>0</v>
      </c>
      <c r="AM2" s="268" t="e">
        <f>ABS(AM183-AM259)</f>
        <v>#DIV/0!</v>
      </c>
      <c r="AN2" s="268" t="e">
        <f>ABS(AN183-AN259)</f>
        <v>#DIV/0!</v>
      </c>
      <c r="AO2" s="268" t="e">
        <f>ABS(AO183-AO259)</f>
        <v>#DIV/0!</v>
      </c>
      <c r="AP2" s="268" t="e">
        <f>ABS(AP183-AP259)</f>
        <v>#DIV/0!</v>
      </c>
      <c r="AQ2" s="268" t="e">
        <f>ABS(AQ183-AQ259)</f>
        <v>#DIV/0!</v>
      </c>
      <c r="AR2" s="268" t="e">
        <f>ABS(AR183-AR259)</f>
        <v>#DIV/0!</v>
      </c>
      <c r="AS2" s="268" t="e">
        <f>ABS(AS183-AS259)</f>
        <v>#DIV/0!</v>
      </c>
      <c r="AT2" s="268" t="e">
        <f>ABS(AT183-AT259)</f>
        <v>#DIV/0!</v>
      </c>
      <c r="AU2" s="268" t="e">
        <f>ABS(AU183-AU259)</f>
        <v>#DIV/0!</v>
      </c>
      <c r="AV2" s="268" t="e">
        <f>ABS(AV183-AV259)</f>
        <v>#DIV/0!</v>
      </c>
      <c r="AW2" s="268" t="e">
        <f>ABS(AW183-AW259)</f>
        <v>#DIV/0!</v>
      </c>
      <c r="AX2" s="268" t="e">
        <f>ABS(AX183-AX259)</f>
        <v>#DIV/0!</v>
      </c>
      <c r="AY2" s="268" t="e">
        <f>ABS(AY183-AY259)</f>
        <v>#DIV/0!</v>
      </c>
      <c r="AZ2" s="268" t="e">
        <f>ABS(AZ183-AZ259)</f>
        <v>#DIV/0!</v>
      </c>
      <c r="BA2" s="268" t="e">
        <f>ABS(BA183-BA259)</f>
        <v>#DIV/0!</v>
      </c>
      <c r="BB2" s="268" t="e">
        <f>ABS(BB183-BB259)</f>
        <v>#DIV/0!</v>
      </c>
      <c r="BC2" s="268" t="e">
        <f>ABS(BC183-BC259)</f>
        <v>#DIV/0!</v>
      </c>
      <c r="BD2" s="268" t="e">
        <f>ABS(BD183-BD259)</f>
        <v>#DIV/0!</v>
      </c>
      <c r="BE2" s="268" t="e">
        <f>ABS(BE183-BE259)</f>
        <v>#DIV/0!</v>
      </c>
      <c r="BF2" s="268" t="e">
        <f>ABS(BF183-BF259)</f>
        <v>#DIV/0!</v>
      </c>
      <c r="BG2" s="268" t="e">
        <f>ABS(BG183-BG259)</f>
        <v>#DIV/0!</v>
      </c>
      <c r="BH2" s="268" t="e">
        <f>ABS(BH183-BH259)</f>
        <v>#DIV/0!</v>
      </c>
      <c r="BI2" s="268" t="e">
        <f>ABS(BI183-BI259)</f>
        <v>#DIV/0!</v>
      </c>
      <c r="BJ2" s="268" t="e">
        <f>ABS(BJ183-BJ259)</f>
        <v>#DIV/0!</v>
      </c>
      <c r="BK2" s="268" t="e">
        <f>ABS(BK183-BK259)</f>
        <v>#DIV/0!</v>
      </c>
      <c r="BL2" s="268" t="e">
        <f>ABS(BL183-BL259)</f>
        <v>#DIV/0!</v>
      </c>
      <c r="BM2" s="268" t="e">
        <f>ABS(BM183-BM259)</f>
        <v>#DIV/0!</v>
      </c>
      <c r="BN2" s="268" t="e">
        <f>ABS(BN183-BN259)</f>
        <v>#DIV/0!</v>
      </c>
      <c r="BO2" s="268" t="e">
        <f>ABS(BO183-BO259)</f>
        <v>#DIV/0!</v>
      </c>
      <c r="BP2" s="268" t="e">
        <f>ABS(BP183-BP259)</f>
        <v>#DIV/0!</v>
      </c>
      <c r="BQ2" s="268" t="e">
        <f>ABS(BQ183-BQ259)</f>
        <v>#DIV/0!</v>
      </c>
      <c r="BR2" s="268" t="e">
        <f>ABS(BR183-BR259)</f>
        <v>#DIV/0!</v>
      </c>
      <c r="BS2" s="268" t="e">
        <f>ABS(BS183-BS259)</f>
        <v>#DIV/0!</v>
      </c>
      <c r="BT2" s="268" t="e">
        <f>ABS(BT183-BT259)</f>
        <v>#DIV/0!</v>
      </c>
      <c r="BU2" s="268" t="e">
        <f>ABS(BU183-BU259)</f>
        <v>#DIV/0!</v>
      </c>
      <c r="BV2" s="268" t="e">
        <f>ABS(BV183-BV259)</f>
        <v>#DIV/0!</v>
      </c>
      <c r="BW2" s="268" t="e">
        <f>ABS(BW183-BW259)</f>
        <v>#DIV/0!</v>
      </c>
      <c r="BX2" s="268" t="e">
        <f>ABS(BX183-BX259)</f>
        <v>#DIV/0!</v>
      </c>
      <c r="BY2" s="268" t="e">
        <f>ABS(BY183-BY259)</f>
        <v>#DIV/0!</v>
      </c>
      <c r="BZ2" s="268" t="e">
        <f>ABS(BZ183-BZ259)</f>
        <v>#DIV/0!</v>
      </c>
      <c r="CA2" s="268" t="e">
        <f>ABS(CA183-CA259)</f>
        <v>#DIV/0!</v>
      </c>
      <c r="CB2" s="268" t="e">
        <f>ABS(CB183-CB259)</f>
        <v>#DIV/0!</v>
      </c>
      <c r="CC2" s="268" t="e">
        <f>ABS(CC183-CC259)</f>
        <v>#DIV/0!</v>
      </c>
      <c r="CD2" s="268" t="e">
        <f>ABS(CD183-CD259)</f>
        <v>#DIV/0!</v>
      </c>
      <c r="CE2" s="268" t="e">
        <f>ABS(CE183-CE259)</f>
        <v>#DIV/0!</v>
      </c>
      <c r="CF2" s="268" t="e">
        <f>ABS(CF183-CF259)</f>
        <v>#DIV/0!</v>
      </c>
      <c r="CG2" s="268" t="e">
        <f>ABS(CG183-CG259)</f>
        <v>#DIV/0!</v>
      </c>
      <c r="CH2" s="268" t="e">
        <f>ABS(CH183-CH259)</f>
        <v>#DIV/0!</v>
      </c>
      <c r="CI2" s="268" t="e">
        <f>ABS(CI183-CI259)</f>
        <v>#DIV/0!</v>
      </c>
      <c r="CJ2" s="268" t="e">
        <f>ABS(CJ183-CJ259)</f>
        <v>#DIV/0!</v>
      </c>
      <c r="CK2" s="268" t="e">
        <f>ABS(CK183-CK259)</f>
        <v>#DIV/0!</v>
      </c>
      <c r="CL2" s="268" t="e">
        <f>ABS(CL183-CL259)</f>
        <v>#DIV/0!</v>
      </c>
      <c r="CM2" s="268" t="e">
        <f>ABS(CM183-CM259)</f>
        <v>#DIV/0!</v>
      </c>
      <c r="CN2" s="268" t="e">
        <f>ABS(CN183-CN259)</f>
        <v>#DIV/0!</v>
      </c>
      <c r="CO2" s="268" t="e">
        <f>ABS(CO183-CO259)</f>
        <v>#DIV/0!</v>
      </c>
      <c r="CP2" s="268" t="e">
        <f>ABS(CP183-CP259)</f>
        <v>#DIV/0!</v>
      </c>
      <c r="CQ2" s="268" t="e">
        <f>ABS(CQ183-CQ259)</f>
        <v>#DIV/0!</v>
      </c>
      <c r="CR2" s="268" t="e">
        <f>ABS(CR183-CR259)</f>
        <v>#DIV/0!</v>
      </c>
      <c r="CS2" s="268" t="e">
        <f>ABS(CS183-CS259)</f>
        <v>#DIV/0!</v>
      </c>
      <c r="CT2" s="268" t="e">
        <f>ABS(CT183-CT259)</f>
        <v>#DIV/0!</v>
      </c>
      <c r="CU2" s="268" t="e">
        <f>ABS(CU183-CU259)</f>
        <v>#DIV/0!</v>
      </c>
      <c r="CV2" s="268" t="e">
        <f>ABS(CV183-CV259)</f>
        <v>#DIV/0!</v>
      </c>
      <c r="CW2" s="268" t="e">
        <f>ABS(CW183-CW259)</f>
        <v>#DIV/0!</v>
      </c>
      <c r="CX2" s="268" t="e">
        <f>ABS(CX183-CX259)</f>
        <v>#DIV/0!</v>
      </c>
      <c r="CY2" s="268" t="e">
        <f>ABS(CY183-CY259)</f>
        <v>#DIV/0!</v>
      </c>
    </row>
    <row r="3" outlineLevel="1" ht="12.75" customHeight="1" s="255">
      <c r="C3" s="274" t="inlineStr">
        <is>
          <t>IS</t>
        </is>
      </c>
      <c r="D3" s="268">
        <f>IF(COUNT(D4)=0,"",ABS(D123-D4))</f>
        <v>0</v>
      </c>
      <c r="E3" s="268">
        <f>IF(COUNT(E4)=0,"",ABS(E123-E4))</f>
        <v>0</v>
      </c>
      <c r="F3" s="268">
        <f>IF(COUNT(F4)=0,"",ABS(F123-F4))</f>
        <v>0</v>
      </c>
      <c r="G3" s="268">
        <f>IF(COUNT(G4)=0,"",ABS(G123-G4))</f>
        <v>0</v>
      </c>
      <c r="H3" s="268">
        <f>IF(COUNT(H4)=0,"",ABS(H123-H4))</f>
        <v>0</v>
      </c>
      <c r="I3" s="268">
        <f>IF(COUNT(I4)=0,"",ABS(I123-I4))</f>
        <v>0</v>
      </c>
      <c r="J3" s="268">
        <f>IF(COUNT(J4)=0,"",ABS(J123-J4))</f>
        <v>0</v>
      </c>
      <c r="K3" s="268">
        <f>IF(COUNT(K4)=0,"",ABS(K123-K4))</f>
        <v>0</v>
      </c>
      <c r="L3" s="268">
        <f>IF(COUNT(L4)=0,"",ABS(L123-L4))</f>
        <v>0</v>
      </c>
      <c r="M3" s="268">
        <f>IF(COUNT(M4)=0,"",ABS(M123-M4))</f>
        <v>0</v>
      </c>
      <c r="N3" s="268">
        <f>IF(COUNT(N4)=0,"",ABS(N123-N4))</f>
        <v>0</v>
      </c>
      <c r="O3" s="268">
        <f>IF(COUNT(O4)=0,"",ABS(O123-O4))</f>
        <v>0</v>
      </c>
      <c r="P3" s="268">
        <f>IF(COUNT(P4)=0,"",ABS(P123-P4))</f>
        <v>0</v>
      </c>
      <c r="Q3" s="268">
        <f>IF(COUNT(Q4)=0,"",ABS(Q123-Q4))</f>
        <v>0</v>
      </c>
      <c r="R3" s="268">
        <f>IF(COUNT(R4)=0,"",ABS(R123-R4))</f>
        <v>0</v>
      </c>
      <c r="S3" s="268">
        <f>IF(COUNT(S4)=0,"",ABS(S123-S4))</f>
        <v>0</v>
      </c>
      <c r="T3" s="268">
        <f>IF(COUNT(T4)=0,"",ABS(T123-T4))</f>
        <v>0</v>
      </c>
      <c r="U3" s="268">
        <f>IF(COUNT(U4)=0,"",ABS(U123-U4))</f>
        <v>0</v>
      </c>
      <c r="V3" s="268">
        <f>IF(COUNT(V4)=0,"",ABS(V123-V4))</f>
        <v>0</v>
      </c>
      <c r="W3" s="268">
        <f>IF(COUNT(W4)=0,"",ABS(W123-W4))</f>
        <v>0</v>
      </c>
      <c r="X3" s="268">
        <f>IF(COUNT(X4)=0,"",ABS(X123-X4))</f>
        <v>0</v>
      </c>
      <c r="Y3" s="268">
        <f>IF(COUNT(Y4)=0,"",ABS(Y123-Y4))</f>
        <v>0</v>
      </c>
      <c r="Z3" s="268">
        <f>IF(COUNT(Z4)=0,"",ABS(Z123-Z4))</f>
        <v>0</v>
      </c>
      <c r="AA3" s="268">
        <f>IF(COUNT(AA4)=0,"",ABS(AA123-AA4))</f>
        <v>0</v>
      </c>
      <c r="AB3" s="268">
        <f>IF(COUNT(AB4)=0,"",ABS(AB123-AB4))</f>
        <v>0</v>
      </c>
      <c r="AC3" s="268">
        <f>IF(COUNT(AC4)=0,"",ABS(AC123-AC4))</f>
        <v>0</v>
      </c>
      <c r="AD3" s="268">
        <f>IF(COUNT(AD4)=0,"",ABS(AD123-AD4))</f>
        <v>0</v>
      </c>
      <c r="AE3" s="268">
        <f>IF(COUNT(AE4)=0,"",ABS(AE123-AE4))</f>
        <v>0</v>
      </c>
      <c r="AF3" s="268">
        <f>IF(COUNT(AF4)=0,"",ABS(AF123-AF4))</f>
        <v>0</v>
      </c>
      <c r="AG3" s="268">
        <f>IF(COUNT(AG4)=0,"",ABS(AG123-AG4))</f>
        <v>0</v>
      </c>
      <c r="AH3" s="268">
        <f>IF(COUNT(AH4)=0,"",ABS(AH123-AH4))</f>
        <v>0</v>
      </c>
      <c r="AI3" s="268">
        <f>IF(COUNT(AI4)=0,"",ABS(AI123-AI4))</f>
        <v>0</v>
      </c>
      <c r="AJ3" s="268" t="str">
        <f>IF(COUNT(AJ4)=0,"",ABS(AJ123-AJ4))</f>
        <v/>
      </c>
      <c r="AK3" s="268" t="str">
        <f>IF(COUNT(AK4)=0,"",ABS(AK123-AK4))</f>
        <v/>
      </c>
      <c r="AL3" s="268" t="str">
        <f>IF(COUNT(AL4)=0,"",ABS(AL123-AL4))</f>
        <v/>
      </c>
      <c r="AM3" s="268" t="str">
        <f>IF(COUNT(AM4)=0,"",ABS(AM123-AM4))</f>
        <v/>
      </c>
      <c r="AN3" s="268" t="str">
        <f>IF(COUNT(AN4)=0,"",ABS(AN123-AN4))</f>
        <v/>
      </c>
      <c r="AO3" s="268" t="str">
        <f>IF(COUNT(AO4)=0,"",ABS(AO123-AO4))</f>
        <v/>
      </c>
      <c r="AP3" s="268" t="str">
        <f>IF(COUNT(AP4)=0,"",ABS(AP123-AP4))</f>
        <v/>
      </c>
      <c r="AQ3" s="268" t="str">
        <f>IF(COUNT(AQ4)=0,"",ABS(AQ123-AQ4))</f>
        <v/>
      </c>
      <c r="AR3" s="268" t="str">
        <f>IF(COUNT(AR4)=0,"",ABS(AR123-AR4))</f>
        <v/>
      </c>
      <c r="AS3" s="268" t="str">
        <f>IF(COUNT(AS4)=0,"",ABS(AS123-AS4))</f>
        <v/>
      </c>
      <c r="AT3" s="268" t="str">
        <f>IF(COUNT(AT4)=0,"",ABS(AT123-AT4))</f>
        <v/>
      </c>
      <c r="AU3" s="268" t="str">
        <f>IF(COUNT(AU4)=0,"",ABS(AU123-AU4))</f>
        <v/>
      </c>
      <c r="AV3" s="268" t="str">
        <f>IF(COUNT(AV4)=0,"",ABS(AV123-AV4))</f>
        <v/>
      </c>
      <c r="AW3" s="268" t="str">
        <f>IF(COUNT(AW4)=0,"",ABS(AW123-AW4))</f>
        <v/>
      </c>
      <c r="AX3" s="268" t="str">
        <f>IF(COUNT(AX4)=0,"",ABS(AX123-AX4))</f>
        <v/>
      </c>
      <c r="AY3" s="268" t="str">
        <f>IF(COUNT(AY4)=0,"",ABS(AY123-AY4))</f>
        <v/>
      </c>
      <c r="AZ3" s="268" t="str">
        <f>IF(COUNT(AZ4)=0,"",ABS(AZ123-AZ4))</f>
        <v/>
      </c>
      <c r="BA3" s="268" t="str">
        <f>IF(COUNT(BA4)=0,"",ABS(BA123-BA4))</f>
        <v/>
      </c>
      <c r="BB3" s="268" t="str">
        <f>IF(COUNT(BB4)=0,"",ABS(BB123-BB4))</f>
        <v/>
      </c>
      <c r="BC3" s="268" t="str">
        <f>IF(COUNT(BC4)=0,"",ABS(BC123-BC4))</f>
        <v/>
      </c>
      <c r="BD3" s="268" t="str">
        <f>IF(COUNT(BD4)=0,"",ABS(BD123-BD4))</f>
        <v/>
      </c>
      <c r="BE3" s="268" t="str">
        <f>IF(COUNT(BE4)=0,"",ABS(BE123-BE4))</f>
        <v/>
      </c>
      <c r="BF3" s="268" t="str">
        <f>IF(COUNT(BF4)=0,"",ABS(BF123-BF4))</f>
        <v/>
      </c>
      <c r="BG3" s="268" t="str">
        <f>IF(COUNT(BG4)=0,"",ABS(BG123-BG4))</f>
        <v/>
      </c>
      <c r="BH3" s="268" t="str">
        <f>IF(COUNT(BH4)=0,"",ABS(BH123-BH4))</f>
        <v/>
      </c>
      <c r="BI3" s="268" t="str">
        <f>IF(COUNT(BI4)=0,"",ABS(BI123-BI4))</f>
        <v/>
      </c>
      <c r="BJ3" s="268" t="str">
        <f>IF(COUNT(BJ4)=0,"",ABS(BJ123-BJ4))</f>
        <v/>
      </c>
      <c r="BK3" s="268" t="str">
        <f>IF(COUNT(BK4)=0,"",ABS(BK123-BK4))</f>
        <v/>
      </c>
      <c r="BL3" s="268" t="str">
        <f>IF(COUNT(BL4)=0,"",ABS(BL123-BL4))</f>
        <v/>
      </c>
      <c r="BM3" s="268" t="str">
        <f>IF(COUNT(BM4)=0,"",ABS(BM123-BM4))</f>
        <v/>
      </c>
      <c r="BN3" s="268" t="str">
        <f>IF(COUNT(BN4)=0,"",ABS(BN123-BN4))</f>
        <v/>
      </c>
      <c r="BO3" s="268" t="str">
        <f>IF(COUNT(BO4)=0,"",ABS(BO123-BO4))</f>
        <v/>
      </c>
      <c r="BP3" s="268" t="str">
        <f>IF(COUNT(BP4)=0,"",ABS(BP123-BP4))</f>
        <v/>
      </c>
      <c r="BQ3" s="268" t="str">
        <f>IF(COUNT(BQ4)=0,"",ABS(BQ123-BQ4))</f>
        <v/>
      </c>
      <c r="BR3" s="268" t="str">
        <f>IF(COUNT(BR4)=0,"",ABS(BR123-BR4))</f>
        <v/>
      </c>
      <c r="BS3" s="268" t="str">
        <f>IF(COUNT(BS4)=0,"",ABS(BS123-BS4))</f>
        <v/>
      </c>
      <c r="BT3" s="268" t="str">
        <f>IF(COUNT(BT4)=0,"",ABS(BT123-BT4))</f>
        <v/>
      </c>
      <c r="BU3" s="268" t="str">
        <f>IF(COUNT(BU4)=0,"",ABS(BU123-BU4))</f>
        <v/>
      </c>
      <c r="BV3" s="268" t="str">
        <f>IF(COUNT(BV4)=0,"",ABS(BV123-BV4))</f>
        <v/>
      </c>
      <c r="BW3" s="268" t="str">
        <f>IF(COUNT(BW4)=0,"",ABS(BW123-BW4))</f>
        <v/>
      </c>
      <c r="BX3" s="268" t="str">
        <f>IF(COUNT(BX4)=0,"",ABS(BX123-BX4))</f>
        <v/>
      </c>
      <c r="BY3" s="268" t="str">
        <f>IF(COUNT(BY4)=0,"",ABS(BY123-BY4))</f>
        <v/>
      </c>
      <c r="BZ3" s="268" t="str">
        <f>IF(COUNT(BZ4)=0,"",ABS(BZ123-BZ4))</f>
        <v/>
      </c>
      <c r="CA3" s="268" t="str">
        <f>IF(COUNT(CA4)=0,"",ABS(CA123-CA4))</f>
        <v/>
      </c>
      <c r="CB3" s="268" t="str">
        <f>IF(COUNT(CB4)=0,"",ABS(CB123-CB4))</f>
        <v/>
      </c>
      <c r="CC3" s="268" t="str">
        <f>IF(COUNT(CC4)=0,"",ABS(CC123-CC4))</f>
        <v/>
      </c>
      <c r="CD3" s="268" t="str">
        <f>IF(COUNT(CD4)=0,"",ABS(CD123-CD4))</f>
        <v/>
      </c>
      <c r="CE3" s="268" t="str">
        <f>IF(COUNT(CE4)=0,"",ABS(CE123-CE4))</f>
        <v/>
      </c>
      <c r="CF3" s="268" t="str">
        <f>IF(COUNT(CF4)=0,"",ABS(CF123-CF4))</f>
        <v/>
      </c>
      <c r="CG3" s="268" t="str">
        <f>IF(COUNT(CG4)=0,"",ABS(CG123-CG4))</f>
        <v/>
      </c>
      <c r="CH3" s="268" t="str">
        <f>IF(COUNT(CH4)=0,"",ABS(CH123-CH4))</f>
        <v/>
      </c>
      <c r="CI3" s="268" t="str">
        <f>IF(COUNT(CI4)=0,"",ABS(CI123-CI4))</f>
        <v/>
      </c>
      <c r="CJ3" s="268" t="str">
        <f>IF(COUNT(CJ4)=0,"",ABS(CJ123-CJ4))</f>
        <v/>
      </c>
      <c r="CK3" s="268" t="str">
        <f>IF(COUNT(CK4)=0,"",ABS(CK123-CK4))</f>
        <v/>
      </c>
      <c r="CL3" s="268" t="str">
        <f>IF(COUNT(CL4)=0,"",ABS(CL123-CL4))</f>
        <v/>
      </c>
      <c r="CM3" s="268" t="str">
        <f>IF(COUNT(CM4)=0,"",ABS(CM123-CM4))</f>
        <v/>
      </c>
      <c r="CN3" s="268" t="str">
        <f>IF(COUNT(CN4)=0,"",ABS(CN123-CN4))</f>
        <v/>
      </c>
      <c r="CO3" s="268" t="str">
        <f>IF(COUNT(CO4)=0,"",ABS(CO123-CO4))</f>
        <v/>
      </c>
      <c r="CP3" s="268" t="str">
        <f>IF(COUNT(CP4)=0,"",ABS(CP123-CP4))</f>
        <v/>
      </c>
      <c r="CQ3" s="268" t="str">
        <f>IF(COUNT(CQ4)=0,"",ABS(CQ123-CQ4))</f>
        <v/>
      </c>
      <c r="CR3" s="268" t="str">
        <f>IF(COUNT(CR4)=0,"",ABS(CR123-CR4))</f>
        <v/>
      </c>
      <c r="CS3" s="268" t="str">
        <f>IF(COUNT(CS4)=0,"",ABS(CS123-CS4))</f>
        <v/>
      </c>
      <c r="CT3" s="268" t="str">
        <f>IF(COUNT(CT4)=0,"",ABS(CT123-CT4))</f>
        <v/>
      </c>
      <c r="CU3" s="268" t="str">
        <f>IF(COUNT(CU4)=0,"",ABS(CU123-CU4))</f>
        <v/>
      </c>
      <c r="CV3" s="268" t="str">
        <f>IF(COUNT(CV4)=0,"",ABS(CV123-CV4))</f>
        <v/>
      </c>
      <c r="CW3" s="268" t="str">
        <f>IF(COUNT(CW4)=0,"",ABS(CW123-CW4))</f>
        <v/>
      </c>
      <c r="CX3" s="268" t="str">
        <f>IF(COUNT(CX4)=0,"",ABS(CX123-CX4))</f>
        <v/>
      </c>
      <c r="CY3" s="268" t="str">
        <f>IF(COUNT(CY4)=0,"",ABS(CY123-CY4))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0</v>
      </c>
      <c r="E4" s="276">
        <f>INDEX('Inputs (2)'!$D$50:$AL$50,MATCH(E$7,'Inputs (2)'!$D$2:$AL$2,0))</f>
        <v>0</v>
      </c>
      <c r="F4" s="276">
        <f>INDEX('Inputs (2)'!$D$50:$AL$50,MATCH(F$7,'Inputs (2)'!$D$2:$AL$2,0))</f>
        <v>0</v>
      </c>
      <c r="G4" s="276">
        <f>INDEX('Inputs (2)'!$D$50:$AL$50,MATCH(G$7,'Inputs (2)'!$D$2:$AL$2,0))</f>
        <v>0</v>
      </c>
      <c r="H4" s="276">
        <f>IF(COUNT(D4:G4)=4,SUM(D4:G4),"")</f>
        <v>0</v>
      </c>
      <c r="I4" s="276">
        <f>INDEX('Inputs (2)'!$D$50:$AL$50,MATCH(I$7,'Inputs (2)'!$D$2:$AL$2,0))</f>
        <v>0</v>
      </c>
      <c r="J4" s="276">
        <f>INDEX('Inputs (2)'!$D$50:$AL$50,MATCH(J$7,'Inputs (2)'!$D$2:$AL$2,0))</f>
        <v>0</v>
      </c>
      <c r="K4" s="276">
        <f>INDEX('Inputs (2)'!$D$50:$AL$50,MATCH(K$7,'Inputs (2)'!$D$2:$AL$2,0))</f>
        <v>0</v>
      </c>
      <c r="L4" s="276">
        <f>INDEX('Inputs (2)'!$D$50:$AL$50,MATCH(L$7,'Inputs (2)'!$D$2:$AL$2,0))</f>
        <v>0</v>
      </c>
      <c r="M4" s="276">
        <f>IF(COUNT(I4:L4)=4,SUM(I4:L4),"")</f>
        <v>0</v>
      </c>
      <c r="N4" s="276">
        <f>INDEX('Inputs (2)'!$D$50:$AL$50,MATCH(N$7,'Inputs (2)'!$D$2:$AL$2,0))</f>
        <v>0</v>
      </c>
      <c r="O4" s="276">
        <f>INDEX('Inputs (2)'!$D$50:$AL$50,MATCH(O$7,'Inputs (2)'!$D$2:$AL$2,0))</f>
        <v>0</v>
      </c>
      <c r="P4" s="276">
        <f>INDEX('Inputs (2)'!$D$50:$AL$50,MATCH(P$7,'Inputs (2)'!$D$2:$AL$2,0))</f>
        <v>0</v>
      </c>
      <c r="Q4" s="276">
        <f>INDEX('Inputs (2)'!$D$50:$AL$50,MATCH(Q$7,'Inputs (2)'!$D$2:$AL$2,0))</f>
        <v>0</v>
      </c>
      <c r="R4" s="276">
        <f>IF(COUNT(N4:Q4)=4,SUM(N4:Q4),"")</f>
        <v>0</v>
      </c>
      <c r="S4" s="276">
        <f>INDEX('Inputs (2)'!$D$50:$AL$50,MATCH(S$7,'Inputs (2)'!$D$2:$AL$2,0))</f>
        <v>0</v>
      </c>
      <c r="T4" s="276">
        <f>INDEX('Inputs (2)'!$D$50:$AL$50,MATCH(T$7,'Inputs (2)'!$D$2:$AL$2,0))</f>
        <v>0</v>
      </c>
      <c r="U4" s="276">
        <f>INDEX('Inputs (2)'!$D$50:$AL$50,MATCH(U$7,'Inputs (2)'!$D$2:$AL$2,0))</f>
        <v>0</v>
      </c>
      <c r="V4" s="276">
        <f>INDEX('Inputs (2)'!$D$50:$AL$50,MATCH(V$7,'Inputs (2)'!$D$2:$AL$2,0))</f>
        <v>0</v>
      </c>
      <c r="W4" s="276">
        <f>IF(COUNT(S4:V4)=4,SUM(S4:V4),"")</f>
        <v>0</v>
      </c>
      <c r="X4" s="276">
        <f>INDEX('Inputs (2)'!$D$50:$AL$50,MATCH(X$7,'Inputs (2)'!$D$2:$AL$2,0))</f>
        <v>-129.248</v>
      </c>
      <c r="Y4" s="276">
        <f>INDEX('Inputs (2)'!$D$50:$AL$50,MATCH(Y$7,'Inputs (2)'!$D$2:$AL$2,0))</f>
        <v>-323.021</v>
      </c>
      <c r="Z4" s="276">
        <f>INDEX('Inputs (2)'!$D$50:$AL$50,MATCH(Z$7,'Inputs (2)'!$D$2:$AL$2,0))</f>
        <v>-359.807</v>
      </c>
      <c r="AA4" s="276">
        <f>INDEX('Inputs (2)'!$D$50:$AL$50,MATCH(AA$7,'Inputs (2)'!$D$2:$AL$2,0))</f>
        <v>-50.924</v>
      </c>
      <c r="AB4" s="276">
        <f>IF(COUNT(X4:AA4)=4,SUM(X4:AA4),"")</f>
        <v>-863</v>
      </c>
      <c r="AC4" s="276">
        <f>INDEX('Inputs (2)'!$D$50:$AL$50,MATCH(AC$7,'Inputs (2)'!$D$2:$AL$2,0))</f>
        <v>-315</v>
      </c>
      <c r="AD4" s="276">
        <f>INDEX('Inputs (2)'!$D$50:$AL$50,MATCH(AD$7,'Inputs (2)'!$D$2:$AL$2,0))</f>
        <v>-290</v>
      </c>
      <c r="AE4" s="276">
        <f>INDEX('Inputs (2)'!$D$50:$AL$50,MATCH(AE$7,'Inputs (2)'!$D$2:$AL$2,0))</f>
        <v>-110.124</v>
      </c>
      <c r="AF4" s="276">
        <f>INDEX('Inputs (2)'!$D$50:$AL$50,MATCH(AF$7,'Inputs (2)'!$D$2:$AL$2,0))</f>
        <v>-451.726</v>
      </c>
      <c r="AG4" s="276">
        <f>IF(COUNT(AC4:AF4)=4,SUM(AC4:AF4),"")</f>
        <v>-1166.85</v>
      </c>
      <c r="AH4" s="267">
        <f>INDEX('Inputs (2)'!$D$50:$AL$50,MATCH(AH$7,'Inputs (2)'!$D$2:$AL$2,0))</f>
        <v>-740</v>
      </c>
      <c r="AI4" s="267">
        <f>INDEX('Inputs (2)'!$D$50:$AL$50,MATCH(AI$7,'Inputs (2)'!$D$2:$AL$2,0))</f>
        <v>-626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0</v>
      </c>
      <c r="E15" s="290">
        <f>INDEX('Inputs (2)'!$D$4:$AL$4,MATCH(E$7,'Inputs (2)'!$D$2:$AL$2,0))</f>
        <v>0</v>
      </c>
      <c r="F15" s="290">
        <f>INDEX('Inputs (2)'!$D$4:$AL$4,MATCH(F$7,'Inputs (2)'!$D$2:$AL$2,0))</f>
        <v>0</v>
      </c>
      <c r="G15" s="290">
        <f>INDEX('Inputs (2)'!$D$4:$AL$4,MATCH(G$7,'Inputs (2)'!$D$2:$AL$2,0))</f>
        <v>0</v>
      </c>
      <c r="H15" s="276">
        <f>SUM(D15:G15)</f>
        <v>0</v>
      </c>
      <c r="I15" s="290">
        <f>INDEX('Inputs (2)'!$D$4:$AL$4,MATCH(I$7,'Inputs (2)'!$D$2:$AL$2,0))</f>
        <v>0</v>
      </c>
      <c r="J15" s="290">
        <f>INDEX('Inputs (2)'!$D$4:$AL$4,MATCH(J$7,'Inputs (2)'!$D$2:$AL$2,0))</f>
        <v>0</v>
      </c>
      <c r="K15" s="290">
        <f>INDEX('Inputs (2)'!$D$4:$AL$4,MATCH(K$7,'Inputs (2)'!$D$2:$AL$2,0))</f>
        <v>0</v>
      </c>
      <c r="L15" s="290">
        <f>INDEX('Inputs (2)'!$D$4:$AL$4,MATCH(L$7,'Inputs (2)'!$D$2:$AL$2,0))</f>
        <v>0</v>
      </c>
      <c r="M15" s="276">
        <f>SUM(I15:L15)</f>
        <v>0</v>
      </c>
      <c r="N15" s="290">
        <f>INDEX('Inputs (2)'!$D$4:$AL$4,MATCH(N$7,'Inputs (2)'!$D$2:$AL$2,0))</f>
        <v>0</v>
      </c>
      <c r="O15" s="290">
        <f>INDEX('Inputs (2)'!$D$4:$AL$4,MATCH(O$7,'Inputs (2)'!$D$2:$AL$2,0))</f>
        <v>0</v>
      </c>
      <c r="P15" s="290">
        <f>INDEX('Inputs (2)'!$D$4:$AL$4,MATCH(P$7,'Inputs (2)'!$D$2:$AL$2,0))</f>
        <v>0</v>
      </c>
      <c r="Q15" s="290">
        <f>INDEX('Inputs (2)'!$D$4:$AL$4,MATCH(Q$7,'Inputs (2)'!$D$2:$AL$2,0))</f>
        <v>0</v>
      </c>
      <c r="R15" s="276">
        <f>SUM(N15:Q15)</f>
        <v>0</v>
      </c>
      <c r="S15" s="290">
        <f>INDEX('Inputs (2)'!$D$4:$AL$4,MATCH(S$7,'Inputs (2)'!$D$2:$AL$2,0))</f>
        <v>0</v>
      </c>
      <c r="T15" s="290">
        <f>INDEX('Inputs (2)'!$D$4:$AL$4,MATCH(T$7,'Inputs (2)'!$D$2:$AL$2,0))</f>
        <v>0</v>
      </c>
      <c r="U15" s="290">
        <f>INDEX('Inputs (2)'!$D$4:$AL$4,MATCH(U$7,'Inputs (2)'!$D$2:$AL$2,0))</f>
        <v>0</v>
      </c>
      <c r="V15" s="290">
        <f>INDEX('Inputs (2)'!$D$4:$AL$4,MATCH(V$7,'Inputs (2)'!$D$2:$AL$2,0))</f>
        <v>0</v>
      </c>
      <c r="W15" s="276">
        <f>SUM(S15:V15)</f>
        <v>0</v>
      </c>
      <c r="X15" s="290">
        <f>INDEX('Inputs (2)'!$D$4:$AL$4,MATCH(X$7,'Inputs (2)'!$D$2:$AL$2,0))</f>
        <v>188.684</v>
      </c>
      <c r="Y15" s="290">
        <f>INDEX('Inputs (2)'!$D$4:$AL$4,MATCH(Y$7,'Inputs (2)'!$D$2:$AL$2,0))</f>
        <v>395.371</v>
      </c>
      <c r="Z15" s="290">
        <f>INDEX('Inputs (2)'!$D$4:$AL$4,MATCH(Z$7,'Inputs (2)'!$D$2:$AL$2,0))</f>
        <v>583.941</v>
      </c>
      <c r="AA15" s="290">
        <f>INDEX('Inputs (2)'!$D$4:$AL$4,MATCH(AA$7,'Inputs (2)'!$D$2:$AL$2,0))</f>
        <v>747.004</v>
      </c>
      <c r="AB15" s="276">
        <f>SUM(X15:AA15)</f>
        <v>1915</v>
      </c>
      <c r="AC15" s="290">
        <f>INDEX('Inputs (2)'!$D$4:$AL$4,MATCH(AC$7,'Inputs (2)'!$D$2:$AL$2,0))</f>
        <v>982</v>
      </c>
      <c r="AD15" s="290">
        <f>INDEX('Inputs (2)'!$D$4:$AL$4,MATCH(AD$7,'Inputs (2)'!$D$2:$AL$2,0))</f>
        <v>1212</v>
      </c>
      <c r="AE15" s="290">
        <f>INDEX('Inputs (2)'!$D$4:$AL$4,MATCH(AE$7,'Inputs (2)'!$D$2:$AL$2,0))</f>
        <v>1364.676</v>
      </c>
      <c r="AF15" s="290">
        <f>INDEX('Inputs (2)'!$D$4:$AL$4,MATCH(AF$7,'Inputs (2)'!$D$2:$AL$2,0))</f>
        <v>1571.904</v>
      </c>
      <c r="AG15" s="276">
        <f>SUM(AC15:AF15)</f>
        <v>5130.58</v>
      </c>
      <c r="AH15" s="276">
        <f>INDEX('Inputs (2)'!$D$4:$AL$4,MATCH(AH$7,'Inputs (2)'!$D$2:$AL$2,0))</f>
        <v>2078</v>
      </c>
      <c r="AI15" s="276">
        <f>INDEX('Inputs (2)'!$D$4:$AL$4,MATCH(AI$7,'Inputs (2)'!$D$2:$AL$2,0))</f>
        <v>2575</v>
      </c>
      <c r="AJ15" s="276">
        <f>AE15*(1+AJ16)</f>
        <v>1364.676</v>
      </c>
      <c r="AK15" s="276">
        <f>AF15*(1+AK16)</f>
        <v>1571.904</v>
      </c>
      <c r="AL15" s="276">
        <f>SUM(AH15:AK15)</f>
        <v>7589.58</v>
      </c>
      <c r="AM15" s="276">
        <f>AH15*(1+AM16)</f>
        <v>2078</v>
      </c>
      <c r="AN15" s="276">
        <f>AI15*(1+AN16)</f>
        <v>2575</v>
      </c>
      <c r="AO15" s="276">
        <f>AJ15*(1+AO16)</f>
        <v>1364.676</v>
      </c>
      <c r="AP15" s="276">
        <f>AK15*(1+AP16)</f>
        <v>1571.904</v>
      </c>
      <c r="AQ15" s="276">
        <f>SUM(AM15:AP15)</f>
        <v>7589.58</v>
      </c>
      <c r="AR15" s="276">
        <f>AM15*(1+AR16)</f>
        <v>2078</v>
      </c>
      <c r="AS15" s="276">
        <f>AN15*(1+AS16)</f>
        <v>2575</v>
      </c>
      <c r="AT15" s="276">
        <f>AO15*(1+AT16)</f>
        <v>1364.676</v>
      </c>
      <c r="AU15" s="276">
        <f>AP15*(1+AU16)</f>
        <v>1571.904</v>
      </c>
      <c r="AV15" s="276">
        <f>SUM(AR15:AU15)</f>
        <v>7589.58</v>
      </c>
      <c r="AW15" s="276">
        <f>AR15*(1+AW16)</f>
        <v>2078</v>
      </c>
      <c r="AX15" s="276">
        <f>AS15*(1+AX16)</f>
        <v>2575</v>
      </c>
      <c r="AY15" s="276">
        <f>AT15*(1+AY16)</f>
        <v>1364.676</v>
      </c>
      <c r="AZ15" s="276">
        <f>AU15*(1+AZ16)</f>
        <v>1571.904</v>
      </c>
      <c r="BA15" s="276">
        <f>SUM(AW15:AZ15)</f>
        <v>7589.58</v>
      </c>
      <c r="BB15" s="276">
        <f>AW15*(1+BB16)</f>
        <v>2078</v>
      </c>
      <c r="BC15" s="276">
        <f>AX15*(1+BC16)</f>
        <v>2575</v>
      </c>
      <c r="BD15" s="276">
        <f>AY15*(1+BD16)</f>
        <v>1364.676</v>
      </c>
      <c r="BE15" s="276">
        <f>AZ15*(1+BE16)</f>
        <v>1571.904</v>
      </c>
      <c r="BF15" s="276">
        <f>SUM(BB15:BE15)</f>
        <v>7589.58</v>
      </c>
      <c r="BG15" s="276">
        <f>BB15*(1+BG16)</f>
        <v>2078</v>
      </c>
      <c r="BH15" s="276">
        <f>BC15*(1+BH16)</f>
        <v>2575</v>
      </c>
      <c r="BI15" s="276">
        <f>BD15*(1+BI16)</f>
        <v>1364.676</v>
      </c>
      <c r="BJ15" s="276">
        <f>BE15*(1+BJ16)</f>
        <v>1571.904</v>
      </c>
      <c r="BK15" s="276">
        <f>SUM(BG15:BJ15)</f>
        <v>7589.58</v>
      </c>
      <c r="BL15" s="276">
        <f>BG15*(1+BL16)</f>
        <v>2078</v>
      </c>
      <c r="BM15" s="276">
        <f>BH15*(1+BM16)</f>
        <v>2575</v>
      </c>
      <c r="BN15" s="276">
        <f>BI15*(1+BN16)</f>
        <v>1364.676</v>
      </c>
      <c r="BO15" s="276">
        <f>BJ15*(1+BO16)</f>
        <v>1571.904</v>
      </c>
      <c r="BP15" s="276">
        <f>SUM(BL15:BO15)</f>
        <v>7589.58</v>
      </c>
      <c r="BQ15" s="276">
        <f>BL15*(1+BQ16)</f>
        <v>2078</v>
      </c>
      <c r="BR15" s="276">
        <f>BM15*(1+BR16)</f>
        <v>2575</v>
      </c>
      <c r="BS15" s="276">
        <f>BN15*(1+BS16)</f>
        <v>1364.676</v>
      </c>
      <c r="BT15" s="276">
        <f>BO15*(1+BT16)</f>
        <v>1571.904</v>
      </c>
      <c r="BU15" s="276">
        <f>SUM(BQ15:BT15)</f>
        <v>7589.58</v>
      </c>
      <c r="BV15" s="276">
        <f>BQ15*(1+BV16)</f>
        <v>2078</v>
      </c>
      <c r="BW15" s="276">
        <f>BR15*(1+BW16)</f>
        <v>2575</v>
      </c>
      <c r="BX15" s="276">
        <f>BS15*(1+BX16)</f>
        <v>1364.676</v>
      </c>
      <c r="BY15" s="276">
        <f>BT15*(1+BY16)</f>
        <v>1571.904</v>
      </c>
      <c r="BZ15" s="276">
        <f>SUM(BV15:BY15)</f>
        <v>7589.58</v>
      </c>
      <c r="CA15" s="276">
        <f>BV15*(1+CA16)</f>
        <v>2078</v>
      </c>
      <c r="CB15" s="276">
        <f>BW15*(1+CB16)</f>
        <v>2575</v>
      </c>
      <c r="CC15" s="276">
        <f>BX15*(1+CC16)</f>
        <v>1364.676</v>
      </c>
      <c r="CD15" s="276">
        <f>BY15*(1+CD16)</f>
        <v>1571.904</v>
      </c>
      <c r="CE15" s="276">
        <f>SUM(CA15:CD15)</f>
        <v>7589.58</v>
      </c>
      <c r="CF15" s="276">
        <f>CA15*(1+CF16)</f>
        <v>2078</v>
      </c>
      <c r="CG15" s="276">
        <f>CB15*(1+CG16)</f>
        <v>2575</v>
      </c>
      <c r="CH15" s="276">
        <f>CC15*(1+CH16)</f>
        <v>1364.676</v>
      </c>
      <c r="CI15" s="276">
        <f>CD15*(1+CI16)</f>
        <v>1571.904</v>
      </c>
      <c r="CJ15" s="276">
        <f>SUM(CF15:CI15)</f>
        <v>7589.58</v>
      </c>
      <c r="CK15" s="276">
        <f>CF15*(1+CK16)</f>
        <v>2078</v>
      </c>
      <c r="CL15" s="276">
        <f>CG15*(1+CL16)</f>
        <v>2575</v>
      </c>
      <c r="CM15" s="276">
        <f>CH15*(1+CM16)</f>
        <v>1364.676</v>
      </c>
      <c r="CN15" s="276">
        <f>CI15*(1+CN16)</f>
        <v>1571.904</v>
      </c>
      <c r="CO15" s="276">
        <f>SUM(CK15:CN15)</f>
        <v>7589.58</v>
      </c>
      <c r="CP15" s="276">
        <f>CK15*(1+CP16)</f>
        <v>2078</v>
      </c>
      <c r="CQ15" s="276">
        <f>CL15*(1+CQ16)</f>
        <v>2575</v>
      </c>
      <c r="CR15" s="276">
        <f>CM15*(1+CR16)</f>
        <v>1364.676</v>
      </c>
      <c r="CS15" s="276">
        <f>CN15*(1+CS16)</f>
        <v>1571.904</v>
      </c>
      <c r="CT15" s="276">
        <f>SUM(CP15:CS15)</f>
        <v>7589.58</v>
      </c>
      <c r="CU15" s="276">
        <f>CP15*(1+CU16)</f>
        <v>2078</v>
      </c>
      <c r="CV15" s="276">
        <f>CQ15*(1+CV16)</f>
        <v>2575</v>
      </c>
      <c r="CW15" s="276">
        <f>CR15*(1+CW16)</f>
        <v>1364.676</v>
      </c>
      <c r="CX15" s="276">
        <f>CS15*(1+CX16)</f>
        <v>1571.904</v>
      </c>
      <c r="CY15" s="276">
        <f>SUM(CU15:CX15)</f>
        <v>7589.58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 t="str">
        <f>IFERROR(N15/I15-1,"")</f>
        <v/>
      </c>
      <c r="O16" s="296" t="str">
        <f>IFERROR(O15/J15-1,"")</f>
        <v/>
      </c>
      <c r="P16" s="296" t="str">
        <f>IFERROR(P15/K15-1,"")</f>
        <v/>
      </c>
      <c r="Q16" s="296" t="str">
        <f>IFERROR(Q15/L15-1,"")</f>
        <v/>
      </c>
      <c r="R16" s="296" t="str">
        <f>IFERROR(R15/M15-1,"")</f>
        <v/>
      </c>
      <c r="S16" s="296" t="str">
        <f>IFERROR(S15/N15-1,"")</f>
        <v/>
      </c>
      <c r="T16" s="296" t="str">
        <f>IFERROR(T15/O15-1,"")</f>
        <v/>
      </c>
      <c r="U16" s="296" t="str">
        <f>IFERROR(U15/P15-1,"")</f>
        <v/>
      </c>
      <c r="V16" s="296" t="str">
        <f>IFERROR(V15/Q15-1,"")</f>
        <v/>
      </c>
      <c r="W16" s="296" t="str">
        <f>IFERROR(W15/R15-1,"")</f>
        <v/>
      </c>
      <c r="X16" s="296" t="str">
        <f>IFERROR(X15/S15-1,"")</f>
        <v/>
      </c>
      <c r="Y16" s="296" t="str">
        <f>IFERROR(Y15/T15-1,"")</f>
        <v/>
      </c>
      <c r="Z16" s="296" t="str">
        <f>IFERROR(Z15/U15-1,"")</f>
        <v/>
      </c>
      <c r="AA16" s="296" t="str">
        <f>IFERROR(AA15/V15-1,"")</f>
        <v/>
      </c>
      <c r="AB16" s="296" t="str">
        <f>IFERROR(AB15/W15-1,"")</f>
        <v/>
      </c>
      <c r="AC16" s="296">
        <f>IFERROR(AC15/X15-1,"")</f>
        <v>4.20446884738505</v>
      </c>
      <c r="AD16" s="296">
        <f>IFERROR(AD15/Y15-1,"")</f>
        <v>2.06547521188959</v>
      </c>
      <c r="AE16" s="296">
        <f>IFERROR(AE15/Z15-1,"")</f>
        <v>1.33701007464795</v>
      </c>
      <c r="AF16" s="297">
        <f>IFERROR(AF15/AA15-1,"")</f>
        <v>1.10427788873955</v>
      </c>
      <c r="AG16" s="296">
        <f>IFERROR(AG15/AB15-1,"")</f>
        <v>1.67915404699739</v>
      </c>
      <c r="AH16" s="297">
        <f>IFERROR(AH15/AC15-1,"")</f>
        <v>1.11608961303462</v>
      </c>
      <c r="AI16" s="297">
        <f>IFERROR(AI15/AD15-1,"")</f>
        <v>1.12458745874587</v>
      </c>
      <c r="AJ16" s="297" t="n"/>
      <c r="AK16" s="297" t="n"/>
      <c r="AL16" s="298">
        <f>IFERROR(AL15/AG15-1,"")</f>
        <v>0.479283044022313</v>
      </c>
      <c r="AM16" s="297" t="n"/>
      <c r="AN16" s="297" t="n"/>
      <c r="AO16" s="297" t="n"/>
      <c r="AP16" s="297" t="n"/>
      <c r="AQ16" s="298">
        <f>IFERROR(AQ15/AL15-1,"")</f>
        <v>0</v>
      </c>
      <c r="AR16" s="297" t="n"/>
      <c r="AS16" s="297" t="n"/>
      <c r="AT16" s="297" t="n"/>
      <c r="AU16" s="297" t="n"/>
      <c r="AV16" s="298">
        <f>IFERROR(AV15/AQ15-1,"")</f>
        <v>0</v>
      </c>
      <c r="AW16" s="297" t="n"/>
      <c r="AX16" s="297" t="n"/>
      <c r="AY16" s="297" t="n"/>
      <c r="AZ16" s="297" t="n"/>
      <c r="BA16" s="298">
        <f>IFERROR(BA15/AV15-1,"")</f>
        <v>0</v>
      </c>
      <c r="BB16" s="297" t="n"/>
      <c r="BC16" s="297" t="n"/>
      <c r="BD16" s="297" t="n"/>
      <c r="BE16" s="297" t="n"/>
      <c r="BF16" s="298">
        <f>IFERROR(BF15/BA15-1,"")</f>
        <v>0</v>
      </c>
      <c r="BG16" s="297" t="n"/>
      <c r="BH16" s="297" t="n"/>
      <c r="BI16" s="297" t="n"/>
      <c r="BJ16" s="297" t="n"/>
      <c r="BK16" s="298">
        <f>IFERROR(BK15/BF15-1,"")</f>
        <v>0</v>
      </c>
      <c r="BL16" s="297" t="n"/>
      <c r="BM16" s="297" t="n"/>
      <c r="BN16" s="297" t="n"/>
      <c r="BO16" s="297" t="n"/>
      <c r="BP16" s="298">
        <f>IFERROR(BP15/BK15-1,"")</f>
        <v>0</v>
      </c>
      <c r="BQ16" s="297" t="n"/>
      <c r="BR16" s="297" t="n"/>
      <c r="BS16" s="297" t="n"/>
      <c r="BT16" s="297" t="n"/>
      <c r="BU16" s="298">
        <f>IFERROR(BU15/BP15-1,"")</f>
        <v>0</v>
      </c>
      <c r="BV16" s="297" t="n"/>
      <c r="BW16" s="297" t="n"/>
      <c r="BX16" s="297" t="n"/>
      <c r="BY16" s="297" t="n"/>
      <c r="BZ16" s="298">
        <f>IFERROR(BZ15/BU15-1,"")</f>
        <v>0</v>
      </c>
      <c r="CA16" s="297" t="n"/>
      <c r="CB16" s="297" t="n"/>
      <c r="CC16" s="297" t="n"/>
      <c r="CD16" s="297" t="n"/>
      <c r="CE16" s="298">
        <f>IFERROR(CE15/BZ15-1,"")</f>
        <v>0</v>
      </c>
      <c r="CF16" s="297" t="n"/>
      <c r="CG16" s="297" t="n"/>
      <c r="CH16" s="297" t="n"/>
      <c r="CI16" s="297" t="n"/>
      <c r="CJ16" s="298">
        <f>IFERROR(CJ15/CE15-1,"")</f>
        <v>0</v>
      </c>
      <c r="CK16" s="297" t="n"/>
      <c r="CL16" s="297" t="n"/>
      <c r="CM16" s="297" t="n"/>
      <c r="CN16" s="297" t="n"/>
      <c r="CO16" s="298">
        <f>IFERROR(CO15/CJ15-1,"")</f>
        <v>0</v>
      </c>
      <c r="CP16" s="297" t="n"/>
      <c r="CQ16" s="297" t="n"/>
      <c r="CR16" s="297" t="n"/>
      <c r="CS16" s="297" t="n"/>
      <c r="CT16" s="298">
        <f>IFERROR(CT15/CO15-1,"")</f>
        <v>0</v>
      </c>
      <c r="CU16" s="297" t="n"/>
      <c r="CV16" s="297" t="n"/>
      <c r="CW16" s="297" t="n"/>
      <c r="CX16" s="297" t="n"/>
      <c r="CY16" s="298">
        <f>IFERROR(CY15/CT15-1,"")</f>
        <v>0</v>
      </c>
    </row>
    <row r="17" hidden="1" outlineLevel="1" ht="12.75" customFormat="1" customHeight="1" s="291">
      <c r="A17" s="292" t="n"/>
      <c r="B17" s="293" t="n"/>
      <c r="C17" s="299" t="inlineStr">
        <is>
          <t>Check Receita (linha 15 - soma dos segmentos)</t>
        </is>
      </c>
      <c r="D17" s="290" t="str">
        <f>IF(COUNT(D22)=0,"",D22)</f>
        <v/>
      </c>
      <c r="E17" s="290" t="str">
        <f>IF(COUNT(E22)=0,"",E22)</f>
        <v/>
      </c>
      <c r="F17" s="290" t="str">
        <f>IF(COUNT(F22)=0,"",F22)</f>
        <v/>
      </c>
      <c r="G17" s="290" t="str">
        <f>IF(COUNT(G22)=0,"",G22)</f>
        <v/>
      </c>
      <c r="H17" s="276" t="str">
        <f>IF(COUNT(H22)=0,"",H22)</f>
        <v/>
      </c>
      <c r="I17" s="290" t="str">
        <f>IF(COUNT(I22)=0,"",I22)</f>
        <v/>
      </c>
      <c r="J17" s="290" t="str">
        <f>IF(COUNT(J22)=0,"",J22)</f>
        <v/>
      </c>
      <c r="K17" s="290" t="str">
        <f>IF(COUNT(K22)=0,"",K22)</f>
        <v/>
      </c>
      <c r="L17" s="290" t="str">
        <f>IF(COUNT(L22)=0,"",L22)</f>
        <v/>
      </c>
      <c r="M17" s="276" t="str">
        <f>IF(COUNT(M22)=0,"",M22)</f>
        <v/>
      </c>
      <c r="N17" s="290" t="str">
        <f>IF(COUNT(N22)=0,"",N22)</f>
        <v/>
      </c>
      <c r="O17" s="290" t="str">
        <f>IF(COUNT(O22)=0,"",O22)</f>
        <v/>
      </c>
      <c r="P17" s="290" t="str">
        <f>IF(COUNT(P22)=0,"",P22)</f>
        <v/>
      </c>
      <c r="Q17" s="290" t="str">
        <f>IF(COUNT(Q22)=0,"",Q22)</f>
        <v/>
      </c>
      <c r="R17" s="276" t="str">
        <f>IF(COUNT(R22)=0,"",R22)</f>
        <v/>
      </c>
      <c r="S17" s="290" t="str">
        <f>IF(COUNT(S22)=0,"",S22)</f>
        <v/>
      </c>
      <c r="T17" s="290" t="str">
        <f>IF(COUNT(T22)=0,"",T22)</f>
        <v/>
      </c>
      <c r="U17" s="290" t="str">
        <f>IF(COUNT(U22)=0,"",U22)</f>
        <v/>
      </c>
      <c r="V17" s="290" t="str">
        <f>IF(COUNT(V22)=0,"",V22)</f>
        <v/>
      </c>
      <c r="W17" s="276" t="str">
        <f>IF(COUNT(W22)=0,"",W22)</f>
        <v/>
      </c>
      <c r="X17" s="290">
        <f>IF(COUNT(X22)=0,"",X22)</f>
        <v>0</v>
      </c>
      <c r="Y17" s="290">
        <f>IF(COUNT(Y22)=0,"",Y22)</f>
        <v>0</v>
      </c>
      <c r="Z17" s="290">
        <f>IF(COUNT(Z22)=0,"",Z22)</f>
        <v>0</v>
      </c>
      <c r="AA17" s="290">
        <f>IF(COUNT(AA22)=0,"",AA22)</f>
        <v>0</v>
      </c>
      <c r="AB17" s="276">
        <f>IF(COUNT(AB22)=0,"",AB22)</f>
        <v>0</v>
      </c>
      <c r="AC17" s="290">
        <f>IF(COUNT(AC22)=0,"",AC22)</f>
        <v>0</v>
      </c>
      <c r="AD17" s="290">
        <f>IF(COUNT(AD22)=0,"",AD22)</f>
        <v>0</v>
      </c>
      <c r="AE17" s="290">
        <f>IF(COUNT(AE22)=0,"",AE22)</f>
        <v>0</v>
      </c>
      <c r="AF17" s="290">
        <f>IF(COUNT(AF22)=0,"",AF22)</f>
        <v>0</v>
      </c>
      <c r="AG17" s="276">
        <f>IF(COUNT(AG22)=0,"",AG22)</f>
        <v>0</v>
      </c>
      <c r="AH17" s="276">
        <f>IF(COUNT(AH22)=0,"",AH22)</f>
        <v>0</v>
      </c>
      <c r="AI17" s="276">
        <f>IF(COUNT(AI22)=0,"",AI22)</f>
        <v>0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Segmentos - receita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Estados Unidos</t>
        </is>
      </c>
      <c r="D19" s="515" t="str">
        <f>IFERROR(INDEX('Inputs (2)'!$D$53:$AL$53,MATCH(D$7,'Inputs (2)'!$D$2:$AL$2,0)),"")</f>
        <v/>
      </c>
      <c r="E19" s="515" t="str">
        <f>IFERROR(INDEX('Inputs (2)'!$D$53:$AL$53,MATCH(E$7,'Inputs (2)'!$D$2:$AL$2,0)),"")</f>
        <v/>
      </c>
      <c r="F19" s="515" t="str">
        <f>IFERROR(INDEX('Inputs (2)'!$D$53:$AL$53,MATCH(F$7,'Inputs (2)'!$D$2:$AL$2,0)),"")</f>
        <v/>
      </c>
      <c r="G19" s="515" t="str">
        <f>IFERROR(INDEX('Inputs (2)'!$D$53:$AL$53,MATCH(G$7,'Inputs (2)'!$D$2:$AL$2,0)),"")</f>
        <v/>
      </c>
      <c r="H19" s="516" t="str">
        <f>IF(COUNT(D19:G19)=4,SUM(D19:G19),"")</f>
        <v/>
      </c>
      <c r="I19" s="515" t="str">
        <f>IFERROR(INDEX('Inputs (2)'!$D$53:$AL$53,MATCH(I$7,'Inputs (2)'!$D$2:$AL$2,0)),"")</f>
        <v/>
      </c>
      <c r="J19" s="515" t="str">
        <f>IFERROR(INDEX('Inputs (2)'!$D$53:$AL$53,MATCH(J$7,'Inputs (2)'!$D$2:$AL$2,0)),"")</f>
        <v/>
      </c>
      <c r="K19" s="515" t="str">
        <f>IFERROR(INDEX('Inputs (2)'!$D$53:$AL$53,MATCH(K$7,'Inputs (2)'!$D$2:$AL$2,0)),"")</f>
        <v/>
      </c>
      <c r="L19" s="515" t="str">
        <f>IFERROR(INDEX('Inputs (2)'!$D$53:$AL$53,MATCH(L$7,'Inputs (2)'!$D$2:$AL$2,0)),"")</f>
        <v/>
      </c>
      <c r="M19" s="516" t="str">
        <f>IF(COUNT(I19:L19)=4,SUM(I19:L19),"")</f>
        <v/>
      </c>
      <c r="N19" s="515" t="str">
        <f>IFERROR(INDEX('Inputs (2)'!$D$53:$AL$53,MATCH(N$7,'Inputs (2)'!$D$2:$AL$2,0)),"")</f>
        <v/>
      </c>
      <c r="O19" s="515" t="str">
        <f>IFERROR(INDEX('Inputs (2)'!$D$53:$AL$53,MATCH(O$7,'Inputs (2)'!$D$2:$AL$2,0)),"")</f>
        <v/>
      </c>
      <c r="P19" s="515" t="str">
        <f>IFERROR(INDEX('Inputs (2)'!$D$53:$AL$53,MATCH(P$7,'Inputs (2)'!$D$2:$AL$2,0)),"")</f>
        <v/>
      </c>
      <c r="Q19" s="515" t="str">
        <f>IFERROR(INDEX('Inputs (2)'!$D$53:$AL$53,MATCH(Q$7,'Inputs (2)'!$D$2:$AL$2,0)),"")</f>
        <v/>
      </c>
      <c r="R19" s="516" t="str">
        <f>IF(COUNT(N19:Q19)=4,SUM(N19:Q19),"")</f>
        <v/>
      </c>
      <c r="S19" s="515" t="str">
        <f>IFERROR(INDEX('Inputs (2)'!$D$53:$AL$53,MATCH(S$7,'Inputs (2)'!$D$2:$AL$2,0)),"")</f>
        <v/>
      </c>
      <c r="T19" s="515" t="str">
        <f>IFERROR(INDEX('Inputs (2)'!$D$53:$AL$53,MATCH(T$7,'Inputs (2)'!$D$2:$AL$2,0)),"")</f>
        <v/>
      </c>
      <c r="U19" s="515" t="str">
        <f>IFERROR(INDEX('Inputs (2)'!$D$53:$AL$53,MATCH(U$7,'Inputs (2)'!$D$2:$AL$2,0)),"")</f>
        <v/>
      </c>
      <c r="V19" s="515" t="str">
        <f>IFERROR(INDEX('Inputs (2)'!$D$53:$AL$53,MATCH(V$7,'Inputs (2)'!$D$2:$AL$2,0)),"")</f>
        <v/>
      </c>
      <c r="W19" s="516" t="str">
        <f>IF(COUNT(S19:V19)=4,SUM(S19:V19),"")</f>
        <v/>
      </c>
      <c r="X19" s="515">
        <f>IFERROR(INDEX('Inputs (2)'!$D$53:$AL$53,MATCH(X$7,'Inputs (2)'!$D$2:$AL$2,0)),"")</f>
        <v>176.964</v>
      </c>
      <c r="Y19" s="515">
        <f>IFERROR(INDEX('Inputs (2)'!$D$53:$AL$53,MATCH(Y$7,'Inputs (2)'!$D$2:$AL$2,0)),"")</f>
        <v>370.107</v>
      </c>
      <c r="Z19" s="515">
        <f>IFERROR(INDEX('Inputs (2)'!$D$53:$AL$53,MATCH(Z$7,'Inputs (2)'!$D$2:$AL$2,0)),"")</f>
        <v>547.15</v>
      </c>
      <c r="AA19" s="515">
        <f>IFERROR(INDEX('Inputs (2)'!$D$53:$AL$53,MATCH(AA$7,'Inputs (2)'!$D$2:$AL$2,0)),"")</f>
        <v>702.779</v>
      </c>
      <c r="AB19" s="516">
        <f>IF(COUNT(X19:AA19)=4,SUM(X19:AA19),"")</f>
        <v>1797</v>
      </c>
      <c r="AC19" s="515">
        <f>IFERROR(INDEX('Inputs (2)'!$D$53:$AL$53,MATCH(AC$7,'Inputs (2)'!$D$2:$AL$2,0)),"")</f>
        <v>929</v>
      </c>
      <c r="AD19" s="515">
        <f>IFERROR(INDEX('Inputs (2)'!$D$53:$AL$53,MATCH(AD$7,'Inputs (2)'!$D$2:$AL$2,0)),"")</f>
        <v>1148</v>
      </c>
      <c r="AE19" s="515">
        <f>IFERROR(INDEX('Inputs (2)'!$D$53:$AL$53,MATCH(AE$7,'Inputs (2)'!$D$2:$AL$2,0)),"")</f>
        <v>1281.336</v>
      </c>
      <c r="AF19" s="515">
        <f>IFERROR(INDEX('Inputs (2)'!$D$53:$AL$53,MATCH(AF$7,'Inputs (2)'!$D$2:$AL$2,0)),"")</f>
        <v>1442.585</v>
      </c>
      <c r="AG19" s="516">
        <f>IF(COUNT(AC19:AF19)=4,SUM(AC19:AF19),"")</f>
        <v>4800.921</v>
      </c>
      <c r="AH19" s="516">
        <f>IFERROR(INDEX('Inputs (2)'!$D$53:$AL$53,MATCH(AH$7,'Inputs (2)'!$D$2:$AL$2,0)),"")</f>
        <v>1900</v>
      </c>
      <c r="AI19" s="516">
        <f>IFERROR(INDEX('Inputs (2)'!$D$53:$AL$53,MATCH(AI$7,'Inputs (2)'!$D$2:$AL$2,0)),"")</f>
        <v>2389</v>
      </c>
    </row>
    <row r="20" s="255">
      <c r="C20" s="275" t="inlineStr">
        <is>
          <t xml:space="preserve">   Fora dos EUA</t>
        </is>
      </c>
      <c r="D20" s="515" t="str">
        <f>IFERROR(INDEX('Inputs (2)'!$D$54:$AL$54,MATCH(D$7,'Inputs (2)'!$D$2:$AL$2,0)),"")</f>
        <v/>
      </c>
      <c r="E20" s="515" t="str">
        <f>IFERROR(INDEX('Inputs (2)'!$D$54:$AL$54,MATCH(E$7,'Inputs (2)'!$D$2:$AL$2,0)),"")</f>
        <v/>
      </c>
      <c r="F20" s="515" t="str">
        <f>IFERROR(INDEX('Inputs (2)'!$D$54:$AL$54,MATCH(F$7,'Inputs (2)'!$D$2:$AL$2,0)),"")</f>
        <v/>
      </c>
      <c r="G20" s="515" t="str">
        <f>IFERROR(INDEX('Inputs (2)'!$D$54:$AL$54,MATCH(G$7,'Inputs (2)'!$D$2:$AL$2,0)),"")</f>
        <v/>
      </c>
      <c r="H20" s="516" t="str">
        <f>IF(COUNT(D20:G20)=4,SUM(D20:G20),"")</f>
        <v/>
      </c>
      <c r="I20" s="515" t="str">
        <f>IFERROR(INDEX('Inputs (2)'!$D$54:$AL$54,MATCH(I$7,'Inputs (2)'!$D$2:$AL$2,0)),"")</f>
        <v/>
      </c>
      <c r="J20" s="515" t="str">
        <f>IFERROR(INDEX('Inputs (2)'!$D$54:$AL$54,MATCH(J$7,'Inputs (2)'!$D$2:$AL$2,0)),"")</f>
        <v/>
      </c>
      <c r="K20" s="515" t="str">
        <f>IFERROR(INDEX('Inputs (2)'!$D$54:$AL$54,MATCH(K$7,'Inputs (2)'!$D$2:$AL$2,0)),"")</f>
        <v/>
      </c>
      <c r="L20" s="515" t="str">
        <f>IFERROR(INDEX('Inputs (2)'!$D$54:$AL$54,MATCH(L$7,'Inputs (2)'!$D$2:$AL$2,0)),"")</f>
        <v/>
      </c>
      <c r="M20" s="516" t="str">
        <f>IF(COUNT(I20:L20)=4,SUM(I20:L20),"")</f>
        <v/>
      </c>
      <c r="N20" s="515" t="str">
        <f>IFERROR(INDEX('Inputs (2)'!$D$54:$AL$54,MATCH(N$7,'Inputs (2)'!$D$2:$AL$2,0)),"")</f>
        <v/>
      </c>
      <c r="O20" s="515" t="str">
        <f>IFERROR(INDEX('Inputs (2)'!$D$54:$AL$54,MATCH(O$7,'Inputs (2)'!$D$2:$AL$2,0)),"")</f>
        <v/>
      </c>
      <c r="P20" s="515" t="str">
        <f>IFERROR(INDEX('Inputs (2)'!$D$54:$AL$54,MATCH(P$7,'Inputs (2)'!$D$2:$AL$2,0)),"")</f>
        <v/>
      </c>
      <c r="Q20" s="515" t="str">
        <f>IFERROR(INDEX('Inputs (2)'!$D$54:$AL$54,MATCH(Q$7,'Inputs (2)'!$D$2:$AL$2,0)),"")</f>
        <v/>
      </c>
      <c r="R20" s="516" t="str">
        <f>IF(COUNT(N20:Q20)=4,SUM(N20:Q20),"")</f>
        <v/>
      </c>
      <c r="S20" s="515" t="str">
        <f>IFERROR(INDEX('Inputs (2)'!$D$54:$AL$54,MATCH(S$7,'Inputs (2)'!$D$2:$AL$2,0)),"")</f>
        <v/>
      </c>
      <c r="T20" s="515" t="str">
        <f>IFERROR(INDEX('Inputs (2)'!$D$54:$AL$54,MATCH(T$7,'Inputs (2)'!$D$2:$AL$2,0)),"")</f>
        <v/>
      </c>
      <c r="U20" s="515" t="str">
        <f>IFERROR(INDEX('Inputs (2)'!$D$54:$AL$54,MATCH(U$7,'Inputs (2)'!$D$2:$AL$2,0)),"")</f>
        <v/>
      </c>
      <c r="V20" s="515" t="str">
        <f>IFERROR(INDEX('Inputs (2)'!$D$54:$AL$54,MATCH(V$7,'Inputs (2)'!$D$2:$AL$2,0)),"")</f>
        <v/>
      </c>
      <c r="W20" s="516" t="str">
        <f>IF(COUNT(S20:V20)=4,SUM(S20:V20),"")</f>
        <v/>
      </c>
      <c r="X20" s="515">
        <f>IFERROR(INDEX('Inputs (2)'!$D$54:$AL$54,MATCH(X$7,'Inputs (2)'!$D$2:$AL$2,0)),"")</f>
        <v>11.72</v>
      </c>
      <c r="Y20" s="515">
        <f>IFERROR(INDEX('Inputs (2)'!$D$54:$AL$54,MATCH(Y$7,'Inputs (2)'!$D$2:$AL$2,0)),"")</f>
        <v>25.264</v>
      </c>
      <c r="Z20" s="515">
        <f>IFERROR(INDEX('Inputs (2)'!$D$54:$AL$54,MATCH(Z$7,'Inputs (2)'!$D$2:$AL$2,0)),"")</f>
        <v>36.791</v>
      </c>
      <c r="AA20" s="515">
        <f>IFERROR(INDEX('Inputs (2)'!$D$54:$AL$54,MATCH(AA$7,'Inputs (2)'!$D$2:$AL$2,0)),"")</f>
        <v>44.225</v>
      </c>
      <c r="AB20" s="516">
        <f>IF(COUNT(X20:AA20)=4,SUM(X20:AA20),"")</f>
        <v>118</v>
      </c>
      <c r="AC20" s="515">
        <f>IFERROR(INDEX('Inputs (2)'!$D$54:$AL$54,MATCH(AC$7,'Inputs (2)'!$D$2:$AL$2,0)),"")</f>
        <v>53</v>
      </c>
      <c r="AD20" s="515">
        <f>IFERROR(INDEX('Inputs (2)'!$D$54:$AL$54,MATCH(AD$7,'Inputs (2)'!$D$2:$AL$2,0)),"")</f>
        <v>64</v>
      </c>
      <c r="AE20" s="515">
        <f>IFERROR(INDEX('Inputs (2)'!$D$54:$AL$54,MATCH(AE$7,'Inputs (2)'!$D$2:$AL$2,0)),"")</f>
        <v>83.34</v>
      </c>
      <c r="AF20" s="515">
        <f>IFERROR(INDEX('Inputs (2)'!$D$54:$AL$54,MATCH(AF$7,'Inputs (2)'!$D$2:$AL$2,0)),"")</f>
        <v>129.319</v>
      </c>
      <c r="AG20" s="516">
        <f>IF(COUNT(AC20:AF20)=4,SUM(AC20:AF20),"")</f>
        <v>329.659</v>
      </c>
      <c r="AH20" s="516">
        <f>IFERROR(INDEX('Inputs (2)'!$D$54:$AL$54,MATCH(AH$7,'Inputs (2)'!$D$2:$AL$2,0)),"")</f>
        <v>178</v>
      </c>
      <c r="AI20" s="516">
        <f>IFERROR(INDEX('Inputs (2)'!$D$54:$AL$54,MATCH(AI$7,'Inputs (2)'!$D$2:$AL$2,0)),"")</f>
        <v>186</v>
      </c>
    </row>
    <row r="21" s="255">
      <c r="C21" s="517" t="inlineStr">
        <is>
          <t>Receita (soma dos segmentos)</t>
        </is>
      </c>
      <c r="D21" s="515" t="str">
        <f>IF(COUNT(D19,D20)=0,"",N(D19)+N(D20))</f>
        <v/>
      </c>
      <c r="E21" s="515" t="str">
        <f>IF(COUNT(E19,E20)=0,"",N(E19)+N(E20))</f>
        <v/>
      </c>
      <c r="F21" s="515" t="str">
        <f>IF(COUNT(F19,F20)=0,"",N(F19)+N(F20))</f>
        <v/>
      </c>
      <c r="G21" s="515" t="str">
        <f>IF(COUNT(G19,G20)=0,"",N(G19)+N(G20))</f>
        <v/>
      </c>
      <c r="H21" s="516" t="str">
        <f>IF(COUNT(H19,H20)=0,"",N(H19)+N(H20))</f>
        <v/>
      </c>
      <c r="I21" s="515" t="str">
        <f>IF(COUNT(I19,I20)=0,"",N(I19)+N(I20))</f>
        <v/>
      </c>
      <c r="J21" s="515" t="str">
        <f>IF(COUNT(J19,J20)=0,"",N(J19)+N(J20))</f>
        <v/>
      </c>
      <c r="K21" s="515" t="str">
        <f>IF(COUNT(K19,K20)=0,"",N(K19)+N(K20))</f>
        <v/>
      </c>
      <c r="L21" s="515" t="str">
        <f>IF(COUNT(L19,L20)=0,"",N(L19)+N(L20))</f>
        <v/>
      </c>
      <c r="M21" s="516" t="str">
        <f>IF(COUNT(M19,M20)=0,"",N(M19)+N(M20))</f>
        <v/>
      </c>
      <c r="N21" s="515" t="str">
        <f>IF(COUNT(N19,N20)=0,"",N(N19)+N(N20))</f>
        <v/>
      </c>
      <c r="O21" s="515" t="str">
        <f>IF(COUNT(O19,O20)=0,"",N(O19)+N(O20))</f>
        <v/>
      </c>
      <c r="P21" s="515" t="str">
        <f>IF(COUNT(P19,P20)=0,"",N(P19)+N(P20))</f>
        <v/>
      </c>
      <c r="Q21" s="515" t="str">
        <f>IF(COUNT(Q19,Q20)=0,"",N(Q19)+N(Q20))</f>
        <v/>
      </c>
      <c r="R21" s="516" t="str">
        <f>IF(COUNT(R19,R20)=0,"",N(R19)+N(R20))</f>
        <v/>
      </c>
      <c r="S21" s="515" t="str">
        <f>IF(COUNT(S19,S20)=0,"",N(S19)+N(S20))</f>
        <v/>
      </c>
      <c r="T21" s="515" t="str">
        <f>IF(COUNT(T19,T20)=0,"",N(T19)+N(T20))</f>
        <v/>
      </c>
      <c r="U21" s="515" t="str">
        <f>IF(COUNT(U19,U20)=0,"",N(U19)+N(U20))</f>
        <v/>
      </c>
      <c r="V21" s="515" t="str">
        <f>IF(COUNT(V19,V20)=0,"",N(V19)+N(V20))</f>
        <v/>
      </c>
      <c r="W21" s="516" t="str">
        <f>IF(COUNT(W19,W20)=0,"",N(W19)+N(W20))</f>
        <v/>
      </c>
      <c r="X21" s="515">
        <f>IF(COUNT(X19,X20)=0,"",N(X19)+N(X20))</f>
        <v>188.684</v>
      </c>
      <c r="Y21" s="515">
        <f>IF(COUNT(Y19,Y20)=0,"",N(Y19)+N(Y20))</f>
        <v>395.371</v>
      </c>
      <c r="Z21" s="515">
        <f>IF(COUNT(Z19,Z20)=0,"",N(Z19)+N(Z20))</f>
        <v>583.941</v>
      </c>
      <c r="AA21" s="515">
        <f>IF(COUNT(AA19,AA20)=0,"",N(AA19)+N(AA20))</f>
        <v>747.004</v>
      </c>
      <c r="AB21" s="516">
        <f>IF(COUNT(AB19,AB20)=0,"",N(AB19)+N(AB20))</f>
        <v>1915</v>
      </c>
      <c r="AC21" s="515">
        <f>IF(COUNT(AC19,AC20)=0,"",N(AC19)+N(AC20))</f>
        <v>982</v>
      </c>
      <c r="AD21" s="515">
        <f>IF(COUNT(AD19,AD20)=0,"",N(AD19)+N(AD20))</f>
        <v>1212</v>
      </c>
      <c r="AE21" s="515">
        <f>IF(COUNT(AE19,AE20)=0,"",N(AE19)+N(AE20))</f>
        <v>1364.676</v>
      </c>
      <c r="AF21" s="515">
        <f>IF(COUNT(AF19,AF20)=0,"",N(AF19)+N(AF20))</f>
        <v>1571.904</v>
      </c>
      <c r="AG21" s="516">
        <f>IF(COUNT(AG19,AG20)=0,"",N(AG19)+N(AG20))</f>
        <v>5130.58</v>
      </c>
      <c r="AH21" s="516">
        <f>IF(COUNT(AH19,AH20)=0,"",N(AH19)+N(AH20))</f>
        <v>2078</v>
      </c>
      <c r="AI21" s="516">
        <f>IF(COUNT(AI19,AI20)=0,"",N(AI19)+N(AI20))</f>
        <v>2575</v>
      </c>
    </row>
    <row r="22" s="255">
      <c r="C22" s="275" t="inlineStr">
        <is>
          <t>Check Receita (linha 15 - soma dos segmentos)</t>
        </is>
      </c>
      <c r="D22" s="515" t="str">
        <f>IF(COUNT(D21)=0,"",ROUND(D15-D21,1))</f>
        <v/>
      </c>
      <c r="E22" s="515" t="str">
        <f>IF(COUNT(E21)=0,"",ROUND(E15-E21,1))</f>
        <v/>
      </c>
      <c r="F22" s="515" t="str">
        <f>IF(COUNT(F21)=0,"",ROUND(F15-F21,1))</f>
        <v/>
      </c>
      <c r="G22" s="515" t="str">
        <f>IF(COUNT(G21)=0,"",ROUND(G15-G21,1))</f>
        <v/>
      </c>
      <c r="H22" s="516" t="str">
        <f>IF(COUNT(H21)=0,"",ROUND(H15-H21,1))</f>
        <v/>
      </c>
      <c r="I22" s="515" t="str">
        <f>IF(COUNT(I21)=0,"",ROUND(I15-I21,1))</f>
        <v/>
      </c>
      <c r="J22" s="515" t="str">
        <f>IF(COUNT(J21)=0,"",ROUND(J15-J21,1))</f>
        <v/>
      </c>
      <c r="K22" s="515" t="str">
        <f>IF(COUNT(K21)=0,"",ROUND(K15-K21,1))</f>
        <v/>
      </c>
      <c r="L22" s="515" t="str">
        <f>IF(COUNT(L21)=0,"",ROUND(L15-L21,1))</f>
        <v/>
      </c>
      <c r="M22" s="516" t="str">
        <f>IF(COUNT(M21)=0,"",ROUND(M15-M21,1))</f>
        <v/>
      </c>
      <c r="N22" s="515" t="str">
        <f>IF(COUNT(N21)=0,"",ROUND(N15-N21,1))</f>
        <v/>
      </c>
      <c r="O22" s="515" t="str">
        <f>IF(COUNT(O21)=0,"",ROUND(O15-O21,1))</f>
        <v/>
      </c>
      <c r="P22" s="515" t="str">
        <f>IF(COUNT(P21)=0,"",ROUND(P15-P21,1))</f>
        <v/>
      </c>
      <c r="Q22" s="515" t="str">
        <f>IF(COUNT(Q21)=0,"",ROUND(Q15-Q21,1))</f>
        <v/>
      </c>
      <c r="R22" s="516" t="str">
        <f>IF(COUNT(R21)=0,"",ROUND(R15-R21,1))</f>
        <v/>
      </c>
      <c r="S22" s="515" t="str">
        <f>IF(COUNT(S21)=0,"",ROUND(S15-S21,1))</f>
        <v/>
      </c>
      <c r="T22" s="515" t="str">
        <f>IF(COUNT(T21)=0,"",ROUND(T15-T21,1))</f>
        <v/>
      </c>
      <c r="U22" s="515" t="str">
        <f>IF(COUNT(U21)=0,"",ROUND(U15-U21,1))</f>
        <v/>
      </c>
      <c r="V22" s="515" t="str">
        <f>IF(COUNT(V21)=0,"",ROUND(V15-V21,1))</f>
        <v/>
      </c>
      <c r="W22" s="516" t="str">
        <f>IF(COUNT(W21)=0,"",ROUND(W15-W21,1))</f>
        <v/>
      </c>
      <c r="X22" s="515">
        <f>IF(COUNT(X21)=0,"",ROUND(X15-X21,1))</f>
        <v>0</v>
      </c>
      <c r="Y22" s="515">
        <f>IF(COUNT(Y21)=0,"",ROUND(Y15-Y21,1))</f>
        <v>0</v>
      </c>
      <c r="Z22" s="515">
        <f>IF(COUNT(Z21)=0,"",ROUND(Z15-Z21,1))</f>
        <v>0</v>
      </c>
      <c r="AA22" s="515">
        <f>IF(COUNT(AA21)=0,"",ROUND(AA15-AA21,1))</f>
        <v>0</v>
      </c>
      <c r="AB22" s="516">
        <f>IF(COUNT(AB21)=0,"",ROUND(AB15-AB21,1))</f>
        <v>0</v>
      </c>
      <c r="AC22" s="515">
        <f>IF(COUNT(AC21)=0,"",ROUND(AC15-AC21,1))</f>
        <v>0</v>
      </c>
      <c r="AD22" s="515">
        <f>IF(COUNT(AD21)=0,"",ROUND(AD15-AD21,1))</f>
        <v>0</v>
      </c>
      <c r="AE22" s="515">
        <f>IF(COUNT(AE21)=0,"",ROUND(AE15-AE21,1))</f>
        <v>0</v>
      </c>
      <c r="AF22" s="515">
        <f>IF(COUNT(AF21)=0,"",ROUND(AF15-AF21,1))</f>
        <v>0</v>
      </c>
      <c r="AG22" s="516">
        <f>IF(COUNT(AG21)=0,"",ROUND(AG15-AG21,1))</f>
        <v>0</v>
      </c>
      <c r="AH22" s="516">
        <f>IF(COUNT(AH21)=0,"",ROUND(AH15-AH21,1))</f>
        <v>0</v>
      </c>
      <c r="AI22" s="516">
        <f>IF(COUNT(AI21)=0,"",ROUND(AI15-AI21,1))</f>
        <v>0</v>
      </c>
    </row>
    <row r="23" s="255">
      <c r="C23" s="275" t="inlineStr">
        <is>
          <t xml:space="preserve">   % YoY Estados Unidos</t>
        </is>
      </c>
      <c r="D23" s="518" t="str">
        <f>""</f>
        <v/>
      </c>
      <c r="E23" s="518" t="str">
        <f>""</f>
        <v/>
      </c>
      <c r="F23" s="518" t="str">
        <f>""</f>
        <v/>
      </c>
      <c r="G23" s="518" t="str">
        <f>""</f>
        <v/>
      </c>
      <c r="H23" s="519" t="str">
        <f>""</f>
        <v/>
      </c>
      <c r="I23" s="518" t="str">
        <f>IFERROR(I19/D19-1,"")</f>
        <v/>
      </c>
      <c r="J23" s="518" t="str">
        <f>IFERROR(J19/E19-1,"")</f>
        <v/>
      </c>
      <c r="K23" s="518" t="str">
        <f>IFERROR(K19/F19-1,"")</f>
        <v/>
      </c>
      <c r="L23" s="518" t="str">
        <f>IFERROR(L19/G19-1,"")</f>
        <v/>
      </c>
      <c r="M23" s="519" t="str">
        <f>IFERROR(M19/H19-1,"")</f>
        <v/>
      </c>
      <c r="N23" s="518" t="str">
        <f>IFERROR(N19/I19-1,"")</f>
        <v/>
      </c>
      <c r="O23" s="518" t="str">
        <f>IFERROR(O19/J19-1,"")</f>
        <v/>
      </c>
      <c r="P23" s="518" t="str">
        <f>IFERROR(P19/K19-1,"")</f>
        <v/>
      </c>
      <c r="Q23" s="518" t="str">
        <f>IFERROR(Q19/L19-1,"")</f>
        <v/>
      </c>
      <c r="R23" s="519" t="str">
        <f>IFERROR(R19/M19-1,"")</f>
        <v/>
      </c>
      <c r="S23" s="518" t="str">
        <f>IFERROR(S19/N19-1,"")</f>
        <v/>
      </c>
      <c r="T23" s="518" t="str">
        <f>IFERROR(T19/O19-1,"")</f>
        <v/>
      </c>
      <c r="U23" s="518" t="str">
        <f>IFERROR(U19/P19-1,"")</f>
        <v/>
      </c>
      <c r="V23" s="518" t="str">
        <f>IFERROR(V19/Q19-1,"")</f>
        <v/>
      </c>
      <c r="W23" s="519" t="str">
        <f>IFERROR(W19/R19-1,"")</f>
        <v/>
      </c>
      <c r="X23" s="518" t="str">
        <f>IFERROR(X19/S19-1,"")</f>
        <v/>
      </c>
      <c r="Y23" s="518" t="str">
        <f>IFERROR(Y19/T19-1,"")</f>
        <v/>
      </c>
      <c r="Z23" s="518" t="str">
        <f>IFERROR(Z19/U19-1,"")</f>
        <v/>
      </c>
      <c r="AA23" s="518" t="str">
        <f>IFERROR(AA19/V19-1,"")</f>
        <v/>
      </c>
      <c r="AB23" s="519" t="str">
        <f>IFERROR(AB19/W19-1,"")</f>
        <v/>
      </c>
      <c r="AC23" s="518">
        <f>IFERROR(AC19/X19-1,"")</f>
        <v>4.24965529712258</v>
      </c>
      <c r="AD23" s="518">
        <f>IFERROR(AD19/Y19-1,"")</f>
        <v>2.10180569402902</v>
      </c>
      <c r="AE23" s="518">
        <f>IFERROR(AE19/Z19-1,"")</f>
        <v>1.34183679064242</v>
      </c>
      <c r="AF23" s="518">
        <f>IFERROR(AF19/AA19-1,"")</f>
        <v>1.05268654868743</v>
      </c>
      <c r="AG23" s="519">
        <f>IFERROR(AG19/AB19-1,"")</f>
        <v>1.67163105175292</v>
      </c>
      <c r="AH23" s="519">
        <f>IFERROR(AH19/AC19-1,"")</f>
        <v>1.04520990312164</v>
      </c>
      <c r="AI23" s="519">
        <f>IFERROR(AI19/AD19-1,"")</f>
        <v>1.08101045296167</v>
      </c>
    </row>
    <row r="24" s="255">
      <c r="C24" s="275" t="inlineStr">
        <is>
          <t xml:space="preserve">   % YoY Fora dos EUA</t>
        </is>
      </c>
      <c r="D24" s="518" t="str">
        <f>""</f>
        <v/>
      </c>
      <c r="E24" s="518" t="str">
        <f>""</f>
        <v/>
      </c>
      <c r="F24" s="518" t="str">
        <f>""</f>
        <v/>
      </c>
      <c r="G24" s="518" t="str">
        <f>""</f>
        <v/>
      </c>
      <c r="H24" s="519" t="str">
        <f>""</f>
        <v/>
      </c>
      <c r="I24" s="518" t="str">
        <f>IFERROR(I20/D20-1,"")</f>
        <v/>
      </c>
      <c r="J24" s="518" t="str">
        <f>IFERROR(J20/E20-1,"")</f>
        <v/>
      </c>
      <c r="K24" s="518" t="str">
        <f>IFERROR(K20/F20-1,"")</f>
        <v/>
      </c>
      <c r="L24" s="518" t="str">
        <f>IFERROR(L20/G20-1,"")</f>
        <v/>
      </c>
      <c r="M24" s="519" t="str">
        <f>IFERROR(M20/H20-1,"")</f>
        <v/>
      </c>
      <c r="N24" s="518" t="str">
        <f>IFERROR(N20/I20-1,"")</f>
        <v/>
      </c>
      <c r="O24" s="518" t="str">
        <f>IFERROR(O20/J20-1,"")</f>
        <v/>
      </c>
      <c r="P24" s="518" t="str">
        <f>IFERROR(P20/K20-1,"")</f>
        <v/>
      </c>
      <c r="Q24" s="518" t="str">
        <f>IFERROR(Q20/L20-1,"")</f>
        <v/>
      </c>
      <c r="R24" s="519" t="str">
        <f>IFERROR(R20/M20-1,"")</f>
        <v/>
      </c>
      <c r="S24" s="518" t="str">
        <f>IFERROR(S20/N20-1,"")</f>
        <v/>
      </c>
      <c r="T24" s="518" t="str">
        <f>IFERROR(T20/O20-1,"")</f>
        <v/>
      </c>
      <c r="U24" s="518" t="str">
        <f>IFERROR(U20/P20-1,"")</f>
        <v/>
      </c>
      <c r="V24" s="518" t="str">
        <f>IFERROR(V20/Q20-1,"")</f>
        <v/>
      </c>
      <c r="W24" s="519" t="str">
        <f>IFERROR(W20/R20-1,"")</f>
        <v/>
      </c>
      <c r="X24" s="518" t="str">
        <f>IFERROR(X20/S20-1,"")</f>
        <v/>
      </c>
      <c r="Y24" s="518" t="str">
        <f>IFERROR(Y20/T20-1,"")</f>
        <v/>
      </c>
      <c r="Z24" s="518" t="str">
        <f>IFERROR(Z20/U20-1,"")</f>
        <v/>
      </c>
      <c r="AA24" s="518" t="str">
        <f>IFERROR(AA20/V20-1,"")</f>
        <v/>
      </c>
      <c r="AB24" s="519" t="str">
        <f>IFERROR(AB20/W20-1,"")</f>
        <v/>
      </c>
      <c r="AC24" s="518">
        <f>IFERROR(AC20/X20-1,"")</f>
        <v>3.5221843003413</v>
      </c>
      <c r="AD24" s="518">
        <f>IFERROR(AD20/Y20-1,"")</f>
        <v>1.53324889170361</v>
      </c>
      <c r="AE24" s="518">
        <f>IFERROR(AE20/Z20-1,"")</f>
        <v>1.26522790899948</v>
      </c>
      <c r="AF24" s="518">
        <f>IFERROR(AF20/AA20-1,"")</f>
        <v>1.92411531938949</v>
      </c>
      <c r="AG24" s="519">
        <f>IFERROR(AG20/AB20-1,"")</f>
        <v>1.79372033898305</v>
      </c>
      <c r="AH24" s="519">
        <f>IFERROR(AH20/AC20-1,"")</f>
        <v>2.35849056603774</v>
      </c>
      <c r="AI24" s="519">
        <f>IFERROR(AI20/AD20-1,"")</f>
        <v>1.90625</v>
      </c>
    </row>
    <row r="25" s="255"/>
    <row r="26" s="255">
      <c r="C26" s="289" t="inlineStr">
        <is>
          <t>Carteira contratada (USD milhões)</t>
        </is>
      </c>
      <c r="D26" s="289" t="str">
        <f>D7</f>
        <v>1Q20</v>
      </c>
      <c r="E26" s="289" t="str">
        <f>E7</f>
        <v>2Q20</v>
      </c>
      <c r="F26" s="289" t="str">
        <f>F7</f>
        <v>3Q20</v>
      </c>
      <c r="G26" s="289" t="str">
        <f>G7</f>
        <v>4Q20</v>
      </c>
      <c r="H26" s="289">
        <f>H7</f>
        <v>2020</v>
      </c>
      <c r="I26" s="289" t="str">
        <f>I7</f>
        <v>1Q21</v>
      </c>
      <c r="J26" s="289" t="str">
        <f>J7</f>
        <v>2Q21</v>
      </c>
      <c r="K26" s="289" t="str">
        <f>K7</f>
        <v>3Q21</v>
      </c>
      <c r="L26" s="289" t="str">
        <f>L7</f>
        <v>4Q21</v>
      </c>
      <c r="M26" s="289">
        <f>M7</f>
        <v>2021</v>
      </c>
      <c r="N26" s="289" t="str">
        <f>N7</f>
        <v>1Q22</v>
      </c>
      <c r="O26" s="289" t="str">
        <f>O7</f>
        <v>2Q22</v>
      </c>
      <c r="P26" s="289" t="str">
        <f>P7</f>
        <v>3Q22</v>
      </c>
      <c r="Q26" s="289" t="str">
        <f>Q7</f>
        <v>4Q22</v>
      </c>
      <c r="R26" s="289">
        <f>R7</f>
        <v>2022</v>
      </c>
      <c r="S26" s="289" t="str">
        <f>S7</f>
        <v>1Q23</v>
      </c>
      <c r="T26" s="289" t="str">
        <f>T7</f>
        <v>2Q23</v>
      </c>
      <c r="U26" s="289" t="str">
        <f>U7</f>
        <v>3Q23</v>
      </c>
      <c r="V26" s="289" t="str">
        <f>V7</f>
        <v>4Q23</v>
      </c>
      <c r="W26" s="289">
        <f>W7</f>
        <v>2023</v>
      </c>
      <c r="X26" s="289" t="str">
        <f>X7</f>
        <v>1Q24</v>
      </c>
      <c r="Y26" s="289" t="str">
        <f>Y7</f>
        <v>2Q24</v>
      </c>
      <c r="Z26" s="289" t="str">
        <f>Z7</f>
        <v>3Q24</v>
      </c>
      <c r="AA26" s="289" t="str">
        <f>AA7</f>
        <v>4Q24</v>
      </c>
      <c r="AB26" s="289">
        <f>AB7</f>
        <v>2024</v>
      </c>
      <c r="AC26" s="289" t="str">
        <f>AC7</f>
        <v>1Q25</v>
      </c>
      <c r="AD26" s="289" t="str">
        <f>AD7</f>
        <v>2Q25</v>
      </c>
      <c r="AE26" s="289" t="str">
        <f>AE7</f>
        <v>3Q25</v>
      </c>
      <c r="AF26" s="289" t="str">
        <f>AF7</f>
        <v>4Q25</v>
      </c>
      <c r="AG26" s="289">
        <f>AG7</f>
        <v>2025</v>
      </c>
      <c r="AH26" s="289" t="str">
        <f>AH7</f>
        <v>1Q26</v>
      </c>
      <c r="AI26" s="289" t="str">
        <f>AI7</f>
        <v>2Q26</v>
      </c>
    </row>
    <row r="27" s="255">
      <c r="C27" s="275" t="inlineStr">
        <is>
          <t xml:space="preserve">   RPO - carteira contratada (saldo)</t>
        </is>
      </c>
      <c r="D27" s="515" t="str">
        <f>IFERROR(INDEX('Inputs (2)'!$D$55:$AL$55,MATCH(D$7,'Inputs (2)'!$D$2:$AL$2,0)),"")</f>
        <v/>
      </c>
      <c r="E27" s="515" t="str">
        <f>IFERROR(INDEX('Inputs (2)'!$D$55:$AL$55,MATCH(E$7,'Inputs (2)'!$D$2:$AL$2,0)),"")</f>
        <v/>
      </c>
      <c r="F27" s="515" t="str">
        <f>IFERROR(INDEX('Inputs (2)'!$D$55:$AL$55,MATCH(F$7,'Inputs (2)'!$D$2:$AL$2,0)),"")</f>
        <v/>
      </c>
      <c r="G27" s="515" t="str">
        <f>IFERROR(INDEX('Inputs (2)'!$D$55:$AL$55,MATCH(G$7,'Inputs (2)'!$D$2:$AL$2,0)),"")</f>
        <v/>
      </c>
      <c r="H27" s="516" t="str">
        <f>IF(COUNT(G27)=0,"",G27)</f>
        <v/>
      </c>
      <c r="I27" s="515" t="str">
        <f>IFERROR(INDEX('Inputs (2)'!$D$55:$AL$55,MATCH(I$7,'Inputs (2)'!$D$2:$AL$2,0)),"")</f>
        <v/>
      </c>
      <c r="J27" s="515" t="str">
        <f>IFERROR(INDEX('Inputs (2)'!$D$55:$AL$55,MATCH(J$7,'Inputs (2)'!$D$2:$AL$2,0)),"")</f>
        <v/>
      </c>
      <c r="K27" s="515" t="str">
        <f>IFERROR(INDEX('Inputs (2)'!$D$55:$AL$55,MATCH(K$7,'Inputs (2)'!$D$2:$AL$2,0)),"")</f>
        <v/>
      </c>
      <c r="L27" s="515" t="str">
        <f>IFERROR(INDEX('Inputs (2)'!$D$55:$AL$55,MATCH(L$7,'Inputs (2)'!$D$2:$AL$2,0)),"")</f>
        <v/>
      </c>
      <c r="M27" s="516" t="str">
        <f>IF(COUNT(L27)=0,"",L27)</f>
        <v/>
      </c>
      <c r="N27" s="515" t="str">
        <f>IFERROR(INDEX('Inputs (2)'!$D$55:$AL$55,MATCH(N$7,'Inputs (2)'!$D$2:$AL$2,0)),"")</f>
        <v/>
      </c>
      <c r="O27" s="515" t="str">
        <f>IFERROR(INDEX('Inputs (2)'!$D$55:$AL$55,MATCH(O$7,'Inputs (2)'!$D$2:$AL$2,0)),"")</f>
        <v/>
      </c>
      <c r="P27" s="515" t="str">
        <f>IFERROR(INDEX('Inputs (2)'!$D$55:$AL$55,MATCH(P$7,'Inputs (2)'!$D$2:$AL$2,0)),"")</f>
        <v/>
      </c>
      <c r="Q27" s="515" t="str">
        <f>IFERROR(INDEX('Inputs (2)'!$D$55:$AL$55,MATCH(Q$7,'Inputs (2)'!$D$2:$AL$2,0)),"")</f>
        <v/>
      </c>
      <c r="R27" s="516" t="str">
        <f>IF(COUNT(Q27)=0,"",Q27)</f>
        <v/>
      </c>
      <c r="S27" s="515" t="str">
        <f>IFERROR(INDEX('Inputs (2)'!$D$55:$AL$55,MATCH(S$7,'Inputs (2)'!$D$2:$AL$2,0)),"")</f>
        <v/>
      </c>
      <c r="T27" s="515" t="str">
        <f>IFERROR(INDEX('Inputs (2)'!$D$55:$AL$55,MATCH(T$7,'Inputs (2)'!$D$2:$AL$2,0)),"")</f>
        <v/>
      </c>
      <c r="U27" s="515" t="str">
        <f>IFERROR(INDEX('Inputs (2)'!$D$55:$AL$55,MATCH(U$7,'Inputs (2)'!$D$2:$AL$2,0)),"")</f>
        <v/>
      </c>
      <c r="V27" s="515" t="str">
        <f>IFERROR(INDEX('Inputs (2)'!$D$55:$AL$55,MATCH(V$7,'Inputs (2)'!$D$2:$AL$2,0)),"")</f>
        <v/>
      </c>
      <c r="W27" s="516" t="str">
        <f>IF(COUNT(V27)=0,"",V27)</f>
        <v/>
      </c>
      <c r="X27" s="515" t="str">
        <f>IFERROR(INDEX('Inputs (2)'!$D$55:$AL$55,MATCH(X$7,'Inputs (2)'!$D$2:$AL$2,0)),"")</f>
        <v/>
      </c>
      <c r="Y27" s="515" t="str">
        <f>IFERROR(INDEX('Inputs (2)'!$D$55:$AL$55,MATCH(Y$7,'Inputs (2)'!$D$2:$AL$2,0)),"")</f>
        <v/>
      </c>
      <c r="Z27" s="515" t="str">
        <f>IFERROR(INDEX('Inputs (2)'!$D$55:$AL$55,MATCH(Z$7,'Inputs (2)'!$D$2:$AL$2,0)),"")</f>
        <v/>
      </c>
      <c r="AA27" s="515" t="str">
        <f>IFERROR(INDEX('Inputs (2)'!$D$55:$AL$55,MATCH(AA$7,'Inputs (2)'!$D$2:$AL$2,0)),"")</f>
        <v/>
      </c>
      <c r="AB27" s="516" t="str">
        <f>IF(COUNT(AA27)=0,"",AA27)</f>
        <v/>
      </c>
      <c r="AC27" s="515">
        <f>IFERROR(INDEX('Inputs (2)'!$D$55:$AL$55,MATCH(AC$7,'Inputs (2)'!$D$2:$AL$2,0)),"")</f>
        <v>14700</v>
      </c>
      <c r="AD27" s="515">
        <f>IFERROR(INDEX('Inputs (2)'!$D$55:$AL$55,MATCH(AD$7,'Inputs (2)'!$D$2:$AL$2,0)),"")</f>
        <v>30100</v>
      </c>
      <c r="AE27" s="515">
        <f>IFERROR(INDEX('Inputs (2)'!$D$55:$AL$55,MATCH(AE$7,'Inputs (2)'!$D$2:$AL$2,0)),"")</f>
        <v>50000</v>
      </c>
      <c r="AF27" s="515">
        <f>IFERROR(INDEX('Inputs (2)'!$D$55:$AL$55,MATCH(AF$7,'Inputs (2)'!$D$2:$AL$2,0)),"")</f>
        <v>60700</v>
      </c>
      <c r="AG27" s="516">
        <f>IF(COUNT(AF27)=0,"",AF27)</f>
        <v>60700</v>
      </c>
      <c r="AH27" s="516">
        <f>IFERROR(INDEX('Inputs (2)'!$D$55:$AL$55,MATCH(AH$7,'Inputs (2)'!$D$2:$AL$2,0)),"")</f>
        <v>98800</v>
      </c>
      <c r="AI27" s="516">
        <f>IFERROR(INDEX('Inputs (2)'!$D$55:$AL$55,MATCH(AI$7,'Inputs (2)'!$D$2:$AL$2,0)),"")</f>
        <v>103700</v>
      </c>
    </row>
    <row r="28" s="255">
      <c r="C28" s="275" t="inlineStr">
        <is>
          <t xml:space="preserve">   % YoY RPO</t>
        </is>
      </c>
      <c r="D28" s="518" t="str">
        <f>""</f>
        <v/>
      </c>
      <c r="E28" s="518" t="str">
        <f>""</f>
        <v/>
      </c>
      <c r="F28" s="518" t="str">
        <f>""</f>
        <v/>
      </c>
      <c r="G28" s="518" t="str">
        <f>""</f>
        <v/>
      </c>
      <c r="H28" s="519" t="str">
        <f>""</f>
        <v/>
      </c>
      <c r="I28" s="518" t="str">
        <f>IFERROR(I27/D27-1,"")</f>
        <v/>
      </c>
      <c r="J28" s="518" t="str">
        <f>IFERROR(J27/E27-1,"")</f>
        <v/>
      </c>
      <c r="K28" s="518" t="str">
        <f>IFERROR(K27/F27-1,"")</f>
        <v/>
      </c>
      <c r="L28" s="518" t="str">
        <f>IFERROR(L27/G27-1,"")</f>
        <v/>
      </c>
      <c r="M28" s="519" t="str">
        <f>IFERROR(M27/H27-1,"")</f>
        <v/>
      </c>
      <c r="N28" s="518" t="str">
        <f>IFERROR(N27/I27-1,"")</f>
        <v/>
      </c>
      <c r="O28" s="518" t="str">
        <f>IFERROR(O27/J27-1,"")</f>
        <v/>
      </c>
      <c r="P28" s="518" t="str">
        <f>IFERROR(P27/K27-1,"")</f>
        <v/>
      </c>
      <c r="Q28" s="518" t="str">
        <f>IFERROR(Q27/L27-1,"")</f>
        <v/>
      </c>
      <c r="R28" s="519" t="str">
        <f>IFERROR(R27/M27-1,"")</f>
        <v/>
      </c>
      <c r="S28" s="518" t="str">
        <f>IFERROR(S27/N27-1,"")</f>
        <v/>
      </c>
      <c r="T28" s="518" t="str">
        <f>IFERROR(T27/O27-1,"")</f>
        <v/>
      </c>
      <c r="U28" s="518" t="str">
        <f>IFERROR(U27/P27-1,"")</f>
        <v/>
      </c>
      <c r="V28" s="518" t="str">
        <f>IFERROR(V27/Q27-1,"")</f>
        <v/>
      </c>
      <c r="W28" s="519" t="str">
        <f>IFERROR(W27/R27-1,"")</f>
        <v/>
      </c>
      <c r="X28" s="518" t="str">
        <f>IFERROR(X27/S27-1,"")</f>
        <v/>
      </c>
      <c r="Y28" s="518" t="str">
        <f>IFERROR(Y27/T27-1,"")</f>
        <v/>
      </c>
      <c r="Z28" s="518" t="str">
        <f>IFERROR(Z27/U27-1,"")</f>
        <v/>
      </c>
      <c r="AA28" s="518" t="str">
        <f>IFERROR(AA27/V27-1,"")</f>
        <v/>
      </c>
      <c r="AB28" s="519" t="str">
        <f>IFERROR(AB27/W27-1,"")</f>
        <v/>
      </c>
      <c r="AC28" s="518" t="str">
        <f>IFERROR(AC27/X27-1,"")</f>
        <v/>
      </c>
      <c r="AD28" s="518" t="str">
        <f>IFERROR(AD27/Y27-1,"")</f>
        <v/>
      </c>
      <c r="AE28" s="518" t="str">
        <f>IFERROR(AE27/Z27-1,"")</f>
        <v/>
      </c>
      <c r="AF28" s="518" t="str">
        <f>IFERROR(AF27/AA27-1,"")</f>
        <v/>
      </c>
      <c r="AG28" s="519" t="str">
        <f>IFERROR(AG27/AB27-1,"")</f>
        <v/>
      </c>
      <c r="AH28" s="519">
        <f>IFERROR(AH27/AC27-1,"")</f>
        <v>5.72108843537415</v>
      </c>
      <c r="AI28" s="519">
        <f>IFERROR(AI27/AD27-1,"")</f>
        <v>2.44518272425249</v>
      </c>
    </row>
    <row r="29" s="255"/>
    <row r="30" s="255"/>
    <row r="31" s="255"/>
    <row r="32" s="255"/>
    <row r="33" s="255"/>
    <row r="34" s="255"/>
    <row r="35" s="255"/>
    <row r="36" s="255"/>
    <row r="37" s="255"/>
    <row r="38" hidden="1" outlineLevel="1" ht="12.75" customFormat="1" customHeight="1" s="291">
      <c r="A38" s="292" t="n"/>
      <c r="B38" s="293" t="n"/>
      <c r="C38" s="300" t="n"/>
      <c r="D38" s="295" t="n"/>
      <c r="E38" s="295" t="n"/>
      <c r="F38" s="295" t="n"/>
      <c r="G38" s="295" t="n"/>
      <c r="H38" s="295" t="n"/>
      <c r="I38" s="295" t="n"/>
      <c r="J38" s="295" t="n"/>
      <c r="K38" s="295" t="n"/>
      <c r="L38" s="295" t="n"/>
      <c r="M38" s="295" t="n"/>
      <c r="N38" s="295" t="n"/>
      <c r="O38" s="295" t="n"/>
      <c r="P38" s="295" t="n"/>
      <c r="Q38" s="295" t="n"/>
      <c r="R38" s="295" t="n"/>
      <c r="S38" s="295" t="n"/>
      <c r="T38" s="295" t="n"/>
      <c r="U38" s="295" t="n"/>
      <c r="V38" s="295" t="n"/>
      <c r="W38" s="295" t="n"/>
      <c r="X38" s="295" t="n"/>
      <c r="Y38" s="295" t="n"/>
      <c r="Z38" s="295" t="n"/>
      <c r="AA38" s="295" t="n"/>
      <c r="AB38" s="295" t="n"/>
      <c r="AC38" s="295" t="n"/>
      <c r="AD38" s="295" t="n"/>
      <c r="AE38" s="295" t="n"/>
      <c r="AF38" s="295" t="n"/>
      <c r="AG38" s="295" t="n"/>
      <c r="AH38" s="295" t="n"/>
      <c r="AI38" s="295" t="n"/>
      <c r="AJ38" s="295" t="n"/>
      <c r="AK38" s="295" t="n"/>
      <c r="AL38" s="295" t="n"/>
      <c r="AM38" s="295" t="n"/>
      <c r="AN38" s="295" t="n"/>
      <c r="AO38" s="295" t="n"/>
      <c r="AP38" s="295" t="n"/>
      <c r="AQ38" s="295" t="n"/>
      <c r="AR38" s="295" t="n"/>
      <c r="AS38" s="295" t="n"/>
      <c r="AT38" s="295" t="n"/>
      <c r="AU38" s="295" t="n"/>
      <c r="AV38" s="295" t="n"/>
      <c r="AW38" s="295" t="n"/>
      <c r="AX38" s="295" t="n"/>
      <c r="AY38" s="295" t="n"/>
      <c r="AZ38" s="295" t="n"/>
      <c r="BA38" s="295" t="n"/>
      <c r="BB38" s="295" t="n"/>
      <c r="BC38" s="295" t="n"/>
      <c r="BD38" s="295" t="n"/>
      <c r="BE38" s="295" t="n"/>
      <c r="BF38" s="295" t="n"/>
      <c r="BG38" s="295" t="n"/>
      <c r="BH38" s="295" t="n"/>
      <c r="BI38" s="295" t="n"/>
      <c r="BJ38" s="295" t="n"/>
      <c r="BK38" s="295" t="n"/>
      <c r="BL38" s="295" t="n"/>
      <c r="BM38" s="295" t="n"/>
      <c r="BN38" s="295" t="n"/>
      <c r="BO38" s="295" t="n"/>
      <c r="BP38" s="295" t="n"/>
      <c r="BQ38" s="295" t="n"/>
      <c r="BR38" s="295" t="n"/>
      <c r="BS38" s="295" t="n"/>
      <c r="BT38" s="295" t="n"/>
      <c r="BU38" s="295" t="n"/>
      <c r="BV38" s="295" t="n"/>
      <c r="BW38" s="295" t="n"/>
      <c r="BX38" s="295" t="n"/>
      <c r="BY38" s="295" t="n"/>
      <c r="BZ38" s="295" t="n"/>
      <c r="CA38" s="295" t="n"/>
      <c r="CB38" s="295" t="n"/>
      <c r="CC38" s="295" t="n"/>
      <c r="CD38" s="295" t="n"/>
      <c r="CE38" s="295" t="n"/>
      <c r="CF38" s="295" t="n"/>
      <c r="CG38" s="295" t="n"/>
      <c r="CH38" s="295" t="n"/>
      <c r="CI38" s="295" t="n"/>
      <c r="CJ38" s="295" t="n"/>
      <c r="CK38" s="295" t="n"/>
      <c r="CL38" s="295" t="n"/>
      <c r="CM38" s="295" t="n"/>
      <c r="CN38" s="295" t="n"/>
      <c r="CO38" s="295" t="n"/>
      <c r="CP38" s="295" t="n"/>
      <c r="CQ38" s="295" t="n"/>
      <c r="CR38" s="295" t="n"/>
      <c r="CS38" s="295" t="n"/>
      <c r="CT38" s="295" t="n"/>
      <c r="CU38" s="295" t="n"/>
      <c r="CV38" s="295" t="n"/>
      <c r="CW38" s="295" t="n"/>
      <c r="CX38" s="295" t="n"/>
      <c r="CY38" s="295" t="n"/>
    </row>
    <row r="39" hidden="1" outlineLevel="1" ht="12.75" customFormat="1" customHeight="1" s="291">
      <c r="A39" s="292" t="n"/>
      <c r="B39" s="293" t="n"/>
      <c r="C39" s="300" t="n"/>
      <c r="D39" s="295" t="n"/>
      <c r="E39" s="295" t="n"/>
      <c r="F39" s="295" t="n"/>
      <c r="G39" s="295" t="n"/>
      <c r="H39" s="295" t="n"/>
      <c r="I39" s="295" t="n"/>
      <c r="J39" s="295" t="n"/>
      <c r="K39" s="295" t="n"/>
      <c r="L39" s="295" t="n"/>
      <c r="M39" s="295" t="n"/>
      <c r="N39" s="295" t="n"/>
      <c r="O39" s="295" t="n"/>
      <c r="P39" s="295" t="n"/>
      <c r="Q39" s="295" t="n"/>
      <c r="R39" s="295" t="n"/>
      <c r="S39" s="295" t="n"/>
      <c r="T39" s="295" t="n"/>
      <c r="U39" s="295" t="n"/>
      <c r="V39" s="295" t="n"/>
      <c r="W39" s="295" t="n"/>
      <c r="X39" s="295" t="n"/>
      <c r="Y39" s="295" t="n"/>
      <c r="Z39" s="295" t="n"/>
      <c r="AA39" s="295" t="n"/>
      <c r="AB39" s="295" t="n"/>
      <c r="AC39" s="295" t="n"/>
      <c r="AD39" s="295" t="n"/>
      <c r="AE39" s="295" t="n"/>
      <c r="AF39" s="295" t="n"/>
      <c r="AG39" s="295" t="n"/>
      <c r="AH39" s="295" t="n"/>
      <c r="AI39" s="295" t="n"/>
      <c r="AJ39" s="295" t="n"/>
      <c r="AK39" s="295" t="n"/>
      <c r="AL39" s="295" t="n"/>
      <c r="AM39" s="295" t="n"/>
      <c r="AN39" s="295" t="n"/>
      <c r="AO39" s="295" t="n"/>
      <c r="AP39" s="295" t="n"/>
      <c r="AQ39" s="295" t="n"/>
      <c r="AR39" s="295" t="n"/>
      <c r="AS39" s="295" t="n"/>
      <c r="AT39" s="295" t="n"/>
      <c r="AU39" s="295" t="n"/>
      <c r="AV39" s="295" t="n"/>
      <c r="AW39" s="295" t="n"/>
      <c r="AX39" s="295" t="n"/>
      <c r="AY39" s="295" t="n"/>
      <c r="AZ39" s="295" t="n"/>
      <c r="BA39" s="295" t="n"/>
      <c r="BB39" s="295" t="n"/>
      <c r="BC39" s="295" t="n"/>
      <c r="BD39" s="295" t="n"/>
      <c r="BE39" s="295" t="n"/>
      <c r="BF39" s="295" t="n"/>
      <c r="BG39" s="295" t="n"/>
      <c r="BH39" s="295" t="n"/>
      <c r="BI39" s="295" t="n"/>
      <c r="BJ39" s="295" t="n"/>
      <c r="BK39" s="295" t="n"/>
      <c r="BL39" s="295" t="n"/>
      <c r="BM39" s="295" t="n"/>
      <c r="BN39" s="295" t="n"/>
      <c r="BO39" s="295" t="n"/>
      <c r="BP39" s="295" t="n"/>
      <c r="BQ39" s="295" t="n"/>
      <c r="BR39" s="295" t="n"/>
      <c r="BS39" s="295" t="n"/>
      <c r="BT39" s="295" t="n"/>
      <c r="BU39" s="295" t="n"/>
      <c r="BV39" s="295" t="n"/>
      <c r="BW39" s="295" t="n"/>
      <c r="BX39" s="295" t="n"/>
      <c r="BY39" s="295" t="n"/>
      <c r="BZ39" s="295" t="n"/>
      <c r="CA39" s="295" t="n"/>
      <c r="CB39" s="295" t="n"/>
      <c r="CC39" s="295" t="n"/>
      <c r="CD39" s="295" t="n"/>
      <c r="CE39" s="295" t="n"/>
      <c r="CF39" s="295" t="n"/>
      <c r="CG39" s="295" t="n"/>
      <c r="CH39" s="295" t="n"/>
      <c r="CI39" s="295" t="n"/>
      <c r="CJ39" s="295" t="n"/>
      <c r="CK39" s="295" t="n"/>
      <c r="CL39" s="295" t="n"/>
      <c r="CM39" s="295" t="n"/>
      <c r="CN39" s="295" t="n"/>
      <c r="CO39" s="295" t="n"/>
      <c r="CP39" s="295" t="n"/>
      <c r="CQ39" s="295" t="n"/>
      <c r="CR39" s="295" t="n"/>
      <c r="CS39" s="295" t="n"/>
      <c r="CT39" s="295" t="n"/>
      <c r="CU39" s="295" t="n"/>
      <c r="CV39" s="295" t="n"/>
      <c r="CW39" s="295" t="n"/>
      <c r="CX39" s="295" t="n"/>
      <c r="CY39" s="295" t="n"/>
    </row>
    <row r="40" ht="12.75" customHeight="1" s="255">
      <c r="C40" s="269" t="inlineStr">
        <is>
          <t>COGS (cash)</t>
        </is>
      </c>
      <c r="D40" s="301">
        <f>INDEX('Inputs (2)'!$D$5:$AL$5,MATCH(D$7,'Inputs (2)'!$D$2:$AL$2,0))</f>
        <v>0</v>
      </c>
      <c r="E40" s="301">
        <f>INDEX('Inputs (2)'!$D$5:$AL$5,MATCH(E$7,'Inputs (2)'!$D$2:$AL$2,0))</f>
        <v>0</v>
      </c>
      <c r="F40" s="301">
        <f>INDEX('Inputs (2)'!$D$5:$AL$5,MATCH(F$7,'Inputs (2)'!$D$2:$AL$2,0))</f>
        <v>0</v>
      </c>
      <c r="G40" s="301">
        <f>INDEX('Inputs (2)'!$D$5:$AL$5,MATCH(G$7,'Inputs (2)'!$D$2:$AL$2,0))</f>
        <v>0</v>
      </c>
      <c r="H40" s="268">
        <f>SUM(D40:G40)</f>
        <v>0</v>
      </c>
      <c r="I40" s="301">
        <f>INDEX('Inputs (2)'!$D$5:$AL$5,MATCH(I$7,'Inputs (2)'!$D$2:$AL$2,0))</f>
        <v>0</v>
      </c>
      <c r="J40" s="301">
        <f>INDEX('Inputs (2)'!$D$5:$AL$5,MATCH(J$7,'Inputs (2)'!$D$2:$AL$2,0))</f>
        <v>0</v>
      </c>
      <c r="K40" s="301">
        <f>INDEX('Inputs (2)'!$D$5:$AL$5,MATCH(K$7,'Inputs (2)'!$D$2:$AL$2,0))</f>
        <v>0</v>
      </c>
      <c r="L40" s="301">
        <f>INDEX('Inputs (2)'!$D$5:$AL$5,MATCH(L$7,'Inputs (2)'!$D$2:$AL$2,0))</f>
        <v>0</v>
      </c>
      <c r="M40" s="268">
        <f>SUM(I40:L40)</f>
        <v>0</v>
      </c>
      <c r="N40" s="301">
        <f>INDEX('Inputs (2)'!$D$5:$AL$5,MATCH(N$7,'Inputs (2)'!$D$2:$AL$2,0))</f>
        <v>0</v>
      </c>
      <c r="O40" s="301">
        <f>INDEX('Inputs (2)'!$D$5:$AL$5,MATCH(O$7,'Inputs (2)'!$D$2:$AL$2,0))</f>
        <v>0</v>
      </c>
      <c r="P40" s="301">
        <f>INDEX('Inputs (2)'!$D$5:$AL$5,MATCH(P$7,'Inputs (2)'!$D$2:$AL$2,0))</f>
        <v>0</v>
      </c>
      <c r="Q40" s="301">
        <f>INDEX('Inputs (2)'!$D$5:$AL$5,MATCH(Q$7,'Inputs (2)'!$D$2:$AL$2,0))</f>
        <v>0</v>
      </c>
      <c r="R40" s="268">
        <f>SUM(N40:Q40)</f>
        <v>0</v>
      </c>
      <c r="S40" s="301">
        <f>INDEX('Inputs (2)'!$D$5:$AL$5,MATCH(S$7,'Inputs (2)'!$D$2:$AL$2,0))</f>
        <v>0</v>
      </c>
      <c r="T40" s="301">
        <f>INDEX('Inputs (2)'!$D$5:$AL$5,MATCH(T$7,'Inputs (2)'!$D$2:$AL$2,0))</f>
        <v>0</v>
      </c>
      <c r="U40" s="301">
        <f>INDEX('Inputs (2)'!$D$5:$AL$5,MATCH(U$7,'Inputs (2)'!$D$2:$AL$2,0))</f>
        <v>0</v>
      </c>
      <c r="V40" s="301">
        <f>INDEX('Inputs (2)'!$D$5:$AL$5,MATCH(V$7,'Inputs (2)'!$D$2:$AL$2,0))</f>
        <v>0</v>
      </c>
      <c r="W40" s="268">
        <f>SUM(S40:V40)</f>
        <v>0</v>
      </c>
      <c r="X40" s="301">
        <f>INDEX('Inputs (2)'!$D$5:$AL$5,MATCH(X$7,'Inputs (2)'!$D$2:$AL$2,0))</f>
        <v>-59.22</v>
      </c>
      <c r="Y40" s="301">
        <f>INDEX('Inputs (2)'!$D$5:$AL$5,MATCH(Y$7,'Inputs (2)'!$D$2:$AL$2,0))</f>
        <v>-108.838</v>
      </c>
      <c r="Z40" s="301">
        <f>INDEX('Inputs (2)'!$D$5:$AL$5,MATCH(Z$7,'Inputs (2)'!$D$2:$AL$2,0))</f>
        <v>-143.134</v>
      </c>
      <c r="AA40" s="301">
        <f>INDEX('Inputs (2)'!$D$5:$AL$5,MATCH(AA$7,'Inputs (2)'!$D$2:$AL$2,0))</f>
        <v>-181.808</v>
      </c>
      <c r="AB40" s="268">
        <f>SUM(X40:AA40)</f>
        <v>-493</v>
      </c>
      <c r="AC40" s="301">
        <f>INDEX('Inputs (2)'!$D$5:$AL$5,MATCH(AC$7,'Inputs (2)'!$D$2:$AL$2,0))</f>
        <v>-262</v>
      </c>
      <c r="AD40" s="301">
        <f>INDEX('Inputs (2)'!$D$5:$AL$5,MATCH(AD$7,'Inputs (2)'!$D$2:$AL$2,0))</f>
        <v>-313</v>
      </c>
      <c r="AE40" s="301">
        <f>INDEX('Inputs (2)'!$D$5:$AL$5,MATCH(AE$7,'Inputs (2)'!$D$2:$AL$2,0))</f>
        <v>-368.824</v>
      </c>
      <c r="AF40" s="301">
        <f>INDEX('Inputs (2)'!$D$5:$AL$5,MATCH(AF$7,'Inputs (2)'!$D$2:$AL$2,0))</f>
        <v>-509.115</v>
      </c>
      <c r="AG40" s="268">
        <f>SUM(AC40:AF40)</f>
        <v>-1452.939</v>
      </c>
      <c r="AH40" s="268">
        <f>INDEX('Inputs (2)'!$D$5:$AL$5,MATCH(AH$7,'Inputs (2)'!$D$2:$AL$2,0))</f>
        <v>-716</v>
      </c>
      <c r="AI40" s="268">
        <f>INDEX('Inputs (2)'!$D$5:$AL$5,MATCH(AI$7,'Inputs (2)'!$D$2:$AL$2,0))</f>
        <v>-879</v>
      </c>
      <c r="AJ40" s="268">
        <f>(100%-AJ41)*-AJ15</f>
        <v>-1364.676</v>
      </c>
      <c r="AK40" s="268">
        <f>(100%-AK41)*-AK15</f>
        <v>-1571.904</v>
      </c>
      <c r="AL40" s="268">
        <f>SUM(AH40:AK40)</f>
        <v>-4531.58</v>
      </c>
      <c r="AM40" s="268">
        <f>(100%-AM41)*-AM15</f>
        <v>-2078</v>
      </c>
      <c r="AN40" s="268">
        <f>(100%-AN41)*-AN15</f>
        <v>-2575</v>
      </c>
      <c r="AO40" s="268">
        <f>(100%-AO41)*-AO15</f>
        <v>-1364.676</v>
      </c>
      <c r="AP40" s="268">
        <f>(100%-AP41)*-AP15</f>
        <v>-1571.904</v>
      </c>
      <c r="AQ40" s="268">
        <f>SUM(AM40:AP40)</f>
        <v>-7589.58</v>
      </c>
      <c r="AR40" s="268">
        <f>(100%-AR41)*-AR15</f>
        <v>-2078</v>
      </c>
      <c r="AS40" s="268">
        <f>(100%-AS41)*-AS15</f>
        <v>-2575</v>
      </c>
      <c r="AT40" s="268">
        <f>(100%-AT41)*-AT15</f>
        <v>-1364.676</v>
      </c>
      <c r="AU40" s="268">
        <f>(100%-AU41)*-AU15</f>
        <v>-1571.904</v>
      </c>
      <c r="AV40" s="268">
        <f>SUM(AR40:AU40)</f>
        <v>-7589.58</v>
      </c>
      <c r="AW40" s="268">
        <f>(100%-AW41)*-AW15</f>
        <v>-2078</v>
      </c>
      <c r="AX40" s="268">
        <f>(100%-AX41)*-AX15</f>
        <v>-2575</v>
      </c>
      <c r="AY40" s="268">
        <f>(100%-AY41)*-AY15</f>
        <v>-1364.676</v>
      </c>
      <c r="AZ40" s="268">
        <f>(100%-AZ41)*-AZ15</f>
        <v>-1571.904</v>
      </c>
      <c r="BA40" s="268">
        <f>SUM(AW40:AZ40)</f>
        <v>-7589.58</v>
      </c>
      <c r="BB40" s="268">
        <f>(100%-BB41)*-BB15</f>
        <v>-2078</v>
      </c>
      <c r="BC40" s="268">
        <f>(100%-BC41)*-BC15</f>
        <v>-2575</v>
      </c>
      <c r="BD40" s="268">
        <f>(100%-BD41)*-BD15</f>
        <v>-1364.676</v>
      </c>
      <c r="BE40" s="268">
        <f>(100%-BE41)*-BE15</f>
        <v>-1571.904</v>
      </c>
      <c r="BF40" s="268">
        <f>SUM(BB40:BE40)</f>
        <v>-7589.58</v>
      </c>
      <c r="BG40" s="268">
        <f>(100%-BG41)*-BG15</f>
        <v>-2078</v>
      </c>
      <c r="BH40" s="268">
        <f>(100%-BH41)*-BH15</f>
        <v>-2575</v>
      </c>
      <c r="BI40" s="268">
        <f>(100%-BI41)*-BI15</f>
        <v>-1364.676</v>
      </c>
      <c r="BJ40" s="268">
        <f>(100%-BJ41)*-BJ15</f>
        <v>-1571.904</v>
      </c>
      <c r="BK40" s="268">
        <f>SUM(BG40:BJ40)</f>
        <v>-7589.58</v>
      </c>
      <c r="BL40" s="268">
        <f>(100%-BL41)*-BL15</f>
        <v>-2078</v>
      </c>
      <c r="BM40" s="268">
        <f>(100%-BM41)*-BM15</f>
        <v>-2575</v>
      </c>
      <c r="BN40" s="268">
        <f>(100%-BN41)*-BN15</f>
        <v>-1364.676</v>
      </c>
      <c r="BO40" s="268">
        <f>(100%-BO41)*-BO15</f>
        <v>-1571.904</v>
      </c>
      <c r="BP40" s="268">
        <f>SUM(BL40:BO40)</f>
        <v>-7589.58</v>
      </c>
      <c r="BQ40" s="268">
        <f>(100%-BQ41)*-BQ15</f>
        <v>-2078</v>
      </c>
      <c r="BR40" s="268">
        <f>(100%-BR41)*-BR15</f>
        <v>-2575</v>
      </c>
      <c r="BS40" s="268">
        <f>(100%-BS41)*-BS15</f>
        <v>-1364.676</v>
      </c>
      <c r="BT40" s="268">
        <f>(100%-BT41)*-BT15</f>
        <v>-1571.904</v>
      </c>
      <c r="BU40" s="268">
        <f>SUM(BQ40:BT40)</f>
        <v>-7589.58</v>
      </c>
      <c r="BV40" s="268">
        <f>(100%-BV41)*-BV15</f>
        <v>-2078</v>
      </c>
      <c r="BW40" s="268">
        <f>(100%-BW41)*-BW15</f>
        <v>-2575</v>
      </c>
      <c r="BX40" s="268">
        <f>(100%-BX41)*-BX15</f>
        <v>-1364.676</v>
      </c>
      <c r="BY40" s="268">
        <f>(100%-BY41)*-BY15</f>
        <v>-1571.904</v>
      </c>
      <c r="BZ40" s="268">
        <f>SUM(BV40:BY40)</f>
        <v>-7589.58</v>
      </c>
      <c r="CA40" s="268">
        <f>(100%-CA41)*-CA15</f>
        <v>-2078</v>
      </c>
      <c r="CB40" s="268">
        <f>(100%-CB41)*-CB15</f>
        <v>-2575</v>
      </c>
      <c r="CC40" s="268">
        <f>(100%-CC41)*-CC15</f>
        <v>-1364.676</v>
      </c>
      <c r="CD40" s="268">
        <f>(100%-CD41)*-CD15</f>
        <v>-1571.904</v>
      </c>
      <c r="CE40" s="268">
        <f>SUM(CA40:CD40)</f>
        <v>-7589.58</v>
      </c>
      <c r="CF40" s="268">
        <f>(100%-CF41)*-CF15</f>
        <v>-2078</v>
      </c>
      <c r="CG40" s="268">
        <f>(100%-CG41)*-CG15</f>
        <v>-2575</v>
      </c>
      <c r="CH40" s="268">
        <f>(100%-CH41)*-CH15</f>
        <v>-1364.676</v>
      </c>
      <c r="CI40" s="268">
        <f>(100%-CI41)*-CI15</f>
        <v>-1571.904</v>
      </c>
      <c r="CJ40" s="268">
        <f>SUM(CF40:CI40)</f>
        <v>-7589.58</v>
      </c>
      <c r="CK40" s="268">
        <f>(100%-CK41)*-CK15</f>
        <v>-2078</v>
      </c>
      <c r="CL40" s="268">
        <f>(100%-CL41)*-CL15</f>
        <v>-2575</v>
      </c>
      <c r="CM40" s="268">
        <f>(100%-CM41)*-CM15</f>
        <v>-1364.676</v>
      </c>
      <c r="CN40" s="268">
        <f>(100%-CN41)*-CN15</f>
        <v>-1571.904</v>
      </c>
      <c r="CO40" s="268">
        <f>SUM(CK40:CN40)</f>
        <v>-7589.58</v>
      </c>
      <c r="CP40" s="268">
        <f>(100%-CP41)*-CP15</f>
        <v>-2078</v>
      </c>
      <c r="CQ40" s="268">
        <f>(100%-CQ41)*-CQ15</f>
        <v>-2575</v>
      </c>
      <c r="CR40" s="268">
        <f>(100%-CR41)*-CR15</f>
        <v>-1364.676</v>
      </c>
      <c r="CS40" s="268">
        <f>(100%-CS41)*-CS15</f>
        <v>-1571.904</v>
      </c>
      <c r="CT40" s="268">
        <f>SUM(CP40:CS40)</f>
        <v>-7589.58</v>
      </c>
      <c r="CU40" s="268">
        <f>(100%-CU41)*-CU15</f>
        <v>-2078</v>
      </c>
      <c r="CV40" s="268">
        <f>(100%-CV41)*-CV15</f>
        <v>-2575</v>
      </c>
      <c r="CW40" s="268">
        <f>(100%-CW41)*-CW15</f>
        <v>-1364.676</v>
      </c>
      <c r="CX40" s="268">
        <f>(100%-CX41)*-CX15</f>
        <v>-1571.904</v>
      </c>
      <c r="CY40" s="268">
        <f>SUM(CU40:CX40)</f>
        <v>-7589.58</v>
      </c>
    </row>
    <row r="41" hidden="1" outlineLevel="1" ht="12.75" customFormat="1" customHeight="1" s="259">
      <c r="C41" s="302" t="inlineStr">
        <is>
          <t>% Gross Margin</t>
        </is>
      </c>
      <c r="D41" s="303" t="str">
        <f>IFERROR((D15+D40)/D$15,"")</f>
        <v/>
      </c>
      <c r="E41" s="303" t="str">
        <f>IFERROR((E15+E40)/E$15,"")</f>
        <v/>
      </c>
      <c r="F41" s="303" t="str">
        <f>IFERROR((F15+F40)/F$15,"")</f>
        <v/>
      </c>
      <c r="G41" s="303" t="str">
        <f>IFERROR((G15+G40)/G$15,"")</f>
        <v/>
      </c>
      <c r="H41" s="303" t="str">
        <f>IFERROR((H15+H40)/H$15,"")</f>
        <v/>
      </c>
      <c r="I41" s="303" t="str">
        <f>IFERROR((I15+I40)/I$15,"")</f>
        <v/>
      </c>
      <c r="J41" s="303" t="str">
        <f>IFERROR((J15+J40)/J$15,"")</f>
        <v/>
      </c>
      <c r="K41" s="303" t="str">
        <f>IFERROR((K15+K40)/K$15,"")</f>
        <v/>
      </c>
      <c r="L41" s="303" t="str">
        <f>IFERROR((L15+L40)/L$15,"")</f>
        <v/>
      </c>
      <c r="M41" s="303" t="str">
        <f>IFERROR((M15+M40)/M$15,"")</f>
        <v/>
      </c>
      <c r="N41" s="303" t="str">
        <f>IFERROR((N15+N40)/N$15,"")</f>
        <v/>
      </c>
      <c r="O41" s="303" t="str">
        <f>IFERROR((O15+O40)/O$15,"")</f>
        <v/>
      </c>
      <c r="P41" s="303" t="str">
        <f>IFERROR((P15+P40)/P$15,"")</f>
        <v/>
      </c>
      <c r="Q41" s="303" t="str">
        <f>IFERROR((Q15+Q40)/Q$15,"")</f>
        <v/>
      </c>
      <c r="R41" s="303" t="str">
        <f>IFERROR((R15+R40)/R$15,"")</f>
        <v/>
      </c>
      <c r="S41" s="303" t="str">
        <f>IFERROR((S15+S40)/S$15,"")</f>
        <v/>
      </c>
      <c r="T41" s="303" t="str">
        <f>IFERROR((T15+T40)/T$15,"")</f>
        <v/>
      </c>
      <c r="U41" s="303" t="str">
        <f>IFERROR((U15+U40)/U$15,"")</f>
        <v/>
      </c>
      <c r="V41" s="303" t="str">
        <f>IFERROR((V15+V40)/V$15,"")</f>
        <v/>
      </c>
      <c r="W41" s="303" t="str">
        <f>IFERROR((W15+W40)/W$15,"")</f>
        <v/>
      </c>
      <c r="X41" s="303">
        <f>IFERROR((X15+X40)/X$15,"")</f>
        <v>0.686141909223888</v>
      </c>
      <c r="Y41" s="303">
        <f>IFERROR((Y15+Y40)/Y$15,"")</f>
        <v>0.724719314264324</v>
      </c>
      <c r="Z41" s="303">
        <f>IFERROR((Z15+Z40)/Z$15,"")</f>
        <v>0.754882770690875</v>
      </c>
      <c r="AA41" s="303">
        <f>IFERROR((AA15+AA40)/AA$15,"")</f>
        <v>0.756617099774566</v>
      </c>
      <c r="AB41" s="303">
        <f>IFERROR((AB15+AB40)/AB$15,"")</f>
        <v>0.742558746736292</v>
      </c>
      <c r="AC41" s="303">
        <f>IFERROR((AC15+AC40)/AC$15,"")</f>
        <v>0.733197556008147</v>
      </c>
      <c r="AD41" s="303">
        <f>IFERROR((AD15+AD40)/AD$15,"")</f>
        <v>0.741749174917492</v>
      </c>
      <c r="AE41" s="303">
        <f>IFERROR((AE15+AE40)/AE$15,"")</f>
        <v>0.72973511661376</v>
      </c>
      <c r="AF41" s="297">
        <f>IFERROR((AF15+AF40)/AF$15,"")</f>
        <v>0.676115716990351</v>
      </c>
      <c r="AG41" s="303">
        <f>IFERROR((AG15+AG40)/AG$15,"")</f>
        <v>0.716808041196122</v>
      </c>
      <c r="AH41" s="304">
        <f>IFERROR((AH15+AH40)/AH$15,"")</f>
        <v>0.65543792107796</v>
      </c>
      <c r="AI41" s="304">
        <f>IFERROR((AI15+AI40)/AI$15,"")</f>
        <v>0.658640776699029</v>
      </c>
      <c r="AJ41" s="304" t="n"/>
      <c r="AK41" s="304" t="n"/>
      <c r="AL41" s="303">
        <f>IFERROR((AL15+AL40)/AL$15,"")</f>
        <v>0.402920846739872</v>
      </c>
      <c r="AM41" s="304" t="n"/>
      <c r="AN41" s="304" t="n"/>
      <c r="AO41" s="304" t="n"/>
      <c r="AP41" s="304" t="n"/>
      <c r="AQ41" s="303">
        <f>IFERROR((AQ15+AQ40)/AQ$15,"")</f>
        <v>0</v>
      </c>
      <c r="AR41" s="304" t="n"/>
      <c r="AS41" s="304" t="n"/>
      <c r="AT41" s="304" t="n"/>
      <c r="AU41" s="304" t="n"/>
      <c r="AV41" s="303">
        <f>IFERROR((AV15+AV40)/AV$15,"")</f>
        <v>0</v>
      </c>
      <c r="AW41" s="304" t="n"/>
      <c r="AX41" s="304" t="n"/>
      <c r="AY41" s="304" t="n"/>
      <c r="AZ41" s="304" t="n"/>
      <c r="BA41" s="303">
        <f>IFERROR((BA15+BA40)/BA$15,"")</f>
        <v>0</v>
      </c>
      <c r="BB41" s="304" t="n"/>
      <c r="BC41" s="304" t="n"/>
      <c r="BD41" s="304" t="n"/>
      <c r="BE41" s="304" t="n"/>
      <c r="BF41" s="303">
        <f>IFERROR((BF15+BF40)/BF$15,"")</f>
        <v>0</v>
      </c>
      <c r="BG41" s="304" t="n"/>
      <c r="BH41" s="304" t="n"/>
      <c r="BI41" s="304" t="n"/>
      <c r="BJ41" s="304" t="n"/>
      <c r="BK41" s="303">
        <f>IFERROR((BK15+BK40)/BK$15,"")</f>
        <v>0</v>
      </c>
      <c r="BL41" s="304" t="n"/>
      <c r="BM41" s="304" t="n"/>
      <c r="BN41" s="304" t="n"/>
      <c r="BO41" s="304" t="n"/>
      <c r="BP41" s="303">
        <f>IFERROR((BP15+BP40)/BP$15,"")</f>
        <v>0</v>
      </c>
      <c r="BQ41" s="304" t="n"/>
      <c r="BR41" s="304" t="n"/>
      <c r="BS41" s="304" t="n"/>
      <c r="BT41" s="304" t="n"/>
      <c r="BU41" s="303">
        <f>IFERROR((BU15+BU40)/BU$15,"")</f>
        <v>0</v>
      </c>
      <c r="BV41" s="304" t="n"/>
      <c r="BW41" s="304" t="n"/>
      <c r="BX41" s="304" t="n"/>
      <c r="BY41" s="304" t="n"/>
      <c r="BZ41" s="303">
        <f>IFERROR((BZ15+BZ40)/BZ$15,"")</f>
        <v>0</v>
      </c>
      <c r="CA41" s="304" t="n"/>
      <c r="CB41" s="304" t="n"/>
      <c r="CC41" s="304" t="n"/>
      <c r="CD41" s="304" t="n"/>
      <c r="CE41" s="303">
        <f>IFERROR((CE15+CE40)/CE$15,"")</f>
        <v>0</v>
      </c>
      <c r="CF41" s="304" t="n"/>
      <c r="CG41" s="304" t="n"/>
      <c r="CH41" s="304" t="n"/>
      <c r="CI41" s="304" t="n"/>
      <c r="CJ41" s="303">
        <f>IFERROR((CJ15+CJ40)/CJ$15,"")</f>
        <v>0</v>
      </c>
      <c r="CK41" s="304" t="n"/>
      <c r="CL41" s="304" t="n"/>
      <c r="CM41" s="304" t="n"/>
      <c r="CN41" s="304" t="n"/>
      <c r="CO41" s="303">
        <f>IFERROR((CO15+CO40)/CO$15,"")</f>
        <v>0</v>
      </c>
      <c r="CP41" s="304" t="n"/>
      <c r="CQ41" s="304" t="n"/>
      <c r="CR41" s="304" t="n"/>
      <c r="CS41" s="304" t="n"/>
      <c r="CT41" s="303">
        <f>IFERROR((CT15+CT40)/CT$15,"")</f>
        <v>0</v>
      </c>
      <c r="CU41" s="304" t="n"/>
      <c r="CV41" s="304" t="n"/>
      <c r="CW41" s="304" t="n"/>
      <c r="CX41" s="304" t="n"/>
      <c r="CY41" s="303">
        <f>IFERROR((CY15+CY40)/CY$15,"")</f>
        <v>0</v>
      </c>
    </row>
    <row r="42" hidden="1" outlineLevel="1" ht="12.75" customHeight="1" s="255">
      <c r="C42" s="305" t="n"/>
      <c r="D42" s="305" t="n"/>
      <c r="E42" s="305" t="n"/>
      <c r="F42" s="305" t="n"/>
      <c r="G42" s="305" t="n"/>
      <c r="H42" s="305" t="n"/>
      <c r="I42" s="305" t="n"/>
      <c r="J42" s="305" t="n"/>
      <c r="K42" s="305" t="n"/>
      <c r="L42" s="305" t="n"/>
      <c r="M42" s="305" t="n"/>
      <c r="N42" s="305" t="n"/>
      <c r="O42" s="305" t="n"/>
      <c r="P42" s="305" t="n"/>
      <c r="Q42" s="305" t="n"/>
      <c r="R42" s="305" t="n"/>
      <c r="S42" s="305" t="n"/>
      <c r="T42" s="305" t="n"/>
      <c r="U42" s="305" t="n"/>
      <c r="V42" s="305" t="n"/>
      <c r="W42" s="305" t="n"/>
      <c r="X42" s="305" t="n"/>
      <c r="Y42" s="305" t="n"/>
      <c r="Z42" s="305" t="n"/>
      <c r="AA42" s="305" t="n"/>
      <c r="AB42" s="305" t="n"/>
      <c r="AC42" s="305" t="n"/>
      <c r="AD42" s="305" t="n"/>
      <c r="AE42" s="305" t="n"/>
      <c r="AF42" s="305" t="n"/>
      <c r="AG42" s="305" t="n"/>
      <c r="AH42" s="305" t="n"/>
      <c r="AI42" s="305" t="n"/>
      <c r="AJ42" s="305" t="n"/>
      <c r="AK42" s="305" t="n"/>
      <c r="AL42" s="305" t="n"/>
      <c r="AM42" s="305" t="n"/>
      <c r="AN42" s="305" t="n"/>
      <c r="AO42" s="305" t="n"/>
      <c r="AP42" s="305" t="n"/>
      <c r="AQ42" s="305" t="n"/>
      <c r="AR42" s="305" t="n"/>
      <c r="AS42" s="305" t="n"/>
      <c r="AT42" s="305" t="n"/>
      <c r="AU42" s="305" t="n"/>
      <c r="AV42" s="305" t="n"/>
      <c r="AW42" s="305" t="n"/>
      <c r="AX42" s="305" t="n"/>
      <c r="AY42" s="305" t="n"/>
      <c r="AZ42" s="305" t="n"/>
      <c r="BA42" s="305" t="n"/>
      <c r="BB42" s="305" t="n"/>
      <c r="BC42" s="305" t="n"/>
      <c r="BD42" s="305" t="n"/>
      <c r="BE42" s="305" t="n"/>
      <c r="BF42" s="305" t="n"/>
      <c r="BG42" s="305" t="n"/>
      <c r="BH42" s="305" t="n"/>
      <c r="BI42" s="305" t="n"/>
      <c r="BJ42" s="305" t="n"/>
      <c r="BK42" s="305" t="n"/>
      <c r="BL42" s="305" t="n"/>
      <c r="BM42" s="305" t="n"/>
      <c r="BN42" s="305" t="n"/>
      <c r="BO42" s="305" t="n"/>
      <c r="BP42" s="305" t="n"/>
      <c r="BQ42" s="305" t="n"/>
      <c r="BR42" s="305" t="n"/>
      <c r="BS42" s="305" t="n"/>
      <c r="BT42" s="305" t="n"/>
      <c r="BU42" s="305" t="n"/>
      <c r="BV42" s="305" t="n"/>
      <c r="BW42" s="305" t="n"/>
      <c r="BX42" s="305" t="n"/>
      <c r="BY42" s="305" t="n"/>
      <c r="BZ42" s="305" t="n"/>
      <c r="CA42" s="305" t="n"/>
      <c r="CB42" s="305" t="n"/>
      <c r="CC42" s="305" t="n"/>
      <c r="CD42" s="305" t="n"/>
      <c r="CE42" s="305" t="n"/>
      <c r="CF42" s="305" t="n"/>
      <c r="CG42" s="305" t="n"/>
      <c r="CH42" s="305" t="n"/>
      <c r="CI42" s="305" t="n"/>
      <c r="CJ42" s="305" t="n"/>
      <c r="CK42" s="305" t="n"/>
      <c r="CL42" s="305" t="n"/>
      <c r="CM42" s="305" t="n"/>
      <c r="CN42" s="305" t="n"/>
      <c r="CO42" s="305" t="n"/>
      <c r="CP42" s="305" t="n"/>
      <c r="CQ42" s="305" t="n"/>
      <c r="CR42" s="305" t="n"/>
      <c r="CS42" s="305" t="n"/>
      <c r="CT42" s="305" t="n"/>
      <c r="CU42" s="305" t="n"/>
      <c r="CV42" s="305" t="n"/>
      <c r="CW42" s="305" t="n"/>
      <c r="CX42" s="305" t="n"/>
      <c r="CY42" s="305" t="n"/>
    </row>
    <row r="43" hidden="1" outlineLevel="1" ht="12.75" customHeight="1" s="255">
      <c r="C43" s="305" t="n"/>
      <c r="D43" s="305" t="n"/>
      <c r="E43" s="305" t="n"/>
      <c r="F43" s="305" t="n"/>
      <c r="G43" s="305" t="n"/>
      <c r="H43" s="305" t="n"/>
      <c r="I43" s="305" t="n"/>
      <c r="J43" s="305" t="n"/>
      <c r="K43" s="305" t="n"/>
      <c r="L43" s="305" t="n"/>
      <c r="M43" s="305" t="n"/>
      <c r="N43" s="305" t="n"/>
      <c r="O43" s="305" t="n"/>
      <c r="P43" s="305" t="n"/>
      <c r="Q43" s="305" t="n"/>
      <c r="R43" s="305" t="n"/>
      <c r="S43" s="305" t="n"/>
      <c r="T43" s="305" t="n"/>
      <c r="U43" s="305" t="n"/>
      <c r="V43" s="305" t="n"/>
      <c r="W43" s="305" t="n"/>
      <c r="X43" s="305" t="n"/>
      <c r="Y43" s="305" t="n"/>
      <c r="Z43" s="305" t="n"/>
      <c r="AA43" s="305" t="n"/>
      <c r="AB43" s="305" t="n"/>
      <c r="AC43" s="305" t="n"/>
      <c r="AD43" s="305" t="n"/>
      <c r="AE43" s="305" t="n"/>
      <c r="AF43" s="305" t="n"/>
      <c r="AG43" s="305" t="n"/>
      <c r="AH43" s="305" t="n"/>
      <c r="AI43" s="305" t="n"/>
      <c r="AJ43" s="305" t="n"/>
      <c r="AK43" s="305" t="n"/>
      <c r="AL43" s="305" t="n"/>
      <c r="AM43" s="305" t="n"/>
      <c r="AN43" s="305" t="n"/>
      <c r="AO43" s="305" t="n"/>
      <c r="AP43" s="305" t="n"/>
      <c r="AQ43" s="305" t="n"/>
      <c r="AR43" s="305" t="n"/>
      <c r="AS43" s="305" t="n"/>
      <c r="AT43" s="305" t="n"/>
      <c r="AU43" s="305" t="n"/>
      <c r="AV43" s="305" t="n"/>
      <c r="AW43" s="305" t="n"/>
      <c r="AX43" s="305" t="n"/>
      <c r="AY43" s="305" t="n"/>
      <c r="AZ43" s="305" t="n"/>
      <c r="BA43" s="305" t="n"/>
      <c r="BB43" s="305" t="n"/>
      <c r="BC43" s="305" t="n"/>
      <c r="BD43" s="305" t="n"/>
      <c r="BE43" s="305" t="n"/>
      <c r="BF43" s="305" t="n"/>
      <c r="BG43" s="305" t="n"/>
      <c r="BH43" s="305" t="n"/>
      <c r="BI43" s="305" t="n"/>
      <c r="BJ43" s="305" t="n"/>
      <c r="BK43" s="305" t="n"/>
      <c r="BL43" s="305" t="n"/>
      <c r="BM43" s="305" t="n"/>
      <c r="BN43" s="305" t="n"/>
      <c r="BO43" s="305" t="n"/>
      <c r="BP43" s="305" t="n"/>
      <c r="BQ43" s="305" t="n"/>
      <c r="BR43" s="305" t="n"/>
      <c r="BS43" s="305" t="n"/>
      <c r="BT43" s="305" t="n"/>
      <c r="BU43" s="305" t="n"/>
      <c r="BV43" s="305" t="n"/>
      <c r="BW43" s="305" t="n"/>
      <c r="BX43" s="305" t="n"/>
      <c r="BY43" s="305" t="n"/>
      <c r="BZ43" s="305" t="n"/>
      <c r="CA43" s="305" t="n"/>
      <c r="CB43" s="305" t="n"/>
      <c r="CC43" s="305" t="n"/>
      <c r="CD43" s="305" t="n"/>
      <c r="CE43" s="305" t="n"/>
      <c r="CF43" s="305" t="n"/>
      <c r="CG43" s="305" t="n"/>
      <c r="CH43" s="305" t="n"/>
      <c r="CI43" s="305" t="n"/>
      <c r="CJ43" s="305" t="n"/>
      <c r="CK43" s="305" t="n"/>
      <c r="CL43" s="305" t="n"/>
      <c r="CM43" s="305" t="n"/>
      <c r="CN43" s="305" t="n"/>
      <c r="CO43" s="305" t="n"/>
      <c r="CP43" s="305" t="n"/>
      <c r="CQ43" s="305" t="n"/>
      <c r="CR43" s="305" t="n"/>
      <c r="CS43" s="305" t="n"/>
      <c r="CT43" s="305" t="n"/>
      <c r="CU43" s="305" t="n"/>
      <c r="CV43" s="305" t="n"/>
      <c r="CW43" s="305" t="n"/>
      <c r="CX43" s="305" t="n"/>
      <c r="CY43" s="305" t="n"/>
    </row>
    <row r="44" ht="12.75" customHeight="1" s="255">
      <c r="C44" s="269" t="inlineStr">
        <is>
          <t>SG&amp;A and Other (cash)</t>
        </is>
      </c>
      <c r="D44" s="301">
        <f>INDEX('Inputs (2)'!$D$6:$AL$6,MATCH(D$7,'Inputs (2)'!$D$2:$AL$2,0))</f>
        <v>0</v>
      </c>
      <c r="E44" s="301">
        <f>INDEX('Inputs (2)'!$D$6:$AL$6,MATCH(E$7,'Inputs (2)'!$D$2:$AL$2,0))</f>
        <v>0</v>
      </c>
      <c r="F44" s="301">
        <f>INDEX('Inputs (2)'!$D$6:$AL$6,MATCH(F$7,'Inputs (2)'!$D$2:$AL$2,0))</f>
        <v>0</v>
      </c>
      <c r="G44" s="301">
        <f>INDEX('Inputs (2)'!$D$6:$AL$6,MATCH(G$7,'Inputs (2)'!$D$2:$AL$2,0))</f>
        <v>0</v>
      </c>
      <c r="H44" s="268">
        <f>SUM(D44:G44)</f>
        <v>0</v>
      </c>
      <c r="I44" s="301">
        <f>INDEX('Inputs (2)'!$D$6:$AL$6,MATCH(I$7,'Inputs (2)'!$D$2:$AL$2,0))</f>
        <v>0</v>
      </c>
      <c r="J44" s="301">
        <f>INDEX('Inputs (2)'!$D$6:$AL$6,MATCH(J$7,'Inputs (2)'!$D$2:$AL$2,0))</f>
        <v>0</v>
      </c>
      <c r="K44" s="301">
        <f>INDEX('Inputs (2)'!$D$6:$AL$6,MATCH(K$7,'Inputs (2)'!$D$2:$AL$2,0))</f>
        <v>0</v>
      </c>
      <c r="L44" s="301">
        <f>INDEX('Inputs (2)'!$D$6:$AL$6,MATCH(L$7,'Inputs (2)'!$D$2:$AL$2,0))</f>
        <v>0</v>
      </c>
      <c r="M44" s="268">
        <f>SUM(I44:L44)</f>
        <v>0</v>
      </c>
      <c r="N44" s="301">
        <f>INDEX('Inputs (2)'!$D$6:$AL$6,MATCH(N$7,'Inputs (2)'!$D$2:$AL$2,0))</f>
        <v>0</v>
      </c>
      <c r="O44" s="301">
        <f>INDEX('Inputs (2)'!$D$6:$AL$6,MATCH(O$7,'Inputs (2)'!$D$2:$AL$2,0))</f>
        <v>0</v>
      </c>
      <c r="P44" s="301">
        <f>INDEX('Inputs (2)'!$D$6:$AL$6,MATCH(P$7,'Inputs (2)'!$D$2:$AL$2,0))</f>
        <v>0</v>
      </c>
      <c r="Q44" s="301">
        <f>INDEX('Inputs (2)'!$D$6:$AL$6,MATCH(Q$7,'Inputs (2)'!$D$2:$AL$2,0))</f>
        <v>0</v>
      </c>
      <c r="R44" s="268">
        <f>SUM(N44:Q44)</f>
        <v>0</v>
      </c>
      <c r="S44" s="301">
        <f>INDEX('Inputs (2)'!$D$6:$AL$6,MATCH(S$7,'Inputs (2)'!$D$2:$AL$2,0))</f>
        <v>0</v>
      </c>
      <c r="T44" s="301">
        <f>INDEX('Inputs (2)'!$D$6:$AL$6,MATCH(T$7,'Inputs (2)'!$D$2:$AL$2,0))</f>
        <v>0</v>
      </c>
      <c r="U44" s="301">
        <f>INDEX('Inputs (2)'!$D$6:$AL$6,MATCH(U$7,'Inputs (2)'!$D$2:$AL$2,0))</f>
        <v>0</v>
      </c>
      <c r="V44" s="301">
        <f>INDEX('Inputs (2)'!$D$6:$AL$6,MATCH(V$7,'Inputs (2)'!$D$2:$AL$2,0))</f>
        <v>0</v>
      </c>
      <c r="W44" s="268">
        <f>SUM(S44:V44)</f>
        <v>0</v>
      </c>
      <c r="X44" s="301">
        <f>INDEX('Inputs (2)'!$D$6:$AL$6,MATCH(X$7,'Inputs (2)'!$D$2:$AL$2,0))</f>
        <v>-33.107</v>
      </c>
      <c r="Y44" s="301">
        <f>INDEX('Inputs (2)'!$D$6:$AL$6,MATCH(Y$7,'Inputs (2)'!$D$2:$AL$2,0))</f>
        <v>-44.352</v>
      </c>
      <c r="Z44" s="301">
        <f>INDEX('Inputs (2)'!$D$6:$AL$6,MATCH(Z$7,'Inputs (2)'!$D$2:$AL$2,0))</f>
        <v>-69.667</v>
      </c>
      <c r="AA44" s="301">
        <f>INDEX('Inputs (2)'!$D$6:$AL$6,MATCH(AA$7,'Inputs (2)'!$D$2:$AL$2,0))</f>
        <v>-87.874</v>
      </c>
      <c r="AB44" s="268">
        <f>SUM(X44:AA44)</f>
        <v>-235</v>
      </c>
      <c r="AC44" s="301">
        <f>INDEX('Inputs (2)'!$D$6:$AL$6,MATCH(AC$7,'Inputs (2)'!$D$2:$AL$2,0))</f>
        <v>-303.503</v>
      </c>
      <c r="AD44" s="301">
        <f>INDEX('Inputs (2)'!$D$6:$AL$6,MATCH(AD$7,'Inputs (2)'!$D$2:$AL$2,0))</f>
        <v>-320.519</v>
      </c>
      <c r="AE44" s="301">
        <f>INDEX('Inputs (2)'!$D$6:$AL$6,MATCH(AE$7,'Inputs (2)'!$D$2:$AL$2,0))</f>
        <v>-313.523</v>
      </c>
      <c r="AF44" s="301">
        <f>INDEX('Inputs (2)'!$D$6:$AL$6,MATCH(AF$7,'Inputs (2)'!$D$2:$AL$2,0))</f>
        <v>-331.835</v>
      </c>
      <c r="AG44" s="268">
        <f>SUM(AC44:AF44)</f>
        <v>-1269.38</v>
      </c>
      <c r="AH44" s="268">
        <f>INDEX('Inputs (2)'!$D$6:$AL$6,MATCH(AH$7,'Inputs (2)'!$D$2:$AL$2,0))</f>
        <v>-359</v>
      </c>
      <c r="AI44" s="268">
        <f>INDEX('Inputs (2)'!$D$6:$AL$6,MATCH(AI$7,'Inputs (2)'!$D$2:$AL$2,0))</f>
        <v>-352</v>
      </c>
      <c r="AJ44" s="268">
        <f>-AJ15*AJ45</f>
        <v>0</v>
      </c>
      <c r="AK44" s="268">
        <f>-AK15*AK45</f>
        <v>0</v>
      </c>
      <c r="AL44" s="268">
        <f>SUM(AH44:AK44)</f>
        <v>-711</v>
      </c>
      <c r="AM44" s="268">
        <f>-AM15*AM45</f>
        <v>0</v>
      </c>
      <c r="AN44" s="268">
        <f>-AN15*AN45</f>
        <v>0</v>
      </c>
      <c r="AO44" s="268">
        <f>-AO15*AO45</f>
        <v>0</v>
      </c>
      <c r="AP44" s="268">
        <f>-AP15*AP45</f>
        <v>0</v>
      </c>
      <c r="AQ44" s="268">
        <f>SUM(AM44:AP44)</f>
        <v>0</v>
      </c>
      <c r="AR44" s="268">
        <f>-AR15*AR45</f>
        <v>0</v>
      </c>
      <c r="AS44" s="268">
        <f>-AS15*AS45</f>
        <v>0</v>
      </c>
      <c r="AT44" s="268">
        <f>-AT15*AT45</f>
        <v>0</v>
      </c>
      <c r="AU44" s="268">
        <f>-AU15*AU45</f>
        <v>0</v>
      </c>
      <c r="AV44" s="268">
        <f>SUM(AR44:AU44)</f>
        <v>0</v>
      </c>
      <c r="AW44" s="268">
        <f>-AW15*AW45</f>
        <v>0</v>
      </c>
      <c r="AX44" s="268">
        <f>-AX15*AX45</f>
        <v>0</v>
      </c>
      <c r="AY44" s="268">
        <f>-AY15*AY45</f>
        <v>0</v>
      </c>
      <c r="AZ44" s="268">
        <f>-AZ15*AZ45</f>
        <v>0</v>
      </c>
      <c r="BA44" s="268">
        <f>SUM(AW44:AZ44)</f>
        <v>0</v>
      </c>
      <c r="BB44" s="268">
        <f>-BB15*BB45</f>
        <v>0</v>
      </c>
      <c r="BC44" s="268">
        <f>-BC15*BC45</f>
        <v>0</v>
      </c>
      <c r="BD44" s="268">
        <f>-BD15*BD45</f>
        <v>0</v>
      </c>
      <c r="BE44" s="268">
        <f>-BE15*BE45</f>
        <v>0</v>
      </c>
      <c r="BF44" s="268">
        <f>SUM(BB44:BE44)</f>
        <v>0</v>
      </c>
      <c r="BG44" s="268">
        <f>-BG15*BG45</f>
        <v>0</v>
      </c>
      <c r="BH44" s="268">
        <f>-BH15*BH45</f>
        <v>0</v>
      </c>
      <c r="BI44" s="268">
        <f>-BI15*BI45</f>
        <v>0</v>
      </c>
      <c r="BJ44" s="268">
        <f>-BJ15*BJ45</f>
        <v>0</v>
      </c>
      <c r="BK44" s="268">
        <f>SUM(BG44:BJ44)</f>
        <v>0</v>
      </c>
      <c r="BL44" s="268">
        <f>-BL15*BL45</f>
        <v>0</v>
      </c>
      <c r="BM44" s="268">
        <f>-BM15*BM45</f>
        <v>0</v>
      </c>
      <c r="BN44" s="268">
        <f>-BN15*BN45</f>
        <v>0</v>
      </c>
      <c r="BO44" s="268">
        <f>-BO15*BO45</f>
        <v>0</v>
      </c>
      <c r="BP44" s="268">
        <f>SUM(BL44:BO44)</f>
        <v>0</v>
      </c>
      <c r="BQ44" s="268">
        <f>-BQ15*BQ45</f>
        <v>0</v>
      </c>
      <c r="BR44" s="268">
        <f>-BR15*BR45</f>
        <v>0</v>
      </c>
      <c r="BS44" s="268">
        <f>-BS15*BS45</f>
        <v>0</v>
      </c>
      <c r="BT44" s="268">
        <f>-BT15*BT45</f>
        <v>0</v>
      </c>
      <c r="BU44" s="268">
        <f>SUM(BQ44:BT44)</f>
        <v>0</v>
      </c>
      <c r="BV44" s="268">
        <f>-BV15*BV45</f>
        <v>0</v>
      </c>
      <c r="BW44" s="268">
        <f>-BW15*BW45</f>
        <v>0</v>
      </c>
      <c r="BX44" s="268">
        <f>-BX15*BX45</f>
        <v>0</v>
      </c>
      <c r="BY44" s="268">
        <f>-BY15*BY45</f>
        <v>0</v>
      </c>
      <c r="BZ44" s="268">
        <f>SUM(BV44:BY44)</f>
        <v>0</v>
      </c>
      <c r="CA44" s="268">
        <f>-CA15*CA45</f>
        <v>0</v>
      </c>
      <c r="CB44" s="268">
        <f>-CB15*CB45</f>
        <v>0</v>
      </c>
      <c r="CC44" s="268">
        <f>-CC15*CC45</f>
        <v>0</v>
      </c>
      <c r="CD44" s="268">
        <f>-CD15*CD45</f>
        <v>0</v>
      </c>
      <c r="CE44" s="268">
        <f>SUM(CA44:CD44)</f>
        <v>0</v>
      </c>
      <c r="CF44" s="268">
        <f>-CF15*CF45</f>
        <v>0</v>
      </c>
      <c r="CG44" s="268">
        <f>-CG15*CG45</f>
        <v>0</v>
      </c>
      <c r="CH44" s="268">
        <f>-CH15*CH45</f>
        <v>0</v>
      </c>
      <c r="CI44" s="268">
        <f>-CI15*CI45</f>
        <v>0</v>
      </c>
      <c r="CJ44" s="268">
        <f>SUM(CF44:CI44)</f>
        <v>0</v>
      </c>
      <c r="CK44" s="268">
        <f>-CK15*CK45</f>
        <v>0</v>
      </c>
      <c r="CL44" s="268">
        <f>-CL15*CL45</f>
        <v>0</v>
      </c>
      <c r="CM44" s="268">
        <f>-CM15*CM45</f>
        <v>0</v>
      </c>
      <c r="CN44" s="268">
        <f>-CN15*CN45</f>
        <v>0</v>
      </c>
      <c r="CO44" s="268">
        <f>SUM(CK44:CN44)</f>
        <v>0</v>
      </c>
      <c r="CP44" s="268">
        <f>-CP15*CP45</f>
        <v>0</v>
      </c>
      <c r="CQ44" s="268">
        <f>-CQ15*CQ45</f>
        <v>0</v>
      </c>
      <c r="CR44" s="268">
        <f>-CR15*CR45</f>
        <v>0</v>
      </c>
      <c r="CS44" s="268">
        <f>-CS15*CS45</f>
        <v>0</v>
      </c>
      <c r="CT44" s="268">
        <f>SUM(CP44:CS44)</f>
        <v>0</v>
      </c>
      <c r="CU44" s="268">
        <f>-CU15*CU45</f>
        <v>0</v>
      </c>
      <c r="CV44" s="268">
        <f>-CV15*CV45</f>
        <v>0</v>
      </c>
      <c r="CW44" s="268">
        <f>-CW15*CW45</f>
        <v>0</v>
      </c>
      <c r="CX44" s="268">
        <f>-CX15*CX45</f>
        <v>0</v>
      </c>
      <c r="CY44" s="268">
        <f>SUM(CU44:CX44)</f>
        <v>0</v>
      </c>
    </row>
    <row r="45" hidden="1" outlineLevel="1" ht="12.75" customHeight="1" s="255">
      <c r="C45" s="294" t="inlineStr">
        <is>
          <t>% SG&amp;A and Other Margin</t>
        </is>
      </c>
      <c r="D45" s="306" t="str">
        <f>IFERROR(-(D44/D$15),"")</f>
        <v/>
      </c>
      <c r="E45" s="306" t="str">
        <f>IFERROR(-(E44/E$15),"")</f>
        <v/>
      </c>
      <c r="F45" s="306" t="str">
        <f>IFERROR(-(F44/F$15),"")</f>
        <v/>
      </c>
      <c r="G45" s="306" t="str">
        <f>IFERROR(-(G44/G$15),"")</f>
        <v/>
      </c>
      <c r="H45" s="306" t="str">
        <f>IFERROR(-(H44/H$15),"")</f>
        <v/>
      </c>
      <c r="I45" s="306" t="str">
        <f>IFERROR(-(I44/I$15),"")</f>
        <v/>
      </c>
      <c r="J45" s="306" t="str">
        <f>IFERROR(-(J44/J$15),"")</f>
        <v/>
      </c>
      <c r="K45" s="306" t="str">
        <f>IFERROR(-(K44/K$15),"")</f>
        <v/>
      </c>
      <c r="L45" s="306" t="str">
        <f>IFERROR(-(L44/L$15),"")</f>
        <v/>
      </c>
      <c r="M45" s="306" t="str">
        <f>IFERROR(-(M44/M$15),"")</f>
        <v/>
      </c>
      <c r="N45" s="306" t="str">
        <f>IFERROR(-(N44/N$15),"")</f>
        <v/>
      </c>
      <c r="O45" s="306" t="str">
        <f>IFERROR(-(O44/O$15),"")</f>
        <v/>
      </c>
      <c r="P45" s="306" t="str">
        <f>IFERROR(-(P44/P$15),"")</f>
        <v/>
      </c>
      <c r="Q45" s="306" t="str">
        <f>IFERROR(-(Q44/Q$15),"")</f>
        <v/>
      </c>
      <c r="R45" s="306" t="str">
        <f>IFERROR(-(R44/R$15),"")</f>
        <v/>
      </c>
      <c r="S45" s="306" t="str">
        <f>IFERROR(-(S44/S$15),"")</f>
        <v/>
      </c>
      <c r="T45" s="306" t="str">
        <f>IFERROR(-(T44/T$15),"")</f>
        <v/>
      </c>
      <c r="U45" s="306" t="str">
        <f>IFERROR(-(U44/U$15),"")</f>
        <v/>
      </c>
      <c r="V45" s="306" t="str">
        <f>IFERROR(-(V44/V$15),"")</f>
        <v/>
      </c>
      <c r="W45" s="306" t="str">
        <f>IFERROR(-(W44/W$15),"")</f>
        <v/>
      </c>
      <c r="X45" s="306">
        <f>IFERROR(-(X44/X$15),"")</f>
        <v>0.175462678340506</v>
      </c>
      <c r="Y45" s="306">
        <f>IFERROR(-(Y44/Y$15),"")</f>
        <v>0.112178182011326</v>
      </c>
      <c r="Z45" s="306">
        <f>IFERROR(-(Z44/Z$15),"")</f>
        <v>0.119304861278794</v>
      </c>
      <c r="AA45" s="306">
        <f>IFERROR(-(AA44/AA$15),"")</f>
        <v>0.117635246933082</v>
      </c>
      <c r="AB45" s="306">
        <f>IFERROR(-(AB44/AB$15),"")</f>
        <v>0.122715404699739</v>
      </c>
      <c r="AC45" s="306">
        <f>IFERROR(-(AC44/AC$15),"")</f>
        <v>0.309066191446029</v>
      </c>
      <c r="AD45" s="306">
        <f>IFERROR(-(AD44/AD$15),"")</f>
        <v>0.264454620462046</v>
      </c>
      <c r="AE45" s="306">
        <f>IFERROR(-(AE44/AE$15),"")</f>
        <v>0.229741711585754</v>
      </c>
      <c r="AF45" s="297">
        <f>IFERROR(-(AF44/AF$15),"")</f>
        <v>0.211103858759822</v>
      </c>
      <c r="AG45" s="306">
        <f>IFERROR(-(AG44/AG$15),"")</f>
        <v>0.247414522334707</v>
      </c>
      <c r="AH45" s="307">
        <f>IFERROR(-(AH44/AH$15),"")</f>
        <v>0.172762271414822</v>
      </c>
      <c r="AI45" s="307">
        <f>IFERROR(-(AI44/AI$15),"")</f>
        <v>0.136699029126214</v>
      </c>
      <c r="AJ45" s="307" t="n"/>
      <c r="AK45" s="307" t="n"/>
      <c r="AL45" s="306">
        <f>IFERROR(-(AL44/AL$15),"")</f>
        <v>0.093681073260971</v>
      </c>
      <c r="AM45" s="307" t="n"/>
      <c r="AN45" s="307" t="n"/>
      <c r="AO45" s="307" t="n"/>
      <c r="AP45" s="307" t="n"/>
      <c r="AQ45" s="306">
        <f>IFERROR(-(AQ44/AQ$15),"")</f>
        <v>0</v>
      </c>
      <c r="AR45" s="307" t="n"/>
      <c r="AS45" s="307" t="n"/>
      <c r="AT45" s="307" t="n"/>
      <c r="AU45" s="307" t="n"/>
      <c r="AV45" s="306">
        <f>IFERROR(-(AV44/AV$15),"")</f>
        <v>0</v>
      </c>
      <c r="AW45" s="307" t="n"/>
      <c r="AX45" s="307" t="n"/>
      <c r="AY45" s="307" t="n"/>
      <c r="AZ45" s="307" t="n"/>
      <c r="BA45" s="306">
        <f>IFERROR(-(BA44/BA$15),"")</f>
        <v>0</v>
      </c>
      <c r="BB45" s="307" t="n"/>
      <c r="BC45" s="307" t="n"/>
      <c r="BD45" s="307" t="n"/>
      <c r="BE45" s="307" t="n"/>
      <c r="BF45" s="306">
        <f>IFERROR(-(BF44/BF$15),"")</f>
        <v>0</v>
      </c>
      <c r="BG45" s="307" t="n"/>
      <c r="BH45" s="307" t="n"/>
      <c r="BI45" s="307" t="n"/>
      <c r="BJ45" s="307" t="n"/>
      <c r="BK45" s="306">
        <f>IFERROR(-(BK44/BK$15),"")</f>
        <v>0</v>
      </c>
      <c r="BL45" s="307" t="n"/>
      <c r="BM45" s="307" t="n"/>
      <c r="BN45" s="307" t="n"/>
      <c r="BO45" s="307" t="n"/>
      <c r="BP45" s="306">
        <f>IFERROR(-(BP44/BP$15),"")</f>
        <v>0</v>
      </c>
      <c r="BQ45" s="307" t="n"/>
      <c r="BR45" s="307" t="n"/>
      <c r="BS45" s="307" t="n"/>
      <c r="BT45" s="307" t="n"/>
      <c r="BU45" s="306">
        <f>IFERROR(-(BU44/BU$15),"")</f>
        <v>0</v>
      </c>
      <c r="BV45" s="307" t="n"/>
      <c r="BW45" s="307" t="n"/>
      <c r="BX45" s="307" t="n"/>
      <c r="BY45" s="307" t="n"/>
      <c r="BZ45" s="306">
        <f>IFERROR(-(BZ44/BZ$15),"")</f>
        <v>0</v>
      </c>
      <c r="CA45" s="307" t="n"/>
      <c r="CB45" s="307" t="n"/>
      <c r="CC45" s="307" t="n"/>
      <c r="CD45" s="307" t="n"/>
      <c r="CE45" s="306">
        <f>IFERROR(-(CE44/CE$15),"")</f>
        <v>0</v>
      </c>
      <c r="CF45" s="307" t="n"/>
      <c r="CG45" s="307" t="n"/>
      <c r="CH45" s="307" t="n"/>
      <c r="CI45" s="307" t="n"/>
      <c r="CJ45" s="306">
        <f>IFERROR(-(CJ44/CJ$15),"")</f>
        <v>0</v>
      </c>
      <c r="CK45" s="307" t="n"/>
      <c r="CL45" s="307" t="n"/>
      <c r="CM45" s="307" t="n"/>
      <c r="CN45" s="307" t="n"/>
      <c r="CO45" s="306">
        <f>IFERROR(-(CO44/CO$15),"")</f>
        <v>0</v>
      </c>
      <c r="CP45" s="307" t="n"/>
      <c r="CQ45" s="307" t="n"/>
      <c r="CR45" s="307" t="n"/>
      <c r="CS45" s="307" t="n"/>
      <c r="CT45" s="306">
        <f>IFERROR(-(CT44/CT$15),"")</f>
        <v>0</v>
      </c>
      <c r="CU45" s="307" t="n"/>
      <c r="CV45" s="307" t="n"/>
      <c r="CW45" s="307" t="n"/>
      <c r="CX45" s="307" t="n"/>
      <c r="CY45" s="306">
        <f>IFERROR(-(CY44/CY$15),"")</f>
        <v>0</v>
      </c>
    </row>
    <row r="46" hidden="1" outlineLevel="1" ht="12.75" customHeight="1" s="255">
      <c r="C46" s="305" t="n"/>
      <c r="D46" s="305" t="n"/>
      <c r="E46" s="305" t="n"/>
      <c r="F46" s="305" t="n"/>
      <c r="G46" s="305" t="n"/>
      <c r="H46" s="305" t="n"/>
      <c r="I46" s="305" t="n"/>
      <c r="J46" s="305" t="n"/>
      <c r="K46" s="305" t="n"/>
      <c r="L46" s="305" t="n"/>
      <c r="M46" s="305" t="n"/>
      <c r="N46" s="305" t="n"/>
      <c r="O46" s="305" t="n"/>
      <c r="P46" s="305" t="n"/>
      <c r="Q46" s="305" t="n"/>
      <c r="R46" s="305" t="n"/>
      <c r="S46" s="305" t="n"/>
      <c r="T46" s="305" t="n"/>
      <c r="U46" s="305" t="n"/>
      <c r="V46" s="305" t="n"/>
      <c r="W46" s="305" t="n"/>
      <c r="X46" s="305" t="n"/>
      <c r="Y46" s="305" t="n"/>
      <c r="Z46" s="305" t="n"/>
      <c r="AA46" s="305" t="n"/>
      <c r="AB46" s="305" t="n"/>
      <c r="AC46" s="305" t="n"/>
      <c r="AD46" s="305" t="n"/>
      <c r="AE46" s="305" t="n"/>
      <c r="AF46" s="305" t="n"/>
      <c r="AG46" s="305" t="n"/>
      <c r="AH46" s="305" t="n"/>
      <c r="AI46" s="305" t="n"/>
      <c r="AJ46" s="305" t="n"/>
      <c r="AK46" s="305" t="n"/>
      <c r="AL46" s="305" t="n"/>
      <c r="AM46" s="305" t="n"/>
      <c r="AN46" s="305" t="n"/>
      <c r="AO46" s="305" t="n"/>
      <c r="AP46" s="305" t="n"/>
      <c r="AQ46" s="305" t="n"/>
      <c r="AR46" s="305" t="n"/>
      <c r="AS46" s="305" t="n"/>
      <c r="AT46" s="305" t="n"/>
      <c r="AU46" s="305" t="n"/>
      <c r="AV46" s="305" t="n"/>
      <c r="AW46" s="305" t="n"/>
      <c r="AX46" s="305" t="n"/>
      <c r="AY46" s="305" t="n"/>
      <c r="AZ46" s="305" t="n"/>
      <c r="BA46" s="305" t="n"/>
      <c r="BB46" s="305" t="n"/>
      <c r="BC46" s="305" t="n"/>
      <c r="BD46" s="305" t="n"/>
      <c r="BE46" s="305" t="n"/>
      <c r="BF46" s="305" t="n"/>
      <c r="BG46" s="305" t="n"/>
      <c r="BH46" s="305" t="n"/>
      <c r="BI46" s="305" t="n"/>
      <c r="BJ46" s="305" t="n"/>
      <c r="BK46" s="305" t="n"/>
      <c r="BL46" s="305" t="n"/>
      <c r="BM46" s="305" t="n"/>
      <c r="BN46" s="305" t="n"/>
      <c r="BO46" s="305" t="n"/>
      <c r="BP46" s="305" t="n"/>
      <c r="BQ46" s="305" t="n"/>
      <c r="BR46" s="305" t="n"/>
      <c r="BS46" s="305" t="n"/>
      <c r="BT46" s="305" t="n"/>
      <c r="BU46" s="305" t="n"/>
      <c r="BV46" s="305" t="n"/>
      <c r="BW46" s="305" t="n"/>
      <c r="BX46" s="305" t="n"/>
      <c r="BY46" s="305" t="n"/>
      <c r="BZ46" s="305" t="n"/>
      <c r="CA46" s="305" t="n"/>
      <c r="CB46" s="305" t="n"/>
      <c r="CC46" s="305" t="n"/>
      <c r="CD46" s="305" t="n"/>
      <c r="CE46" s="305" t="n"/>
      <c r="CF46" s="305" t="n"/>
      <c r="CG46" s="305" t="n"/>
      <c r="CH46" s="305" t="n"/>
      <c r="CI46" s="305" t="n"/>
      <c r="CJ46" s="305" t="n"/>
      <c r="CK46" s="305" t="n"/>
      <c r="CL46" s="305" t="n"/>
      <c r="CM46" s="305" t="n"/>
      <c r="CN46" s="305" t="n"/>
      <c r="CO46" s="305" t="n"/>
      <c r="CP46" s="305" t="n"/>
      <c r="CQ46" s="305" t="n"/>
      <c r="CR46" s="305" t="n"/>
      <c r="CS46" s="305" t="n"/>
      <c r="CT46" s="305" t="n"/>
      <c r="CU46" s="305" t="n"/>
      <c r="CV46" s="305" t="n"/>
      <c r="CW46" s="305" t="n"/>
      <c r="CX46" s="305" t="n"/>
      <c r="CY46" s="305" t="n"/>
    </row>
    <row r="47" hidden="1" outlineLevel="1" ht="12.75" customHeight="1" s="255">
      <c r="C47" s="305" t="inlineStr">
        <is>
          <t>Com Vendas</t>
        </is>
      </c>
      <c r="D47" s="267" t="n"/>
      <c r="E47" s="267" t="n"/>
      <c r="F47" s="267" t="n"/>
      <c r="G47" s="267" t="n"/>
      <c r="H47" s="305" t="n"/>
      <c r="I47" s="267" t="n"/>
      <c r="J47" s="267" t="n"/>
      <c r="K47" s="267" t="n"/>
      <c r="L47" s="267" t="n"/>
      <c r="M47" s="305" t="n"/>
      <c r="N47" s="267" t="n"/>
      <c r="O47" s="267" t="n"/>
      <c r="P47" s="267" t="n"/>
      <c r="Q47" s="267" t="n"/>
      <c r="R47" s="305" t="n"/>
      <c r="S47" s="267" t="n"/>
      <c r="T47" s="267" t="n"/>
      <c r="U47" s="267" t="n"/>
      <c r="V47" s="267" t="n"/>
      <c r="W47" s="305" t="n"/>
      <c r="X47" s="267" t="n"/>
      <c r="Y47" s="267" t="n"/>
      <c r="Z47" s="267" t="n"/>
      <c r="AA47" s="267" t="n"/>
      <c r="AB47" s="305" t="n"/>
      <c r="AC47" s="267" t="n"/>
      <c r="AD47" s="267" t="n"/>
      <c r="AE47" s="267" t="n"/>
      <c r="AF47" s="267" t="n"/>
      <c r="AG47" s="305" t="n"/>
      <c r="AH47" s="305" t="n"/>
      <c r="AI47" s="305" t="n"/>
      <c r="AJ47" s="305" t="n"/>
      <c r="AK47" s="305" t="n"/>
      <c r="AL47" s="305" t="n"/>
      <c r="AM47" s="305" t="n"/>
      <c r="AN47" s="305" t="n"/>
      <c r="AO47" s="305" t="n"/>
      <c r="AP47" s="305" t="n"/>
      <c r="AQ47" s="305" t="n"/>
      <c r="AR47" s="305" t="n"/>
      <c r="AS47" s="305" t="n"/>
      <c r="AT47" s="305" t="n"/>
      <c r="AU47" s="305" t="n"/>
      <c r="AV47" s="305" t="n"/>
      <c r="AW47" s="305" t="n"/>
      <c r="AX47" s="305" t="n"/>
      <c r="AY47" s="305" t="n"/>
      <c r="AZ47" s="305" t="n"/>
      <c r="BA47" s="305" t="n"/>
      <c r="BB47" s="305" t="n"/>
      <c r="BC47" s="305" t="n"/>
      <c r="BD47" s="305" t="n"/>
      <c r="BE47" s="305" t="n"/>
      <c r="BF47" s="305" t="n"/>
      <c r="BG47" s="305" t="n"/>
      <c r="BH47" s="305" t="n"/>
      <c r="BI47" s="305" t="n"/>
      <c r="BJ47" s="305" t="n"/>
      <c r="BK47" s="305" t="n"/>
      <c r="BL47" s="305" t="n"/>
      <c r="BM47" s="305" t="n"/>
      <c r="BN47" s="305" t="n"/>
      <c r="BO47" s="305" t="n"/>
      <c r="BP47" s="305" t="n"/>
      <c r="BQ47" s="305" t="n"/>
      <c r="BR47" s="305" t="n"/>
      <c r="BS47" s="305" t="n"/>
      <c r="BT47" s="305" t="n"/>
      <c r="BU47" s="305" t="n"/>
      <c r="BV47" s="305" t="n"/>
      <c r="BW47" s="305" t="n"/>
      <c r="BX47" s="305" t="n"/>
      <c r="BY47" s="305" t="n"/>
      <c r="BZ47" s="305" t="n"/>
      <c r="CA47" s="305" t="n"/>
      <c r="CB47" s="305" t="n"/>
      <c r="CC47" s="305" t="n"/>
      <c r="CD47" s="305" t="n"/>
      <c r="CE47" s="305" t="n"/>
      <c r="CF47" s="305" t="n"/>
      <c r="CG47" s="305" t="n"/>
      <c r="CH47" s="305" t="n"/>
      <c r="CI47" s="305" t="n"/>
      <c r="CJ47" s="305" t="n"/>
      <c r="CK47" s="305" t="n"/>
      <c r="CL47" s="305" t="n"/>
      <c r="CM47" s="305" t="n"/>
      <c r="CN47" s="305" t="n"/>
      <c r="CO47" s="305" t="n"/>
      <c r="CP47" s="305" t="n"/>
      <c r="CQ47" s="305" t="n"/>
      <c r="CR47" s="305" t="n"/>
      <c r="CS47" s="305" t="n"/>
      <c r="CT47" s="305" t="n"/>
      <c r="CU47" s="305" t="n"/>
      <c r="CV47" s="305" t="n"/>
      <c r="CW47" s="305" t="n"/>
      <c r="CX47" s="305" t="n"/>
      <c r="CY47" s="305" t="n"/>
    </row>
    <row r="48" hidden="1" outlineLevel="1" ht="12.75" customHeight="1" s="255">
      <c r="C48" s="305" t="inlineStr">
        <is>
          <t>Gerais &amp; Administrativas</t>
        </is>
      </c>
      <c r="D48" s="267" t="n"/>
      <c r="E48" s="267" t="n"/>
      <c r="F48" s="267" t="n"/>
      <c r="G48" s="267" t="n"/>
      <c r="H48" s="305" t="n"/>
      <c r="I48" s="267" t="n"/>
      <c r="J48" s="267" t="n"/>
      <c r="K48" s="267" t="n"/>
      <c r="L48" s="267" t="n"/>
      <c r="M48" s="305" t="n"/>
      <c r="N48" s="267" t="n"/>
      <c r="O48" s="267" t="n"/>
      <c r="P48" s="267" t="n"/>
      <c r="Q48" s="267" t="n"/>
      <c r="R48" s="305" t="n"/>
      <c r="S48" s="267" t="n"/>
      <c r="T48" s="267" t="n"/>
      <c r="U48" s="267" t="n"/>
      <c r="V48" s="267" t="n"/>
      <c r="W48" s="305" t="n"/>
      <c r="X48" s="267" t="n"/>
      <c r="Y48" s="267" t="n"/>
      <c r="Z48" s="267" t="n"/>
      <c r="AA48" s="267" t="n"/>
      <c r="AB48" s="305" t="n"/>
      <c r="AC48" s="267" t="n"/>
      <c r="AD48" s="267" t="n"/>
      <c r="AE48" s="267" t="n"/>
      <c r="AF48" s="267" t="n"/>
      <c r="AG48" s="305" t="n"/>
      <c r="AH48" s="305" t="n"/>
      <c r="AI48" s="305" t="n"/>
      <c r="AJ48" s="305" t="n"/>
      <c r="AK48" s="305" t="n"/>
      <c r="AL48" s="305" t="n"/>
      <c r="AM48" s="305" t="n"/>
      <c r="AN48" s="305" t="n"/>
      <c r="AO48" s="305" t="n"/>
      <c r="AP48" s="305" t="n"/>
      <c r="AQ48" s="305" t="n"/>
      <c r="AR48" s="305" t="n"/>
      <c r="AS48" s="305" t="n"/>
      <c r="AT48" s="305" t="n"/>
      <c r="AU48" s="305" t="n"/>
      <c r="AV48" s="305" t="n"/>
      <c r="AW48" s="305" t="n"/>
      <c r="AX48" s="305" t="n"/>
      <c r="AY48" s="305" t="n"/>
      <c r="AZ48" s="305" t="n"/>
      <c r="BA48" s="305" t="n"/>
      <c r="BB48" s="305" t="n"/>
      <c r="BC48" s="305" t="n"/>
      <c r="BD48" s="305" t="n"/>
      <c r="BE48" s="305" t="n"/>
      <c r="BF48" s="305" t="n"/>
      <c r="BG48" s="305" t="n"/>
      <c r="BH48" s="305" t="n"/>
      <c r="BI48" s="305" t="n"/>
      <c r="BJ48" s="305" t="n"/>
      <c r="BK48" s="305" t="n"/>
      <c r="BL48" s="305" t="n"/>
      <c r="BM48" s="305" t="n"/>
      <c r="BN48" s="305" t="n"/>
      <c r="BO48" s="305" t="n"/>
      <c r="BP48" s="305" t="n"/>
      <c r="BQ48" s="305" t="n"/>
      <c r="BR48" s="305" t="n"/>
      <c r="BS48" s="305" t="n"/>
      <c r="BT48" s="305" t="n"/>
      <c r="BU48" s="305" t="n"/>
      <c r="BV48" s="305" t="n"/>
      <c r="BW48" s="305" t="n"/>
      <c r="BX48" s="305" t="n"/>
      <c r="BY48" s="305" t="n"/>
      <c r="BZ48" s="305" t="n"/>
      <c r="CA48" s="305" t="n"/>
      <c r="CB48" s="305" t="n"/>
      <c r="CC48" s="305" t="n"/>
      <c r="CD48" s="305" t="n"/>
      <c r="CE48" s="305" t="n"/>
      <c r="CF48" s="305" t="n"/>
      <c r="CG48" s="305" t="n"/>
      <c r="CH48" s="305" t="n"/>
      <c r="CI48" s="305" t="n"/>
      <c r="CJ48" s="305" t="n"/>
      <c r="CK48" s="305" t="n"/>
      <c r="CL48" s="305" t="n"/>
      <c r="CM48" s="305" t="n"/>
      <c r="CN48" s="305" t="n"/>
      <c r="CO48" s="305" t="n"/>
      <c r="CP48" s="305" t="n"/>
      <c r="CQ48" s="305" t="n"/>
      <c r="CR48" s="305" t="n"/>
      <c r="CS48" s="305" t="n"/>
      <c r="CT48" s="305" t="n"/>
      <c r="CU48" s="305" t="n"/>
      <c r="CV48" s="305" t="n"/>
      <c r="CW48" s="305" t="n"/>
      <c r="CX48" s="305" t="n"/>
      <c r="CY48" s="305" t="n"/>
    </row>
    <row r="49" hidden="1" outlineLevel="1" ht="12.75" customHeight="1" s="255">
      <c r="C49" s="305" t="inlineStr">
        <is>
          <t>Outras Receitas (Despesas) Operacionais, Líquidas</t>
        </is>
      </c>
      <c r="D49" s="267" t="n"/>
      <c r="E49" s="267" t="n"/>
      <c r="F49" s="267" t="n"/>
      <c r="G49" s="267" t="n"/>
      <c r="H49" s="305" t="n"/>
      <c r="I49" s="267" t="n"/>
      <c r="J49" s="267" t="n"/>
      <c r="K49" s="267" t="n"/>
      <c r="L49" s="267" t="n"/>
      <c r="M49" s="305" t="n"/>
      <c r="N49" s="267" t="n"/>
      <c r="O49" s="267" t="n"/>
      <c r="P49" s="267" t="n"/>
      <c r="Q49" s="267" t="n"/>
      <c r="R49" s="305" t="n"/>
      <c r="S49" s="267" t="n"/>
      <c r="T49" s="267" t="n"/>
      <c r="U49" s="267" t="n"/>
      <c r="V49" s="267" t="n"/>
      <c r="W49" s="305" t="n"/>
      <c r="X49" s="267" t="n"/>
      <c r="Y49" s="267" t="n"/>
      <c r="Z49" s="267" t="n"/>
      <c r="AA49" s="267" t="n"/>
      <c r="AB49" s="305" t="n"/>
      <c r="AC49" s="267" t="n"/>
      <c r="AD49" s="267" t="n"/>
      <c r="AE49" s="267" t="n"/>
      <c r="AF49" s="267" t="n"/>
      <c r="AG49" s="305" t="n"/>
      <c r="AH49" s="305" t="n"/>
      <c r="AI49" s="305" t="n"/>
      <c r="AJ49" s="305" t="n"/>
      <c r="AK49" s="305" t="n"/>
      <c r="AL49" s="305" t="n"/>
      <c r="AM49" s="305" t="n"/>
      <c r="AN49" s="305" t="n"/>
      <c r="AO49" s="305" t="n"/>
      <c r="AP49" s="305" t="n"/>
      <c r="AQ49" s="305" t="n"/>
      <c r="AR49" s="305" t="n"/>
      <c r="AS49" s="305" t="n"/>
      <c r="AT49" s="305" t="n"/>
      <c r="AU49" s="305" t="n"/>
      <c r="AV49" s="305" t="n"/>
      <c r="AW49" s="305" t="n"/>
      <c r="AX49" s="305" t="n"/>
      <c r="AY49" s="305" t="n"/>
      <c r="AZ49" s="305" t="n"/>
      <c r="BA49" s="305" t="n"/>
      <c r="BB49" s="305" t="n"/>
      <c r="BC49" s="305" t="n"/>
      <c r="BD49" s="305" t="n"/>
      <c r="BE49" s="305" t="n"/>
      <c r="BF49" s="305" t="n"/>
      <c r="BG49" s="305" t="n"/>
      <c r="BH49" s="305" t="n"/>
      <c r="BI49" s="305" t="n"/>
      <c r="BJ49" s="305" t="n"/>
      <c r="BK49" s="305" t="n"/>
      <c r="BL49" s="305" t="n"/>
      <c r="BM49" s="305" t="n"/>
      <c r="BN49" s="305" t="n"/>
      <c r="BO49" s="305" t="n"/>
      <c r="BP49" s="305" t="n"/>
      <c r="BQ49" s="305" t="n"/>
      <c r="BR49" s="305" t="n"/>
      <c r="BS49" s="305" t="n"/>
      <c r="BT49" s="305" t="n"/>
      <c r="BU49" s="305" t="n"/>
      <c r="BV49" s="305" t="n"/>
      <c r="BW49" s="305" t="n"/>
      <c r="BX49" s="305" t="n"/>
      <c r="BY49" s="305" t="n"/>
      <c r="BZ49" s="305" t="n"/>
      <c r="CA49" s="305" t="n"/>
      <c r="CB49" s="305" t="n"/>
      <c r="CC49" s="305" t="n"/>
      <c r="CD49" s="305" t="n"/>
      <c r="CE49" s="305" t="n"/>
      <c r="CF49" s="305" t="n"/>
      <c r="CG49" s="305" t="n"/>
      <c r="CH49" s="305" t="n"/>
      <c r="CI49" s="305" t="n"/>
      <c r="CJ49" s="305" t="n"/>
      <c r="CK49" s="305" t="n"/>
      <c r="CL49" s="305" t="n"/>
      <c r="CM49" s="305" t="n"/>
      <c r="CN49" s="305" t="n"/>
      <c r="CO49" s="305" t="n"/>
      <c r="CP49" s="305" t="n"/>
      <c r="CQ49" s="305" t="n"/>
      <c r="CR49" s="305" t="n"/>
      <c r="CS49" s="305" t="n"/>
      <c r="CT49" s="305" t="n"/>
      <c r="CU49" s="305" t="n"/>
      <c r="CV49" s="305" t="n"/>
      <c r="CW49" s="305" t="n"/>
      <c r="CX49" s="305" t="n"/>
      <c r="CY49" s="305" t="n"/>
    </row>
    <row r="50" hidden="1" outlineLevel="1" ht="12.75" customHeight="1" s="255">
      <c r="C50" s="305" t="n"/>
      <c r="D50" s="305" t="n"/>
      <c r="E50" s="305" t="n"/>
      <c r="F50" s="305" t="n"/>
      <c r="G50" s="305" t="n"/>
      <c r="H50" s="305" t="n"/>
      <c r="I50" s="305" t="n"/>
      <c r="J50" s="305" t="n"/>
      <c r="K50" s="305" t="n"/>
      <c r="L50" s="305" t="n"/>
      <c r="M50" s="305" t="n"/>
      <c r="N50" s="305" t="n"/>
      <c r="O50" s="305" t="n"/>
      <c r="P50" s="305" t="n"/>
      <c r="Q50" s="305" t="n"/>
      <c r="R50" s="305" t="n"/>
      <c r="S50" s="305" t="n"/>
      <c r="T50" s="305" t="n"/>
      <c r="U50" s="305" t="n"/>
      <c r="V50" s="305" t="n"/>
      <c r="W50" s="305" t="n"/>
      <c r="X50" s="305" t="n"/>
      <c r="Y50" s="305" t="n"/>
      <c r="Z50" s="305" t="n"/>
      <c r="AA50" s="305" t="n"/>
      <c r="AB50" s="305" t="n"/>
      <c r="AC50" s="305" t="n"/>
      <c r="AD50" s="305" t="n"/>
      <c r="AE50" s="305" t="n"/>
      <c r="AF50" s="305" t="n"/>
      <c r="AG50" s="305" t="n"/>
      <c r="AH50" s="305" t="n"/>
      <c r="AI50" s="305" t="n"/>
      <c r="AJ50" s="305" t="n"/>
      <c r="AK50" s="305" t="n"/>
      <c r="AL50" s="305" t="n"/>
      <c r="AM50" s="305" t="n"/>
      <c r="AN50" s="305" t="n"/>
      <c r="AO50" s="305" t="n"/>
      <c r="AP50" s="305" t="n"/>
      <c r="AQ50" s="305" t="n"/>
      <c r="AR50" s="305" t="n"/>
      <c r="AS50" s="305" t="n"/>
      <c r="AT50" s="305" t="n"/>
      <c r="AU50" s="305" t="n"/>
      <c r="AV50" s="305" t="n"/>
      <c r="AW50" s="305" t="n"/>
      <c r="AX50" s="305" t="n"/>
      <c r="AY50" s="305" t="n"/>
      <c r="AZ50" s="305" t="n"/>
      <c r="BA50" s="305" t="n"/>
      <c r="BB50" s="305" t="n"/>
      <c r="BC50" s="305" t="n"/>
      <c r="BD50" s="305" t="n"/>
      <c r="BE50" s="305" t="n"/>
      <c r="BF50" s="305" t="n"/>
      <c r="BG50" s="305" t="n"/>
      <c r="BH50" s="305" t="n"/>
      <c r="BI50" s="305" t="n"/>
      <c r="BJ50" s="305" t="n"/>
      <c r="BK50" s="305" t="n"/>
      <c r="BL50" s="305" t="n"/>
      <c r="BM50" s="305" t="n"/>
      <c r="BN50" s="305" t="n"/>
      <c r="BO50" s="305" t="n"/>
      <c r="BP50" s="305" t="n"/>
      <c r="BQ50" s="305" t="n"/>
      <c r="BR50" s="305" t="n"/>
      <c r="BS50" s="305" t="n"/>
      <c r="BT50" s="305" t="n"/>
      <c r="BU50" s="305" t="n"/>
      <c r="BV50" s="305" t="n"/>
      <c r="BW50" s="305" t="n"/>
      <c r="BX50" s="305" t="n"/>
      <c r="BY50" s="305" t="n"/>
      <c r="BZ50" s="305" t="n"/>
      <c r="CA50" s="305" t="n"/>
      <c r="CB50" s="305" t="n"/>
      <c r="CC50" s="305" t="n"/>
      <c r="CD50" s="305" t="n"/>
      <c r="CE50" s="305" t="n"/>
      <c r="CF50" s="305" t="n"/>
      <c r="CG50" s="305" t="n"/>
      <c r="CH50" s="305" t="n"/>
      <c r="CI50" s="305" t="n"/>
      <c r="CJ50" s="305" t="n"/>
      <c r="CK50" s="305" t="n"/>
      <c r="CL50" s="305" t="n"/>
      <c r="CM50" s="305" t="n"/>
      <c r="CN50" s="305" t="n"/>
      <c r="CO50" s="305" t="n"/>
      <c r="CP50" s="305" t="n"/>
      <c r="CQ50" s="305" t="n"/>
      <c r="CR50" s="305" t="n"/>
      <c r="CS50" s="305" t="n"/>
      <c r="CT50" s="305" t="n"/>
      <c r="CU50" s="305" t="n"/>
      <c r="CV50" s="305" t="n"/>
      <c r="CW50" s="305" t="n"/>
      <c r="CX50" s="305" t="n"/>
      <c r="CY50" s="305" t="n"/>
    </row>
    <row r="51" hidden="1" outlineLevel="1" ht="12.75" customHeight="1" s="255">
      <c r="C51" s="305" t="inlineStr">
        <is>
          <t>Com Vendas (%)</t>
        </is>
      </c>
      <c r="D51" s="305" t="n"/>
      <c r="E51" s="305" t="n"/>
      <c r="F51" s="305" t="n"/>
      <c r="G51" s="305" t="n"/>
      <c r="H51" s="305" t="n"/>
      <c r="I51" s="305" t="n"/>
      <c r="J51" s="305" t="n"/>
      <c r="K51" s="305" t="n"/>
      <c r="L51" s="305" t="n"/>
      <c r="M51" s="305" t="n"/>
      <c r="N51" s="305" t="n"/>
      <c r="O51" s="305" t="n"/>
      <c r="P51" s="305" t="n"/>
      <c r="Q51" s="305" t="n"/>
      <c r="R51" s="305" t="n"/>
      <c r="S51" s="305" t="n"/>
      <c r="T51" s="305" t="n"/>
      <c r="U51" s="305" t="n"/>
      <c r="V51" s="305" t="n"/>
      <c r="W51" s="305" t="n"/>
      <c r="X51" s="305" t="n"/>
      <c r="Y51" s="305" t="n"/>
      <c r="Z51" s="305" t="n"/>
      <c r="AA51" s="305" t="n"/>
      <c r="AB51" s="305" t="n"/>
      <c r="AC51" s="305" t="n"/>
      <c r="AD51" s="305" t="n"/>
      <c r="AE51" s="305" t="n"/>
      <c r="AF51" s="305" t="n"/>
      <c r="AG51" s="305" t="n"/>
      <c r="AH51" s="305" t="n"/>
      <c r="AI51" s="305" t="n"/>
      <c r="AJ51" s="305" t="n"/>
      <c r="AK51" s="305" t="n"/>
      <c r="AL51" s="305" t="n"/>
      <c r="AM51" s="305" t="n"/>
      <c r="AN51" s="305" t="n"/>
      <c r="AO51" s="305" t="n"/>
      <c r="AP51" s="305" t="n"/>
      <c r="AQ51" s="305" t="n"/>
      <c r="AR51" s="305" t="n"/>
      <c r="AS51" s="305" t="n"/>
      <c r="AT51" s="305" t="n"/>
      <c r="AU51" s="305" t="n"/>
      <c r="AV51" s="305" t="n"/>
      <c r="AW51" s="305" t="n"/>
      <c r="AX51" s="305" t="n"/>
      <c r="AY51" s="305" t="n"/>
      <c r="AZ51" s="305" t="n"/>
      <c r="BA51" s="305" t="n"/>
      <c r="BB51" s="305" t="n"/>
      <c r="BC51" s="305" t="n"/>
      <c r="BD51" s="305" t="n"/>
      <c r="BE51" s="305" t="n"/>
      <c r="BF51" s="305" t="n"/>
      <c r="BG51" s="305" t="n"/>
      <c r="BH51" s="305" t="n"/>
      <c r="BI51" s="305" t="n"/>
      <c r="BJ51" s="305" t="n"/>
      <c r="BK51" s="305" t="n"/>
      <c r="BL51" s="305" t="n"/>
      <c r="BM51" s="305" t="n"/>
      <c r="BN51" s="305" t="n"/>
      <c r="BO51" s="305" t="n"/>
      <c r="BP51" s="305" t="n"/>
      <c r="BQ51" s="305" t="n"/>
      <c r="BR51" s="305" t="n"/>
      <c r="BS51" s="305" t="n"/>
      <c r="BT51" s="305" t="n"/>
      <c r="BU51" s="305" t="n"/>
      <c r="BV51" s="305" t="n"/>
      <c r="BW51" s="305" t="n"/>
      <c r="BX51" s="305" t="n"/>
      <c r="BY51" s="305" t="n"/>
      <c r="BZ51" s="305" t="n"/>
      <c r="CA51" s="305" t="n"/>
      <c r="CB51" s="305" t="n"/>
      <c r="CC51" s="305" t="n"/>
      <c r="CD51" s="305" t="n"/>
      <c r="CE51" s="305" t="n"/>
      <c r="CF51" s="305" t="n"/>
      <c r="CG51" s="305" t="n"/>
      <c r="CH51" s="305" t="n"/>
      <c r="CI51" s="305" t="n"/>
      <c r="CJ51" s="305" t="n"/>
      <c r="CK51" s="305" t="n"/>
      <c r="CL51" s="305" t="n"/>
      <c r="CM51" s="305" t="n"/>
      <c r="CN51" s="305" t="n"/>
      <c r="CO51" s="305" t="n"/>
      <c r="CP51" s="305" t="n"/>
      <c r="CQ51" s="305" t="n"/>
      <c r="CR51" s="305" t="n"/>
      <c r="CS51" s="305" t="n"/>
      <c r="CT51" s="305" t="n"/>
      <c r="CU51" s="305" t="n"/>
      <c r="CV51" s="305" t="n"/>
      <c r="CW51" s="305" t="n"/>
      <c r="CX51" s="305" t="n"/>
      <c r="CY51" s="305" t="n"/>
    </row>
    <row r="52" hidden="1" outlineLevel="1" ht="12.75" customHeight="1" s="255">
      <c r="C52" s="305" t="inlineStr">
        <is>
          <t>Gerais &amp; Administrativas (%)</t>
        </is>
      </c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305" t="n"/>
      <c r="T52" s="305" t="n"/>
      <c r="U52" s="305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305" t="n"/>
      <c r="AE52" s="305" t="n"/>
      <c r="AF52" s="305" t="n"/>
      <c r="AG52" s="305" t="n"/>
      <c r="AH52" s="305" t="n"/>
      <c r="AI52" s="305" t="n"/>
      <c r="AJ52" s="305" t="n"/>
      <c r="AK52" s="305" t="n"/>
      <c r="AL52" s="305" t="n"/>
      <c r="AM52" s="305" t="n"/>
      <c r="AN52" s="305" t="n"/>
      <c r="AO52" s="305" t="n"/>
      <c r="AP52" s="305" t="n"/>
      <c r="AQ52" s="305" t="n"/>
      <c r="AR52" s="305" t="n"/>
      <c r="AS52" s="305" t="n"/>
      <c r="AT52" s="305" t="n"/>
      <c r="AU52" s="305" t="n"/>
      <c r="AV52" s="305" t="n"/>
      <c r="AW52" s="305" t="n"/>
      <c r="AX52" s="305" t="n"/>
      <c r="AY52" s="305" t="n"/>
      <c r="AZ52" s="305" t="n"/>
      <c r="BA52" s="305" t="n"/>
      <c r="BB52" s="305" t="n"/>
      <c r="BC52" s="305" t="n"/>
      <c r="BD52" s="305" t="n"/>
      <c r="BE52" s="305" t="n"/>
      <c r="BF52" s="305" t="n"/>
      <c r="BG52" s="305" t="n"/>
      <c r="BH52" s="305" t="n"/>
      <c r="BI52" s="305" t="n"/>
      <c r="BJ52" s="305" t="n"/>
      <c r="BK52" s="305" t="n"/>
      <c r="BL52" s="305" t="n"/>
      <c r="BM52" s="305" t="n"/>
      <c r="BN52" s="305" t="n"/>
      <c r="BO52" s="305" t="n"/>
      <c r="BP52" s="305" t="n"/>
      <c r="BQ52" s="305" t="n"/>
      <c r="BR52" s="305" t="n"/>
      <c r="BS52" s="305" t="n"/>
      <c r="BT52" s="305" t="n"/>
      <c r="BU52" s="305" t="n"/>
      <c r="BV52" s="305" t="n"/>
      <c r="BW52" s="305" t="n"/>
      <c r="BX52" s="305" t="n"/>
      <c r="BY52" s="305" t="n"/>
      <c r="BZ52" s="305" t="n"/>
      <c r="CA52" s="305" t="n"/>
      <c r="CB52" s="305" t="n"/>
      <c r="CC52" s="305" t="n"/>
      <c r="CD52" s="305" t="n"/>
      <c r="CE52" s="305" t="n"/>
      <c r="CF52" s="305" t="n"/>
      <c r="CG52" s="305" t="n"/>
      <c r="CH52" s="305" t="n"/>
      <c r="CI52" s="305" t="n"/>
      <c r="CJ52" s="305" t="n"/>
      <c r="CK52" s="305" t="n"/>
      <c r="CL52" s="305" t="n"/>
      <c r="CM52" s="305" t="n"/>
      <c r="CN52" s="305" t="n"/>
      <c r="CO52" s="305" t="n"/>
      <c r="CP52" s="305" t="n"/>
      <c r="CQ52" s="305" t="n"/>
      <c r="CR52" s="305" t="n"/>
      <c r="CS52" s="305" t="n"/>
      <c r="CT52" s="305" t="n"/>
      <c r="CU52" s="305" t="n"/>
      <c r="CV52" s="305" t="n"/>
      <c r="CW52" s="305" t="n"/>
      <c r="CX52" s="305" t="n"/>
      <c r="CY52" s="305" t="n"/>
    </row>
    <row r="53" hidden="1" outlineLevel="1" ht="12.75" customHeight="1" s="255">
      <c r="C53" s="305" t="inlineStr">
        <is>
          <t>Outras Receitas (Despesas) Operacionais, Líquidas (%)</t>
        </is>
      </c>
      <c r="D53" s="305" t="n"/>
      <c r="E53" s="305" t="n"/>
      <c r="F53" s="305" t="n"/>
      <c r="G53" s="305" t="n"/>
      <c r="H53" s="305" t="n"/>
      <c r="I53" s="305" t="n"/>
      <c r="J53" s="305" t="n"/>
      <c r="K53" s="305" t="n"/>
      <c r="L53" s="305" t="n"/>
      <c r="M53" s="305" t="n"/>
      <c r="N53" s="305" t="n"/>
      <c r="O53" s="305" t="n"/>
      <c r="P53" s="305" t="n"/>
      <c r="Q53" s="305" t="n"/>
      <c r="R53" s="305" t="n"/>
      <c r="S53" s="305" t="n"/>
      <c r="T53" s="305" t="n"/>
      <c r="U53" s="305" t="n"/>
      <c r="V53" s="305" t="n"/>
      <c r="W53" s="305" t="n"/>
      <c r="X53" s="305" t="n"/>
      <c r="Y53" s="305" t="n"/>
      <c r="Z53" s="305" t="n"/>
      <c r="AA53" s="305" t="n"/>
      <c r="AB53" s="305" t="n"/>
      <c r="AC53" s="305" t="n"/>
      <c r="AD53" s="305" t="n"/>
      <c r="AE53" s="305" t="n"/>
      <c r="AF53" s="305" t="n"/>
      <c r="AG53" s="305" t="n"/>
      <c r="AH53" s="305" t="n"/>
      <c r="AI53" s="305" t="n"/>
      <c r="AJ53" s="305" t="n"/>
      <c r="AK53" s="305" t="n"/>
      <c r="AL53" s="305" t="n"/>
      <c r="AM53" s="305" t="n"/>
      <c r="AN53" s="305" t="n"/>
      <c r="AO53" s="305" t="n"/>
      <c r="AP53" s="305" t="n"/>
      <c r="AQ53" s="305" t="n"/>
      <c r="AR53" s="305" t="n"/>
      <c r="AS53" s="305" t="n"/>
      <c r="AT53" s="305" t="n"/>
      <c r="AU53" s="305" t="n"/>
      <c r="AV53" s="305" t="n"/>
      <c r="AW53" s="305" t="n"/>
      <c r="AX53" s="305" t="n"/>
      <c r="AY53" s="305" t="n"/>
      <c r="AZ53" s="305" t="n"/>
      <c r="BA53" s="305" t="n"/>
      <c r="BB53" s="305" t="n"/>
      <c r="BC53" s="305" t="n"/>
      <c r="BD53" s="305" t="n"/>
      <c r="BE53" s="305" t="n"/>
      <c r="BF53" s="305" t="n"/>
      <c r="BG53" s="305" t="n"/>
      <c r="BH53" s="305" t="n"/>
      <c r="BI53" s="305" t="n"/>
      <c r="BJ53" s="305" t="n"/>
      <c r="BK53" s="305" t="n"/>
      <c r="BL53" s="305" t="n"/>
      <c r="BM53" s="305" t="n"/>
      <c r="BN53" s="305" t="n"/>
      <c r="BO53" s="305" t="n"/>
      <c r="BP53" s="305" t="n"/>
      <c r="BQ53" s="305" t="n"/>
      <c r="BR53" s="305" t="n"/>
      <c r="BS53" s="305" t="n"/>
      <c r="BT53" s="305" t="n"/>
      <c r="BU53" s="305" t="n"/>
      <c r="BV53" s="305" t="n"/>
      <c r="BW53" s="305" t="n"/>
      <c r="BX53" s="305" t="n"/>
      <c r="BY53" s="305" t="n"/>
      <c r="BZ53" s="305" t="n"/>
      <c r="CA53" s="305" t="n"/>
      <c r="CB53" s="305" t="n"/>
      <c r="CC53" s="305" t="n"/>
      <c r="CD53" s="305" t="n"/>
      <c r="CE53" s="305" t="n"/>
      <c r="CF53" s="305" t="n"/>
      <c r="CG53" s="305" t="n"/>
      <c r="CH53" s="305" t="n"/>
      <c r="CI53" s="305" t="n"/>
      <c r="CJ53" s="305" t="n"/>
      <c r="CK53" s="305" t="n"/>
      <c r="CL53" s="305" t="n"/>
      <c r="CM53" s="305" t="n"/>
      <c r="CN53" s="305" t="n"/>
      <c r="CO53" s="305" t="n"/>
      <c r="CP53" s="305" t="n"/>
      <c r="CQ53" s="305" t="n"/>
      <c r="CR53" s="305" t="n"/>
      <c r="CS53" s="305" t="n"/>
      <c r="CT53" s="305" t="n"/>
      <c r="CU53" s="305" t="n"/>
      <c r="CV53" s="305" t="n"/>
      <c r="CW53" s="305" t="n"/>
      <c r="CX53" s="305" t="n"/>
      <c r="CY53" s="305" t="n"/>
    </row>
    <row r="54" hidden="1" outlineLevel="1" ht="12.75" customHeight="1" s="255">
      <c r="C54" s="305" t="n"/>
      <c r="D54" s="305" t="n"/>
      <c r="E54" s="305" t="n"/>
      <c r="F54" s="305" t="n"/>
      <c r="G54" s="305" t="n"/>
      <c r="H54" s="305" t="n"/>
      <c r="I54" s="305" t="n"/>
      <c r="J54" s="305" t="n"/>
      <c r="K54" s="305" t="n"/>
      <c r="L54" s="305" t="n"/>
      <c r="M54" s="305" t="n"/>
      <c r="N54" s="305" t="n"/>
      <c r="O54" s="305" t="n"/>
      <c r="P54" s="305" t="n"/>
      <c r="Q54" s="305" t="n"/>
      <c r="R54" s="305" t="n"/>
      <c r="S54" s="305" t="n"/>
      <c r="T54" s="305" t="n"/>
      <c r="U54" s="305" t="n"/>
      <c r="V54" s="305" t="n"/>
      <c r="W54" s="305" t="n"/>
      <c r="X54" s="305" t="n"/>
      <c r="Y54" s="305" t="n"/>
      <c r="Z54" s="305" t="n"/>
      <c r="AA54" s="305" t="n"/>
      <c r="AB54" s="305" t="n"/>
      <c r="AC54" s="305" t="n"/>
      <c r="AD54" s="305" t="n"/>
      <c r="AE54" s="305" t="n"/>
      <c r="AF54" s="305" t="n"/>
      <c r="AG54" s="305" t="n"/>
      <c r="AH54" s="305" t="n"/>
      <c r="AI54" s="305" t="n"/>
      <c r="AJ54" s="305" t="n"/>
      <c r="AK54" s="305" t="n"/>
      <c r="AL54" s="305" t="n"/>
      <c r="AM54" s="305" t="n"/>
      <c r="AN54" s="305" t="n"/>
      <c r="AO54" s="305" t="n"/>
      <c r="AP54" s="305" t="n"/>
      <c r="AQ54" s="305" t="n"/>
      <c r="AR54" s="305" t="n"/>
      <c r="AS54" s="305" t="n"/>
      <c r="AT54" s="305" t="n"/>
      <c r="AU54" s="305" t="n"/>
      <c r="AV54" s="305" t="n"/>
      <c r="AW54" s="305" t="n"/>
      <c r="AX54" s="305" t="n"/>
      <c r="AY54" s="305" t="n"/>
      <c r="AZ54" s="305" t="n"/>
      <c r="BA54" s="305" t="n"/>
      <c r="BB54" s="305" t="n"/>
      <c r="BC54" s="305" t="n"/>
      <c r="BD54" s="305" t="n"/>
      <c r="BE54" s="305" t="n"/>
      <c r="BF54" s="305" t="n"/>
      <c r="BG54" s="305" t="n"/>
      <c r="BH54" s="305" t="n"/>
      <c r="BI54" s="305" t="n"/>
      <c r="BJ54" s="305" t="n"/>
      <c r="BK54" s="305" t="n"/>
      <c r="BL54" s="305" t="n"/>
      <c r="BM54" s="305" t="n"/>
      <c r="BN54" s="305" t="n"/>
      <c r="BO54" s="305" t="n"/>
      <c r="BP54" s="305" t="n"/>
      <c r="BQ54" s="305" t="n"/>
      <c r="BR54" s="305" t="n"/>
      <c r="BS54" s="305" t="n"/>
      <c r="BT54" s="305" t="n"/>
      <c r="BU54" s="305" t="n"/>
      <c r="BV54" s="305" t="n"/>
      <c r="BW54" s="305" t="n"/>
      <c r="BX54" s="305" t="n"/>
      <c r="BY54" s="305" t="n"/>
      <c r="BZ54" s="305" t="n"/>
      <c r="CA54" s="305" t="n"/>
      <c r="CB54" s="305" t="n"/>
      <c r="CC54" s="305" t="n"/>
      <c r="CD54" s="305" t="n"/>
      <c r="CE54" s="305" t="n"/>
      <c r="CF54" s="305" t="n"/>
      <c r="CG54" s="305" t="n"/>
      <c r="CH54" s="305" t="n"/>
      <c r="CI54" s="305" t="n"/>
      <c r="CJ54" s="305" t="n"/>
      <c r="CK54" s="305" t="n"/>
      <c r="CL54" s="305" t="n"/>
      <c r="CM54" s="305" t="n"/>
      <c r="CN54" s="305" t="n"/>
      <c r="CO54" s="305" t="n"/>
      <c r="CP54" s="305" t="n"/>
      <c r="CQ54" s="305" t="n"/>
      <c r="CR54" s="305" t="n"/>
      <c r="CS54" s="305" t="n"/>
      <c r="CT54" s="305" t="n"/>
      <c r="CU54" s="305" t="n"/>
      <c r="CV54" s="305" t="n"/>
      <c r="CW54" s="305" t="n"/>
      <c r="CX54" s="305" t="n"/>
      <c r="CY54" s="305" t="n"/>
    </row>
    <row r="55" ht="12.75" customFormat="1" customHeight="1" s="287">
      <c r="A55" s="288" t="n"/>
      <c r="B55" s="259" t="n"/>
      <c r="C55" s="275" t="inlineStr">
        <is>
          <t>EBITDA</t>
        </is>
      </c>
      <c r="D55" s="276">
        <f>SUM(D15,D40,D44)</f>
        <v>0</v>
      </c>
      <c r="E55" s="276">
        <f>SUM(E15,E40,E44)</f>
        <v>0</v>
      </c>
      <c r="F55" s="276">
        <f>SUM(F15,F40,F44)</f>
        <v>0</v>
      </c>
      <c r="G55" s="276">
        <f>SUM(G15,G40,G44)</f>
        <v>0</v>
      </c>
      <c r="H55" s="276">
        <f>SUM(D55:G55)</f>
        <v>0</v>
      </c>
      <c r="I55" s="276">
        <f>SUM(I15,I40,I44)</f>
        <v>0</v>
      </c>
      <c r="J55" s="276">
        <f>SUM(J15,J40,J44)</f>
        <v>0</v>
      </c>
      <c r="K55" s="276">
        <f>SUM(K15,K40,K44)</f>
        <v>0</v>
      </c>
      <c r="L55" s="276">
        <f>SUM(L15,L40,L44)</f>
        <v>0</v>
      </c>
      <c r="M55" s="276">
        <f>SUM(I55:L55)</f>
        <v>0</v>
      </c>
      <c r="N55" s="276">
        <f>SUM(N15,N40,N44)</f>
        <v>0</v>
      </c>
      <c r="O55" s="276">
        <f>SUM(O15,O40,O44)</f>
        <v>0</v>
      </c>
      <c r="P55" s="276">
        <f>SUM(P15,P40,P44)</f>
        <v>0</v>
      </c>
      <c r="Q55" s="276">
        <f>SUM(Q15,Q40,Q44)</f>
        <v>0</v>
      </c>
      <c r="R55" s="276">
        <f>SUM(N55:Q55)</f>
        <v>0</v>
      </c>
      <c r="S55" s="276">
        <f>SUM(S15,S40,S44)</f>
        <v>0</v>
      </c>
      <c r="T55" s="276">
        <f>SUM(T15,T40,T44)</f>
        <v>0</v>
      </c>
      <c r="U55" s="276">
        <f>SUM(U15,U40,U44)</f>
        <v>0</v>
      </c>
      <c r="V55" s="276">
        <f>SUM(V15,V40,V44)</f>
        <v>0</v>
      </c>
      <c r="W55" s="276">
        <f>SUM(S55:V55)</f>
        <v>0</v>
      </c>
      <c r="X55" s="276">
        <f>SUM(X15,X40,X44)</f>
        <v>96.357</v>
      </c>
      <c r="Y55" s="276">
        <f>SUM(Y15,Y40,Y44)</f>
        <v>242.181</v>
      </c>
      <c r="Z55" s="276">
        <f>SUM(Z15,Z40,Z44)</f>
        <v>371.14</v>
      </c>
      <c r="AA55" s="276">
        <f>SUM(AA15,AA40,AA44)</f>
        <v>477.322</v>
      </c>
      <c r="AB55" s="276">
        <f>SUM(X55:AA55)</f>
        <v>1187</v>
      </c>
      <c r="AC55" s="276">
        <f>SUM(AC15,AC40,AC44)</f>
        <v>416.497</v>
      </c>
      <c r="AD55" s="276">
        <f>SUM(AD15,AD40,AD44)</f>
        <v>578.481</v>
      </c>
      <c r="AE55" s="276">
        <f>SUM(AE15,AE40,AE44)</f>
        <v>682.329</v>
      </c>
      <c r="AF55" s="276">
        <f>SUM(AF15,AF40,AF44)</f>
        <v>730.954</v>
      </c>
      <c r="AG55" s="276">
        <f>SUM(AC55:AF55)</f>
        <v>2408.261</v>
      </c>
      <c r="AH55" s="276">
        <f>SUM(AH15,AH40,AH44)</f>
        <v>1003</v>
      </c>
      <c r="AI55" s="276">
        <f>SUM(AI15,AI40,AI44)</f>
        <v>1344</v>
      </c>
      <c r="AJ55" s="276">
        <f>SUM(AJ15,AJ40,AJ44)</f>
        <v>0</v>
      </c>
      <c r="AK55" s="276">
        <f>SUM(AK15,AK40,AK44)</f>
        <v>0</v>
      </c>
      <c r="AL55" s="276">
        <f>SUM(AH55:AK55)</f>
        <v>2347</v>
      </c>
      <c r="AM55" s="276">
        <f>SUM(AM15,AM40,AM44)</f>
        <v>0</v>
      </c>
      <c r="AN55" s="276">
        <f>SUM(AN15,AN40,AN44)</f>
        <v>0</v>
      </c>
      <c r="AO55" s="276">
        <f>SUM(AO15,AO40,AO44)</f>
        <v>0</v>
      </c>
      <c r="AP55" s="276">
        <f>SUM(AP15,AP40,AP44)</f>
        <v>0</v>
      </c>
      <c r="AQ55" s="276">
        <f>SUM(AM55:AP55)</f>
        <v>0</v>
      </c>
      <c r="AR55" s="276">
        <f>SUM(AR15,AR40,AR44)</f>
        <v>0</v>
      </c>
      <c r="AS55" s="276">
        <f>SUM(AS15,AS40,AS44)</f>
        <v>0</v>
      </c>
      <c r="AT55" s="276">
        <f>SUM(AT15,AT40,AT44)</f>
        <v>0</v>
      </c>
      <c r="AU55" s="276">
        <f>SUM(AU15,AU40,AU44)</f>
        <v>0</v>
      </c>
      <c r="AV55" s="276">
        <f>SUM(AR55:AU55)</f>
        <v>0</v>
      </c>
      <c r="AW55" s="276">
        <f>SUM(AW15,AW40,AW44)</f>
        <v>0</v>
      </c>
      <c r="AX55" s="276">
        <f>SUM(AX15,AX40,AX44)</f>
        <v>0</v>
      </c>
      <c r="AY55" s="276">
        <f>SUM(AY15,AY40,AY44)</f>
        <v>0</v>
      </c>
      <c r="AZ55" s="276">
        <f>SUM(AZ15,AZ40,AZ44)</f>
        <v>0</v>
      </c>
      <c r="BA55" s="276">
        <f>SUM(AW55:AZ55)</f>
        <v>0</v>
      </c>
      <c r="BB55" s="276">
        <f>SUM(BB15,BB40,BB44)</f>
        <v>0</v>
      </c>
      <c r="BC55" s="276">
        <f>SUM(BC15,BC40,BC44)</f>
        <v>0</v>
      </c>
      <c r="BD55" s="276">
        <f>SUM(BD15,BD40,BD44)</f>
        <v>0</v>
      </c>
      <c r="BE55" s="276">
        <f>SUM(BE15,BE40,BE44)</f>
        <v>0</v>
      </c>
      <c r="BF55" s="276">
        <f>SUM(BB55:BE55)</f>
        <v>0</v>
      </c>
      <c r="BG55" s="276">
        <f>SUM(BG15,BG40,BG44)</f>
        <v>0</v>
      </c>
      <c r="BH55" s="276">
        <f>SUM(BH15,BH40,BH44)</f>
        <v>0</v>
      </c>
      <c r="BI55" s="276">
        <f>SUM(BI15,BI40,BI44)</f>
        <v>0</v>
      </c>
      <c r="BJ55" s="276">
        <f>SUM(BJ15,BJ40,BJ44)</f>
        <v>0</v>
      </c>
      <c r="BK55" s="276">
        <f>SUM(BG55:BJ55)</f>
        <v>0</v>
      </c>
      <c r="BL55" s="276">
        <f>SUM(BL15,BL40,BL44)</f>
        <v>0</v>
      </c>
      <c r="BM55" s="276">
        <f>SUM(BM15,BM40,BM44)</f>
        <v>0</v>
      </c>
      <c r="BN55" s="276">
        <f>SUM(BN15,BN40,BN44)</f>
        <v>0</v>
      </c>
      <c r="BO55" s="276">
        <f>SUM(BO15,BO40,BO44)</f>
        <v>0</v>
      </c>
      <c r="BP55" s="276">
        <f>SUM(BL55:BO55)</f>
        <v>0</v>
      </c>
      <c r="BQ55" s="276">
        <f>SUM(BQ15,BQ40,BQ44)</f>
        <v>0</v>
      </c>
      <c r="BR55" s="276">
        <f>SUM(BR15,BR40,BR44)</f>
        <v>0</v>
      </c>
      <c r="BS55" s="276">
        <f>SUM(BS15,BS40,BS44)</f>
        <v>0</v>
      </c>
      <c r="BT55" s="276">
        <f>SUM(BT15,BT40,BT44)</f>
        <v>0</v>
      </c>
      <c r="BU55" s="276">
        <f>SUM(BQ55:BT55)</f>
        <v>0</v>
      </c>
      <c r="BV55" s="276">
        <f>SUM(BV15,BV40,BV44)</f>
        <v>0</v>
      </c>
      <c r="BW55" s="276">
        <f>SUM(BW15,BW40,BW44)</f>
        <v>0</v>
      </c>
      <c r="BX55" s="276">
        <f>SUM(BX15,BX40,BX44)</f>
        <v>0</v>
      </c>
      <c r="BY55" s="276">
        <f>SUM(BY15,BY40,BY44)</f>
        <v>0</v>
      </c>
      <c r="BZ55" s="276">
        <f>SUM(BV55:BY55)</f>
        <v>0</v>
      </c>
      <c r="CA55" s="276">
        <f>SUM(CA15,CA40,CA44)</f>
        <v>0</v>
      </c>
      <c r="CB55" s="276">
        <f>SUM(CB15,CB40,CB44)</f>
        <v>0</v>
      </c>
      <c r="CC55" s="276">
        <f>SUM(CC15,CC40,CC44)</f>
        <v>0</v>
      </c>
      <c r="CD55" s="276">
        <f>SUM(CD15,CD40,CD44)</f>
        <v>0</v>
      </c>
      <c r="CE55" s="276">
        <f>SUM(CA55:CD55)</f>
        <v>0</v>
      </c>
      <c r="CF55" s="276">
        <f>SUM(CF15,CF40,CF44)</f>
        <v>0</v>
      </c>
      <c r="CG55" s="276">
        <f>SUM(CG15,CG40,CG44)</f>
        <v>0</v>
      </c>
      <c r="CH55" s="276">
        <f>SUM(CH15,CH40,CH44)</f>
        <v>0</v>
      </c>
      <c r="CI55" s="276">
        <f>SUM(CI15,CI40,CI44)</f>
        <v>0</v>
      </c>
      <c r="CJ55" s="276">
        <f>SUM(CF55:CI55)</f>
        <v>0</v>
      </c>
      <c r="CK55" s="276">
        <f>SUM(CK15,CK40,CK44)</f>
        <v>0</v>
      </c>
      <c r="CL55" s="276">
        <f>SUM(CL15,CL40,CL44)</f>
        <v>0</v>
      </c>
      <c r="CM55" s="276">
        <f>SUM(CM15,CM40,CM44)</f>
        <v>0</v>
      </c>
      <c r="CN55" s="276">
        <f>SUM(CN15,CN40,CN44)</f>
        <v>0</v>
      </c>
      <c r="CO55" s="276">
        <f>SUM(CK55:CN55)</f>
        <v>0</v>
      </c>
      <c r="CP55" s="276">
        <f>SUM(CP15,CP40,CP44)</f>
        <v>0</v>
      </c>
      <c r="CQ55" s="276">
        <f>SUM(CQ15,CQ40,CQ44)</f>
        <v>0</v>
      </c>
      <c r="CR55" s="276">
        <f>SUM(CR15,CR40,CR44)</f>
        <v>0</v>
      </c>
      <c r="CS55" s="276">
        <f>SUM(CS15,CS40,CS44)</f>
        <v>0</v>
      </c>
      <c r="CT55" s="276">
        <f>SUM(CP55:CS55)</f>
        <v>0</v>
      </c>
      <c r="CU55" s="276">
        <f>SUM(CU15,CU40,CU44)</f>
        <v>0</v>
      </c>
      <c r="CV55" s="276">
        <f>SUM(CV15,CV40,CV44)</f>
        <v>0</v>
      </c>
      <c r="CW55" s="276">
        <f>SUM(CW15,CW40,CW44)</f>
        <v>0</v>
      </c>
      <c r="CX55" s="276">
        <f>SUM(CX15,CX40,CX44)</f>
        <v>0</v>
      </c>
      <c r="CY55" s="276">
        <f>SUM(CU55:CX55)</f>
        <v>0</v>
      </c>
    </row>
    <row r="56" ht="13.5" customHeight="1" s="255">
      <c r="C56" s="269" t="inlineStr">
        <is>
          <t>D&amp;A</t>
        </is>
      </c>
      <c r="D56" s="301">
        <f>INDEX('Inputs (2)'!$D$7:$AL$7,MATCH(D$7,'Inputs (2)'!$D$2:$AL$2,0))</f>
        <v>0</v>
      </c>
      <c r="E56" s="301">
        <f>INDEX('Inputs (2)'!$D$7:$AL$7,MATCH(E$7,'Inputs (2)'!$D$2:$AL$2,0))</f>
        <v>0</v>
      </c>
      <c r="F56" s="301">
        <f>INDEX('Inputs (2)'!$D$7:$AL$7,MATCH(F$7,'Inputs (2)'!$D$2:$AL$2,0))</f>
        <v>0</v>
      </c>
      <c r="G56" s="301">
        <f>INDEX('Inputs (2)'!$D$7:$AL$7,MATCH(G$7,'Inputs (2)'!$D$2:$AL$2,0))</f>
        <v>0</v>
      </c>
      <c r="H56" s="268">
        <f>SUM(D56:G56)</f>
        <v>0</v>
      </c>
      <c r="I56" s="301">
        <f>INDEX('Inputs (2)'!$D$7:$AL$7,MATCH(I$7,'Inputs (2)'!$D$2:$AL$2,0))</f>
        <v>0</v>
      </c>
      <c r="J56" s="301">
        <f>INDEX('Inputs (2)'!$D$7:$AL$7,MATCH(J$7,'Inputs (2)'!$D$2:$AL$2,0))</f>
        <v>0</v>
      </c>
      <c r="K56" s="301">
        <f>INDEX('Inputs (2)'!$D$7:$AL$7,MATCH(K$7,'Inputs (2)'!$D$2:$AL$2,0))</f>
        <v>0</v>
      </c>
      <c r="L56" s="301">
        <f>INDEX('Inputs (2)'!$D$7:$AL$7,MATCH(L$7,'Inputs (2)'!$D$2:$AL$2,0))</f>
        <v>0</v>
      </c>
      <c r="M56" s="268">
        <f>SUM(I56:L56)</f>
        <v>0</v>
      </c>
      <c r="N56" s="301">
        <f>INDEX('Inputs (2)'!$D$7:$AL$7,MATCH(N$7,'Inputs (2)'!$D$2:$AL$2,0))</f>
        <v>0</v>
      </c>
      <c r="O56" s="301">
        <f>INDEX('Inputs (2)'!$D$7:$AL$7,MATCH(O$7,'Inputs (2)'!$D$2:$AL$2,0))</f>
        <v>0</v>
      </c>
      <c r="P56" s="301">
        <f>INDEX('Inputs (2)'!$D$7:$AL$7,MATCH(P$7,'Inputs (2)'!$D$2:$AL$2,0))</f>
        <v>0</v>
      </c>
      <c r="Q56" s="301">
        <f>INDEX('Inputs (2)'!$D$7:$AL$7,MATCH(Q$7,'Inputs (2)'!$D$2:$AL$2,0))</f>
        <v>0</v>
      </c>
      <c r="R56" s="268">
        <f>SUM(N56:Q56)</f>
        <v>0</v>
      </c>
      <c r="S56" s="301">
        <f>INDEX('Inputs (2)'!$D$7:$AL$7,MATCH(S$7,'Inputs (2)'!$D$2:$AL$2,0))</f>
        <v>0</v>
      </c>
      <c r="T56" s="301">
        <f>INDEX('Inputs (2)'!$D$7:$AL$7,MATCH(T$7,'Inputs (2)'!$D$2:$AL$2,0))</f>
        <v>0</v>
      </c>
      <c r="U56" s="301">
        <f>INDEX('Inputs (2)'!$D$7:$AL$7,MATCH(U$7,'Inputs (2)'!$D$2:$AL$2,0))</f>
        <v>0</v>
      </c>
      <c r="V56" s="301">
        <f>INDEX('Inputs (2)'!$D$7:$AL$7,MATCH(V$7,'Inputs (2)'!$D$2:$AL$2,0))</f>
        <v>0</v>
      </c>
      <c r="W56" s="268">
        <f>SUM(S56:V56)</f>
        <v>0</v>
      </c>
      <c r="X56" s="301">
        <f>INDEX('Inputs (2)'!$D$7:$AL$7,MATCH(X$7,'Inputs (2)'!$D$2:$AL$2,0))</f>
        <v>-79.51</v>
      </c>
      <c r="Y56" s="301">
        <f>INDEX('Inputs (2)'!$D$7:$AL$7,MATCH(Y$7,'Inputs (2)'!$D$2:$AL$2,0))</f>
        <v>-164.46</v>
      </c>
      <c r="Z56" s="301">
        <f>INDEX('Inputs (2)'!$D$7:$AL$7,MATCH(Z$7,'Inputs (2)'!$D$2:$AL$2,0))</f>
        <v>-254.024</v>
      </c>
      <c r="AA56" s="301">
        <f>INDEX('Inputs (2)'!$D$7:$AL$7,MATCH(AA$7,'Inputs (2)'!$D$2:$AL$2,0))</f>
        <v>-365.006</v>
      </c>
      <c r="AB56" s="268">
        <f>SUM(X56:AA56)</f>
        <v>-863</v>
      </c>
      <c r="AC56" s="301">
        <f>INDEX('Inputs (2)'!$D$7:$AL$7,MATCH(AC$7,'Inputs (2)'!$D$2:$AL$2,0))</f>
        <v>-443.497</v>
      </c>
      <c r="AD56" s="301">
        <f>INDEX('Inputs (2)'!$D$7:$AL$7,MATCH(AD$7,'Inputs (2)'!$D$2:$AL$2,0))</f>
        <v>-559.481</v>
      </c>
      <c r="AE56" s="301">
        <f>INDEX('Inputs (2)'!$D$7:$AL$7,MATCH(AE$7,'Inputs (2)'!$D$2:$AL$2,0))</f>
        <v>-630.479</v>
      </c>
      <c r="AF56" s="301">
        <f>INDEX('Inputs (2)'!$D$7:$AL$7,MATCH(AF$7,'Inputs (2)'!$D$2:$AL$2,0))</f>
        <v>-820.543</v>
      </c>
      <c r="AG56" s="268">
        <f>SUM(AC56:AF56)</f>
        <v>-2454</v>
      </c>
      <c r="AH56" s="268">
        <f>INDEX('Inputs (2)'!$D$7:$AL$7,MATCH(AH$7,'Inputs (2)'!$D$2:$AL$2,0))</f>
        <v>-1147</v>
      </c>
      <c r="AI56" s="268">
        <f>INDEX('Inputs (2)'!$D$7:$AL$7,MATCH(AI$7,'Inputs (2)'!$D$2:$AL$2,0))</f>
        <v>-1393</v>
      </c>
      <c r="AJ56" s="268">
        <f>-AJ57*AJ15</f>
        <v>0</v>
      </c>
      <c r="AK56" s="268">
        <f>-AK57*AK15</f>
        <v>0</v>
      </c>
      <c r="AL56" s="268">
        <f>SUM(AH56:AK56)</f>
        <v>-2540</v>
      </c>
      <c r="AM56" s="268">
        <f>-AM57*AM15</f>
        <v>0</v>
      </c>
      <c r="AN56" s="268">
        <f>-AN57*AN15</f>
        <v>0</v>
      </c>
      <c r="AO56" s="268">
        <f>-AO57*AO15</f>
        <v>0</v>
      </c>
      <c r="AP56" s="268">
        <f>-AP57*AP15</f>
        <v>0</v>
      </c>
      <c r="AQ56" s="268">
        <f>SUM(AM56:AP56)</f>
        <v>0</v>
      </c>
      <c r="AR56" s="268">
        <f>-AR57*AR15</f>
        <v>0</v>
      </c>
      <c r="AS56" s="268">
        <f>-AS57*AS15</f>
        <v>0</v>
      </c>
      <c r="AT56" s="268">
        <f>-AT57*AT15</f>
        <v>0</v>
      </c>
      <c r="AU56" s="268">
        <f>-AU57*AU15</f>
        <v>0</v>
      </c>
      <c r="AV56" s="268">
        <f>SUM(AR56:AU56)</f>
        <v>0</v>
      </c>
      <c r="AW56" s="268">
        <f>-AW57*AW15</f>
        <v>0</v>
      </c>
      <c r="AX56" s="268">
        <f>-AX57*AX15</f>
        <v>0</v>
      </c>
      <c r="AY56" s="268">
        <f>-AY57*AY15</f>
        <v>0</v>
      </c>
      <c r="AZ56" s="268">
        <f>-AZ57*AZ15</f>
        <v>0</v>
      </c>
      <c r="BA56" s="268">
        <f>SUM(AW56:AZ56)</f>
        <v>0</v>
      </c>
      <c r="BB56" s="268">
        <f>-BB57*BB15</f>
        <v>0</v>
      </c>
      <c r="BC56" s="268">
        <f>-BC57*BC15</f>
        <v>0</v>
      </c>
      <c r="BD56" s="268">
        <f>-BD57*BD15</f>
        <v>0</v>
      </c>
      <c r="BE56" s="268">
        <f>-BE57*BE15</f>
        <v>0</v>
      </c>
      <c r="BF56" s="268">
        <f>SUM(BB56:BE56)</f>
        <v>0</v>
      </c>
      <c r="BG56" s="268">
        <f>-BG57*BG15</f>
        <v>0</v>
      </c>
      <c r="BH56" s="268">
        <f>-BH57*BH15</f>
        <v>0</v>
      </c>
      <c r="BI56" s="268">
        <f>-BI57*BI15</f>
        <v>0</v>
      </c>
      <c r="BJ56" s="268">
        <f>-BJ57*BJ15</f>
        <v>0</v>
      </c>
      <c r="BK56" s="268">
        <f>SUM(BG56:BJ56)</f>
        <v>0</v>
      </c>
      <c r="BL56" s="268">
        <f>-BL57*BL15</f>
        <v>0</v>
      </c>
      <c r="BM56" s="268">
        <f>-BM57*BM15</f>
        <v>0</v>
      </c>
      <c r="BN56" s="268">
        <f>-BN57*BN15</f>
        <v>0</v>
      </c>
      <c r="BO56" s="268">
        <f>-BO57*BO15</f>
        <v>0</v>
      </c>
      <c r="BP56" s="268">
        <f>SUM(BL56:BO56)</f>
        <v>0</v>
      </c>
      <c r="BQ56" s="268">
        <f>-BQ57*BQ15</f>
        <v>0</v>
      </c>
      <c r="BR56" s="268">
        <f>-BR57*BR15</f>
        <v>0</v>
      </c>
      <c r="BS56" s="268">
        <f>-BS57*BS15</f>
        <v>0</v>
      </c>
      <c r="BT56" s="268">
        <f>-BT57*BT15</f>
        <v>0</v>
      </c>
      <c r="BU56" s="268">
        <f>SUM(BQ56:BT56)</f>
        <v>0</v>
      </c>
      <c r="BV56" s="268">
        <f>-BV57*BV15</f>
        <v>0</v>
      </c>
      <c r="BW56" s="268">
        <f>-BW57*BW15</f>
        <v>0</v>
      </c>
      <c r="BX56" s="268">
        <f>-BX57*BX15</f>
        <v>0</v>
      </c>
      <c r="BY56" s="268">
        <f>-BY57*BY15</f>
        <v>0</v>
      </c>
      <c r="BZ56" s="268">
        <f>SUM(BV56:BY56)</f>
        <v>0</v>
      </c>
      <c r="CA56" s="268">
        <f>-CA57*CA15</f>
        <v>0</v>
      </c>
      <c r="CB56" s="268">
        <f>-CB57*CB15</f>
        <v>0</v>
      </c>
      <c r="CC56" s="268">
        <f>-CC57*CC15</f>
        <v>0</v>
      </c>
      <c r="CD56" s="268">
        <f>-CD57*CD15</f>
        <v>0</v>
      </c>
      <c r="CE56" s="268">
        <f>SUM(CA56:CD56)</f>
        <v>0</v>
      </c>
      <c r="CF56" s="268">
        <f>-CF57*CF15</f>
        <v>0</v>
      </c>
      <c r="CG56" s="268">
        <f>-CG57*CG15</f>
        <v>0</v>
      </c>
      <c r="CH56" s="268">
        <f>-CH57*CH15</f>
        <v>0</v>
      </c>
      <c r="CI56" s="268">
        <f>-CI57*CI15</f>
        <v>0</v>
      </c>
      <c r="CJ56" s="268">
        <f>SUM(CF56:CI56)</f>
        <v>0</v>
      </c>
      <c r="CK56" s="268">
        <f>-CK57*CK15</f>
        <v>0</v>
      </c>
      <c r="CL56" s="268">
        <f>-CL57*CL15</f>
        <v>0</v>
      </c>
      <c r="CM56" s="268">
        <f>-CM57*CM15</f>
        <v>0</v>
      </c>
      <c r="CN56" s="268">
        <f>-CN57*CN15</f>
        <v>0</v>
      </c>
      <c r="CO56" s="268">
        <f>SUM(CK56:CN56)</f>
        <v>0</v>
      </c>
      <c r="CP56" s="268">
        <f>-CP57*CP15</f>
        <v>0</v>
      </c>
      <c r="CQ56" s="268">
        <f>-CQ57*CQ15</f>
        <v>0</v>
      </c>
      <c r="CR56" s="268">
        <f>-CR57*CR15</f>
        <v>0</v>
      </c>
      <c r="CS56" s="268">
        <f>-CS57*CS15</f>
        <v>0</v>
      </c>
      <c r="CT56" s="268">
        <f>SUM(CP56:CS56)</f>
        <v>0</v>
      </c>
      <c r="CU56" s="268">
        <f>-CU57*CU15</f>
        <v>0</v>
      </c>
      <c r="CV56" s="268">
        <f>-CV57*CV15</f>
        <v>0</v>
      </c>
      <c r="CW56" s="268">
        <f>-CW57*CW15</f>
        <v>0</v>
      </c>
      <c r="CX56" s="268">
        <f>-CX57*CX15</f>
        <v>0</v>
      </c>
      <c r="CY56" s="268">
        <f>SUM(CU56:CX56)</f>
        <v>0</v>
      </c>
    </row>
    <row r="57" hidden="1" outlineLevel="1" ht="12.75" customFormat="1" customHeight="1" s="308">
      <c r="A57" s="309" t="n"/>
      <c r="B57" s="309" t="n"/>
      <c r="C57" s="310" t="inlineStr">
        <is>
          <t>% of Revenue</t>
        </is>
      </c>
      <c r="D57" s="309" t="str">
        <f>IFERROR(-D56/D15,"")</f>
        <v/>
      </c>
      <c r="E57" s="309" t="str">
        <f>IFERROR(-E56/E15,"")</f>
        <v/>
      </c>
      <c r="F57" s="309" t="str">
        <f>IFERROR(-F56/F15,"")</f>
        <v/>
      </c>
      <c r="G57" s="309" t="str">
        <f>IFERROR(-G56/G15,"")</f>
        <v/>
      </c>
      <c r="H57" s="309" t="n"/>
      <c r="I57" s="309" t="str">
        <f>IFERROR(-I56/I15,"")</f>
        <v/>
      </c>
      <c r="J57" s="309" t="str">
        <f>IFERROR(-J56/J15,"")</f>
        <v/>
      </c>
      <c r="K57" s="309" t="str">
        <f>IFERROR(-K56/K15,"")</f>
        <v/>
      </c>
      <c r="L57" s="309" t="str">
        <f>IFERROR(-L56/L15,"")</f>
        <v/>
      </c>
      <c r="M57" s="309" t="n"/>
      <c r="N57" s="309" t="str">
        <f>IFERROR(-N56/N15,"")</f>
        <v/>
      </c>
      <c r="O57" s="309" t="str">
        <f>IFERROR(-O56/O15,"")</f>
        <v/>
      </c>
      <c r="P57" s="309" t="str">
        <f>IFERROR(-P56/P15,"")</f>
        <v/>
      </c>
      <c r="Q57" s="309" t="str">
        <f>IFERROR(-Q56/Q15,"")</f>
        <v/>
      </c>
      <c r="R57" s="309" t="n"/>
      <c r="S57" s="309" t="str">
        <f>IFERROR(-S56/S15,"")</f>
        <v/>
      </c>
      <c r="T57" s="309" t="str">
        <f>IFERROR(-T56/T15,"")</f>
        <v/>
      </c>
      <c r="U57" s="309" t="str">
        <f>IFERROR(-U56/U15,"")</f>
        <v/>
      </c>
      <c r="V57" s="309" t="str">
        <f>IFERROR(-V56/V15,"")</f>
        <v/>
      </c>
      <c r="W57" s="309" t="n"/>
      <c r="X57" s="309">
        <f>IFERROR(-X56/X15,"")</f>
        <v>0.421392380912001</v>
      </c>
      <c r="Y57" s="309">
        <f>IFERROR(-Y56/Y15,"")</f>
        <v>0.415963740385612</v>
      </c>
      <c r="Z57" s="309">
        <f>IFERROR(-Z56/Z15,"")</f>
        <v>0.435016551329672</v>
      </c>
      <c r="AA57" s="309">
        <f>IFERROR(-AA56/AA15,"")</f>
        <v>0.488626566926014</v>
      </c>
      <c r="AB57" s="309" t="n"/>
      <c r="AC57" s="309">
        <f>IFERROR(-AC56/AC15,"")</f>
        <v>0.451626272912424</v>
      </c>
      <c r="AD57" s="309">
        <f>IFERROR(-AD56/AD15,"")</f>
        <v>0.46161798679868</v>
      </c>
      <c r="AE57" s="309">
        <f>IFERROR(-AE56/AE15,"")</f>
        <v>0.461999038599638</v>
      </c>
      <c r="AF57" s="311">
        <f>IFERROR(-AF56/AF15,"")</f>
        <v>0.522005796791662</v>
      </c>
      <c r="AG57" s="309" t="n"/>
      <c r="AH57" s="311">
        <f>IFERROR(-AH56/AH15,"")</f>
        <v>0.551973051010587</v>
      </c>
      <c r="AI57" s="311">
        <f>IFERROR(-AI56/AI15,"")</f>
        <v>0.540970873786408</v>
      </c>
      <c r="AJ57" s="311" t="n"/>
      <c r="AK57" s="311" t="n"/>
      <c r="AL57" s="309" t="n"/>
      <c r="AM57" s="311" t="n"/>
      <c r="AN57" s="311" t="n"/>
      <c r="AO57" s="311" t="n"/>
      <c r="AP57" s="311" t="n"/>
      <c r="AQ57" s="309" t="n"/>
      <c r="AR57" s="311" t="n"/>
      <c r="AS57" s="311" t="n"/>
      <c r="AT57" s="311" t="n"/>
      <c r="AU57" s="311" t="n"/>
      <c r="AV57" s="309" t="n"/>
      <c r="AW57" s="311" t="n"/>
      <c r="AX57" s="311" t="n"/>
      <c r="AY57" s="311" t="n"/>
      <c r="AZ57" s="311" t="n"/>
      <c r="BA57" s="309" t="n"/>
      <c r="BB57" s="311" t="n"/>
      <c r="BC57" s="311" t="n"/>
      <c r="BD57" s="311" t="n"/>
      <c r="BE57" s="311" t="n"/>
      <c r="BF57" s="309" t="n"/>
      <c r="BG57" s="311" t="n"/>
      <c r="BH57" s="311" t="n"/>
      <c r="BI57" s="311" t="n"/>
      <c r="BJ57" s="311" t="n"/>
      <c r="BK57" s="309" t="n"/>
      <c r="BL57" s="311" t="n"/>
      <c r="BM57" s="311" t="n"/>
      <c r="BN57" s="311" t="n"/>
      <c r="BO57" s="311" t="n"/>
      <c r="BP57" s="309" t="n"/>
      <c r="BQ57" s="311" t="n"/>
      <c r="BR57" s="311" t="n"/>
      <c r="BS57" s="311" t="n"/>
      <c r="BT57" s="311" t="n"/>
      <c r="BU57" s="309" t="n"/>
      <c r="BV57" s="311" t="n"/>
      <c r="BW57" s="311" t="n"/>
      <c r="BX57" s="311" t="n"/>
      <c r="BY57" s="311" t="n"/>
      <c r="BZ57" s="309" t="n"/>
      <c r="CA57" s="311" t="n"/>
      <c r="CB57" s="311" t="n"/>
      <c r="CC57" s="311" t="n"/>
      <c r="CD57" s="311" t="n"/>
      <c r="CE57" s="309" t="n"/>
      <c r="CF57" s="311" t="n"/>
      <c r="CG57" s="311" t="n"/>
      <c r="CH57" s="311" t="n"/>
      <c r="CI57" s="311" t="n"/>
      <c r="CJ57" s="309" t="n"/>
      <c r="CK57" s="311" t="n"/>
      <c r="CL57" s="311" t="n"/>
      <c r="CM57" s="311" t="n"/>
      <c r="CN57" s="311" t="n"/>
      <c r="CO57" s="309" t="n"/>
      <c r="CP57" s="311" t="n"/>
      <c r="CQ57" s="311" t="n"/>
      <c r="CR57" s="311" t="n"/>
      <c r="CS57" s="311" t="n"/>
      <c r="CT57" s="309" t="n"/>
      <c r="CU57" s="311" t="n"/>
      <c r="CV57" s="311" t="n"/>
      <c r="CW57" s="311" t="n"/>
      <c r="CX57" s="311" t="n"/>
      <c r="CY57" s="309" t="n"/>
    </row>
    <row r="58" hidden="1" outlineLevel="1" ht="12.75" customHeight="1" s="255">
      <c r="C58" s="305" t="n"/>
      <c r="D58" s="268" t="n"/>
      <c r="E58" s="268" t="n"/>
      <c r="F58" s="268" t="n"/>
      <c r="G58" s="268" t="n"/>
      <c r="H58" s="268" t="n"/>
      <c r="I58" s="268" t="n"/>
      <c r="J58" s="268" t="n"/>
      <c r="K58" s="268" t="n"/>
      <c r="L58" s="268" t="n"/>
      <c r="M58" s="268" t="n"/>
      <c r="N58" s="268" t="n"/>
      <c r="O58" s="268" t="n"/>
      <c r="P58" s="268" t="n"/>
      <c r="Q58" s="268" t="n"/>
      <c r="R58" s="268" t="n"/>
      <c r="S58" s="268" t="n"/>
      <c r="T58" s="268" t="n"/>
      <c r="U58" s="268" t="n"/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I58" s="268" t="n"/>
      <c r="AJ58" s="268" t="n"/>
      <c r="AK58" s="268" t="n"/>
      <c r="AL58" s="268" t="n"/>
      <c r="AM58" s="268" t="n"/>
      <c r="AN58" s="268" t="n"/>
      <c r="AO58" s="268" t="n"/>
      <c r="AP58" s="268" t="n"/>
      <c r="AQ58" s="268" t="n"/>
      <c r="AR58" s="268" t="n"/>
      <c r="AS58" s="268" t="n"/>
      <c r="AT58" s="268" t="n"/>
      <c r="AU58" s="268" t="n"/>
      <c r="AV58" s="268" t="n"/>
      <c r="AW58" s="268" t="n"/>
      <c r="AX58" s="268" t="n"/>
      <c r="AY58" s="268" t="n"/>
      <c r="AZ58" s="268" t="n"/>
      <c r="BA58" s="268" t="n"/>
      <c r="BB58" s="268" t="n"/>
      <c r="BC58" s="268" t="n"/>
      <c r="BD58" s="268" t="n"/>
      <c r="BE58" s="268" t="n"/>
      <c r="BF58" s="268" t="n"/>
      <c r="BG58" s="268" t="n"/>
      <c r="BH58" s="268" t="n"/>
      <c r="BI58" s="268" t="n"/>
      <c r="BJ58" s="268" t="n"/>
      <c r="BK58" s="268" t="n"/>
      <c r="BL58" s="268" t="n"/>
      <c r="BM58" s="268" t="n"/>
      <c r="BN58" s="268" t="n"/>
      <c r="BO58" s="268" t="n"/>
      <c r="BP58" s="268" t="n"/>
      <c r="BQ58" s="268" t="n"/>
      <c r="BR58" s="268" t="n"/>
      <c r="BS58" s="268" t="n"/>
      <c r="BT58" s="268" t="n"/>
      <c r="BU58" s="268" t="n"/>
      <c r="BV58" s="268" t="n"/>
      <c r="BW58" s="268" t="n"/>
      <c r="BX58" s="268" t="n"/>
      <c r="BY58" s="268" t="n"/>
      <c r="BZ58" s="268" t="n"/>
      <c r="CA58" s="268" t="n"/>
      <c r="CB58" s="268" t="n"/>
      <c r="CC58" s="268" t="n"/>
      <c r="CD58" s="268" t="n"/>
      <c r="CE58" s="268" t="n"/>
      <c r="CF58" s="268" t="n"/>
      <c r="CG58" s="268" t="n"/>
      <c r="CH58" s="268" t="n"/>
      <c r="CI58" s="268" t="n"/>
      <c r="CJ58" s="268" t="n"/>
      <c r="CK58" s="268" t="n"/>
      <c r="CL58" s="268" t="n"/>
      <c r="CM58" s="268" t="n"/>
      <c r="CN58" s="268" t="n"/>
      <c r="CO58" s="268" t="n"/>
      <c r="CP58" s="268" t="n"/>
      <c r="CQ58" s="268" t="n"/>
      <c r="CR58" s="268" t="n"/>
      <c r="CS58" s="268" t="n"/>
      <c r="CT58" s="268" t="n"/>
      <c r="CU58" s="268" t="n"/>
      <c r="CV58" s="268" t="n"/>
      <c r="CW58" s="268" t="n"/>
      <c r="CX58" s="268" t="n"/>
      <c r="CY58" s="268" t="n"/>
    </row>
    <row r="59" ht="12.75" customFormat="1" customHeight="1" s="287">
      <c r="A59" s="288" t="n"/>
      <c r="B59" s="259" t="n"/>
      <c r="C59" s="275" t="inlineStr">
        <is>
          <t>Operating Profit - EBIT</t>
        </is>
      </c>
      <c r="D59" s="276">
        <f>SUM(D55,D56)</f>
        <v>0</v>
      </c>
      <c r="E59" s="276">
        <f>SUM(E55,E56)</f>
        <v>0</v>
      </c>
      <c r="F59" s="276">
        <f>SUM(F55,F56)</f>
        <v>0</v>
      </c>
      <c r="G59" s="276">
        <f>SUM(G55,G56)</f>
        <v>0</v>
      </c>
      <c r="H59" s="276">
        <f>SUM(D59:G59)</f>
        <v>0</v>
      </c>
      <c r="I59" s="276">
        <f>SUM(I55,I56)</f>
        <v>0</v>
      </c>
      <c r="J59" s="276">
        <f>SUM(J55,J56)</f>
        <v>0</v>
      </c>
      <c r="K59" s="276">
        <f>SUM(K55,K56)</f>
        <v>0</v>
      </c>
      <c r="L59" s="276">
        <f>SUM(L55,L56)</f>
        <v>0</v>
      </c>
      <c r="M59" s="276">
        <f>SUM(I59:L59)</f>
        <v>0</v>
      </c>
      <c r="N59" s="276">
        <f>SUM(N55,N56)</f>
        <v>0</v>
      </c>
      <c r="O59" s="276">
        <f>SUM(O55,O56)</f>
        <v>0</v>
      </c>
      <c r="P59" s="276">
        <f>SUM(P55,P56)</f>
        <v>0</v>
      </c>
      <c r="Q59" s="276">
        <f>SUM(Q55,Q56)</f>
        <v>0</v>
      </c>
      <c r="R59" s="276">
        <f>SUM(N59:Q59)</f>
        <v>0</v>
      </c>
      <c r="S59" s="276">
        <f>SUM(S55,S56)</f>
        <v>0</v>
      </c>
      <c r="T59" s="276">
        <f>SUM(T55,T56)</f>
        <v>0</v>
      </c>
      <c r="U59" s="276">
        <f>SUM(U55,U56)</f>
        <v>0</v>
      </c>
      <c r="V59" s="276">
        <f>SUM(V55,V56)</f>
        <v>0</v>
      </c>
      <c r="W59" s="276">
        <f>SUM(S59:V59)</f>
        <v>0</v>
      </c>
      <c r="X59" s="276">
        <f>SUM(X55,X56)</f>
        <v>16.847</v>
      </c>
      <c r="Y59" s="276">
        <f>SUM(Y55,Y56)</f>
        <v>77.721</v>
      </c>
      <c r="Z59" s="276">
        <f>SUM(Z55,Z56)</f>
        <v>117.116</v>
      </c>
      <c r="AA59" s="276">
        <f>SUM(AA55,AA56)</f>
        <v>112.316</v>
      </c>
      <c r="AB59" s="276">
        <f>SUM(X59:AA59)</f>
        <v>324</v>
      </c>
      <c r="AC59" s="276">
        <f>SUM(AC55,AC56)</f>
        <v>-27</v>
      </c>
      <c r="AD59" s="276">
        <f>SUM(AD55,AD56)</f>
        <v>19</v>
      </c>
      <c r="AE59" s="276">
        <f>SUM(AE55,AE56)</f>
        <v>51.85</v>
      </c>
      <c r="AF59" s="276">
        <f>SUM(AF55,AF56)</f>
        <v>-89.5889999999998</v>
      </c>
      <c r="AG59" s="276">
        <f>SUM(AC59:AF59)</f>
        <v>-45.7389999999998</v>
      </c>
      <c r="AH59" s="276">
        <f>SUM(AH55,AH56)</f>
        <v>-144</v>
      </c>
      <c r="AI59" s="276">
        <f>SUM(AI55,AI56)</f>
        <v>-49</v>
      </c>
      <c r="AJ59" s="276">
        <f>SUM(AJ55,AJ56)</f>
        <v>0</v>
      </c>
      <c r="AK59" s="276">
        <f>SUM(AK55,AK56)</f>
        <v>0</v>
      </c>
      <c r="AL59" s="276">
        <f>SUM(AL55,AL56)</f>
        <v>-193</v>
      </c>
      <c r="AM59" s="276">
        <f>SUM(AM55,AM56)</f>
        <v>0</v>
      </c>
      <c r="AN59" s="276">
        <f>SUM(AN55,AN56)</f>
        <v>0</v>
      </c>
      <c r="AO59" s="276">
        <f>SUM(AO55,AO56)</f>
        <v>0</v>
      </c>
      <c r="AP59" s="276">
        <f>SUM(AP55,AP56)</f>
        <v>0</v>
      </c>
      <c r="AQ59" s="276">
        <f>SUM(AQ55,AQ56)</f>
        <v>0</v>
      </c>
      <c r="AR59" s="276">
        <f>SUM(AR55,AR56)</f>
        <v>0</v>
      </c>
      <c r="AS59" s="276">
        <f>SUM(AS55,AS56)</f>
        <v>0</v>
      </c>
      <c r="AT59" s="276">
        <f>SUM(AT55,AT56)</f>
        <v>0</v>
      </c>
      <c r="AU59" s="276">
        <f>SUM(AU55,AU56)</f>
        <v>0</v>
      </c>
      <c r="AV59" s="276">
        <f>SUM(AV55,AV56)</f>
        <v>0</v>
      </c>
      <c r="AW59" s="276">
        <f>SUM(AW55,AW56)</f>
        <v>0</v>
      </c>
      <c r="AX59" s="276">
        <f>SUM(AX55,AX56)</f>
        <v>0</v>
      </c>
      <c r="AY59" s="276">
        <f>SUM(AY55,AY56)</f>
        <v>0</v>
      </c>
      <c r="AZ59" s="276">
        <f>SUM(AZ55,AZ56)</f>
        <v>0</v>
      </c>
      <c r="BA59" s="276">
        <f>SUM(BA55,BA56)</f>
        <v>0</v>
      </c>
      <c r="BB59" s="276">
        <f>SUM(BB55,BB56)</f>
        <v>0</v>
      </c>
      <c r="BC59" s="276">
        <f>SUM(BC55,BC56)</f>
        <v>0</v>
      </c>
      <c r="BD59" s="276">
        <f>SUM(BD55,BD56)</f>
        <v>0</v>
      </c>
      <c r="BE59" s="276">
        <f>SUM(BE55,BE56)</f>
        <v>0</v>
      </c>
      <c r="BF59" s="276">
        <f>SUM(BF55,BF56)</f>
        <v>0</v>
      </c>
      <c r="BG59" s="276">
        <f>SUM(BG55,BG56)</f>
        <v>0</v>
      </c>
      <c r="BH59" s="276">
        <f>SUM(BH55,BH56)</f>
        <v>0</v>
      </c>
      <c r="BI59" s="276">
        <f>SUM(BI55,BI56)</f>
        <v>0</v>
      </c>
      <c r="BJ59" s="276">
        <f>SUM(BJ55,BJ56)</f>
        <v>0</v>
      </c>
      <c r="BK59" s="276">
        <f>SUM(BK55,BK56)</f>
        <v>0</v>
      </c>
      <c r="BL59" s="276">
        <f>SUM(BL55,BL56)</f>
        <v>0</v>
      </c>
      <c r="BM59" s="276">
        <f>SUM(BM55,BM56)</f>
        <v>0</v>
      </c>
      <c r="BN59" s="276">
        <f>SUM(BN55,BN56)</f>
        <v>0</v>
      </c>
      <c r="BO59" s="276">
        <f>SUM(BO55,BO56)</f>
        <v>0</v>
      </c>
      <c r="BP59" s="276">
        <f>SUM(BP55,BP56)</f>
        <v>0</v>
      </c>
      <c r="BQ59" s="276">
        <f>SUM(BQ55,BQ56)</f>
        <v>0</v>
      </c>
      <c r="BR59" s="276">
        <f>SUM(BR55,BR56)</f>
        <v>0</v>
      </c>
      <c r="BS59" s="276">
        <f>SUM(BS55,BS56)</f>
        <v>0</v>
      </c>
      <c r="BT59" s="276">
        <f>SUM(BT55,BT56)</f>
        <v>0</v>
      </c>
      <c r="BU59" s="276">
        <f>SUM(BU55,BU56)</f>
        <v>0</v>
      </c>
      <c r="BV59" s="276">
        <f>SUM(BV55,BV56)</f>
        <v>0</v>
      </c>
      <c r="BW59" s="276">
        <f>SUM(BW55,BW56)</f>
        <v>0</v>
      </c>
      <c r="BX59" s="276">
        <f>SUM(BX55,BX56)</f>
        <v>0</v>
      </c>
      <c r="BY59" s="276">
        <f>SUM(BY55,BY56)</f>
        <v>0</v>
      </c>
      <c r="BZ59" s="276">
        <f>SUM(BZ55,BZ56)</f>
        <v>0</v>
      </c>
      <c r="CA59" s="276">
        <f>SUM(CA55,CA56)</f>
        <v>0</v>
      </c>
      <c r="CB59" s="276">
        <f>SUM(CB55,CB56)</f>
        <v>0</v>
      </c>
      <c r="CC59" s="276">
        <f>SUM(CC55,CC56)</f>
        <v>0</v>
      </c>
      <c r="CD59" s="276">
        <f>SUM(CD55,CD56)</f>
        <v>0</v>
      </c>
      <c r="CE59" s="276">
        <f>SUM(CE55,CE56)</f>
        <v>0</v>
      </c>
      <c r="CF59" s="276">
        <f>SUM(CF55,CF56)</f>
        <v>0</v>
      </c>
      <c r="CG59" s="276">
        <f>SUM(CG55,CG56)</f>
        <v>0</v>
      </c>
      <c r="CH59" s="276">
        <f>SUM(CH55,CH56)</f>
        <v>0</v>
      </c>
      <c r="CI59" s="276">
        <f>SUM(CI55,CI56)</f>
        <v>0</v>
      </c>
      <c r="CJ59" s="276">
        <f>SUM(CJ55,CJ56)</f>
        <v>0</v>
      </c>
      <c r="CK59" s="276">
        <f>SUM(CK55,CK56)</f>
        <v>0</v>
      </c>
      <c r="CL59" s="276">
        <f>SUM(CL55,CL56)</f>
        <v>0</v>
      </c>
      <c r="CM59" s="276">
        <f>SUM(CM55,CM56)</f>
        <v>0</v>
      </c>
      <c r="CN59" s="276">
        <f>SUM(CN55,CN56)</f>
        <v>0</v>
      </c>
      <c r="CO59" s="276">
        <f>SUM(CO55,CO56)</f>
        <v>0</v>
      </c>
      <c r="CP59" s="276">
        <f>SUM(CP55,CP56)</f>
        <v>0</v>
      </c>
      <c r="CQ59" s="276">
        <f>SUM(CQ55,CQ56)</f>
        <v>0</v>
      </c>
      <c r="CR59" s="276">
        <f>SUM(CR55,CR56)</f>
        <v>0</v>
      </c>
      <c r="CS59" s="276">
        <f>SUM(CS55,CS56)</f>
        <v>0</v>
      </c>
      <c r="CT59" s="276">
        <f>SUM(CT55,CT56)</f>
        <v>0</v>
      </c>
      <c r="CU59" s="276">
        <f>SUM(CU55,CU56)</f>
        <v>0</v>
      </c>
      <c r="CV59" s="276">
        <f>SUM(CV55,CV56)</f>
        <v>0</v>
      </c>
      <c r="CW59" s="276">
        <f>SUM(CW55,CW56)</f>
        <v>0</v>
      </c>
      <c r="CX59" s="276">
        <f>SUM(CX55,CX56)</f>
        <v>0</v>
      </c>
      <c r="CY59" s="276">
        <f>SUM(CY55,CY56)</f>
        <v>0</v>
      </c>
    </row>
    <row r="60" ht="12.75" customHeight="1" s="255">
      <c r="C60" s="270" t="inlineStr">
        <is>
          <t>Interest Expense</t>
        </is>
      </c>
      <c r="D60" s="301">
        <f>INDEX('Inputs (2)'!$D$8:$AL$8,MATCH(D$7,'Inputs (2)'!$D$2:$AL$2,0))</f>
        <v>0</v>
      </c>
      <c r="E60" s="301">
        <f>INDEX('Inputs (2)'!$D$8:$AL$8,MATCH(E$7,'Inputs (2)'!$D$2:$AL$2,0))</f>
        <v>0</v>
      </c>
      <c r="F60" s="301">
        <f>INDEX('Inputs (2)'!$D$8:$AL$8,MATCH(F$7,'Inputs (2)'!$D$2:$AL$2,0))</f>
        <v>0</v>
      </c>
      <c r="G60" s="301">
        <f>INDEX('Inputs (2)'!$D$8:$AL$8,MATCH(G$7,'Inputs (2)'!$D$2:$AL$2,0))</f>
        <v>0</v>
      </c>
      <c r="H60" s="268">
        <f>SUM(D60:G60)</f>
        <v>0</v>
      </c>
      <c r="I60" s="301">
        <f>INDEX('Inputs (2)'!$D$8:$AL$8,MATCH(I$7,'Inputs (2)'!$D$2:$AL$2,0))</f>
        <v>0</v>
      </c>
      <c r="J60" s="301">
        <f>INDEX('Inputs (2)'!$D$8:$AL$8,MATCH(J$7,'Inputs (2)'!$D$2:$AL$2,0))</f>
        <v>0</v>
      </c>
      <c r="K60" s="301">
        <f>INDEX('Inputs (2)'!$D$8:$AL$8,MATCH(K$7,'Inputs (2)'!$D$2:$AL$2,0))</f>
        <v>0</v>
      </c>
      <c r="L60" s="301">
        <f>INDEX('Inputs (2)'!$D$8:$AL$8,MATCH(L$7,'Inputs (2)'!$D$2:$AL$2,0))</f>
        <v>0</v>
      </c>
      <c r="M60" s="268">
        <f>SUM(I60:L60)</f>
        <v>0</v>
      </c>
      <c r="N60" s="301">
        <f>INDEX('Inputs (2)'!$D$8:$AL$8,MATCH(N$7,'Inputs (2)'!$D$2:$AL$2,0))</f>
        <v>0</v>
      </c>
      <c r="O60" s="301">
        <f>INDEX('Inputs (2)'!$D$8:$AL$8,MATCH(O$7,'Inputs (2)'!$D$2:$AL$2,0))</f>
        <v>0</v>
      </c>
      <c r="P60" s="301">
        <f>INDEX('Inputs (2)'!$D$8:$AL$8,MATCH(P$7,'Inputs (2)'!$D$2:$AL$2,0))</f>
        <v>0</v>
      </c>
      <c r="Q60" s="301">
        <f>INDEX('Inputs (2)'!$D$8:$AL$8,MATCH(Q$7,'Inputs (2)'!$D$2:$AL$2,0))</f>
        <v>0</v>
      </c>
      <c r="R60" s="268">
        <f>SUM(N60:Q60)</f>
        <v>0</v>
      </c>
      <c r="S60" s="301">
        <f>INDEX('Inputs (2)'!$D$8:$AL$8,MATCH(S$7,'Inputs (2)'!$D$2:$AL$2,0))</f>
        <v>0</v>
      </c>
      <c r="T60" s="301">
        <f>INDEX('Inputs (2)'!$D$8:$AL$8,MATCH(T$7,'Inputs (2)'!$D$2:$AL$2,0))</f>
        <v>0</v>
      </c>
      <c r="U60" s="301">
        <f>INDEX('Inputs (2)'!$D$8:$AL$8,MATCH(U$7,'Inputs (2)'!$D$2:$AL$2,0))</f>
        <v>0</v>
      </c>
      <c r="V60" s="301">
        <f>INDEX('Inputs (2)'!$D$8:$AL$8,MATCH(V$7,'Inputs (2)'!$D$2:$AL$2,0))</f>
        <v>0</v>
      </c>
      <c r="W60" s="268">
        <f>SUM(S60:V60)</f>
        <v>0</v>
      </c>
      <c r="X60" s="301">
        <f>INDEX('Inputs (2)'!$D$8:$AL$8,MATCH(X$7,'Inputs (2)'!$D$2:$AL$2,0))</f>
        <v>-40.503</v>
      </c>
      <c r="Y60" s="301">
        <f>INDEX('Inputs (2)'!$D$8:$AL$8,MATCH(Y$7,'Inputs (2)'!$D$2:$AL$2,0))</f>
        <v>-67.097</v>
      </c>
      <c r="Z60" s="301">
        <f>INDEX('Inputs (2)'!$D$8:$AL$8,MATCH(Z$7,'Inputs (2)'!$D$2:$AL$2,0))</f>
        <v>-102.328</v>
      </c>
      <c r="AA60" s="301">
        <f>INDEX('Inputs (2)'!$D$8:$AL$8,MATCH(AA$7,'Inputs (2)'!$D$2:$AL$2,0))</f>
        <v>-139.072</v>
      </c>
      <c r="AB60" s="268">
        <f>SUM(X60:AA60)</f>
        <v>-349</v>
      </c>
      <c r="AC60" s="301">
        <f>INDEX('Inputs (2)'!$D$8:$AL$8,MATCH(AC$7,'Inputs (2)'!$D$2:$AL$2,0))</f>
        <v>-257</v>
      </c>
      <c r="AD60" s="301">
        <f>INDEX('Inputs (2)'!$D$8:$AL$8,MATCH(AD$7,'Inputs (2)'!$D$2:$AL$2,0))</f>
        <v>-256</v>
      </c>
      <c r="AE60" s="301">
        <f>INDEX('Inputs (2)'!$D$8:$AL$8,MATCH(AE$7,'Inputs (2)'!$D$2:$AL$2,0))</f>
        <v>-283.416</v>
      </c>
      <c r="AF60" s="301">
        <f>INDEX('Inputs (2)'!$D$8:$AL$8,MATCH(AF$7,'Inputs (2)'!$D$2:$AL$2,0))</f>
        <v>-351.051</v>
      </c>
      <c r="AG60" s="268">
        <f>SUM(AC60:AF60)</f>
        <v>-1147.467</v>
      </c>
      <c r="AH60" s="268">
        <f>INDEX('Inputs (2)'!$D$8:$AL$8,MATCH(AH$7,'Inputs (2)'!$D$2:$AL$2,0))</f>
        <v>-427</v>
      </c>
      <c r="AI60" s="268">
        <f>INDEX('Inputs (2)'!$D$8:$AL$8,MATCH(AI$7,'Inputs (2)'!$D$2:$AL$2,0))</f>
        <v>-558</v>
      </c>
      <c r="AJ60" s="268" t="n"/>
      <c r="AK60" s="268" t="n"/>
      <c r="AL60" s="268">
        <f>SUM(AH60:AK60)</f>
        <v>-985</v>
      </c>
      <c r="AM60" s="268" t="n"/>
      <c r="AN60" s="268" t="n"/>
      <c r="AO60" s="268" t="n"/>
      <c r="AP60" s="268" t="n"/>
      <c r="AQ60" s="268">
        <f>SUM(AM60:AP60)</f>
        <v>0</v>
      </c>
      <c r="AR60" s="268" t="n"/>
      <c r="AS60" s="268" t="n"/>
      <c r="AT60" s="268" t="n"/>
      <c r="AU60" s="268" t="n"/>
      <c r="AV60" s="268">
        <f>SUM(AR60:AU60)</f>
        <v>0</v>
      </c>
      <c r="AW60" s="268" t="n"/>
      <c r="AX60" s="268" t="n"/>
      <c r="AY60" s="268" t="n"/>
      <c r="AZ60" s="268" t="n"/>
      <c r="BA60" s="268">
        <f>SUM(AW60:AZ60)</f>
        <v>0</v>
      </c>
      <c r="BB60" s="268" t="n"/>
      <c r="BC60" s="268" t="n"/>
      <c r="BD60" s="268" t="n"/>
      <c r="BE60" s="268" t="n"/>
      <c r="BF60" s="268">
        <f>SUM(BB60:BE60)</f>
        <v>0</v>
      </c>
      <c r="BG60" s="268" t="n"/>
      <c r="BH60" s="268" t="n"/>
      <c r="BI60" s="268" t="n"/>
      <c r="BJ60" s="268" t="n"/>
      <c r="BK60" s="268">
        <f>SUM(BG60:BJ60)</f>
        <v>0</v>
      </c>
      <c r="BL60" s="268" t="n"/>
      <c r="BM60" s="268" t="n"/>
      <c r="BN60" s="268" t="n"/>
      <c r="BO60" s="268" t="n"/>
      <c r="BP60" s="268">
        <f>SUM(BL60:BO60)</f>
        <v>0</v>
      </c>
      <c r="BQ60" s="268" t="n"/>
      <c r="BR60" s="268" t="n"/>
      <c r="BS60" s="268" t="n"/>
      <c r="BT60" s="268" t="n"/>
      <c r="BU60" s="268">
        <f>SUM(BQ60:BT60)</f>
        <v>0</v>
      </c>
      <c r="BV60" s="268" t="n"/>
      <c r="BW60" s="268" t="n"/>
      <c r="BX60" s="268" t="n"/>
      <c r="BY60" s="268" t="n"/>
      <c r="BZ60" s="268">
        <f>SUM(BV60:BY60)</f>
        <v>0</v>
      </c>
      <c r="CA60" s="268" t="n"/>
      <c r="CB60" s="268" t="n"/>
      <c r="CC60" s="268" t="n"/>
      <c r="CD60" s="268" t="n"/>
      <c r="CE60" s="268">
        <f>SUM(CA60:CD60)</f>
        <v>0</v>
      </c>
      <c r="CF60" s="268" t="n"/>
      <c r="CG60" s="268" t="n"/>
      <c r="CH60" s="268" t="n"/>
      <c r="CI60" s="268" t="n"/>
      <c r="CJ60" s="268">
        <f>SUM(CF60:CI60)</f>
        <v>0</v>
      </c>
      <c r="CK60" s="268" t="n"/>
      <c r="CL60" s="268" t="n"/>
      <c r="CM60" s="268" t="n"/>
      <c r="CN60" s="268" t="n"/>
      <c r="CO60" s="268">
        <f>SUM(CK60:CN60)</f>
        <v>0</v>
      </c>
      <c r="CP60" s="268" t="n"/>
      <c r="CQ60" s="268" t="n"/>
      <c r="CR60" s="268" t="n"/>
      <c r="CS60" s="268" t="n"/>
      <c r="CT60" s="268">
        <f>SUM(CP60:CS60)</f>
        <v>0</v>
      </c>
      <c r="CU60" s="268" t="n"/>
      <c r="CV60" s="268" t="n"/>
      <c r="CW60" s="268" t="n"/>
      <c r="CX60" s="268" t="n"/>
      <c r="CY60" s="268">
        <f>SUM(CU60:CX60)</f>
        <v>0</v>
      </c>
    </row>
    <row r="61" hidden="1" outlineLevel="1" ht="12.75" customHeight="1" s="255">
      <c r="C61" s="305" t="inlineStr">
        <is>
          <t>% of Debt</t>
        </is>
      </c>
      <c r="D61" s="309">
        <f>IFERROR(-D60/SUM(D198+D203),0)</f>
        <v>0</v>
      </c>
      <c r="E61" s="309">
        <f>IFERROR(-E60/SUM(E198+E203),0)</f>
        <v>0</v>
      </c>
      <c r="F61" s="309">
        <f>IFERROR(-F60/SUM(F198+F203),0)</f>
        <v>0</v>
      </c>
      <c r="G61" s="309">
        <f>IFERROR(-G60/SUM(G198+G203),0)</f>
        <v>0</v>
      </c>
      <c r="H61" s="268" t="n"/>
      <c r="I61" s="309">
        <f>IFERROR(-I60/SUM(I198+I203),0)</f>
        <v>0</v>
      </c>
      <c r="J61" s="309">
        <f>IFERROR(-J60/SUM(J198+J203),0)</f>
        <v>0</v>
      </c>
      <c r="K61" s="309">
        <f>IFERROR(-K60/SUM(K198+K203),0)</f>
        <v>0</v>
      </c>
      <c r="L61" s="309">
        <f>IFERROR(-L60/SUM(L198+L203),0)</f>
        <v>0</v>
      </c>
      <c r="M61" s="268" t="n"/>
      <c r="N61" s="309">
        <f>IFERROR(-N60/SUM(N198+N203),0)</f>
        <v>0</v>
      </c>
      <c r="O61" s="309">
        <f>IFERROR(-O60/SUM(O198+O203),0)</f>
        <v>0</v>
      </c>
      <c r="P61" s="309">
        <f>IFERROR(-P60/SUM(P198+P203),0)</f>
        <v>0</v>
      </c>
      <c r="Q61" s="309">
        <f>IFERROR(-Q60/SUM(Q198+Q203),0)</f>
        <v>0</v>
      </c>
      <c r="R61" s="268" t="n"/>
      <c r="S61" s="309">
        <f>IFERROR(-S60/SUM(S198+S203),0)</f>
        <v>0</v>
      </c>
      <c r="T61" s="309">
        <f>IFERROR(-T60/SUM(T198+T203),0)</f>
        <v>0</v>
      </c>
      <c r="U61" s="309">
        <f>IFERROR(-U60/SUM(U198+U203),0)</f>
        <v>0</v>
      </c>
      <c r="V61" s="309">
        <f>IFERROR(-V60/SUM(V198+V203),0)</f>
        <v>0</v>
      </c>
      <c r="W61" s="268" t="n"/>
      <c r="X61" s="309">
        <f>IFERROR(-X60/SUM(X198+X203),0)</f>
        <v>0</v>
      </c>
      <c r="Y61" s="309">
        <f>IFERROR(-Y60/SUM(Y198+Y203),0)</f>
        <v>0</v>
      </c>
      <c r="Z61" s="309">
        <f>IFERROR(-Z60/SUM(Z198+Z203),0)</f>
        <v>0</v>
      </c>
      <c r="AA61" s="309">
        <f>IFERROR(-AA60/SUM(AA198+AA203),0)</f>
        <v>0.0175455506576806</v>
      </c>
      <c r="AB61" s="268" t="n"/>
      <c r="AC61" s="309">
        <f>IFERROR(-AC60/SUM(AC198+AC203),0)</f>
        <v>0.0295006718577136</v>
      </c>
      <c r="AD61" s="309">
        <f>IFERROR(-AD60/SUM(AD198+AD203),0)</f>
        <v>0.023164274246548</v>
      </c>
      <c r="AE61" s="309">
        <f>IFERROR(-AE60/SUM(AE198+AE203),0)</f>
        <v>0.0201936111705263</v>
      </c>
      <c r="AF61" s="311">
        <f>IFERROR(-AF60/SUM(AF198+AF203),0)</f>
        <v>0.0164249754362981</v>
      </c>
      <c r="AG61" s="268" t="n"/>
      <c r="AH61" s="267">
        <f>IFERROR(-AH60/SUM(AH198+AH203),0)</f>
        <v>0.0171768775896054</v>
      </c>
      <c r="AI61" s="267">
        <f>IFERROR(-AI60/SUM(AI198+AI203),0)</f>
        <v>0</v>
      </c>
      <c r="AJ61" s="267" t="n"/>
      <c r="AK61" s="267" t="n"/>
      <c r="AL61" s="268" t="n"/>
      <c r="AM61" s="267" t="n"/>
      <c r="AN61" s="267" t="n"/>
      <c r="AO61" s="267" t="n"/>
      <c r="AP61" s="267" t="n"/>
      <c r="AQ61" s="268" t="n"/>
      <c r="AR61" s="267" t="n"/>
      <c r="AS61" s="267" t="n"/>
      <c r="AT61" s="267" t="n"/>
      <c r="AU61" s="267" t="n"/>
      <c r="AV61" s="268" t="n"/>
      <c r="AW61" s="267" t="n"/>
      <c r="AX61" s="267" t="n"/>
      <c r="AY61" s="267" t="n"/>
      <c r="AZ61" s="267" t="n"/>
      <c r="BA61" s="268" t="n"/>
      <c r="BB61" s="267" t="n"/>
      <c r="BC61" s="267" t="n"/>
      <c r="BD61" s="267" t="n"/>
      <c r="BE61" s="267" t="n"/>
      <c r="BF61" s="268" t="n"/>
      <c r="BG61" s="267" t="n"/>
      <c r="BH61" s="267" t="n"/>
      <c r="BI61" s="267" t="n"/>
      <c r="BJ61" s="267" t="n"/>
      <c r="BK61" s="268" t="n"/>
      <c r="BL61" s="267" t="n"/>
      <c r="BM61" s="267" t="n"/>
      <c r="BN61" s="267" t="n"/>
      <c r="BO61" s="267" t="n"/>
      <c r="BP61" s="268" t="n"/>
      <c r="BQ61" s="267" t="n"/>
      <c r="BR61" s="267" t="n"/>
      <c r="BS61" s="267" t="n"/>
      <c r="BT61" s="267" t="n"/>
      <c r="BU61" s="268" t="n"/>
      <c r="BV61" s="267" t="n"/>
      <c r="BW61" s="267" t="n"/>
      <c r="BX61" s="267" t="n"/>
      <c r="BY61" s="267" t="n"/>
      <c r="BZ61" s="268" t="n"/>
      <c r="CA61" s="267" t="n"/>
      <c r="CB61" s="267" t="n"/>
      <c r="CC61" s="267" t="n"/>
      <c r="CD61" s="267" t="n"/>
      <c r="CE61" s="268" t="n"/>
      <c r="CF61" s="267" t="n"/>
      <c r="CG61" s="267" t="n"/>
      <c r="CH61" s="267" t="n"/>
      <c r="CI61" s="267" t="n"/>
      <c r="CJ61" s="268" t="n"/>
      <c r="CK61" s="267" t="n"/>
      <c r="CL61" s="267" t="n"/>
      <c r="CM61" s="267" t="n"/>
      <c r="CN61" s="267" t="n"/>
      <c r="CO61" s="268" t="n"/>
      <c r="CP61" s="267" t="n"/>
      <c r="CQ61" s="267" t="n"/>
      <c r="CR61" s="267" t="n"/>
      <c r="CS61" s="267" t="n"/>
      <c r="CT61" s="268" t="n"/>
      <c r="CU61" s="267" t="n"/>
      <c r="CV61" s="267" t="n"/>
      <c r="CW61" s="267" t="n"/>
      <c r="CX61" s="267" t="n"/>
      <c r="CY61" s="268" t="n"/>
    </row>
    <row r="62" hidden="1" outlineLevel="1" ht="12.75" customHeight="1" s="255">
      <c r="C62" s="305" t="inlineStr">
        <is>
          <t>%CDI</t>
        </is>
      </c>
      <c r="D62" s="267" t="n"/>
      <c r="E62" s="267" t="n"/>
      <c r="F62" s="267" t="n"/>
      <c r="G62" s="267" t="n"/>
      <c r="H62" s="268" t="n"/>
      <c r="I62" s="267" t="n"/>
      <c r="J62" s="267" t="n"/>
      <c r="K62" s="267" t="n"/>
      <c r="L62" s="267" t="n"/>
      <c r="M62" s="268" t="n"/>
      <c r="N62" s="267" t="n"/>
      <c r="O62" s="267" t="n"/>
      <c r="P62" s="267" t="n"/>
      <c r="Q62" s="267" t="n"/>
      <c r="R62" s="268" t="n"/>
      <c r="S62" s="267" t="n"/>
      <c r="T62" s="267" t="n"/>
      <c r="U62" s="267" t="n"/>
      <c r="V62" s="267" t="n"/>
      <c r="W62" s="268" t="n"/>
      <c r="X62" s="267" t="n"/>
      <c r="Y62" s="267" t="n"/>
      <c r="Z62" s="267" t="n"/>
      <c r="AA62" s="267" t="n"/>
      <c r="AB62" s="268" t="n"/>
      <c r="AC62" s="267" t="n"/>
      <c r="AD62" s="267" t="n"/>
      <c r="AE62" s="267" t="n"/>
      <c r="AF62" s="267" t="n"/>
      <c r="AG62" s="268" t="n"/>
      <c r="AH62" s="267" t="n"/>
      <c r="AI62" s="267" t="n"/>
      <c r="AJ62" s="267" t="n"/>
      <c r="AK62" s="267" t="n"/>
      <c r="AL62" s="268" t="n"/>
      <c r="AM62" s="267" t="n"/>
      <c r="AN62" s="267" t="n"/>
      <c r="AO62" s="267" t="n"/>
      <c r="AP62" s="267" t="n"/>
      <c r="AQ62" s="268" t="n"/>
      <c r="AR62" s="267" t="n"/>
      <c r="AS62" s="267" t="n"/>
      <c r="AT62" s="267" t="n"/>
      <c r="AU62" s="267" t="n"/>
      <c r="AV62" s="268" t="n"/>
      <c r="AW62" s="267" t="n"/>
      <c r="AX62" s="267" t="n"/>
      <c r="AY62" s="267" t="n"/>
      <c r="AZ62" s="267" t="n"/>
      <c r="BA62" s="268" t="n"/>
      <c r="BB62" s="267" t="n"/>
      <c r="BC62" s="267" t="n"/>
      <c r="BD62" s="267" t="n"/>
      <c r="BE62" s="267" t="n"/>
      <c r="BF62" s="268" t="n"/>
      <c r="BG62" s="267" t="n"/>
      <c r="BH62" s="267" t="n"/>
      <c r="BI62" s="267" t="n"/>
      <c r="BJ62" s="267" t="n"/>
      <c r="BK62" s="268" t="n"/>
      <c r="BL62" s="267" t="n"/>
      <c r="BM62" s="267" t="n"/>
      <c r="BN62" s="267" t="n"/>
      <c r="BO62" s="267" t="n"/>
      <c r="BP62" s="268" t="n"/>
      <c r="BQ62" s="267" t="n"/>
      <c r="BR62" s="267" t="n"/>
      <c r="BS62" s="267" t="n"/>
      <c r="BT62" s="267" t="n"/>
      <c r="BU62" s="268" t="n"/>
      <c r="BV62" s="267" t="n"/>
      <c r="BW62" s="267" t="n"/>
      <c r="BX62" s="267" t="n"/>
      <c r="BY62" s="267" t="n"/>
      <c r="BZ62" s="268" t="n"/>
      <c r="CA62" s="267" t="n"/>
      <c r="CB62" s="267" t="n"/>
      <c r="CC62" s="267" t="n"/>
      <c r="CD62" s="267" t="n"/>
      <c r="CE62" s="268" t="n"/>
      <c r="CF62" s="267" t="n"/>
      <c r="CG62" s="267" t="n"/>
      <c r="CH62" s="267" t="n"/>
      <c r="CI62" s="267" t="n"/>
      <c r="CJ62" s="268" t="n"/>
      <c r="CK62" s="267" t="n"/>
      <c r="CL62" s="267" t="n"/>
      <c r="CM62" s="267" t="n"/>
      <c r="CN62" s="267" t="n"/>
      <c r="CO62" s="268" t="n"/>
      <c r="CP62" s="267" t="n"/>
      <c r="CQ62" s="267" t="n"/>
      <c r="CR62" s="267" t="n"/>
      <c r="CS62" s="267" t="n"/>
      <c r="CT62" s="268" t="n"/>
      <c r="CU62" s="267" t="n"/>
      <c r="CV62" s="267" t="n"/>
      <c r="CW62" s="267" t="n"/>
      <c r="CX62" s="267" t="n"/>
      <c r="CY62" s="268" t="n"/>
    </row>
    <row r="63" hidden="1" outlineLevel="1" ht="12.75" customHeight="1" s="255">
      <c r="C63" s="312" t="n"/>
      <c r="D63" s="268" t="n"/>
      <c r="E63" s="268" t="n"/>
      <c r="F63" s="268" t="n"/>
      <c r="G63" s="268" t="n"/>
      <c r="H63" s="268" t="n"/>
      <c r="I63" s="268" t="n"/>
      <c r="J63" s="268" t="n"/>
      <c r="K63" s="268" t="n"/>
      <c r="L63" s="268" t="n"/>
      <c r="M63" s="268" t="n"/>
      <c r="N63" s="268" t="n"/>
      <c r="O63" s="268" t="n"/>
      <c r="P63" s="268" t="n"/>
      <c r="Q63" s="268" t="n"/>
      <c r="R63" s="268" t="n"/>
      <c r="S63" s="268" t="n"/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8" t="n"/>
      <c r="AJ63" s="268" t="n"/>
      <c r="AK63" s="268" t="n"/>
      <c r="AL63" s="268" t="n"/>
      <c r="AM63" s="268" t="n"/>
      <c r="AN63" s="268" t="n"/>
      <c r="AO63" s="268" t="n"/>
      <c r="AP63" s="268" t="n"/>
      <c r="AQ63" s="268" t="n"/>
      <c r="AR63" s="268" t="n"/>
      <c r="AS63" s="268" t="n"/>
      <c r="AT63" s="268" t="n"/>
      <c r="AU63" s="268" t="n"/>
      <c r="AV63" s="268" t="n"/>
      <c r="AW63" s="268" t="n"/>
      <c r="AX63" s="268" t="n"/>
      <c r="AY63" s="268" t="n"/>
      <c r="AZ63" s="268" t="n"/>
      <c r="BA63" s="268" t="n"/>
      <c r="BB63" s="268" t="n"/>
      <c r="BC63" s="268" t="n"/>
      <c r="BD63" s="268" t="n"/>
      <c r="BE63" s="268" t="n"/>
      <c r="BF63" s="268" t="n"/>
      <c r="BG63" s="268" t="n"/>
      <c r="BH63" s="268" t="n"/>
      <c r="BI63" s="268" t="n"/>
      <c r="BJ63" s="268" t="n"/>
      <c r="BK63" s="268" t="n"/>
      <c r="BL63" s="268" t="n"/>
      <c r="BM63" s="268" t="n"/>
      <c r="BN63" s="268" t="n"/>
      <c r="BO63" s="268" t="n"/>
      <c r="BP63" s="268" t="n"/>
      <c r="BQ63" s="268" t="n"/>
      <c r="BR63" s="268" t="n"/>
      <c r="BS63" s="268" t="n"/>
      <c r="BT63" s="268" t="n"/>
      <c r="BU63" s="268" t="n"/>
      <c r="BV63" s="268" t="n"/>
      <c r="BW63" s="268" t="n"/>
      <c r="BX63" s="268" t="n"/>
      <c r="BY63" s="268" t="n"/>
      <c r="BZ63" s="268" t="n"/>
      <c r="CA63" s="268" t="n"/>
      <c r="CB63" s="268" t="n"/>
      <c r="CC63" s="268" t="n"/>
      <c r="CD63" s="268" t="n"/>
      <c r="CE63" s="268" t="n"/>
      <c r="CF63" s="268" t="n"/>
      <c r="CG63" s="268" t="n"/>
      <c r="CH63" s="268" t="n"/>
      <c r="CI63" s="268" t="n"/>
      <c r="CJ63" s="268" t="n"/>
      <c r="CK63" s="268" t="n"/>
      <c r="CL63" s="268" t="n"/>
      <c r="CM63" s="268" t="n"/>
      <c r="CN63" s="268" t="n"/>
      <c r="CO63" s="268" t="n"/>
      <c r="CP63" s="268" t="n"/>
      <c r="CQ63" s="268" t="n"/>
      <c r="CR63" s="268" t="n"/>
      <c r="CS63" s="268" t="n"/>
      <c r="CT63" s="268" t="n"/>
      <c r="CU63" s="268" t="n"/>
      <c r="CV63" s="268" t="n"/>
      <c r="CW63" s="268" t="n"/>
      <c r="CX63" s="268" t="n"/>
      <c r="CY63" s="268" t="n"/>
    </row>
    <row r="64" hidden="1" outlineLevel="1" ht="12.75" customHeight="1" s="255">
      <c r="C64" s="312" t="n"/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8" t="n"/>
      <c r="AJ64" s="268" t="n"/>
      <c r="AK64" s="268" t="n"/>
      <c r="AL64" s="268" t="n"/>
      <c r="AM64" s="268" t="n"/>
      <c r="AN64" s="268" t="n"/>
      <c r="AO64" s="268" t="n"/>
      <c r="AP64" s="268" t="n"/>
      <c r="AQ64" s="268" t="n"/>
      <c r="AR64" s="268" t="n"/>
      <c r="AS64" s="268" t="n"/>
      <c r="AT64" s="268" t="n"/>
      <c r="AU64" s="268" t="n"/>
      <c r="AV64" s="268" t="n"/>
      <c r="AW64" s="268" t="n"/>
      <c r="AX64" s="268" t="n"/>
      <c r="AY64" s="268" t="n"/>
      <c r="AZ64" s="268" t="n"/>
      <c r="BA64" s="268" t="n"/>
      <c r="BB64" s="268" t="n"/>
      <c r="BC64" s="268" t="n"/>
      <c r="BD64" s="268" t="n"/>
      <c r="BE64" s="268" t="n"/>
      <c r="BF64" s="268" t="n"/>
      <c r="BG64" s="268" t="n"/>
      <c r="BH64" s="268" t="n"/>
      <c r="BI64" s="268" t="n"/>
      <c r="BJ64" s="268" t="n"/>
      <c r="BK64" s="268" t="n"/>
      <c r="BL64" s="268" t="n"/>
      <c r="BM64" s="268" t="n"/>
      <c r="BN64" s="268" t="n"/>
      <c r="BO64" s="268" t="n"/>
      <c r="BP64" s="268" t="n"/>
      <c r="BQ64" s="268" t="n"/>
      <c r="BR64" s="268" t="n"/>
      <c r="BS64" s="268" t="n"/>
      <c r="BT64" s="268" t="n"/>
      <c r="BU64" s="268" t="n"/>
      <c r="BV64" s="268" t="n"/>
      <c r="BW64" s="268" t="n"/>
      <c r="BX64" s="268" t="n"/>
      <c r="BY64" s="268" t="n"/>
      <c r="BZ64" s="268" t="n"/>
      <c r="CA64" s="268" t="n"/>
      <c r="CB64" s="268" t="n"/>
      <c r="CC64" s="268" t="n"/>
      <c r="CD64" s="268" t="n"/>
      <c r="CE64" s="268" t="n"/>
      <c r="CF64" s="268" t="n"/>
      <c r="CG64" s="268" t="n"/>
      <c r="CH64" s="268" t="n"/>
      <c r="CI64" s="268" t="n"/>
      <c r="CJ64" s="268" t="n"/>
      <c r="CK64" s="268" t="n"/>
      <c r="CL64" s="268" t="n"/>
      <c r="CM64" s="268" t="n"/>
      <c r="CN64" s="268" t="n"/>
      <c r="CO64" s="268" t="n"/>
      <c r="CP64" s="268" t="n"/>
      <c r="CQ64" s="268" t="n"/>
      <c r="CR64" s="268" t="n"/>
      <c r="CS64" s="268" t="n"/>
      <c r="CT64" s="268" t="n"/>
      <c r="CU64" s="268" t="n"/>
      <c r="CV64" s="268" t="n"/>
      <c r="CW64" s="268" t="n"/>
      <c r="CX64" s="268" t="n"/>
      <c r="CY64" s="268" t="n"/>
    </row>
    <row r="65" hidden="1" outlineLevel="1" ht="12.75" customHeight="1" s="255">
      <c r="C65" s="312" t="inlineStr">
        <is>
          <t>RECEITA FINANCEIRA</t>
        </is>
      </c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n"/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I65" s="268" t="n"/>
      <c r="AJ65" s="268" t="n"/>
      <c r="AK65" s="268" t="n"/>
      <c r="AL65" s="268" t="n"/>
      <c r="AM65" s="268" t="n"/>
      <c r="AN65" s="268" t="n"/>
      <c r="AO65" s="268" t="n"/>
      <c r="AP65" s="268" t="n"/>
      <c r="AQ65" s="268" t="n"/>
      <c r="AR65" s="268" t="n"/>
      <c r="AS65" s="268" t="n"/>
      <c r="AT65" s="268" t="n"/>
      <c r="AU65" s="268" t="n"/>
      <c r="AV65" s="268" t="n"/>
      <c r="AW65" s="268" t="n"/>
      <c r="AX65" s="268" t="n"/>
      <c r="AY65" s="268" t="n"/>
      <c r="AZ65" s="268" t="n"/>
      <c r="BA65" s="268" t="n"/>
      <c r="BB65" s="268" t="n"/>
      <c r="BC65" s="268" t="n"/>
      <c r="BD65" s="268" t="n"/>
      <c r="BE65" s="268" t="n"/>
      <c r="BF65" s="268" t="n"/>
      <c r="BG65" s="268" t="n"/>
      <c r="BH65" s="268" t="n"/>
      <c r="BI65" s="268" t="n"/>
      <c r="BJ65" s="268" t="n"/>
      <c r="BK65" s="268" t="n"/>
      <c r="BL65" s="268" t="n"/>
      <c r="BM65" s="268" t="n"/>
      <c r="BN65" s="268" t="n"/>
      <c r="BO65" s="268" t="n"/>
      <c r="BP65" s="268" t="n"/>
      <c r="BQ65" s="268" t="n"/>
      <c r="BR65" s="268" t="n"/>
      <c r="BS65" s="268" t="n"/>
      <c r="BT65" s="268" t="n"/>
      <c r="BU65" s="268" t="n"/>
      <c r="BV65" s="268" t="n"/>
      <c r="BW65" s="268" t="n"/>
      <c r="BX65" s="268" t="n"/>
      <c r="BY65" s="268" t="n"/>
      <c r="BZ65" s="268" t="n"/>
      <c r="CA65" s="268" t="n"/>
      <c r="CB65" s="268" t="n"/>
      <c r="CC65" s="268" t="n"/>
      <c r="CD65" s="268" t="n"/>
      <c r="CE65" s="268" t="n"/>
      <c r="CF65" s="268" t="n"/>
      <c r="CG65" s="268" t="n"/>
      <c r="CH65" s="268" t="n"/>
      <c r="CI65" s="268" t="n"/>
      <c r="CJ65" s="268" t="n"/>
      <c r="CK65" s="268" t="n"/>
      <c r="CL65" s="268" t="n"/>
      <c r="CM65" s="268" t="n"/>
      <c r="CN65" s="268" t="n"/>
      <c r="CO65" s="268" t="n"/>
      <c r="CP65" s="268" t="n"/>
      <c r="CQ65" s="268" t="n"/>
      <c r="CR65" s="268" t="n"/>
      <c r="CS65" s="268" t="n"/>
      <c r="CT65" s="268" t="n"/>
      <c r="CU65" s="268" t="n"/>
      <c r="CV65" s="268" t="n"/>
      <c r="CW65" s="268" t="n"/>
      <c r="CX65" s="268" t="n"/>
      <c r="CY65" s="268" t="n"/>
    </row>
    <row r="66" hidden="1" outlineLevel="1" ht="12.75" customHeight="1" s="255">
      <c r="C66" s="312" t="inlineStr">
        <is>
          <t>DESPESA FINANCEIRA</t>
        </is>
      </c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68" t="n"/>
      <c r="T66" s="268" t="n"/>
      <c r="U66" s="268" t="n"/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I66" s="268" t="n"/>
      <c r="AJ66" s="268" t="n"/>
      <c r="AK66" s="268" t="n"/>
      <c r="AL66" s="268" t="n"/>
      <c r="AM66" s="268" t="n"/>
      <c r="AN66" s="268" t="n"/>
      <c r="AO66" s="268" t="n"/>
      <c r="AP66" s="268" t="n"/>
      <c r="AQ66" s="268" t="n"/>
      <c r="AR66" s="268" t="n"/>
      <c r="AS66" s="268" t="n"/>
      <c r="AT66" s="268" t="n"/>
      <c r="AU66" s="268" t="n"/>
      <c r="AV66" s="268" t="n"/>
      <c r="AW66" s="268" t="n"/>
      <c r="AX66" s="268" t="n"/>
      <c r="AY66" s="268" t="n"/>
      <c r="AZ66" s="268" t="n"/>
      <c r="BA66" s="268" t="n"/>
      <c r="BB66" s="268" t="n"/>
      <c r="BC66" s="268" t="n"/>
      <c r="BD66" s="268" t="n"/>
      <c r="BE66" s="268" t="n"/>
      <c r="BF66" s="268" t="n"/>
      <c r="BG66" s="268" t="n"/>
      <c r="BH66" s="268" t="n"/>
      <c r="BI66" s="268" t="n"/>
      <c r="BJ66" s="268" t="n"/>
      <c r="BK66" s="268" t="n"/>
      <c r="BL66" s="268" t="n"/>
      <c r="BM66" s="268" t="n"/>
      <c r="BN66" s="268" t="n"/>
      <c r="BO66" s="268" t="n"/>
      <c r="BP66" s="268" t="n"/>
      <c r="BQ66" s="268" t="n"/>
      <c r="BR66" s="268" t="n"/>
      <c r="BS66" s="268" t="n"/>
      <c r="BT66" s="268" t="n"/>
      <c r="BU66" s="268" t="n"/>
      <c r="BV66" s="268" t="n"/>
      <c r="BW66" s="268" t="n"/>
      <c r="BX66" s="268" t="n"/>
      <c r="BY66" s="268" t="n"/>
      <c r="BZ66" s="268" t="n"/>
      <c r="CA66" s="268" t="n"/>
      <c r="CB66" s="268" t="n"/>
      <c r="CC66" s="268" t="n"/>
      <c r="CD66" s="268" t="n"/>
      <c r="CE66" s="268" t="n"/>
      <c r="CF66" s="268" t="n"/>
      <c r="CG66" s="268" t="n"/>
      <c r="CH66" s="268" t="n"/>
      <c r="CI66" s="268" t="n"/>
      <c r="CJ66" s="268" t="n"/>
      <c r="CK66" s="268" t="n"/>
      <c r="CL66" s="268" t="n"/>
      <c r="CM66" s="268" t="n"/>
      <c r="CN66" s="268" t="n"/>
      <c r="CO66" s="268" t="n"/>
      <c r="CP66" s="268" t="n"/>
      <c r="CQ66" s="268" t="n"/>
      <c r="CR66" s="268" t="n"/>
      <c r="CS66" s="268" t="n"/>
      <c r="CT66" s="268" t="n"/>
      <c r="CU66" s="268" t="n"/>
      <c r="CV66" s="268" t="n"/>
      <c r="CW66" s="268" t="n"/>
      <c r="CX66" s="268" t="n"/>
      <c r="CY66" s="268" t="n"/>
    </row>
    <row r="67" hidden="1" outlineLevel="1" ht="12.75" customHeight="1" s="255">
      <c r="C67" s="312" t="inlineStr">
        <is>
          <t>OUTROS</t>
        </is>
      </c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  <c r="P67" s="268" t="n"/>
      <c r="Q67" s="268" t="n"/>
      <c r="R67" s="268" t="n"/>
      <c r="S67" s="268" t="n"/>
      <c r="T67" s="268" t="n"/>
      <c r="U67" s="268" t="n"/>
      <c r="V67" s="268" t="n"/>
      <c r="W67" s="268" t="n"/>
      <c r="X67" s="268" t="n"/>
      <c r="Y67" s="268" t="n"/>
      <c r="Z67" s="268" t="n"/>
      <c r="AA67" s="268" t="n"/>
      <c r="AB67" s="268" t="n"/>
      <c r="AC67" s="268" t="n"/>
      <c r="AD67" s="268" t="n"/>
      <c r="AE67" s="268" t="n"/>
      <c r="AF67" s="268" t="n"/>
      <c r="AG67" s="268" t="n"/>
      <c r="AH67" s="268" t="n"/>
      <c r="AI67" s="268" t="n"/>
      <c r="AJ67" s="268" t="n"/>
      <c r="AK67" s="268" t="n"/>
      <c r="AL67" s="268" t="n"/>
      <c r="AM67" s="268" t="n"/>
      <c r="AN67" s="268" t="n"/>
      <c r="AO67" s="268" t="n"/>
      <c r="AP67" s="268" t="n"/>
      <c r="AQ67" s="268" t="n"/>
      <c r="AR67" s="268" t="n"/>
      <c r="AS67" s="268" t="n"/>
      <c r="AT67" s="268" t="n"/>
      <c r="AU67" s="268" t="n"/>
      <c r="AV67" s="268" t="n"/>
      <c r="AW67" s="268" t="n"/>
      <c r="AX67" s="268" t="n"/>
      <c r="AY67" s="268" t="n"/>
      <c r="AZ67" s="268" t="n"/>
      <c r="BA67" s="268" t="n"/>
      <c r="BB67" s="268" t="n"/>
      <c r="BC67" s="268" t="n"/>
      <c r="BD67" s="268" t="n"/>
      <c r="BE67" s="268" t="n"/>
      <c r="BF67" s="268" t="n"/>
      <c r="BG67" s="268" t="n"/>
      <c r="BH67" s="268" t="n"/>
      <c r="BI67" s="268" t="n"/>
      <c r="BJ67" s="268" t="n"/>
      <c r="BK67" s="268" t="n"/>
      <c r="BL67" s="268" t="n"/>
      <c r="BM67" s="268" t="n"/>
      <c r="BN67" s="268" t="n"/>
      <c r="BO67" s="268" t="n"/>
      <c r="BP67" s="268" t="n"/>
      <c r="BQ67" s="268" t="n"/>
      <c r="BR67" s="268" t="n"/>
      <c r="BS67" s="268" t="n"/>
      <c r="BT67" s="268" t="n"/>
      <c r="BU67" s="268" t="n"/>
      <c r="BV67" s="268" t="n"/>
      <c r="BW67" s="268" t="n"/>
      <c r="BX67" s="268" t="n"/>
      <c r="BY67" s="268" t="n"/>
      <c r="BZ67" s="268" t="n"/>
      <c r="CA67" s="268" t="n"/>
      <c r="CB67" s="268" t="n"/>
      <c r="CC67" s="268" t="n"/>
      <c r="CD67" s="268" t="n"/>
      <c r="CE67" s="268" t="n"/>
      <c r="CF67" s="268" t="n"/>
      <c r="CG67" s="268" t="n"/>
      <c r="CH67" s="268" t="n"/>
      <c r="CI67" s="268" t="n"/>
      <c r="CJ67" s="268" t="n"/>
      <c r="CK67" s="268" t="n"/>
      <c r="CL67" s="268" t="n"/>
      <c r="CM67" s="268" t="n"/>
      <c r="CN67" s="268" t="n"/>
      <c r="CO67" s="268" t="n"/>
      <c r="CP67" s="268" t="n"/>
      <c r="CQ67" s="268" t="n"/>
      <c r="CR67" s="268" t="n"/>
      <c r="CS67" s="268" t="n"/>
      <c r="CT67" s="268" t="n"/>
      <c r="CU67" s="268" t="n"/>
      <c r="CV67" s="268" t="n"/>
      <c r="CW67" s="268" t="n"/>
      <c r="CX67" s="268" t="n"/>
      <c r="CY67" s="268" t="n"/>
    </row>
    <row r="68" hidden="1" outlineLevel="1" ht="12.75" customHeight="1" s="255">
      <c r="C68" s="312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  <c r="P68" s="268" t="n"/>
      <c r="Q68" s="268" t="n"/>
      <c r="R68" s="268" t="n"/>
      <c r="S68" s="268" t="n"/>
      <c r="T68" s="268" t="n"/>
      <c r="U68" s="268" t="n"/>
      <c r="V68" s="268" t="n"/>
      <c r="W68" s="268" t="n"/>
      <c r="X68" s="268" t="n"/>
      <c r="Y68" s="268" t="n"/>
      <c r="Z68" s="268" t="n"/>
      <c r="AA68" s="268" t="n"/>
      <c r="AB68" s="268" t="n"/>
      <c r="AC68" s="268" t="n"/>
      <c r="AD68" s="268" t="n"/>
      <c r="AE68" s="268" t="n"/>
      <c r="AF68" s="268" t="n"/>
      <c r="AG68" s="268" t="n"/>
      <c r="AH68" s="268" t="n"/>
      <c r="AI68" s="268" t="n"/>
      <c r="AJ68" s="268" t="n"/>
      <c r="AK68" s="268" t="n"/>
      <c r="AL68" s="268" t="n"/>
      <c r="AM68" s="268" t="n"/>
      <c r="AN68" s="268" t="n"/>
      <c r="AO68" s="268" t="n"/>
      <c r="AP68" s="268" t="n"/>
      <c r="AQ68" s="268" t="n"/>
      <c r="AR68" s="268" t="n"/>
      <c r="AS68" s="268" t="n"/>
      <c r="AT68" s="268" t="n"/>
      <c r="AU68" s="268" t="n"/>
      <c r="AV68" s="268" t="n"/>
      <c r="AW68" s="268" t="n"/>
      <c r="AX68" s="268" t="n"/>
      <c r="AY68" s="268" t="n"/>
      <c r="AZ68" s="268" t="n"/>
      <c r="BA68" s="268" t="n"/>
      <c r="BB68" s="268" t="n"/>
      <c r="BC68" s="268" t="n"/>
      <c r="BD68" s="268" t="n"/>
      <c r="BE68" s="268" t="n"/>
      <c r="BF68" s="268" t="n"/>
      <c r="BG68" s="268" t="n"/>
      <c r="BH68" s="268" t="n"/>
      <c r="BI68" s="268" t="n"/>
      <c r="BJ68" s="268" t="n"/>
      <c r="BK68" s="268" t="n"/>
      <c r="BL68" s="268" t="n"/>
      <c r="BM68" s="268" t="n"/>
      <c r="BN68" s="268" t="n"/>
      <c r="BO68" s="268" t="n"/>
      <c r="BP68" s="268" t="n"/>
      <c r="BQ68" s="268" t="n"/>
      <c r="BR68" s="268" t="n"/>
      <c r="BS68" s="268" t="n"/>
      <c r="BT68" s="268" t="n"/>
      <c r="BU68" s="268" t="n"/>
      <c r="BV68" s="268" t="n"/>
      <c r="BW68" s="268" t="n"/>
      <c r="BX68" s="268" t="n"/>
      <c r="BY68" s="268" t="n"/>
      <c r="BZ68" s="268" t="n"/>
      <c r="CA68" s="268" t="n"/>
      <c r="CB68" s="268" t="n"/>
      <c r="CC68" s="268" t="n"/>
      <c r="CD68" s="268" t="n"/>
      <c r="CE68" s="268" t="n"/>
      <c r="CF68" s="268" t="n"/>
      <c r="CG68" s="268" t="n"/>
      <c r="CH68" s="268" t="n"/>
      <c r="CI68" s="268" t="n"/>
      <c r="CJ68" s="268" t="n"/>
      <c r="CK68" s="268" t="n"/>
      <c r="CL68" s="268" t="n"/>
      <c r="CM68" s="268" t="n"/>
      <c r="CN68" s="268" t="n"/>
      <c r="CO68" s="268" t="n"/>
      <c r="CP68" s="268" t="n"/>
      <c r="CQ68" s="268" t="n"/>
      <c r="CR68" s="268" t="n"/>
      <c r="CS68" s="268" t="n"/>
      <c r="CT68" s="268" t="n"/>
      <c r="CU68" s="268" t="n"/>
      <c r="CV68" s="268" t="n"/>
      <c r="CW68" s="268" t="n"/>
      <c r="CX68" s="268" t="n"/>
      <c r="CY68" s="268" t="n"/>
    </row>
    <row r="69" hidden="1" outlineLevel="1" ht="12.75" customHeight="1" s="255">
      <c r="C69" s="312" t="inlineStr">
        <is>
          <t>Cash and equivalents (inc. investment securities)</t>
        </is>
      </c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8" t="n"/>
      <c r="AJ69" s="268" t="n"/>
      <c r="AK69" s="268" t="n"/>
      <c r="AL69" s="268" t="n"/>
      <c r="AM69" s="268" t="n"/>
      <c r="AN69" s="268" t="n"/>
      <c r="AO69" s="268" t="n"/>
      <c r="AP69" s="268" t="n"/>
      <c r="AQ69" s="268" t="n"/>
      <c r="AR69" s="268" t="n"/>
      <c r="AS69" s="268" t="n"/>
      <c r="AT69" s="268" t="n"/>
      <c r="AU69" s="268" t="n"/>
      <c r="AV69" s="268" t="n"/>
      <c r="AW69" s="268" t="n"/>
      <c r="AX69" s="268" t="n"/>
      <c r="AY69" s="268" t="n"/>
      <c r="AZ69" s="268" t="n"/>
      <c r="BA69" s="268" t="n"/>
      <c r="BB69" s="268" t="n"/>
      <c r="BC69" s="268" t="n"/>
      <c r="BD69" s="268" t="n"/>
      <c r="BE69" s="268" t="n"/>
      <c r="BF69" s="268" t="n"/>
      <c r="BG69" s="268" t="n"/>
      <c r="BH69" s="268" t="n"/>
      <c r="BI69" s="268" t="n"/>
      <c r="BJ69" s="268" t="n"/>
      <c r="BK69" s="268" t="n"/>
      <c r="BL69" s="268" t="n"/>
      <c r="BM69" s="268" t="n"/>
      <c r="BN69" s="268" t="n"/>
      <c r="BO69" s="268" t="n"/>
      <c r="BP69" s="268" t="n"/>
      <c r="BQ69" s="268" t="n"/>
      <c r="BR69" s="268" t="n"/>
      <c r="BS69" s="268" t="n"/>
      <c r="BT69" s="268" t="n"/>
      <c r="BU69" s="268" t="n"/>
      <c r="BV69" s="268" t="n"/>
      <c r="BW69" s="268" t="n"/>
      <c r="BX69" s="268" t="n"/>
      <c r="BY69" s="268" t="n"/>
      <c r="BZ69" s="268" t="n"/>
      <c r="CA69" s="268" t="n"/>
      <c r="CB69" s="268" t="n"/>
      <c r="CC69" s="268" t="n"/>
      <c r="CD69" s="268" t="n"/>
      <c r="CE69" s="268" t="n"/>
      <c r="CF69" s="268" t="n"/>
      <c r="CG69" s="268" t="n"/>
      <c r="CH69" s="268" t="n"/>
      <c r="CI69" s="268" t="n"/>
      <c r="CJ69" s="268" t="n"/>
      <c r="CK69" s="268" t="n"/>
      <c r="CL69" s="268" t="n"/>
      <c r="CM69" s="268" t="n"/>
      <c r="CN69" s="268" t="n"/>
      <c r="CO69" s="268" t="n"/>
      <c r="CP69" s="268" t="n"/>
      <c r="CQ69" s="268" t="n"/>
      <c r="CR69" s="268" t="n"/>
      <c r="CS69" s="268" t="n"/>
      <c r="CT69" s="268" t="n"/>
      <c r="CU69" s="268" t="n"/>
      <c r="CV69" s="268" t="n"/>
      <c r="CW69" s="268" t="n"/>
      <c r="CX69" s="268" t="n"/>
      <c r="CY69" s="268" t="n"/>
    </row>
    <row r="70" hidden="1" outlineLevel="1" ht="12.75" customHeight="1" s="255">
      <c r="C70" s="312" t="inlineStr">
        <is>
          <t>Interest on cash</t>
        </is>
      </c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8" t="n"/>
      <c r="AJ70" s="268" t="n"/>
      <c r="AK70" s="268" t="n"/>
      <c r="AL70" s="268" t="n"/>
      <c r="AM70" s="268" t="n"/>
      <c r="AN70" s="268" t="n"/>
      <c r="AO70" s="268" t="n"/>
      <c r="AP70" s="268" t="n"/>
      <c r="AQ70" s="268" t="n"/>
      <c r="AR70" s="268" t="n"/>
      <c r="AS70" s="268" t="n"/>
      <c r="AT70" s="268" t="n"/>
      <c r="AU70" s="268" t="n"/>
      <c r="AV70" s="268" t="n"/>
      <c r="AW70" s="268" t="n"/>
      <c r="AX70" s="268" t="n"/>
      <c r="AY70" s="268" t="n"/>
      <c r="AZ70" s="268" t="n"/>
      <c r="BA70" s="268" t="n"/>
      <c r="BB70" s="268" t="n"/>
      <c r="BC70" s="268" t="n"/>
      <c r="BD70" s="268" t="n"/>
      <c r="BE70" s="268" t="n"/>
      <c r="BF70" s="268" t="n"/>
      <c r="BG70" s="268" t="n"/>
      <c r="BH70" s="268" t="n"/>
      <c r="BI70" s="268" t="n"/>
      <c r="BJ70" s="268" t="n"/>
      <c r="BK70" s="268" t="n"/>
      <c r="BL70" s="268" t="n"/>
      <c r="BM70" s="268" t="n"/>
      <c r="BN70" s="268" t="n"/>
      <c r="BO70" s="268" t="n"/>
      <c r="BP70" s="268" t="n"/>
      <c r="BQ70" s="268" t="n"/>
      <c r="BR70" s="268" t="n"/>
      <c r="BS70" s="268" t="n"/>
      <c r="BT70" s="268" t="n"/>
      <c r="BU70" s="268" t="n"/>
      <c r="BV70" s="268" t="n"/>
      <c r="BW70" s="268" t="n"/>
      <c r="BX70" s="268" t="n"/>
      <c r="BY70" s="268" t="n"/>
      <c r="BZ70" s="268" t="n"/>
      <c r="CA70" s="268" t="n"/>
      <c r="CB70" s="268" t="n"/>
      <c r="CC70" s="268" t="n"/>
      <c r="CD70" s="268" t="n"/>
      <c r="CE70" s="268" t="n"/>
      <c r="CF70" s="268" t="n"/>
      <c r="CG70" s="268" t="n"/>
      <c r="CH70" s="268" t="n"/>
      <c r="CI70" s="268" t="n"/>
      <c r="CJ70" s="268" t="n"/>
      <c r="CK70" s="268" t="n"/>
      <c r="CL70" s="268" t="n"/>
      <c r="CM70" s="268" t="n"/>
      <c r="CN70" s="268" t="n"/>
      <c r="CO70" s="268" t="n"/>
      <c r="CP70" s="268" t="n"/>
      <c r="CQ70" s="268" t="n"/>
      <c r="CR70" s="268" t="n"/>
      <c r="CS70" s="268" t="n"/>
      <c r="CT70" s="268" t="n"/>
      <c r="CU70" s="268" t="n"/>
      <c r="CV70" s="268" t="n"/>
      <c r="CW70" s="268" t="n"/>
      <c r="CX70" s="268" t="n"/>
      <c r="CY70" s="268" t="n"/>
    </row>
    <row r="71" hidden="1" outlineLevel="1" ht="12.75" customHeight="1" s="255">
      <c r="C71" s="312" t="inlineStr">
        <is>
          <t>Average interest rate</t>
        </is>
      </c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8" t="n"/>
      <c r="AL71" s="268" t="n"/>
      <c r="AM71" s="268" t="n"/>
      <c r="AN71" s="268" t="n"/>
      <c r="AO71" s="268" t="n"/>
      <c r="AP71" s="268" t="n"/>
      <c r="AQ71" s="268" t="n"/>
      <c r="AR71" s="268" t="n"/>
      <c r="AS71" s="268" t="n"/>
      <c r="AT71" s="268" t="n"/>
      <c r="AU71" s="268" t="n"/>
      <c r="AV71" s="268" t="n"/>
      <c r="AW71" s="268" t="n"/>
      <c r="AX71" s="268" t="n"/>
      <c r="AY71" s="268" t="n"/>
      <c r="AZ71" s="268" t="n"/>
      <c r="BA71" s="268" t="n"/>
      <c r="BB71" s="268" t="n"/>
      <c r="BC71" s="268" t="n"/>
      <c r="BD71" s="268" t="n"/>
      <c r="BE71" s="268" t="n"/>
      <c r="BF71" s="268" t="n"/>
      <c r="BG71" s="268" t="n"/>
      <c r="BH71" s="268" t="n"/>
      <c r="BI71" s="268" t="n"/>
      <c r="BJ71" s="268" t="n"/>
      <c r="BK71" s="268" t="n"/>
      <c r="BL71" s="268" t="n"/>
      <c r="BM71" s="268" t="n"/>
      <c r="BN71" s="268" t="n"/>
      <c r="BO71" s="268" t="n"/>
      <c r="BP71" s="268" t="n"/>
      <c r="BQ71" s="268" t="n"/>
      <c r="BR71" s="268" t="n"/>
      <c r="BS71" s="268" t="n"/>
      <c r="BT71" s="268" t="n"/>
      <c r="BU71" s="268" t="n"/>
      <c r="BV71" s="268" t="n"/>
      <c r="BW71" s="268" t="n"/>
      <c r="BX71" s="268" t="n"/>
      <c r="BY71" s="268" t="n"/>
      <c r="BZ71" s="268" t="n"/>
      <c r="CA71" s="268" t="n"/>
      <c r="CB71" s="268" t="n"/>
      <c r="CC71" s="268" t="n"/>
      <c r="CD71" s="268" t="n"/>
      <c r="CE71" s="268" t="n"/>
      <c r="CF71" s="268" t="n"/>
      <c r="CG71" s="268" t="n"/>
      <c r="CH71" s="268" t="n"/>
      <c r="CI71" s="268" t="n"/>
      <c r="CJ71" s="268" t="n"/>
      <c r="CK71" s="268" t="n"/>
      <c r="CL71" s="268" t="n"/>
      <c r="CM71" s="268" t="n"/>
      <c r="CN71" s="268" t="n"/>
      <c r="CO71" s="268" t="n"/>
      <c r="CP71" s="268" t="n"/>
      <c r="CQ71" s="268" t="n"/>
      <c r="CR71" s="268" t="n"/>
      <c r="CS71" s="268" t="n"/>
      <c r="CT71" s="268" t="n"/>
      <c r="CU71" s="268" t="n"/>
      <c r="CV71" s="268" t="n"/>
      <c r="CW71" s="268" t="n"/>
      <c r="CX71" s="268" t="n"/>
      <c r="CY71" s="268" t="n"/>
    </row>
    <row r="72" hidden="1" outlineLevel="1" ht="12.75" customHeight="1" s="255">
      <c r="C72" s="312" t="inlineStr">
        <is>
          <t>% CDI</t>
        </is>
      </c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8" t="n"/>
      <c r="AJ72" s="268" t="n"/>
      <c r="AK72" s="268" t="n"/>
      <c r="AL72" s="268" t="n"/>
      <c r="AM72" s="268" t="n"/>
      <c r="AN72" s="268" t="n"/>
      <c r="AO72" s="268" t="n"/>
      <c r="AP72" s="268" t="n"/>
      <c r="AQ72" s="268" t="n"/>
      <c r="AR72" s="268" t="n"/>
      <c r="AS72" s="268" t="n"/>
      <c r="AT72" s="268" t="n"/>
      <c r="AU72" s="268" t="n"/>
      <c r="AV72" s="268" t="n"/>
      <c r="AW72" s="268" t="n"/>
      <c r="AX72" s="268" t="n"/>
      <c r="AY72" s="268" t="n"/>
      <c r="AZ72" s="268" t="n"/>
      <c r="BA72" s="268" t="n"/>
      <c r="BB72" s="268" t="n"/>
      <c r="BC72" s="268" t="n"/>
      <c r="BD72" s="268" t="n"/>
      <c r="BE72" s="268" t="n"/>
      <c r="BF72" s="268" t="n"/>
      <c r="BG72" s="268" t="n"/>
      <c r="BH72" s="268" t="n"/>
      <c r="BI72" s="268" t="n"/>
      <c r="BJ72" s="268" t="n"/>
      <c r="BK72" s="268" t="n"/>
      <c r="BL72" s="268" t="n"/>
      <c r="BM72" s="268" t="n"/>
      <c r="BN72" s="268" t="n"/>
      <c r="BO72" s="268" t="n"/>
      <c r="BP72" s="268" t="n"/>
      <c r="BQ72" s="268" t="n"/>
      <c r="BR72" s="268" t="n"/>
      <c r="BS72" s="268" t="n"/>
      <c r="BT72" s="268" t="n"/>
      <c r="BU72" s="268" t="n"/>
      <c r="BV72" s="268" t="n"/>
      <c r="BW72" s="268" t="n"/>
      <c r="BX72" s="268" t="n"/>
      <c r="BY72" s="268" t="n"/>
      <c r="BZ72" s="268" t="n"/>
      <c r="CA72" s="268" t="n"/>
      <c r="CB72" s="268" t="n"/>
      <c r="CC72" s="268" t="n"/>
      <c r="CD72" s="268" t="n"/>
      <c r="CE72" s="268" t="n"/>
      <c r="CF72" s="268" t="n"/>
      <c r="CG72" s="268" t="n"/>
      <c r="CH72" s="268" t="n"/>
      <c r="CI72" s="268" t="n"/>
      <c r="CJ72" s="268" t="n"/>
      <c r="CK72" s="268" t="n"/>
      <c r="CL72" s="268" t="n"/>
      <c r="CM72" s="268" t="n"/>
      <c r="CN72" s="268" t="n"/>
      <c r="CO72" s="268" t="n"/>
      <c r="CP72" s="268" t="n"/>
      <c r="CQ72" s="268" t="n"/>
      <c r="CR72" s="268" t="n"/>
      <c r="CS72" s="268" t="n"/>
      <c r="CT72" s="268" t="n"/>
      <c r="CU72" s="268" t="n"/>
      <c r="CV72" s="268" t="n"/>
      <c r="CW72" s="268" t="n"/>
      <c r="CX72" s="268" t="n"/>
      <c r="CY72" s="268" t="n"/>
    </row>
    <row r="73" hidden="1" outlineLevel="1" ht="12.75" customHeight="1" s="255">
      <c r="C73" s="312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8" t="n"/>
      <c r="AJ73" s="268" t="n"/>
      <c r="AK73" s="268" t="n"/>
      <c r="AL73" s="268" t="n"/>
      <c r="AM73" s="268" t="n"/>
      <c r="AN73" s="268" t="n"/>
      <c r="AO73" s="268" t="n"/>
      <c r="AP73" s="268" t="n"/>
      <c r="AQ73" s="268" t="n"/>
      <c r="AR73" s="268" t="n"/>
      <c r="AS73" s="268" t="n"/>
      <c r="AT73" s="268" t="n"/>
      <c r="AU73" s="268" t="n"/>
      <c r="AV73" s="268" t="n"/>
      <c r="AW73" s="268" t="n"/>
      <c r="AX73" s="268" t="n"/>
      <c r="AY73" s="268" t="n"/>
      <c r="AZ73" s="268" t="n"/>
      <c r="BA73" s="268" t="n"/>
      <c r="BB73" s="268" t="n"/>
      <c r="BC73" s="268" t="n"/>
      <c r="BD73" s="268" t="n"/>
      <c r="BE73" s="268" t="n"/>
      <c r="BF73" s="268" t="n"/>
      <c r="BG73" s="268" t="n"/>
      <c r="BH73" s="268" t="n"/>
      <c r="BI73" s="268" t="n"/>
      <c r="BJ73" s="268" t="n"/>
      <c r="BK73" s="268" t="n"/>
      <c r="BL73" s="268" t="n"/>
      <c r="BM73" s="268" t="n"/>
      <c r="BN73" s="268" t="n"/>
      <c r="BO73" s="268" t="n"/>
      <c r="BP73" s="268" t="n"/>
      <c r="BQ73" s="268" t="n"/>
      <c r="BR73" s="268" t="n"/>
      <c r="BS73" s="268" t="n"/>
      <c r="BT73" s="268" t="n"/>
      <c r="BU73" s="268" t="n"/>
      <c r="BV73" s="268" t="n"/>
      <c r="BW73" s="268" t="n"/>
      <c r="BX73" s="268" t="n"/>
      <c r="BY73" s="268" t="n"/>
      <c r="BZ73" s="268" t="n"/>
      <c r="CA73" s="268" t="n"/>
      <c r="CB73" s="268" t="n"/>
      <c r="CC73" s="268" t="n"/>
      <c r="CD73" s="268" t="n"/>
      <c r="CE73" s="268" t="n"/>
      <c r="CF73" s="268" t="n"/>
      <c r="CG73" s="268" t="n"/>
      <c r="CH73" s="268" t="n"/>
      <c r="CI73" s="268" t="n"/>
      <c r="CJ73" s="268" t="n"/>
      <c r="CK73" s="268" t="n"/>
      <c r="CL73" s="268" t="n"/>
      <c r="CM73" s="268" t="n"/>
      <c r="CN73" s="268" t="n"/>
      <c r="CO73" s="268" t="n"/>
      <c r="CP73" s="268" t="n"/>
      <c r="CQ73" s="268" t="n"/>
      <c r="CR73" s="268" t="n"/>
      <c r="CS73" s="268" t="n"/>
      <c r="CT73" s="268" t="n"/>
      <c r="CU73" s="268" t="n"/>
      <c r="CV73" s="268" t="n"/>
      <c r="CW73" s="268" t="n"/>
      <c r="CX73" s="268" t="n"/>
      <c r="CY73" s="268" t="n"/>
    </row>
    <row r="74" hidden="1" outlineLevel="1" ht="12.75" customHeight="1" s="255">
      <c r="C74" s="312" t="inlineStr">
        <is>
          <t>Current portion of long-term debt</t>
        </is>
      </c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idden="1" outlineLevel="1" ht="12.75" customHeight="1" s="255">
      <c r="C75" s="312" t="inlineStr">
        <is>
          <t>Short term debt (Revolving credit facility)</t>
        </is>
      </c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8" t="n"/>
      <c r="AL75" s="268" t="n"/>
      <c r="AM75" s="268" t="n"/>
      <c r="AN75" s="268" t="n"/>
      <c r="AO75" s="268" t="n"/>
      <c r="AP75" s="268" t="n"/>
      <c r="AQ75" s="268" t="n"/>
      <c r="AR75" s="268" t="n"/>
      <c r="AS75" s="268" t="n"/>
      <c r="AT75" s="268" t="n"/>
      <c r="AU75" s="268" t="n"/>
      <c r="AV75" s="268" t="n"/>
      <c r="AW75" s="268" t="n"/>
      <c r="AX75" s="268" t="n"/>
      <c r="AY75" s="268" t="n"/>
      <c r="AZ75" s="268" t="n"/>
      <c r="BA75" s="268" t="n"/>
      <c r="BB75" s="268" t="n"/>
      <c r="BC75" s="268" t="n"/>
      <c r="BD75" s="268" t="n"/>
      <c r="BE75" s="268" t="n"/>
      <c r="BF75" s="268" t="n"/>
      <c r="BG75" s="268" t="n"/>
      <c r="BH75" s="268" t="n"/>
      <c r="BI75" s="268" t="n"/>
      <c r="BJ75" s="268" t="n"/>
      <c r="BK75" s="268" t="n"/>
      <c r="BL75" s="268" t="n"/>
      <c r="BM75" s="268" t="n"/>
      <c r="BN75" s="268" t="n"/>
      <c r="BO75" s="268" t="n"/>
      <c r="BP75" s="268" t="n"/>
      <c r="BQ75" s="268" t="n"/>
      <c r="BR75" s="268" t="n"/>
      <c r="BS75" s="268" t="n"/>
      <c r="BT75" s="268" t="n"/>
      <c r="BU75" s="268" t="n"/>
      <c r="BV75" s="268" t="n"/>
      <c r="BW75" s="268" t="n"/>
      <c r="BX75" s="268" t="n"/>
      <c r="BY75" s="268" t="n"/>
      <c r="BZ75" s="268" t="n"/>
      <c r="CA75" s="268" t="n"/>
      <c r="CB75" s="268" t="n"/>
      <c r="CC75" s="268" t="n"/>
      <c r="CD75" s="268" t="n"/>
      <c r="CE75" s="268" t="n"/>
      <c r="CF75" s="268" t="n"/>
      <c r="CG75" s="268" t="n"/>
      <c r="CH75" s="268" t="n"/>
      <c r="CI75" s="268" t="n"/>
      <c r="CJ75" s="268" t="n"/>
      <c r="CK75" s="268" t="n"/>
      <c r="CL75" s="268" t="n"/>
      <c r="CM75" s="268" t="n"/>
      <c r="CN75" s="268" t="n"/>
      <c r="CO75" s="268" t="n"/>
      <c r="CP75" s="268" t="n"/>
      <c r="CQ75" s="268" t="n"/>
      <c r="CR75" s="268" t="n"/>
      <c r="CS75" s="268" t="n"/>
      <c r="CT75" s="268" t="n"/>
      <c r="CU75" s="268" t="n"/>
      <c r="CV75" s="268" t="n"/>
      <c r="CW75" s="268" t="n"/>
      <c r="CX75" s="268" t="n"/>
      <c r="CY75" s="268" t="n"/>
    </row>
    <row r="76" hidden="1" outlineLevel="1" ht="12.75" customHeight="1" s="255">
      <c r="C76" s="312" t="inlineStr">
        <is>
          <t>Long term debt</t>
        </is>
      </c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8" t="n"/>
      <c r="AJ76" s="268" t="n"/>
      <c r="AK76" s="268" t="n"/>
      <c r="AL76" s="268" t="n"/>
      <c r="AM76" s="268" t="n"/>
      <c r="AN76" s="268" t="n"/>
      <c r="AO76" s="268" t="n"/>
      <c r="AP76" s="268" t="n"/>
      <c r="AQ76" s="268" t="n"/>
      <c r="AR76" s="268" t="n"/>
      <c r="AS76" s="268" t="n"/>
      <c r="AT76" s="268" t="n"/>
      <c r="AU76" s="268" t="n"/>
      <c r="AV76" s="268" t="n"/>
      <c r="AW76" s="268" t="n"/>
      <c r="AX76" s="268" t="n"/>
      <c r="AY76" s="268" t="n"/>
      <c r="AZ76" s="268" t="n"/>
      <c r="BA76" s="268" t="n"/>
      <c r="BB76" s="268" t="n"/>
      <c r="BC76" s="268" t="n"/>
      <c r="BD76" s="268" t="n"/>
      <c r="BE76" s="268" t="n"/>
      <c r="BF76" s="268" t="n"/>
      <c r="BG76" s="268" t="n"/>
      <c r="BH76" s="268" t="n"/>
      <c r="BI76" s="268" t="n"/>
      <c r="BJ76" s="268" t="n"/>
      <c r="BK76" s="268" t="n"/>
      <c r="BL76" s="268" t="n"/>
      <c r="BM76" s="268" t="n"/>
      <c r="BN76" s="268" t="n"/>
      <c r="BO76" s="268" t="n"/>
      <c r="BP76" s="268" t="n"/>
      <c r="BQ76" s="268" t="n"/>
      <c r="BR76" s="268" t="n"/>
      <c r="BS76" s="268" t="n"/>
      <c r="BT76" s="268" t="n"/>
      <c r="BU76" s="268" t="n"/>
      <c r="BV76" s="268" t="n"/>
      <c r="BW76" s="268" t="n"/>
      <c r="BX76" s="268" t="n"/>
      <c r="BY76" s="268" t="n"/>
      <c r="BZ76" s="268" t="n"/>
      <c r="CA76" s="268" t="n"/>
      <c r="CB76" s="268" t="n"/>
      <c r="CC76" s="268" t="n"/>
      <c r="CD76" s="268" t="n"/>
      <c r="CE76" s="268" t="n"/>
      <c r="CF76" s="268" t="n"/>
      <c r="CG76" s="268" t="n"/>
      <c r="CH76" s="268" t="n"/>
      <c r="CI76" s="268" t="n"/>
      <c r="CJ76" s="268" t="n"/>
      <c r="CK76" s="268" t="n"/>
      <c r="CL76" s="268" t="n"/>
      <c r="CM76" s="268" t="n"/>
      <c r="CN76" s="268" t="n"/>
      <c r="CO76" s="268" t="n"/>
      <c r="CP76" s="268" t="n"/>
      <c r="CQ76" s="268" t="n"/>
      <c r="CR76" s="268" t="n"/>
      <c r="CS76" s="268" t="n"/>
      <c r="CT76" s="268" t="n"/>
      <c r="CU76" s="268" t="n"/>
      <c r="CV76" s="268" t="n"/>
      <c r="CW76" s="268" t="n"/>
      <c r="CX76" s="268" t="n"/>
      <c r="CY76" s="268" t="n"/>
    </row>
    <row r="77" hidden="1" outlineLevel="1" ht="12.75" customHeight="1" s="255">
      <c r="C77" s="312" t="inlineStr">
        <is>
          <t>Convertible debt</t>
        </is>
      </c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8" t="n"/>
      <c r="AL77" s="268" t="n"/>
      <c r="AM77" s="268" t="n"/>
      <c r="AN77" s="268" t="n"/>
      <c r="AO77" s="268" t="n"/>
      <c r="AP77" s="268" t="n"/>
      <c r="AQ77" s="268" t="n"/>
      <c r="AR77" s="268" t="n"/>
      <c r="AS77" s="268" t="n"/>
      <c r="AT77" s="268" t="n"/>
      <c r="AU77" s="268" t="n"/>
      <c r="AV77" s="268" t="n"/>
      <c r="AW77" s="268" t="n"/>
      <c r="AX77" s="268" t="n"/>
      <c r="AY77" s="268" t="n"/>
      <c r="AZ77" s="268" t="n"/>
      <c r="BA77" s="268" t="n"/>
      <c r="BB77" s="268" t="n"/>
      <c r="BC77" s="268" t="n"/>
      <c r="BD77" s="268" t="n"/>
      <c r="BE77" s="268" t="n"/>
      <c r="BF77" s="268" t="n"/>
      <c r="BG77" s="268" t="n"/>
      <c r="BH77" s="268" t="n"/>
      <c r="BI77" s="268" t="n"/>
      <c r="BJ77" s="268" t="n"/>
      <c r="BK77" s="268" t="n"/>
      <c r="BL77" s="268" t="n"/>
      <c r="BM77" s="268" t="n"/>
      <c r="BN77" s="268" t="n"/>
      <c r="BO77" s="268" t="n"/>
      <c r="BP77" s="268" t="n"/>
      <c r="BQ77" s="268" t="n"/>
      <c r="BR77" s="268" t="n"/>
      <c r="BS77" s="268" t="n"/>
      <c r="BT77" s="268" t="n"/>
      <c r="BU77" s="268" t="n"/>
      <c r="BV77" s="268" t="n"/>
      <c r="BW77" s="268" t="n"/>
      <c r="BX77" s="268" t="n"/>
      <c r="BY77" s="268" t="n"/>
      <c r="BZ77" s="268" t="n"/>
      <c r="CA77" s="268" t="n"/>
      <c r="CB77" s="268" t="n"/>
      <c r="CC77" s="268" t="n"/>
      <c r="CD77" s="268" t="n"/>
      <c r="CE77" s="268" t="n"/>
      <c r="CF77" s="268" t="n"/>
      <c r="CG77" s="268" t="n"/>
      <c r="CH77" s="268" t="n"/>
      <c r="CI77" s="268" t="n"/>
      <c r="CJ77" s="268" t="n"/>
      <c r="CK77" s="268" t="n"/>
      <c r="CL77" s="268" t="n"/>
      <c r="CM77" s="268" t="n"/>
      <c r="CN77" s="268" t="n"/>
      <c r="CO77" s="268" t="n"/>
      <c r="CP77" s="268" t="n"/>
      <c r="CQ77" s="268" t="n"/>
      <c r="CR77" s="268" t="n"/>
      <c r="CS77" s="268" t="n"/>
      <c r="CT77" s="268" t="n"/>
      <c r="CU77" s="268" t="n"/>
      <c r="CV77" s="268" t="n"/>
      <c r="CW77" s="268" t="n"/>
      <c r="CX77" s="268" t="n"/>
      <c r="CY77" s="268" t="n"/>
    </row>
    <row r="78" hidden="1" outlineLevel="1" ht="12.75" customHeight="1" s="255">
      <c r="C78" s="312" t="inlineStr">
        <is>
          <t>Total debt</t>
        </is>
      </c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8" t="n"/>
      <c r="AJ78" s="268" t="n"/>
      <c r="AK78" s="268" t="n"/>
      <c r="AL78" s="268" t="n"/>
      <c r="AM78" s="268" t="n"/>
      <c r="AN78" s="268" t="n"/>
      <c r="AO78" s="268" t="n"/>
      <c r="AP78" s="268" t="n"/>
      <c r="AQ78" s="268" t="n"/>
      <c r="AR78" s="268" t="n"/>
      <c r="AS78" s="268" t="n"/>
      <c r="AT78" s="268" t="n"/>
      <c r="AU78" s="268" t="n"/>
      <c r="AV78" s="268" t="n"/>
      <c r="AW78" s="268" t="n"/>
      <c r="AX78" s="268" t="n"/>
      <c r="AY78" s="268" t="n"/>
      <c r="AZ78" s="268" t="n"/>
      <c r="BA78" s="268" t="n"/>
      <c r="BB78" s="268" t="n"/>
      <c r="BC78" s="268" t="n"/>
      <c r="BD78" s="268" t="n"/>
      <c r="BE78" s="268" t="n"/>
      <c r="BF78" s="268" t="n"/>
      <c r="BG78" s="268" t="n"/>
      <c r="BH78" s="268" t="n"/>
      <c r="BI78" s="268" t="n"/>
      <c r="BJ78" s="268" t="n"/>
      <c r="BK78" s="268" t="n"/>
      <c r="BL78" s="268" t="n"/>
      <c r="BM78" s="268" t="n"/>
      <c r="BN78" s="268" t="n"/>
      <c r="BO78" s="268" t="n"/>
      <c r="BP78" s="268" t="n"/>
      <c r="BQ78" s="268" t="n"/>
      <c r="BR78" s="268" t="n"/>
      <c r="BS78" s="268" t="n"/>
      <c r="BT78" s="268" t="n"/>
      <c r="BU78" s="268" t="n"/>
      <c r="BV78" s="268" t="n"/>
      <c r="BW78" s="268" t="n"/>
      <c r="BX78" s="268" t="n"/>
      <c r="BY78" s="268" t="n"/>
      <c r="BZ78" s="268" t="n"/>
      <c r="CA78" s="268" t="n"/>
      <c r="CB78" s="268" t="n"/>
      <c r="CC78" s="268" t="n"/>
      <c r="CD78" s="268" t="n"/>
      <c r="CE78" s="268" t="n"/>
      <c r="CF78" s="268" t="n"/>
      <c r="CG78" s="268" t="n"/>
      <c r="CH78" s="268" t="n"/>
      <c r="CI78" s="268" t="n"/>
      <c r="CJ78" s="268" t="n"/>
      <c r="CK78" s="268" t="n"/>
      <c r="CL78" s="268" t="n"/>
      <c r="CM78" s="268" t="n"/>
      <c r="CN78" s="268" t="n"/>
      <c r="CO78" s="268" t="n"/>
      <c r="CP78" s="268" t="n"/>
      <c r="CQ78" s="268" t="n"/>
      <c r="CR78" s="268" t="n"/>
      <c r="CS78" s="268" t="n"/>
      <c r="CT78" s="268" t="n"/>
      <c r="CU78" s="268" t="n"/>
      <c r="CV78" s="268" t="n"/>
      <c r="CW78" s="268" t="n"/>
      <c r="CX78" s="268" t="n"/>
      <c r="CY78" s="268" t="n"/>
    </row>
    <row r="79" hidden="1" outlineLevel="1" ht="12.75" customHeight="1" s="255">
      <c r="C79" s="312" t="inlineStr">
        <is>
          <t>Interest expense</t>
        </is>
      </c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inlineStr">
        <is>
          <t>Average interest rate</t>
        </is>
      </c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n"/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Stake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PRE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inlineStr">
        <is>
          <t>CDI+</t>
        </is>
      </c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n"/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Spread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inlineStr">
        <is>
          <t>PRE</t>
        </is>
      </c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inlineStr">
        <is>
          <t>CDI+</t>
        </is>
      </c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n"/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RECEITAS FINANCEIRAS - Rendimentos de aplicações financeiras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inlineStr">
        <is>
          <t>RECEITAS FINANCEIRAS - Variação cambial ativa</t>
        </is>
      </c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RECEITAS FINANCEIRAS - Atualização de contas a pagar por aquisição de empresas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RECEITAS FINANCEIRAS - Resultado positivo com instrumentos derivativos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RECEITAS FINANCEIRAS - Descontos obtidos de fornecedores por antecipação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inlineStr">
        <is>
          <t>RECEITAS FINANCEIRAS - Atualização monetária sobre Exclusão ICMS da base de PIS/COFINS (nota explicativa nº 7)</t>
        </is>
      </c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inlineStr">
        <is>
          <t>RECEITAS FINANCEIRAS - Outras</t>
        </is>
      </c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n"/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DESPESAS FINANCEIRAS - Encargos sobre empréstimos, financiamentos e debêntures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DESPESAS FINANCEIRAS - Variação cambial passiva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DESPESAS FINANCEIRAS - Resultado negativo com instrumentos derivativos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inlineStr">
        <is>
          <t>DESPESAS FINANCEIRAS - Juros sobre arrendamento - IFRS16</t>
        </is>
      </c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DESPESAS FINANCEIRAS - Despesas bancárias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inlineStr">
        <is>
          <t>DESPESAS FINANCEIRAS - Despesas com obtenção de empréstimos e financiamentos</t>
        </is>
      </c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DESPESAS FINANCEIRAS - Atualização de contas a pagar por aquisição de empresas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inlineStr">
        <is>
          <t>DESPESAS FINANCEIRAS - Outras</t>
        </is>
      </c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n"/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inlineStr">
        <is>
          <t>CHECK [EX IFRS-16]</t>
        </is>
      </c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idden="1" outlineLevel="1" ht="12.75" customHeight="1" s="255">
      <c r="C108" s="312" t="n"/>
      <c r="D108" s="268" t="n"/>
      <c r="E108" s="268" t="n"/>
      <c r="F108" s="268" t="n"/>
      <c r="G108" s="268" t="n"/>
      <c r="H108" s="268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68" t="n"/>
      <c r="R108" s="268" t="n"/>
      <c r="S108" s="268" t="n"/>
      <c r="T108" s="268" t="n"/>
      <c r="U108" s="268" t="n"/>
      <c r="V108" s="268" t="n"/>
      <c r="W108" s="268" t="n"/>
      <c r="X108" s="268" t="n"/>
      <c r="Y108" s="268" t="n"/>
      <c r="Z108" s="268" t="n"/>
      <c r="AA108" s="268" t="n"/>
      <c r="AB108" s="268" t="n"/>
      <c r="AC108" s="268" t="n"/>
      <c r="AD108" s="268" t="n"/>
      <c r="AE108" s="268" t="n"/>
      <c r="AF108" s="268" t="n"/>
      <c r="AG108" s="268" t="n"/>
      <c r="AH108" s="268" t="n"/>
      <c r="AI108" s="268" t="n"/>
      <c r="AJ108" s="268" t="n"/>
      <c r="AK108" s="268" t="n"/>
      <c r="AL108" s="268" t="n"/>
      <c r="AM108" s="268" t="n"/>
      <c r="AN108" s="268" t="n"/>
      <c r="AO108" s="268" t="n"/>
      <c r="AP108" s="268" t="n"/>
      <c r="AQ108" s="268" t="n"/>
      <c r="AR108" s="268" t="n"/>
      <c r="AS108" s="268" t="n"/>
      <c r="AT108" s="268" t="n"/>
      <c r="AU108" s="268" t="n"/>
      <c r="AV108" s="268" t="n"/>
      <c r="AW108" s="268" t="n"/>
      <c r="AX108" s="268" t="n"/>
      <c r="AY108" s="268" t="n"/>
      <c r="AZ108" s="268" t="n"/>
      <c r="BA108" s="268" t="n"/>
      <c r="BB108" s="268" t="n"/>
      <c r="BC108" s="268" t="n"/>
      <c r="BD108" s="268" t="n"/>
      <c r="BE108" s="268" t="n"/>
      <c r="BF108" s="268" t="n"/>
      <c r="BG108" s="268" t="n"/>
      <c r="BH108" s="268" t="n"/>
      <c r="BI108" s="268" t="n"/>
      <c r="BJ108" s="268" t="n"/>
      <c r="BK108" s="268" t="n"/>
      <c r="BL108" s="268" t="n"/>
      <c r="BM108" s="268" t="n"/>
      <c r="BN108" s="268" t="n"/>
      <c r="BO108" s="268" t="n"/>
      <c r="BP108" s="268" t="n"/>
      <c r="BQ108" s="268" t="n"/>
      <c r="BR108" s="268" t="n"/>
      <c r="BS108" s="268" t="n"/>
      <c r="BT108" s="268" t="n"/>
      <c r="BU108" s="268" t="n"/>
      <c r="BV108" s="268" t="n"/>
      <c r="BW108" s="268" t="n"/>
      <c r="BX108" s="268" t="n"/>
      <c r="BY108" s="268" t="n"/>
      <c r="BZ108" s="268" t="n"/>
      <c r="CA108" s="268" t="n"/>
      <c r="CB108" s="268" t="n"/>
      <c r="CC108" s="268" t="n"/>
      <c r="CD108" s="268" t="n"/>
      <c r="CE108" s="268" t="n"/>
      <c r="CF108" s="268" t="n"/>
      <c r="CG108" s="268" t="n"/>
      <c r="CH108" s="268" t="n"/>
      <c r="CI108" s="268" t="n"/>
      <c r="CJ108" s="268" t="n"/>
      <c r="CK108" s="268" t="n"/>
      <c r="CL108" s="268" t="n"/>
      <c r="CM108" s="268" t="n"/>
      <c r="CN108" s="268" t="n"/>
      <c r="CO108" s="268" t="n"/>
      <c r="CP108" s="268" t="n"/>
      <c r="CQ108" s="268" t="n"/>
      <c r="CR108" s="268" t="n"/>
      <c r="CS108" s="268" t="n"/>
      <c r="CT108" s="268" t="n"/>
      <c r="CU108" s="268" t="n"/>
      <c r="CV108" s="268" t="n"/>
      <c r="CW108" s="268" t="n"/>
      <c r="CX108" s="268" t="n"/>
      <c r="CY108" s="268" t="n"/>
    </row>
    <row r="109" ht="12.75" customHeight="1" s="255">
      <c r="C109" s="270" t="inlineStr">
        <is>
          <t>Nonoperating Income / (Loss)</t>
        </is>
      </c>
      <c r="D109" s="301">
        <f>INDEX('Inputs (2)'!$D$9:$AL$9,MATCH(D$7,'Inputs (2)'!$D$2:$AL$2,0))</f>
        <v>0</v>
      </c>
      <c r="E109" s="301">
        <f>INDEX('Inputs (2)'!$D$9:$AL$9,MATCH(E$7,'Inputs (2)'!$D$2:$AL$2,0))</f>
        <v>0</v>
      </c>
      <c r="F109" s="301">
        <f>INDEX('Inputs (2)'!$D$9:$AL$9,MATCH(F$7,'Inputs (2)'!$D$2:$AL$2,0))</f>
        <v>0</v>
      </c>
      <c r="G109" s="301">
        <f>INDEX('Inputs (2)'!$D$9:$AL$9,MATCH(G$7,'Inputs (2)'!$D$2:$AL$2,0))</f>
        <v>0</v>
      </c>
      <c r="H109" s="268">
        <f>SUM(D109:G109)</f>
        <v>0</v>
      </c>
      <c r="I109" s="301">
        <f>INDEX('Inputs (2)'!$D$9:$AL$9,MATCH(I$7,'Inputs (2)'!$D$2:$AL$2,0))</f>
        <v>0</v>
      </c>
      <c r="J109" s="301">
        <f>INDEX('Inputs (2)'!$D$9:$AL$9,MATCH(J$7,'Inputs (2)'!$D$2:$AL$2,0))</f>
        <v>0</v>
      </c>
      <c r="K109" s="301">
        <f>INDEX('Inputs (2)'!$D$9:$AL$9,MATCH(K$7,'Inputs (2)'!$D$2:$AL$2,0))</f>
        <v>0</v>
      </c>
      <c r="L109" s="301">
        <f>INDEX('Inputs (2)'!$D$9:$AL$9,MATCH(L$7,'Inputs (2)'!$D$2:$AL$2,0))</f>
        <v>0</v>
      </c>
      <c r="M109" s="268">
        <f>SUM(I109:L109)</f>
        <v>0</v>
      </c>
      <c r="N109" s="301">
        <f>INDEX('Inputs (2)'!$D$9:$AL$9,MATCH(N$7,'Inputs (2)'!$D$2:$AL$2,0))</f>
        <v>0</v>
      </c>
      <c r="O109" s="301">
        <f>INDEX('Inputs (2)'!$D$9:$AL$9,MATCH(O$7,'Inputs (2)'!$D$2:$AL$2,0))</f>
        <v>0</v>
      </c>
      <c r="P109" s="301">
        <f>INDEX('Inputs (2)'!$D$9:$AL$9,MATCH(P$7,'Inputs (2)'!$D$2:$AL$2,0))</f>
        <v>0</v>
      </c>
      <c r="Q109" s="301">
        <f>INDEX('Inputs (2)'!$D$9:$AL$9,MATCH(Q$7,'Inputs (2)'!$D$2:$AL$2,0))</f>
        <v>0</v>
      </c>
      <c r="R109" s="268">
        <f>SUM(N109:Q109)</f>
        <v>0</v>
      </c>
      <c r="S109" s="301">
        <f>INDEX('Inputs (2)'!$D$9:$AL$9,MATCH(S$7,'Inputs (2)'!$D$2:$AL$2,0))</f>
        <v>0</v>
      </c>
      <c r="T109" s="301">
        <f>INDEX('Inputs (2)'!$D$9:$AL$9,MATCH(T$7,'Inputs (2)'!$D$2:$AL$2,0))</f>
        <v>0</v>
      </c>
      <c r="U109" s="301">
        <f>INDEX('Inputs (2)'!$D$9:$AL$9,MATCH(U$7,'Inputs (2)'!$D$2:$AL$2,0))</f>
        <v>0</v>
      </c>
      <c r="V109" s="301">
        <f>INDEX('Inputs (2)'!$D$9:$AL$9,MATCH(V$7,'Inputs (2)'!$D$2:$AL$2,0))</f>
        <v>0</v>
      </c>
      <c r="W109" s="268">
        <f>SUM(S109:V109)</f>
        <v>0</v>
      </c>
      <c r="X109" s="301">
        <f>INDEX('Inputs (2)'!$D$9:$AL$9,MATCH(X$7,'Inputs (2)'!$D$2:$AL$2,0))</f>
        <v>-90.193</v>
      </c>
      <c r="Y109" s="301">
        <f>INDEX('Inputs (2)'!$D$9:$AL$9,MATCH(Y$7,'Inputs (2)'!$D$2:$AL$2,0))</f>
        <v>-293.494</v>
      </c>
      <c r="Z109" s="301">
        <f>INDEX('Inputs (2)'!$D$9:$AL$9,MATCH(Z$7,'Inputs (2)'!$D$2:$AL$2,0))</f>
        <v>-332.936</v>
      </c>
      <c r="AA109" s="301">
        <f>INDEX('Inputs (2)'!$D$9:$AL$9,MATCH(AA$7,'Inputs (2)'!$D$2:$AL$2,0))</f>
        <v>-2.37699999999998</v>
      </c>
      <c r="AB109" s="268">
        <f>SUM(X109:AA109)</f>
        <v>-719</v>
      </c>
      <c r="AC109" s="301">
        <f>INDEX('Inputs (2)'!$D$9:$AL$9,MATCH(AC$7,'Inputs (2)'!$D$2:$AL$2,0))</f>
        <v>15</v>
      </c>
      <c r="AD109" s="301">
        <f>INDEX('Inputs (2)'!$D$9:$AL$9,MATCH(AD$7,'Inputs (2)'!$D$2:$AL$2,0))</f>
        <v>-5</v>
      </c>
      <c r="AE109" s="301">
        <f>INDEX('Inputs (2)'!$D$9:$AL$9,MATCH(AE$7,'Inputs (2)'!$D$2:$AL$2,0))</f>
        <v>-5.238</v>
      </c>
      <c r="AF109" s="301">
        <f>INDEX('Inputs (2)'!$D$9:$AL$9,MATCH(AF$7,'Inputs (2)'!$D$2:$AL$2,0))</f>
        <v>-26.217</v>
      </c>
      <c r="AG109" s="268">
        <f>SUM(AC109:AF109)</f>
        <v>-21.455</v>
      </c>
      <c r="AH109" s="268">
        <f>INDEX('Inputs (2)'!$D$9:$AL$9,MATCH(AH$7,'Inputs (2)'!$D$2:$AL$2,0))</f>
        <v>-85</v>
      </c>
      <c r="AI109" s="268">
        <f>INDEX('Inputs (2)'!$D$9:$AL$9,MATCH(AI$7,'Inputs (2)'!$D$2:$AL$2,0))</f>
        <v>43</v>
      </c>
      <c r="AJ109" s="268">
        <f>AH109</f>
        <v>-85</v>
      </c>
      <c r="AK109" s="268">
        <f>AI109</f>
        <v>43</v>
      </c>
      <c r="AL109" s="268">
        <f>SUM(AH109:AK109)</f>
        <v>-84</v>
      </c>
      <c r="AM109" s="268">
        <f>AK109</f>
        <v>43</v>
      </c>
      <c r="AN109" s="268">
        <f>AL109</f>
        <v>-84</v>
      </c>
      <c r="AO109" s="268">
        <f>AM109</f>
        <v>43</v>
      </c>
      <c r="AP109" s="268">
        <f>AN109</f>
        <v>-84</v>
      </c>
      <c r="AQ109" s="268">
        <f>SUM(AM109:AP109)</f>
        <v>-82</v>
      </c>
      <c r="AR109" s="268">
        <f>AP109</f>
        <v>-84</v>
      </c>
      <c r="AS109" s="268">
        <f>AQ109</f>
        <v>-82</v>
      </c>
      <c r="AT109" s="268">
        <f>AR109</f>
        <v>-84</v>
      </c>
      <c r="AU109" s="268">
        <f>AS109</f>
        <v>-82</v>
      </c>
      <c r="AV109" s="268">
        <f>SUM(AR109:AU109)</f>
        <v>-332</v>
      </c>
      <c r="AW109" s="268">
        <f>AU109</f>
        <v>-82</v>
      </c>
      <c r="AX109" s="268">
        <f>AV109</f>
        <v>-332</v>
      </c>
      <c r="AY109" s="268">
        <f>AW109</f>
        <v>-82</v>
      </c>
      <c r="AZ109" s="268">
        <f>AX109</f>
        <v>-332</v>
      </c>
      <c r="BA109" s="268">
        <f>SUM(AW109:AZ109)</f>
        <v>-828</v>
      </c>
      <c r="BB109" s="268">
        <f>AZ109</f>
        <v>-332</v>
      </c>
      <c r="BC109" s="268">
        <f>BA109</f>
        <v>-828</v>
      </c>
      <c r="BD109" s="268">
        <f>BB109</f>
        <v>-332</v>
      </c>
      <c r="BE109" s="268">
        <f>BC109</f>
        <v>-828</v>
      </c>
      <c r="BF109" s="268">
        <f>SUM(BB109:BE109)</f>
        <v>-2320</v>
      </c>
      <c r="BG109" s="268">
        <f>BE109</f>
        <v>-828</v>
      </c>
      <c r="BH109" s="268">
        <f>BF109</f>
        <v>-2320</v>
      </c>
      <c r="BI109" s="268">
        <f>BG109</f>
        <v>-828</v>
      </c>
      <c r="BJ109" s="268">
        <f>BH109</f>
        <v>-2320</v>
      </c>
      <c r="BK109" s="268">
        <f>SUM(BG109:BJ109)</f>
        <v>-6296</v>
      </c>
      <c r="BL109" s="268">
        <f>BJ109</f>
        <v>-2320</v>
      </c>
      <c r="BM109" s="268">
        <f>BK109</f>
        <v>-6296</v>
      </c>
      <c r="BN109" s="268">
        <f>BL109</f>
        <v>-2320</v>
      </c>
      <c r="BO109" s="268">
        <f>BM109</f>
        <v>-6296</v>
      </c>
      <c r="BP109" s="268">
        <f>SUM(BL109:BO109)</f>
        <v>-17232</v>
      </c>
      <c r="BQ109" s="268">
        <f>BO109</f>
        <v>-6296</v>
      </c>
      <c r="BR109" s="268">
        <f>BP109</f>
        <v>-17232</v>
      </c>
      <c r="BS109" s="268">
        <f>BQ109</f>
        <v>-6296</v>
      </c>
      <c r="BT109" s="268">
        <f>BR109</f>
        <v>-17232</v>
      </c>
      <c r="BU109" s="268">
        <f>SUM(BQ109:BT109)</f>
        <v>-47056</v>
      </c>
      <c r="BV109" s="268">
        <f>BT109</f>
        <v>-17232</v>
      </c>
      <c r="BW109" s="268">
        <f>BU109</f>
        <v>-47056</v>
      </c>
      <c r="BX109" s="268">
        <f>BV109</f>
        <v>-17232</v>
      </c>
      <c r="BY109" s="268">
        <f>BW109</f>
        <v>-47056</v>
      </c>
      <c r="BZ109" s="268">
        <f>SUM(BV109:BY109)</f>
        <v>-128576</v>
      </c>
      <c r="CA109" s="268">
        <f>BY109</f>
        <v>-47056</v>
      </c>
      <c r="CB109" s="268">
        <f>BZ109</f>
        <v>-128576</v>
      </c>
      <c r="CC109" s="268">
        <f>CA109</f>
        <v>-47056</v>
      </c>
      <c r="CD109" s="268">
        <f>CB109</f>
        <v>-128576</v>
      </c>
      <c r="CE109" s="268">
        <f>SUM(CA109:CD109)</f>
        <v>-351264</v>
      </c>
      <c r="CF109" s="268">
        <f>CD109</f>
        <v>-128576</v>
      </c>
      <c r="CG109" s="268">
        <f>CE109</f>
        <v>-351264</v>
      </c>
      <c r="CH109" s="268">
        <f>CF109</f>
        <v>-128576</v>
      </c>
      <c r="CI109" s="268">
        <f>CG109</f>
        <v>-351264</v>
      </c>
      <c r="CJ109" s="268">
        <f>SUM(CF109:CI109)</f>
        <v>-959680</v>
      </c>
      <c r="CK109" s="268">
        <f>CI109</f>
        <v>-351264</v>
      </c>
      <c r="CL109" s="268">
        <f>CJ109</f>
        <v>-959680</v>
      </c>
      <c r="CM109" s="268">
        <f>CK109</f>
        <v>-351264</v>
      </c>
      <c r="CN109" s="268">
        <f>CL109</f>
        <v>-959680</v>
      </c>
      <c r="CO109" s="268">
        <f>SUM(CK109:CN109)</f>
        <v>-2621888</v>
      </c>
      <c r="CP109" s="268">
        <f>CN109</f>
        <v>-959680</v>
      </c>
      <c r="CQ109" s="268">
        <f>CO109</f>
        <v>-2621888</v>
      </c>
      <c r="CR109" s="268">
        <f>CP109</f>
        <v>-959680</v>
      </c>
      <c r="CS109" s="268">
        <f>CQ109</f>
        <v>-2621888</v>
      </c>
      <c r="CT109" s="268">
        <f>SUM(CP109:CS109)</f>
        <v>-7163136</v>
      </c>
      <c r="CU109" s="268">
        <f>CS109</f>
        <v>-2621888</v>
      </c>
      <c r="CV109" s="268">
        <f>CT109</f>
        <v>-7163136</v>
      </c>
      <c r="CW109" s="268">
        <f>CU109</f>
        <v>-2621888</v>
      </c>
      <c r="CX109" s="268">
        <f>CV109</f>
        <v>-7163136</v>
      </c>
      <c r="CY109" s="268">
        <f>SUM(CU109:CX109)</f>
        <v>-19570048</v>
      </c>
    </row>
    <row r="110" hidden="1" outlineLevel="1" ht="12.75" customHeight="1" s="255">
      <c r="C110" s="312" t="n"/>
      <c r="D110" s="268" t="n"/>
      <c r="E110" s="268" t="n"/>
      <c r="F110" s="268" t="n"/>
      <c r="G110" s="268" t="n"/>
      <c r="H110" s="268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68" t="n"/>
      <c r="R110" s="268" t="n"/>
      <c r="S110" s="268" t="n"/>
      <c r="T110" s="268" t="n"/>
      <c r="U110" s="268" t="n"/>
      <c r="V110" s="268" t="n"/>
      <c r="W110" s="268" t="n"/>
      <c r="X110" s="268" t="n"/>
      <c r="Y110" s="268" t="n"/>
      <c r="Z110" s="268" t="n"/>
      <c r="AA110" s="268" t="n"/>
      <c r="AB110" s="268" t="n"/>
      <c r="AC110" s="268" t="n"/>
      <c r="AD110" s="268" t="n"/>
      <c r="AE110" s="268" t="n"/>
      <c r="AF110" s="268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05" t="inlineStr">
        <is>
          <t>Resultado Não Recorrente</t>
        </is>
      </c>
      <c r="D111" s="267" t="n"/>
      <c r="E111" s="267" t="n"/>
      <c r="F111" s="267" t="n"/>
      <c r="G111" s="267" t="n"/>
      <c r="H111" s="268" t="n"/>
      <c r="I111" s="267" t="n"/>
      <c r="J111" s="267" t="n"/>
      <c r="K111" s="267" t="n"/>
      <c r="L111" s="267" t="n"/>
      <c r="M111" s="268" t="n"/>
      <c r="N111" s="267" t="n"/>
      <c r="O111" s="267" t="n"/>
      <c r="P111" s="267" t="n"/>
      <c r="Q111" s="267" t="n"/>
      <c r="R111" s="268" t="n"/>
      <c r="S111" s="267" t="n"/>
      <c r="T111" s="267" t="n"/>
      <c r="U111" s="267" t="n"/>
      <c r="V111" s="267" t="n"/>
      <c r="W111" s="268" t="n"/>
      <c r="X111" s="267" t="n"/>
      <c r="Y111" s="267" t="n"/>
      <c r="Z111" s="267" t="n"/>
      <c r="AA111" s="267" t="n"/>
      <c r="AB111" s="268" t="n"/>
      <c r="AC111" s="267" t="n"/>
      <c r="AD111" s="267" t="n"/>
      <c r="AE111" s="267" t="n"/>
      <c r="AF111" s="267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05" t="inlineStr">
        <is>
          <t>Plano de Opção de Compra de Ações</t>
        </is>
      </c>
      <c r="D112" s="267" t="n"/>
      <c r="E112" s="267" t="n"/>
      <c r="F112" s="267" t="n"/>
      <c r="G112" s="267" t="n"/>
      <c r="H112" s="268" t="n"/>
      <c r="I112" s="267" t="n"/>
      <c r="J112" s="267" t="n"/>
      <c r="K112" s="267" t="n"/>
      <c r="L112" s="267" t="n"/>
      <c r="M112" s="268" t="n"/>
      <c r="N112" s="267" t="n"/>
      <c r="O112" s="267" t="n"/>
      <c r="P112" s="267" t="n"/>
      <c r="Q112" s="267" t="n"/>
      <c r="R112" s="268" t="n"/>
      <c r="S112" s="267" t="n"/>
      <c r="T112" s="267" t="n"/>
      <c r="U112" s="267" t="n"/>
      <c r="V112" s="267" t="n"/>
      <c r="W112" s="268" t="n"/>
      <c r="X112" s="267" t="n"/>
      <c r="Y112" s="267" t="n"/>
      <c r="Z112" s="267" t="n"/>
      <c r="AA112" s="267" t="n"/>
      <c r="AB112" s="268" t="n"/>
      <c r="AC112" s="267" t="n"/>
      <c r="AD112" s="267" t="n"/>
      <c r="AE112" s="267" t="n"/>
      <c r="AF112" s="267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05" t="inlineStr">
        <is>
          <t>Baixa Imobilizado</t>
        </is>
      </c>
      <c r="D113" s="267" t="n"/>
      <c r="E113" s="267" t="n"/>
      <c r="F113" s="267" t="n"/>
      <c r="G113" s="267" t="n"/>
      <c r="H113" s="268" t="n"/>
      <c r="I113" s="267" t="n"/>
      <c r="J113" s="267" t="n"/>
      <c r="K113" s="267" t="n"/>
      <c r="L113" s="267" t="n"/>
      <c r="M113" s="268" t="n"/>
      <c r="N113" s="267" t="n"/>
      <c r="O113" s="267" t="n"/>
      <c r="P113" s="267" t="n"/>
      <c r="Q113" s="267" t="n"/>
      <c r="R113" s="268" t="n"/>
      <c r="S113" s="267" t="n"/>
      <c r="T113" s="267" t="n"/>
      <c r="U113" s="267" t="n"/>
      <c r="V113" s="267" t="n"/>
      <c r="W113" s="268" t="n"/>
      <c r="X113" s="267" t="n"/>
      <c r="Y113" s="267" t="n"/>
      <c r="Z113" s="267" t="n"/>
      <c r="AA113" s="267" t="n"/>
      <c r="AB113" s="268" t="n"/>
      <c r="AC113" s="267" t="n"/>
      <c r="AD113" s="267" t="n"/>
      <c r="AE113" s="267" t="n"/>
      <c r="AF113" s="267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n"/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idden="1" outlineLevel="1" ht="12.75" customHeight="1" s="255">
      <c r="C115" s="312" t="n"/>
      <c r="D115" s="268" t="n"/>
      <c r="E115" s="268" t="n"/>
      <c r="F115" s="268" t="n"/>
      <c r="G115" s="268" t="n"/>
      <c r="H115" s="268" t="n"/>
      <c r="I115" s="268" t="n"/>
      <c r="J115" s="268" t="n"/>
      <c r="K115" s="268" t="n"/>
      <c r="L115" s="268" t="n"/>
      <c r="M115" s="268" t="n"/>
      <c r="N115" s="268" t="n"/>
      <c r="O115" s="268" t="n"/>
      <c r="P115" s="268" t="n"/>
      <c r="Q115" s="268" t="n"/>
      <c r="R115" s="268" t="n"/>
      <c r="S115" s="268" t="n"/>
      <c r="T115" s="268" t="n"/>
      <c r="U115" s="268" t="n"/>
      <c r="V115" s="268" t="n"/>
      <c r="W115" s="268" t="n"/>
      <c r="X115" s="268" t="n"/>
      <c r="Y115" s="268" t="n"/>
      <c r="Z115" s="268" t="n"/>
      <c r="AA115" s="268" t="n"/>
      <c r="AB115" s="268" t="n"/>
      <c r="AC115" s="268" t="n"/>
      <c r="AD115" s="268" t="n"/>
      <c r="AE115" s="268" t="n"/>
      <c r="AF115" s="268" t="n"/>
      <c r="AG115" s="268" t="n"/>
      <c r="AH115" s="268" t="n"/>
      <c r="AI115" s="268" t="n"/>
      <c r="AJ115" s="268" t="n"/>
      <c r="AK115" s="268" t="n"/>
      <c r="AL115" s="268" t="n"/>
      <c r="AM115" s="268" t="n"/>
      <c r="AN115" s="268" t="n"/>
      <c r="AO115" s="268" t="n"/>
      <c r="AP115" s="268" t="n"/>
      <c r="AQ115" s="268" t="n"/>
      <c r="AR115" s="268" t="n"/>
      <c r="AS115" s="268" t="n"/>
      <c r="AT115" s="268" t="n"/>
      <c r="AU115" s="268" t="n"/>
      <c r="AV115" s="268" t="n"/>
      <c r="AW115" s="268" t="n"/>
      <c r="AX115" s="268" t="n"/>
      <c r="AY115" s="268" t="n"/>
      <c r="AZ115" s="268" t="n"/>
      <c r="BA115" s="268" t="n"/>
      <c r="BB115" s="268" t="n"/>
      <c r="BC115" s="268" t="n"/>
      <c r="BD115" s="268" t="n"/>
      <c r="BE115" s="268" t="n"/>
      <c r="BF115" s="268" t="n"/>
      <c r="BG115" s="268" t="n"/>
      <c r="BH115" s="268" t="n"/>
      <c r="BI115" s="268" t="n"/>
      <c r="BJ115" s="268" t="n"/>
      <c r="BK115" s="268" t="n"/>
      <c r="BL115" s="268" t="n"/>
      <c r="BM115" s="268" t="n"/>
      <c r="BN115" s="268" t="n"/>
      <c r="BO115" s="268" t="n"/>
      <c r="BP115" s="268" t="n"/>
      <c r="BQ115" s="268" t="n"/>
      <c r="BR115" s="268" t="n"/>
      <c r="BS115" s="268" t="n"/>
      <c r="BT115" s="268" t="n"/>
      <c r="BU115" s="268" t="n"/>
      <c r="BV115" s="268" t="n"/>
      <c r="BW115" s="268" t="n"/>
      <c r="BX115" s="268" t="n"/>
      <c r="BY115" s="268" t="n"/>
      <c r="BZ115" s="268" t="n"/>
      <c r="CA115" s="268" t="n"/>
      <c r="CB115" s="268" t="n"/>
      <c r="CC115" s="268" t="n"/>
      <c r="CD115" s="268" t="n"/>
      <c r="CE115" s="268" t="n"/>
      <c r="CF115" s="268" t="n"/>
      <c r="CG115" s="268" t="n"/>
      <c r="CH115" s="268" t="n"/>
      <c r="CI115" s="268" t="n"/>
      <c r="CJ115" s="268" t="n"/>
      <c r="CK115" s="268" t="n"/>
      <c r="CL115" s="268" t="n"/>
      <c r="CM115" s="268" t="n"/>
      <c r="CN115" s="268" t="n"/>
      <c r="CO115" s="268" t="n"/>
      <c r="CP115" s="268" t="n"/>
      <c r="CQ115" s="268" t="n"/>
      <c r="CR115" s="268" t="n"/>
      <c r="CS115" s="268" t="n"/>
      <c r="CT115" s="268" t="n"/>
      <c r="CU115" s="268" t="n"/>
      <c r="CV115" s="268" t="n"/>
      <c r="CW115" s="268" t="n"/>
      <c r="CX115" s="268" t="n"/>
      <c r="CY115" s="268" t="n"/>
    </row>
    <row r="116" ht="12.75" customFormat="1" customHeight="1" s="287">
      <c r="A116" s="288" t="n"/>
      <c r="B116" s="259" t="n"/>
      <c r="C116" s="275" t="inlineStr">
        <is>
          <t>Pretax Income - EBT</t>
        </is>
      </c>
      <c r="D116" s="276">
        <f>SUM(D59,D60,D109)</f>
        <v>0</v>
      </c>
      <c r="E116" s="276">
        <f>SUM(E59,E60,E109)</f>
        <v>0</v>
      </c>
      <c r="F116" s="276">
        <f>SUM(F59,F60,F109)</f>
        <v>0</v>
      </c>
      <c r="G116" s="276">
        <f>SUM(G59,G60,G109)</f>
        <v>0</v>
      </c>
      <c r="H116" s="276">
        <f>SUM(D116:G116)</f>
        <v>0</v>
      </c>
      <c r="I116" s="276">
        <f>SUM(I59,I60,I109)</f>
        <v>0</v>
      </c>
      <c r="J116" s="276">
        <f>SUM(J59,J60,J109)</f>
        <v>0</v>
      </c>
      <c r="K116" s="276">
        <f>SUM(K59,K60,K109)</f>
        <v>0</v>
      </c>
      <c r="L116" s="276">
        <f>SUM(L59,L60,L109)</f>
        <v>0</v>
      </c>
      <c r="M116" s="276">
        <f>SUM(I116:L116)</f>
        <v>0</v>
      </c>
      <c r="N116" s="276">
        <f>SUM(N59,N60,N109)</f>
        <v>0</v>
      </c>
      <c r="O116" s="276">
        <f>SUM(O59,O60,O109)</f>
        <v>0</v>
      </c>
      <c r="P116" s="276">
        <f>SUM(P59,P60,P109)</f>
        <v>0</v>
      </c>
      <c r="Q116" s="276">
        <f>SUM(Q59,Q60,Q109)</f>
        <v>0</v>
      </c>
      <c r="R116" s="276">
        <f>SUM(N116:Q116)</f>
        <v>0</v>
      </c>
      <c r="S116" s="276">
        <f>SUM(S59,S60,S109)</f>
        <v>0</v>
      </c>
      <c r="T116" s="276">
        <f>SUM(T59,T60,T109)</f>
        <v>0</v>
      </c>
      <c r="U116" s="276">
        <f>SUM(U59,U60,U109)</f>
        <v>0</v>
      </c>
      <c r="V116" s="276">
        <f>SUM(V59,V60,V109)</f>
        <v>0</v>
      </c>
      <c r="W116" s="276">
        <f>SUM(S116:V116)</f>
        <v>0</v>
      </c>
      <c r="X116" s="276">
        <f>SUM(X59,X60,X109)</f>
        <v>-113.849</v>
      </c>
      <c r="Y116" s="276">
        <f>SUM(Y59,Y60,Y109)</f>
        <v>-282.87</v>
      </c>
      <c r="Z116" s="276">
        <f>SUM(Z59,Z60,Z109)</f>
        <v>-318.148</v>
      </c>
      <c r="AA116" s="276">
        <f>SUM(AA59,AA60,AA109)</f>
        <v>-29.133</v>
      </c>
      <c r="AB116" s="276">
        <f>SUM(X116:AA116)</f>
        <v>-744</v>
      </c>
      <c r="AC116" s="276">
        <f>SUM(AC59,AC60,AC109)</f>
        <v>-269</v>
      </c>
      <c r="AD116" s="276">
        <f>SUM(AD59,AD60,AD109)</f>
        <v>-242</v>
      </c>
      <c r="AE116" s="276">
        <f>SUM(AE59,AE60,AE109)</f>
        <v>-236.804</v>
      </c>
      <c r="AF116" s="276">
        <f>SUM(AF59,AF60,AF109)</f>
        <v>-466.857</v>
      </c>
      <c r="AG116" s="276">
        <f>SUM(AC116:AF116)</f>
        <v>-1214.661</v>
      </c>
      <c r="AH116" s="276">
        <f>SUM(AH59,AH60,AH109)</f>
        <v>-656</v>
      </c>
      <c r="AI116" s="276">
        <f>SUM(AI59,AI60,AI109)</f>
        <v>-564</v>
      </c>
      <c r="AJ116" s="276">
        <f>SUM(AJ59,AJ60,AJ109)</f>
        <v>-85</v>
      </c>
      <c r="AK116" s="276">
        <f>SUM(AK59,AK60,AK109)</f>
        <v>43</v>
      </c>
      <c r="AL116" s="276">
        <f>SUM(AH116:AK116)</f>
        <v>-1262</v>
      </c>
      <c r="AM116" s="276">
        <f>SUM(AM59,AM60,AM109)</f>
        <v>43</v>
      </c>
      <c r="AN116" s="276">
        <f>SUM(AN59,AN60,AN109)</f>
        <v>-84</v>
      </c>
      <c r="AO116" s="276">
        <f>SUM(AO59,AO60,AO109)</f>
        <v>43</v>
      </c>
      <c r="AP116" s="276">
        <f>SUM(AP59,AP60,AP109)</f>
        <v>-84</v>
      </c>
      <c r="AQ116" s="276">
        <f>SUM(AM116:AP116)</f>
        <v>-82</v>
      </c>
      <c r="AR116" s="276">
        <f>SUM(AR59,AR60,AR109)</f>
        <v>-84</v>
      </c>
      <c r="AS116" s="276">
        <f>SUM(AS59,AS60,AS109)</f>
        <v>-82</v>
      </c>
      <c r="AT116" s="276">
        <f>SUM(AT59,AT60,AT109)</f>
        <v>-84</v>
      </c>
      <c r="AU116" s="276">
        <f>SUM(AU59,AU60,AU109)</f>
        <v>-82</v>
      </c>
      <c r="AV116" s="276">
        <f>SUM(AR116:AU116)</f>
        <v>-332</v>
      </c>
      <c r="AW116" s="276">
        <f>SUM(AW59,AW60,AW109)</f>
        <v>-82</v>
      </c>
      <c r="AX116" s="276">
        <f>SUM(AX59,AX60,AX109)</f>
        <v>-332</v>
      </c>
      <c r="AY116" s="276">
        <f>SUM(AY59,AY60,AY109)</f>
        <v>-82</v>
      </c>
      <c r="AZ116" s="276">
        <f>SUM(AZ59,AZ60,AZ109)</f>
        <v>-332</v>
      </c>
      <c r="BA116" s="276">
        <f>SUM(AW116:AZ116)</f>
        <v>-828</v>
      </c>
      <c r="BB116" s="276">
        <f>SUM(BB59,BB60,BB109)</f>
        <v>-332</v>
      </c>
      <c r="BC116" s="276">
        <f>SUM(BC59,BC60,BC109)</f>
        <v>-828</v>
      </c>
      <c r="BD116" s="276">
        <f>SUM(BD59,BD60,BD109)</f>
        <v>-332</v>
      </c>
      <c r="BE116" s="276">
        <f>SUM(BE59,BE60,BE109)</f>
        <v>-828</v>
      </c>
      <c r="BF116" s="276">
        <f>SUM(BB116:BE116)</f>
        <v>-2320</v>
      </c>
      <c r="BG116" s="276">
        <f>SUM(BG59,BG60,BG109)</f>
        <v>-828</v>
      </c>
      <c r="BH116" s="276">
        <f>SUM(BH59,BH60,BH109)</f>
        <v>-2320</v>
      </c>
      <c r="BI116" s="276">
        <f>SUM(BI59,BI60,BI109)</f>
        <v>-828</v>
      </c>
      <c r="BJ116" s="276">
        <f>SUM(BJ59,BJ60,BJ109)</f>
        <v>-2320</v>
      </c>
      <c r="BK116" s="276">
        <f>SUM(BG116:BJ116)</f>
        <v>-6296</v>
      </c>
      <c r="BL116" s="276">
        <f>SUM(BL59,BL60,BL109)</f>
        <v>-2320</v>
      </c>
      <c r="BM116" s="276">
        <f>SUM(BM59,BM60,BM109)</f>
        <v>-6296</v>
      </c>
      <c r="BN116" s="276">
        <f>SUM(BN59,BN60,BN109)</f>
        <v>-2320</v>
      </c>
      <c r="BO116" s="276">
        <f>SUM(BO59,BO60,BO109)</f>
        <v>-6296</v>
      </c>
      <c r="BP116" s="276">
        <f>SUM(BL116:BO116)</f>
        <v>-17232</v>
      </c>
      <c r="BQ116" s="276">
        <f>SUM(BQ59,BQ60,BQ109)</f>
        <v>-6296</v>
      </c>
      <c r="BR116" s="276">
        <f>SUM(BR59,BR60,BR109)</f>
        <v>-17232</v>
      </c>
      <c r="BS116" s="276">
        <f>SUM(BS59,BS60,BS109)</f>
        <v>-6296</v>
      </c>
      <c r="BT116" s="276">
        <f>SUM(BT59,BT60,BT109)</f>
        <v>-17232</v>
      </c>
      <c r="BU116" s="276">
        <f>SUM(BQ116:BT116)</f>
        <v>-47056</v>
      </c>
      <c r="BV116" s="276">
        <f>SUM(BV59,BV60,BV109)</f>
        <v>-17232</v>
      </c>
      <c r="BW116" s="276">
        <f>SUM(BW59,BW60,BW109)</f>
        <v>-47056</v>
      </c>
      <c r="BX116" s="276">
        <f>SUM(BX59,BX60,BX109)</f>
        <v>-17232</v>
      </c>
      <c r="BY116" s="276">
        <f>SUM(BY59,BY60,BY109)</f>
        <v>-47056</v>
      </c>
      <c r="BZ116" s="276">
        <f>SUM(BV116:BY116)</f>
        <v>-128576</v>
      </c>
      <c r="CA116" s="276">
        <f>SUM(CA59,CA60,CA109)</f>
        <v>-47056</v>
      </c>
      <c r="CB116" s="276">
        <f>SUM(CB59,CB60,CB109)</f>
        <v>-128576</v>
      </c>
      <c r="CC116" s="276">
        <f>SUM(CC59,CC60,CC109)</f>
        <v>-47056</v>
      </c>
      <c r="CD116" s="276">
        <f>SUM(CD59,CD60,CD109)</f>
        <v>-128576</v>
      </c>
      <c r="CE116" s="276">
        <f>SUM(CA116:CD116)</f>
        <v>-351264</v>
      </c>
      <c r="CF116" s="276">
        <f>SUM(CF59,CF60,CF109)</f>
        <v>-128576</v>
      </c>
      <c r="CG116" s="276">
        <f>SUM(CG59,CG60,CG109)</f>
        <v>-351264</v>
      </c>
      <c r="CH116" s="276">
        <f>SUM(CH59,CH60,CH109)</f>
        <v>-128576</v>
      </c>
      <c r="CI116" s="276">
        <f>SUM(CI59,CI60,CI109)</f>
        <v>-351264</v>
      </c>
      <c r="CJ116" s="276">
        <f>SUM(CF116:CI116)</f>
        <v>-959680</v>
      </c>
      <c r="CK116" s="276">
        <f>SUM(CK59,CK60,CK109)</f>
        <v>-351264</v>
      </c>
      <c r="CL116" s="276">
        <f>SUM(CL59,CL60,CL109)</f>
        <v>-959680</v>
      </c>
      <c r="CM116" s="276">
        <f>SUM(CM59,CM60,CM109)</f>
        <v>-351264</v>
      </c>
      <c r="CN116" s="276">
        <f>SUM(CN59,CN60,CN109)</f>
        <v>-959680</v>
      </c>
      <c r="CO116" s="276">
        <f>SUM(CK116:CN116)</f>
        <v>-2621888</v>
      </c>
      <c r="CP116" s="276">
        <f>SUM(CP59,CP60,CP109)</f>
        <v>-959680</v>
      </c>
      <c r="CQ116" s="276">
        <f>SUM(CQ59,CQ60,CQ109)</f>
        <v>-2621888</v>
      </c>
      <c r="CR116" s="276">
        <f>SUM(CR59,CR60,CR109)</f>
        <v>-959680</v>
      </c>
      <c r="CS116" s="276">
        <f>SUM(CS59,CS60,CS109)</f>
        <v>-2621888</v>
      </c>
      <c r="CT116" s="276">
        <f>SUM(CP116:CS116)</f>
        <v>-7163136</v>
      </c>
      <c r="CU116" s="276">
        <f>SUM(CU59,CU60,CU109)</f>
        <v>-2621888</v>
      </c>
      <c r="CV116" s="276">
        <f>SUM(CV59,CV60,CV109)</f>
        <v>-7163136</v>
      </c>
      <c r="CW116" s="276">
        <f>SUM(CW59,CW60,CW109)</f>
        <v>-2621888</v>
      </c>
      <c r="CX116" s="276">
        <f>SUM(CX59,CX60,CX109)</f>
        <v>-7163136</v>
      </c>
      <c r="CY116" s="276">
        <f>SUM(CU116:CX116)</f>
        <v>-19570048</v>
      </c>
    </row>
    <row r="117" ht="12.75" customHeight="1" s="255">
      <c r="C117" s="270" t="inlineStr">
        <is>
          <t>Taxes</t>
        </is>
      </c>
      <c r="D117" s="301">
        <f>INDEX('Inputs (2)'!$D$10:$AL$10,MATCH(D$7,'Inputs (2)'!$D$2:$AL$2,0))</f>
        <v>0</v>
      </c>
      <c r="E117" s="301">
        <f>INDEX('Inputs (2)'!$D$10:$AL$10,MATCH(E$7,'Inputs (2)'!$D$2:$AL$2,0))</f>
        <v>0</v>
      </c>
      <c r="F117" s="301">
        <f>INDEX('Inputs (2)'!$D$10:$AL$10,MATCH(F$7,'Inputs (2)'!$D$2:$AL$2,0))</f>
        <v>0</v>
      </c>
      <c r="G117" s="301">
        <f>INDEX('Inputs (2)'!$D$10:$AL$10,MATCH(G$7,'Inputs (2)'!$D$2:$AL$2,0))</f>
        <v>0</v>
      </c>
      <c r="H117" s="268">
        <f>SUM(D117:G117)</f>
        <v>0</v>
      </c>
      <c r="I117" s="301">
        <f>INDEX('Inputs (2)'!$D$10:$AL$10,MATCH(I$7,'Inputs (2)'!$D$2:$AL$2,0))</f>
        <v>0</v>
      </c>
      <c r="J117" s="301">
        <f>INDEX('Inputs (2)'!$D$10:$AL$10,MATCH(J$7,'Inputs (2)'!$D$2:$AL$2,0))</f>
        <v>0</v>
      </c>
      <c r="K117" s="301">
        <f>INDEX('Inputs (2)'!$D$10:$AL$10,MATCH(K$7,'Inputs (2)'!$D$2:$AL$2,0))</f>
        <v>0</v>
      </c>
      <c r="L117" s="301">
        <f>INDEX('Inputs (2)'!$D$10:$AL$10,MATCH(L$7,'Inputs (2)'!$D$2:$AL$2,0))</f>
        <v>0</v>
      </c>
      <c r="M117" s="268">
        <f>SUM(I117:L117)</f>
        <v>0</v>
      </c>
      <c r="N117" s="301">
        <f>INDEX('Inputs (2)'!$D$10:$AL$10,MATCH(N$7,'Inputs (2)'!$D$2:$AL$2,0))</f>
        <v>0</v>
      </c>
      <c r="O117" s="301">
        <f>INDEX('Inputs (2)'!$D$10:$AL$10,MATCH(O$7,'Inputs (2)'!$D$2:$AL$2,0))</f>
        <v>0</v>
      </c>
      <c r="P117" s="301">
        <f>INDEX('Inputs (2)'!$D$10:$AL$10,MATCH(P$7,'Inputs (2)'!$D$2:$AL$2,0))</f>
        <v>0</v>
      </c>
      <c r="Q117" s="301">
        <f>INDEX('Inputs (2)'!$D$10:$AL$10,MATCH(Q$7,'Inputs (2)'!$D$2:$AL$2,0))</f>
        <v>0</v>
      </c>
      <c r="R117" s="268">
        <f>SUM(N117:Q117)</f>
        <v>0</v>
      </c>
      <c r="S117" s="301">
        <f>INDEX('Inputs (2)'!$D$10:$AL$10,MATCH(S$7,'Inputs (2)'!$D$2:$AL$2,0))</f>
        <v>0</v>
      </c>
      <c r="T117" s="301">
        <f>INDEX('Inputs (2)'!$D$10:$AL$10,MATCH(T$7,'Inputs (2)'!$D$2:$AL$2,0))</f>
        <v>0</v>
      </c>
      <c r="U117" s="301">
        <f>INDEX('Inputs (2)'!$D$10:$AL$10,MATCH(U$7,'Inputs (2)'!$D$2:$AL$2,0))</f>
        <v>0</v>
      </c>
      <c r="V117" s="301">
        <f>INDEX('Inputs (2)'!$D$10:$AL$10,MATCH(V$7,'Inputs (2)'!$D$2:$AL$2,0))</f>
        <v>0</v>
      </c>
      <c r="W117" s="268">
        <f>SUM(S117:V117)</f>
        <v>0</v>
      </c>
      <c r="X117" s="301">
        <f>INDEX('Inputs (2)'!$D$10:$AL$10,MATCH(X$7,'Inputs (2)'!$D$2:$AL$2,0))</f>
        <v>-15.399</v>
      </c>
      <c r="Y117" s="301">
        <f>INDEX('Inputs (2)'!$D$10:$AL$10,MATCH(Y$7,'Inputs (2)'!$D$2:$AL$2,0))</f>
        <v>-40.151</v>
      </c>
      <c r="Z117" s="301">
        <f>INDEX('Inputs (2)'!$D$10:$AL$10,MATCH(Z$7,'Inputs (2)'!$D$2:$AL$2,0))</f>
        <v>-41.659</v>
      </c>
      <c r="AA117" s="301">
        <f>INDEX('Inputs (2)'!$D$10:$AL$10,MATCH(AA$7,'Inputs (2)'!$D$2:$AL$2,0))</f>
        <v>-21.791</v>
      </c>
      <c r="AB117" s="268">
        <f>SUM(X117:AA117)</f>
        <v>-119</v>
      </c>
      <c r="AC117" s="301">
        <f>INDEX('Inputs (2)'!$D$10:$AL$10,MATCH(AC$7,'Inputs (2)'!$D$2:$AL$2,0))</f>
        <v>-46</v>
      </c>
      <c r="AD117" s="301">
        <f>INDEX('Inputs (2)'!$D$10:$AL$10,MATCH(AD$7,'Inputs (2)'!$D$2:$AL$2,0))</f>
        <v>-48</v>
      </c>
      <c r="AE117" s="301">
        <f>INDEX('Inputs (2)'!$D$10:$AL$10,MATCH(AE$7,'Inputs (2)'!$D$2:$AL$2,0))</f>
        <v>126.68</v>
      </c>
      <c r="AF117" s="301">
        <f>INDEX('Inputs (2)'!$D$10:$AL$10,MATCH(AF$7,'Inputs (2)'!$D$2:$AL$2,0))</f>
        <v>15.131</v>
      </c>
      <c r="AG117" s="268">
        <f>SUM(AC117:AF117)</f>
        <v>47.811</v>
      </c>
      <c r="AH117" s="268">
        <f>INDEX('Inputs (2)'!$D$10:$AL$10,MATCH(AH$7,'Inputs (2)'!$D$2:$AL$2,0))</f>
        <v>-84</v>
      </c>
      <c r="AI117" s="268">
        <f>INDEX('Inputs (2)'!$D$10:$AL$10,MATCH(AI$7,'Inputs (2)'!$D$2:$AL$2,0))</f>
        <v>-62</v>
      </c>
      <c r="AJ117" s="268">
        <f>AJ118*-AJ116</f>
        <v>0</v>
      </c>
      <c r="AK117" s="268">
        <f>AK118*-AK116</f>
        <v>0</v>
      </c>
      <c r="AL117" s="268">
        <f>SUM(AH117:AK117)</f>
        <v>-146</v>
      </c>
      <c r="AM117" s="268">
        <f>AM118*-AM116</f>
        <v>0</v>
      </c>
      <c r="AN117" s="268">
        <f>AN118*-AN116</f>
        <v>0</v>
      </c>
      <c r="AO117" s="268">
        <f>AO118*-AO116</f>
        <v>0</v>
      </c>
      <c r="AP117" s="268">
        <f>AP118*-AP116</f>
        <v>0</v>
      </c>
      <c r="AQ117" s="268">
        <f>SUM(AM117:AP117)</f>
        <v>0</v>
      </c>
      <c r="AR117" s="268">
        <f>AR118*-AR116</f>
        <v>0</v>
      </c>
      <c r="AS117" s="268">
        <f>AS118*-AS116</f>
        <v>0</v>
      </c>
      <c r="AT117" s="268">
        <f>AT118*-AT116</f>
        <v>0</v>
      </c>
      <c r="AU117" s="268">
        <f>AU118*-AU116</f>
        <v>0</v>
      </c>
      <c r="AV117" s="268">
        <f>SUM(AR117:AU117)</f>
        <v>0</v>
      </c>
      <c r="AW117" s="268">
        <f>AW118*-AW116</f>
        <v>0</v>
      </c>
      <c r="AX117" s="268">
        <f>AX118*-AX116</f>
        <v>0</v>
      </c>
      <c r="AY117" s="268">
        <f>AY118*-AY116</f>
        <v>0</v>
      </c>
      <c r="AZ117" s="268">
        <f>AZ118*-AZ116</f>
        <v>0</v>
      </c>
      <c r="BA117" s="268">
        <f>SUM(AW117:AZ117)</f>
        <v>0</v>
      </c>
      <c r="BB117" s="268">
        <f>BB118*-BB116</f>
        <v>0</v>
      </c>
      <c r="BC117" s="268">
        <f>BC118*-BC116</f>
        <v>0</v>
      </c>
      <c r="BD117" s="268">
        <f>BD118*-BD116</f>
        <v>0</v>
      </c>
      <c r="BE117" s="268">
        <f>BE118*-BE116</f>
        <v>0</v>
      </c>
      <c r="BF117" s="268">
        <f>SUM(BB117:BE117)</f>
        <v>0</v>
      </c>
      <c r="BG117" s="268">
        <f>BG118*-BG116</f>
        <v>0</v>
      </c>
      <c r="BH117" s="268">
        <f>BH118*-BH116</f>
        <v>0</v>
      </c>
      <c r="BI117" s="268">
        <f>BI118*-BI116</f>
        <v>0</v>
      </c>
      <c r="BJ117" s="268">
        <f>BJ118*-BJ116</f>
        <v>0</v>
      </c>
      <c r="BK117" s="268">
        <f>SUM(BG117:BJ117)</f>
        <v>0</v>
      </c>
      <c r="BL117" s="268">
        <f>BL118*-BL116</f>
        <v>0</v>
      </c>
      <c r="BM117" s="268">
        <f>BM118*-BM116</f>
        <v>0</v>
      </c>
      <c r="BN117" s="268">
        <f>BN118*-BN116</f>
        <v>0</v>
      </c>
      <c r="BO117" s="268">
        <f>BO118*-BO116</f>
        <v>0</v>
      </c>
      <c r="BP117" s="268">
        <f>SUM(BL117:BO117)</f>
        <v>0</v>
      </c>
      <c r="BQ117" s="268">
        <f>BQ118*-BQ116</f>
        <v>0</v>
      </c>
      <c r="BR117" s="268">
        <f>BR118*-BR116</f>
        <v>0</v>
      </c>
      <c r="BS117" s="268">
        <f>BS118*-BS116</f>
        <v>0</v>
      </c>
      <c r="BT117" s="268">
        <f>BT118*-BT116</f>
        <v>0</v>
      </c>
      <c r="BU117" s="268">
        <f>SUM(BQ117:BT117)</f>
        <v>0</v>
      </c>
      <c r="BV117" s="268">
        <f>BV118*-BV116</f>
        <v>0</v>
      </c>
      <c r="BW117" s="268">
        <f>BW118*-BW116</f>
        <v>0</v>
      </c>
      <c r="BX117" s="268">
        <f>BX118*-BX116</f>
        <v>0</v>
      </c>
      <c r="BY117" s="268">
        <f>BY118*-BY116</f>
        <v>0</v>
      </c>
      <c r="BZ117" s="268">
        <f>SUM(BV117:BY117)</f>
        <v>0</v>
      </c>
      <c r="CA117" s="268">
        <f>CA118*-CA116</f>
        <v>0</v>
      </c>
      <c r="CB117" s="268">
        <f>CB118*-CB116</f>
        <v>0</v>
      </c>
      <c r="CC117" s="268">
        <f>CC118*-CC116</f>
        <v>0</v>
      </c>
      <c r="CD117" s="268">
        <f>CD118*-CD116</f>
        <v>0</v>
      </c>
      <c r="CE117" s="268">
        <f>SUM(CA117:CD117)</f>
        <v>0</v>
      </c>
      <c r="CF117" s="268">
        <f>CF118*-CF116</f>
        <v>0</v>
      </c>
      <c r="CG117" s="268">
        <f>CG118*-CG116</f>
        <v>0</v>
      </c>
      <c r="CH117" s="268">
        <f>CH118*-CH116</f>
        <v>0</v>
      </c>
      <c r="CI117" s="268">
        <f>CI118*-CI116</f>
        <v>0</v>
      </c>
      <c r="CJ117" s="268">
        <f>SUM(CF117:CI117)</f>
        <v>0</v>
      </c>
      <c r="CK117" s="268">
        <f>CK118*-CK116</f>
        <v>0</v>
      </c>
      <c r="CL117" s="268">
        <f>CL118*-CL116</f>
        <v>0</v>
      </c>
      <c r="CM117" s="268">
        <f>CM118*-CM116</f>
        <v>0</v>
      </c>
      <c r="CN117" s="268">
        <f>CN118*-CN116</f>
        <v>0</v>
      </c>
      <c r="CO117" s="268">
        <f>SUM(CK117:CN117)</f>
        <v>0</v>
      </c>
      <c r="CP117" s="268">
        <f>CP118*-CP116</f>
        <v>0</v>
      </c>
      <c r="CQ117" s="268">
        <f>CQ118*-CQ116</f>
        <v>0</v>
      </c>
      <c r="CR117" s="268">
        <f>CR118*-CR116</f>
        <v>0</v>
      </c>
      <c r="CS117" s="268">
        <f>CS118*-CS116</f>
        <v>0</v>
      </c>
      <c r="CT117" s="268">
        <f>SUM(CP117:CS117)</f>
        <v>0</v>
      </c>
      <c r="CU117" s="268">
        <f>CU118*-CU116</f>
        <v>0</v>
      </c>
      <c r="CV117" s="268">
        <f>CV118*-CV116</f>
        <v>0</v>
      </c>
      <c r="CW117" s="268">
        <f>CW118*-CW116</f>
        <v>0</v>
      </c>
      <c r="CX117" s="268">
        <f>CX118*-CX116</f>
        <v>0</v>
      </c>
      <c r="CY117" s="268">
        <f>SUM(CU117:CX117)</f>
        <v>0</v>
      </c>
    </row>
    <row r="118" hidden="1" outlineLevel="1" ht="12.75" customHeight="1" s="255">
      <c r="C118" s="312" t="inlineStr">
        <is>
          <t>% ETR</t>
        </is>
      </c>
      <c r="D118" s="309" t="str">
        <f>IFERROR(-D117/D116,"")</f>
        <v/>
      </c>
      <c r="E118" s="309" t="str">
        <f>IFERROR(-E117/E116,"")</f>
        <v/>
      </c>
      <c r="F118" s="309" t="str">
        <f>IFERROR(-F117/F116,"")</f>
        <v/>
      </c>
      <c r="G118" s="309" t="str">
        <f>IFERROR(-G117/G116,"")</f>
        <v/>
      </c>
      <c r="H118" s="309" t="str">
        <f>IFERROR(-H117/H116,"")</f>
        <v/>
      </c>
      <c r="I118" s="309" t="str">
        <f>IFERROR(-I117/I116,"")</f>
        <v/>
      </c>
      <c r="J118" s="309" t="str">
        <f>IFERROR(-J117/J116,"")</f>
        <v/>
      </c>
      <c r="K118" s="309" t="str">
        <f>IFERROR(-K117/K116,"")</f>
        <v/>
      </c>
      <c r="L118" s="309" t="str">
        <f>IFERROR(-L117/L116,"")</f>
        <v/>
      </c>
      <c r="M118" s="309" t="str">
        <f>IFERROR(-M117/M116,"")</f>
        <v/>
      </c>
      <c r="N118" s="309" t="str">
        <f>IFERROR(-N117/N116,"")</f>
        <v/>
      </c>
      <c r="O118" s="309" t="str">
        <f>IFERROR(-O117/O116,"")</f>
        <v/>
      </c>
      <c r="P118" s="309" t="str">
        <f>IFERROR(-P117/P116,"")</f>
        <v/>
      </c>
      <c r="Q118" s="309" t="str">
        <f>IFERROR(-Q117/Q116,"")</f>
        <v/>
      </c>
      <c r="R118" s="309" t="str">
        <f>IFERROR(-R117/R116,"")</f>
        <v/>
      </c>
      <c r="S118" s="309" t="str">
        <f>IFERROR(-S117/S116,"")</f>
        <v/>
      </c>
      <c r="T118" s="309" t="str">
        <f>IFERROR(-T117/T116,"")</f>
        <v/>
      </c>
      <c r="U118" s="309" t="str">
        <f>IFERROR(-U117/U116,"")</f>
        <v/>
      </c>
      <c r="V118" s="309" t="str">
        <f>IFERROR(-V117/V116,"")</f>
        <v/>
      </c>
      <c r="W118" s="309" t="str">
        <f>IFERROR(-W117/W116,"")</f>
        <v/>
      </c>
      <c r="X118" s="309">
        <f>IFERROR(-X117/X116,"")</f>
        <v>-0.135258105033861</v>
      </c>
      <c r="Y118" s="309">
        <f>IFERROR(-Y117/Y116,"")</f>
        <v>-0.141941527910348</v>
      </c>
      <c r="Z118" s="309">
        <f>IFERROR(-Z117/Z116,"")</f>
        <v>-0.130942202999862</v>
      </c>
      <c r="AA118" s="309">
        <f>IFERROR(-AA117/AA116,"")</f>
        <v>-0.747983386537605</v>
      </c>
      <c r="AB118" s="309">
        <f>IFERROR(-AB117/AB116,"")</f>
        <v>-0.15994623655914</v>
      </c>
      <c r="AC118" s="309">
        <f>IFERROR(-AC117/AC116,"")</f>
        <v>-0.171003717472119</v>
      </c>
      <c r="AD118" s="309">
        <f>IFERROR(-AD117/AD116,"")</f>
        <v>-0.198347107438017</v>
      </c>
      <c r="AE118" s="309">
        <f>IFERROR(-AE117/AE116,"")</f>
        <v>0.534957179777369</v>
      </c>
      <c r="AF118" s="297">
        <f>IFERROR(-AF117/AF116,"")</f>
        <v>0.0324103526347468</v>
      </c>
      <c r="AG118" s="309">
        <f>IFERROR(-AG117/AG116,"")</f>
        <v>0.0393615996562004</v>
      </c>
      <c r="AH118" s="297">
        <f>IFERROR(-AH117/AH116,"")</f>
        <v>-0.128048780487805</v>
      </c>
      <c r="AI118" s="297">
        <f>IFERROR(-AI117/AI116,"")</f>
        <v>-0.109929078014184</v>
      </c>
      <c r="AJ118" s="297" t="n"/>
      <c r="AK118" s="297" t="n"/>
      <c r="AL118" s="309">
        <f>IFERROR(-AL117/AL116,"")</f>
        <v>-0.115689381933439</v>
      </c>
      <c r="AM118" s="297" t="n"/>
      <c r="AN118" s="297" t="n"/>
      <c r="AO118" s="297" t="n"/>
      <c r="AP118" s="297" t="n"/>
      <c r="AQ118" s="309">
        <f>IFERROR(-AQ117/AQ116,"")</f>
        <v>0</v>
      </c>
      <c r="AR118" s="297" t="n"/>
      <c r="AS118" s="297" t="n"/>
      <c r="AT118" s="297" t="n"/>
      <c r="AU118" s="297" t="n"/>
      <c r="AV118" s="309">
        <f>IFERROR(-AV117/AV116,"")</f>
        <v>0</v>
      </c>
      <c r="AW118" s="297" t="n"/>
      <c r="AX118" s="297" t="n"/>
      <c r="AY118" s="297" t="n"/>
      <c r="AZ118" s="297" t="n"/>
      <c r="BA118" s="309">
        <f>IFERROR(-BA117/BA116,"")</f>
        <v>0</v>
      </c>
      <c r="BB118" s="297" t="n"/>
      <c r="BC118" s="297" t="n"/>
      <c r="BD118" s="297" t="n"/>
      <c r="BE118" s="297" t="n"/>
      <c r="BF118" s="309">
        <f>IFERROR(-BF117/BF116,"")</f>
        <v>0</v>
      </c>
      <c r="BG118" s="297" t="n"/>
      <c r="BH118" s="297" t="n"/>
      <c r="BI118" s="297" t="n"/>
      <c r="BJ118" s="297" t="n"/>
      <c r="BK118" s="309">
        <f>IFERROR(-BK117/BK116,"")</f>
        <v>0</v>
      </c>
      <c r="BL118" s="297" t="n"/>
      <c r="BM118" s="297" t="n"/>
      <c r="BN118" s="297" t="n"/>
      <c r="BO118" s="297" t="n"/>
      <c r="BP118" s="309">
        <f>IFERROR(-BP117/BP116,"")</f>
        <v>0</v>
      </c>
      <c r="BQ118" s="297" t="n"/>
      <c r="BR118" s="297" t="n"/>
      <c r="BS118" s="297" t="n"/>
      <c r="BT118" s="297" t="n"/>
      <c r="BU118" s="309">
        <f>IFERROR(-BU117/BU116,"")</f>
        <v>0</v>
      </c>
      <c r="BV118" s="297" t="n"/>
      <c r="BW118" s="297" t="n"/>
      <c r="BX118" s="297" t="n"/>
      <c r="BY118" s="297" t="n"/>
      <c r="BZ118" s="309">
        <f>IFERROR(-BZ117/BZ116,"")</f>
        <v>0</v>
      </c>
      <c r="CA118" s="297" t="n"/>
      <c r="CB118" s="297" t="n"/>
      <c r="CC118" s="297" t="n"/>
      <c r="CD118" s="297" t="n"/>
      <c r="CE118" s="309">
        <f>IFERROR(-CE117/CE116,"")</f>
        <v>0</v>
      </c>
      <c r="CF118" s="297" t="n"/>
      <c r="CG118" s="297" t="n"/>
      <c r="CH118" s="297" t="n"/>
      <c r="CI118" s="297" t="n"/>
      <c r="CJ118" s="309">
        <f>IFERROR(-CJ117/CJ116,"")</f>
        <v>0</v>
      </c>
      <c r="CK118" s="297" t="n"/>
      <c r="CL118" s="297" t="n"/>
      <c r="CM118" s="297" t="n"/>
      <c r="CN118" s="297" t="n"/>
      <c r="CO118" s="309">
        <f>IFERROR(-CO117/CO116,"")</f>
        <v>0</v>
      </c>
      <c r="CP118" s="297" t="n"/>
      <c r="CQ118" s="297" t="n"/>
      <c r="CR118" s="297" t="n"/>
      <c r="CS118" s="297" t="n"/>
      <c r="CT118" s="309">
        <f>IFERROR(-CT117/CT116,"")</f>
        <v>0</v>
      </c>
      <c r="CU118" s="297" t="n"/>
      <c r="CV118" s="297" t="n"/>
      <c r="CW118" s="297" t="n"/>
      <c r="CX118" s="297" t="n"/>
      <c r="CY118" s="309">
        <f>IFERROR(-CY117/CY116,"")</f>
        <v>0</v>
      </c>
    </row>
    <row r="119" hidden="1" outlineLevel="1" ht="12.75" customHeight="1" s="255">
      <c r="C119" s="312" t="n"/>
      <c r="D119" s="268" t="n"/>
      <c r="E119" s="268" t="n"/>
      <c r="F119" s="268" t="n"/>
      <c r="G119" s="268" t="n"/>
      <c r="H119" s="268" t="n"/>
      <c r="I119" s="268" t="n"/>
      <c r="J119" s="268" t="n"/>
      <c r="K119" s="268" t="n"/>
      <c r="L119" s="268" t="n"/>
      <c r="M119" s="268" t="n"/>
      <c r="N119" s="268" t="n"/>
      <c r="O119" s="268" t="n"/>
      <c r="P119" s="268" t="n"/>
      <c r="Q119" s="268" t="n"/>
      <c r="R119" s="268" t="n"/>
      <c r="S119" s="268" t="n"/>
      <c r="T119" s="268" t="n"/>
      <c r="U119" s="268" t="n"/>
      <c r="V119" s="268" t="n"/>
      <c r="W119" s="268" t="n"/>
      <c r="X119" s="268" t="n"/>
      <c r="Y119" s="268" t="n"/>
      <c r="Z119" s="268" t="n"/>
      <c r="AA119" s="268" t="n"/>
      <c r="AB119" s="268" t="n"/>
      <c r="AC119" s="268" t="n"/>
      <c r="AD119" s="268" t="n"/>
      <c r="AE119" s="268" t="n"/>
      <c r="AF119" s="268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idden="1" outlineLevel="1" ht="12.75" customHeight="1" s="255">
      <c r="C120" s="312" t="n"/>
      <c r="D120" s="268" t="n"/>
      <c r="E120" s="268" t="n"/>
      <c r="F120" s="268" t="n"/>
      <c r="G120" s="268" t="n"/>
      <c r="H120" s="268" t="n"/>
      <c r="I120" s="268" t="n"/>
      <c r="J120" s="268" t="n"/>
      <c r="K120" s="268" t="n"/>
      <c r="L120" s="268" t="n"/>
      <c r="M120" s="268" t="n"/>
      <c r="N120" s="268" t="n"/>
      <c r="O120" s="268" t="n"/>
      <c r="P120" s="268" t="n"/>
      <c r="Q120" s="268" t="n"/>
      <c r="R120" s="268" t="n"/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68" t="n"/>
      <c r="AC120" s="268" t="n"/>
      <c r="AD120" s="268" t="n"/>
      <c r="AE120" s="268" t="n"/>
      <c r="AF120" s="268" t="n"/>
      <c r="AG120" s="268" t="n"/>
      <c r="AH120" s="268" t="n"/>
      <c r="AI120" s="268" t="n"/>
      <c r="AJ120" s="268" t="n"/>
      <c r="AK120" s="268" t="n"/>
      <c r="AL120" s="268" t="n"/>
      <c r="AM120" s="268" t="n"/>
      <c r="AN120" s="268" t="n"/>
      <c r="AO120" s="268" t="n"/>
      <c r="AP120" s="268" t="n"/>
      <c r="AQ120" s="268" t="n"/>
      <c r="AR120" s="268" t="n"/>
      <c r="AS120" s="268" t="n"/>
      <c r="AT120" s="268" t="n"/>
      <c r="AU120" s="268" t="n"/>
      <c r="AV120" s="268" t="n"/>
      <c r="AW120" s="268" t="n"/>
      <c r="AX120" s="268" t="n"/>
      <c r="AY120" s="268" t="n"/>
      <c r="AZ120" s="268" t="n"/>
      <c r="BA120" s="268" t="n"/>
      <c r="BB120" s="268" t="n"/>
      <c r="BC120" s="268" t="n"/>
      <c r="BD120" s="268" t="n"/>
      <c r="BE120" s="268" t="n"/>
      <c r="BF120" s="268" t="n"/>
      <c r="BG120" s="268" t="n"/>
      <c r="BH120" s="268" t="n"/>
      <c r="BI120" s="268" t="n"/>
      <c r="BJ120" s="268" t="n"/>
      <c r="BK120" s="268" t="n"/>
      <c r="BL120" s="268" t="n"/>
      <c r="BM120" s="268" t="n"/>
      <c r="BN120" s="268" t="n"/>
      <c r="BO120" s="268" t="n"/>
      <c r="BP120" s="268" t="n"/>
      <c r="BQ120" s="268" t="n"/>
      <c r="BR120" s="268" t="n"/>
      <c r="BS120" s="268" t="n"/>
      <c r="BT120" s="268" t="n"/>
      <c r="BU120" s="268" t="n"/>
      <c r="BV120" s="268" t="n"/>
      <c r="BW120" s="268" t="n"/>
      <c r="BX120" s="268" t="n"/>
      <c r="BY120" s="268" t="n"/>
      <c r="BZ120" s="268" t="n"/>
      <c r="CA120" s="268" t="n"/>
      <c r="CB120" s="268" t="n"/>
      <c r="CC120" s="268" t="n"/>
      <c r="CD120" s="268" t="n"/>
      <c r="CE120" s="268" t="n"/>
      <c r="CF120" s="268" t="n"/>
      <c r="CG120" s="268" t="n"/>
      <c r="CH120" s="268" t="n"/>
      <c r="CI120" s="268" t="n"/>
      <c r="CJ120" s="268" t="n"/>
      <c r="CK120" s="268" t="n"/>
      <c r="CL120" s="268" t="n"/>
      <c r="CM120" s="268" t="n"/>
      <c r="CN120" s="268" t="n"/>
      <c r="CO120" s="268" t="n"/>
      <c r="CP120" s="268" t="n"/>
      <c r="CQ120" s="268" t="n"/>
      <c r="CR120" s="268" t="n"/>
      <c r="CS120" s="268" t="n"/>
      <c r="CT120" s="268" t="n"/>
      <c r="CU120" s="268" t="n"/>
      <c r="CV120" s="268" t="n"/>
      <c r="CW120" s="268" t="n"/>
      <c r="CX120" s="268" t="n"/>
      <c r="CY120" s="268" t="n"/>
    </row>
    <row r="121" ht="12.75" customHeight="1" s="255">
      <c r="C121" s="270" t="inlineStr">
        <is>
          <t>Equity in Income of Affiliates, after tax (enter as +)</t>
        </is>
      </c>
      <c r="D121" s="301">
        <f>INDEX('Inputs (2)'!$D$11:$AL$11,MATCH(D$7,'Inputs (2)'!$D$2:$AL$2,0))</f>
        <v>0</v>
      </c>
      <c r="E121" s="301">
        <f>INDEX('Inputs (2)'!$D$11:$AL$11,MATCH(E$7,'Inputs (2)'!$D$2:$AL$2,0))</f>
        <v>0</v>
      </c>
      <c r="F121" s="301">
        <f>INDEX('Inputs (2)'!$D$11:$AL$11,MATCH(F$7,'Inputs (2)'!$D$2:$AL$2,0))</f>
        <v>0</v>
      </c>
      <c r="G121" s="301">
        <f>INDEX('Inputs (2)'!$D$11:$AL$11,MATCH(G$7,'Inputs (2)'!$D$2:$AL$2,0))</f>
        <v>0</v>
      </c>
      <c r="H121" s="268">
        <f>SUM(D121:G121)</f>
        <v>0</v>
      </c>
      <c r="I121" s="301">
        <f>INDEX('Inputs (2)'!$D$11:$AL$11,MATCH(I$7,'Inputs (2)'!$D$2:$AL$2,0))</f>
        <v>0</v>
      </c>
      <c r="J121" s="301">
        <f>INDEX('Inputs (2)'!$D$11:$AL$11,MATCH(J$7,'Inputs (2)'!$D$2:$AL$2,0))</f>
        <v>0</v>
      </c>
      <c r="K121" s="301">
        <f>INDEX('Inputs (2)'!$D$11:$AL$11,MATCH(K$7,'Inputs (2)'!$D$2:$AL$2,0))</f>
        <v>0</v>
      </c>
      <c r="L121" s="301">
        <f>INDEX('Inputs (2)'!$D$11:$AL$11,MATCH(L$7,'Inputs (2)'!$D$2:$AL$2,0))</f>
        <v>0</v>
      </c>
      <c r="M121" s="268">
        <f>SUM(I121:L121)</f>
        <v>0</v>
      </c>
      <c r="N121" s="301">
        <f>INDEX('Inputs (2)'!$D$11:$AL$11,MATCH(N$7,'Inputs (2)'!$D$2:$AL$2,0))</f>
        <v>0</v>
      </c>
      <c r="O121" s="301">
        <f>INDEX('Inputs (2)'!$D$11:$AL$11,MATCH(O$7,'Inputs (2)'!$D$2:$AL$2,0))</f>
        <v>0</v>
      </c>
      <c r="P121" s="301">
        <f>INDEX('Inputs (2)'!$D$11:$AL$11,MATCH(P$7,'Inputs (2)'!$D$2:$AL$2,0))</f>
        <v>0</v>
      </c>
      <c r="Q121" s="301">
        <f>INDEX('Inputs (2)'!$D$11:$AL$11,MATCH(Q$7,'Inputs (2)'!$D$2:$AL$2,0))</f>
        <v>0</v>
      </c>
      <c r="R121" s="268">
        <f>SUM(N121:Q121)</f>
        <v>0</v>
      </c>
      <c r="S121" s="301">
        <f>INDEX('Inputs (2)'!$D$11:$AL$11,MATCH(S$7,'Inputs (2)'!$D$2:$AL$2,0))</f>
        <v>0</v>
      </c>
      <c r="T121" s="301">
        <f>INDEX('Inputs (2)'!$D$11:$AL$11,MATCH(T$7,'Inputs (2)'!$D$2:$AL$2,0))</f>
        <v>0</v>
      </c>
      <c r="U121" s="301">
        <f>INDEX('Inputs (2)'!$D$11:$AL$11,MATCH(U$7,'Inputs (2)'!$D$2:$AL$2,0))</f>
        <v>0</v>
      </c>
      <c r="V121" s="301">
        <f>INDEX('Inputs (2)'!$D$11:$AL$11,MATCH(V$7,'Inputs (2)'!$D$2:$AL$2,0))</f>
        <v>0</v>
      </c>
      <c r="W121" s="268">
        <f>SUM(S121:V121)</f>
        <v>0</v>
      </c>
      <c r="X121" s="301">
        <f>INDEX('Inputs (2)'!$D$11:$AL$11,MATCH(X$7,'Inputs (2)'!$D$2:$AL$2,0))</f>
        <v>0</v>
      </c>
      <c r="Y121" s="301">
        <f>INDEX('Inputs (2)'!$D$11:$AL$11,MATCH(Y$7,'Inputs (2)'!$D$2:$AL$2,0))</f>
        <v>0</v>
      </c>
      <c r="Z121" s="301">
        <f>INDEX('Inputs (2)'!$D$11:$AL$11,MATCH(Z$7,'Inputs (2)'!$D$2:$AL$2,0))</f>
        <v>0</v>
      </c>
      <c r="AA121" s="301">
        <f>INDEX('Inputs (2)'!$D$11:$AL$11,MATCH(AA$7,'Inputs (2)'!$D$2:$AL$2,0))</f>
        <v>0</v>
      </c>
      <c r="AB121" s="268">
        <f>SUM(X121:AA121)</f>
        <v>0</v>
      </c>
      <c r="AC121" s="301">
        <f>INDEX('Inputs (2)'!$D$11:$AL$11,MATCH(AC$7,'Inputs (2)'!$D$2:$AL$2,0))</f>
        <v>0</v>
      </c>
      <c r="AD121" s="301">
        <f>INDEX('Inputs (2)'!$D$11:$AL$11,MATCH(AD$7,'Inputs (2)'!$D$2:$AL$2,0))</f>
        <v>0</v>
      </c>
      <c r="AE121" s="301">
        <f>INDEX('Inputs (2)'!$D$11:$AL$11,MATCH(AE$7,'Inputs (2)'!$D$2:$AL$2,0))</f>
        <v>0</v>
      </c>
      <c r="AF121" s="301">
        <f>INDEX('Inputs (2)'!$D$11:$AL$11,MATCH(AF$7,'Inputs (2)'!$D$2:$AL$2,0))</f>
        <v>0</v>
      </c>
      <c r="AG121" s="268">
        <f>SUM(AC121:AF121)</f>
        <v>0</v>
      </c>
      <c r="AH121" s="268">
        <f>INDEX('Inputs (2)'!$D$11:$AL$11,MATCH(AH$7,'Inputs (2)'!$D$2:$AL$2,0))</f>
        <v>0</v>
      </c>
      <c r="AI121" s="268">
        <f>INDEX('Inputs (2)'!$D$11:$AL$11,MATCH(AI$7,'Inputs (2)'!$D$2:$AL$2,0))</f>
        <v>0</v>
      </c>
      <c r="AJ121" s="268">
        <f>AE121*(1+AJ149)</f>
        <v>0</v>
      </c>
      <c r="AK121" s="268">
        <f>AF121*(1+AK149)</f>
        <v>0</v>
      </c>
      <c r="AL121" s="268">
        <f>SUM(AH121:AK121)</f>
        <v>0</v>
      </c>
      <c r="AM121" s="268">
        <f>AH121*(1+AM149)</f>
        <v>0</v>
      </c>
      <c r="AN121" s="268">
        <f>AI121*(1+AN149)</f>
        <v>0</v>
      </c>
      <c r="AO121" s="268">
        <f>AJ121*(1+AO149)</f>
        <v>0</v>
      </c>
      <c r="AP121" s="268">
        <f>AK121*(1+AP149)</f>
        <v>0</v>
      </c>
      <c r="AQ121" s="268">
        <f>SUM(AM121:AP121)</f>
        <v>0</v>
      </c>
      <c r="AR121" s="268">
        <f>AM121*(1+AR149)</f>
        <v>0</v>
      </c>
      <c r="AS121" s="268">
        <f>AN121*(1+AS149)</f>
        <v>0</v>
      </c>
      <c r="AT121" s="268">
        <f>AO121*(1+AT149)</f>
        <v>0</v>
      </c>
      <c r="AU121" s="268">
        <f>AP121*(1+AU149)</f>
        <v>0</v>
      </c>
      <c r="AV121" s="268">
        <f>SUM(AR121:AU121)</f>
        <v>0</v>
      </c>
      <c r="AW121" s="268">
        <f>AR121*(1+AW149)</f>
        <v>0</v>
      </c>
      <c r="AX121" s="268">
        <f>AS121*(1+AX149)</f>
        <v>0</v>
      </c>
      <c r="AY121" s="268">
        <f>AT121*(1+AY149)</f>
        <v>0</v>
      </c>
      <c r="AZ121" s="268">
        <f>AU121*(1+AZ149)</f>
        <v>0</v>
      </c>
      <c r="BA121" s="268">
        <f>SUM(AW121:AZ121)</f>
        <v>0</v>
      </c>
      <c r="BB121" s="268">
        <f>AW121*(1+BB149)</f>
        <v>0</v>
      </c>
      <c r="BC121" s="268">
        <f>AX121*(1+BC149)</f>
        <v>0</v>
      </c>
      <c r="BD121" s="268">
        <f>AY121*(1+BD149)</f>
        <v>0</v>
      </c>
      <c r="BE121" s="268">
        <f>AZ121*(1+BE149)</f>
        <v>0</v>
      </c>
      <c r="BF121" s="268">
        <f>SUM(BB121:BE121)</f>
        <v>0</v>
      </c>
      <c r="BG121" s="268">
        <f>BB121*(1+BG149)</f>
        <v>0</v>
      </c>
      <c r="BH121" s="268">
        <f>BC121*(1+BH149)</f>
        <v>0</v>
      </c>
      <c r="BI121" s="268">
        <f>BD121*(1+BI149)</f>
        <v>0</v>
      </c>
      <c r="BJ121" s="268">
        <f>BE121*(1+BJ149)</f>
        <v>0</v>
      </c>
      <c r="BK121" s="268">
        <f>SUM(BG121:BJ121)</f>
        <v>0</v>
      </c>
      <c r="BL121" s="268">
        <f>BG121*(1+BL149)</f>
        <v>0</v>
      </c>
      <c r="BM121" s="268">
        <f>BH121*(1+BM149)</f>
        <v>0</v>
      </c>
      <c r="BN121" s="268">
        <f>BI121*(1+BN149)</f>
        <v>0</v>
      </c>
      <c r="BO121" s="268">
        <f>BJ121*(1+BO149)</f>
        <v>0</v>
      </c>
      <c r="BP121" s="268">
        <f>SUM(BL121:BO121)</f>
        <v>0</v>
      </c>
      <c r="BQ121" s="268">
        <f>BL121*(1+BQ149)</f>
        <v>0</v>
      </c>
      <c r="BR121" s="268">
        <f>BM121*(1+BR149)</f>
        <v>0</v>
      </c>
      <c r="BS121" s="268">
        <f>BN121*(1+BS149)</f>
        <v>0</v>
      </c>
      <c r="BT121" s="268">
        <f>BO121*(1+BT149)</f>
        <v>0</v>
      </c>
      <c r="BU121" s="268">
        <f>SUM(BQ121:BT121)</f>
        <v>0</v>
      </c>
      <c r="BV121" s="268">
        <f>BQ121*(1+BV149)</f>
        <v>0</v>
      </c>
      <c r="BW121" s="268">
        <f>BR121*(1+BW149)</f>
        <v>0</v>
      </c>
      <c r="BX121" s="268">
        <f>BS121*(1+BX149)</f>
        <v>0</v>
      </c>
      <c r="BY121" s="268">
        <f>BT121*(1+BY149)</f>
        <v>0</v>
      </c>
      <c r="BZ121" s="268">
        <f>SUM(BV121:BY121)</f>
        <v>0</v>
      </c>
      <c r="CA121" s="268">
        <f>BV121*(1+CA149)</f>
        <v>0</v>
      </c>
      <c r="CB121" s="268">
        <f>BW121*(1+CB149)</f>
        <v>0</v>
      </c>
      <c r="CC121" s="268">
        <f>BX121*(1+CC149)</f>
        <v>0</v>
      </c>
      <c r="CD121" s="268">
        <f>BY121*(1+CD149)</f>
        <v>0</v>
      </c>
      <c r="CE121" s="268">
        <f>SUM(CA121:CD121)</f>
        <v>0</v>
      </c>
      <c r="CF121" s="268">
        <f>CA121*(1+CF149)</f>
        <v>0</v>
      </c>
      <c r="CG121" s="268">
        <f>CB121*(1+CG149)</f>
        <v>0</v>
      </c>
      <c r="CH121" s="268">
        <f>CC121*(1+CH149)</f>
        <v>0</v>
      </c>
      <c r="CI121" s="268">
        <f>CD121*(1+CI149)</f>
        <v>0</v>
      </c>
      <c r="CJ121" s="268">
        <f>SUM(CF121:CI121)</f>
        <v>0</v>
      </c>
      <c r="CK121" s="268">
        <f>CF121*(1+CK149)</f>
        <v>0</v>
      </c>
      <c r="CL121" s="268">
        <f>CG121*(1+CL149)</f>
        <v>0</v>
      </c>
      <c r="CM121" s="268">
        <f>CH121*(1+CM149)</f>
        <v>0</v>
      </c>
      <c r="CN121" s="268">
        <f>CI121*(1+CN149)</f>
        <v>0</v>
      </c>
      <c r="CO121" s="268">
        <f>SUM(CK121:CN121)</f>
        <v>0</v>
      </c>
      <c r="CP121" s="268">
        <f>CK121*(1+CP149)</f>
        <v>0</v>
      </c>
      <c r="CQ121" s="268">
        <f>CL121*(1+CQ149)</f>
        <v>0</v>
      </c>
      <c r="CR121" s="268">
        <f>CM121*(1+CR149)</f>
        <v>0</v>
      </c>
      <c r="CS121" s="268">
        <f>CN121*(1+CS149)</f>
        <v>0</v>
      </c>
      <c r="CT121" s="268">
        <f>SUM(CP121:CS121)</f>
        <v>0</v>
      </c>
      <c r="CU121" s="268">
        <f>CP121*(1+CU149)</f>
        <v>0</v>
      </c>
      <c r="CV121" s="268">
        <f>CQ121*(1+CV149)</f>
        <v>0</v>
      </c>
      <c r="CW121" s="268">
        <f>CR121*(1+CW149)</f>
        <v>0</v>
      </c>
      <c r="CX121" s="268">
        <f>CS121*(1+CX149)</f>
        <v>0</v>
      </c>
      <c r="CY121" s="268">
        <f>SUM(CU121:CX121)</f>
        <v>0</v>
      </c>
    </row>
    <row r="122" ht="12.75" customHeight="1" s="255">
      <c r="C122" s="270" t="inlineStr">
        <is>
          <t>Minority Interest Expense, after tax (enter as - )</t>
        </is>
      </c>
      <c r="D122" s="301">
        <f>INDEX('Inputs (2)'!$D$12:$AL$12,MATCH(D$7,'Inputs (2)'!$D$2:$AL$2,0))</f>
        <v>0</v>
      </c>
      <c r="E122" s="301">
        <f>INDEX('Inputs (2)'!$D$12:$AL$12,MATCH(E$7,'Inputs (2)'!$D$2:$AL$2,0))</f>
        <v>0</v>
      </c>
      <c r="F122" s="301">
        <f>INDEX('Inputs (2)'!$D$12:$AL$12,MATCH(F$7,'Inputs (2)'!$D$2:$AL$2,0))</f>
        <v>0</v>
      </c>
      <c r="G122" s="301">
        <f>INDEX('Inputs (2)'!$D$12:$AL$12,MATCH(G$7,'Inputs (2)'!$D$2:$AL$2,0))</f>
        <v>0</v>
      </c>
      <c r="H122" s="268">
        <f>SUM(D122:G122)</f>
        <v>0</v>
      </c>
      <c r="I122" s="301">
        <f>INDEX('Inputs (2)'!$D$12:$AL$12,MATCH(I$7,'Inputs (2)'!$D$2:$AL$2,0))</f>
        <v>0</v>
      </c>
      <c r="J122" s="301">
        <f>INDEX('Inputs (2)'!$D$12:$AL$12,MATCH(J$7,'Inputs (2)'!$D$2:$AL$2,0))</f>
        <v>0</v>
      </c>
      <c r="K122" s="301">
        <f>INDEX('Inputs (2)'!$D$12:$AL$12,MATCH(K$7,'Inputs (2)'!$D$2:$AL$2,0))</f>
        <v>0</v>
      </c>
      <c r="L122" s="301">
        <f>INDEX('Inputs (2)'!$D$12:$AL$12,MATCH(L$7,'Inputs (2)'!$D$2:$AL$2,0))</f>
        <v>0</v>
      </c>
      <c r="M122" s="268">
        <f>SUM(I122:L122)</f>
        <v>0</v>
      </c>
      <c r="N122" s="301">
        <f>INDEX('Inputs (2)'!$D$12:$AL$12,MATCH(N$7,'Inputs (2)'!$D$2:$AL$2,0))</f>
        <v>0</v>
      </c>
      <c r="O122" s="301">
        <f>INDEX('Inputs (2)'!$D$12:$AL$12,MATCH(O$7,'Inputs (2)'!$D$2:$AL$2,0))</f>
        <v>0</v>
      </c>
      <c r="P122" s="301">
        <f>INDEX('Inputs (2)'!$D$12:$AL$12,MATCH(P$7,'Inputs (2)'!$D$2:$AL$2,0))</f>
        <v>0</v>
      </c>
      <c r="Q122" s="301">
        <f>INDEX('Inputs (2)'!$D$12:$AL$12,MATCH(Q$7,'Inputs (2)'!$D$2:$AL$2,0))</f>
        <v>0</v>
      </c>
      <c r="R122" s="268">
        <f>SUM(N122:Q122)</f>
        <v>0</v>
      </c>
      <c r="S122" s="301">
        <f>INDEX('Inputs (2)'!$D$12:$AL$12,MATCH(S$7,'Inputs (2)'!$D$2:$AL$2,0))</f>
        <v>0</v>
      </c>
      <c r="T122" s="301">
        <f>INDEX('Inputs (2)'!$D$12:$AL$12,MATCH(T$7,'Inputs (2)'!$D$2:$AL$2,0))</f>
        <v>0</v>
      </c>
      <c r="U122" s="301">
        <f>INDEX('Inputs (2)'!$D$12:$AL$12,MATCH(U$7,'Inputs (2)'!$D$2:$AL$2,0))</f>
        <v>0</v>
      </c>
      <c r="V122" s="301">
        <f>INDEX('Inputs (2)'!$D$12:$AL$12,MATCH(V$7,'Inputs (2)'!$D$2:$AL$2,0))</f>
        <v>0</v>
      </c>
      <c r="W122" s="268">
        <f>SUM(S122:V122)</f>
        <v>0</v>
      </c>
      <c r="X122" s="301">
        <f>INDEX('Inputs (2)'!$D$12:$AL$12,MATCH(X$7,'Inputs (2)'!$D$2:$AL$2,0))</f>
        <v>0</v>
      </c>
      <c r="Y122" s="301">
        <f>INDEX('Inputs (2)'!$D$12:$AL$12,MATCH(Y$7,'Inputs (2)'!$D$2:$AL$2,0))</f>
        <v>0</v>
      </c>
      <c r="Z122" s="301">
        <f>INDEX('Inputs (2)'!$D$12:$AL$12,MATCH(Z$7,'Inputs (2)'!$D$2:$AL$2,0))</f>
        <v>0</v>
      </c>
      <c r="AA122" s="301">
        <f>INDEX('Inputs (2)'!$D$12:$AL$12,MATCH(AA$7,'Inputs (2)'!$D$2:$AL$2,0))</f>
        <v>0</v>
      </c>
      <c r="AB122" s="268">
        <f>SUM(X122:AA122)</f>
        <v>0</v>
      </c>
      <c r="AC122" s="301">
        <f>INDEX('Inputs (2)'!$D$12:$AL$12,MATCH(AC$7,'Inputs (2)'!$D$2:$AL$2,0))</f>
        <v>0</v>
      </c>
      <c r="AD122" s="301">
        <f>INDEX('Inputs (2)'!$D$12:$AL$12,MATCH(AD$7,'Inputs (2)'!$D$2:$AL$2,0))</f>
        <v>0</v>
      </c>
      <c r="AE122" s="301">
        <f>INDEX('Inputs (2)'!$D$12:$AL$12,MATCH(AE$7,'Inputs (2)'!$D$2:$AL$2,0))</f>
        <v>0</v>
      </c>
      <c r="AF122" s="301">
        <f>INDEX('Inputs (2)'!$D$12:$AL$12,MATCH(AF$7,'Inputs (2)'!$D$2:$AL$2,0))</f>
        <v>0</v>
      </c>
      <c r="AG122" s="268">
        <f>SUM(AC122:AF122)</f>
        <v>0</v>
      </c>
      <c r="AH122" s="268">
        <f>INDEX('Inputs (2)'!$D$12:$AL$12,MATCH(AH$7,'Inputs (2)'!$D$2:$AL$2,0))</f>
        <v>0</v>
      </c>
      <c r="AI122" s="268">
        <f>INDEX('Inputs (2)'!$D$12:$AL$12,MATCH(AI$7,'Inputs (2)'!$D$2:$AL$2,0))</f>
        <v>0</v>
      </c>
      <c r="AJ122" s="268">
        <f>AE122*(1+AJ236)</f>
        <v>0</v>
      </c>
      <c r="AK122" s="268">
        <f>AF122*(1+AK236)</f>
        <v>0</v>
      </c>
      <c r="AL122" s="268">
        <f>SUM(AH122:AK122)</f>
        <v>0</v>
      </c>
      <c r="AM122" s="268">
        <f>AH122*(1+AM236)</f>
        <v>0</v>
      </c>
      <c r="AN122" s="268">
        <f>AI122*(1+AN236)</f>
        <v>0</v>
      </c>
      <c r="AO122" s="268">
        <f>AJ122*(1+AO236)</f>
        <v>0</v>
      </c>
      <c r="AP122" s="268">
        <f>AK122*(1+AP236)</f>
        <v>0</v>
      </c>
      <c r="AQ122" s="268">
        <f>SUM(AM122:AP122)</f>
        <v>0</v>
      </c>
      <c r="AR122" s="268">
        <f>AM122*(1+AR236)</f>
        <v>0</v>
      </c>
      <c r="AS122" s="268">
        <f>AN122*(1+AS236)</f>
        <v>0</v>
      </c>
      <c r="AT122" s="268">
        <f>AO122*(1+AT236)</f>
        <v>0</v>
      </c>
      <c r="AU122" s="268">
        <f>AP122*(1+AU236)</f>
        <v>0</v>
      </c>
      <c r="AV122" s="268">
        <f>SUM(AR122:AU122)</f>
        <v>0</v>
      </c>
      <c r="AW122" s="268">
        <f>AR122*(1+AW236)</f>
        <v>0</v>
      </c>
      <c r="AX122" s="268">
        <f>AS122*(1+AX236)</f>
        <v>0</v>
      </c>
      <c r="AY122" s="268">
        <f>AT122*(1+AY236)</f>
        <v>0</v>
      </c>
      <c r="AZ122" s="268">
        <f>AU122*(1+AZ236)</f>
        <v>0</v>
      </c>
      <c r="BA122" s="268">
        <f>SUM(AW122:AZ122)</f>
        <v>0</v>
      </c>
      <c r="BB122" s="268">
        <f>AW122*(1+BB236)</f>
        <v>0</v>
      </c>
      <c r="BC122" s="268">
        <f>AX122*(1+BC236)</f>
        <v>0</v>
      </c>
      <c r="BD122" s="268">
        <f>AY122*(1+BD236)</f>
        <v>0</v>
      </c>
      <c r="BE122" s="268">
        <f>AZ122*(1+BE236)</f>
        <v>0</v>
      </c>
      <c r="BF122" s="268">
        <f>SUM(BB122:BE122)</f>
        <v>0</v>
      </c>
      <c r="BG122" s="268">
        <f>BB122*(1+BG236)</f>
        <v>0</v>
      </c>
      <c r="BH122" s="268">
        <f>BC122*(1+BH236)</f>
        <v>0</v>
      </c>
      <c r="BI122" s="268">
        <f>BD122*(1+BI236)</f>
        <v>0</v>
      </c>
      <c r="BJ122" s="268">
        <f>BE122*(1+BJ236)</f>
        <v>0</v>
      </c>
      <c r="BK122" s="268">
        <f>SUM(BG122:BJ122)</f>
        <v>0</v>
      </c>
      <c r="BL122" s="268">
        <f>BG122*(1+BL236)</f>
        <v>0</v>
      </c>
      <c r="BM122" s="268">
        <f>BH122*(1+BM236)</f>
        <v>0</v>
      </c>
      <c r="BN122" s="268">
        <f>BI122*(1+BN236)</f>
        <v>0</v>
      </c>
      <c r="BO122" s="268">
        <f>BJ122*(1+BO236)</f>
        <v>0</v>
      </c>
      <c r="BP122" s="268">
        <f>SUM(BL122:BO122)</f>
        <v>0</v>
      </c>
      <c r="BQ122" s="268">
        <f>BL122*(1+BQ236)</f>
        <v>0</v>
      </c>
      <c r="BR122" s="268">
        <f>BM122*(1+BR236)</f>
        <v>0</v>
      </c>
      <c r="BS122" s="268">
        <f>BN122*(1+BS236)</f>
        <v>0</v>
      </c>
      <c r="BT122" s="268">
        <f>BO122*(1+BT236)</f>
        <v>0</v>
      </c>
      <c r="BU122" s="268">
        <f>SUM(BQ122:BT122)</f>
        <v>0</v>
      </c>
      <c r="BV122" s="268">
        <f>BQ122*(1+BV236)</f>
        <v>0</v>
      </c>
      <c r="BW122" s="268">
        <f>BR122*(1+BW236)</f>
        <v>0</v>
      </c>
      <c r="BX122" s="268">
        <f>BS122*(1+BX236)</f>
        <v>0</v>
      </c>
      <c r="BY122" s="268">
        <f>BT122*(1+BY236)</f>
        <v>0</v>
      </c>
      <c r="BZ122" s="268">
        <f>SUM(BV122:BY122)</f>
        <v>0</v>
      </c>
      <c r="CA122" s="268">
        <f>BV122*(1+CA236)</f>
        <v>0</v>
      </c>
      <c r="CB122" s="268">
        <f>BW122*(1+CB236)</f>
        <v>0</v>
      </c>
      <c r="CC122" s="268">
        <f>BX122*(1+CC236)</f>
        <v>0</v>
      </c>
      <c r="CD122" s="268">
        <f>BY122*(1+CD236)</f>
        <v>0</v>
      </c>
      <c r="CE122" s="268">
        <f>SUM(CA122:CD122)</f>
        <v>0</v>
      </c>
      <c r="CF122" s="268">
        <f>CA122*(1+CF236)</f>
        <v>0</v>
      </c>
      <c r="CG122" s="268">
        <f>CB122*(1+CG236)</f>
        <v>0</v>
      </c>
      <c r="CH122" s="268">
        <f>CC122*(1+CH236)</f>
        <v>0</v>
      </c>
      <c r="CI122" s="268">
        <f>CD122*(1+CI236)</f>
        <v>0</v>
      </c>
      <c r="CJ122" s="268">
        <f>SUM(CF122:CI122)</f>
        <v>0</v>
      </c>
      <c r="CK122" s="268">
        <f>CF122*(1+CK236)</f>
        <v>0</v>
      </c>
      <c r="CL122" s="268">
        <f>CG122*(1+CL236)</f>
        <v>0</v>
      </c>
      <c r="CM122" s="268">
        <f>CH122*(1+CM236)</f>
        <v>0</v>
      </c>
      <c r="CN122" s="268">
        <f>CI122*(1+CN236)</f>
        <v>0</v>
      </c>
      <c r="CO122" s="268">
        <f>SUM(CK122:CN122)</f>
        <v>0</v>
      </c>
      <c r="CP122" s="268">
        <f>CK122*(1+CP236)</f>
        <v>0</v>
      </c>
      <c r="CQ122" s="268">
        <f>CL122*(1+CQ236)</f>
        <v>0</v>
      </c>
      <c r="CR122" s="268">
        <f>CM122*(1+CR236)</f>
        <v>0</v>
      </c>
      <c r="CS122" s="268">
        <f>CN122*(1+CS236)</f>
        <v>0</v>
      </c>
      <c r="CT122" s="268">
        <f>SUM(CP122:CS122)</f>
        <v>0</v>
      </c>
      <c r="CU122" s="268">
        <f>CP122*(1+CU236)</f>
        <v>0</v>
      </c>
      <c r="CV122" s="268">
        <f>CQ122*(1+CV236)</f>
        <v>0</v>
      </c>
      <c r="CW122" s="268">
        <f>CR122*(1+CW236)</f>
        <v>0</v>
      </c>
      <c r="CX122" s="268">
        <f>CS122*(1+CX236)</f>
        <v>0</v>
      </c>
      <c r="CY122" s="268">
        <f>SUM(CU122:CX122)</f>
        <v>0</v>
      </c>
    </row>
    <row r="123" ht="12.75" customFormat="1" customHeight="1" s="287">
      <c r="A123" s="288" t="n"/>
      <c r="B123" s="259" t="n"/>
      <c r="C123" s="275" t="inlineStr">
        <is>
          <t>Net Income</t>
        </is>
      </c>
      <c r="D123" s="276">
        <f>SUM(D116,D117,D121,D122)</f>
        <v>0</v>
      </c>
      <c r="E123" s="276">
        <f>SUM(E116,E117,E121,E122)</f>
        <v>0</v>
      </c>
      <c r="F123" s="276">
        <f>SUM(F116,F117,F121,F122)</f>
        <v>0</v>
      </c>
      <c r="G123" s="276">
        <f>SUM(G116,G117,G121,G122)</f>
        <v>0</v>
      </c>
      <c r="H123" s="276">
        <f>SUM(D123:G123)</f>
        <v>0</v>
      </c>
      <c r="I123" s="276">
        <f>SUM(I116,I117,I121,I122)</f>
        <v>0</v>
      </c>
      <c r="J123" s="276">
        <f>SUM(J116,J117,J121,J122)</f>
        <v>0</v>
      </c>
      <c r="K123" s="276">
        <f>SUM(K116,K117,K121,K122)</f>
        <v>0</v>
      </c>
      <c r="L123" s="276">
        <f>SUM(L116,L117,L121,L122)</f>
        <v>0</v>
      </c>
      <c r="M123" s="276">
        <f>SUM(I123:L123)</f>
        <v>0</v>
      </c>
      <c r="N123" s="276">
        <f>SUM(N116,N117,N121,N122)</f>
        <v>0</v>
      </c>
      <c r="O123" s="276">
        <f>SUM(O116,O117,O121,O122)</f>
        <v>0</v>
      </c>
      <c r="P123" s="276">
        <f>SUM(P116,P117,P121,P122)</f>
        <v>0</v>
      </c>
      <c r="Q123" s="276">
        <f>SUM(Q116,Q117,Q121,Q122)</f>
        <v>0</v>
      </c>
      <c r="R123" s="276">
        <f>SUM(N123:Q123)</f>
        <v>0</v>
      </c>
      <c r="S123" s="276">
        <f>SUM(S116,S117,S121,S122)</f>
        <v>0</v>
      </c>
      <c r="T123" s="276">
        <f>SUM(T116,T117,T121,T122)</f>
        <v>0</v>
      </c>
      <c r="U123" s="276">
        <f>SUM(U116,U117,U121,U122)</f>
        <v>0</v>
      </c>
      <c r="V123" s="276">
        <f>SUM(V116,V117,V121,V122)</f>
        <v>0</v>
      </c>
      <c r="W123" s="276">
        <f>SUM(S123:V123)</f>
        <v>0</v>
      </c>
      <c r="X123" s="276">
        <f>SUM(X116,X117,X121,X122)</f>
        <v>-129.248</v>
      </c>
      <c r="Y123" s="276">
        <f>SUM(Y116,Y117,Y121,Y122)</f>
        <v>-323.021</v>
      </c>
      <c r="Z123" s="276">
        <f>SUM(Z116,Z117,Z121,Z122)</f>
        <v>-359.807</v>
      </c>
      <c r="AA123" s="276">
        <f>SUM(AA116,AA117,AA121,AA122)</f>
        <v>-50.924</v>
      </c>
      <c r="AB123" s="276">
        <f>SUM(X123:AA123)</f>
        <v>-863</v>
      </c>
      <c r="AC123" s="276">
        <f>SUM(AC116,AC117,AC121,AC122)</f>
        <v>-315</v>
      </c>
      <c r="AD123" s="276">
        <f>SUM(AD116,AD117,AD121,AD122)</f>
        <v>-290</v>
      </c>
      <c r="AE123" s="276">
        <f>SUM(AE116,AE117,AE121,AE122)</f>
        <v>-110.124</v>
      </c>
      <c r="AF123" s="276">
        <f>SUM(AF116,AF117,AF121,AF122)</f>
        <v>-451.726</v>
      </c>
      <c r="AG123" s="276">
        <f>SUM(AC123:AF123)</f>
        <v>-1166.85</v>
      </c>
      <c r="AH123" s="276">
        <f>SUM(AH116,AH117,AH121,AH122)</f>
        <v>-740</v>
      </c>
      <c r="AI123" s="276">
        <f>SUM(AI116,AI117,AI121,AI122)</f>
        <v>-626</v>
      </c>
      <c r="AJ123" s="276">
        <f>SUM(AJ116,AJ117,AJ121,AJ122)</f>
        <v>-85</v>
      </c>
      <c r="AK123" s="276">
        <f>SUM(AK116,AK117,AK121,AK122)</f>
        <v>43</v>
      </c>
      <c r="AL123" s="276">
        <f>SUM(AH123:AK123)</f>
        <v>-1408</v>
      </c>
      <c r="AM123" s="276">
        <f>SUM(AM116,AM117,AM121,AM122)</f>
        <v>43</v>
      </c>
      <c r="AN123" s="276">
        <f>SUM(AN116,AN117,AN121,AN122)</f>
        <v>-84</v>
      </c>
      <c r="AO123" s="276">
        <f>SUM(AO116,AO117,AO121,AO122)</f>
        <v>43</v>
      </c>
      <c r="AP123" s="276">
        <f>SUM(AP116,AP117,AP121,AP122)</f>
        <v>-84</v>
      </c>
      <c r="AQ123" s="276">
        <f>SUM(AM123:AP123)</f>
        <v>-82</v>
      </c>
      <c r="AR123" s="276">
        <f>SUM(AR116,AR117,AR121,AR122)</f>
        <v>-84</v>
      </c>
      <c r="AS123" s="276">
        <f>SUM(AS116,AS117,AS121,AS122)</f>
        <v>-82</v>
      </c>
      <c r="AT123" s="276">
        <f>SUM(AT116,AT117,AT121,AT122)</f>
        <v>-84</v>
      </c>
      <c r="AU123" s="276">
        <f>SUM(AU116,AU117,AU121,AU122)</f>
        <v>-82</v>
      </c>
      <c r="AV123" s="276">
        <f>SUM(AR123:AU123)</f>
        <v>-332</v>
      </c>
      <c r="AW123" s="276">
        <f>SUM(AW116,AW117,AW121,AW122)</f>
        <v>-82</v>
      </c>
      <c r="AX123" s="276">
        <f>SUM(AX116,AX117,AX121,AX122)</f>
        <v>-332</v>
      </c>
      <c r="AY123" s="276">
        <f>SUM(AY116,AY117,AY121,AY122)</f>
        <v>-82</v>
      </c>
      <c r="AZ123" s="276">
        <f>SUM(AZ116,AZ117,AZ121,AZ122)</f>
        <v>-332</v>
      </c>
      <c r="BA123" s="276">
        <f>SUM(AW123:AZ123)</f>
        <v>-828</v>
      </c>
      <c r="BB123" s="276">
        <f>SUM(BB116,BB117,BB121,BB122)</f>
        <v>-332</v>
      </c>
      <c r="BC123" s="276">
        <f>SUM(BC116,BC117,BC121,BC122)</f>
        <v>-828</v>
      </c>
      <c r="BD123" s="276">
        <f>SUM(BD116,BD117,BD121,BD122)</f>
        <v>-332</v>
      </c>
      <c r="BE123" s="276">
        <f>SUM(BE116,BE117,BE121,BE122)</f>
        <v>-828</v>
      </c>
      <c r="BF123" s="276">
        <f>SUM(BB123:BE123)</f>
        <v>-2320</v>
      </c>
      <c r="BG123" s="276">
        <f>SUM(BG116,BG117,BG121,BG122)</f>
        <v>-828</v>
      </c>
      <c r="BH123" s="276">
        <f>SUM(BH116,BH117,BH121,BH122)</f>
        <v>-2320</v>
      </c>
      <c r="BI123" s="276">
        <f>SUM(BI116,BI117,BI121,BI122)</f>
        <v>-828</v>
      </c>
      <c r="BJ123" s="276">
        <f>SUM(BJ116,BJ117,BJ121,BJ122)</f>
        <v>-2320</v>
      </c>
      <c r="BK123" s="276">
        <f>SUM(BG123:BJ123)</f>
        <v>-6296</v>
      </c>
      <c r="BL123" s="276">
        <f>SUM(BL116,BL117,BL121,BL122)</f>
        <v>-2320</v>
      </c>
      <c r="BM123" s="276">
        <f>SUM(BM116,BM117,BM121,BM122)</f>
        <v>-6296</v>
      </c>
      <c r="BN123" s="276">
        <f>SUM(BN116,BN117,BN121,BN122)</f>
        <v>-2320</v>
      </c>
      <c r="BO123" s="276">
        <f>SUM(BO116,BO117,BO121,BO122)</f>
        <v>-6296</v>
      </c>
      <c r="BP123" s="276">
        <f>SUM(BL123:BO123)</f>
        <v>-17232</v>
      </c>
      <c r="BQ123" s="276">
        <f>SUM(BQ116,BQ117,BQ121,BQ122)</f>
        <v>-6296</v>
      </c>
      <c r="BR123" s="276">
        <f>SUM(BR116,BR117,BR121,BR122)</f>
        <v>-17232</v>
      </c>
      <c r="BS123" s="276">
        <f>SUM(BS116,BS117,BS121,BS122)</f>
        <v>-6296</v>
      </c>
      <c r="BT123" s="276">
        <f>SUM(BT116,BT117,BT121,BT122)</f>
        <v>-17232</v>
      </c>
      <c r="BU123" s="276">
        <f>SUM(BQ123:BT123)</f>
        <v>-47056</v>
      </c>
      <c r="BV123" s="276">
        <f>SUM(BV116,BV117,BV121,BV122)</f>
        <v>-17232</v>
      </c>
      <c r="BW123" s="276">
        <f>SUM(BW116,BW117,BW121,BW122)</f>
        <v>-47056</v>
      </c>
      <c r="BX123" s="276">
        <f>SUM(BX116,BX117,BX121,BX122)</f>
        <v>-17232</v>
      </c>
      <c r="BY123" s="276">
        <f>SUM(BY116,BY117,BY121,BY122)</f>
        <v>-47056</v>
      </c>
      <c r="BZ123" s="276">
        <f>SUM(BV123:BY123)</f>
        <v>-128576</v>
      </c>
      <c r="CA123" s="276">
        <f>SUM(CA116,CA117,CA121,CA122)</f>
        <v>-47056</v>
      </c>
      <c r="CB123" s="276">
        <f>SUM(CB116,CB117,CB121,CB122)</f>
        <v>-128576</v>
      </c>
      <c r="CC123" s="276">
        <f>SUM(CC116,CC117,CC121,CC122)</f>
        <v>-47056</v>
      </c>
      <c r="CD123" s="276">
        <f>SUM(CD116,CD117,CD121,CD122)</f>
        <v>-128576</v>
      </c>
      <c r="CE123" s="276">
        <f>SUM(CA123:CD123)</f>
        <v>-351264</v>
      </c>
      <c r="CF123" s="276">
        <f>SUM(CF116,CF117,CF121,CF122)</f>
        <v>-128576</v>
      </c>
      <c r="CG123" s="276">
        <f>SUM(CG116,CG117,CG121,CG122)</f>
        <v>-351264</v>
      </c>
      <c r="CH123" s="276">
        <f>SUM(CH116,CH117,CH121,CH122)</f>
        <v>-128576</v>
      </c>
      <c r="CI123" s="276">
        <f>SUM(CI116,CI117,CI121,CI122)</f>
        <v>-351264</v>
      </c>
      <c r="CJ123" s="276">
        <f>SUM(CF123:CI123)</f>
        <v>-959680</v>
      </c>
      <c r="CK123" s="276">
        <f>SUM(CK116,CK117,CK121,CK122)</f>
        <v>-351264</v>
      </c>
      <c r="CL123" s="276">
        <f>SUM(CL116,CL117,CL121,CL122)</f>
        <v>-959680</v>
      </c>
      <c r="CM123" s="276">
        <f>SUM(CM116,CM117,CM121,CM122)</f>
        <v>-351264</v>
      </c>
      <c r="CN123" s="276">
        <f>SUM(CN116,CN117,CN121,CN122)</f>
        <v>-959680</v>
      </c>
      <c r="CO123" s="276">
        <f>SUM(CK123:CN123)</f>
        <v>-2621888</v>
      </c>
      <c r="CP123" s="276">
        <f>SUM(CP116,CP117,CP121,CP122)</f>
        <v>-959680</v>
      </c>
      <c r="CQ123" s="276">
        <f>SUM(CQ116,CQ117,CQ121,CQ122)</f>
        <v>-2621888</v>
      </c>
      <c r="CR123" s="276">
        <f>SUM(CR116,CR117,CR121,CR122)</f>
        <v>-959680</v>
      </c>
      <c r="CS123" s="276">
        <f>SUM(CS116,CS117,CS121,CS122)</f>
        <v>-2621888</v>
      </c>
      <c r="CT123" s="276">
        <f>SUM(CP123:CS123)</f>
        <v>-7163136</v>
      </c>
      <c r="CU123" s="276">
        <f>SUM(CU116,CU117,CU121,CU122)</f>
        <v>-2621888</v>
      </c>
      <c r="CV123" s="276">
        <f>SUM(CV116,CV117,CV121,CV122)</f>
        <v>-7163136</v>
      </c>
      <c r="CW123" s="276">
        <f>SUM(CW116,CW117,CW121,CW122)</f>
        <v>-2621888</v>
      </c>
      <c r="CX123" s="276">
        <f>SUM(CX116,CX117,CX121,CX122)</f>
        <v>-7163136</v>
      </c>
      <c r="CY123" s="276">
        <f>SUM(CU123:CX123)</f>
        <v>-19570048</v>
      </c>
    </row>
    <row r="124" ht="12.75" customHeight="1" s="255">
      <c r="C124" s="269" t="inlineStr">
        <is>
          <t>Common Dividends</t>
        </is>
      </c>
      <c r="D124" s="301">
        <f>INDEX('Inputs (2)'!$D$13:$AL$13,MATCH(D$7,'Inputs (2)'!$D$2:$AL$2,0))</f>
        <v>0</v>
      </c>
      <c r="E124" s="301">
        <f>INDEX('Inputs (2)'!$D$13:$AL$13,MATCH(E$7,'Inputs (2)'!$D$2:$AL$2,0))</f>
        <v>0</v>
      </c>
      <c r="F124" s="301">
        <f>INDEX('Inputs (2)'!$D$13:$AL$13,MATCH(F$7,'Inputs (2)'!$D$2:$AL$2,0))</f>
        <v>0</v>
      </c>
      <c r="G124" s="301">
        <f>INDEX('Inputs (2)'!$D$13:$AL$13,MATCH(G$7,'Inputs (2)'!$D$2:$AL$2,0))</f>
        <v>0</v>
      </c>
      <c r="H124" s="268">
        <f>SUM(D124:G124)</f>
        <v>0</v>
      </c>
      <c r="I124" s="301">
        <f>INDEX('Inputs (2)'!$D$13:$AL$13,MATCH(I$7,'Inputs (2)'!$D$2:$AL$2,0))</f>
        <v>0</v>
      </c>
      <c r="J124" s="301">
        <f>INDEX('Inputs (2)'!$D$13:$AL$13,MATCH(J$7,'Inputs (2)'!$D$2:$AL$2,0))</f>
        <v>0</v>
      </c>
      <c r="K124" s="301">
        <f>INDEX('Inputs (2)'!$D$13:$AL$13,MATCH(K$7,'Inputs (2)'!$D$2:$AL$2,0))</f>
        <v>0</v>
      </c>
      <c r="L124" s="301">
        <f>INDEX('Inputs (2)'!$D$13:$AL$13,MATCH(L$7,'Inputs (2)'!$D$2:$AL$2,0))</f>
        <v>0</v>
      </c>
      <c r="M124" s="268">
        <f>SUM(I124:L124)</f>
        <v>0</v>
      </c>
      <c r="N124" s="301">
        <f>INDEX('Inputs (2)'!$D$13:$AL$13,MATCH(N$7,'Inputs (2)'!$D$2:$AL$2,0))</f>
        <v>0</v>
      </c>
      <c r="O124" s="301">
        <f>INDEX('Inputs (2)'!$D$13:$AL$13,MATCH(O$7,'Inputs (2)'!$D$2:$AL$2,0))</f>
        <v>0</v>
      </c>
      <c r="P124" s="301">
        <f>INDEX('Inputs (2)'!$D$13:$AL$13,MATCH(P$7,'Inputs (2)'!$D$2:$AL$2,0))</f>
        <v>0</v>
      </c>
      <c r="Q124" s="301">
        <f>INDEX('Inputs (2)'!$D$13:$AL$13,MATCH(Q$7,'Inputs (2)'!$D$2:$AL$2,0))</f>
        <v>0</v>
      </c>
      <c r="R124" s="268">
        <f>SUM(N124:Q124)</f>
        <v>0</v>
      </c>
      <c r="S124" s="301">
        <f>INDEX('Inputs (2)'!$D$13:$AL$13,MATCH(S$7,'Inputs (2)'!$D$2:$AL$2,0))</f>
        <v>0</v>
      </c>
      <c r="T124" s="301">
        <f>INDEX('Inputs (2)'!$D$13:$AL$13,MATCH(T$7,'Inputs (2)'!$D$2:$AL$2,0))</f>
        <v>0</v>
      </c>
      <c r="U124" s="301">
        <f>INDEX('Inputs (2)'!$D$13:$AL$13,MATCH(U$7,'Inputs (2)'!$D$2:$AL$2,0))</f>
        <v>0</v>
      </c>
      <c r="V124" s="301">
        <f>INDEX('Inputs (2)'!$D$13:$AL$13,MATCH(V$7,'Inputs (2)'!$D$2:$AL$2,0))</f>
        <v>0</v>
      </c>
      <c r="W124" s="268">
        <f>SUM(S124:V124)</f>
        <v>0</v>
      </c>
      <c r="X124" s="301">
        <f>INDEX('Inputs (2)'!$D$13:$AL$13,MATCH(X$7,'Inputs (2)'!$D$2:$AL$2,0))</f>
        <v>0</v>
      </c>
      <c r="Y124" s="301">
        <f>INDEX('Inputs (2)'!$D$13:$AL$13,MATCH(Y$7,'Inputs (2)'!$D$2:$AL$2,0))</f>
        <v>0</v>
      </c>
      <c r="Z124" s="301">
        <f>INDEX('Inputs (2)'!$D$13:$AL$13,MATCH(Z$7,'Inputs (2)'!$D$2:$AL$2,0))</f>
        <v>0</v>
      </c>
      <c r="AA124" s="301">
        <f>INDEX('Inputs (2)'!$D$13:$AL$13,MATCH(AA$7,'Inputs (2)'!$D$2:$AL$2,0))</f>
        <v>0</v>
      </c>
      <c r="AB124" s="268">
        <f>SUM(X124:AA124)</f>
        <v>0</v>
      </c>
      <c r="AC124" s="301">
        <f>INDEX('Inputs (2)'!$D$13:$AL$13,MATCH(AC$7,'Inputs (2)'!$D$2:$AL$2,0))</f>
        <v>0</v>
      </c>
      <c r="AD124" s="301">
        <f>INDEX('Inputs (2)'!$D$13:$AL$13,MATCH(AD$7,'Inputs (2)'!$D$2:$AL$2,0))</f>
        <v>0</v>
      </c>
      <c r="AE124" s="301">
        <f>INDEX('Inputs (2)'!$D$13:$AL$13,MATCH(AE$7,'Inputs (2)'!$D$2:$AL$2,0))</f>
        <v>0</v>
      </c>
      <c r="AF124" s="301">
        <f>INDEX('Inputs (2)'!$D$13:$AL$13,MATCH(AF$7,'Inputs (2)'!$D$2:$AL$2,0))</f>
        <v>0</v>
      </c>
      <c r="AG124" s="268">
        <f>SUM(AC124:AF124)</f>
        <v>0</v>
      </c>
      <c r="AH124" s="268">
        <f>INDEX('Inputs (2)'!$D$13:$AL$13,MATCH(AH$7,'Inputs (2)'!$D$2:$AL$2,0))</f>
        <v>0</v>
      </c>
      <c r="AI124" s="268">
        <f>INDEX('Inputs (2)'!$D$13:$AL$13,MATCH(AI$7,'Inputs (2)'!$D$2:$AL$2,0))</f>
        <v>0</v>
      </c>
      <c r="AJ124" s="268" t="n"/>
      <c r="AK124" s="268" t="n"/>
      <c r="AL124" s="268">
        <f>SUM(AH124:AK124)</f>
        <v>0</v>
      </c>
      <c r="AM124" s="268" t="n"/>
      <c r="AN124" s="268" t="n"/>
      <c r="AO124" s="268" t="n"/>
      <c r="AP124" s="268" t="n"/>
      <c r="AQ124" s="268">
        <f>SUM(AM124:AP124)</f>
        <v>0</v>
      </c>
      <c r="AR124" s="268" t="n"/>
      <c r="AS124" s="268" t="n"/>
      <c r="AT124" s="268" t="n"/>
      <c r="AU124" s="268" t="n"/>
      <c r="AV124" s="268">
        <f>SUM(AR124:AU124)</f>
        <v>0</v>
      </c>
      <c r="AW124" s="268" t="n"/>
      <c r="AX124" s="268" t="n"/>
      <c r="AY124" s="268" t="n"/>
      <c r="AZ124" s="268" t="n"/>
      <c r="BA124" s="268">
        <f>SUM(AW124:AZ124)</f>
        <v>0</v>
      </c>
      <c r="BB124" s="268" t="n"/>
      <c r="BC124" s="268" t="n"/>
      <c r="BD124" s="268" t="n"/>
      <c r="BE124" s="268" t="n"/>
      <c r="BF124" s="268">
        <f>SUM(BB124:BE124)</f>
        <v>0</v>
      </c>
      <c r="BG124" s="268" t="n"/>
      <c r="BH124" s="268" t="n"/>
      <c r="BI124" s="268" t="n"/>
      <c r="BJ124" s="268" t="n"/>
      <c r="BK124" s="268">
        <f>SUM(BG124:BJ124)</f>
        <v>0</v>
      </c>
      <c r="BL124" s="268" t="n"/>
      <c r="BM124" s="268" t="n"/>
      <c r="BN124" s="268" t="n"/>
      <c r="BO124" s="268" t="n"/>
      <c r="BP124" s="268">
        <f>SUM(BL124:BO124)</f>
        <v>0</v>
      </c>
      <c r="BQ124" s="268" t="n"/>
      <c r="BR124" s="268" t="n"/>
      <c r="BS124" s="268" t="n"/>
      <c r="BT124" s="268" t="n"/>
      <c r="BU124" s="268">
        <f>SUM(BQ124:BT124)</f>
        <v>0</v>
      </c>
      <c r="BV124" s="268" t="n"/>
      <c r="BW124" s="268" t="n"/>
      <c r="BX124" s="268" t="n"/>
      <c r="BY124" s="268" t="n"/>
      <c r="BZ124" s="268">
        <f>SUM(BV124:BY124)</f>
        <v>0</v>
      </c>
      <c r="CA124" s="268" t="n"/>
      <c r="CB124" s="268" t="n"/>
      <c r="CC124" s="268" t="n"/>
      <c r="CD124" s="268" t="n"/>
      <c r="CE124" s="268">
        <f>SUM(CA124:CD124)</f>
        <v>0</v>
      </c>
      <c r="CF124" s="268" t="n"/>
      <c r="CG124" s="268" t="n"/>
      <c r="CH124" s="268" t="n"/>
      <c r="CI124" s="268" t="n"/>
      <c r="CJ124" s="268">
        <f>SUM(CF124:CI124)</f>
        <v>0</v>
      </c>
      <c r="CK124" s="268" t="n"/>
      <c r="CL124" s="268" t="n"/>
      <c r="CM124" s="268" t="n"/>
      <c r="CN124" s="268" t="n"/>
      <c r="CO124" s="268">
        <f>SUM(CK124:CN124)</f>
        <v>0</v>
      </c>
      <c r="CP124" s="268" t="n"/>
      <c r="CQ124" s="268" t="n"/>
      <c r="CR124" s="268" t="n"/>
      <c r="CS124" s="268" t="n"/>
      <c r="CT124" s="268">
        <f>SUM(CP124:CS124)</f>
        <v>0</v>
      </c>
      <c r="CU124" s="268" t="n"/>
      <c r="CV124" s="268" t="n"/>
      <c r="CW124" s="268" t="n"/>
      <c r="CX124" s="268" t="n"/>
      <c r="CY124" s="268">
        <f>SUM(CU124:CX124)</f>
        <v>0</v>
      </c>
    </row>
    <row r="125" hidden="1" outlineLevel="1" ht="12.75" customHeight="1" s="255">
      <c r="C125" s="305" t="inlineStr">
        <is>
          <t>% DVD Payout</t>
        </is>
      </c>
      <c r="D125" s="313" t="str">
        <f>IFERROR(-D124/D123,"")</f>
        <v/>
      </c>
      <c r="E125" s="313" t="str">
        <f>IFERROR(-E124/E123,"")</f>
        <v/>
      </c>
      <c r="F125" s="313" t="str">
        <f>IFERROR(-F124/F123,"")</f>
        <v/>
      </c>
      <c r="G125" s="313" t="str">
        <f>IFERROR(-G124/G123,"")</f>
        <v/>
      </c>
      <c r="H125" s="313" t="str">
        <f>IFERROR(-H124/H123,"")</f>
        <v/>
      </c>
      <c r="I125" s="313" t="str">
        <f>IFERROR(-I124/I123,"")</f>
        <v/>
      </c>
      <c r="J125" s="313" t="str">
        <f>IFERROR(-J124/J123,"")</f>
        <v/>
      </c>
      <c r="K125" s="313" t="str">
        <f>IFERROR(-K124/K123,"")</f>
        <v/>
      </c>
      <c r="L125" s="313" t="str">
        <f>IFERROR(-L124/L123,"")</f>
        <v/>
      </c>
      <c r="M125" s="313" t="str">
        <f>IFERROR(-M124/M123,"")</f>
        <v/>
      </c>
      <c r="N125" s="313" t="str">
        <f>IFERROR(-N124/N123,"")</f>
        <v/>
      </c>
      <c r="O125" s="313" t="str">
        <f>IFERROR(-O124/O123,"")</f>
        <v/>
      </c>
      <c r="P125" s="313" t="str">
        <f>IFERROR(-P124/P123,"")</f>
        <v/>
      </c>
      <c r="Q125" s="313" t="str">
        <f>IFERROR(-Q124/Q123,"")</f>
        <v/>
      </c>
      <c r="R125" s="313" t="str">
        <f>IFERROR(-R124/R123,"")</f>
        <v/>
      </c>
      <c r="S125" s="313" t="str">
        <f>IFERROR(-S124/S123,"")</f>
        <v/>
      </c>
      <c r="T125" s="313" t="str">
        <f>IFERROR(-T124/T123,"")</f>
        <v/>
      </c>
      <c r="U125" s="313" t="str">
        <f>IFERROR(-U124/U123,"")</f>
        <v/>
      </c>
      <c r="V125" s="313" t="str">
        <f>IFERROR(-V124/V123,"")</f>
        <v/>
      </c>
      <c r="W125" s="313" t="str">
        <f>IFERROR(-W124/W123,"")</f>
        <v/>
      </c>
      <c r="X125" s="313">
        <f>IFERROR(-X124/X123,"")</f>
        <v>0</v>
      </c>
      <c r="Y125" s="313">
        <f>IFERROR(-Y124/Y123,"")</f>
        <v>0</v>
      </c>
      <c r="Z125" s="313">
        <f>IFERROR(-Z124/Z123,"")</f>
        <v>0</v>
      </c>
      <c r="AA125" s="313">
        <f>IFERROR(-AA124/AA123,"")</f>
        <v>0</v>
      </c>
      <c r="AB125" s="313">
        <f>IFERROR(-AB124/AB123,"")</f>
        <v>0</v>
      </c>
      <c r="AC125" s="313">
        <f>IFERROR(-AC124/AC123,"")</f>
        <v>0</v>
      </c>
      <c r="AD125" s="313">
        <f>IFERROR(-AD124/AD123,"")</f>
        <v>0</v>
      </c>
      <c r="AE125" s="313">
        <f>IFERROR(-AE124/AE123,"")</f>
        <v>0</v>
      </c>
      <c r="AF125" s="297">
        <f>IFERROR(-AF124/AF123,"")</f>
        <v>0</v>
      </c>
      <c r="AG125" s="268" t="n"/>
      <c r="AH125" s="297">
        <f>IFERROR(-AH124/AH123,"")</f>
        <v>0</v>
      </c>
      <c r="AI125" s="297">
        <f>IFERROR(-AI124/AI123,"")</f>
        <v>0</v>
      </c>
      <c r="AJ125" s="297" t="n"/>
      <c r="AK125" s="297" t="n"/>
      <c r="AL125" s="268">
        <f>IFERROR(-AL124/AL123,"")</f>
        <v>0</v>
      </c>
      <c r="AM125" s="297" t="n"/>
      <c r="AN125" s="297" t="n"/>
      <c r="AO125" s="297" t="n"/>
      <c r="AP125" s="297" t="n"/>
      <c r="AQ125" s="268">
        <f>IFERROR(-AQ124/AQ123,"")</f>
        <v>0</v>
      </c>
      <c r="AR125" s="297" t="n"/>
      <c r="AS125" s="297" t="n"/>
      <c r="AT125" s="297" t="n"/>
      <c r="AU125" s="297" t="n"/>
      <c r="AV125" s="268">
        <f>IFERROR(-AV124/AV123,"")</f>
        <v>0</v>
      </c>
      <c r="AW125" s="297" t="n"/>
      <c r="AX125" s="297" t="n"/>
      <c r="AY125" s="297" t="n"/>
      <c r="AZ125" s="297" t="n"/>
      <c r="BA125" s="268">
        <f>IFERROR(-BA124/BA123,"")</f>
        <v>0</v>
      </c>
      <c r="BB125" s="297" t="n"/>
      <c r="BC125" s="297" t="n"/>
      <c r="BD125" s="297" t="n"/>
      <c r="BE125" s="297" t="n"/>
      <c r="BF125" s="268">
        <f>IFERROR(-BF124/BF123,"")</f>
        <v>0</v>
      </c>
      <c r="BG125" s="297" t="n"/>
      <c r="BH125" s="297" t="n"/>
      <c r="BI125" s="297" t="n"/>
      <c r="BJ125" s="297" t="n"/>
      <c r="BK125" s="268">
        <f>IFERROR(-BK124/BK123,"")</f>
        <v>0</v>
      </c>
      <c r="BL125" s="297" t="n"/>
      <c r="BM125" s="297" t="n"/>
      <c r="BN125" s="297" t="n"/>
      <c r="BO125" s="297" t="n"/>
      <c r="BP125" s="268">
        <f>IFERROR(-BP124/BP123,"")</f>
        <v>0</v>
      </c>
      <c r="BQ125" s="297" t="n"/>
      <c r="BR125" s="297" t="n"/>
      <c r="BS125" s="297" t="n"/>
      <c r="BT125" s="297" t="n"/>
      <c r="BU125" s="268">
        <f>IFERROR(-BU124/BU123,"")</f>
        <v>0</v>
      </c>
      <c r="BV125" s="297" t="n"/>
      <c r="BW125" s="297" t="n"/>
      <c r="BX125" s="297" t="n"/>
      <c r="BY125" s="297" t="n"/>
      <c r="BZ125" s="268">
        <f>IFERROR(-BZ124/BZ123,"")</f>
        <v>0</v>
      </c>
      <c r="CA125" s="297" t="n"/>
      <c r="CB125" s="297" t="n"/>
      <c r="CC125" s="297" t="n"/>
      <c r="CD125" s="297" t="n"/>
      <c r="CE125" s="268">
        <f>IFERROR(-CE124/CE123,"")</f>
        <v>0</v>
      </c>
      <c r="CF125" s="297" t="n"/>
      <c r="CG125" s="297" t="n"/>
      <c r="CH125" s="297" t="n"/>
      <c r="CI125" s="297" t="n"/>
      <c r="CJ125" s="268">
        <f>IFERROR(-CJ124/CJ123,"")</f>
        <v>0</v>
      </c>
      <c r="CK125" s="297" t="n"/>
      <c r="CL125" s="297" t="n"/>
      <c r="CM125" s="297" t="n"/>
      <c r="CN125" s="297" t="n"/>
      <c r="CO125" s="268">
        <f>IFERROR(-CO124/CO123,"")</f>
        <v>0</v>
      </c>
      <c r="CP125" s="297" t="n"/>
      <c r="CQ125" s="297" t="n"/>
      <c r="CR125" s="297" t="n"/>
      <c r="CS125" s="297" t="n"/>
      <c r="CT125" s="268">
        <f>IFERROR(-CT124/CT123,"")</f>
        <v>0</v>
      </c>
      <c r="CU125" s="297" t="n"/>
      <c r="CV125" s="297" t="n"/>
      <c r="CW125" s="297" t="n"/>
      <c r="CX125" s="297" t="n"/>
      <c r="CY125" s="268">
        <f>IFERROR(-CY124/CY123,"")</f>
        <v>0</v>
      </c>
    </row>
    <row r="126" hidden="1" outlineLevel="1" ht="12.75" customHeight="1" s="255">
      <c r="C126" s="274" t="n"/>
      <c r="D126" s="259" t="n"/>
      <c r="E126" s="259" t="n"/>
      <c r="F126" s="259" t="n"/>
      <c r="G126" s="259" t="n"/>
      <c r="H126" s="259" t="n"/>
      <c r="I126" s="259" t="n"/>
      <c r="J126" s="259" t="n"/>
      <c r="K126" s="259" t="n"/>
      <c r="L126" s="259" t="n"/>
      <c r="M126" s="259" t="n"/>
      <c r="N126" s="259" t="n"/>
      <c r="O126" s="259" t="n"/>
      <c r="P126" s="259" t="n"/>
      <c r="Q126" s="259" t="n"/>
      <c r="R126" s="259" t="n"/>
      <c r="S126" s="259" t="n"/>
      <c r="T126" s="259" t="n"/>
      <c r="U126" s="259" t="n"/>
      <c r="V126" s="259" t="n"/>
      <c r="W126" s="259" t="n"/>
      <c r="X126" s="259" t="n"/>
      <c r="Y126" s="259" t="n"/>
      <c r="Z126" s="259" t="n"/>
      <c r="AA126" s="259" t="n"/>
      <c r="AB126" s="259" t="n"/>
      <c r="AC126" s="259" t="n"/>
      <c r="AD126" s="259" t="n"/>
      <c r="AE126" s="259" t="n"/>
      <c r="AF126" s="259" t="n"/>
      <c r="AG126" s="259" t="n"/>
      <c r="AH126" s="259" t="n"/>
      <c r="AI126" s="259" t="n"/>
      <c r="AJ126" s="259" t="n"/>
      <c r="AK126" s="259" t="n"/>
      <c r="AL126" s="259" t="n"/>
      <c r="AM126" s="259" t="n"/>
      <c r="AN126" s="259" t="n"/>
      <c r="AO126" s="259" t="n"/>
      <c r="AP126" s="259" t="n"/>
      <c r="AQ126" s="259" t="n"/>
      <c r="AR126" s="259" t="n"/>
      <c r="AS126" s="259" t="n"/>
      <c r="AT126" s="259" t="n"/>
      <c r="AU126" s="259" t="n"/>
      <c r="AV126" s="259" t="n"/>
      <c r="AW126" s="259" t="n"/>
      <c r="AX126" s="259" t="n"/>
      <c r="AY126" s="259" t="n"/>
      <c r="AZ126" s="259" t="n"/>
      <c r="BA126" s="259" t="n"/>
      <c r="BB126" s="259" t="n"/>
      <c r="BC126" s="259" t="n"/>
      <c r="BD126" s="259" t="n"/>
      <c r="BE126" s="259" t="n"/>
      <c r="BF126" s="259" t="n"/>
      <c r="BG126" s="259" t="n"/>
      <c r="BH126" s="259" t="n"/>
      <c r="BI126" s="259" t="n"/>
      <c r="BJ126" s="259" t="n"/>
      <c r="BK126" s="259" t="n"/>
      <c r="BL126" s="259" t="n"/>
      <c r="BM126" s="259" t="n"/>
      <c r="BN126" s="259" t="n"/>
      <c r="BO126" s="259" t="n"/>
      <c r="BP126" s="259" t="n"/>
      <c r="BQ126" s="259" t="n"/>
      <c r="BR126" s="259" t="n"/>
      <c r="BS126" s="259" t="n"/>
      <c r="BT126" s="259" t="n"/>
      <c r="BU126" s="259" t="n"/>
      <c r="BV126" s="259" t="n"/>
      <c r="BW126" s="259" t="n"/>
      <c r="BX126" s="259" t="n"/>
      <c r="BY126" s="259" t="n"/>
      <c r="BZ126" s="259" t="n"/>
      <c r="CA126" s="259" t="n"/>
      <c r="CB126" s="259" t="n"/>
      <c r="CC126" s="259" t="n"/>
      <c r="CD126" s="259" t="n"/>
      <c r="CE126" s="259" t="n"/>
      <c r="CF126" s="259" t="n"/>
      <c r="CG126" s="259" t="n"/>
      <c r="CH126" s="259" t="n"/>
      <c r="CI126" s="259" t="n"/>
      <c r="CJ126" s="259" t="n"/>
      <c r="CK126" s="259" t="n"/>
      <c r="CL126" s="259" t="n"/>
      <c r="CM126" s="259" t="n"/>
      <c r="CN126" s="259" t="n"/>
      <c r="CO126" s="259" t="n"/>
      <c r="CP126" s="259" t="n"/>
      <c r="CQ126" s="259" t="n"/>
      <c r="CR126" s="259" t="n"/>
      <c r="CS126" s="259" t="n"/>
      <c r="CT126" s="259" t="n"/>
      <c r="CU126" s="259" t="n"/>
      <c r="CV126" s="259" t="n"/>
      <c r="CW126" s="259" t="n"/>
      <c r="CX126" s="259" t="n"/>
      <c r="CY126" s="259" t="n"/>
    </row>
    <row r="127" hidden="1" outlineLevel="1" ht="12.75" customHeight="1" s="255">
      <c r="C127" s="274" t="n"/>
      <c r="D127" s="259" t="n"/>
      <c r="E127" s="259" t="n"/>
      <c r="F127" s="259" t="n"/>
      <c r="G127" s="259" t="n"/>
      <c r="H127" s="259" t="n"/>
      <c r="I127" s="259" t="n"/>
      <c r="J127" s="259" t="n"/>
      <c r="K127" s="259" t="n"/>
      <c r="L127" s="259" t="n"/>
      <c r="M127" s="259" t="n"/>
      <c r="N127" s="259" t="n"/>
      <c r="O127" s="259" t="n"/>
      <c r="P127" s="259" t="n"/>
      <c r="Q127" s="259" t="n"/>
      <c r="R127" s="259" t="n"/>
      <c r="S127" s="259" t="n"/>
      <c r="T127" s="259" t="n"/>
      <c r="U127" s="259" t="n"/>
      <c r="V127" s="259" t="n"/>
      <c r="W127" s="259" t="n"/>
      <c r="X127" s="259" t="n"/>
      <c r="Y127" s="259" t="n"/>
      <c r="Z127" s="259" t="n"/>
      <c r="AA127" s="259" t="n"/>
      <c r="AB127" s="259" t="n"/>
      <c r="AC127" s="259" t="n"/>
      <c r="AD127" s="259" t="n"/>
      <c r="AE127" s="259" t="n"/>
      <c r="AF127" s="259" t="n"/>
      <c r="AG127" s="259" t="n"/>
      <c r="AH127" s="259" t="n"/>
      <c r="AI127" s="259" t="n"/>
      <c r="AJ127" s="259" t="n"/>
      <c r="AK127" s="259" t="n"/>
      <c r="AL127" s="259" t="n"/>
      <c r="AM127" s="259" t="n"/>
      <c r="AN127" s="259" t="n"/>
      <c r="AO127" s="259" t="n"/>
      <c r="AP127" s="259" t="n"/>
      <c r="AQ127" s="259" t="n"/>
      <c r="AR127" s="259" t="n"/>
      <c r="AS127" s="259" t="n"/>
      <c r="AT127" s="259" t="n"/>
      <c r="AU127" s="259" t="n"/>
      <c r="AV127" s="259" t="n"/>
      <c r="AW127" s="259" t="n"/>
      <c r="AX127" s="259" t="n"/>
      <c r="AY127" s="259" t="n"/>
      <c r="AZ127" s="259" t="n"/>
      <c r="BA127" s="259" t="n"/>
      <c r="BB127" s="259" t="n"/>
      <c r="BC127" s="259" t="n"/>
      <c r="BD127" s="259" t="n"/>
      <c r="BE127" s="259" t="n"/>
      <c r="BF127" s="259" t="n"/>
      <c r="BG127" s="259" t="n"/>
      <c r="BH127" s="259" t="n"/>
      <c r="BI127" s="259" t="n"/>
      <c r="BJ127" s="259" t="n"/>
      <c r="BK127" s="259" t="n"/>
      <c r="BL127" s="259" t="n"/>
      <c r="BM127" s="259" t="n"/>
      <c r="BN127" s="259" t="n"/>
      <c r="BO127" s="259" t="n"/>
      <c r="BP127" s="259" t="n"/>
      <c r="BQ127" s="259" t="n"/>
      <c r="BR127" s="259" t="n"/>
      <c r="BS127" s="259" t="n"/>
      <c r="BT127" s="259" t="n"/>
      <c r="BU127" s="259" t="n"/>
      <c r="BV127" s="259" t="n"/>
      <c r="BW127" s="259" t="n"/>
      <c r="BX127" s="259" t="n"/>
      <c r="BY127" s="259" t="n"/>
      <c r="BZ127" s="259" t="n"/>
      <c r="CA127" s="259" t="n"/>
      <c r="CB127" s="259" t="n"/>
      <c r="CC127" s="259" t="n"/>
      <c r="CD127" s="259" t="n"/>
      <c r="CE127" s="259" t="n"/>
      <c r="CF127" s="259" t="n"/>
      <c r="CG127" s="259" t="n"/>
      <c r="CH127" s="259" t="n"/>
      <c r="CI127" s="259" t="n"/>
      <c r="CJ127" s="259" t="n"/>
      <c r="CK127" s="259" t="n"/>
      <c r="CL127" s="259" t="n"/>
      <c r="CM127" s="259" t="n"/>
      <c r="CN127" s="259" t="n"/>
      <c r="CO127" s="259" t="n"/>
      <c r="CP127" s="259" t="n"/>
      <c r="CQ127" s="259" t="n"/>
      <c r="CR127" s="259" t="n"/>
      <c r="CS127" s="259" t="n"/>
      <c r="CT127" s="259" t="n"/>
      <c r="CU127" s="259" t="n"/>
      <c r="CV127" s="259" t="n"/>
      <c r="CW127" s="259" t="n"/>
      <c r="CX127" s="259" t="n"/>
      <c r="CY127" s="259" t="n"/>
    </row>
    <row r="128" ht="11.25" customHeight="1" s="255">
      <c r="C128" s="289" t="inlineStr">
        <is>
          <t>Balance Sheet</t>
        </is>
      </c>
      <c r="D128" s="289" t="str">
        <f>D13</f>
        <v>1Q20</v>
      </c>
      <c r="E128" s="289" t="str">
        <f>E13</f>
        <v>2Q20</v>
      </c>
      <c r="F128" s="289" t="str">
        <f>F13</f>
        <v>3Q20</v>
      </c>
      <c r="G128" s="289" t="str">
        <f>G13</f>
        <v>4Q20</v>
      </c>
      <c r="H128" s="289">
        <f>H13</f>
        <v>2020</v>
      </c>
      <c r="I128" s="289" t="str">
        <f>I13</f>
        <v>1Q21</v>
      </c>
      <c r="J128" s="289" t="str">
        <f>J13</f>
        <v>2Q21</v>
      </c>
      <c r="K128" s="289" t="str">
        <f>K13</f>
        <v>3Q21</v>
      </c>
      <c r="L128" s="289" t="str">
        <f>L13</f>
        <v>4Q21</v>
      </c>
      <c r="M128" s="289">
        <f>M13</f>
        <v>2021</v>
      </c>
      <c r="N128" s="289" t="str">
        <f>N13</f>
        <v>1Q22</v>
      </c>
      <c r="O128" s="289" t="str">
        <f>O13</f>
        <v>2Q22</v>
      </c>
      <c r="P128" s="289" t="str">
        <f>P13</f>
        <v>3Q22</v>
      </c>
      <c r="Q128" s="289" t="str">
        <f>Q13</f>
        <v>4Q22</v>
      </c>
      <c r="R128" s="289">
        <f>R13</f>
        <v>2022</v>
      </c>
      <c r="S128" s="289" t="str">
        <f>S13</f>
        <v>1Q23</v>
      </c>
      <c r="T128" s="289" t="str">
        <f>T13</f>
        <v>2Q23</v>
      </c>
      <c r="U128" s="289" t="str">
        <f>U13</f>
        <v>3Q23</v>
      </c>
      <c r="V128" s="289" t="str">
        <f>V13</f>
        <v>4Q23</v>
      </c>
      <c r="W128" s="289">
        <f>W13</f>
        <v>2023</v>
      </c>
      <c r="X128" s="289" t="str">
        <f>X13</f>
        <v>1Q24</v>
      </c>
      <c r="Y128" s="289" t="str">
        <f>Y13</f>
        <v>2Q24</v>
      </c>
      <c r="Z128" s="289" t="str">
        <f>Z13</f>
        <v>3Q24</v>
      </c>
      <c r="AA128" s="289" t="str">
        <f>AA13</f>
        <v>4Q24</v>
      </c>
      <c r="AB128" s="289">
        <f>AB13</f>
        <v>2024</v>
      </c>
      <c r="AC128" s="289" t="str">
        <f>AC13</f>
        <v>1Q25</v>
      </c>
      <c r="AD128" s="289" t="str">
        <f>AD13</f>
        <v>2Q25</v>
      </c>
      <c r="AE128" s="289" t="str">
        <f>AE13</f>
        <v>3Q25</v>
      </c>
      <c r="AF128" s="289" t="str">
        <f>AF13</f>
        <v>4Q25</v>
      </c>
      <c r="AG128" s="289">
        <f>AG13</f>
        <v>2025</v>
      </c>
      <c r="AH128" s="289" t="str">
        <f>AH13</f>
        <v>1Q26</v>
      </c>
      <c r="AI128" s="289" t="str">
        <f>AI13</f>
        <v>2Q26</v>
      </c>
      <c r="AJ128" s="289" t="str">
        <f>AJ13</f>
        <v>3Q26</v>
      </c>
      <c r="AK128" s="289" t="str">
        <f>AK13</f>
        <v>4Q26</v>
      </c>
      <c r="AL128" s="289">
        <f>AL13</f>
        <v>2026</v>
      </c>
      <c r="AM128" s="289" t="str">
        <f>AM13</f>
        <v>1Q27</v>
      </c>
      <c r="AN128" s="289" t="str">
        <f>AN13</f>
        <v>2Q27</v>
      </c>
      <c r="AO128" s="289" t="str">
        <f>AO13</f>
        <v>3Q27</v>
      </c>
      <c r="AP128" s="289" t="str">
        <f>AP13</f>
        <v>4Q27</v>
      </c>
      <c r="AQ128" s="289">
        <f>AQ13</f>
        <v>2027</v>
      </c>
      <c r="AR128" s="289" t="str">
        <f>AR13</f>
        <v>1Q28</v>
      </c>
      <c r="AS128" s="289" t="str">
        <f>AS13</f>
        <v>2Q28</v>
      </c>
      <c r="AT128" s="289" t="str">
        <f>AT13</f>
        <v>3Q28</v>
      </c>
      <c r="AU128" s="289" t="str">
        <f>AU13</f>
        <v>4Q28</v>
      </c>
      <c r="AV128" s="289">
        <f>AV13</f>
        <v>2028</v>
      </c>
      <c r="AW128" s="289" t="str">
        <f>AW13</f>
        <v>1Q29</v>
      </c>
      <c r="AX128" s="289" t="str">
        <f>AX13</f>
        <v>2Q29</v>
      </c>
      <c r="AY128" s="289" t="str">
        <f>AY13</f>
        <v>3Q29</v>
      </c>
      <c r="AZ128" s="289" t="str">
        <f>AZ13</f>
        <v>4Q29</v>
      </c>
      <c r="BA128" s="289">
        <f>BA13</f>
        <v>2029</v>
      </c>
      <c r="BB128" s="289" t="str">
        <f>BB13</f>
        <v>1Q30</v>
      </c>
      <c r="BC128" s="289" t="str">
        <f>BC13</f>
        <v>2Q30</v>
      </c>
      <c r="BD128" s="289" t="str">
        <f>BD13</f>
        <v>3Q30</v>
      </c>
      <c r="BE128" s="289" t="str">
        <f>BE13</f>
        <v>4Q30</v>
      </c>
      <c r="BF128" s="289">
        <f>BF13</f>
        <v>2030</v>
      </c>
      <c r="BG128" s="289" t="str">
        <f>BG13</f>
        <v>1Q31</v>
      </c>
      <c r="BH128" s="289" t="str">
        <f>BH13</f>
        <v>2Q31</v>
      </c>
      <c r="BI128" s="289" t="str">
        <f>BI13</f>
        <v>3Q31</v>
      </c>
      <c r="BJ128" s="289" t="str">
        <f>BJ13</f>
        <v>4Q31</v>
      </c>
      <c r="BK128" s="289">
        <f>BK13</f>
        <v>2031</v>
      </c>
      <c r="BL128" s="289" t="str">
        <f>BL13</f>
        <v>1Q32</v>
      </c>
      <c r="BM128" s="289" t="str">
        <f>BM13</f>
        <v>2Q32</v>
      </c>
      <c r="BN128" s="289" t="str">
        <f>BN13</f>
        <v>3Q32</v>
      </c>
      <c r="BO128" s="289" t="str">
        <f>BO13</f>
        <v>4Q32</v>
      </c>
      <c r="BP128" s="289">
        <f>BP13</f>
        <v>2032</v>
      </c>
      <c r="BQ128" s="289" t="str">
        <f>BQ13</f>
        <v>1Q33</v>
      </c>
      <c r="BR128" s="289" t="str">
        <f>BR13</f>
        <v>2Q33</v>
      </c>
      <c r="BS128" s="289" t="str">
        <f>BS13</f>
        <v>3Q33</v>
      </c>
      <c r="BT128" s="289" t="str">
        <f>BT13</f>
        <v>4Q33</v>
      </c>
      <c r="BU128" s="289">
        <f>BU13</f>
        <v>2033</v>
      </c>
      <c r="BV128" s="289" t="str">
        <f>BV13</f>
        <v>1Q34</v>
      </c>
      <c r="BW128" s="289" t="str">
        <f>BW13</f>
        <v>2Q34</v>
      </c>
      <c r="BX128" s="289" t="str">
        <f>BX13</f>
        <v>3Q34</v>
      </c>
      <c r="BY128" s="289" t="str">
        <f>BY13</f>
        <v>4Q34</v>
      </c>
      <c r="BZ128" s="289">
        <f>BZ13</f>
        <v>2034</v>
      </c>
      <c r="CA128" s="289" t="str">
        <f>CA13</f>
        <v>1Q35</v>
      </c>
      <c r="CB128" s="289" t="str">
        <f>CB13</f>
        <v>2Q35</v>
      </c>
      <c r="CC128" s="289" t="str">
        <f>CC13</f>
        <v>3Q35</v>
      </c>
      <c r="CD128" s="289" t="str">
        <f>CD13</f>
        <v>4Q35</v>
      </c>
      <c r="CE128" s="289">
        <f>CE13</f>
        <v>2035</v>
      </c>
      <c r="CF128" s="289" t="str">
        <f>CF13</f>
        <v>1Q36</v>
      </c>
      <c r="CG128" s="289" t="str">
        <f>CG13</f>
        <v>2Q36</v>
      </c>
      <c r="CH128" s="289" t="str">
        <f>CH13</f>
        <v>3Q36</v>
      </c>
      <c r="CI128" s="289" t="str">
        <f>CI13</f>
        <v>4Q36</v>
      </c>
      <c r="CJ128" s="289">
        <f>CJ13</f>
        <v>2036</v>
      </c>
      <c r="CK128" s="289" t="str">
        <f>CK13</f>
        <v>1Q37</v>
      </c>
      <c r="CL128" s="289" t="str">
        <f>CL13</f>
        <v>2Q37</v>
      </c>
      <c r="CM128" s="289" t="str">
        <f>CM13</f>
        <v>3Q37</v>
      </c>
      <c r="CN128" s="289" t="str">
        <f>CN13</f>
        <v>4Q37</v>
      </c>
      <c r="CO128" s="289">
        <f>CO13</f>
        <v>2037</v>
      </c>
      <c r="CP128" s="289" t="str">
        <f>CP13</f>
        <v>1Q38</v>
      </c>
      <c r="CQ128" s="289" t="str">
        <f>CQ13</f>
        <v>2Q38</v>
      </c>
      <c r="CR128" s="289" t="str">
        <f>CR13</f>
        <v>3Q38</v>
      </c>
      <c r="CS128" s="289" t="str">
        <f>CS13</f>
        <v>4Q38</v>
      </c>
      <c r="CT128" s="289">
        <f>CT13</f>
        <v>2038</v>
      </c>
      <c r="CU128" s="289" t="str">
        <f>CU13</f>
        <v>1Q39</v>
      </c>
      <c r="CV128" s="289" t="str">
        <f>CV13</f>
        <v>2Q39</v>
      </c>
      <c r="CW128" s="289" t="str">
        <f>CW13</f>
        <v>3Q39</v>
      </c>
      <c r="CX128" s="289" t="str">
        <f>CX13</f>
        <v>4Q39</v>
      </c>
      <c r="CY128" s="289">
        <f>CY13</f>
        <v>2039</v>
      </c>
    </row>
    <row r="129" ht="12.75" customHeight="1" s="255">
      <c r="C129" s="274" t="n"/>
      <c r="D129" s="259" t="n"/>
      <c r="E129" s="259" t="n"/>
      <c r="F129" s="259" t="n"/>
      <c r="G129" s="259" t="n"/>
      <c r="H129" s="259" t="n"/>
      <c r="I129" s="259" t="n"/>
      <c r="J129" s="259" t="n"/>
      <c r="K129" s="259" t="n"/>
      <c r="L129" s="259" t="n"/>
      <c r="M129" s="259" t="n"/>
      <c r="N129" s="259" t="n"/>
      <c r="O129" s="259" t="n"/>
      <c r="P129" s="259" t="n"/>
      <c r="Q129" s="259" t="n"/>
      <c r="R129" s="259" t="n"/>
      <c r="S129" s="259" t="n"/>
      <c r="T129" s="259" t="n"/>
      <c r="U129" s="259" t="n"/>
      <c r="V129" s="259" t="n"/>
      <c r="W129" s="259" t="n"/>
      <c r="X129" s="259" t="n"/>
      <c r="Y129" s="259" t="n"/>
      <c r="Z129" s="259" t="n"/>
      <c r="AA129" s="259" t="n"/>
      <c r="AB129" s="259" t="n"/>
      <c r="AC129" s="259" t="n"/>
      <c r="AD129" s="259" t="n"/>
      <c r="AE129" s="259" t="n"/>
      <c r="AF129" s="259" t="n"/>
      <c r="AG129" s="259" t="n"/>
      <c r="AH129" s="259" t="n"/>
      <c r="AI129" s="259" t="n"/>
      <c r="AJ129" s="259" t="n"/>
      <c r="AK129" s="259" t="n"/>
      <c r="AL129" s="259" t="n"/>
      <c r="AM129" s="259" t="n"/>
      <c r="AN129" s="259" t="n"/>
      <c r="AO129" s="259" t="n"/>
      <c r="AP129" s="259" t="n"/>
      <c r="AQ129" s="259" t="n"/>
      <c r="AR129" s="259" t="n"/>
      <c r="AS129" s="259" t="n"/>
      <c r="AT129" s="259" t="n"/>
      <c r="AU129" s="259" t="n"/>
      <c r="AV129" s="259" t="n"/>
      <c r="AW129" s="259" t="n"/>
      <c r="AX129" s="259" t="n"/>
      <c r="AY129" s="259" t="n"/>
      <c r="AZ129" s="259" t="n"/>
      <c r="BA129" s="259" t="n"/>
      <c r="BB129" s="259" t="n"/>
      <c r="BC129" s="259" t="n"/>
      <c r="BD129" s="259" t="n"/>
      <c r="BE129" s="259" t="n"/>
      <c r="BF129" s="259" t="n"/>
      <c r="BG129" s="259" t="n"/>
      <c r="BH129" s="259" t="n"/>
      <c r="BI129" s="259" t="n"/>
      <c r="BJ129" s="259" t="n"/>
      <c r="BK129" s="259" t="n"/>
      <c r="BL129" s="259" t="n"/>
      <c r="BM129" s="259" t="n"/>
      <c r="BN129" s="259" t="n"/>
      <c r="BO129" s="259" t="n"/>
      <c r="BP129" s="259" t="n"/>
      <c r="BQ129" s="259" t="n"/>
      <c r="BR129" s="259" t="n"/>
      <c r="BS129" s="259" t="n"/>
      <c r="BT129" s="259" t="n"/>
      <c r="BU129" s="259" t="n"/>
      <c r="BV129" s="259" t="n"/>
      <c r="BW129" s="259" t="n"/>
      <c r="BX129" s="259" t="n"/>
      <c r="BY129" s="259" t="n"/>
      <c r="BZ129" s="259" t="n"/>
      <c r="CA129" s="259" t="n"/>
      <c r="CB129" s="259" t="n"/>
      <c r="CC129" s="259" t="n"/>
      <c r="CD129" s="259" t="n"/>
      <c r="CE129" s="259" t="n"/>
      <c r="CF129" s="259" t="n"/>
      <c r="CG129" s="259" t="n"/>
      <c r="CH129" s="259" t="n"/>
      <c r="CI129" s="259" t="n"/>
      <c r="CJ129" s="259" t="n"/>
      <c r="CK129" s="259" t="n"/>
      <c r="CL129" s="259" t="n"/>
      <c r="CM129" s="259" t="n"/>
      <c r="CN129" s="259" t="n"/>
      <c r="CO129" s="259" t="n"/>
      <c r="CP129" s="259" t="n"/>
      <c r="CQ129" s="259" t="n"/>
      <c r="CR129" s="259" t="n"/>
      <c r="CS129" s="259" t="n"/>
      <c r="CT129" s="259" t="n"/>
      <c r="CU129" s="259" t="n"/>
      <c r="CV129" s="259" t="n"/>
      <c r="CW129" s="259" t="n"/>
      <c r="CX129" s="259" t="n"/>
      <c r="CY129" s="259" t="n"/>
    </row>
    <row r="130" ht="12.75" customHeight="1" s="255">
      <c r="C130" s="269" t="inlineStr">
        <is>
          <t>Cash and equivalents (inc. investment securities)</t>
        </is>
      </c>
      <c r="D130" s="301">
        <f>INDEX('Inputs (2)'!$D$15:$AL$15,MATCH(D$7,'Inputs (2)'!$D$2:$AL$2,0))</f>
        <v>0</v>
      </c>
      <c r="E130" s="301">
        <f>INDEX('Inputs (2)'!$D$15:$AL$15,MATCH(E$7,'Inputs (2)'!$D$2:$AL$2,0))</f>
        <v>0</v>
      </c>
      <c r="F130" s="301">
        <f>INDEX('Inputs (2)'!$D$15:$AL$15,MATCH(F$7,'Inputs (2)'!$D$2:$AL$2,0))</f>
        <v>0</v>
      </c>
      <c r="G130" s="301">
        <f>INDEX('Inputs (2)'!$D$15:$AL$15,MATCH(G$7,'Inputs (2)'!$D$2:$AL$2,0))</f>
        <v>0</v>
      </c>
      <c r="H130" s="268">
        <f>G130</f>
        <v>0</v>
      </c>
      <c r="I130" s="301">
        <f>INDEX('Inputs (2)'!$D$15:$AL$15,MATCH(I$7,'Inputs (2)'!$D$2:$AL$2,0))</f>
        <v>0</v>
      </c>
      <c r="J130" s="301">
        <f>INDEX('Inputs (2)'!$D$15:$AL$15,MATCH(J$7,'Inputs (2)'!$D$2:$AL$2,0))</f>
        <v>0</v>
      </c>
      <c r="K130" s="301">
        <f>INDEX('Inputs (2)'!$D$15:$AL$15,MATCH(K$7,'Inputs (2)'!$D$2:$AL$2,0))</f>
        <v>0</v>
      </c>
      <c r="L130" s="301">
        <f>INDEX('Inputs (2)'!$D$15:$AL$15,MATCH(L$7,'Inputs (2)'!$D$2:$AL$2,0))</f>
        <v>0</v>
      </c>
      <c r="M130" s="268">
        <f>L130</f>
        <v>0</v>
      </c>
      <c r="N130" s="301">
        <f>INDEX('Inputs (2)'!$D$15:$AL$15,MATCH(N$7,'Inputs (2)'!$D$2:$AL$2,0))</f>
        <v>0</v>
      </c>
      <c r="O130" s="301">
        <f>INDEX('Inputs (2)'!$D$15:$AL$15,MATCH(O$7,'Inputs (2)'!$D$2:$AL$2,0))</f>
        <v>0</v>
      </c>
      <c r="P130" s="301">
        <f>INDEX('Inputs (2)'!$D$15:$AL$15,MATCH(P$7,'Inputs (2)'!$D$2:$AL$2,0))</f>
        <v>0</v>
      </c>
      <c r="Q130" s="301">
        <f>INDEX('Inputs (2)'!$D$15:$AL$15,MATCH(Q$7,'Inputs (2)'!$D$2:$AL$2,0))</f>
        <v>0</v>
      </c>
      <c r="R130" s="268">
        <f>Q130</f>
        <v>0</v>
      </c>
      <c r="S130" s="301">
        <f>INDEX('Inputs (2)'!$D$15:$AL$15,MATCH(S$7,'Inputs (2)'!$D$2:$AL$2,0))</f>
        <v>0</v>
      </c>
      <c r="T130" s="301">
        <f>INDEX('Inputs (2)'!$D$15:$AL$15,MATCH(T$7,'Inputs (2)'!$D$2:$AL$2,0))</f>
        <v>0</v>
      </c>
      <c r="U130" s="301">
        <f>INDEX('Inputs (2)'!$D$15:$AL$15,MATCH(U$7,'Inputs (2)'!$D$2:$AL$2,0))</f>
        <v>0</v>
      </c>
      <c r="V130" s="301">
        <f>INDEX('Inputs (2)'!$D$15:$AL$15,MATCH(V$7,'Inputs (2)'!$D$2:$AL$2,0))</f>
        <v>0</v>
      </c>
      <c r="W130" s="268">
        <f>V130</f>
        <v>0</v>
      </c>
      <c r="X130" s="301">
        <f>INDEX('Inputs (2)'!$D$15:$AL$15,MATCH(X$7,'Inputs (2)'!$D$2:$AL$2,0))</f>
        <v>0</v>
      </c>
      <c r="Y130" s="301">
        <f>INDEX('Inputs (2)'!$D$15:$AL$15,MATCH(Y$7,'Inputs (2)'!$D$2:$AL$2,0))</f>
        <v>0</v>
      </c>
      <c r="Z130" s="301">
        <f>INDEX('Inputs (2)'!$D$15:$AL$15,MATCH(Z$7,'Inputs (2)'!$D$2:$AL$2,0))</f>
        <v>0</v>
      </c>
      <c r="AA130" s="301">
        <f>INDEX('Inputs (2)'!$D$15:$AL$15,MATCH(AA$7,'Inputs (2)'!$D$2:$AL$2,0))</f>
        <v>1361.083</v>
      </c>
      <c r="AB130" s="268">
        <f>AA130</f>
        <v>1361.083</v>
      </c>
      <c r="AC130" s="301">
        <f>INDEX('Inputs (2)'!$D$15:$AL$15,MATCH(AC$7,'Inputs (2)'!$D$2:$AL$2,0))</f>
        <v>1276.456</v>
      </c>
      <c r="AD130" s="301">
        <f>INDEX('Inputs (2)'!$D$15:$AL$15,MATCH(AD$7,'Inputs (2)'!$D$2:$AL$2,0))</f>
        <v>1152.883</v>
      </c>
      <c r="AE130" s="301">
        <f>INDEX('Inputs (2)'!$D$15:$AL$15,MATCH(AE$7,'Inputs (2)'!$D$2:$AL$2,0))</f>
        <v>1941.848</v>
      </c>
      <c r="AF130" s="301">
        <f>INDEX('Inputs (2)'!$D$15:$AL$15,MATCH(AF$7,'Inputs (2)'!$D$2:$AL$2,0))</f>
        <v>3161</v>
      </c>
      <c r="AG130" s="268">
        <f>AF130</f>
        <v>3161</v>
      </c>
      <c r="AH130" s="268">
        <f>INDEX('Inputs (2)'!$D$15:$AL$15,MATCH(AH$7,'Inputs (2)'!$D$2:$AL$2,0))</f>
        <v>2266</v>
      </c>
      <c r="AI130" s="268">
        <f>INDEX('Inputs (2)'!$D$15:$AL$15,MATCH(AI$7,'Inputs (2)'!$D$2:$AL$2,0))</f>
        <v>5539</v>
      </c>
      <c r="AJ130" s="268">
        <f>AI130+AJ300</f>
        <v>-1817</v>
      </c>
      <c r="AK130" s="268">
        <f>AJ130+AK300</f>
        <v>-1774</v>
      </c>
      <c r="AL130" s="268">
        <f>AK130</f>
        <v>-1774</v>
      </c>
      <c r="AM130" s="268" t="e">
        <f>AL130+AM300</f>
        <v>#DIV/0!</v>
      </c>
      <c r="AN130" s="268" t="e">
        <f>AM130+AN300</f>
        <v>#DIV/0!</v>
      </c>
      <c r="AO130" s="268" t="e">
        <f>AN130+AO300</f>
        <v>#DIV/0!</v>
      </c>
      <c r="AP130" s="268" t="e">
        <f>AO130+AP300</f>
        <v>#DIV/0!</v>
      </c>
      <c r="AQ130" s="268" t="e">
        <f>AP130</f>
        <v>#DIV/0!</v>
      </c>
      <c r="AR130" s="268" t="e">
        <f>AQ130+AR300</f>
        <v>#DIV/0!</v>
      </c>
      <c r="AS130" s="268" t="e">
        <f>AR130+AS300</f>
        <v>#DIV/0!</v>
      </c>
      <c r="AT130" s="268" t="e">
        <f>AS130+AT300</f>
        <v>#DIV/0!</v>
      </c>
      <c r="AU130" s="268" t="e">
        <f>AT130+AU300</f>
        <v>#DIV/0!</v>
      </c>
      <c r="AV130" s="268" t="e">
        <f>AU130</f>
        <v>#DIV/0!</v>
      </c>
      <c r="AW130" s="268" t="e">
        <f>AV130+AW300</f>
        <v>#DIV/0!</v>
      </c>
      <c r="AX130" s="268" t="e">
        <f>AW130+AX300</f>
        <v>#DIV/0!</v>
      </c>
      <c r="AY130" s="268" t="e">
        <f>AX130+AY300</f>
        <v>#DIV/0!</v>
      </c>
      <c r="AZ130" s="268" t="e">
        <f>AY130+AZ300</f>
        <v>#DIV/0!</v>
      </c>
      <c r="BA130" s="268" t="e">
        <f>AZ130</f>
        <v>#DIV/0!</v>
      </c>
      <c r="BB130" s="268" t="e">
        <f>BA130+BB300</f>
        <v>#DIV/0!</v>
      </c>
      <c r="BC130" s="268" t="e">
        <f>BB130+BC300</f>
        <v>#DIV/0!</v>
      </c>
      <c r="BD130" s="268" t="e">
        <f>BC130+BD300</f>
        <v>#DIV/0!</v>
      </c>
      <c r="BE130" s="268" t="e">
        <f>BD130+BE300</f>
        <v>#DIV/0!</v>
      </c>
      <c r="BF130" s="268" t="e">
        <f>BE130</f>
        <v>#DIV/0!</v>
      </c>
      <c r="BG130" s="268" t="e">
        <f>BF130+BG300</f>
        <v>#DIV/0!</v>
      </c>
      <c r="BH130" s="268" t="e">
        <f>BG130+BH300</f>
        <v>#DIV/0!</v>
      </c>
      <c r="BI130" s="268" t="e">
        <f>BH130+BI300</f>
        <v>#DIV/0!</v>
      </c>
      <c r="BJ130" s="268" t="e">
        <f>BI130+BJ300</f>
        <v>#DIV/0!</v>
      </c>
      <c r="BK130" s="268" t="e">
        <f>BJ130</f>
        <v>#DIV/0!</v>
      </c>
      <c r="BL130" s="268" t="e">
        <f>BK130+BL300</f>
        <v>#DIV/0!</v>
      </c>
      <c r="BM130" s="268" t="e">
        <f>BL130+BM300</f>
        <v>#DIV/0!</v>
      </c>
      <c r="BN130" s="268" t="e">
        <f>BM130+BN300</f>
        <v>#DIV/0!</v>
      </c>
      <c r="BO130" s="268" t="e">
        <f>BN130+BO300</f>
        <v>#DIV/0!</v>
      </c>
      <c r="BP130" s="268" t="e">
        <f>BO130</f>
        <v>#DIV/0!</v>
      </c>
      <c r="BQ130" s="268" t="e">
        <f>BP130+BQ300</f>
        <v>#DIV/0!</v>
      </c>
      <c r="BR130" s="268" t="e">
        <f>BQ130+BR300</f>
        <v>#DIV/0!</v>
      </c>
      <c r="BS130" s="268" t="e">
        <f>BR130+BS300</f>
        <v>#DIV/0!</v>
      </c>
      <c r="BT130" s="268" t="e">
        <f>BS130+BT300</f>
        <v>#DIV/0!</v>
      </c>
      <c r="BU130" s="268" t="e">
        <f>BT130</f>
        <v>#DIV/0!</v>
      </c>
      <c r="BV130" s="268" t="e">
        <f>BU130+BV300</f>
        <v>#DIV/0!</v>
      </c>
      <c r="BW130" s="268" t="e">
        <f>BV130+BW300</f>
        <v>#DIV/0!</v>
      </c>
      <c r="BX130" s="268" t="e">
        <f>BW130+BX300</f>
        <v>#DIV/0!</v>
      </c>
      <c r="BY130" s="268" t="e">
        <f>BX130+BY300</f>
        <v>#DIV/0!</v>
      </c>
      <c r="BZ130" s="268" t="e">
        <f>BY130</f>
        <v>#DIV/0!</v>
      </c>
      <c r="CA130" s="268" t="e">
        <f>BZ130+CA300</f>
        <v>#DIV/0!</v>
      </c>
      <c r="CB130" s="268" t="e">
        <f>CA130+CB300</f>
        <v>#DIV/0!</v>
      </c>
      <c r="CC130" s="268" t="e">
        <f>CB130+CC300</f>
        <v>#DIV/0!</v>
      </c>
      <c r="CD130" s="268" t="e">
        <f>CC130+CD300</f>
        <v>#DIV/0!</v>
      </c>
      <c r="CE130" s="268" t="e">
        <f>CD130</f>
        <v>#DIV/0!</v>
      </c>
      <c r="CF130" s="268" t="e">
        <f>CE130+CF300</f>
        <v>#DIV/0!</v>
      </c>
      <c r="CG130" s="268" t="e">
        <f>CF130+CG300</f>
        <v>#DIV/0!</v>
      </c>
      <c r="CH130" s="268" t="e">
        <f>CG130+CH300</f>
        <v>#DIV/0!</v>
      </c>
      <c r="CI130" s="268" t="e">
        <f>CH130+CI300</f>
        <v>#DIV/0!</v>
      </c>
      <c r="CJ130" s="268" t="e">
        <f>CI130</f>
        <v>#DIV/0!</v>
      </c>
      <c r="CK130" s="268" t="e">
        <f>CJ130+CK300</f>
        <v>#DIV/0!</v>
      </c>
      <c r="CL130" s="268" t="e">
        <f>CK130+CL300</f>
        <v>#DIV/0!</v>
      </c>
      <c r="CM130" s="268" t="e">
        <f>CL130+CM300</f>
        <v>#DIV/0!</v>
      </c>
      <c r="CN130" s="268" t="e">
        <f>CM130+CN300</f>
        <v>#DIV/0!</v>
      </c>
      <c r="CO130" s="268" t="e">
        <f>CN130</f>
        <v>#DIV/0!</v>
      </c>
      <c r="CP130" s="268" t="e">
        <f>CO130+CP300</f>
        <v>#DIV/0!</v>
      </c>
      <c r="CQ130" s="268" t="e">
        <f>CP130+CQ300</f>
        <v>#DIV/0!</v>
      </c>
      <c r="CR130" s="268" t="e">
        <f>CQ130+CR300</f>
        <v>#DIV/0!</v>
      </c>
      <c r="CS130" s="268" t="e">
        <f>CR130+CS300</f>
        <v>#DIV/0!</v>
      </c>
      <c r="CT130" s="268" t="e">
        <f>CS130</f>
        <v>#DIV/0!</v>
      </c>
      <c r="CU130" s="268" t="e">
        <f>CT130+CU300</f>
        <v>#DIV/0!</v>
      </c>
      <c r="CV130" s="268" t="e">
        <f>CU130+CV300</f>
        <v>#DIV/0!</v>
      </c>
      <c r="CW130" s="268" t="e">
        <f>CV130+CW300</f>
        <v>#DIV/0!</v>
      </c>
      <c r="CX130" s="268" t="e">
        <f>CW130+CX300</f>
        <v>#DIV/0!</v>
      </c>
      <c r="CY130" s="268" t="e">
        <f>CX130</f>
        <v>#DIV/0!</v>
      </c>
    </row>
    <row r="131" ht="12.75" customHeight="1" s="255">
      <c r="C131" s="270" t="inlineStr">
        <is>
          <t>Accounts receivable</t>
        </is>
      </c>
      <c r="D131" s="301">
        <f>INDEX('Inputs (2)'!$D$16:$AL$16,MATCH(D$7,'Inputs (2)'!$D$2:$AL$2,0))</f>
        <v>0</v>
      </c>
      <c r="E131" s="301">
        <f>INDEX('Inputs (2)'!$D$16:$AL$16,MATCH(E$7,'Inputs (2)'!$D$2:$AL$2,0))</f>
        <v>0</v>
      </c>
      <c r="F131" s="301">
        <f>INDEX('Inputs (2)'!$D$16:$AL$16,MATCH(F$7,'Inputs (2)'!$D$2:$AL$2,0))</f>
        <v>0</v>
      </c>
      <c r="G131" s="301">
        <f>INDEX('Inputs (2)'!$D$16:$AL$16,MATCH(G$7,'Inputs (2)'!$D$2:$AL$2,0))</f>
        <v>0</v>
      </c>
      <c r="H131" s="268">
        <f>G131</f>
        <v>0</v>
      </c>
      <c r="I131" s="301">
        <f>INDEX('Inputs (2)'!$D$16:$AL$16,MATCH(I$7,'Inputs (2)'!$D$2:$AL$2,0))</f>
        <v>0</v>
      </c>
      <c r="J131" s="301">
        <f>INDEX('Inputs (2)'!$D$16:$AL$16,MATCH(J$7,'Inputs (2)'!$D$2:$AL$2,0))</f>
        <v>0</v>
      </c>
      <c r="K131" s="301">
        <f>INDEX('Inputs (2)'!$D$16:$AL$16,MATCH(K$7,'Inputs (2)'!$D$2:$AL$2,0))</f>
        <v>0</v>
      </c>
      <c r="L131" s="301">
        <f>INDEX('Inputs (2)'!$D$16:$AL$16,MATCH(L$7,'Inputs (2)'!$D$2:$AL$2,0))</f>
        <v>0</v>
      </c>
      <c r="M131" s="268">
        <f>L131</f>
        <v>0</v>
      </c>
      <c r="N131" s="301">
        <f>INDEX('Inputs (2)'!$D$16:$AL$16,MATCH(N$7,'Inputs (2)'!$D$2:$AL$2,0))</f>
        <v>0</v>
      </c>
      <c r="O131" s="301">
        <f>INDEX('Inputs (2)'!$D$16:$AL$16,MATCH(O$7,'Inputs (2)'!$D$2:$AL$2,0))</f>
        <v>0</v>
      </c>
      <c r="P131" s="301">
        <f>INDEX('Inputs (2)'!$D$16:$AL$16,MATCH(P$7,'Inputs (2)'!$D$2:$AL$2,0))</f>
        <v>0</v>
      </c>
      <c r="Q131" s="301">
        <f>INDEX('Inputs (2)'!$D$16:$AL$16,MATCH(Q$7,'Inputs (2)'!$D$2:$AL$2,0))</f>
        <v>0</v>
      </c>
      <c r="R131" s="268">
        <f>Q131</f>
        <v>0</v>
      </c>
      <c r="S131" s="301">
        <f>INDEX('Inputs (2)'!$D$16:$AL$16,MATCH(S$7,'Inputs (2)'!$D$2:$AL$2,0))</f>
        <v>0</v>
      </c>
      <c r="T131" s="301">
        <f>INDEX('Inputs (2)'!$D$16:$AL$16,MATCH(T$7,'Inputs (2)'!$D$2:$AL$2,0))</f>
        <v>0</v>
      </c>
      <c r="U131" s="301">
        <f>INDEX('Inputs (2)'!$D$16:$AL$16,MATCH(U$7,'Inputs (2)'!$D$2:$AL$2,0))</f>
        <v>0</v>
      </c>
      <c r="V131" s="301">
        <f>INDEX('Inputs (2)'!$D$16:$AL$16,MATCH(V$7,'Inputs (2)'!$D$2:$AL$2,0))</f>
        <v>0</v>
      </c>
      <c r="W131" s="268">
        <f>V131</f>
        <v>0</v>
      </c>
      <c r="X131" s="301">
        <f>INDEX('Inputs (2)'!$D$16:$AL$16,MATCH(X$7,'Inputs (2)'!$D$2:$AL$2,0))</f>
        <v>0</v>
      </c>
      <c r="Y131" s="301">
        <f>INDEX('Inputs (2)'!$D$16:$AL$16,MATCH(Y$7,'Inputs (2)'!$D$2:$AL$2,0))</f>
        <v>0</v>
      </c>
      <c r="Z131" s="301">
        <f>INDEX('Inputs (2)'!$D$16:$AL$16,MATCH(Z$7,'Inputs (2)'!$D$2:$AL$2,0))</f>
        <v>0</v>
      </c>
      <c r="AA131" s="301">
        <f>INDEX('Inputs (2)'!$D$16:$AL$16,MATCH(AA$7,'Inputs (2)'!$D$2:$AL$2,0))</f>
        <v>416.526</v>
      </c>
      <c r="AB131" s="268">
        <f>AA131</f>
        <v>416.526</v>
      </c>
      <c r="AC131" s="301">
        <f>INDEX('Inputs (2)'!$D$16:$AL$16,MATCH(AC$7,'Inputs (2)'!$D$2:$AL$2,0))</f>
        <v>1055.208</v>
      </c>
      <c r="AD131" s="301">
        <f>INDEX('Inputs (2)'!$D$16:$AL$16,MATCH(AD$7,'Inputs (2)'!$D$2:$AL$2,0))</f>
        <v>1933.698</v>
      </c>
      <c r="AE131" s="301">
        <f>INDEX('Inputs (2)'!$D$16:$AL$16,MATCH(AE$7,'Inputs (2)'!$D$2:$AL$2,0))</f>
        <v>1659.229</v>
      </c>
      <c r="AF131" s="301">
        <f>INDEX('Inputs (2)'!$D$16:$AL$16,MATCH(AF$7,'Inputs (2)'!$D$2:$AL$2,0))</f>
        <v>3169</v>
      </c>
      <c r="AG131" s="268">
        <f>AF131</f>
        <v>3169</v>
      </c>
      <c r="AH131" s="268">
        <f>INDEX('Inputs (2)'!$D$16:$AL$16,MATCH(AH$7,'Inputs (2)'!$D$2:$AL$2,0))</f>
        <v>2120</v>
      </c>
      <c r="AI131" s="268">
        <f>INDEX('Inputs (2)'!$D$16:$AL$16,MATCH(AI$7,'Inputs (2)'!$D$2:$AL$2,0))</f>
        <v>2541</v>
      </c>
      <c r="AJ131" s="268">
        <f>(AJ132/(AJ$5-AI$5))*AJ$15</f>
        <v>0</v>
      </c>
      <c r="AK131" s="268">
        <f>(AK132/(AK$5-AJ$5))*AK$15</f>
        <v>0</v>
      </c>
      <c r="AL131" s="268">
        <f>AK131</f>
        <v>0</v>
      </c>
      <c r="AM131" s="268">
        <f>(AM132/(AM$5-AL$5))*AM$15</f>
        <v>0</v>
      </c>
      <c r="AN131" s="268">
        <f>(AN132/(AN$5-AM$5))*AN$15</f>
        <v>0</v>
      </c>
      <c r="AO131" s="268">
        <f>(AO132/(AO$5-AN$5))*AO$15</f>
        <v>0</v>
      </c>
      <c r="AP131" s="268">
        <f>(AP132/(AP$5-AO$5))*AP$15</f>
        <v>0</v>
      </c>
      <c r="AQ131" s="268">
        <f>AP131</f>
        <v>0</v>
      </c>
      <c r="AR131" s="268">
        <f>(AR132/(AR$5-AQ$5))*AR$15</f>
        <v>0</v>
      </c>
      <c r="AS131" s="268">
        <f>(AS132/(AS$5-AR$5))*AS$15</f>
        <v>0</v>
      </c>
      <c r="AT131" s="268">
        <f>(AT132/(AT$5-AS$5))*AT$15</f>
        <v>0</v>
      </c>
      <c r="AU131" s="268">
        <f>(AU132/(AU$5-AT$5))*AU$15</f>
        <v>0</v>
      </c>
      <c r="AV131" s="268">
        <f>AU131</f>
        <v>0</v>
      </c>
      <c r="AW131" s="268">
        <f>(AW132/(AW$5-AV$5))*AW$15</f>
        <v>0</v>
      </c>
      <c r="AX131" s="268">
        <f>(AX132/(AX$5-AW$5))*AX$15</f>
        <v>0</v>
      </c>
      <c r="AY131" s="268">
        <f>(AY132/(AY$5-AX$5))*AY$15</f>
        <v>0</v>
      </c>
      <c r="AZ131" s="268">
        <f>(AZ132/(AZ$5-AY$5))*AZ$15</f>
        <v>0</v>
      </c>
      <c r="BA131" s="268">
        <f>AZ131</f>
        <v>0</v>
      </c>
      <c r="BB131" s="268">
        <f>(BB132/(BB$5-BA$5))*BB$15</f>
        <v>0</v>
      </c>
      <c r="BC131" s="268">
        <f>(BC132/(BC$5-BB$5))*BC$15</f>
        <v>0</v>
      </c>
      <c r="BD131" s="268">
        <f>(BD132/(BD$5-BC$5))*BD$15</f>
        <v>0</v>
      </c>
      <c r="BE131" s="268">
        <f>(BE132/(BE$5-BD$5))*BE$15</f>
        <v>0</v>
      </c>
      <c r="BF131" s="268">
        <f>BE131</f>
        <v>0</v>
      </c>
      <c r="BG131" s="268">
        <f>(BG132/(BG$5-BF$5))*BG$15</f>
        <v>0</v>
      </c>
      <c r="BH131" s="268">
        <f>(BH132/(BH$5-BG$5))*BH$15</f>
        <v>0</v>
      </c>
      <c r="BI131" s="268">
        <f>(BI132/(BI$5-BH$5))*BI$15</f>
        <v>0</v>
      </c>
      <c r="BJ131" s="268">
        <f>(BJ132/(BJ$5-BI$5))*BJ$15</f>
        <v>0</v>
      </c>
      <c r="BK131" s="268">
        <f>BJ131</f>
        <v>0</v>
      </c>
      <c r="BL131" s="268">
        <f>(BL132/(BL$5-BK$5))*BL$15</f>
        <v>0</v>
      </c>
      <c r="BM131" s="268">
        <f>(BM132/(BM$5-BL$5))*BM$15</f>
        <v>0</v>
      </c>
      <c r="BN131" s="268">
        <f>(BN132/(BN$5-BM$5))*BN$15</f>
        <v>0</v>
      </c>
      <c r="BO131" s="268">
        <f>(BO132/(BO$5-BN$5))*BO$15</f>
        <v>0</v>
      </c>
      <c r="BP131" s="268">
        <f>BO131</f>
        <v>0</v>
      </c>
      <c r="BQ131" s="268">
        <f>(BQ132/(BQ$5-BP$5))*BQ$15</f>
        <v>0</v>
      </c>
      <c r="BR131" s="268">
        <f>(BR132/(BR$5-BQ$5))*BR$15</f>
        <v>0</v>
      </c>
      <c r="BS131" s="268">
        <f>(BS132/(BS$5-BR$5))*BS$15</f>
        <v>0</v>
      </c>
      <c r="BT131" s="268">
        <f>(BT132/(BT$5-BS$5))*BT$15</f>
        <v>0</v>
      </c>
      <c r="BU131" s="268">
        <f>BT131</f>
        <v>0</v>
      </c>
      <c r="BV131" s="268">
        <f>(BV132/(BV$5-BU$5))*BV$15</f>
        <v>0</v>
      </c>
      <c r="BW131" s="268">
        <f>(BW132/(BW$5-BV$5))*BW$15</f>
        <v>0</v>
      </c>
      <c r="BX131" s="268">
        <f>(BX132/(BX$5-BW$5))*BX$15</f>
        <v>0</v>
      </c>
      <c r="BY131" s="268">
        <f>(BY132/(BY$5-BX$5))*BY$15</f>
        <v>0</v>
      </c>
      <c r="BZ131" s="268">
        <f>BY131</f>
        <v>0</v>
      </c>
      <c r="CA131" s="268">
        <f>(CA132/(CA$5-BZ$5))*CA$15</f>
        <v>0</v>
      </c>
      <c r="CB131" s="268">
        <f>(CB132/(CB$5-CA$5))*CB$15</f>
        <v>0</v>
      </c>
      <c r="CC131" s="268">
        <f>(CC132/(CC$5-CB$5))*CC$15</f>
        <v>0</v>
      </c>
      <c r="CD131" s="268">
        <f>(CD132/(CD$5-CC$5))*CD$15</f>
        <v>0</v>
      </c>
      <c r="CE131" s="268">
        <f>CD131</f>
        <v>0</v>
      </c>
      <c r="CF131" s="268">
        <f>(CF132/(CF$5-CE$5))*CF$15</f>
        <v>0</v>
      </c>
      <c r="CG131" s="268">
        <f>(CG132/(CG$5-CF$5))*CG$15</f>
        <v>0</v>
      </c>
      <c r="CH131" s="268">
        <f>(CH132/(CH$5-CG$5))*CH$15</f>
        <v>0</v>
      </c>
      <c r="CI131" s="268">
        <f>(CI132/(CI$5-CH$5))*CI$15</f>
        <v>0</v>
      </c>
      <c r="CJ131" s="268">
        <f>CI131</f>
        <v>0</v>
      </c>
      <c r="CK131" s="268">
        <f>(CK132/(CK$5-CJ$5))*CK$15</f>
        <v>0</v>
      </c>
      <c r="CL131" s="268">
        <f>(CL132/(CL$5-CK$5))*CL$15</f>
        <v>0</v>
      </c>
      <c r="CM131" s="268">
        <f>(CM132/(CM$5-CL$5))*CM$15</f>
        <v>0</v>
      </c>
      <c r="CN131" s="268">
        <f>(CN132/(CN$5-CM$5))*CN$15</f>
        <v>0</v>
      </c>
      <c r="CO131" s="268">
        <f>CN131</f>
        <v>0</v>
      </c>
      <c r="CP131" s="268">
        <f>(CP132/(CP$5-CO$5))*CP$15</f>
        <v>0</v>
      </c>
      <c r="CQ131" s="268">
        <f>(CQ132/(CQ$5-CP$5))*CQ$15</f>
        <v>0</v>
      </c>
      <c r="CR131" s="268">
        <f>(CR132/(CR$5-CQ$5))*CR$15</f>
        <v>0</v>
      </c>
      <c r="CS131" s="268">
        <f>(CS132/(CS$5-CR$5))*CS$15</f>
        <v>0</v>
      </c>
      <c r="CT131" s="268">
        <f>CS131</f>
        <v>0</v>
      </c>
      <c r="CU131" s="268">
        <f>(CU132/(CU$5-CT$5))*CU$15</f>
        <v>0</v>
      </c>
      <c r="CV131" s="268">
        <f>(CV132/(CV$5-CU$5))*CV$15</f>
        <v>0</v>
      </c>
      <c r="CW131" s="268">
        <f>(CW132/(CW$5-CV$5))*CW$15</f>
        <v>0</v>
      </c>
      <c r="CX131" s="268">
        <f>(CX132/(CX$5-CW$5))*CX$15</f>
        <v>0</v>
      </c>
      <c r="CY131" s="268">
        <f>CX131</f>
        <v>0</v>
      </c>
    </row>
    <row r="132" hidden="1" outlineLevel="1" ht="12.75" customHeight="1" s="255">
      <c r="C132" s="312" t="inlineStr">
        <is>
          <t>DSO</t>
        </is>
      </c>
      <c r="D132" s="268" t="n"/>
      <c r="E132" s="268" t="str">
        <f>IFERROR((E131/E$15)*(E$5-D$5),"")</f>
        <v/>
      </c>
      <c r="F132" s="268" t="str">
        <f>IFERROR((F131/F$15)*(F$5-E$5),"")</f>
        <v/>
      </c>
      <c r="G132" s="268" t="str">
        <f>IFERROR((G131/G$15)*(G$5-F$5),"")</f>
        <v/>
      </c>
      <c r="H132" s="268" t="n"/>
      <c r="I132" s="268" t="str">
        <f>IFERROR((I131/I$15)*(I$5-H$5),"")</f>
        <v/>
      </c>
      <c r="J132" s="268" t="str">
        <f>IFERROR((J131/J$15)*(J$5-I$5),"")</f>
        <v/>
      </c>
      <c r="K132" s="268" t="str">
        <f>IFERROR((K131/K$15)*(K$5-J$5),"")</f>
        <v/>
      </c>
      <c r="L132" s="268" t="str">
        <f>IFERROR((L131/L$15)*(L$5-K$5),"")</f>
        <v/>
      </c>
      <c r="M132" s="268" t="n"/>
      <c r="N132" s="268" t="str">
        <f>IFERROR((N131/N$15)*(N$5-M$5),"")</f>
        <v/>
      </c>
      <c r="O132" s="268" t="str">
        <f>IFERROR((O131/O$15)*(O$5-N$5),"")</f>
        <v/>
      </c>
      <c r="P132" s="268" t="str">
        <f>IFERROR((P131/P$15)*(P$5-O$5),"")</f>
        <v/>
      </c>
      <c r="Q132" s="268" t="str">
        <f>IFERROR((Q131/Q$15)*(Q$5-P$5),"")</f>
        <v/>
      </c>
      <c r="R132" s="268" t="n"/>
      <c r="S132" s="268" t="str">
        <f>IFERROR((S131/S$15)*(S$5-R$5),"")</f>
        <v/>
      </c>
      <c r="T132" s="268" t="str">
        <f>IFERROR((T131/T$15)*(T$5-S$5),"")</f>
        <v/>
      </c>
      <c r="U132" s="268" t="str">
        <f>IFERROR((U131/U$15)*(U$5-T$5),"")</f>
        <v/>
      </c>
      <c r="V132" s="268" t="str">
        <f>IFERROR((V131/V$15)*(V$5-U$5),"")</f>
        <v/>
      </c>
      <c r="W132" s="268" t="n"/>
      <c r="X132" s="268">
        <f>IFERROR((X131/X$15)*(X$5-W$5),"")</f>
        <v>0</v>
      </c>
      <c r="Y132" s="268">
        <f>IFERROR((Y131/Y$15)*(Y$5-X$5),"")</f>
        <v>0</v>
      </c>
      <c r="Z132" s="268">
        <f>IFERROR((Z131/Z$15)*(Z$5-Y$5),"")</f>
        <v>0</v>
      </c>
      <c r="AA132" s="268">
        <f>IFERROR((AA131/AA$15)*(AA$5-Z$5),"")</f>
        <v>51.2987775165863</v>
      </c>
      <c r="AB132" s="268" t="n"/>
      <c r="AC132" s="268">
        <f>IFERROR((AC131/AC$15)*(AC$5-AB$5),"")</f>
        <v>96.7094908350305</v>
      </c>
      <c r="AD132" s="268">
        <f>IFERROR((AD131/AD$15)*(AD$5-AC$5),"")</f>
        <v>145.186896039604</v>
      </c>
      <c r="AE132" s="268">
        <f>IFERROR((AE131/AE$15)*(AE$5-AD$5),"")</f>
        <v>111.857369807925</v>
      </c>
      <c r="AF132" s="267">
        <f>IFERROR((AF131/AF$15)*(AF$5-AE$5),"")</f>
        <v>185.474431008509</v>
      </c>
      <c r="AG132" s="268" t="n"/>
      <c r="AH132" s="267">
        <f>IFERROR((AH131/AH$15)*(AH$5-AG$5),"")</f>
        <v>91.8190567853706</v>
      </c>
      <c r="AI132" s="267">
        <f>IFERROR((AI131/AI$15)*(AI$5-AH$5),"")</f>
        <v>89.7984466019418</v>
      </c>
      <c r="AJ132" s="267" t="n"/>
      <c r="AK132" s="267" t="n"/>
      <c r="AL132" s="268" t="n"/>
      <c r="AM132" s="267" t="n"/>
      <c r="AN132" s="267" t="n"/>
      <c r="AO132" s="267" t="n"/>
      <c r="AP132" s="267" t="n"/>
      <c r="AQ132" s="268" t="n"/>
      <c r="AR132" s="267" t="n"/>
      <c r="AS132" s="267" t="n"/>
      <c r="AT132" s="267" t="n"/>
      <c r="AU132" s="267" t="n"/>
      <c r="AV132" s="268" t="n"/>
      <c r="AW132" s="267" t="n"/>
      <c r="AX132" s="267" t="n"/>
      <c r="AY132" s="267" t="n"/>
      <c r="AZ132" s="267" t="n"/>
      <c r="BA132" s="268" t="n"/>
      <c r="BB132" s="267" t="n"/>
      <c r="BC132" s="267" t="n"/>
      <c r="BD132" s="267" t="n"/>
      <c r="BE132" s="267" t="n"/>
      <c r="BF132" s="268" t="n"/>
      <c r="BG132" s="267" t="n"/>
      <c r="BH132" s="267" t="n"/>
      <c r="BI132" s="267" t="n"/>
      <c r="BJ132" s="267" t="n"/>
      <c r="BK132" s="268" t="n"/>
      <c r="BL132" s="267" t="n"/>
      <c r="BM132" s="267" t="n"/>
      <c r="BN132" s="267" t="n"/>
      <c r="BO132" s="267" t="n"/>
      <c r="BP132" s="268" t="n"/>
      <c r="BQ132" s="267" t="n"/>
      <c r="BR132" s="267" t="n"/>
      <c r="BS132" s="267" t="n"/>
      <c r="BT132" s="267" t="n"/>
      <c r="BU132" s="268" t="n"/>
      <c r="BV132" s="267" t="n"/>
      <c r="BW132" s="267" t="n"/>
      <c r="BX132" s="267" t="n"/>
      <c r="BY132" s="267" t="n"/>
      <c r="BZ132" s="268" t="n"/>
      <c r="CA132" s="267" t="n"/>
      <c r="CB132" s="267" t="n"/>
      <c r="CC132" s="267" t="n"/>
      <c r="CD132" s="267" t="n"/>
      <c r="CE132" s="268" t="n"/>
      <c r="CF132" s="267" t="n"/>
      <c r="CG132" s="267" t="n"/>
      <c r="CH132" s="267" t="n"/>
      <c r="CI132" s="267" t="n"/>
      <c r="CJ132" s="268" t="n"/>
      <c r="CK132" s="267" t="n"/>
      <c r="CL132" s="267" t="n"/>
      <c r="CM132" s="267" t="n"/>
      <c r="CN132" s="267" t="n"/>
      <c r="CO132" s="268" t="n"/>
      <c r="CP132" s="267" t="n"/>
      <c r="CQ132" s="267" t="n"/>
      <c r="CR132" s="267" t="n"/>
      <c r="CS132" s="267" t="n"/>
      <c r="CT132" s="268" t="n"/>
      <c r="CU132" s="267" t="n"/>
      <c r="CV132" s="267" t="n"/>
      <c r="CW132" s="267" t="n"/>
      <c r="CX132" s="267" t="n"/>
      <c r="CY132" s="268" t="n"/>
    </row>
    <row r="133" hidden="1" outlineLevel="1" ht="12.75" customHeight="1" s="255">
      <c r="C133" s="312" t="n"/>
      <c r="D133" s="268" t="n"/>
      <c r="E133" s="268" t="n"/>
      <c r="F133" s="268" t="n"/>
      <c r="G133" s="268" t="n"/>
      <c r="H133" s="268" t="n"/>
      <c r="I133" s="268" t="n"/>
      <c r="J133" s="268" t="n"/>
      <c r="K133" s="268" t="n"/>
      <c r="L133" s="268" t="n"/>
      <c r="M133" s="268" t="n"/>
      <c r="N133" s="268" t="n"/>
      <c r="O133" s="268" t="n"/>
      <c r="P133" s="268" t="n"/>
      <c r="Q133" s="268" t="n"/>
      <c r="R133" s="268" t="n"/>
      <c r="S133" s="268" t="n"/>
      <c r="T133" s="268" t="n"/>
      <c r="U133" s="268" t="n"/>
      <c r="V133" s="268" t="n"/>
      <c r="W133" s="268" t="n"/>
      <c r="X133" s="268" t="n"/>
      <c r="Y133" s="268" t="n"/>
      <c r="Z133" s="268" t="n"/>
      <c r="AA133" s="268" t="n"/>
      <c r="AB133" s="268" t="n"/>
      <c r="AC133" s="268" t="n"/>
      <c r="AD133" s="268" t="n"/>
      <c r="AE133" s="268" t="n"/>
      <c r="AF133" s="268" t="n"/>
      <c r="AG133" s="268" t="n"/>
      <c r="AH133" s="268" t="n"/>
      <c r="AI133" s="268" t="n"/>
      <c r="AJ133" s="268" t="n"/>
      <c r="AK133" s="268" t="n"/>
      <c r="AL133" s="268" t="n"/>
      <c r="AM133" s="268" t="n"/>
      <c r="AN133" s="268" t="n"/>
      <c r="AO133" s="268" t="n"/>
      <c r="AP133" s="268" t="n"/>
      <c r="AQ133" s="268" t="n"/>
      <c r="AR133" s="268" t="n"/>
      <c r="AS133" s="268" t="n"/>
      <c r="AT133" s="268" t="n"/>
      <c r="AU133" s="268" t="n"/>
      <c r="AV133" s="268" t="n"/>
      <c r="AW133" s="268" t="n"/>
      <c r="AX133" s="268" t="n"/>
      <c r="AY133" s="268" t="n"/>
      <c r="AZ133" s="268" t="n"/>
      <c r="BA133" s="268" t="n"/>
      <c r="BB133" s="268" t="n"/>
      <c r="BC133" s="268" t="n"/>
      <c r="BD133" s="268" t="n"/>
      <c r="BE133" s="268" t="n"/>
      <c r="BF133" s="268" t="n"/>
      <c r="BG133" s="268" t="n"/>
      <c r="BH133" s="268" t="n"/>
      <c r="BI133" s="268" t="n"/>
      <c r="BJ133" s="268" t="n"/>
      <c r="BK133" s="268" t="n"/>
      <c r="BL133" s="268" t="n"/>
      <c r="BM133" s="268" t="n"/>
      <c r="BN133" s="268" t="n"/>
      <c r="BO133" s="268" t="n"/>
      <c r="BP133" s="268" t="n"/>
      <c r="BQ133" s="268" t="n"/>
      <c r="BR133" s="268" t="n"/>
      <c r="BS133" s="268" t="n"/>
      <c r="BT133" s="268" t="n"/>
      <c r="BU133" s="268" t="n"/>
      <c r="BV133" s="268" t="n"/>
      <c r="BW133" s="268" t="n"/>
      <c r="BX133" s="268" t="n"/>
      <c r="BY133" s="268" t="n"/>
      <c r="BZ133" s="268" t="n"/>
      <c r="CA133" s="268" t="n"/>
      <c r="CB133" s="268" t="n"/>
      <c r="CC133" s="268" t="n"/>
      <c r="CD133" s="268" t="n"/>
      <c r="CE133" s="268" t="n"/>
      <c r="CF133" s="268" t="n"/>
      <c r="CG133" s="268" t="n"/>
      <c r="CH133" s="268" t="n"/>
      <c r="CI133" s="268" t="n"/>
      <c r="CJ133" s="268" t="n"/>
      <c r="CK133" s="268" t="n"/>
      <c r="CL133" s="268" t="n"/>
      <c r="CM133" s="268" t="n"/>
      <c r="CN133" s="268" t="n"/>
      <c r="CO133" s="268" t="n"/>
      <c r="CP133" s="268" t="n"/>
      <c r="CQ133" s="268" t="n"/>
      <c r="CR133" s="268" t="n"/>
      <c r="CS133" s="268" t="n"/>
      <c r="CT133" s="268" t="n"/>
      <c r="CU133" s="268" t="n"/>
      <c r="CV133" s="268" t="n"/>
      <c r="CW133" s="268" t="n"/>
      <c r="CX133" s="268" t="n"/>
      <c r="CY133" s="268" t="n"/>
    </row>
    <row r="134" hidden="1" outlineLevel="1" ht="12.75" customHeight="1" s="255">
      <c r="C134" s="312" t="n"/>
      <c r="D134" s="268" t="n"/>
      <c r="E134" s="268" t="n"/>
      <c r="F134" s="268" t="n"/>
      <c r="G134" s="268" t="n"/>
      <c r="H134" s="268" t="n"/>
      <c r="I134" s="268" t="n"/>
      <c r="J134" s="268" t="n"/>
      <c r="K134" s="268" t="n"/>
      <c r="L134" s="268" t="n"/>
      <c r="M134" s="268" t="n"/>
      <c r="N134" s="268" t="n"/>
      <c r="O134" s="268" t="n"/>
      <c r="P134" s="268" t="n"/>
      <c r="Q134" s="268" t="n"/>
      <c r="R134" s="268" t="n"/>
      <c r="S134" s="268" t="n"/>
      <c r="T134" s="268" t="n"/>
      <c r="U134" s="268" t="n"/>
      <c r="V134" s="268" t="n"/>
      <c r="W134" s="268" t="n"/>
      <c r="X134" s="268" t="n"/>
      <c r="Y134" s="268" t="n"/>
      <c r="Z134" s="268" t="n"/>
      <c r="AA134" s="268" t="n"/>
      <c r="AB134" s="268" t="n"/>
      <c r="AC134" s="268" t="n"/>
      <c r="AD134" s="268" t="n"/>
      <c r="AE134" s="268" t="n"/>
      <c r="AF134" s="268" t="n"/>
      <c r="AG134" s="268" t="n"/>
      <c r="AH134" s="268" t="n"/>
      <c r="AI134" s="268" t="n"/>
      <c r="AJ134" s="268" t="n"/>
      <c r="AK134" s="268" t="n"/>
      <c r="AL134" s="268" t="n"/>
      <c r="AM134" s="268" t="n"/>
      <c r="AN134" s="268" t="n"/>
      <c r="AO134" s="268" t="n"/>
      <c r="AP134" s="268" t="n"/>
      <c r="AQ134" s="268" t="n"/>
      <c r="AR134" s="268" t="n"/>
      <c r="AS134" s="268" t="n"/>
      <c r="AT134" s="268" t="n"/>
      <c r="AU134" s="268" t="n"/>
      <c r="AV134" s="268" t="n"/>
      <c r="AW134" s="268" t="n"/>
      <c r="AX134" s="268" t="n"/>
      <c r="AY134" s="268" t="n"/>
      <c r="AZ134" s="268" t="n"/>
      <c r="BA134" s="268" t="n"/>
      <c r="BB134" s="268" t="n"/>
      <c r="BC134" s="268" t="n"/>
      <c r="BD134" s="268" t="n"/>
      <c r="BE134" s="268" t="n"/>
      <c r="BF134" s="268" t="n"/>
      <c r="BG134" s="268" t="n"/>
      <c r="BH134" s="268" t="n"/>
      <c r="BI134" s="268" t="n"/>
      <c r="BJ134" s="268" t="n"/>
      <c r="BK134" s="268" t="n"/>
      <c r="BL134" s="268" t="n"/>
      <c r="BM134" s="268" t="n"/>
      <c r="BN134" s="268" t="n"/>
      <c r="BO134" s="268" t="n"/>
      <c r="BP134" s="268" t="n"/>
      <c r="BQ134" s="268" t="n"/>
      <c r="BR134" s="268" t="n"/>
      <c r="BS134" s="268" t="n"/>
      <c r="BT134" s="268" t="n"/>
      <c r="BU134" s="268" t="n"/>
      <c r="BV134" s="268" t="n"/>
      <c r="BW134" s="268" t="n"/>
      <c r="BX134" s="268" t="n"/>
      <c r="BY134" s="268" t="n"/>
      <c r="BZ134" s="268" t="n"/>
      <c r="CA134" s="268" t="n"/>
      <c r="CB134" s="268" t="n"/>
      <c r="CC134" s="268" t="n"/>
      <c r="CD134" s="268" t="n"/>
      <c r="CE134" s="268" t="n"/>
      <c r="CF134" s="268" t="n"/>
      <c r="CG134" s="268" t="n"/>
      <c r="CH134" s="268" t="n"/>
      <c r="CI134" s="268" t="n"/>
      <c r="CJ134" s="268" t="n"/>
      <c r="CK134" s="268" t="n"/>
      <c r="CL134" s="268" t="n"/>
      <c r="CM134" s="268" t="n"/>
      <c r="CN134" s="268" t="n"/>
      <c r="CO134" s="268" t="n"/>
      <c r="CP134" s="268" t="n"/>
      <c r="CQ134" s="268" t="n"/>
      <c r="CR134" s="268" t="n"/>
      <c r="CS134" s="268" t="n"/>
      <c r="CT134" s="268" t="n"/>
      <c r="CU134" s="268" t="n"/>
      <c r="CV134" s="268" t="n"/>
      <c r="CW134" s="268" t="n"/>
      <c r="CX134" s="268" t="n"/>
      <c r="CY134" s="268" t="n"/>
    </row>
    <row r="135" ht="12.75" customHeight="1" s="255">
      <c r="C135" s="270" t="inlineStr">
        <is>
          <t>Inventories</t>
        </is>
      </c>
      <c r="D135" s="301">
        <f>INDEX('Inputs (2)'!$D$17:$AL$17,MATCH(D$7,'Inputs (2)'!$D$2:$AL$2,0))</f>
        <v>0</v>
      </c>
      <c r="E135" s="301">
        <f>INDEX('Inputs (2)'!$D$17:$AL$17,MATCH(E$7,'Inputs (2)'!$D$2:$AL$2,0))</f>
        <v>0</v>
      </c>
      <c r="F135" s="301">
        <f>INDEX('Inputs (2)'!$D$17:$AL$17,MATCH(F$7,'Inputs (2)'!$D$2:$AL$2,0))</f>
        <v>0</v>
      </c>
      <c r="G135" s="301">
        <f>INDEX('Inputs (2)'!$D$17:$AL$17,MATCH(G$7,'Inputs (2)'!$D$2:$AL$2,0))</f>
        <v>0</v>
      </c>
      <c r="H135" s="268">
        <f>G135</f>
        <v>0</v>
      </c>
      <c r="I135" s="301">
        <f>INDEX('Inputs (2)'!$D$17:$AL$17,MATCH(I$7,'Inputs (2)'!$D$2:$AL$2,0))</f>
        <v>0</v>
      </c>
      <c r="J135" s="301">
        <f>INDEX('Inputs (2)'!$D$17:$AL$17,MATCH(J$7,'Inputs (2)'!$D$2:$AL$2,0))</f>
        <v>0</v>
      </c>
      <c r="K135" s="301">
        <f>INDEX('Inputs (2)'!$D$17:$AL$17,MATCH(K$7,'Inputs (2)'!$D$2:$AL$2,0))</f>
        <v>0</v>
      </c>
      <c r="L135" s="301">
        <f>INDEX('Inputs (2)'!$D$17:$AL$17,MATCH(L$7,'Inputs (2)'!$D$2:$AL$2,0))</f>
        <v>0</v>
      </c>
      <c r="M135" s="268">
        <f>L135</f>
        <v>0</v>
      </c>
      <c r="N135" s="301">
        <f>INDEX('Inputs (2)'!$D$17:$AL$17,MATCH(N$7,'Inputs (2)'!$D$2:$AL$2,0))</f>
        <v>0</v>
      </c>
      <c r="O135" s="301">
        <f>INDEX('Inputs (2)'!$D$17:$AL$17,MATCH(O$7,'Inputs (2)'!$D$2:$AL$2,0))</f>
        <v>0</v>
      </c>
      <c r="P135" s="301">
        <f>INDEX('Inputs (2)'!$D$17:$AL$17,MATCH(P$7,'Inputs (2)'!$D$2:$AL$2,0))</f>
        <v>0</v>
      </c>
      <c r="Q135" s="301">
        <f>INDEX('Inputs (2)'!$D$17:$AL$17,MATCH(Q$7,'Inputs (2)'!$D$2:$AL$2,0))</f>
        <v>0</v>
      </c>
      <c r="R135" s="268">
        <f>Q135</f>
        <v>0</v>
      </c>
      <c r="S135" s="301">
        <f>INDEX('Inputs (2)'!$D$17:$AL$17,MATCH(S$7,'Inputs (2)'!$D$2:$AL$2,0))</f>
        <v>0</v>
      </c>
      <c r="T135" s="301">
        <f>INDEX('Inputs (2)'!$D$17:$AL$17,MATCH(T$7,'Inputs (2)'!$D$2:$AL$2,0))</f>
        <v>0</v>
      </c>
      <c r="U135" s="301">
        <f>INDEX('Inputs (2)'!$D$17:$AL$17,MATCH(U$7,'Inputs (2)'!$D$2:$AL$2,0))</f>
        <v>0</v>
      </c>
      <c r="V135" s="301">
        <f>INDEX('Inputs (2)'!$D$17:$AL$17,MATCH(V$7,'Inputs (2)'!$D$2:$AL$2,0))</f>
        <v>0</v>
      </c>
      <c r="W135" s="268">
        <f>V135</f>
        <v>0</v>
      </c>
      <c r="X135" s="301">
        <f>INDEX('Inputs (2)'!$D$17:$AL$17,MATCH(X$7,'Inputs (2)'!$D$2:$AL$2,0))</f>
        <v>0</v>
      </c>
      <c r="Y135" s="301">
        <f>INDEX('Inputs (2)'!$D$17:$AL$17,MATCH(Y$7,'Inputs (2)'!$D$2:$AL$2,0))</f>
        <v>0</v>
      </c>
      <c r="Z135" s="301">
        <f>INDEX('Inputs (2)'!$D$17:$AL$17,MATCH(Z$7,'Inputs (2)'!$D$2:$AL$2,0))</f>
        <v>0</v>
      </c>
      <c r="AA135" s="301">
        <f>INDEX('Inputs (2)'!$D$17:$AL$17,MATCH(AA$7,'Inputs (2)'!$D$2:$AL$2,0))</f>
        <v>0</v>
      </c>
      <c r="AB135" s="268">
        <f>AA135</f>
        <v>0</v>
      </c>
      <c r="AC135" s="301">
        <f>INDEX('Inputs (2)'!$D$17:$AL$17,MATCH(AC$7,'Inputs (2)'!$D$2:$AL$2,0))</f>
        <v>0</v>
      </c>
      <c r="AD135" s="301">
        <f>INDEX('Inputs (2)'!$D$17:$AL$17,MATCH(AD$7,'Inputs (2)'!$D$2:$AL$2,0))</f>
        <v>0</v>
      </c>
      <c r="AE135" s="301">
        <f>INDEX('Inputs (2)'!$D$17:$AL$17,MATCH(AE$7,'Inputs (2)'!$D$2:$AL$2,0))</f>
        <v>0</v>
      </c>
      <c r="AF135" s="301">
        <f>INDEX('Inputs (2)'!$D$17:$AL$17,MATCH(AF$7,'Inputs (2)'!$D$2:$AL$2,0))</f>
        <v>0</v>
      </c>
      <c r="AG135" s="268">
        <f>AF135</f>
        <v>0</v>
      </c>
      <c r="AH135" s="268">
        <f>INDEX('Inputs (2)'!$D$17:$AL$17,MATCH(AH$7,'Inputs (2)'!$D$2:$AL$2,0))</f>
        <v>0</v>
      </c>
      <c r="AI135" s="268">
        <f>INDEX('Inputs (2)'!$D$17:$AL$17,MATCH(AI$7,'Inputs (2)'!$D$2:$AL$2,0))</f>
        <v>0</v>
      </c>
      <c r="AJ135" s="268">
        <f>(AJ136/(AJ$5-AI$5))*-AJ$40</f>
        <v>0</v>
      </c>
      <c r="AK135" s="268">
        <f>(AK136/(AK$5-AJ$5))*-AK$40</f>
        <v>0</v>
      </c>
      <c r="AL135" s="268">
        <f>AK135</f>
        <v>0</v>
      </c>
      <c r="AM135" s="268">
        <f>(AM136/(AM$5-AL$5))*-AM$40</f>
        <v>0</v>
      </c>
      <c r="AN135" s="268">
        <f>(AN136/(AN$5-AM$5))*-AN$40</f>
        <v>0</v>
      </c>
      <c r="AO135" s="268">
        <f>(AO136/(AO$5-AN$5))*-AO$40</f>
        <v>0</v>
      </c>
      <c r="AP135" s="268">
        <f>(AP136/(AP$5-AO$5))*-AP$40</f>
        <v>0</v>
      </c>
      <c r="AQ135" s="268">
        <f>AP135</f>
        <v>0</v>
      </c>
      <c r="AR135" s="268">
        <f>(AR136/(AR$5-AQ$5))*-AR$40</f>
        <v>0</v>
      </c>
      <c r="AS135" s="268">
        <f>(AS136/(AS$5-AR$5))*-AS$40</f>
        <v>0</v>
      </c>
      <c r="AT135" s="268">
        <f>(AT136/(AT$5-AS$5))*-AT$40</f>
        <v>0</v>
      </c>
      <c r="AU135" s="268">
        <f>(AU136/(AU$5-AT$5))*-AU$40</f>
        <v>0</v>
      </c>
      <c r="AV135" s="268">
        <f>AU135</f>
        <v>0</v>
      </c>
      <c r="AW135" s="268">
        <f>(AW136/(AW$5-AV$5))*-AW$40</f>
        <v>0</v>
      </c>
      <c r="AX135" s="268">
        <f>(AX136/(AX$5-AW$5))*-AX$40</f>
        <v>0</v>
      </c>
      <c r="AY135" s="268">
        <f>(AY136/(AY$5-AX$5))*-AY$40</f>
        <v>0</v>
      </c>
      <c r="AZ135" s="268">
        <f>(AZ136/(AZ$5-AY$5))*-AZ$40</f>
        <v>0</v>
      </c>
      <c r="BA135" s="268">
        <f>AZ135</f>
        <v>0</v>
      </c>
      <c r="BB135" s="268">
        <f>(BB136/(BB$5-BA$5))*-BB$40</f>
        <v>0</v>
      </c>
      <c r="BC135" s="268">
        <f>(BC136/(BC$5-BB$5))*-BC$40</f>
        <v>0</v>
      </c>
      <c r="BD135" s="268">
        <f>(BD136/(BD$5-BC$5))*-BD$40</f>
        <v>0</v>
      </c>
      <c r="BE135" s="268">
        <f>(BE136/(BE$5-BD$5))*-BE$40</f>
        <v>0</v>
      </c>
      <c r="BF135" s="268">
        <f>BE135</f>
        <v>0</v>
      </c>
      <c r="BG135" s="268">
        <f>(BG136/(BG$5-BF$5))*-BG$40</f>
        <v>0</v>
      </c>
      <c r="BH135" s="268">
        <f>(BH136/(BH$5-BG$5))*-BH$40</f>
        <v>0</v>
      </c>
      <c r="BI135" s="268">
        <f>(BI136/(BI$5-BH$5))*-BI$40</f>
        <v>0</v>
      </c>
      <c r="BJ135" s="268">
        <f>(BJ136/(BJ$5-BI$5))*-BJ$40</f>
        <v>0</v>
      </c>
      <c r="BK135" s="268">
        <f>BJ135</f>
        <v>0</v>
      </c>
      <c r="BL135" s="268">
        <f>(BL136/(BL$5-BK$5))*-BL$40</f>
        <v>0</v>
      </c>
      <c r="BM135" s="268">
        <f>(BM136/(BM$5-BL$5))*-BM$40</f>
        <v>0</v>
      </c>
      <c r="BN135" s="268">
        <f>(BN136/(BN$5-BM$5))*-BN$40</f>
        <v>0</v>
      </c>
      <c r="BO135" s="268">
        <f>(BO136/(BO$5-BN$5))*-BO$40</f>
        <v>0</v>
      </c>
      <c r="BP135" s="268">
        <f>BO135</f>
        <v>0</v>
      </c>
      <c r="BQ135" s="268">
        <f>(BQ136/(BQ$5-BP$5))*-BQ$40</f>
        <v>0</v>
      </c>
      <c r="BR135" s="268">
        <f>(BR136/(BR$5-BQ$5))*-BR$40</f>
        <v>0</v>
      </c>
      <c r="BS135" s="268">
        <f>(BS136/(BS$5-BR$5))*-BS$40</f>
        <v>0</v>
      </c>
      <c r="BT135" s="268">
        <f>(BT136/(BT$5-BS$5))*-BT$40</f>
        <v>0</v>
      </c>
      <c r="BU135" s="268">
        <f>BT135</f>
        <v>0</v>
      </c>
      <c r="BV135" s="268">
        <f>(BV136/(BV$5-BU$5))*-BV$40</f>
        <v>0</v>
      </c>
      <c r="BW135" s="268">
        <f>(BW136/(BW$5-BV$5))*-BW$40</f>
        <v>0</v>
      </c>
      <c r="BX135" s="268">
        <f>(BX136/(BX$5-BW$5))*-BX$40</f>
        <v>0</v>
      </c>
      <c r="BY135" s="268">
        <f>(BY136/(BY$5-BX$5))*-BY$40</f>
        <v>0</v>
      </c>
      <c r="BZ135" s="268">
        <f>BY135</f>
        <v>0</v>
      </c>
      <c r="CA135" s="268">
        <f>(CA136/(CA$5-BZ$5))*-CA$40</f>
        <v>0</v>
      </c>
      <c r="CB135" s="268">
        <f>(CB136/(CB$5-CA$5))*-CB$40</f>
        <v>0</v>
      </c>
      <c r="CC135" s="268">
        <f>(CC136/(CC$5-CB$5))*-CC$40</f>
        <v>0</v>
      </c>
      <c r="CD135" s="268">
        <f>(CD136/(CD$5-CC$5))*-CD$40</f>
        <v>0</v>
      </c>
      <c r="CE135" s="268">
        <f>CD135</f>
        <v>0</v>
      </c>
      <c r="CF135" s="268">
        <f>(CF136/(CF$5-CE$5))*-CF$40</f>
        <v>0</v>
      </c>
      <c r="CG135" s="268">
        <f>(CG136/(CG$5-CF$5))*-CG$40</f>
        <v>0</v>
      </c>
      <c r="CH135" s="268">
        <f>(CH136/(CH$5-CG$5))*-CH$40</f>
        <v>0</v>
      </c>
      <c r="CI135" s="268">
        <f>(CI136/(CI$5-CH$5))*-CI$40</f>
        <v>0</v>
      </c>
      <c r="CJ135" s="268">
        <f>CI135</f>
        <v>0</v>
      </c>
      <c r="CK135" s="268">
        <f>(CK136/(CK$5-CJ$5))*-CK$40</f>
        <v>0</v>
      </c>
      <c r="CL135" s="268">
        <f>(CL136/(CL$5-CK$5))*-CL$40</f>
        <v>0</v>
      </c>
      <c r="CM135" s="268">
        <f>(CM136/(CM$5-CL$5))*-CM$40</f>
        <v>0</v>
      </c>
      <c r="CN135" s="268">
        <f>(CN136/(CN$5-CM$5))*-CN$40</f>
        <v>0</v>
      </c>
      <c r="CO135" s="268">
        <f>CN135</f>
        <v>0</v>
      </c>
      <c r="CP135" s="268">
        <f>(CP136/(CP$5-CO$5))*-CP$40</f>
        <v>0</v>
      </c>
      <c r="CQ135" s="268">
        <f>(CQ136/(CQ$5-CP$5))*-CQ$40</f>
        <v>0</v>
      </c>
      <c r="CR135" s="268">
        <f>(CR136/(CR$5-CQ$5))*-CR$40</f>
        <v>0</v>
      </c>
      <c r="CS135" s="268">
        <f>(CS136/(CS$5-CR$5))*-CS$40</f>
        <v>0</v>
      </c>
      <c r="CT135" s="268">
        <f>CS135</f>
        <v>0</v>
      </c>
      <c r="CU135" s="268">
        <f>(CU136/(CU$5-CT$5))*-CU$40</f>
        <v>0</v>
      </c>
      <c r="CV135" s="268">
        <f>(CV136/(CV$5-CU$5))*-CV$40</f>
        <v>0</v>
      </c>
      <c r="CW135" s="268">
        <f>(CW136/(CW$5-CV$5))*-CW$40</f>
        <v>0</v>
      </c>
      <c r="CX135" s="268">
        <f>(CX136/(CX$5-CW$5))*-CX$40</f>
        <v>0</v>
      </c>
      <c r="CY135" s="268">
        <f>CX135</f>
        <v>0</v>
      </c>
    </row>
    <row r="136" hidden="1" outlineLevel="1" ht="12.75" customHeight="1" s="255">
      <c r="C136" s="312" t="inlineStr">
        <is>
          <t>DIO</t>
        </is>
      </c>
      <c r="D136" s="268" t="n"/>
      <c r="E136" s="268" t="str">
        <f>IFERROR(((E135/E$40)*(E$5-D$5))*-1,"")</f>
        <v/>
      </c>
      <c r="F136" s="268" t="str">
        <f>IFERROR(((F135/F$40)*(F$5-E$5))*-1,"")</f>
        <v/>
      </c>
      <c r="G136" s="268" t="str">
        <f>IFERROR(((G135/G$40)*(G$5-F$5))*-1,"")</f>
        <v/>
      </c>
      <c r="H136" s="268" t="n"/>
      <c r="I136" s="268" t="str">
        <f>IFERROR(((I135/I$40)*(I$5-H$5))*-1,"")</f>
        <v/>
      </c>
      <c r="J136" s="268" t="str">
        <f>IFERROR(((J135/J$40)*(J$5-I$5))*-1,"")</f>
        <v/>
      </c>
      <c r="K136" s="268" t="str">
        <f>IFERROR(((K135/K$40)*(K$5-J$5))*-1,"")</f>
        <v/>
      </c>
      <c r="L136" s="268" t="str">
        <f>IFERROR(((L135/L$40)*(L$5-K$5))*-1,"")</f>
        <v/>
      </c>
      <c r="M136" s="268" t="n"/>
      <c r="N136" s="268" t="str">
        <f>IFERROR(((N135/N$40)*(N$5-M$5))*-1,"")</f>
        <v/>
      </c>
      <c r="O136" s="268" t="str">
        <f>IFERROR(((O135/O$40)*(O$5-N$5))*-1,"")</f>
        <v/>
      </c>
      <c r="P136" s="268" t="str">
        <f>IFERROR(((P135/P$40)*(P$5-O$5))*-1,"")</f>
        <v/>
      </c>
      <c r="Q136" s="268" t="str">
        <f>IFERROR(((Q135/Q$40)*(Q$5-P$5))*-1,"")</f>
        <v/>
      </c>
      <c r="R136" s="268" t="n"/>
      <c r="S136" s="268" t="str">
        <f>IFERROR(((S135/S$40)*(S$5-R$5))*-1,"")</f>
        <v/>
      </c>
      <c r="T136" s="268" t="str">
        <f>IFERROR(((T135/T$40)*(T$5-S$5))*-1,"")</f>
        <v/>
      </c>
      <c r="U136" s="268" t="str">
        <f>IFERROR(((U135/U$40)*(U$5-T$5))*-1,"")</f>
        <v/>
      </c>
      <c r="V136" s="268" t="str">
        <f>IFERROR(((V135/V$40)*(V$5-U$5))*-1,"")</f>
        <v/>
      </c>
      <c r="W136" s="268" t="n"/>
      <c r="X136" s="268">
        <f>IFERROR(((X135/X$40)*(X$5-W$5))*-1,"")</f>
        <v>0</v>
      </c>
      <c r="Y136" s="268">
        <f>IFERROR(((Y135/Y$40)*(Y$5-X$5))*-1,"")</f>
        <v>0</v>
      </c>
      <c r="Z136" s="268">
        <f>IFERROR(((Z135/Z$40)*(Z$5-Y$5))*-1,"")</f>
        <v>0</v>
      </c>
      <c r="AA136" s="268">
        <f>IFERROR(((AA135/AA$40)*(AA$5-Z$5))*-1,"")</f>
        <v>0</v>
      </c>
      <c r="AB136" s="268" t="n"/>
      <c r="AC136" s="268">
        <f>IFERROR(((AC135/AC$40)*(AC$5-AB$5))*-1,"")</f>
        <v>0</v>
      </c>
      <c r="AD136" s="268">
        <f>IFERROR(((AD135/AD$40)*(AD$5-AC$5))*-1,"")</f>
        <v>0</v>
      </c>
      <c r="AE136" s="268">
        <f>IFERROR(((AE135/AE$40)*(AE$5-AD$5))*-1,"")</f>
        <v>0</v>
      </c>
      <c r="AF136" s="267">
        <f>IFERROR(((AF135/AF$40)*(AF$5-AE$5))*-1,"")</f>
        <v>0</v>
      </c>
      <c r="AG136" s="268" t="n"/>
      <c r="AH136" s="267">
        <f>IFERROR(((AH135/AH$40)*(AH$5-AG$5))*-1,"")</f>
        <v>0</v>
      </c>
      <c r="AI136" s="267">
        <f>IFERROR(((AI135/AI$40)*(AI$5-AH$5))*-1,"")</f>
        <v>0</v>
      </c>
      <c r="AJ136" s="267" t="n"/>
      <c r="AK136" s="267" t="n"/>
      <c r="AL136" s="268" t="n"/>
      <c r="AM136" s="267" t="n"/>
      <c r="AN136" s="267" t="n"/>
      <c r="AO136" s="267" t="n"/>
      <c r="AP136" s="267" t="n"/>
      <c r="AQ136" s="268" t="n"/>
      <c r="AR136" s="267" t="n"/>
      <c r="AS136" s="267" t="n"/>
      <c r="AT136" s="267" t="n"/>
      <c r="AU136" s="267" t="n"/>
      <c r="AV136" s="268" t="n"/>
      <c r="AW136" s="267" t="n"/>
      <c r="AX136" s="267" t="n"/>
      <c r="AY136" s="267" t="n"/>
      <c r="AZ136" s="267" t="n"/>
      <c r="BA136" s="268" t="n"/>
      <c r="BB136" s="267" t="n"/>
      <c r="BC136" s="267" t="n"/>
      <c r="BD136" s="267" t="n"/>
      <c r="BE136" s="267" t="n"/>
      <c r="BF136" s="268" t="n"/>
      <c r="BG136" s="267" t="n"/>
      <c r="BH136" s="267" t="n"/>
      <c r="BI136" s="267" t="n"/>
      <c r="BJ136" s="267" t="n"/>
      <c r="BK136" s="268" t="n"/>
      <c r="BL136" s="267" t="n"/>
      <c r="BM136" s="267" t="n"/>
      <c r="BN136" s="267" t="n"/>
      <c r="BO136" s="267" t="n"/>
      <c r="BP136" s="268" t="n"/>
      <c r="BQ136" s="267" t="n"/>
      <c r="BR136" s="267" t="n"/>
      <c r="BS136" s="267" t="n"/>
      <c r="BT136" s="267" t="n"/>
      <c r="BU136" s="268" t="n"/>
      <c r="BV136" s="267" t="n"/>
      <c r="BW136" s="267" t="n"/>
      <c r="BX136" s="267" t="n"/>
      <c r="BY136" s="267" t="n"/>
      <c r="BZ136" s="268" t="n"/>
      <c r="CA136" s="267" t="n"/>
      <c r="CB136" s="267" t="n"/>
      <c r="CC136" s="267" t="n"/>
      <c r="CD136" s="267" t="n"/>
      <c r="CE136" s="268" t="n"/>
      <c r="CF136" s="267" t="n"/>
      <c r="CG136" s="267" t="n"/>
      <c r="CH136" s="267" t="n"/>
      <c r="CI136" s="267" t="n"/>
      <c r="CJ136" s="268" t="n"/>
      <c r="CK136" s="267" t="n"/>
      <c r="CL136" s="267" t="n"/>
      <c r="CM136" s="267" t="n"/>
      <c r="CN136" s="267" t="n"/>
      <c r="CO136" s="268" t="n"/>
      <c r="CP136" s="267" t="n"/>
      <c r="CQ136" s="267" t="n"/>
      <c r="CR136" s="267" t="n"/>
      <c r="CS136" s="267" t="n"/>
      <c r="CT136" s="268" t="n"/>
      <c r="CU136" s="267" t="n"/>
      <c r="CV136" s="267" t="n"/>
      <c r="CW136" s="267" t="n"/>
      <c r="CX136" s="267" t="n"/>
      <c r="CY136" s="268" t="n"/>
    </row>
    <row r="137" hidden="1" outlineLevel="1" ht="12.75" customHeight="1" s="255">
      <c r="C137" s="312" t="n"/>
      <c r="D137" s="268" t="n"/>
      <c r="E137" s="268" t="n"/>
      <c r="F137" s="268" t="n"/>
      <c r="G137" s="268" t="n"/>
      <c r="H137" s="268" t="n"/>
      <c r="I137" s="268" t="n"/>
      <c r="J137" s="268" t="n"/>
      <c r="K137" s="268" t="n"/>
      <c r="L137" s="268" t="n"/>
      <c r="M137" s="268" t="n"/>
      <c r="N137" s="268" t="n"/>
      <c r="O137" s="268" t="n"/>
      <c r="P137" s="268" t="n"/>
      <c r="Q137" s="268" t="n"/>
      <c r="R137" s="268" t="n"/>
      <c r="S137" s="268" t="n"/>
      <c r="T137" s="268" t="n"/>
      <c r="U137" s="268" t="n"/>
      <c r="V137" s="268" t="n"/>
      <c r="W137" s="268" t="n"/>
      <c r="X137" s="268" t="n"/>
      <c r="Y137" s="268" t="n"/>
      <c r="Z137" s="268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268" t="n"/>
      <c r="AM137" s="268" t="n"/>
      <c r="AN137" s="268" t="n"/>
      <c r="AO137" s="268" t="n"/>
      <c r="AP137" s="268" t="n"/>
      <c r="AQ137" s="268" t="n"/>
      <c r="AR137" s="268" t="n"/>
      <c r="AS137" s="268" t="n"/>
      <c r="AT137" s="268" t="n"/>
      <c r="AU137" s="268" t="n"/>
      <c r="AV137" s="268" t="n"/>
      <c r="AW137" s="268" t="n"/>
      <c r="AX137" s="268" t="n"/>
      <c r="AY137" s="268" t="n"/>
      <c r="AZ137" s="268" t="n"/>
      <c r="BA137" s="268" t="n"/>
      <c r="BB137" s="268" t="n"/>
      <c r="BC137" s="268" t="n"/>
      <c r="BD137" s="268" t="n"/>
      <c r="BE137" s="268" t="n"/>
      <c r="BF137" s="268" t="n"/>
      <c r="BG137" s="268" t="n"/>
      <c r="BH137" s="268" t="n"/>
      <c r="BI137" s="268" t="n"/>
      <c r="BJ137" s="268" t="n"/>
      <c r="BK137" s="268" t="n"/>
      <c r="BL137" s="268" t="n"/>
      <c r="BM137" s="268" t="n"/>
      <c r="BN137" s="268" t="n"/>
      <c r="BO137" s="268" t="n"/>
      <c r="BP137" s="268" t="n"/>
      <c r="BQ137" s="268" t="n"/>
      <c r="BR137" s="268" t="n"/>
      <c r="BS137" s="268" t="n"/>
      <c r="BT137" s="268" t="n"/>
      <c r="BU137" s="268" t="n"/>
      <c r="BV137" s="268" t="n"/>
      <c r="BW137" s="268" t="n"/>
      <c r="BX137" s="268" t="n"/>
      <c r="BY137" s="268" t="n"/>
      <c r="BZ137" s="268" t="n"/>
      <c r="CA137" s="268" t="n"/>
      <c r="CB137" s="268" t="n"/>
      <c r="CC137" s="268" t="n"/>
      <c r="CD137" s="268" t="n"/>
      <c r="CE137" s="268" t="n"/>
      <c r="CF137" s="268" t="n"/>
      <c r="CG137" s="268" t="n"/>
      <c r="CH137" s="268" t="n"/>
      <c r="CI137" s="268" t="n"/>
      <c r="CJ137" s="268" t="n"/>
      <c r="CK137" s="268" t="n"/>
      <c r="CL137" s="268" t="n"/>
      <c r="CM137" s="268" t="n"/>
      <c r="CN137" s="268" t="n"/>
      <c r="CO137" s="268" t="n"/>
      <c r="CP137" s="268" t="n"/>
      <c r="CQ137" s="268" t="n"/>
      <c r="CR137" s="268" t="n"/>
      <c r="CS137" s="268" t="n"/>
      <c r="CT137" s="268" t="n"/>
      <c r="CU137" s="268" t="n"/>
      <c r="CV137" s="268" t="n"/>
      <c r="CW137" s="268" t="n"/>
      <c r="CX137" s="268" t="n"/>
      <c r="CY137" s="268" t="n"/>
    </row>
    <row r="138" hidden="1" outlineLevel="1" ht="12.75" customHeight="1" s="255">
      <c r="C138" s="312" t="n"/>
      <c r="D138" s="268" t="n"/>
      <c r="E138" s="268" t="n"/>
      <c r="F138" s="268" t="n"/>
      <c r="G138" s="268" t="n"/>
      <c r="H138" s="268" t="n"/>
      <c r="I138" s="268" t="n"/>
      <c r="J138" s="268" t="n"/>
      <c r="K138" s="268" t="n"/>
      <c r="L138" s="268" t="n"/>
      <c r="M138" s="268" t="n"/>
      <c r="N138" s="268" t="n"/>
      <c r="O138" s="268" t="n"/>
      <c r="P138" s="268" t="n"/>
      <c r="Q138" s="268" t="n"/>
      <c r="R138" s="268" t="n"/>
      <c r="S138" s="268" t="n"/>
      <c r="T138" s="268" t="n"/>
      <c r="U138" s="268" t="n"/>
      <c r="V138" s="268" t="n"/>
      <c r="W138" s="268" t="n"/>
      <c r="X138" s="268" t="n"/>
      <c r="Y138" s="268" t="n"/>
      <c r="Z138" s="268" t="n"/>
      <c r="AA138" s="268" t="n"/>
      <c r="AB138" s="268" t="n"/>
      <c r="AC138" s="268" t="n"/>
      <c r="AD138" s="268" t="n"/>
      <c r="AE138" s="268" t="n"/>
      <c r="AF138" s="268" t="n"/>
      <c r="AG138" s="268" t="n"/>
      <c r="AH138" s="268" t="n"/>
      <c r="AI138" s="268" t="n"/>
      <c r="AJ138" s="268" t="n"/>
      <c r="AK138" s="268" t="n"/>
      <c r="AL138" s="268" t="n"/>
      <c r="AM138" s="268" t="n"/>
      <c r="AN138" s="268" t="n"/>
      <c r="AO138" s="268" t="n"/>
      <c r="AP138" s="268" t="n"/>
      <c r="AQ138" s="268" t="n"/>
      <c r="AR138" s="268" t="n"/>
      <c r="AS138" s="268" t="n"/>
      <c r="AT138" s="268" t="n"/>
      <c r="AU138" s="268" t="n"/>
      <c r="AV138" s="268" t="n"/>
      <c r="AW138" s="268" t="n"/>
      <c r="AX138" s="268" t="n"/>
      <c r="AY138" s="268" t="n"/>
      <c r="AZ138" s="268" t="n"/>
      <c r="BA138" s="268" t="n"/>
      <c r="BB138" s="268" t="n"/>
      <c r="BC138" s="268" t="n"/>
      <c r="BD138" s="268" t="n"/>
      <c r="BE138" s="268" t="n"/>
      <c r="BF138" s="268" t="n"/>
      <c r="BG138" s="268" t="n"/>
      <c r="BH138" s="268" t="n"/>
      <c r="BI138" s="268" t="n"/>
      <c r="BJ138" s="268" t="n"/>
      <c r="BK138" s="268" t="n"/>
      <c r="BL138" s="268" t="n"/>
      <c r="BM138" s="268" t="n"/>
      <c r="BN138" s="268" t="n"/>
      <c r="BO138" s="268" t="n"/>
      <c r="BP138" s="268" t="n"/>
      <c r="BQ138" s="268" t="n"/>
      <c r="BR138" s="268" t="n"/>
      <c r="BS138" s="268" t="n"/>
      <c r="BT138" s="268" t="n"/>
      <c r="BU138" s="268" t="n"/>
      <c r="BV138" s="268" t="n"/>
      <c r="BW138" s="268" t="n"/>
      <c r="BX138" s="268" t="n"/>
      <c r="BY138" s="268" t="n"/>
      <c r="BZ138" s="268" t="n"/>
      <c r="CA138" s="268" t="n"/>
      <c r="CB138" s="268" t="n"/>
      <c r="CC138" s="268" t="n"/>
      <c r="CD138" s="268" t="n"/>
      <c r="CE138" s="268" t="n"/>
      <c r="CF138" s="268" t="n"/>
      <c r="CG138" s="268" t="n"/>
      <c r="CH138" s="268" t="n"/>
      <c r="CI138" s="268" t="n"/>
      <c r="CJ138" s="268" t="n"/>
      <c r="CK138" s="268" t="n"/>
      <c r="CL138" s="268" t="n"/>
      <c r="CM138" s="268" t="n"/>
      <c r="CN138" s="268" t="n"/>
      <c r="CO138" s="268" t="n"/>
      <c r="CP138" s="268" t="n"/>
      <c r="CQ138" s="268" t="n"/>
      <c r="CR138" s="268" t="n"/>
      <c r="CS138" s="268" t="n"/>
      <c r="CT138" s="268" t="n"/>
      <c r="CU138" s="268" t="n"/>
      <c r="CV138" s="268" t="n"/>
      <c r="CW138" s="268" t="n"/>
      <c r="CX138" s="268" t="n"/>
      <c r="CY138" s="268" t="n"/>
    </row>
    <row r="139" ht="12.75" customHeight="1" s="255">
      <c r="C139" s="270" t="inlineStr">
        <is>
          <t>Deferred income taxes</t>
        </is>
      </c>
      <c r="D139" s="301">
        <f>INDEX('Inputs (2)'!$D$18:$AL$18,MATCH(D$7,'Inputs (2)'!$D$2:$AL$2,0))</f>
        <v>0</v>
      </c>
      <c r="E139" s="301">
        <f>INDEX('Inputs (2)'!$D$18:$AL$18,MATCH(E$7,'Inputs (2)'!$D$2:$AL$2,0))</f>
        <v>0</v>
      </c>
      <c r="F139" s="301">
        <f>INDEX('Inputs (2)'!$D$18:$AL$18,MATCH(F$7,'Inputs (2)'!$D$2:$AL$2,0))</f>
        <v>0</v>
      </c>
      <c r="G139" s="301">
        <f>INDEX('Inputs (2)'!$D$18:$AL$18,MATCH(G$7,'Inputs (2)'!$D$2:$AL$2,0))</f>
        <v>0</v>
      </c>
      <c r="H139" s="268">
        <f>G139</f>
        <v>0</v>
      </c>
      <c r="I139" s="301">
        <f>INDEX('Inputs (2)'!$D$18:$AL$18,MATCH(I$7,'Inputs (2)'!$D$2:$AL$2,0))</f>
        <v>0</v>
      </c>
      <c r="J139" s="301">
        <f>INDEX('Inputs (2)'!$D$18:$AL$18,MATCH(J$7,'Inputs (2)'!$D$2:$AL$2,0))</f>
        <v>0</v>
      </c>
      <c r="K139" s="301">
        <f>INDEX('Inputs (2)'!$D$18:$AL$18,MATCH(K$7,'Inputs (2)'!$D$2:$AL$2,0))</f>
        <v>0</v>
      </c>
      <c r="L139" s="301">
        <f>INDEX('Inputs (2)'!$D$18:$AL$18,MATCH(L$7,'Inputs (2)'!$D$2:$AL$2,0))</f>
        <v>0</v>
      </c>
      <c r="M139" s="268">
        <f>L139</f>
        <v>0</v>
      </c>
      <c r="N139" s="301">
        <f>INDEX('Inputs (2)'!$D$18:$AL$18,MATCH(N$7,'Inputs (2)'!$D$2:$AL$2,0))</f>
        <v>0</v>
      </c>
      <c r="O139" s="301">
        <f>INDEX('Inputs (2)'!$D$18:$AL$18,MATCH(O$7,'Inputs (2)'!$D$2:$AL$2,0))</f>
        <v>0</v>
      </c>
      <c r="P139" s="301">
        <f>INDEX('Inputs (2)'!$D$18:$AL$18,MATCH(P$7,'Inputs (2)'!$D$2:$AL$2,0))</f>
        <v>0</v>
      </c>
      <c r="Q139" s="301">
        <f>INDEX('Inputs (2)'!$D$18:$AL$18,MATCH(Q$7,'Inputs (2)'!$D$2:$AL$2,0))</f>
        <v>0</v>
      </c>
      <c r="R139" s="268">
        <f>Q139</f>
        <v>0</v>
      </c>
      <c r="S139" s="301">
        <f>INDEX('Inputs (2)'!$D$18:$AL$18,MATCH(S$7,'Inputs (2)'!$D$2:$AL$2,0))</f>
        <v>0</v>
      </c>
      <c r="T139" s="301">
        <f>INDEX('Inputs (2)'!$D$18:$AL$18,MATCH(T$7,'Inputs (2)'!$D$2:$AL$2,0))</f>
        <v>0</v>
      </c>
      <c r="U139" s="301">
        <f>INDEX('Inputs (2)'!$D$18:$AL$18,MATCH(U$7,'Inputs (2)'!$D$2:$AL$2,0))</f>
        <v>0</v>
      </c>
      <c r="V139" s="301">
        <f>INDEX('Inputs (2)'!$D$18:$AL$18,MATCH(V$7,'Inputs (2)'!$D$2:$AL$2,0))</f>
        <v>0</v>
      </c>
      <c r="W139" s="268">
        <f>V139</f>
        <v>0</v>
      </c>
      <c r="X139" s="301">
        <f>INDEX('Inputs (2)'!$D$18:$AL$18,MATCH(X$7,'Inputs (2)'!$D$2:$AL$2,0))</f>
        <v>0</v>
      </c>
      <c r="Y139" s="301">
        <f>INDEX('Inputs (2)'!$D$18:$AL$18,MATCH(Y$7,'Inputs (2)'!$D$2:$AL$2,0))</f>
        <v>0</v>
      </c>
      <c r="Z139" s="301">
        <f>INDEX('Inputs (2)'!$D$18:$AL$18,MATCH(Z$7,'Inputs (2)'!$D$2:$AL$2,0))</f>
        <v>0</v>
      </c>
      <c r="AA139" s="301">
        <f>INDEX('Inputs (2)'!$D$18:$AL$18,MATCH(AA$7,'Inputs (2)'!$D$2:$AL$2,0))</f>
        <v>0</v>
      </c>
      <c r="AB139" s="268">
        <f>AA139</f>
        <v>0</v>
      </c>
      <c r="AC139" s="301">
        <f>INDEX('Inputs (2)'!$D$18:$AL$18,MATCH(AC$7,'Inputs (2)'!$D$2:$AL$2,0))</f>
        <v>0</v>
      </c>
      <c r="AD139" s="301">
        <f>INDEX('Inputs (2)'!$D$18:$AL$18,MATCH(AD$7,'Inputs (2)'!$D$2:$AL$2,0))</f>
        <v>0</v>
      </c>
      <c r="AE139" s="301">
        <f>INDEX('Inputs (2)'!$D$18:$AL$18,MATCH(AE$7,'Inputs (2)'!$D$2:$AL$2,0))</f>
        <v>0</v>
      </c>
      <c r="AF139" s="301">
        <f>INDEX('Inputs (2)'!$D$18:$AL$18,MATCH(AF$7,'Inputs (2)'!$D$2:$AL$2,0))</f>
        <v>0</v>
      </c>
      <c r="AG139" s="268">
        <f>AF139</f>
        <v>0</v>
      </c>
      <c r="AH139" s="268">
        <f>INDEX('Inputs (2)'!$D$18:$AL$18,MATCH(AH$7,'Inputs (2)'!$D$2:$AL$2,0))</f>
        <v>0</v>
      </c>
      <c r="AI139" s="268">
        <f>INDEX('Inputs (2)'!$D$18:$AL$18,MATCH(AI$7,'Inputs (2)'!$D$2:$AL$2,0))</f>
        <v>0</v>
      </c>
      <c r="AJ139" s="268">
        <f>AI139</f>
        <v>0</v>
      </c>
      <c r="AK139" s="268">
        <f>AJ139</f>
        <v>0</v>
      </c>
      <c r="AL139" s="268">
        <f>AK139</f>
        <v>0</v>
      </c>
      <c r="AM139" s="268">
        <f>AL139</f>
        <v>0</v>
      </c>
      <c r="AN139" s="268">
        <f>AM139</f>
        <v>0</v>
      </c>
      <c r="AO139" s="268">
        <f>AN139</f>
        <v>0</v>
      </c>
      <c r="AP139" s="268">
        <f>AO139</f>
        <v>0</v>
      </c>
      <c r="AQ139" s="268">
        <f>AP139</f>
        <v>0</v>
      </c>
      <c r="AR139" s="268">
        <f>AQ139</f>
        <v>0</v>
      </c>
      <c r="AS139" s="268">
        <f>AR139</f>
        <v>0</v>
      </c>
      <c r="AT139" s="268">
        <f>AS139</f>
        <v>0</v>
      </c>
      <c r="AU139" s="268">
        <f>AT139</f>
        <v>0</v>
      </c>
      <c r="AV139" s="268">
        <f>AU139</f>
        <v>0</v>
      </c>
      <c r="AW139" s="268">
        <f>AV139</f>
        <v>0</v>
      </c>
      <c r="AX139" s="268">
        <f>AW139</f>
        <v>0</v>
      </c>
      <c r="AY139" s="268">
        <f>AX139</f>
        <v>0</v>
      </c>
      <c r="AZ139" s="268">
        <f>AY139</f>
        <v>0</v>
      </c>
      <c r="BA139" s="268">
        <f>AZ139</f>
        <v>0</v>
      </c>
      <c r="BB139" s="268">
        <f>BA139</f>
        <v>0</v>
      </c>
      <c r="BC139" s="268">
        <f>BB139</f>
        <v>0</v>
      </c>
      <c r="BD139" s="268">
        <f>BC139</f>
        <v>0</v>
      </c>
      <c r="BE139" s="268">
        <f>BD139</f>
        <v>0</v>
      </c>
      <c r="BF139" s="268">
        <f>BE139</f>
        <v>0</v>
      </c>
      <c r="BG139" s="268">
        <f>BF139</f>
        <v>0</v>
      </c>
      <c r="BH139" s="268">
        <f>BG139</f>
        <v>0</v>
      </c>
      <c r="BI139" s="268">
        <f>BH139</f>
        <v>0</v>
      </c>
      <c r="BJ139" s="268">
        <f>BI139</f>
        <v>0</v>
      </c>
      <c r="BK139" s="268">
        <f>BJ139</f>
        <v>0</v>
      </c>
      <c r="BL139" s="268">
        <f>BK139</f>
        <v>0</v>
      </c>
      <c r="BM139" s="268">
        <f>BL139</f>
        <v>0</v>
      </c>
      <c r="BN139" s="268">
        <f>BM139</f>
        <v>0</v>
      </c>
      <c r="BO139" s="268">
        <f>BN139</f>
        <v>0</v>
      </c>
      <c r="BP139" s="268">
        <f>BO139</f>
        <v>0</v>
      </c>
      <c r="BQ139" s="268">
        <f>BP139</f>
        <v>0</v>
      </c>
      <c r="BR139" s="268">
        <f>BQ139</f>
        <v>0</v>
      </c>
      <c r="BS139" s="268">
        <f>BR139</f>
        <v>0</v>
      </c>
      <c r="BT139" s="268">
        <f>BS139</f>
        <v>0</v>
      </c>
      <c r="BU139" s="268">
        <f>BT139</f>
        <v>0</v>
      </c>
      <c r="BV139" s="268">
        <f>BU139</f>
        <v>0</v>
      </c>
      <c r="BW139" s="268">
        <f>BV139</f>
        <v>0</v>
      </c>
      <c r="BX139" s="268">
        <f>BW139</f>
        <v>0</v>
      </c>
      <c r="BY139" s="268">
        <f>BX139</f>
        <v>0</v>
      </c>
      <c r="BZ139" s="268">
        <f>BY139</f>
        <v>0</v>
      </c>
      <c r="CA139" s="268">
        <f>BZ139</f>
        <v>0</v>
      </c>
      <c r="CB139" s="268">
        <f>CA139</f>
        <v>0</v>
      </c>
      <c r="CC139" s="268">
        <f>CB139</f>
        <v>0</v>
      </c>
      <c r="CD139" s="268">
        <f>CC139</f>
        <v>0</v>
      </c>
      <c r="CE139" s="268">
        <f>CD139</f>
        <v>0</v>
      </c>
      <c r="CF139" s="268">
        <f>CE139</f>
        <v>0</v>
      </c>
      <c r="CG139" s="268">
        <f>CF139</f>
        <v>0</v>
      </c>
      <c r="CH139" s="268">
        <f>CG139</f>
        <v>0</v>
      </c>
      <c r="CI139" s="268">
        <f>CH139</f>
        <v>0</v>
      </c>
      <c r="CJ139" s="268">
        <f>CI139</f>
        <v>0</v>
      </c>
      <c r="CK139" s="268">
        <f>CJ139</f>
        <v>0</v>
      </c>
      <c r="CL139" s="268">
        <f>CK139</f>
        <v>0</v>
      </c>
      <c r="CM139" s="268">
        <f>CL139</f>
        <v>0</v>
      </c>
      <c r="CN139" s="268">
        <f>CM139</f>
        <v>0</v>
      </c>
      <c r="CO139" s="268">
        <f>CN139</f>
        <v>0</v>
      </c>
      <c r="CP139" s="268">
        <f>CO139</f>
        <v>0</v>
      </c>
      <c r="CQ139" s="268">
        <f>CP139</f>
        <v>0</v>
      </c>
      <c r="CR139" s="268">
        <f>CQ139</f>
        <v>0</v>
      </c>
      <c r="CS139" s="268">
        <f>CR139</f>
        <v>0</v>
      </c>
      <c r="CT139" s="268">
        <f>CS139</f>
        <v>0</v>
      </c>
      <c r="CU139" s="268">
        <f>CT139</f>
        <v>0</v>
      </c>
      <c r="CV139" s="268">
        <f>CU139</f>
        <v>0</v>
      </c>
      <c r="CW139" s="268">
        <f>CV139</f>
        <v>0</v>
      </c>
      <c r="CX139" s="268">
        <f>CW139</f>
        <v>0</v>
      </c>
      <c r="CY139" s="268">
        <f>CX139</f>
        <v>0</v>
      </c>
    </row>
    <row r="140" ht="12.75" customHeight="1" s="255">
      <c r="C140" s="270" t="inlineStr">
        <is>
          <t>Prepaid expenses</t>
        </is>
      </c>
      <c r="D140" s="301">
        <f>INDEX('Inputs (2)'!$D$19:$AL$19,MATCH(D$7,'Inputs (2)'!$D$2:$AL$2,0))</f>
        <v>0</v>
      </c>
      <c r="E140" s="301">
        <f>INDEX('Inputs (2)'!$D$19:$AL$19,MATCH(E$7,'Inputs (2)'!$D$2:$AL$2,0))</f>
        <v>0</v>
      </c>
      <c r="F140" s="301">
        <f>INDEX('Inputs (2)'!$D$19:$AL$19,MATCH(F$7,'Inputs (2)'!$D$2:$AL$2,0))</f>
        <v>0</v>
      </c>
      <c r="G140" s="301">
        <f>INDEX('Inputs (2)'!$D$19:$AL$19,MATCH(G$7,'Inputs (2)'!$D$2:$AL$2,0))</f>
        <v>0</v>
      </c>
      <c r="H140" s="268">
        <f>G140</f>
        <v>0</v>
      </c>
      <c r="I140" s="301">
        <f>INDEX('Inputs (2)'!$D$19:$AL$19,MATCH(I$7,'Inputs (2)'!$D$2:$AL$2,0))</f>
        <v>0</v>
      </c>
      <c r="J140" s="301">
        <f>INDEX('Inputs (2)'!$D$19:$AL$19,MATCH(J$7,'Inputs (2)'!$D$2:$AL$2,0))</f>
        <v>0</v>
      </c>
      <c r="K140" s="301">
        <f>INDEX('Inputs (2)'!$D$19:$AL$19,MATCH(K$7,'Inputs (2)'!$D$2:$AL$2,0))</f>
        <v>0</v>
      </c>
      <c r="L140" s="301">
        <f>INDEX('Inputs (2)'!$D$19:$AL$19,MATCH(L$7,'Inputs (2)'!$D$2:$AL$2,0))</f>
        <v>0</v>
      </c>
      <c r="M140" s="268">
        <f>L140</f>
        <v>0</v>
      </c>
      <c r="N140" s="301">
        <f>INDEX('Inputs (2)'!$D$19:$AL$19,MATCH(N$7,'Inputs (2)'!$D$2:$AL$2,0))</f>
        <v>0</v>
      </c>
      <c r="O140" s="301">
        <f>INDEX('Inputs (2)'!$D$19:$AL$19,MATCH(O$7,'Inputs (2)'!$D$2:$AL$2,0))</f>
        <v>0</v>
      </c>
      <c r="P140" s="301">
        <f>INDEX('Inputs (2)'!$D$19:$AL$19,MATCH(P$7,'Inputs (2)'!$D$2:$AL$2,0))</f>
        <v>0</v>
      </c>
      <c r="Q140" s="301">
        <f>INDEX('Inputs (2)'!$D$19:$AL$19,MATCH(Q$7,'Inputs (2)'!$D$2:$AL$2,0))</f>
        <v>0</v>
      </c>
      <c r="R140" s="268">
        <f>Q140</f>
        <v>0</v>
      </c>
      <c r="S140" s="301">
        <f>INDEX('Inputs (2)'!$D$19:$AL$19,MATCH(S$7,'Inputs (2)'!$D$2:$AL$2,0))</f>
        <v>0</v>
      </c>
      <c r="T140" s="301">
        <f>INDEX('Inputs (2)'!$D$19:$AL$19,MATCH(T$7,'Inputs (2)'!$D$2:$AL$2,0))</f>
        <v>0</v>
      </c>
      <c r="U140" s="301">
        <f>INDEX('Inputs (2)'!$D$19:$AL$19,MATCH(U$7,'Inputs (2)'!$D$2:$AL$2,0))</f>
        <v>0</v>
      </c>
      <c r="V140" s="301">
        <f>INDEX('Inputs (2)'!$D$19:$AL$19,MATCH(V$7,'Inputs (2)'!$D$2:$AL$2,0))</f>
        <v>0</v>
      </c>
      <c r="W140" s="268">
        <f>V140</f>
        <v>0</v>
      </c>
      <c r="X140" s="301">
        <f>INDEX('Inputs (2)'!$D$19:$AL$19,MATCH(X$7,'Inputs (2)'!$D$2:$AL$2,0))</f>
        <v>0</v>
      </c>
      <c r="Y140" s="301">
        <f>INDEX('Inputs (2)'!$D$19:$AL$19,MATCH(Y$7,'Inputs (2)'!$D$2:$AL$2,0))</f>
        <v>0</v>
      </c>
      <c r="Z140" s="301">
        <f>INDEX('Inputs (2)'!$D$19:$AL$19,MATCH(Z$7,'Inputs (2)'!$D$2:$AL$2,0))</f>
        <v>0</v>
      </c>
      <c r="AA140" s="301">
        <f>INDEX('Inputs (2)'!$D$19:$AL$19,MATCH(AA$7,'Inputs (2)'!$D$2:$AL$2,0))</f>
        <v>0</v>
      </c>
      <c r="AB140" s="268">
        <f>AA140</f>
        <v>0</v>
      </c>
      <c r="AC140" s="301">
        <f>INDEX('Inputs (2)'!$D$19:$AL$19,MATCH(AC$7,'Inputs (2)'!$D$2:$AL$2,0))</f>
        <v>0</v>
      </c>
      <c r="AD140" s="301">
        <f>INDEX('Inputs (2)'!$D$19:$AL$19,MATCH(AD$7,'Inputs (2)'!$D$2:$AL$2,0))</f>
        <v>0</v>
      </c>
      <c r="AE140" s="301">
        <f>INDEX('Inputs (2)'!$D$19:$AL$19,MATCH(AE$7,'Inputs (2)'!$D$2:$AL$2,0))</f>
        <v>0</v>
      </c>
      <c r="AF140" s="301">
        <f>INDEX('Inputs (2)'!$D$19:$AL$19,MATCH(AF$7,'Inputs (2)'!$D$2:$AL$2,0))</f>
        <v>0</v>
      </c>
      <c r="AG140" s="268">
        <f>AF140</f>
        <v>0</v>
      </c>
      <c r="AH140" s="268">
        <f>INDEX('Inputs (2)'!$D$19:$AL$19,MATCH(AH$7,'Inputs (2)'!$D$2:$AL$2,0))</f>
        <v>0</v>
      </c>
      <c r="AI140" s="268">
        <f>INDEX('Inputs (2)'!$D$19:$AL$19,MATCH(AI$7,'Inputs (2)'!$D$2:$AL$2,0))</f>
        <v>0</v>
      </c>
      <c r="AJ140" s="268">
        <f>AI140</f>
        <v>0</v>
      </c>
      <c r="AK140" s="268">
        <f>AJ140</f>
        <v>0</v>
      </c>
      <c r="AL140" s="268">
        <f>AK140</f>
        <v>0</v>
      </c>
      <c r="AM140" s="268">
        <f>AL140</f>
        <v>0</v>
      </c>
      <c r="AN140" s="268">
        <f>AM140</f>
        <v>0</v>
      </c>
      <c r="AO140" s="268">
        <f>AN140</f>
        <v>0</v>
      </c>
      <c r="AP140" s="268">
        <f>AO140</f>
        <v>0</v>
      </c>
      <c r="AQ140" s="268">
        <f>AP140</f>
        <v>0</v>
      </c>
      <c r="AR140" s="268">
        <f>AQ140</f>
        <v>0</v>
      </c>
      <c r="AS140" s="268">
        <f>AR140</f>
        <v>0</v>
      </c>
      <c r="AT140" s="268">
        <f>AS140</f>
        <v>0</v>
      </c>
      <c r="AU140" s="268">
        <f>AT140</f>
        <v>0</v>
      </c>
      <c r="AV140" s="268">
        <f>AU140</f>
        <v>0</v>
      </c>
      <c r="AW140" s="268">
        <f>AV140</f>
        <v>0</v>
      </c>
      <c r="AX140" s="268">
        <f>AW140</f>
        <v>0</v>
      </c>
      <c r="AY140" s="268">
        <f>AX140</f>
        <v>0</v>
      </c>
      <c r="AZ140" s="268">
        <f>AY140</f>
        <v>0</v>
      </c>
      <c r="BA140" s="268">
        <f>AZ140</f>
        <v>0</v>
      </c>
      <c r="BB140" s="268">
        <f>BA140</f>
        <v>0</v>
      </c>
      <c r="BC140" s="268">
        <f>BB140</f>
        <v>0</v>
      </c>
      <c r="BD140" s="268">
        <f>BC140</f>
        <v>0</v>
      </c>
      <c r="BE140" s="268">
        <f>BD140</f>
        <v>0</v>
      </c>
      <c r="BF140" s="268">
        <f>BE140</f>
        <v>0</v>
      </c>
      <c r="BG140" s="268">
        <f>BF140</f>
        <v>0</v>
      </c>
      <c r="BH140" s="268">
        <f>BG140</f>
        <v>0</v>
      </c>
      <c r="BI140" s="268">
        <f>BH140</f>
        <v>0</v>
      </c>
      <c r="BJ140" s="268">
        <f>BI140</f>
        <v>0</v>
      </c>
      <c r="BK140" s="268">
        <f>BJ140</f>
        <v>0</v>
      </c>
      <c r="BL140" s="268">
        <f>BK140</f>
        <v>0</v>
      </c>
      <c r="BM140" s="268">
        <f>BL140</f>
        <v>0</v>
      </c>
      <c r="BN140" s="268">
        <f>BM140</f>
        <v>0</v>
      </c>
      <c r="BO140" s="268">
        <f>BN140</f>
        <v>0</v>
      </c>
      <c r="BP140" s="268">
        <f>BO140</f>
        <v>0</v>
      </c>
      <c r="BQ140" s="268">
        <f>BP140</f>
        <v>0</v>
      </c>
      <c r="BR140" s="268">
        <f>BQ140</f>
        <v>0</v>
      </c>
      <c r="BS140" s="268">
        <f>BR140</f>
        <v>0</v>
      </c>
      <c r="BT140" s="268">
        <f>BS140</f>
        <v>0</v>
      </c>
      <c r="BU140" s="268">
        <f>BT140</f>
        <v>0</v>
      </c>
      <c r="BV140" s="268">
        <f>BU140</f>
        <v>0</v>
      </c>
      <c r="BW140" s="268">
        <f>BV140</f>
        <v>0</v>
      </c>
      <c r="BX140" s="268">
        <f>BW140</f>
        <v>0</v>
      </c>
      <c r="BY140" s="268">
        <f>BX140</f>
        <v>0</v>
      </c>
      <c r="BZ140" s="268">
        <f>BY140</f>
        <v>0</v>
      </c>
      <c r="CA140" s="268">
        <f>BZ140</f>
        <v>0</v>
      </c>
      <c r="CB140" s="268">
        <f>CA140</f>
        <v>0</v>
      </c>
      <c r="CC140" s="268">
        <f>CB140</f>
        <v>0</v>
      </c>
      <c r="CD140" s="268">
        <f>CC140</f>
        <v>0</v>
      </c>
      <c r="CE140" s="268">
        <f>CD140</f>
        <v>0</v>
      </c>
      <c r="CF140" s="268">
        <f>CE140</f>
        <v>0</v>
      </c>
      <c r="CG140" s="268">
        <f>CF140</f>
        <v>0</v>
      </c>
      <c r="CH140" s="268">
        <f>CG140</f>
        <v>0</v>
      </c>
      <c r="CI140" s="268">
        <f>CH140</f>
        <v>0</v>
      </c>
      <c r="CJ140" s="268">
        <f>CI140</f>
        <v>0</v>
      </c>
      <c r="CK140" s="268">
        <f>CJ140</f>
        <v>0</v>
      </c>
      <c r="CL140" s="268">
        <f>CK140</f>
        <v>0</v>
      </c>
      <c r="CM140" s="268">
        <f>CL140</f>
        <v>0</v>
      </c>
      <c r="CN140" s="268">
        <f>CM140</f>
        <v>0</v>
      </c>
      <c r="CO140" s="268">
        <f>CN140</f>
        <v>0</v>
      </c>
      <c r="CP140" s="268">
        <f>CO140</f>
        <v>0</v>
      </c>
      <c r="CQ140" s="268">
        <f>CP140</f>
        <v>0</v>
      </c>
      <c r="CR140" s="268">
        <f>CQ140</f>
        <v>0</v>
      </c>
      <c r="CS140" s="268">
        <f>CR140</f>
        <v>0</v>
      </c>
      <c r="CT140" s="268">
        <f>CS140</f>
        <v>0</v>
      </c>
      <c r="CU140" s="268">
        <f>CT140</f>
        <v>0</v>
      </c>
      <c r="CV140" s="268">
        <f>CU140</f>
        <v>0</v>
      </c>
      <c r="CW140" s="268">
        <f>CV140</f>
        <v>0</v>
      </c>
      <c r="CX140" s="268">
        <f>CW140</f>
        <v>0</v>
      </c>
      <c r="CY140" s="268">
        <f>CX140</f>
        <v>0</v>
      </c>
    </row>
    <row r="141" ht="12.75" customHeight="1" s="255">
      <c r="C141" s="270" t="inlineStr">
        <is>
          <t>Other current assets</t>
        </is>
      </c>
      <c r="D141" s="301">
        <f>INDEX('Inputs (2)'!$D$20:$AL$20,MATCH(D$7,'Inputs (2)'!$D$2:$AL$2,0))</f>
        <v>0</v>
      </c>
      <c r="E141" s="301">
        <f>INDEX('Inputs (2)'!$D$20:$AL$20,MATCH(E$7,'Inputs (2)'!$D$2:$AL$2,0))</f>
        <v>0</v>
      </c>
      <c r="F141" s="301">
        <f>INDEX('Inputs (2)'!$D$20:$AL$20,MATCH(F$7,'Inputs (2)'!$D$2:$AL$2,0))</f>
        <v>0</v>
      </c>
      <c r="G141" s="301">
        <f>INDEX('Inputs (2)'!$D$20:$AL$20,MATCH(G$7,'Inputs (2)'!$D$2:$AL$2,0))</f>
        <v>0</v>
      </c>
      <c r="H141" s="268">
        <f>G141</f>
        <v>0</v>
      </c>
      <c r="I141" s="301">
        <f>INDEX('Inputs (2)'!$D$20:$AL$20,MATCH(I$7,'Inputs (2)'!$D$2:$AL$2,0))</f>
        <v>0</v>
      </c>
      <c r="J141" s="301">
        <f>INDEX('Inputs (2)'!$D$20:$AL$20,MATCH(J$7,'Inputs (2)'!$D$2:$AL$2,0))</f>
        <v>0</v>
      </c>
      <c r="K141" s="301">
        <f>INDEX('Inputs (2)'!$D$20:$AL$20,MATCH(K$7,'Inputs (2)'!$D$2:$AL$2,0))</f>
        <v>0</v>
      </c>
      <c r="L141" s="301">
        <f>INDEX('Inputs (2)'!$D$20:$AL$20,MATCH(L$7,'Inputs (2)'!$D$2:$AL$2,0))</f>
        <v>0</v>
      </c>
      <c r="M141" s="268">
        <f>L141</f>
        <v>0</v>
      </c>
      <c r="N141" s="301">
        <f>INDEX('Inputs (2)'!$D$20:$AL$20,MATCH(N$7,'Inputs (2)'!$D$2:$AL$2,0))</f>
        <v>0</v>
      </c>
      <c r="O141" s="301">
        <f>INDEX('Inputs (2)'!$D$20:$AL$20,MATCH(O$7,'Inputs (2)'!$D$2:$AL$2,0))</f>
        <v>0</v>
      </c>
      <c r="P141" s="301">
        <f>INDEX('Inputs (2)'!$D$20:$AL$20,MATCH(P$7,'Inputs (2)'!$D$2:$AL$2,0))</f>
        <v>0</v>
      </c>
      <c r="Q141" s="301">
        <f>INDEX('Inputs (2)'!$D$20:$AL$20,MATCH(Q$7,'Inputs (2)'!$D$2:$AL$2,0))</f>
        <v>0</v>
      </c>
      <c r="R141" s="268">
        <f>Q141</f>
        <v>0</v>
      </c>
      <c r="S141" s="301">
        <f>INDEX('Inputs (2)'!$D$20:$AL$20,MATCH(S$7,'Inputs (2)'!$D$2:$AL$2,0))</f>
        <v>0</v>
      </c>
      <c r="T141" s="301">
        <f>INDEX('Inputs (2)'!$D$20:$AL$20,MATCH(T$7,'Inputs (2)'!$D$2:$AL$2,0))</f>
        <v>0</v>
      </c>
      <c r="U141" s="301">
        <f>INDEX('Inputs (2)'!$D$20:$AL$20,MATCH(U$7,'Inputs (2)'!$D$2:$AL$2,0))</f>
        <v>0</v>
      </c>
      <c r="V141" s="301">
        <f>INDEX('Inputs (2)'!$D$20:$AL$20,MATCH(V$7,'Inputs (2)'!$D$2:$AL$2,0))</f>
        <v>0</v>
      </c>
      <c r="W141" s="268">
        <f>V141</f>
        <v>0</v>
      </c>
      <c r="X141" s="301">
        <f>INDEX('Inputs (2)'!$D$20:$AL$20,MATCH(X$7,'Inputs (2)'!$D$2:$AL$2,0))</f>
        <v>0</v>
      </c>
      <c r="Y141" s="301">
        <f>INDEX('Inputs (2)'!$D$20:$AL$20,MATCH(Y$7,'Inputs (2)'!$D$2:$AL$2,0))</f>
        <v>0</v>
      </c>
      <c r="Z141" s="301">
        <f>INDEX('Inputs (2)'!$D$20:$AL$20,MATCH(Z$7,'Inputs (2)'!$D$2:$AL$2,0))</f>
        <v>0</v>
      </c>
      <c r="AA141" s="301">
        <f>INDEX('Inputs (2)'!$D$20:$AL$20,MATCH(AA$7,'Inputs (2)'!$D$2:$AL$2,0))</f>
        <v>138.64</v>
      </c>
      <c r="AB141" s="268">
        <f>AA141</f>
        <v>138.64</v>
      </c>
      <c r="AC141" s="301">
        <f>INDEX('Inputs (2)'!$D$20:$AL$20,MATCH(AC$7,'Inputs (2)'!$D$2:$AL$2,0))</f>
        <v>770.983</v>
      </c>
      <c r="AD141" s="301">
        <f>INDEX('Inputs (2)'!$D$20:$AL$20,MATCH(AD$7,'Inputs (2)'!$D$2:$AL$2,0))</f>
        <v>859.402</v>
      </c>
      <c r="AE141" s="301">
        <f>INDEX('Inputs (2)'!$D$20:$AL$20,MATCH(AE$7,'Inputs (2)'!$D$2:$AL$2,0))</f>
        <v>1130.206</v>
      </c>
      <c r="AF141" s="301">
        <f>INDEX('Inputs (2)'!$D$20:$AL$20,MATCH(AF$7,'Inputs (2)'!$D$2:$AL$2,0))</f>
        <v>1158</v>
      </c>
      <c r="AG141" s="268">
        <f>AF141</f>
        <v>1158</v>
      </c>
      <c r="AH141" s="268">
        <f>INDEX('Inputs (2)'!$D$20:$AL$20,MATCH(AH$7,'Inputs (2)'!$D$2:$AL$2,0))</f>
        <v>1223</v>
      </c>
      <c r="AI141" s="268">
        <f>INDEX('Inputs (2)'!$D$20:$AL$20,MATCH(AI$7,'Inputs (2)'!$D$2:$AL$2,0))</f>
        <v>1440</v>
      </c>
      <c r="AJ141" s="268">
        <f>AI141</f>
        <v>1440</v>
      </c>
      <c r="AK141" s="268">
        <f>AJ141</f>
        <v>1440</v>
      </c>
      <c r="AL141" s="268">
        <f>AK141</f>
        <v>1440</v>
      </c>
      <c r="AM141" s="268">
        <f>AL141</f>
        <v>1440</v>
      </c>
      <c r="AN141" s="268">
        <f>AM141</f>
        <v>1440</v>
      </c>
      <c r="AO141" s="268">
        <f>AN141</f>
        <v>1440</v>
      </c>
      <c r="AP141" s="268">
        <f>AO141</f>
        <v>1440</v>
      </c>
      <c r="AQ141" s="268">
        <f>AP141</f>
        <v>1440</v>
      </c>
      <c r="AR141" s="268">
        <f>AQ141</f>
        <v>1440</v>
      </c>
      <c r="AS141" s="268">
        <f>AR141</f>
        <v>1440</v>
      </c>
      <c r="AT141" s="268">
        <f>AS141</f>
        <v>1440</v>
      </c>
      <c r="AU141" s="268">
        <f>AT141</f>
        <v>1440</v>
      </c>
      <c r="AV141" s="268">
        <f>AU141</f>
        <v>1440</v>
      </c>
      <c r="AW141" s="268">
        <f>AV141</f>
        <v>1440</v>
      </c>
      <c r="AX141" s="268">
        <f>AW141</f>
        <v>1440</v>
      </c>
      <c r="AY141" s="268">
        <f>AX141</f>
        <v>1440</v>
      </c>
      <c r="AZ141" s="268">
        <f>AY141</f>
        <v>1440</v>
      </c>
      <c r="BA141" s="268">
        <f>AZ141</f>
        <v>1440</v>
      </c>
      <c r="BB141" s="268">
        <f>BA141</f>
        <v>1440</v>
      </c>
      <c r="BC141" s="268">
        <f>BB141</f>
        <v>1440</v>
      </c>
      <c r="BD141" s="268">
        <f>BC141</f>
        <v>1440</v>
      </c>
      <c r="BE141" s="268">
        <f>BD141</f>
        <v>1440</v>
      </c>
      <c r="BF141" s="268">
        <f>BE141</f>
        <v>1440</v>
      </c>
      <c r="BG141" s="268">
        <f>BF141</f>
        <v>1440</v>
      </c>
      <c r="BH141" s="268">
        <f>BG141</f>
        <v>1440</v>
      </c>
      <c r="BI141" s="268">
        <f>BH141</f>
        <v>1440</v>
      </c>
      <c r="BJ141" s="268">
        <f>BI141</f>
        <v>1440</v>
      </c>
      <c r="BK141" s="268">
        <f>BJ141</f>
        <v>1440</v>
      </c>
      <c r="BL141" s="268">
        <f>BK141</f>
        <v>1440</v>
      </c>
      <c r="BM141" s="268">
        <f>BL141</f>
        <v>1440</v>
      </c>
      <c r="BN141" s="268">
        <f>BM141</f>
        <v>1440</v>
      </c>
      <c r="BO141" s="268">
        <f>BN141</f>
        <v>1440</v>
      </c>
      <c r="BP141" s="268">
        <f>BO141</f>
        <v>1440</v>
      </c>
      <c r="BQ141" s="268">
        <f>BP141</f>
        <v>1440</v>
      </c>
      <c r="BR141" s="268">
        <f>BQ141</f>
        <v>1440</v>
      </c>
      <c r="BS141" s="268">
        <f>BR141</f>
        <v>1440</v>
      </c>
      <c r="BT141" s="268">
        <f>BS141</f>
        <v>1440</v>
      </c>
      <c r="BU141" s="268">
        <f>BT141</f>
        <v>1440</v>
      </c>
      <c r="BV141" s="268">
        <f>BU141</f>
        <v>1440</v>
      </c>
      <c r="BW141" s="268">
        <f>BV141</f>
        <v>1440</v>
      </c>
      <c r="BX141" s="268">
        <f>BW141</f>
        <v>1440</v>
      </c>
      <c r="BY141" s="268">
        <f>BX141</f>
        <v>1440</v>
      </c>
      <c r="BZ141" s="268">
        <f>BY141</f>
        <v>1440</v>
      </c>
      <c r="CA141" s="268">
        <f>BZ141</f>
        <v>1440</v>
      </c>
      <c r="CB141" s="268">
        <f>CA141</f>
        <v>1440</v>
      </c>
      <c r="CC141" s="268">
        <f>CB141</f>
        <v>1440</v>
      </c>
      <c r="CD141" s="268">
        <f>CC141</f>
        <v>1440</v>
      </c>
      <c r="CE141" s="268">
        <f>CD141</f>
        <v>1440</v>
      </c>
      <c r="CF141" s="268">
        <f>CE141</f>
        <v>1440</v>
      </c>
      <c r="CG141" s="268">
        <f>CF141</f>
        <v>1440</v>
      </c>
      <c r="CH141" s="268">
        <f>CG141</f>
        <v>1440</v>
      </c>
      <c r="CI141" s="268">
        <f>CH141</f>
        <v>1440</v>
      </c>
      <c r="CJ141" s="268">
        <f>CI141</f>
        <v>1440</v>
      </c>
      <c r="CK141" s="268">
        <f>CJ141</f>
        <v>1440</v>
      </c>
      <c r="CL141" s="268">
        <f>CK141</f>
        <v>1440</v>
      </c>
      <c r="CM141" s="268">
        <f>CL141</f>
        <v>1440</v>
      </c>
      <c r="CN141" s="268">
        <f>CM141</f>
        <v>1440</v>
      </c>
      <c r="CO141" s="268">
        <f>CN141</f>
        <v>1440</v>
      </c>
      <c r="CP141" s="268">
        <f>CO141</f>
        <v>1440</v>
      </c>
      <c r="CQ141" s="268">
        <f>CP141</f>
        <v>1440</v>
      </c>
      <c r="CR141" s="268">
        <f>CQ141</f>
        <v>1440</v>
      </c>
      <c r="CS141" s="268">
        <f>CR141</f>
        <v>1440</v>
      </c>
      <c r="CT141" s="268">
        <f>CS141</f>
        <v>1440</v>
      </c>
      <c r="CU141" s="268">
        <f>CT141</f>
        <v>1440</v>
      </c>
      <c r="CV141" s="268">
        <f>CU141</f>
        <v>1440</v>
      </c>
      <c r="CW141" s="268">
        <f>CV141</f>
        <v>1440</v>
      </c>
      <c r="CX141" s="268">
        <f>CW141</f>
        <v>1440</v>
      </c>
      <c r="CY141" s="268">
        <f>CX141</f>
        <v>1440</v>
      </c>
    </row>
    <row r="142" hidden="1" outlineLevel="1" ht="12.75" customHeight="1" s="255">
      <c r="C142" s="314" t="inlineStr">
        <is>
          <t>%(Var.)</t>
        </is>
      </c>
      <c r="D142" s="268" t="n"/>
      <c r="E142" s="296" t="str">
        <f>IFERROR((E141-D141)/D141,"")</f>
        <v/>
      </c>
      <c r="F142" s="296" t="str">
        <f>IFERROR((F141-E141)/E141,"")</f>
        <v/>
      </c>
      <c r="G142" s="296" t="str">
        <f>IFERROR((G141-F141)/F141,"")</f>
        <v/>
      </c>
      <c r="H142" s="268" t="n"/>
      <c r="I142" s="296" t="str">
        <f>IFERROR((I141-H141)/H141,"")</f>
        <v/>
      </c>
      <c r="J142" s="296" t="str">
        <f>IFERROR((J141-I141)/I141,"")</f>
        <v/>
      </c>
      <c r="K142" s="296" t="str">
        <f>IFERROR((K141-J141)/J141,"")</f>
        <v/>
      </c>
      <c r="L142" s="296" t="str">
        <f>IFERROR((L141-K141)/K141,"")</f>
        <v/>
      </c>
      <c r="M142" s="268" t="n"/>
      <c r="N142" s="296" t="str">
        <f>IFERROR((N141-M141)/M141,"")</f>
        <v/>
      </c>
      <c r="O142" s="296" t="str">
        <f>IFERROR((O141-N141)/N141,"")</f>
        <v/>
      </c>
      <c r="P142" s="296" t="str">
        <f>IFERROR((P141-O141)/O141,"")</f>
        <v/>
      </c>
      <c r="Q142" s="296" t="str">
        <f>IFERROR((Q141-P141)/P141,"")</f>
        <v/>
      </c>
      <c r="R142" s="268" t="n"/>
      <c r="S142" s="296" t="str">
        <f>IFERROR((S141-R141)/R141,"")</f>
        <v/>
      </c>
      <c r="T142" s="296" t="str">
        <f>IFERROR((T141-S141)/S141,"")</f>
        <v/>
      </c>
      <c r="U142" s="296" t="str">
        <f>IFERROR((U141-T141)/T141,"")</f>
        <v/>
      </c>
      <c r="V142" s="296" t="str">
        <f>IFERROR((V141-U141)/U141,"")</f>
        <v/>
      </c>
      <c r="W142" s="268" t="n"/>
      <c r="X142" s="296" t="str">
        <f>IFERROR((X141-W141)/W141,"")</f>
        <v/>
      </c>
      <c r="Y142" s="296" t="str">
        <f>IFERROR((Y141-X141)/X141,"")</f>
        <v/>
      </c>
      <c r="Z142" s="296" t="str">
        <f>IFERROR((Z141-Y141)/Y141,"")</f>
        <v/>
      </c>
      <c r="AA142" s="296" t="str">
        <f>IFERROR((AA141-Z141)/Z141,"")</f>
        <v/>
      </c>
      <c r="AB142" s="268" t="n"/>
      <c r="AC142" s="296">
        <f>IFERROR((AC141-AB141)/AB141,"")</f>
        <v>4.56104298903635</v>
      </c>
      <c r="AD142" s="296">
        <f>IFERROR((AD141-AC141)/AC141,"")</f>
        <v>0.114683462540679</v>
      </c>
      <c r="AE142" s="296">
        <f>IFERROR((AE141-AD141)/AD141,"")</f>
        <v>0.315107481714029</v>
      </c>
      <c r="AF142" s="311">
        <f>IFERROR((AF141-AE141)/AE141,"")</f>
        <v>0.0245919770378144</v>
      </c>
      <c r="AG142" s="268" t="n"/>
      <c r="AH142" s="268">
        <f>IFERROR((AH141-AG141)/AG141,"")</f>
        <v>0.0561312607944732</v>
      </c>
      <c r="AI142" s="268">
        <f>IFERROR((AI141-AH141)/AH141,"")</f>
        <v>0.177432542927228</v>
      </c>
      <c r="AJ142" s="268" t="n"/>
      <c r="AK142" s="268" t="n"/>
      <c r="AL142" s="268" t="n"/>
      <c r="AM142" s="268" t="n"/>
      <c r="AN142" s="268" t="n"/>
      <c r="AO142" s="268" t="n"/>
      <c r="AP142" s="268" t="n"/>
      <c r="AQ142" s="268" t="n"/>
      <c r="AR142" s="268" t="n"/>
      <c r="AS142" s="268" t="n"/>
      <c r="AT142" s="268" t="n"/>
      <c r="AU142" s="268" t="n"/>
      <c r="AV142" s="268" t="n"/>
      <c r="AW142" s="268" t="n"/>
      <c r="AX142" s="268" t="n"/>
      <c r="AY142" s="268" t="n"/>
      <c r="AZ142" s="268" t="n"/>
      <c r="BA142" s="268" t="n"/>
      <c r="BB142" s="268" t="n"/>
      <c r="BC142" s="268" t="n"/>
      <c r="BD142" s="268" t="n"/>
      <c r="BE142" s="268" t="n"/>
      <c r="BF142" s="268" t="n"/>
      <c r="BG142" s="268" t="n"/>
      <c r="BH142" s="268" t="n"/>
      <c r="BI142" s="268" t="n"/>
      <c r="BJ142" s="268" t="n"/>
      <c r="BK142" s="268" t="n"/>
      <c r="BL142" s="268" t="n"/>
      <c r="BM142" s="268" t="n"/>
      <c r="BN142" s="268" t="n"/>
      <c r="BO142" s="268" t="n"/>
      <c r="BP142" s="268" t="n"/>
      <c r="BQ142" s="268" t="n"/>
      <c r="BR142" s="268" t="n"/>
      <c r="BS142" s="268" t="n"/>
      <c r="BT142" s="268" t="n"/>
      <c r="BU142" s="268" t="n"/>
      <c r="BV142" s="268" t="n"/>
      <c r="BW142" s="268" t="n"/>
      <c r="BX142" s="268" t="n"/>
      <c r="BY142" s="268" t="n"/>
      <c r="BZ142" s="268" t="n"/>
      <c r="CA142" s="268" t="n"/>
      <c r="CB142" s="268" t="n"/>
      <c r="CC142" s="268" t="n"/>
      <c r="CD142" s="268" t="n"/>
      <c r="CE142" s="268" t="n"/>
      <c r="CF142" s="268" t="n"/>
      <c r="CG142" s="268" t="n"/>
      <c r="CH142" s="268" t="n"/>
      <c r="CI142" s="268" t="n"/>
      <c r="CJ142" s="268" t="n"/>
      <c r="CK142" s="268" t="n"/>
      <c r="CL142" s="268" t="n"/>
      <c r="CM142" s="268" t="n"/>
      <c r="CN142" s="268" t="n"/>
      <c r="CO142" s="268" t="n"/>
      <c r="CP142" s="268" t="n"/>
      <c r="CQ142" s="268" t="n"/>
      <c r="CR142" s="268" t="n"/>
      <c r="CS142" s="268" t="n"/>
      <c r="CT142" s="268" t="n"/>
      <c r="CU142" s="268" t="n"/>
      <c r="CV142" s="268" t="n"/>
      <c r="CW142" s="268" t="n"/>
      <c r="CX142" s="268" t="n"/>
      <c r="CY142" s="268" t="n"/>
    </row>
    <row r="143" hidden="1" outlineLevel="1" ht="12.75" customHeight="1" s="255">
      <c r="C143" s="312" t="n"/>
      <c r="D143" s="268" t="n"/>
      <c r="E143" s="296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  <c r="Y143" s="268" t="n"/>
      <c r="Z143" s="268" t="n"/>
      <c r="AA143" s="268" t="n"/>
      <c r="AB143" s="268" t="n"/>
      <c r="AC143" s="268" t="n"/>
      <c r="AD143" s="268" t="n"/>
      <c r="AE143" s="268" t="n"/>
      <c r="AF143" s="268" t="n"/>
      <c r="AG143" s="268" t="n"/>
      <c r="AH143" s="268" t="n"/>
      <c r="AI143" s="268" t="n"/>
      <c r="AJ143" s="268" t="n"/>
      <c r="AK143" s="268" t="n"/>
      <c r="AL143" s="268" t="n"/>
      <c r="AM143" s="268" t="n"/>
      <c r="AN143" s="268" t="n"/>
      <c r="AO143" s="268" t="n"/>
      <c r="AP143" s="268" t="n"/>
      <c r="AQ143" s="268" t="n"/>
      <c r="AR143" s="268" t="n"/>
      <c r="AS143" s="268" t="n"/>
      <c r="AT143" s="268" t="n"/>
      <c r="AU143" s="268" t="n"/>
      <c r="AV143" s="268" t="n"/>
      <c r="AW143" s="268" t="n"/>
      <c r="AX143" s="268" t="n"/>
      <c r="AY143" s="268" t="n"/>
      <c r="AZ143" s="268" t="n"/>
      <c r="BA143" s="268" t="n"/>
      <c r="BB143" s="268" t="n"/>
      <c r="BC143" s="268" t="n"/>
      <c r="BD143" s="268" t="n"/>
      <c r="BE143" s="268" t="n"/>
      <c r="BF143" s="268" t="n"/>
      <c r="BG143" s="268" t="n"/>
      <c r="BH143" s="268" t="n"/>
      <c r="BI143" s="268" t="n"/>
      <c r="BJ143" s="268" t="n"/>
      <c r="BK143" s="268" t="n"/>
      <c r="BL143" s="268" t="n"/>
      <c r="BM143" s="268" t="n"/>
      <c r="BN143" s="268" t="n"/>
      <c r="BO143" s="268" t="n"/>
      <c r="BP143" s="268" t="n"/>
      <c r="BQ143" s="268" t="n"/>
      <c r="BR143" s="268" t="n"/>
      <c r="BS143" s="268" t="n"/>
      <c r="BT143" s="268" t="n"/>
      <c r="BU143" s="268" t="n"/>
      <c r="BV143" s="268" t="n"/>
      <c r="BW143" s="268" t="n"/>
      <c r="BX143" s="268" t="n"/>
      <c r="BY143" s="268" t="n"/>
      <c r="BZ143" s="268" t="n"/>
      <c r="CA143" s="268" t="n"/>
      <c r="CB143" s="268" t="n"/>
      <c r="CC143" s="268" t="n"/>
      <c r="CD143" s="268" t="n"/>
      <c r="CE143" s="268" t="n"/>
      <c r="CF143" s="268" t="n"/>
      <c r="CG143" s="268" t="n"/>
      <c r="CH143" s="268" t="n"/>
      <c r="CI143" s="268" t="n"/>
      <c r="CJ143" s="268" t="n"/>
      <c r="CK143" s="268" t="n"/>
      <c r="CL143" s="268" t="n"/>
      <c r="CM143" s="268" t="n"/>
      <c r="CN143" s="268" t="n"/>
      <c r="CO143" s="268" t="n"/>
      <c r="CP143" s="268" t="n"/>
      <c r="CQ143" s="268" t="n"/>
      <c r="CR143" s="268" t="n"/>
      <c r="CS143" s="268" t="n"/>
      <c r="CT143" s="268" t="n"/>
      <c r="CU143" s="268" t="n"/>
      <c r="CV143" s="268" t="n"/>
      <c r="CW143" s="268" t="n"/>
      <c r="CX143" s="268" t="n"/>
      <c r="CY143" s="268" t="n"/>
    </row>
    <row r="144" hidden="1" outlineLevel="1" ht="12.75" customHeight="1" s="255">
      <c r="C144" s="315" t="inlineStr">
        <is>
          <t xml:space="preserve">Impostos e Contribuições a Recuperar </t>
        </is>
      </c>
      <c r="D144" s="267" t="n"/>
      <c r="E144" s="267" t="n"/>
      <c r="F144" s="267" t="n"/>
      <c r="G144" s="267" t="n"/>
      <c r="H144" s="268" t="n"/>
      <c r="I144" s="267" t="n"/>
      <c r="J144" s="267" t="n"/>
      <c r="K144" s="267" t="n"/>
      <c r="L144" s="267" t="n"/>
      <c r="M144" s="268" t="n"/>
      <c r="N144" s="267" t="n"/>
      <c r="O144" s="267" t="n"/>
      <c r="P144" s="267" t="n"/>
      <c r="Q144" s="267" t="n"/>
      <c r="R144" s="268" t="n"/>
      <c r="S144" s="267" t="n"/>
      <c r="T144" s="267" t="n"/>
      <c r="U144" s="267" t="n"/>
      <c r="V144" s="267" t="n"/>
      <c r="W144" s="268" t="n"/>
      <c r="X144" s="267" t="n"/>
      <c r="Y144" s="267" t="n"/>
      <c r="Z144" s="267" t="n"/>
      <c r="AA144" s="267" t="n"/>
      <c r="AB144" s="268" t="n"/>
      <c r="AC144" s="267" t="n"/>
      <c r="AD144" s="267" t="n"/>
      <c r="AE144" s="267" t="n"/>
      <c r="AF144" s="267" t="n"/>
      <c r="AG144" s="268">
        <f>AF144</f>
        <v>0</v>
      </c>
      <c r="AH144" s="316">
        <f>AG144*AH15/AG15</f>
        <v>0</v>
      </c>
      <c r="AI144" s="316">
        <f>AH144*AI15/AH15</f>
        <v>0</v>
      </c>
      <c r="AJ144" s="316">
        <f>AI144*AJ15/AI15</f>
        <v>0</v>
      </c>
      <c r="AK144" s="316">
        <f>AJ144*AK15/AJ15</f>
        <v>0</v>
      </c>
      <c r="AL144" s="268">
        <f>AK144</f>
        <v>0</v>
      </c>
      <c r="AM144" s="268" t="n"/>
      <c r="AN144" s="268" t="n"/>
      <c r="AO144" s="268" t="n"/>
      <c r="AP144" s="268" t="n"/>
      <c r="AQ144" s="268" t="n"/>
      <c r="AR144" s="268" t="n"/>
      <c r="AS144" s="268" t="n"/>
      <c r="AT144" s="268" t="n"/>
      <c r="AU144" s="268" t="n"/>
      <c r="AV144" s="268" t="n"/>
      <c r="AW144" s="268" t="n"/>
      <c r="AX144" s="268" t="n"/>
      <c r="AY144" s="268" t="n"/>
      <c r="AZ144" s="268" t="n"/>
      <c r="BA144" s="268" t="n"/>
      <c r="BB144" s="268" t="n"/>
      <c r="BC144" s="268" t="n"/>
      <c r="BD144" s="268" t="n"/>
      <c r="BE144" s="268" t="n"/>
      <c r="BF144" s="268" t="n"/>
      <c r="BG144" s="268" t="n"/>
      <c r="BH144" s="268" t="n"/>
      <c r="BI144" s="268" t="n"/>
      <c r="BJ144" s="268" t="n"/>
      <c r="BK144" s="268" t="n"/>
      <c r="BL144" s="268" t="n"/>
      <c r="BM144" s="268" t="n"/>
      <c r="BN144" s="268" t="n"/>
      <c r="BO144" s="268" t="n"/>
      <c r="BP144" s="268" t="n"/>
      <c r="BQ144" s="268" t="n"/>
      <c r="BR144" s="268" t="n"/>
      <c r="BS144" s="268" t="n"/>
      <c r="BT144" s="268" t="n"/>
      <c r="BU144" s="268" t="n"/>
      <c r="BV144" s="268" t="n"/>
      <c r="BW144" s="268" t="n"/>
      <c r="BX144" s="268" t="n"/>
      <c r="BY144" s="268" t="n"/>
      <c r="BZ144" s="268" t="n"/>
      <c r="CA144" s="268" t="n"/>
      <c r="CB144" s="268" t="n"/>
      <c r="CC144" s="268" t="n"/>
      <c r="CD144" s="268" t="n"/>
      <c r="CE144" s="268" t="n"/>
      <c r="CF144" s="268" t="n"/>
      <c r="CG144" s="268" t="n"/>
      <c r="CH144" s="268" t="n"/>
      <c r="CI144" s="268" t="n"/>
      <c r="CJ144" s="268" t="n"/>
      <c r="CK144" s="268" t="n"/>
      <c r="CL144" s="268" t="n"/>
      <c r="CM144" s="268" t="n"/>
      <c r="CN144" s="268" t="n"/>
      <c r="CO144" s="268" t="n"/>
      <c r="CP144" s="268" t="n"/>
      <c r="CQ144" s="268" t="n"/>
      <c r="CR144" s="268" t="n"/>
      <c r="CS144" s="268" t="n"/>
      <c r="CT144" s="268" t="n"/>
      <c r="CU144" s="268" t="n"/>
      <c r="CV144" s="268" t="n"/>
      <c r="CW144" s="268" t="n"/>
      <c r="CX144" s="268" t="n"/>
      <c r="CY144" s="268" t="n"/>
    </row>
    <row r="145" hidden="1" outlineLevel="1" ht="12.75" customHeight="1" s="255">
      <c r="C145" s="315" t="inlineStr">
        <is>
          <t>Outros Créditos</t>
        </is>
      </c>
      <c r="D145" s="267" t="n"/>
      <c r="E145" s="267" t="n"/>
      <c r="F145" s="267" t="n"/>
      <c r="G145" s="267" t="n"/>
      <c r="H145" s="268" t="n"/>
      <c r="I145" s="267" t="n"/>
      <c r="J145" s="267" t="n"/>
      <c r="K145" s="267" t="n"/>
      <c r="L145" s="267" t="n"/>
      <c r="M145" s="268" t="n"/>
      <c r="N145" s="267" t="n"/>
      <c r="O145" s="267" t="n"/>
      <c r="P145" s="267" t="n"/>
      <c r="Q145" s="267" t="n"/>
      <c r="R145" s="268" t="n"/>
      <c r="S145" s="267" t="n"/>
      <c r="T145" s="267" t="n"/>
      <c r="U145" s="267" t="n"/>
      <c r="V145" s="267" t="n"/>
      <c r="W145" s="268" t="n"/>
      <c r="X145" s="267" t="n"/>
      <c r="Y145" s="267" t="n"/>
      <c r="Z145" s="267" t="n"/>
      <c r="AA145" s="267" t="n"/>
      <c r="AB145" s="268" t="n"/>
      <c r="AC145" s="267" t="n"/>
      <c r="AD145" s="267" t="n"/>
      <c r="AE145" s="267" t="n"/>
      <c r="AF145" s="267" t="n"/>
      <c r="AG145" s="268">
        <f>AF145</f>
        <v>0</v>
      </c>
      <c r="AH145" s="268">
        <f>AG145</f>
        <v>0</v>
      </c>
      <c r="AI145" s="268">
        <f>AH145</f>
        <v>0</v>
      </c>
      <c r="AJ145" s="268">
        <f>AI145</f>
        <v>0</v>
      </c>
      <c r="AK145" s="268">
        <f>AJ145</f>
        <v>0</v>
      </c>
      <c r="AL145" s="268">
        <f>AK145</f>
        <v>0</v>
      </c>
      <c r="AM145" s="268" t="n"/>
      <c r="AN145" s="268" t="n"/>
      <c r="AO145" s="268" t="n"/>
      <c r="AP145" s="268" t="n"/>
      <c r="AQ145" s="268" t="n"/>
      <c r="AR145" s="268" t="n"/>
      <c r="AS145" s="268" t="n"/>
      <c r="AT145" s="268" t="n"/>
      <c r="AU145" s="268" t="n"/>
      <c r="AV145" s="268" t="n"/>
      <c r="AW145" s="268" t="n"/>
      <c r="AX145" s="268" t="n"/>
      <c r="AY145" s="268" t="n"/>
      <c r="AZ145" s="268" t="n"/>
      <c r="BA145" s="268" t="n"/>
      <c r="BB145" s="268" t="n"/>
      <c r="BC145" s="268" t="n"/>
      <c r="BD145" s="268" t="n"/>
      <c r="BE145" s="268" t="n"/>
      <c r="BF145" s="268" t="n"/>
      <c r="BG145" s="268" t="n"/>
      <c r="BH145" s="268" t="n"/>
      <c r="BI145" s="268" t="n"/>
      <c r="BJ145" s="268" t="n"/>
      <c r="BK145" s="268" t="n"/>
      <c r="BL145" s="268" t="n"/>
      <c r="BM145" s="268" t="n"/>
      <c r="BN145" s="268" t="n"/>
      <c r="BO145" s="268" t="n"/>
      <c r="BP145" s="268" t="n"/>
      <c r="BQ145" s="268" t="n"/>
      <c r="BR145" s="268" t="n"/>
      <c r="BS145" s="268" t="n"/>
      <c r="BT145" s="268" t="n"/>
      <c r="BU145" s="268" t="n"/>
      <c r="BV145" s="268" t="n"/>
      <c r="BW145" s="268" t="n"/>
      <c r="BX145" s="268" t="n"/>
      <c r="BY145" s="268" t="n"/>
      <c r="BZ145" s="268" t="n"/>
      <c r="CA145" s="268" t="n"/>
      <c r="CB145" s="268" t="n"/>
      <c r="CC145" s="268" t="n"/>
      <c r="CD145" s="268" t="n"/>
      <c r="CE145" s="268" t="n"/>
      <c r="CF145" s="268" t="n"/>
      <c r="CG145" s="268" t="n"/>
      <c r="CH145" s="268" t="n"/>
      <c r="CI145" s="268" t="n"/>
      <c r="CJ145" s="268" t="n"/>
      <c r="CK145" s="268" t="n"/>
      <c r="CL145" s="268" t="n"/>
      <c r="CM145" s="268" t="n"/>
      <c r="CN145" s="268" t="n"/>
      <c r="CO145" s="268" t="n"/>
      <c r="CP145" s="268" t="n"/>
      <c r="CQ145" s="268" t="n"/>
      <c r="CR145" s="268" t="n"/>
      <c r="CS145" s="268" t="n"/>
      <c r="CT145" s="268" t="n"/>
      <c r="CU145" s="268" t="n"/>
      <c r="CV145" s="268" t="n"/>
      <c r="CW145" s="268" t="n"/>
      <c r="CX145" s="268" t="n"/>
      <c r="CY145" s="268" t="n"/>
    </row>
    <row r="146" hidden="1" outlineLevel="1" ht="12.75" customHeight="1" s="255">
      <c r="C146" s="312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  <c r="Y146" s="268" t="n"/>
      <c r="Z146" s="268" t="n"/>
      <c r="AA146" s="268" t="n"/>
      <c r="AB146" s="268" t="n"/>
      <c r="AC146" s="268" t="n"/>
      <c r="AD146" s="268" t="n"/>
      <c r="AE146" s="268" t="n"/>
      <c r="AF146" s="268" t="n"/>
      <c r="AG146" s="268" t="n"/>
      <c r="AH146" s="268" t="n"/>
      <c r="AI146" s="268" t="n"/>
      <c r="AJ146" s="268" t="n"/>
      <c r="AK146" s="268" t="n"/>
      <c r="AL146" s="268" t="n"/>
      <c r="AM146" s="268" t="n"/>
      <c r="AN146" s="268" t="n"/>
      <c r="AO146" s="268" t="n"/>
      <c r="AP146" s="268" t="n"/>
      <c r="AQ146" s="268" t="n"/>
      <c r="AR146" s="268" t="n"/>
      <c r="AS146" s="268" t="n"/>
      <c r="AT146" s="268" t="n"/>
      <c r="AU146" s="268" t="n"/>
      <c r="AV146" s="268" t="n"/>
      <c r="AW146" s="268" t="n"/>
      <c r="AX146" s="268" t="n"/>
      <c r="AY146" s="268" t="n"/>
      <c r="AZ146" s="268" t="n"/>
      <c r="BA146" s="268" t="n"/>
      <c r="BB146" s="268" t="n"/>
      <c r="BC146" s="268" t="n"/>
      <c r="BD146" s="268" t="n"/>
      <c r="BE146" s="268" t="n"/>
      <c r="BF146" s="268" t="n"/>
      <c r="BG146" s="268" t="n"/>
      <c r="BH146" s="268" t="n"/>
      <c r="BI146" s="268" t="n"/>
      <c r="BJ146" s="268" t="n"/>
      <c r="BK146" s="268" t="n"/>
      <c r="BL146" s="268" t="n"/>
      <c r="BM146" s="268" t="n"/>
      <c r="BN146" s="268" t="n"/>
      <c r="BO146" s="268" t="n"/>
      <c r="BP146" s="268" t="n"/>
      <c r="BQ146" s="268" t="n"/>
      <c r="BR146" s="268" t="n"/>
      <c r="BS146" s="268" t="n"/>
      <c r="BT146" s="268" t="n"/>
      <c r="BU146" s="268" t="n"/>
      <c r="BV146" s="268" t="n"/>
      <c r="BW146" s="268" t="n"/>
      <c r="BX146" s="268" t="n"/>
      <c r="BY146" s="268" t="n"/>
      <c r="BZ146" s="268" t="n"/>
      <c r="CA146" s="268" t="n"/>
      <c r="CB146" s="268" t="n"/>
      <c r="CC146" s="268" t="n"/>
      <c r="CD146" s="268" t="n"/>
      <c r="CE146" s="268" t="n"/>
      <c r="CF146" s="268" t="n"/>
      <c r="CG146" s="268" t="n"/>
      <c r="CH146" s="268" t="n"/>
      <c r="CI146" s="268" t="n"/>
      <c r="CJ146" s="268" t="n"/>
      <c r="CK146" s="268" t="n"/>
      <c r="CL146" s="268" t="n"/>
      <c r="CM146" s="268" t="n"/>
      <c r="CN146" s="268" t="n"/>
      <c r="CO146" s="268" t="n"/>
      <c r="CP146" s="268" t="n"/>
      <c r="CQ146" s="268" t="n"/>
      <c r="CR146" s="268" t="n"/>
      <c r="CS146" s="268" t="n"/>
      <c r="CT146" s="268" t="n"/>
      <c r="CU146" s="268" t="n"/>
      <c r="CV146" s="268" t="n"/>
      <c r="CW146" s="268" t="n"/>
      <c r="CX146" s="268" t="n"/>
      <c r="CY146" s="268" t="n"/>
    </row>
    <row r="147" ht="12.75" customHeight="1" s="255">
      <c r="C147" s="270" t="inlineStr">
        <is>
          <t>Equity in affiliates</t>
        </is>
      </c>
      <c r="D147" s="301">
        <f>INDEX('Inputs (2)'!$D$21:$AL$21,MATCH(D$7,'Inputs (2)'!$D$2:$AL$2,0))</f>
        <v>0</v>
      </c>
      <c r="E147" s="301">
        <f>INDEX('Inputs (2)'!$D$21:$AL$21,MATCH(E$7,'Inputs (2)'!$D$2:$AL$2,0))</f>
        <v>0</v>
      </c>
      <c r="F147" s="301">
        <f>INDEX('Inputs (2)'!$D$21:$AL$21,MATCH(F$7,'Inputs (2)'!$D$2:$AL$2,0))</f>
        <v>0</v>
      </c>
      <c r="G147" s="301">
        <f>INDEX('Inputs (2)'!$D$21:$AL$21,MATCH(G$7,'Inputs (2)'!$D$2:$AL$2,0))</f>
        <v>0</v>
      </c>
      <c r="H147" s="268">
        <f>G147</f>
        <v>0</v>
      </c>
      <c r="I147" s="301">
        <f>INDEX('Inputs (2)'!$D$21:$AL$21,MATCH(I$7,'Inputs (2)'!$D$2:$AL$2,0))</f>
        <v>0</v>
      </c>
      <c r="J147" s="301">
        <f>INDEX('Inputs (2)'!$D$21:$AL$21,MATCH(J$7,'Inputs (2)'!$D$2:$AL$2,0))</f>
        <v>0</v>
      </c>
      <c r="K147" s="301">
        <f>INDEX('Inputs (2)'!$D$21:$AL$21,MATCH(K$7,'Inputs (2)'!$D$2:$AL$2,0))</f>
        <v>0</v>
      </c>
      <c r="L147" s="301">
        <f>INDEX('Inputs (2)'!$D$21:$AL$21,MATCH(L$7,'Inputs (2)'!$D$2:$AL$2,0))</f>
        <v>0</v>
      </c>
      <c r="M147" s="268">
        <f>L147</f>
        <v>0</v>
      </c>
      <c r="N147" s="301">
        <f>INDEX('Inputs (2)'!$D$21:$AL$21,MATCH(N$7,'Inputs (2)'!$D$2:$AL$2,0))</f>
        <v>0</v>
      </c>
      <c r="O147" s="301">
        <f>INDEX('Inputs (2)'!$D$21:$AL$21,MATCH(O$7,'Inputs (2)'!$D$2:$AL$2,0))</f>
        <v>0</v>
      </c>
      <c r="P147" s="301">
        <f>INDEX('Inputs (2)'!$D$21:$AL$21,MATCH(P$7,'Inputs (2)'!$D$2:$AL$2,0))</f>
        <v>0</v>
      </c>
      <c r="Q147" s="301">
        <f>INDEX('Inputs (2)'!$D$21:$AL$21,MATCH(Q$7,'Inputs (2)'!$D$2:$AL$2,0))</f>
        <v>0</v>
      </c>
      <c r="R147" s="268">
        <f>Q147</f>
        <v>0</v>
      </c>
      <c r="S147" s="301">
        <f>INDEX('Inputs (2)'!$D$21:$AL$21,MATCH(S$7,'Inputs (2)'!$D$2:$AL$2,0))</f>
        <v>0</v>
      </c>
      <c r="T147" s="301">
        <f>INDEX('Inputs (2)'!$D$21:$AL$21,MATCH(T$7,'Inputs (2)'!$D$2:$AL$2,0))</f>
        <v>0</v>
      </c>
      <c r="U147" s="301">
        <f>INDEX('Inputs (2)'!$D$21:$AL$21,MATCH(U$7,'Inputs (2)'!$D$2:$AL$2,0))</f>
        <v>0</v>
      </c>
      <c r="V147" s="301">
        <f>INDEX('Inputs (2)'!$D$21:$AL$21,MATCH(V$7,'Inputs (2)'!$D$2:$AL$2,0))</f>
        <v>0</v>
      </c>
      <c r="W147" s="268">
        <f>V147</f>
        <v>0</v>
      </c>
      <c r="X147" s="301">
        <f>INDEX('Inputs (2)'!$D$21:$AL$21,MATCH(X$7,'Inputs (2)'!$D$2:$AL$2,0))</f>
        <v>0</v>
      </c>
      <c r="Y147" s="301">
        <f>INDEX('Inputs (2)'!$D$21:$AL$21,MATCH(Y$7,'Inputs (2)'!$D$2:$AL$2,0))</f>
        <v>0</v>
      </c>
      <c r="Z147" s="301">
        <f>INDEX('Inputs (2)'!$D$21:$AL$21,MATCH(Z$7,'Inputs (2)'!$D$2:$AL$2,0))</f>
        <v>0</v>
      </c>
      <c r="AA147" s="301">
        <f>INDEX('Inputs (2)'!$D$21:$AL$21,MATCH(AA$7,'Inputs (2)'!$D$2:$AL$2,0))</f>
        <v>0</v>
      </c>
      <c r="AB147" s="268">
        <f>AA147</f>
        <v>0</v>
      </c>
      <c r="AC147" s="301">
        <f>INDEX('Inputs (2)'!$D$21:$AL$21,MATCH(AC$7,'Inputs (2)'!$D$2:$AL$2,0))</f>
        <v>0</v>
      </c>
      <c r="AD147" s="301">
        <f>INDEX('Inputs (2)'!$D$21:$AL$21,MATCH(AD$7,'Inputs (2)'!$D$2:$AL$2,0))</f>
        <v>0</v>
      </c>
      <c r="AE147" s="301">
        <f>INDEX('Inputs (2)'!$D$21:$AL$21,MATCH(AE$7,'Inputs (2)'!$D$2:$AL$2,0))</f>
        <v>0</v>
      </c>
      <c r="AF147" s="301">
        <f>INDEX('Inputs (2)'!$D$21:$AL$21,MATCH(AF$7,'Inputs (2)'!$D$2:$AL$2,0))</f>
        <v>0</v>
      </c>
      <c r="AG147" s="268">
        <f>AF147</f>
        <v>0</v>
      </c>
      <c r="AH147" s="268">
        <f>INDEX('Inputs (2)'!$D$21:$AL$21,MATCH(AH$7,'Inputs (2)'!$D$2:$AL$2,0))</f>
        <v>0</v>
      </c>
      <c r="AI147" s="268">
        <f>INDEX('Inputs (2)'!$D$21:$AL$21,MATCH(AI$7,'Inputs (2)'!$D$2:$AL$2,0))</f>
        <v>0</v>
      </c>
      <c r="AJ147" s="268">
        <f>AI147+AJ121+AJ150</f>
        <v>0</v>
      </c>
      <c r="AK147" s="268">
        <f>AJ147+AK121+AK150</f>
        <v>0</v>
      </c>
      <c r="AL147" s="268">
        <f>AK147</f>
        <v>0</v>
      </c>
      <c r="AM147" s="268">
        <f>AL147+AM121+AM150</f>
        <v>0</v>
      </c>
      <c r="AN147" s="268">
        <f>AM147+AN121+AN150</f>
        <v>0</v>
      </c>
      <c r="AO147" s="268">
        <f>AN147+AO121+AO150</f>
        <v>0</v>
      </c>
      <c r="AP147" s="268">
        <f>AO147+AP121+AP150</f>
        <v>0</v>
      </c>
      <c r="AQ147" s="268">
        <f>AP147</f>
        <v>0</v>
      </c>
      <c r="AR147" s="268">
        <f>AQ147+AR121+AR150</f>
        <v>0</v>
      </c>
      <c r="AS147" s="268">
        <f>AR147+AS121+AS150</f>
        <v>0</v>
      </c>
      <c r="AT147" s="268">
        <f>AS147+AT121+AT150</f>
        <v>0</v>
      </c>
      <c r="AU147" s="268">
        <f>AT147+AU121+AU150</f>
        <v>0</v>
      </c>
      <c r="AV147" s="268">
        <f>AU147</f>
        <v>0</v>
      </c>
      <c r="AW147" s="268">
        <f>AV147+AW121+AW150</f>
        <v>0</v>
      </c>
      <c r="AX147" s="268">
        <f>AW147+AX121+AX150</f>
        <v>0</v>
      </c>
      <c r="AY147" s="268">
        <f>AX147+AY121+AY150</f>
        <v>0</v>
      </c>
      <c r="AZ147" s="268">
        <f>AY147+AZ121+AZ150</f>
        <v>0</v>
      </c>
      <c r="BA147" s="268">
        <f>AZ147</f>
        <v>0</v>
      </c>
      <c r="BB147" s="268">
        <f>BA147+BB121+BB150</f>
        <v>0</v>
      </c>
      <c r="BC147" s="268">
        <f>BB147+BC121+BC150</f>
        <v>0</v>
      </c>
      <c r="BD147" s="268">
        <f>BC147+BD121+BD150</f>
        <v>0</v>
      </c>
      <c r="BE147" s="268">
        <f>BD147+BE121+BE150</f>
        <v>0</v>
      </c>
      <c r="BF147" s="268">
        <f>BE147</f>
        <v>0</v>
      </c>
      <c r="BG147" s="268">
        <f>BF147+BG121+BG150</f>
        <v>0</v>
      </c>
      <c r="BH147" s="268">
        <f>BG147+BH121+BH150</f>
        <v>0</v>
      </c>
      <c r="BI147" s="268">
        <f>BH147+BI121+BI150</f>
        <v>0</v>
      </c>
      <c r="BJ147" s="268">
        <f>BI147+BJ121+BJ150</f>
        <v>0</v>
      </c>
      <c r="BK147" s="268">
        <f>BJ147</f>
        <v>0</v>
      </c>
      <c r="BL147" s="268">
        <f>BK147+BL121+BL150</f>
        <v>0</v>
      </c>
      <c r="BM147" s="268">
        <f>BL147+BM121+BM150</f>
        <v>0</v>
      </c>
      <c r="BN147" s="268">
        <f>BM147+BN121+BN150</f>
        <v>0</v>
      </c>
      <c r="BO147" s="268">
        <f>BN147+BO121+BO150</f>
        <v>0</v>
      </c>
      <c r="BP147" s="268">
        <f>BO147</f>
        <v>0</v>
      </c>
      <c r="BQ147" s="268">
        <f>BP147+BQ121+BQ150</f>
        <v>0</v>
      </c>
      <c r="BR147" s="268">
        <f>BQ147+BR121+BR150</f>
        <v>0</v>
      </c>
      <c r="BS147" s="268">
        <f>BR147+BS121+BS150</f>
        <v>0</v>
      </c>
      <c r="BT147" s="268">
        <f>BS147+BT121+BT150</f>
        <v>0</v>
      </c>
      <c r="BU147" s="268">
        <f>BT147</f>
        <v>0</v>
      </c>
      <c r="BV147" s="268">
        <f>BU147+BV121+BV150</f>
        <v>0</v>
      </c>
      <c r="BW147" s="268">
        <f>BV147+BW121+BW150</f>
        <v>0</v>
      </c>
      <c r="BX147" s="268">
        <f>BW147+BX121+BX150</f>
        <v>0</v>
      </c>
      <c r="BY147" s="268">
        <f>BX147+BY121+BY150</f>
        <v>0</v>
      </c>
      <c r="BZ147" s="268">
        <f>BY147</f>
        <v>0</v>
      </c>
      <c r="CA147" s="268">
        <f>BZ147+CA121+CA150</f>
        <v>0</v>
      </c>
      <c r="CB147" s="268">
        <f>CA147+CB121+CB150</f>
        <v>0</v>
      </c>
      <c r="CC147" s="268">
        <f>CB147+CC121+CC150</f>
        <v>0</v>
      </c>
      <c r="CD147" s="268">
        <f>CC147+CD121+CD150</f>
        <v>0</v>
      </c>
      <c r="CE147" s="268">
        <f>CD147</f>
        <v>0</v>
      </c>
      <c r="CF147" s="268">
        <f>CE147+CF121+CF150</f>
        <v>0</v>
      </c>
      <c r="CG147" s="268">
        <f>CF147+CG121+CG150</f>
        <v>0</v>
      </c>
      <c r="CH147" s="268">
        <f>CG147+CH121+CH150</f>
        <v>0</v>
      </c>
      <c r="CI147" s="268">
        <f>CH147+CI121+CI150</f>
        <v>0</v>
      </c>
      <c r="CJ147" s="268">
        <f>CI147</f>
        <v>0</v>
      </c>
      <c r="CK147" s="268">
        <f>CJ147+CK121+CK150</f>
        <v>0</v>
      </c>
      <c r="CL147" s="268">
        <f>CK147+CL121+CL150</f>
        <v>0</v>
      </c>
      <c r="CM147" s="268">
        <f>CL147+CM121+CM150</f>
        <v>0</v>
      </c>
      <c r="CN147" s="268">
        <f>CM147+CN121+CN150</f>
        <v>0</v>
      </c>
      <c r="CO147" s="268">
        <f>CN147</f>
        <v>0</v>
      </c>
      <c r="CP147" s="268">
        <f>CO147+CP121+CP150</f>
        <v>0</v>
      </c>
      <c r="CQ147" s="268">
        <f>CP147+CQ121+CQ150</f>
        <v>0</v>
      </c>
      <c r="CR147" s="268">
        <f>CQ147+CR121+CR150</f>
        <v>0</v>
      </c>
      <c r="CS147" s="268">
        <f>CR147+CS121+CS150</f>
        <v>0</v>
      </c>
      <c r="CT147" s="268">
        <f>CS147</f>
        <v>0</v>
      </c>
      <c r="CU147" s="268">
        <f>CT147+CU121+CU150</f>
        <v>0</v>
      </c>
      <c r="CV147" s="268">
        <f>CU147+CV121+CV150</f>
        <v>0</v>
      </c>
      <c r="CW147" s="268">
        <f>CV147+CW121+CW150</f>
        <v>0</v>
      </c>
      <c r="CX147" s="268">
        <f>CW147+CX121+CX150</f>
        <v>0</v>
      </c>
      <c r="CY147" s="268">
        <f>CX147</f>
        <v>0</v>
      </c>
    </row>
    <row r="148" hidden="1" outlineLevel="1" ht="12.75" customHeight="1" s="255">
      <c r="C148" s="312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  <c r="Y148" s="268" t="n"/>
      <c r="Z148" s="268" t="n"/>
      <c r="AA148" s="268" t="n"/>
      <c r="AB148" s="268" t="n"/>
      <c r="AC148" s="268" t="n"/>
      <c r="AD148" s="268" t="n"/>
      <c r="AE148" s="268" t="n"/>
      <c r="AF148" s="268" t="n"/>
      <c r="AG148" s="268" t="n"/>
      <c r="AH148" s="268" t="n"/>
      <c r="AI148" s="268" t="n"/>
      <c r="AJ148" s="268" t="n"/>
      <c r="AK148" s="268" t="n"/>
      <c r="AL148" s="268" t="n"/>
      <c r="AM148" s="268" t="n"/>
      <c r="AN148" s="268" t="n"/>
      <c r="AO148" s="268" t="n"/>
      <c r="AP148" s="268" t="n"/>
      <c r="AQ148" s="268" t="n"/>
      <c r="AR148" s="268" t="n"/>
      <c r="AS148" s="268" t="n"/>
      <c r="AT148" s="268" t="n"/>
      <c r="AU148" s="268" t="n"/>
      <c r="AV148" s="268" t="n"/>
      <c r="AW148" s="268" t="n"/>
      <c r="AX148" s="268" t="n"/>
      <c r="AY148" s="268" t="n"/>
      <c r="AZ148" s="268" t="n"/>
      <c r="BA148" s="268" t="n"/>
      <c r="BB148" s="268" t="n"/>
      <c r="BC148" s="268" t="n"/>
      <c r="BD148" s="268" t="n"/>
      <c r="BE148" s="268" t="n"/>
      <c r="BF148" s="268" t="n"/>
      <c r="BG148" s="268" t="n"/>
      <c r="BH148" s="268" t="n"/>
      <c r="BI148" s="268" t="n"/>
      <c r="BJ148" s="268" t="n"/>
      <c r="BK148" s="268" t="n"/>
      <c r="BL148" s="268" t="n"/>
      <c r="BM148" s="268" t="n"/>
      <c r="BN148" s="268" t="n"/>
      <c r="BO148" s="268" t="n"/>
      <c r="BP148" s="268" t="n"/>
      <c r="BQ148" s="268" t="n"/>
      <c r="BR148" s="268" t="n"/>
      <c r="BS148" s="268" t="n"/>
      <c r="BT148" s="268" t="n"/>
      <c r="BU148" s="268" t="n"/>
      <c r="BV148" s="268" t="n"/>
      <c r="BW148" s="268" t="n"/>
      <c r="BX148" s="268" t="n"/>
      <c r="BY148" s="268" t="n"/>
      <c r="BZ148" s="268" t="n"/>
      <c r="CA148" s="268" t="n"/>
      <c r="CB148" s="268" t="n"/>
      <c r="CC148" s="268" t="n"/>
      <c r="CD148" s="268" t="n"/>
      <c r="CE148" s="268" t="n"/>
      <c r="CF148" s="268" t="n"/>
      <c r="CG148" s="268" t="n"/>
      <c r="CH148" s="268" t="n"/>
      <c r="CI148" s="268" t="n"/>
      <c r="CJ148" s="268" t="n"/>
      <c r="CK148" s="268" t="n"/>
      <c r="CL148" s="268" t="n"/>
      <c r="CM148" s="268" t="n"/>
      <c r="CN148" s="268" t="n"/>
      <c r="CO148" s="268" t="n"/>
      <c r="CP148" s="268" t="n"/>
      <c r="CQ148" s="268" t="n"/>
      <c r="CR148" s="268" t="n"/>
      <c r="CS148" s="268" t="n"/>
      <c r="CT148" s="268" t="n"/>
      <c r="CU148" s="268" t="n"/>
      <c r="CV148" s="268" t="n"/>
      <c r="CW148" s="268" t="n"/>
      <c r="CX148" s="268" t="n"/>
      <c r="CY148" s="268" t="n"/>
    </row>
    <row r="149" hidden="1" outlineLevel="1" ht="12.75" customHeight="1" s="255">
      <c r="C149" s="312" t="inlineStr">
        <is>
          <t>Equity in Income - % YoY</t>
        </is>
      </c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>
        <f>IF(I121=0,0,N121/I121-1)</f>
        <v>0</v>
      </c>
      <c r="O149" s="268">
        <f>IF(J121=0,0,O121/J121-1)</f>
        <v>0</v>
      </c>
      <c r="P149" s="268">
        <f>IF(K121=0,0,P121/K121-1)</f>
        <v>0</v>
      </c>
      <c r="Q149" s="268">
        <f>IF(L121=0,0,Q121/L121-1)</f>
        <v>0</v>
      </c>
      <c r="R149" s="268" t="n"/>
      <c r="S149" s="268">
        <f>IF(N121=0,0,S121/N121-1)</f>
        <v>0</v>
      </c>
      <c r="T149" s="268">
        <f>IF(O121=0,0,T121/O121-1)</f>
        <v>0</v>
      </c>
      <c r="U149" s="268">
        <f>IF(P121=0,0,U121/P121-1)</f>
        <v>0</v>
      </c>
      <c r="V149" s="268">
        <f>IF(Q121=0,0,V121/Q121-1)</f>
        <v>0</v>
      </c>
      <c r="W149" s="268" t="n"/>
      <c r="X149" s="268">
        <f>IF(S121=0,0,X121/S121-1)</f>
        <v>0</v>
      </c>
      <c r="Y149" s="268">
        <f>IF(T121=0,0,Y121/T121-1)</f>
        <v>0</v>
      </c>
      <c r="Z149" s="268">
        <f>IF(U121=0,0,Z121/U121-1)</f>
        <v>0</v>
      </c>
      <c r="AA149" s="268">
        <f>IF(V121=0,0,AA121/V121-1)</f>
        <v>0</v>
      </c>
      <c r="AB149" s="268" t="n"/>
      <c r="AC149" s="268">
        <f>IF(X121=0,0,AC121/X121-1)</f>
        <v>0</v>
      </c>
      <c r="AD149" s="268">
        <f>IF(Y121=0,0,AD121/Y121-1)</f>
        <v>0</v>
      </c>
      <c r="AE149" s="268">
        <f>IF(Z121=0,0,AE121/Z121-1)</f>
        <v>0</v>
      </c>
      <c r="AF149" s="268">
        <f>IF(AA121=0,0,AF121/AA121-1)</f>
        <v>0</v>
      </c>
      <c r="AG149" s="268" t="n"/>
      <c r="AH149" s="267">
        <f>IF(AC121=0,0,AH121/AC121-1)</f>
        <v>0</v>
      </c>
      <c r="AI149" s="267">
        <f>IF(AD121=0,0,AI121/AD121-1)</f>
        <v>0</v>
      </c>
      <c r="AJ149" s="267" t="n"/>
      <c r="AK149" s="267" t="n"/>
      <c r="AL149" s="268" t="n"/>
      <c r="AM149" s="267" t="n"/>
      <c r="AN149" s="267" t="n"/>
      <c r="AO149" s="267" t="n"/>
      <c r="AP149" s="267" t="n"/>
      <c r="AQ149" s="268" t="n"/>
      <c r="AR149" s="267" t="n"/>
      <c r="AS149" s="267" t="n"/>
      <c r="AT149" s="267" t="n"/>
      <c r="AU149" s="267" t="n"/>
      <c r="AV149" s="268" t="n"/>
      <c r="AW149" s="267" t="n"/>
      <c r="AX149" s="267" t="n"/>
      <c r="AY149" s="267" t="n"/>
      <c r="AZ149" s="267" t="n"/>
      <c r="BA149" s="268" t="n"/>
      <c r="BB149" s="267" t="n"/>
      <c r="BC149" s="267" t="n"/>
      <c r="BD149" s="267" t="n"/>
      <c r="BE149" s="267" t="n"/>
      <c r="BF149" s="268" t="n"/>
      <c r="BG149" s="267" t="n"/>
      <c r="BH149" s="267" t="n"/>
      <c r="BI149" s="267" t="n"/>
      <c r="BJ149" s="267" t="n"/>
      <c r="BK149" s="268" t="n"/>
      <c r="BL149" s="267" t="n"/>
      <c r="BM149" s="267" t="n"/>
      <c r="BN149" s="267" t="n"/>
      <c r="BO149" s="267" t="n"/>
      <c r="BP149" s="268" t="n"/>
      <c r="BQ149" s="267" t="n"/>
      <c r="BR149" s="267" t="n"/>
      <c r="BS149" s="267" t="n"/>
      <c r="BT149" s="267" t="n"/>
      <c r="BU149" s="268" t="n"/>
      <c r="BV149" s="267" t="n"/>
      <c r="BW149" s="267" t="n"/>
      <c r="BX149" s="267" t="n"/>
      <c r="BY149" s="267" t="n"/>
      <c r="BZ149" s="268" t="n"/>
      <c r="CA149" s="267" t="n"/>
      <c r="CB149" s="267" t="n"/>
      <c r="CC149" s="267" t="n"/>
      <c r="CD149" s="267" t="n"/>
      <c r="CE149" s="268" t="n"/>
      <c r="CF149" s="267" t="n"/>
      <c r="CG149" s="267" t="n"/>
      <c r="CH149" s="267" t="n"/>
      <c r="CI149" s="267" t="n"/>
      <c r="CJ149" s="268" t="n"/>
      <c r="CK149" s="267" t="n"/>
      <c r="CL149" s="267" t="n"/>
      <c r="CM149" s="267" t="n"/>
      <c r="CN149" s="267" t="n"/>
      <c r="CO149" s="268" t="n"/>
      <c r="CP149" s="267" t="n"/>
      <c r="CQ149" s="267" t="n"/>
      <c r="CR149" s="267" t="n"/>
      <c r="CS149" s="267" t="n"/>
      <c r="CT149" s="268" t="n"/>
      <c r="CU149" s="267" t="n"/>
      <c r="CV149" s="267" t="n"/>
      <c r="CW149" s="267" t="n"/>
      <c r="CX149" s="267" t="n"/>
      <c r="CY149" s="268" t="n"/>
    </row>
    <row r="150" hidden="1" outlineLevel="1" ht="12.75" customHeight="1" s="255">
      <c r="C150" s="312" t="inlineStr">
        <is>
          <t>Dividends (enter as -)</t>
        </is>
      </c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  <c r="Y150" s="268" t="n"/>
      <c r="Z150" s="268" t="n"/>
      <c r="AA150" s="268" t="n"/>
      <c r="AB150" s="268" t="n"/>
      <c r="AC150" s="268" t="n"/>
      <c r="AD150" s="268" t="n"/>
      <c r="AE150" s="268" t="n"/>
      <c r="AF150" s="268" t="n"/>
      <c r="AG150" s="268" t="n"/>
      <c r="AH150" s="267" t="n"/>
      <c r="AI150" s="267" t="n"/>
      <c r="AJ150" s="267" t="n"/>
      <c r="AK150" s="267" t="n"/>
      <c r="AL150" s="268" t="n"/>
      <c r="AM150" s="267" t="n"/>
      <c r="AN150" s="267" t="n"/>
      <c r="AO150" s="267" t="n"/>
      <c r="AP150" s="267" t="n"/>
      <c r="AQ150" s="268" t="n"/>
      <c r="AR150" s="267" t="n"/>
      <c r="AS150" s="267" t="n"/>
      <c r="AT150" s="267" t="n"/>
      <c r="AU150" s="267" t="n"/>
      <c r="AV150" s="268" t="n"/>
      <c r="AW150" s="267" t="n"/>
      <c r="AX150" s="267" t="n"/>
      <c r="AY150" s="267" t="n"/>
      <c r="AZ150" s="267" t="n"/>
      <c r="BA150" s="268" t="n"/>
      <c r="BB150" s="267" t="n"/>
      <c r="BC150" s="267" t="n"/>
      <c r="BD150" s="267" t="n"/>
      <c r="BE150" s="267" t="n"/>
      <c r="BF150" s="268" t="n"/>
      <c r="BG150" s="267" t="n"/>
      <c r="BH150" s="267" t="n"/>
      <c r="BI150" s="267" t="n"/>
      <c r="BJ150" s="267" t="n"/>
      <c r="BK150" s="268" t="n"/>
      <c r="BL150" s="267" t="n"/>
      <c r="BM150" s="267" t="n"/>
      <c r="BN150" s="267" t="n"/>
      <c r="BO150" s="267" t="n"/>
      <c r="BP150" s="268" t="n"/>
      <c r="BQ150" s="267" t="n"/>
      <c r="BR150" s="267" t="n"/>
      <c r="BS150" s="267" t="n"/>
      <c r="BT150" s="267" t="n"/>
      <c r="BU150" s="268" t="n"/>
      <c r="BV150" s="267" t="n"/>
      <c r="BW150" s="267" t="n"/>
      <c r="BX150" s="267" t="n"/>
      <c r="BY150" s="267" t="n"/>
      <c r="BZ150" s="268" t="n"/>
      <c r="CA150" s="267" t="n"/>
      <c r="CB150" s="267" t="n"/>
      <c r="CC150" s="267" t="n"/>
      <c r="CD150" s="267" t="n"/>
      <c r="CE150" s="268" t="n"/>
      <c r="CF150" s="267" t="n"/>
      <c r="CG150" s="267" t="n"/>
      <c r="CH150" s="267" t="n"/>
      <c r="CI150" s="267" t="n"/>
      <c r="CJ150" s="268" t="n"/>
      <c r="CK150" s="267" t="n"/>
      <c r="CL150" s="267" t="n"/>
      <c r="CM150" s="267" t="n"/>
      <c r="CN150" s="267" t="n"/>
      <c r="CO150" s="268" t="n"/>
      <c r="CP150" s="267" t="n"/>
      <c r="CQ150" s="267" t="n"/>
      <c r="CR150" s="267" t="n"/>
      <c r="CS150" s="267" t="n"/>
      <c r="CT150" s="268" t="n"/>
      <c r="CU150" s="267" t="n"/>
      <c r="CV150" s="267" t="n"/>
      <c r="CW150" s="267" t="n"/>
      <c r="CX150" s="267" t="n"/>
      <c r="CY150" s="268" t="n"/>
    </row>
    <row r="151" hidden="1" outlineLevel="1" ht="12.75" customHeight="1" s="255">
      <c r="C151" s="312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  <c r="Y151" s="268" t="n"/>
      <c r="Z151" s="268" t="n"/>
      <c r="AA151" s="268" t="n"/>
      <c r="AB151" s="268" t="n"/>
      <c r="AC151" s="268" t="n"/>
      <c r="AD151" s="268" t="n"/>
      <c r="AE151" s="268" t="n"/>
      <c r="AF151" s="268" t="n"/>
      <c r="AG151" s="268" t="n"/>
      <c r="AH151" s="268" t="n"/>
      <c r="AI151" s="268" t="n"/>
      <c r="AJ151" s="268" t="n"/>
      <c r="AK151" s="268" t="n"/>
      <c r="AL151" s="268" t="n"/>
      <c r="AM151" s="268" t="n"/>
      <c r="AN151" s="268" t="n"/>
      <c r="AO151" s="268" t="n"/>
      <c r="AP151" s="268" t="n"/>
      <c r="AQ151" s="268" t="n"/>
      <c r="AR151" s="268" t="n"/>
      <c r="AS151" s="268" t="n"/>
      <c r="AT151" s="268" t="n"/>
      <c r="AU151" s="268" t="n"/>
      <c r="AV151" s="268" t="n"/>
      <c r="AW151" s="268" t="n"/>
      <c r="AX151" s="268" t="n"/>
      <c r="AY151" s="268" t="n"/>
      <c r="AZ151" s="268" t="n"/>
      <c r="BA151" s="268" t="n"/>
      <c r="BB151" s="268" t="n"/>
      <c r="BC151" s="268" t="n"/>
      <c r="BD151" s="268" t="n"/>
      <c r="BE151" s="268" t="n"/>
      <c r="BF151" s="268" t="n"/>
      <c r="BG151" s="268" t="n"/>
      <c r="BH151" s="268" t="n"/>
      <c r="BI151" s="268" t="n"/>
      <c r="BJ151" s="268" t="n"/>
      <c r="BK151" s="268" t="n"/>
      <c r="BL151" s="268" t="n"/>
      <c r="BM151" s="268" t="n"/>
      <c r="BN151" s="268" t="n"/>
      <c r="BO151" s="268" t="n"/>
      <c r="BP151" s="268" t="n"/>
      <c r="BQ151" s="268" t="n"/>
      <c r="BR151" s="268" t="n"/>
      <c r="BS151" s="268" t="n"/>
      <c r="BT151" s="268" t="n"/>
      <c r="BU151" s="268" t="n"/>
      <c r="BV151" s="268" t="n"/>
      <c r="BW151" s="268" t="n"/>
      <c r="BX151" s="268" t="n"/>
      <c r="BY151" s="268" t="n"/>
      <c r="BZ151" s="268" t="n"/>
      <c r="CA151" s="268" t="n"/>
      <c r="CB151" s="268" t="n"/>
      <c r="CC151" s="268" t="n"/>
      <c r="CD151" s="268" t="n"/>
      <c r="CE151" s="268" t="n"/>
      <c r="CF151" s="268" t="n"/>
      <c r="CG151" s="268" t="n"/>
      <c r="CH151" s="268" t="n"/>
      <c r="CI151" s="268" t="n"/>
      <c r="CJ151" s="268" t="n"/>
      <c r="CK151" s="268" t="n"/>
      <c r="CL151" s="268" t="n"/>
      <c r="CM151" s="268" t="n"/>
      <c r="CN151" s="268" t="n"/>
      <c r="CO151" s="268" t="n"/>
      <c r="CP151" s="268" t="n"/>
      <c r="CQ151" s="268" t="n"/>
      <c r="CR151" s="268" t="n"/>
      <c r="CS151" s="268" t="n"/>
      <c r="CT151" s="268" t="n"/>
      <c r="CU151" s="268" t="n"/>
      <c r="CV151" s="268" t="n"/>
      <c r="CW151" s="268" t="n"/>
      <c r="CX151" s="268" t="n"/>
      <c r="CY151" s="268" t="n"/>
    </row>
    <row r="152" ht="12.75" customHeight="1" s="255">
      <c r="C152" s="270" t="inlineStr">
        <is>
          <t>PP&amp;E</t>
        </is>
      </c>
      <c r="D152" s="301">
        <f>INDEX('Inputs (2)'!$D$22:$AL$22,MATCH(D$7,'Inputs (2)'!$D$2:$AL$2,0))</f>
        <v>0</v>
      </c>
      <c r="E152" s="301">
        <f>INDEX('Inputs (2)'!$D$22:$AL$22,MATCH(E$7,'Inputs (2)'!$D$2:$AL$2,0))</f>
        <v>0</v>
      </c>
      <c r="F152" s="301">
        <f>INDEX('Inputs (2)'!$D$22:$AL$22,MATCH(F$7,'Inputs (2)'!$D$2:$AL$2,0))</f>
        <v>0</v>
      </c>
      <c r="G152" s="301">
        <f>INDEX('Inputs (2)'!$D$22:$AL$22,MATCH(G$7,'Inputs (2)'!$D$2:$AL$2,0))</f>
        <v>0</v>
      </c>
      <c r="H152" s="268">
        <f>G152</f>
        <v>0</v>
      </c>
      <c r="I152" s="301">
        <f>INDEX('Inputs (2)'!$D$22:$AL$22,MATCH(I$7,'Inputs (2)'!$D$2:$AL$2,0))</f>
        <v>0</v>
      </c>
      <c r="J152" s="301">
        <f>INDEX('Inputs (2)'!$D$22:$AL$22,MATCH(J$7,'Inputs (2)'!$D$2:$AL$2,0))</f>
        <v>0</v>
      </c>
      <c r="K152" s="301">
        <f>INDEX('Inputs (2)'!$D$22:$AL$22,MATCH(K$7,'Inputs (2)'!$D$2:$AL$2,0))</f>
        <v>0</v>
      </c>
      <c r="L152" s="301">
        <f>INDEX('Inputs (2)'!$D$22:$AL$22,MATCH(L$7,'Inputs (2)'!$D$2:$AL$2,0))</f>
        <v>0</v>
      </c>
      <c r="M152" s="268">
        <f>L152</f>
        <v>0</v>
      </c>
      <c r="N152" s="301">
        <f>INDEX('Inputs (2)'!$D$22:$AL$22,MATCH(N$7,'Inputs (2)'!$D$2:$AL$2,0))</f>
        <v>0</v>
      </c>
      <c r="O152" s="301">
        <f>INDEX('Inputs (2)'!$D$22:$AL$22,MATCH(O$7,'Inputs (2)'!$D$2:$AL$2,0))</f>
        <v>0</v>
      </c>
      <c r="P152" s="301">
        <f>INDEX('Inputs (2)'!$D$22:$AL$22,MATCH(P$7,'Inputs (2)'!$D$2:$AL$2,0))</f>
        <v>0</v>
      </c>
      <c r="Q152" s="301">
        <f>INDEX('Inputs (2)'!$D$22:$AL$22,MATCH(Q$7,'Inputs (2)'!$D$2:$AL$2,0))</f>
        <v>0</v>
      </c>
      <c r="R152" s="268">
        <f>Q152</f>
        <v>0</v>
      </c>
      <c r="S152" s="301">
        <f>INDEX('Inputs (2)'!$D$22:$AL$22,MATCH(S$7,'Inputs (2)'!$D$2:$AL$2,0))</f>
        <v>0</v>
      </c>
      <c r="T152" s="301">
        <f>INDEX('Inputs (2)'!$D$22:$AL$22,MATCH(T$7,'Inputs (2)'!$D$2:$AL$2,0))</f>
        <v>0</v>
      </c>
      <c r="U152" s="301">
        <f>INDEX('Inputs (2)'!$D$22:$AL$22,MATCH(U$7,'Inputs (2)'!$D$2:$AL$2,0))</f>
        <v>0</v>
      </c>
      <c r="V152" s="301">
        <f>INDEX('Inputs (2)'!$D$22:$AL$22,MATCH(V$7,'Inputs (2)'!$D$2:$AL$2,0))</f>
        <v>0</v>
      </c>
      <c r="W152" s="268">
        <f>V152</f>
        <v>0</v>
      </c>
      <c r="X152" s="301">
        <f>INDEX('Inputs (2)'!$D$22:$AL$22,MATCH(X$7,'Inputs (2)'!$D$2:$AL$2,0))</f>
        <v>0</v>
      </c>
      <c r="Y152" s="301">
        <f>INDEX('Inputs (2)'!$D$22:$AL$22,MATCH(Y$7,'Inputs (2)'!$D$2:$AL$2,0))</f>
        <v>0</v>
      </c>
      <c r="Z152" s="301">
        <f>INDEX('Inputs (2)'!$D$22:$AL$22,MATCH(Z$7,'Inputs (2)'!$D$2:$AL$2,0))</f>
        <v>0</v>
      </c>
      <c r="AA152" s="301">
        <f>INDEX('Inputs (2)'!$D$22:$AL$22,MATCH(AA$7,'Inputs (2)'!$D$2:$AL$2,0))</f>
        <v>11914.774</v>
      </c>
      <c r="AB152" s="268">
        <f>AA152</f>
        <v>11914.774</v>
      </c>
      <c r="AC152" s="301">
        <f>INDEX('Inputs (2)'!$D$22:$AL$22,MATCH(AC$7,'Inputs (2)'!$D$2:$AL$2,0))</f>
        <v>14210.992</v>
      </c>
      <c r="AD152" s="301">
        <f>INDEX('Inputs (2)'!$D$22:$AL$22,MATCH(AD$7,'Inputs (2)'!$D$2:$AL$2,0))</f>
        <v>16631.51</v>
      </c>
      <c r="AE152" s="301">
        <f>INDEX('Inputs (2)'!$D$22:$AL$22,MATCH(AE$7,'Inputs (2)'!$D$2:$AL$2,0))</f>
        <v>20659.181</v>
      </c>
      <c r="AF152" s="301">
        <f>INDEX('Inputs (2)'!$D$22:$AL$22,MATCH(AF$7,'Inputs (2)'!$D$2:$AL$2,0))</f>
        <v>30557</v>
      </c>
      <c r="AG152" s="268">
        <f>AF152</f>
        <v>30557</v>
      </c>
      <c r="AH152" s="268">
        <f>INDEX('Inputs (2)'!$D$22:$AL$22,MATCH(AH$7,'Inputs (2)'!$D$2:$AL$2,0))</f>
        <v>36424</v>
      </c>
      <c r="AI152" s="268">
        <f>INDEX('Inputs (2)'!$D$22:$AL$22,MATCH(AI$7,'Inputs (2)'!$D$2:$AL$2,0))</f>
        <v>46736</v>
      </c>
      <c r="AJ152" s="268">
        <f>AJ157</f>
        <v>46736</v>
      </c>
      <c r="AK152" s="268">
        <f>AK157</f>
        <v>46736</v>
      </c>
      <c r="AL152" s="268">
        <f>AK152</f>
        <v>46736</v>
      </c>
      <c r="AM152" s="268">
        <f>AM157</f>
        <v>46736</v>
      </c>
      <c r="AN152" s="268">
        <f>AN157</f>
        <v>46736</v>
      </c>
      <c r="AO152" s="268">
        <f>AO157</f>
        <v>46736</v>
      </c>
      <c r="AP152" s="268">
        <f>AP157</f>
        <v>46736</v>
      </c>
      <c r="AQ152" s="268">
        <f>AP152</f>
        <v>46736</v>
      </c>
      <c r="AR152" s="268">
        <f>AR157</f>
        <v>46736</v>
      </c>
      <c r="AS152" s="268">
        <f>AS157</f>
        <v>46736</v>
      </c>
      <c r="AT152" s="268">
        <f>AT157</f>
        <v>46736</v>
      </c>
      <c r="AU152" s="268">
        <f>AU157</f>
        <v>46736</v>
      </c>
      <c r="AV152" s="268">
        <f>AU152</f>
        <v>46736</v>
      </c>
      <c r="AW152" s="268">
        <f>AW157</f>
        <v>46736</v>
      </c>
      <c r="AX152" s="268">
        <f>AX157</f>
        <v>46736</v>
      </c>
      <c r="AY152" s="268">
        <f>AY157</f>
        <v>46736</v>
      </c>
      <c r="AZ152" s="268">
        <f>AZ157</f>
        <v>46736</v>
      </c>
      <c r="BA152" s="268">
        <f>AZ152</f>
        <v>46736</v>
      </c>
      <c r="BB152" s="268">
        <f>BB157</f>
        <v>46736</v>
      </c>
      <c r="BC152" s="268">
        <f>BC157</f>
        <v>46736</v>
      </c>
      <c r="BD152" s="268">
        <f>BD157</f>
        <v>46736</v>
      </c>
      <c r="BE152" s="268">
        <f>BE157</f>
        <v>46736</v>
      </c>
      <c r="BF152" s="268">
        <f>BE152</f>
        <v>46736</v>
      </c>
      <c r="BG152" s="268">
        <f>BG157</f>
        <v>46736</v>
      </c>
      <c r="BH152" s="268">
        <f>BH157</f>
        <v>46736</v>
      </c>
      <c r="BI152" s="268">
        <f>BI157</f>
        <v>46736</v>
      </c>
      <c r="BJ152" s="268">
        <f>BJ157</f>
        <v>46736</v>
      </c>
      <c r="BK152" s="268">
        <f>BJ152</f>
        <v>46736</v>
      </c>
      <c r="BL152" s="268">
        <f>BL157</f>
        <v>46736</v>
      </c>
      <c r="BM152" s="268">
        <f>BM157</f>
        <v>46736</v>
      </c>
      <c r="BN152" s="268">
        <f>BN157</f>
        <v>46736</v>
      </c>
      <c r="BO152" s="268">
        <f>BO157</f>
        <v>46736</v>
      </c>
      <c r="BP152" s="268">
        <f>BO152</f>
        <v>46736</v>
      </c>
      <c r="BQ152" s="268">
        <f>BQ157</f>
        <v>46736</v>
      </c>
      <c r="BR152" s="268">
        <f>BR157</f>
        <v>46736</v>
      </c>
      <c r="BS152" s="268">
        <f>BS157</f>
        <v>46736</v>
      </c>
      <c r="BT152" s="268">
        <f>BT157</f>
        <v>46736</v>
      </c>
      <c r="BU152" s="268">
        <f>BT152</f>
        <v>46736</v>
      </c>
      <c r="BV152" s="268">
        <f>BV157</f>
        <v>46736</v>
      </c>
      <c r="BW152" s="268">
        <f>BW157</f>
        <v>46736</v>
      </c>
      <c r="BX152" s="268">
        <f>BX157</f>
        <v>46736</v>
      </c>
      <c r="BY152" s="268">
        <f>BY157</f>
        <v>46736</v>
      </c>
      <c r="BZ152" s="268">
        <f>BY152</f>
        <v>46736</v>
      </c>
      <c r="CA152" s="268">
        <f>CA157</f>
        <v>46736</v>
      </c>
      <c r="CB152" s="268">
        <f>CB157</f>
        <v>46736</v>
      </c>
      <c r="CC152" s="268">
        <f>CC157</f>
        <v>46736</v>
      </c>
      <c r="CD152" s="268">
        <f>CD157</f>
        <v>46736</v>
      </c>
      <c r="CE152" s="268">
        <f>CD152</f>
        <v>46736</v>
      </c>
      <c r="CF152" s="268">
        <f>CF157</f>
        <v>46736</v>
      </c>
      <c r="CG152" s="268">
        <f>CG157</f>
        <v>46736</v>
      </c>
      <c r="CH152" s="268">
        <f>CH157</f>
        <v>46736</v>
      </c>
      <c r="CI152" s="268">
        <f>CI157</f>
        <v>46736</v>
      </c>
      <c r="CJ152" s="268">
        <f>CI152</f>
        <v>46736</v>
      </c>
      <c r="CK152" s="268">
        <f>CK157</f>
        <v>46736</v>
      </c>
      <c r="CL152" s="268">
        <f>CL157</f>
        <v>46736</v>
      </c>
      <c r="CM152" s="268">
        <f>CM157</f>
        <v>46736</v>
      </c>
      <c r="CN152" s="268">
        <f>CN157</f>
        <v>46736</v>
      </c>
      <c r="CO152" s="268">
        <f>CN152</f>
        <v>46736</v>
      </c>
      <c r="CP152" s="268">
        <f>CP157</f>
        <v>46736</v>
      </c>
      <c r="CQ152" s="268">
        <f>CQ157</f>
        <v>46736</v>
      </c>
      <c r="CR152" s="268">
        <f>CR157</f>
        <v>46736</v>
      </c>
      <c r="CS152" s="268">
        <f>CS157</f>
        <v>46736</v>
      </c>
      <c r="CT152" s="268">
        <f>CS152</f>
        <v>46736</v>
      </c>
      <c r="CU152" s="268">
        <f>CU157</f>
        <v>46736</v>
      </c>
      <c r="CV152" s="268">
        <f>CV157</f>
        <v>46736</v>
      </c>
      <c r="CW152" s="268">
        <f>CW157</f>
        <v>46736</v>
      </c>
      <c r="CX152" s="268">
        <f>CX157</f>
        <v>46736</v>
      </c>
      <c r="CY152" s="268">
        <f>CX152</f>
        <v>46736</v>
      </c>
    </row>
    <row r="153" hidden="1" outlineLevel="1" ht="12.75" customHeight="1" s="255">
      <c r="C153" s="312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  <c r="Y153" s="268" t="n"/>
      <c r="Z153" s="268" t="n"/>
      <c r="AA153" s="268" t="n"/>
      <c r="AB153" s="268" t="n"/>
      <c r="AC153" s="268" t="n"/>
      <c r="AD153" s="268" t="n"/>
      <c r="AE153" s="268" t="n"/>
      <c r="AF153" s="268" t="n"/>
      <c r="AG153" s="268" t="n"/>
      <c r="AH153" s="268" t="n"/>
      <c r="AI153" s="268" t="n"/>
      <c r="AJ153" s="268" t="n"/>
      <c r="AK153" s="268" t="n"/>
      <c r="AL153" s="268" t="n"/>
      <c r="AM153" s="268" t="n"/>
      <c r="AN153" s="268" t="n"/>
      <c r="AO153" s="268" t="n"/>
      <c r="AP153" s="268" t="n"/>
      <c r="AQ153" s="268" t="n"/>
      <c r="AR153" s="268" t="n"/>
      <c r="AS153" s="268" t="n"/>
      <c r="AT153" s="268" t="n"/>
      <c r="AU153" s="268" t="n"/>
      <c r="AV153" s="268" t="n"/>
      <c r="AW153" s="268" t="n"/>
      <c r="AX153" s="268" t="n"/>
      <c r="AY153" s="268" t="n"/>
      <c r="AZ153" s="268" t="n"/>
      <c r="BA153" s="268" t="n"/>
      <c r="BB153" s="268" t="n"/>
      <c r="BC153" s="268" t="n"/>
      <c r="BD153" s="268" t="n"/>
      <c r="BE153" s="268" t="n"/>
      <c r="BF153" s="268" t="n"/>
      <c r="BG153" s="268" t="n"/>
      <c r="BH153" s="268" t="n"/>
      <c r="BI153" s="268" t="n"/>
      <c r="BJ153" s="268" t="n"/>
      <c r="BK153" s="268" t="n"/>
      <c r="BL153" s="268" t="n"/>
      <c r="BM153" s="268" t="n"/>
      <c r="BN153" s="268" t="n"/>
      <c r="BO153" s="268" t="n"/>
      <c r="BP153" s="268" t="n"/>
      <c r="BQ153" s="268" t="n"/>
      <c r="BR153" s="268" t="n"/>
      <c r="BS153" s="268" t="n"/>
      <c r="BT153" s="268" t="n"/>
      <c r="BU153" s="268" t="n"/>
      <c r="BV153" s="268" t="n"/>
      <c r="BW153" s="268" t="n"/>
      <c r="BX153" s="268" t="n"/>
      <c r="BY153" s="268" t="n"/>
      <c r="BZ153" s="268" t="n"/>
      <c r="CA153" s="268" t="n"/>
      <c r="CB153" s="268" t="n"/>
      <c r="CC153" s="268" t="n"/>
      <c r="CD153" s="268" t="n"/>
      <c r="CE153" s="268" t="n"/>
      <c r="CF153" s="268" t="n"/>
      <c r="CG153" s="268" t="n"/>
      <c r="CH153" s="268" t="n"/>
      <c r="CI153" s="268" t="n"/>
      <c r="CJ153" s="268" t="n"/>
      <c r="CK153" s="268" t="n"/>
      <c r="CL153" s="268" t="n"/>
      <c r="CM153" s="268" t="n"/>
      <c r="CN153" s="268" t="n"/>
      <c r="CO153" s="268" t="n"/>
      <c r="CP153" s="268" t="n"/>
      <c r="CQ153" s="268" t="n"/>
      <c r="CR153" s="268" t="n"/>
      <c r="CS153" s="268" t="n"/>
      <c r="CT153" s="268" t="n"/>
      <c r="CU153" s="268" t="n"/>
      <c r="CV153" s="268" t="n"/>
      <c r="CW153" s="268" t="n"/>
      <c r="CX153" s="268" t="n"/>
      <c r="CY153" s="268" t="n"/>
    </row>
    <row r="154" hidden="1" outlineLevel="1" ht="12.75" customHeight="1" s="255">
      <c r="C154" s="312" t="inlineStr">
        <is>
          <t>Capital expenditures</t>
        </is>
      </c>
      <c r="D154" s="268" t="n"/>
      <c r="E154" s="268">
        <f>E152-D152-E56</f>
        <v>0</v>
      </c>
      <c r="F154" s="268">
        <f>F152-E152-F56</f>
        <v>0</v>
      </c>
      <c r="G154" s="268">
        <f>G152-F152-G56</f>
        <v>0</v>
      </c>
      <c r="H154" s="268" t="n"/>
      <c r="I154" s="268">
        <f>I152-H152-I56</f>
        <v>0</v>
      </c>
      <c r="J154" s="268">
        <f>J152-I152-J56</f>
        <v>0</v>
      </c>
      <c r="K154" s="268">
        <f>K152-J152-K56</f>
        <v>0</v>
      </c>
      <c r="L154" s="268">
        <f>L152-K152-L56</f>
        <v>0</v>
      </c>
      <c r="M154" s="268" t="n"/>
      <c r="N154" s="268">
        <f>N152-M152-N56</f>
        <v>0</v>
      </c>
      <c r="O154" s="268">
        <f>O152-N152-O56</f>
        <v>0</v>
      </c>
      <c r="P154" s="268">
        <f>P152-O152-P56</f>
        <v>0</v>
      </c>
      <c r="Q154" s="268">
        <f>Q152-P152-Q56</f>
        <v>0</v>
      </c>
      <c r="R154" s="268" t="n"/>
      <c r="S154" s="268">
        <f>S152-R152-S56</f>
        <v>0</v>
      </c>
      <c r="T154" s="268">
        <f>T152-S152-T56</f>
        <v>0</v>
      </c>
      <c r="U154" s="268">
        <f>U152-T152-U56</f>
        <v>0</v>
      </c>
      <c r="V154" s="268">
        <f>V152-U152-V56</f>
        <v>0</v>
      </c>
      <c r="W154" s="268" t="n"/>
      <c r="X154" s="268">
        <f>X152-W152-X56</f>
        <v>79.51</v>
      </c>
      <c r="Y154" s="268">
        <f>Y152-X152-Y56</f>
        <v>164.46</v>
      </c>
      <c r="Z154" s="268">
        <f>Z152-Y152-Z56</f>
        <v>254.024</v>
      </c>
      <c r="AA154" s="268">
        <f>AA152-Z152-AA56</f>
        <v>12279.78</v>
      </c>
      <c r="AB154" s="268" t="n"/>
      <c r="AC154" s="268">
        <f>AC152-AB152-AC56</f>
        <v>2739.715</v>
      </c>
      <c r="AD154" s="268">
        <f>AD152-AC152-AD56</f>
        <v>2979.999</v>
      </c>
      <c r="AE154" s="268">
        <f>AE152-AD152-AE56</f>
        <v>4658.15</v>
      </c>
      <c r="AF154" s="267">
        <f>AF152-AE152-AF56</f>
        <v>10718.362</v>
      </c>
      <c r="AG154" s="268">
        <f>SUM(AC154:AF154)</f>
        <v>21096.226</v>
      </c>
      <c r="AH154" s="267">
        <f>AH152-AG152-AH56</f>
        <v>7014</v>
      </c>
      <c r="AI154" s="267">
        <f>AI152-AH152-AI56</f>
        <v>11705</v>
      </c>
      <c r="AJ154" s="267" t="n"/>
      <c r="AK154" s="267" t="n"/>
      <c r="AL154" s="268" t="n"/>
      <c r="AM154" s="267" t="n"/>
      <c r="AN154" s="267" t="n"/>
      <c r="AO154" s="267" t="n"/>
      <c r="AP154" s="267" t="n"/>
      <c r="AQ154" s="268" t="n"/>
      <c r="AR154" s="267" t="n"/>
      <c r="AS154" s="267" t="n"/>
      <c r="AT154" s="267" t="n"/>
      <c r="AU154" s="267" t="n"/>
      <c r="AV154" s="268" t="n"/>
      <c r="AW154" s="267" t="n"/>
      <c r="AX154" s="267" t="n"/>
      <c r="AY154" s="267" t="n"/>
      <c r="AZ154" s="267" t="n"/>
      <c r="BA154" s="268" t="n"/>
      <c r="BB154" s="267" t="n"/>
      <c r="BC154" s="267" t="n"/>
      <c r="BD154" s="267" t="n"/>
      <c r="BE154" s="267" t="n"/>
      <c r="BF154" s="268" t="n"/>
      <c r="BG154" s="267" t="n"/>
      <c r="BH154" s="267" t="n"/>
      <c r="BI154" s="267" t="n"/>
      <c r="BJ154" s="267" t="n"/>
      <c r="BK154" s="268" t="n"/>
      <c r="BL154" s="267" t="n"/>
      <c r="BM154" s="267" t="n"/>
      <c r="BN154" s="267" t="n"/>
      <c r="BO154" s="267" t="n"/>
      <c r="BP154" s="268" t="n"/>
      <c r="BQ154" s="267" t="n"/>
      <c r="BR154" s="267" t="n"/>
      <c r="BS154" s="267" t="n"/>
      <c r="BT154" s="267" t="n"/>
      <c r="BU154" s="268" t="n"/>
      <c r="BV154" s="267" t="n"/>
      <c r="BW154" s="267" t="n"/>
      <c r="BX154" s="267" t="n"/>
      <c r="BY154" s="267" t="n"/>
      <c r="BZ154" s="268" t="n"/>
      <c r="CA154" s="267" t="n"/>
      <c r="CB154" s="267" t="n"/>
      <c r="CC154" s="267" t="n"/>
      <c r="CD154" s="267" t="n"/>
      <c r="CE154" s="268" t="n"/>
      <c r="CF154" s="267" t="n"/>
      <c r="CG154" s="267" t="n"/>
      <c r="CH154" s="267" t="n"/>
      <c r="CI154" s="267" t="n"/>
      <c r="CJ154" s="268" t="n"/>
      <c r="CK154" s="267" t="n"/>
      <c r="CL154" s="267" t="n"/>
      <c r="CM154" s="267" t="n"/>
      <c r="CN154" s="267" t="n"/>
      <c r="CO154" s="268" t="n"/>
      <c r="CP154" s="267" t="n"/>
      <c r="CQ154" s="267" t="n"/>
      <c r="CR154" s="267" t="n"/>
      <c r="CS154" s="267" t="n"/>
      <c r="CT154" s="268" t="n"/>
      <c r="CU154" s="267" t="n"/>
      <c r="CV154" s="267" t="n"/>
      <c r="CW154" s="267" t="n"/>
      <c r="CX154" s="267" t="n"/>
      <c r="CY154" s="268" t="n"/>
    </row>
    <row r="155" hidden="1" outlineLevel="1" ht="12.75" customHeight="1" s="255">
      <c r="C155" s="312" t="inlineStr">
        <is>
          <t>Recurring asset sales (enter as -)</t>
        </is>
      </c>
      <c r="D155" s="268" t="n"/>
      <c r="E155" s="268" t="n"/>
      <c r="F155" s="268" t="n"/>
      <c r="G155" s="268" t="n"/>
      <c r="H155" s="268">
        <f>SUM(D155:G155)</f>
        <v>0</v>
      </c>
      <c r="I155" s="268" t="n"/>
      <c r="J155" s="268" t="n"/>
      <c r="K155" s="268" t="n"/>
      <c r="L155" s="268" t="n"/>
      <c r="M155" s="268">
        <f>SUM(I155:L155)</f>
        <v>0</v>
      </c>
      <c r="N155" s="268" t="n"/>
      <c r="O155" s="268" t="n"/>
      <c r="P155" s="268" t="n"/>
      <c r="Q155" s="268" t="n"/>
      <c r="R155" s="268">
        <f>SUM(N155:Q155)</f>
        <v>0</v>
      </c>
      <c r="S155" s="268" t="n"/>
      <c r="T155" s="268" t="n"/>
      <c r="U155" s="268" t="n"/>
      <c r="V155" s="268" t="n"/>
      <c r="W155" s="268">
        <f>SUM(S155:V155)</f>
        <v>0</v>
      </c>
      <c r="X155" s="268" t="n"/>
      <c r="Y155" s="268" t="n"/>
      <c r="Z155" s="268" t="n"/>
      <c r="AA155" s="268" t="n"/>
      <c r="AB155" s="268">
        <f>SUM(X155:AA155)</f>
        <v>0</v>
      </c>
      <c r="AC155" s="268" t="n"/>
      <c r="AD155" s="268" t="n"/>
      <c r="AE155" s="268" t="n"/>
      <c r="AF155" s="267" t="n"/>
      <c r="AG155" s="268" t="n"/>
      <c r="AH155" s="267" t="n"/>
      <c r="AI155" s="267" t="n"/>
      <c r="AJ155" s="267" t="n"/>
      <c r="AK155" s="267" t="n"/>
      <c r="AL155" s="268" t="n"/>
      <c r="AM155" s="267" t="n"/>
      <c r="AN155" s="267" t="n"/>
      <c r="AO155" s="267" t="n"/>
      <c r="AP155" s="267" t="n"/>
      <c r="AQ155" s="268" t="n"/>
      <c r="AR155" s="267" t="n"/>
      <c r="AS155" s="267" t="n"/>
      <c r="AT155" s="267" t="n"/>
      <c r="AU155" s="267" t="n"/>
      <c r="AV155" s="268" t="n"/>
      <c r="AW155" s="267" t="n"/>
      <c r="AX155" s="267" t="n"/>
      <c r="AY155" s="267" t="n"/>
      <c r="AZ155" s="267" t="n"/>
      <c r="BA155" s="268" t="n"/>
      <c r="BB155" s="267" t="n"/>
      <c r="BC155" s="267" t="n"/>
      <c r="BD155" s="267" t="n"/>
      <c r="BE155" s="267" t="n"/>
      <c r="BF155" s="268" t="n"/>
      <c r="BG155" s="267" t="n"/>
      <c r="BH155" s="267" t="n"/>
      <c r="BI155" s="267" t="n"/>
      <c r="BJ155" s="267" t="n"/>
      <c r="BK155" s="268" t="n"/>
      <c r="BL155" s="267" t="n"/>
      <c r="BM155" s="267" t="n"/>
      <c r="BN155" s="267" t="n"/>
      <c r="BO155" s="267" t="n"/>
      <c r="BP155" s="268" t="n"/>
      <c r="BQ155" s="267" t="n"/>
      <c r="BR155" s="267" t="n"/>
      <c r="BS155" s="267" t="n"/>
      <c r="BT155" s="267" t="n"/>
      <c r="BU155" s="268" t="n"/>
      <c r="BV155" s="267" t="n"/>
      <c r="BW155" s="267" t="n"/>
      <c r="BX155" s="267" t="n"/>
      <c r="BY155" s="267" t="n"/>
      <c r="BZ155" s="268" t="n"/>
      <c r="CA155" s="267" t="n"/>
      <c r="CB155" s="267" t="n"/>
      <c r="CC155" s="267" t="n"/>
      <c r="CD155" s="267" t="n"/>
      <c r="CE155" s="268" t="n"/>
      <c r="CF155" s="267" t="n"/>
      <c r="CG155" s="267" t="n"/>
      <c r="CH155" s="267" t="n"/>
      <c r="CI155" s="267" t="n"/>
      <c r="CJ155" s="268" t="n"/>
      <c r="CK155" s="267" t="n"/>
      <c r="CL155" s="267" t="n"/>
      <c r="CM155" s="267" t="n"/>
      <c r="CN155" s="267" t="n"/>
      <c r="CO155" s="268" t="n"/>
      <c r="CP155" s="267" t="n"/>
      <c r="CQ155" s="267" t="n"/>
      <c r="CR155" s="267" t="n"/>
      <c r="CS155" s="267" t="n"/>
      <c r="CT155" s="268" t="n"/>
      <c r="CU155" s="267" t="n"/>
      <c r="CV155" s="267" t="n"/>
      <c r="CW155" s="267" t="n"/>
      <c r="CX155" s="267" t="n"/>
      <c r="CY155" s="268" t="n"/>
    </row>
    <row r="156" hidden="1" outlineLevel="1" ht="12.75" customHeight="1" s="255">
      <c r="C156" s="312" t="inlineStr">
        <is>
          <t>Depreciation</t>
        </is>
      </c>
      <c r="D156" s="268">
        <f>D56</f>
        <v>0</v>
      </c>
      <c r="E156" s="268">
        <f>E56</f>
        <v>0</v>
      </c>
      <c r="F156" s="268">
        <f>F56</f>
        <v>0</v>
      </c>
      <c r="G156" s="268">
        <f>G56</f>
        <v>0</v>
      </c>
      <c r="H156" s="268" t="n"/>
      <c r="I156" s="268">
        <f>I56</f>
        <v>0</v>
      </c>
      <c r="J156" s="268">
        <f>J56</f>
        <v>0</v>
      </c>
      <c r="K156" s="268">
        <f>K56</f>
        <v>0</v>
      </c>
      <c r="L156" s="268">
        <f>L56</f>
        <v>0</v>
      </c>
      <c r="M156" s="268" t="n"/>
      <c r="N156" s="268">
        <f>N56</f>
        <v>0</v>
      </c>
      <c r="O156" s="268">
        <f>O56</f>
        <v>0</v>
      </c>
      <c r="P156" s="268">
        <f>P56</f>
        <v>0</v>
      </c>
      <c r="Q156" s="268">
        <f>Q56</f>
        <v>0</v>
      </c>
      <c r="R156" s="268" t="n"/>
      <c r="S156" s="268">
        <f>S56</f>
        <v>0</v>
      </c>
      <c r="T156" s="268">
        <f>T56</f>
        <v>0</v>
      </c>
      <c r="U156" s="268">
        <f>U56</f>
        <v>0</v>
      </c>
      <c r="V156" s="268">
        <f>V56</f>
        <v>0</v>
      </c>
      <c r="W156" s="268" t="n"/>
      <c r="X156" s="268">
        <f>X56</f>
        <v>-79.51</v>
      </c>
      <c r="Y156" s="268">
        <f>Y56</f>
        <v>-164.46</v>
      </c>
      <c r="Z156" s="268">
        <f>Z56</f>
        <v>-254.024</v>
      </c>
      <c r="AA156" s="268">
        <f>AA56</f>
        <v>-365.006</v>
      </c>
      <c r="AB156" s="268" t="n"/>
      <c r="AC156" s="268">
        <f>AC56</f>
        <v>-443.497</v>
      </c>
      <c r="AD156" s="268">
        <f>AD56</f>
        <v>-559.481</v>
      </c>
      <c r="AE156" s="268">
        <f>AE56</f>
        <v>-630.479</v>
      </c>
      <c r="AF156" s="268">
        <f>AF56</f>
        <v>-820.543</v>
      </c>
      <c r="AG156" s="268" t="n"/>
      <c r="AH156" s="268">
        <f>AH56</f>
        <v>-1147</v>
      </c>
      <c r="AI156" s="268">
        <f>AI56</f>
        <v>-1393</v>
      </c>
      <c r="AJ156" s="268">
        <f>AJ56</f>
        <v>0</v>
      </c>
      <c r="AK156" s="268">
        <f>AK56</f>
        <v>0</v>
      </c>
      <c r="AL156" s="268" t="n"/>
      <c r="AM156" s="268">
        <f>AM56</f>
        <v>0</v>
      </c>
      <c r="AN156" s="268">
        <f>AN56</f>
        <v>0</v>
      </c>
      <c r="AO156" s="268">
        <f>AO56</f>
        <v>0</v>
      </c>
      <c r="AP156" s="268">
        <f>AP56</f>
        <v>0</v>
      </c>
      <c r="AQ156" s="268" t="n"/>
      <c r="AR156" s="268">
        <f>AR56</f>
        <v>0</v>
      </c>
      <c r="AS156" s="268">
        <f>AS56</f>
        <v>0</v>
      </c>
      <c r="AT156" s="268">
        <f>AT56</f>
        <v>0</v>
      </c>
      <c r="AU156" s="268">
        <f>AU56</f>
        <v>0</v>
      </c>
      <c r="AV156" s="268" t="n"/>
      <c r="AW156" s="268">
        <f>AW56</f>
        <v>0</v>
      </c>
      <c r="AX156" s="268">
        <f>AX56</f>
        <v>0</v>
      </c>
      <c r="AY156" s="268">
        <f>AY56</f>
        <v>0</v>
      </c>
      <c r="AZ156" s="268">
        <f>AZ56</f>
        <v>0</v>
      </c>
      <c r="BA156" s="268" t="n"/>
      <c r="BB156" s="268">
        <f>BB56</f>
        <v>0</v>
      </c>
      <c r="BC156" s="268">
        <f>BC56</f>
        <v>0</v>
      </c>
      <c r="BD156" s="268">
        <f>BD56</f>
        <v>0</v>
      </c>
      <c r="BE156" s="268">
        <f>BE56</f>
        <v>0</v>
      </c>
      <c r="BF156" s="268" t="n"/>
      <c r="BG156" s="268">
        <f>BG56</f>
        <v>0</v>
      </c>
      <c r="BH156" s="268">
        <f>BH56</f>
        <v>0</v>
      </c>
      <c r="BI156" s="268">
        <f>BI56</f>
        <v>0</v>
      </c>
      <c r="BJ156" s="268">
        <f>BJ56</f>
        <v>0</v>
      </c>
      <c r="BK156" s="268" t="n"/>
      <c r="BL156" s="268">
        <f>BL56</f>
        <v>0</v>
      </c>
      <c r="BM156" s="268">
        <f>BM56</f>
        <v>0</v>
      </c>
      <c r="BN156" s="268">
        <f>BN56</f>
        <v>0</v>
      </c>
      <c r="BO156" s="268">
        <f>BO56</f>
        <v>0</v>
      </c>
      <c r="BP156" s="268" t="n"/>
      <c r="BQ156" s="268">
        <f>BQ56</f>
        <v>0</v>
      </c>
      <c r="BR156" s="268">
        <f>BR56</f>
        <v>0</v>
      </c>
      <c r="BS156" s="268">
        <f>BS56</f>
        <v>0</v>
      </c>
      <c r="BT156" s="268">
        <f>BT56</f>
        <v>0</v>
      </c>
      <c r="BU156" s="268" t="n"/>
      <c r="BV156" s="268">
        <f>BV56</f>
        <v>0</v>
      </c>
      <c r="BW156" s="268">
        <f>BW56</f>
        <v>0</v>
      </c>
      <c r="BX156" s="268">
        <f>BX56</f>
        <v>0</v>
      </c>
      <c r="BY156" s="268">
        <f>BY56</f>
        <v>0</v>
      </c>
      <c r="BZ156" s="268" t="n"/>
      <c r="CA156" s="268">
        <f>CA56</f>
        <v>0</v>
      </c>
      <c r="CB156" s="268">
        <f>CB56</f>
        <v>0</v>
      </c>
      <c r="CC156" s="268">
        <f>CC56</f>
        <v>0</v>
      </c>
      <c r="CD156" s="268">
        <f>CD56</f>
        <v>0</v>
      </c>
      <c r="CE156" s="268" t="n"/>
      <c r="CF156" s="268">
        <f>CF56</f>
        <v>0</v>
      </c>
      <c r="CG156" s="268">
        <f>CG56</f>
        <v>0</v>
      </c>
      <c r="CH156" s="268">
        <f>CH56</f>
        <v>0</v>
      </c>
      <c r="CI156" s="268">
        <f>CI56</f>
        <v>0</v>
      </c>
      <c r="CJ156" s="268" t="n"/>
      <c r="CK156" s="268">
        <f>CK56</f>
        <v>0</v>
      </c>
      <c r="CL156" s="268">
        <f>CL56</f>
        <v>0</v>
      </c>
      <c r="CM156" s="268">
        <f>CM56</f>
        <v>0</v>
      </c>
      <c r="CN156" s="268">
        <f>CN56</f>
        <v>0</v>
      </c>
      <c r="CO156" s="268" t="n"/>
      <c r="CP156" s="268">
        <f>CP56</f>
        <v>0</v>
      </c>
      <c r="CQ156" s="268">
        <f>CQ56</f>
        <v>0</v>
      </c>
      <c r="CR156" s="268">
        <f>CR56</f>
        <v>0</v>
      </c>
      <c r="CS156" s="268">
        <f>CS56</f>
        <v>0</v>
      </c>
      <c r="CT156" s="268" t="n"/>
      <c r="CU156" s="268">
        <f>CU56</f>
        <v>0</v>
      </c>
      <c r="CV156" s="268">
        <f>CV56</f>
        <v>0</v>
      </c>
      <c r="CW156" s="268">
        <f>CW56</f>
        <v>0</v>
      </c>
      <c r="CX156" s="268">
        <f>CX56</f>
        <v>0</v>
      </c>
      <c r="CY156" s="268" t="n"/>
    </row>
    <row r="157" hidden="1" outlineLevel="1" ht="12.75" customHeight="1" s="255">
      <c r="C157" s="312" t="inlineStr">
        <is>
          <t>PP&amp;E</t>
        </is>
      </c>
      <c r="D157" s="268">
        <f>D152</f>
        <v>0</v>
      </c>
      <c r="E157" s="268">
        <f>E152</f>
        <v>0</v>
      </c>
      <c r="F157" s="268">
        <f>F152</f>
        <v>0</v>
      </c>
      <c r="G157" s="268">
        <f>G152</f>
        <v>0</v>
      </c>
      <c r="H157" s="268" t="n"/>
      <c r="I157" s="268">
        <f>I152</f>
        <v>0</v>
      </c>
      <c r="J157" s="268">
        <f>J152</f>
        <v>0</v>
      </c>
      <c r="K157" s="268">
        <f>K152</f>
        <v>0</v>
      </c>
      <c r="L157" s="268">
        <f>L152</f>
        <v>0</v>
      </c>
      <c r="M157" s="268" t="n"/>
      <c r="N157" s="268">
        <f>N152</f>
        <v>0</v>
      </c>
      <c r="O157" s="268">
        <f>O152</f>
        <v>0</v>
      </c>
      <c r="P157" s="268">
        <f>P152</f>
        <v>0</v>
      </c>
      <c r="Q157" s="268">
        <f>Q152</f>
        <v>0</v>
      </c>
      <c r="R157" s="268" t="n"/>
      <c r="S157" s="268">
        <f>S152</f>
        <v>0</v>
      </c>
      <c r="T157" s="268">
        <f>T152</f>
        <v>0</v>
      </c>
      <c r="U157" s="268">
        <f>U152</f>
        <v>0</v>
      </c>
      <c r="V157" s="268">
        <f>V152</f>
        <v>0</v>
      </c>
      <c r="W157" s="268" t="n"/>
      <c r="X157" s="268">
        <f>X152</f>
        <v>0</v>
      </c>
      <c r="Y157" s="268">
        <f>Y152</f>
        <v>0</v>
      </c>
      <c r="Z157" s="268">
        <f>Z152</f>
        <v>0</v>
      </c>
      <c r="AA157" s="268">
        <f>Y157+SUM(AA154:AA156)</f>
        <v>11914.774</v>
      </c>
      <c r="AB157" s="268" t="n"/>
      <c r="AC157" s="268">
        <f>AC152</f>
        <v>14210.992</v>
      </c>
      <c r="AD157" s="268">
        <f>AD152</f>
        <v>16631.51</v>
      </c>
      <c r="AE157" s="268">
        <f>AE152</f>
        <v>20659.181</v>
      </c>
      <c r="AF157" s="268">
        <f>AE157+SUM(AF154:AF156)</f>
        <v>30557</v>
      </c>
      <c r="AG157" s="268" t="n"/>
      <c r="AH157" s="268">
        <f>AH152</f>
        <v>36424</v>
      </c>
      <c r="AI157" s="268">
        <f>AI152</f>
        <v>46736</v>
      </c>
      <c r="AJ157" s="268">
        <f>AI157+SUM(AJ154:AJ156)</f>
        <v>46736</v>
      </c>
      <c r="AK157" s="268">
        <f>AJ157+SUM(AK154:AK156)</f>
        <v>46736</v>
      </c>
      <c r="AL157" s="268" t="n"/>
      <c r="AM157" s="268">
        <f>AK157+SUM(AM154:AM156)</f>
        <v>46736</v>
      </c>
      <c r="AN157" s="268">
        <f>AM157+SUM(AN154:AN156)</f>
        <v>46736</v>
      </c>
      <c r="AO157" s="268">
        <f>AN157+SUM(AO154:AO156)</f>
        <v>46736</v>
      </c>
      <c r="AP157" s="268">
        <f>AO157+SUM(AP154:AP156)</f>
        <v>46736</v>
      </c>
      <c r="AQ157" s="268" t="n"/>
      <c r="AR157" s="268">
        <f>AP157+SUM(AR154:AR156)</f>
        <v>46736</v>
      </c>
      <c r="AS157" s="268">
        <f>AR157+SUM(AS154:AS156)</f>
        <v>46736</v>
      </c>
      <c r="AT157" s="268">
        <f>AS157+SUM(AT154:AT156)</f>
        <v>46736</v>
      </c>
      <c r="AU157" s="268">
        <f>AT157+SUM(AU154:AU156)</f>
        <v>46736</v>
      </c>
      <c r="AV157" s="268" t="n"/>
      <c r="AW157" s="268">
        <f>AU157+SUM(AW154:AW156)</f>
        <v>46736</v>
      </c>
      <c r="AX157" s="268">
        <f>AW157+SUM(AX154:AX156)</f>
        <v>46736</v>
      </c>
      <c r="AY157" s="268">
        <f>AX157+SUM(AY154:AY156)</f>
        <v>46736</v>
      </c>
      <c r="AZ157" s="268">
        <f>AY157+SUM(AZ154:AZ156)</f>
        <v>46736</v>
      </c>
      <c r="BA157" s="268" t="n"/>
      <c r="BB157" s="268">
        <f>AZ157+SUM(BB154:BB156)</f>
        <v>46736</v>
      </c>
      <c r="BC157" s="268">
        <f>BB157+SUM(BC154:BC156)</f>
        <v>46736</v>
      </c>
      <c r="BD157" s="268">
        <f>BC157+SUM(BD154:BD156)</f>
        <v>46736</v>
      </c>
      <c r="BE157" s="268">
        <f>BD157+SUM(BE154:BE156)</f>
        <v>46736</v>
      </c>
      <c r="BF157" s="268" t="n"/>
      <c r="BG157" s="268">
        <f>BE157+SUM(BG154:BG156)</f>
        <v>46736</v>
      </c>
      <c r="BH157" s="268">
        <f>BG157+SUM(BH154:BH156)</f>
        <v>46736</v>
      </c>
      <c r="BI157" s="268">
        <f>BH157+SUM(BI154:BI156)</f>
        <v>46736</v>
      </c>
      <c r="BJ157" s="268">
        <f>BI157+SUM(BJ154:BJ156)</f>
        <v>46736</v>
      </c>
      <c r="BK157" s="268" t="n"/>
      <c r="BL157" s="268">
        <f>BJ157+SUM(BL154:BL156)</f>
        <v>46736</v>
      </c>
      <c r="BM157" s="268">
        <f>BL157+SUM(BM154:BM156)</f>
        <v>46736</v>
      </c>
      <c r="BN157" s="268">
        <f>BM157+SUM(BN154:BN156)</f>
        <v>46736</v>
      </c>
      <c r="BO157" s="268">
        <f>BN157+SUM(BO154:BO156)</f>
        <v>46736</v>
      </c>
      <c r="BP157" s="268" t="n"/>
      <c r="BQ157" s="268">
        <f>BO157+SUM(BQ154:BQ156)</f>
        <v>46736</v>
      </c>
      <c r="BR157" s="268">
        <f>BQ157+SUM(BR154:BR156)</f>
        <v>46736</v>
      </c>
      <c r="BS157" s="268">
        <f>BR157+SUM(BS154:BS156)</f>
        <v>46736</v>
      </c>
      <c r="BT157" s="268">
        <f>BS157+SUM(BT154:BT156)</f>
        <v>46736</v>
      </c>
      <c r="BU157" s="268" t="n"/>
      <c r="BV157" s="268">
        <f>BT157+SUM(BV154:BV156)</f>
        <v>46736</v>
      </c>
      <c r="BW157" s="268">
        <f>BV157+SUM(BW154:BW156)</f>
        <v>46736</v>
      </c>
      <c r="BX157" s="268">
        <f>BW157+SUM(BX154:BX156)</f>
        <v>46736</v>
      </c>
      <c r="BY157" s="268">
        <f>BX157+SUM(BY154:BY156)</f>
        <v>46736</v>
      </c>
      <c r="BZ157" s="268" t="n"/>
      <c r="CA157" s="268">
        <f>BY157+SUM(CA154:CA156)</f>
        <v>46736</v>
      </c>
      <c r="CB157" s="268">
        <f>CA157+SUM(CB154:CB156)</f>
        <v>46736</v>
      </c>
      <c r="CC157" s="268">
        <f>CB157+SUM(CC154:CC156)</f>
        <v>46736</v>
      </c>
      <c r="CD157" s="268">
        <f>CC157+SUM(CD154:CD156)</f>
        <v>46736</v>
      </c>
      <c r="CE157" s="268" t="n"/>
      <c r="CF157" s="268">
        <f>CD157+SUM(CF154:CF156)</f>
        <v>46736</v>
      </c>
      <c r="CG157" s="268">
        <f>CF157+SUM(CG154:CG156)</f>
        <v>46736</v>
      </c>
      <c r="CH157" s="268">
        <f>CG157+SUM(CH154:CH156)</f>
        <v>46736</v>
      </c>
      <c r="CI157" s="268">
        <f>CH157+SUM(CI154:CI156)</f>
        <v>46736</v>
      </c>
      <c r="CJ157" s="268" t="n"/>
      <c r="CK157" s="268">
        <f>CI157+SUM(CK154:CK156)</f>
        <v>46736</v>
      </c>
      <c r="CL157" s="268">
        <f>CK157+SUM(CL154:CL156)</f>
        <v>46736</v>
      </c>
      <c r="CM157" s="268">
        <f>CL157+SUM(CM154:CM156)</f>
        <v>46736</v>
      </c>
      <c r="CN157" s="268">
        <f>CM157+SUM(CN154:CN156)</f>
        <v>46736</v>
      </c>
      <c r="CO157" s="268" t="n"/>
      <c r="CP157" s="268">
        <f>CN157+SUM(CP154:CP156)</f>
        <v>46736</v>
      </c>
      <c r="CQ157" s="268">
        <f>CP157+SUM(CQ154:CQ156)</f>
        <v>46736</v>
      </c>
      <c r="CR157" s="268">
        <f>CQ157+SUM(CR154:CR156)</f>
        <v>46736</v>
      </c>
      <c r="CS157" s="268">
        <f>CR157+SUM(CS154:CS156)</f>
        <v>46736</v>
      </c>
      <c r="CT157" s="268" t="n"/>
      <c r="CU157" s="268">
        <f>CS157+SUM(CU154:CU156)</f>
        <v>46736</v>
      </c>
      <c r="CV157" s="268">
        <f>CU157+SUM(CV154:CV156)</f>
        <v>46736</v>
      </c>
      <c r="CW157" s="268">
        <f>CV157+SUM(CW154:CW156)</f>
        <v>46736</v>
      </c>
      <c r="CX157" s="268">
        <f>CW157+SUM(CX154:CX156)</f>
        <v>46736</v>
      </c>
      <c r="CY157" s="268" t="n"/>
      <c r="CZ157" s="260">
        <f>CX157+SUM(CZ154:CZ156)</f>
        <v>46736</v>
      </c>
      <c r="DA157" s="260">
        <f>CZ157+SUM(DA154:DA156)</f>
        <v>46736</v>
      </c>
      <c r="DB157" s="260">
        <f>DA157+SUM(DB154:DB156)</f>
        <v>46736</v>
      </c>
      <c r="DC157" s="260">
        <f>DB157+SUM(DC154:DC156)</f>
        <v>46736</v>
      </c>
    </row>
    <row r="158" hidden="1" outlineLevel="1" ht="12.75" customHeight="1" s="255">
      <c r="C158" s="312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  <c r="W158" s="268" t="n"/>
      <c r="X158" s="268" t="n"/>
      <c r="Y158" s="268" t="n"/>
      <c r="Z158" s="268" t="n"/>
      <c r="AA158" s="268" t="n"/>
      <c r="AB158" s="268" t="n"/>
      <c r="AC158" s="268" t="n"/>
      <c r="AD158" s="268" t="n"/>
      <c r="AE158" s="268" t="n"/>
      <c r="AF158" s="268" t="n"/>
      <c r="AG158" s="268" t="n"/>
      <c r="AH158" s="268" t="n"/>
      <c r="AI158" s="268" t="n"/>
      <c r="AJ158" s="268" t="n"/>
      <c r="AK158" s="268" t="n"/>
      <c r="AL158" s="268" t="n"/>
      <c r="AM158" s="268" t="n"/>
      <c r="AN158" s="268" t="n"/>
      <c r="AO158" s="268" t="n"/>
      <c r="AP158" s="268" t="n"/>
      <c r="AQ158" s="268" t="n"/>
      <c r="AR158" s="268" t="n"/>
      <c r="AS158" s="268" t="n"/>
      <c r="AT158" s="268" t="n"/>
      <c r="AU158" s="268" t="n"/>
      <c r="AV158" s="268" t="n"/>
      <c r="AW158" s="268" t="n"/>
      <c r="AX158" s="268" t="n"/>
      <c r="AY158" s="268" t="n"/>
      <c r="AZ158" s="268" t="n"/>
      <c r="BA158" s="268" t="n"/>
      <c r="BB158" s="268" t="n"/>
      <c r="BC158" s="268" t="n"/>
      <c r="BD158" s="268" t="n"/>
      <c r="BE158" s="268" t="n"/>
      <c r="BF158" s="268" t="n"/>
      <c r="BG158" s="268" t="n"/>
      <c r="BH158" s="268" t="n"/>
      <c r="BI158" s="268" t="n"/>
      <c r="BJ158" s="268" t="n"/>
      <c r="BK158" s="268" t="n"/>
      <c r="BL158" s="268" t="n"/>
      <c r="BM158" s="268" t="n"/>
      <c r="BN158" s="268" t="n"/>
      <c r="BO158" s="268" t="n"/>
      <c r="BP158" s="268" t="n"/>
      <c r="BQ158" s="268" t="n"/>
      <c r="BR158" s="268" t="n"/>
      <c r="BS158" s="268" t="n"/>
      <c r="BT158" s="268" t="n"/>
      <c r="BU158" s="268" t="n"/>
      <c r="BV158" s="268" t="n"/>
      <c r="BW158" s="268" t="n"/>
      <c r="BX158" s="268" t="n"/>
      <c r="BY158" s="268" t="n"/>
      <c r="BZ158" s="268" t="n"/>
      <c r="CA158" s="268" t="n"/>
      <c r="CB158" s="268" t="n"/>
      <c r="CC158" s="268" t="n"/>
      <c r="CD158" s="268" t="n"/>
      <c r="CE158" s="268" t="n"/>
      <c r="CF158" s="268" t="n"/>
      <c r="CG158" s="268" t="n"/>
      <c r="CH158" s="268" t="n"/>
      <c r="CI158" s="268" t="n"/>
      <c r="CJ158" s="268" t="n"/>
      <c r="CK158" s="268" t="n"/>
      <c r="CL158" s="268" t="n"/>
      <c r="CM158" s="268" t="n"/>
      <c r="CN158" s="268" t="n"/>
      <c r="CO158" s="268" t="n"/>
      <c r="CP158" s="268" t="n"/>
      <c r="CQ158" s="268" t="n"/>
      <c r="CR158" s="268" t="n"/>
      <c r="CS158" s="268" t="n"/>
      <c r="CT158" s="268" t="n"/>
      <c r="CU158" s="268" t="n"/>
      <c r="CV158" s="268" t="n"/>
      <c r="CW158" s="268" t="n"/>
      <c r="CX158" s="268" t="n"/>
      <c r="CY158" s="268" t="n"/>
    </row>
    <row r="159" hidden="1" outlineLevel="1" ht="12.75" customHeight="1" s="255">
      <c r="C159" s="312" t="inlineStr">
        <is>
          <t>Capital expenditures (% Net Revenues)</t>
        </is>
      </c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313">
        <f>AF154/AF15</f>
        <v>6.81871284760392</v>
      </c>
      <c r="AG159" s="313">
        <f>AG154/AG15</f>
        <v>4.11185986769527</v>
      </c>
      <c r="AH159" s="313">
        <f>AH154/AH15</f>
        <v>3.37536092396535</v>
      </c>
      <c r="AI159" s="313">
        <f>AI154/AI15</f>
        <v>4.54563106796117</v>
      </c>
      <c r="AJ159" s="313">
        <f>AJ154/AJ15</f>
        <v>0</v>
      </c>
      <c r="AK159" s="313">
        <f>AK154/AK15</f>
        <v>0</v>
      </c>
      <c r="AL159" s="313">
        <f>AL154/AL15</f>
        <v>0</v>
      </c>
      <c r="AM159" s="313">
        <f>AM154/AM15</f>
        <v>0</v>
      </c>
      <c r="AN159" s="313">
        <f>AN154/AN15</f>
        <v>0</v>
      </c>
      <c r="AO159" s="313">
        <f>AO154/AO15</f>
        <v>0</v>
      </c>
      <c r="AP159" s="313">
        <f>AP154/AP15</f>
        <v>0</v>
      </c>
      <c r="AQ159" s="313">
        <f>AQ154/AQ15</f>
        <v>0</v>
      </c>
      <c r="AR159" s="313">
        <f>AR154/AR15</f>
        <v>0</v>
      </c>
      <c r="AS159" s="313">
        <f>AS154/AS15</f>
        <v>0</v>
      </c>
      <c r="AT159" s="313">
        <f>AT154/AT15</f>
        <v>0</v>
      </c>
      <c r="AU159" s="313">
        <f>AU154/AU15</f>
        <v>0</v>
      </c>
      <c r="AV159" s="313">
        <f>AV154/AV15</f>
        <v>0</v>
      </c>
      <c r="AW159" s="313">
        <f>AW154/AW15</f>
        <v>0</v>
      </c>
      <c r="AX159" s="313">
        <f>AX154/AX15</f>
        <v>0</v>
      </c>
      <c r="AY159" s="313">
        <f>AY154/AY15</f>
        <v>0</v>
      </c>
      <c r="AZ159" s="313">
        <f>AZ154/AZ15</f>
        <v>0</v>
      </c>
      <c r="BA159" s="313">
        <f>BA154/BA15</f>
        <v>0</v>
      </c>
      <c r="BB159" s="313">
        <f>BB154/BB15</f>
        <v>0</v>
      </c>
      <c r="BC159" s="313">
        <f>BC154/BC15</f>
        <v>0</v>
      </c>
      <c r="BD159" s="313">
        <f>BD154/BD15</f>
        <v>0</v>
      </c>
      <c r="BE159" s="313">
        <f>BE154/BE15</f>
        <v>0</v>
      </c>
      <c r="BF159" s="313">
        <f>BF154/BF15</f>
        <v>0</v>
      </c>
      <c r="BG159" s="313">
        <f>BG154/BG15</f>
        <v>0</v>
      </c>
      <c r="BH159" s="313">
        <f>BH154/BH15</f>
        <v>0</v>
      </c>
      <c r="BI159" s="313">
        <f>BI154/BI15</f>
        <v>0</v>
      </c>
      <c r="BJ159" s="313">
        <f>BJ154/BJ15</f>
        <v>0</v>
      </c>
      <c r="BK159" s="313">
        <f>BK154/BK15</f>
        <v>0</v>
      </c>
      <c r="BL159" s="313">
        <f>BL154/BL15</f>
        <v>0</v>
      </c>
      <c r="BM159" s="313">
        <f>BM154/BM15</f>
        <v>0</v>
      </c>
      <c r="BN159" s="313">
        <f>BN154/BN15</f>
        <v>0</v>
      </c>
      <c r="BO159" s="313">
        <f>BO154/BO15</f>
        <v>0</v>
      </c>
      <c r="BP159" s="313">
        <f>BP154/BP15</f>
        <v>0</v>
      </c>
      <c r="BQ159" s="313">
        <f>BQ154/BQ15</f>
        <v>0</v>
      </c>
      <c r="BR159" s="313">
        <f>BR154/BR15</f>
        <v>0</v>
      </c>
      <c r="BS159" s="313">
        <f>BS154/BS15</f>
        <v>0</v>
      </c>
      <c r="BT159" s="313">
        <f>BT154/BT15</f>
        <v>0</v>
      </c>
      <c r="BU159" s="313">
        <f>BU154/BU15</f>
        <v>0</v>
      </c>
      <c r="BV159" s="313">
        <f>BV154/BV15</f>
        <v>0</v>
      </c>
      <c r="BW159" s="313">
        <f>BW154/BW15</f>
        <v>0</v>
      </c>
      <c r="BX159" s="313">
        <f>BX154/BX15</f>
        <v>0</v>
      </c>
      <c r="BY159" s="313">
        <f>BY154/BY15</f>
        <v>0</v>
      </c>
      <c r="BZ159" s="313">
        <f>BZ154/BZ15</f>
        <v>0</v>
      </c>
      <c r="CA159" s="313">
        <f>CA154/CA15</f>
        <v>0</v>
      </c>
      <c r="CB159" s="313">
        <f>CB154/CB15</f>
        <v>0</v>
      </c>
      <c r="CC159" s="313">
        <f>CC154/CC15</f>
        <v>0</v>
      </c>
      <c r="CD159" s="313">
        <f>CD154/CD15</f>
        <v>0</v>
      </c>
      <c r="CE159" s="313">
        <f>CE154/CE15</f>
        <v>0</v>
      </c>
      <c r="CF159" s="313">
        <f>CF154/CF15</f>
        <v>0</v>
      </c>
      <c r="CG159" s="313">
        <f>CG154/CG15</f>
        <v>0</v>
      </c>
      <c r="CH159" s="313">
        <f>CH154/CH15</f>
        <v>0</v>
      </c>
      <c r="CI159" s="313">
        <f>CI154/CI15</f>
        <v>0</v>
      </c>
      <c r="CJ159" s="313">
        <f>CJ154/CJ15</f>
        <v>0</v>
      </c>
      <c r="CK159" s="313">
        <f>CK154/CK15</f>
        <v>0</v>
      </c>
      <c r="CL159" s="313">
        <f>CL154/CL15</f>
        <v>0</v>
      </c>
      <c r="CM159" s="313">
        <f>CM154/CM15</f>
        <v>0</v>
      </c>
      <c r="CN159" s="313">
        <f>CN154/CN15</f>
        <v>0</v>
      </c>
      <c r="CO159" s="313">
        <f>CO154/CO15</f>
        <v>0</v>
      </c>
      <c r="CP159" s="313">
        <f>CP154/CP15</f>
        <v>0</v>
      </c>
      <c r="CQ159" s="313">
        <f>CQ154/CQ15</f>
        <v>0</v>
      </c>
      <c r="CR159" s="313">
        <f>CR154/CR15</f>
        <v>0</v>
      </c>
      <c r="CS159" s="313">
        <f>CS154/CS15</f>
        <v>0</v>
      </c>
      <c r="CT159" s="313">
        <f>CT154/CT15</f>
        <v>0</v>
      </c>
      <c r="CU159" s="313">
        <f>CU154/CU15</f>
        <v>0</v>
      </c>
      <c r="CV159" s="313">
        <f>CV154/CV15</f>
        <v>0</v>
      </c>
      <c r="CW159" s="313">
        <f>CW154/CW15</f>
        <v>0</v>
      </c>
      <c r="CX159" s="313">
        <f>CX154/CX15</f>
        <v>0</v>
      </c>
      <c r="CY159" s="313">
        <f>CY154/CY15</f>
        <v>0</v>
      </c>
    </row>
    <row r="160" hidden="1" outlineLevel="1" ht="12.75" customHeight="1" s="255">
      <c r="C160" s="312" t="n"/>
      <c r="D160" s="268" t="n"/>
      <c r="E160" s="268" t="n"/>
      <c r="F160" s="268" t="n"/>
      <c r="G160" s="268" t="n"/>
      <c r="H160" s="268" t="n"/>
      <c r="I160" s="268" t="n"/>
      <c r="J160" s="268" t="n"/>
      <c r="K160" s="268" t="n"/>
      <c r="L160" s="268" t="n"/>
      <c r="M160" s="268" t="n"/>
      <c r="N160" s="268" t="n"/>
      <c r="O160" s="268" t="n"/>
      <c r="P160" s="268" t="n"/>
      <c r="Q160" s="268" t="n"/>
      <c r="R160" s="268" t="n"/>
      <c r="S160" s="268" t="n"/>
      <c r="T160" s="268" t="n"/>
      <c r="U160" s="268" t="n"/>
      <c r="V160" s="268" t="n"/>
      <c r="W160" s="268" t="n"/>
      <c r="X160" s="268" t="n"/>
      <c r="Y160" s="268" t="n"/>
      <c r="Z160" s="268" t="n"/>
      <c r="AA160" s="268" t="n"/>
      <c r="AB160" s="268" t="n"/>
      <c r="AC160" s="268" t="n"/>
      <c r="AD160" s="268" t="n"/>
      <c r="AE160" s="268" t="n"/>
      <c r="AF160" s="268" t="n"/>
      <c r="AG160" s="268" t="n"/>
      <c r="AH160" s="268" t="n"/>
      <c r="AI160" s="268" t="n"/>
      <c r="AJ160" s="268" t="n"/>
      <c r="AK160" s="268" t="n"/>
      <c r="AL160" s="268" t="n"/>
      <c r="AM160" s="268" t="n"/>
      <c r="AN160" s="268" t="n"/>
      <c r="AO160" s="268" t="n"/>
      <c r="AP160" s="268" t="n"/>
      <c r="AQ160" s="268" t="n"/>
      <c r="AR160" s="268" t="n"/>
      <c r="AS160" s="268" t="n"/>
      <c r="AT160" s="268" t="n"/>
      <c r="AU160" s="268" t="n"/>
      <c r="AV160" s="268" t="n"/>
      <c r="AW160" s="268" t="n"/>
      <c r="AX160" s="268" t="n"/>
      <c r="AY160" s="268" t="n"/>
      <c r="AZ160" s="268" t="n"/>
      <c r="BA160" s="268" t="n"/>
      <c r="BB160" s="268" t="n"/>
      <c r="BC160" s="268" t="n"/>
      <c r="BD160" s="268" t="n"/>
      <c r="BE160" s="268" t="n"/>
      <c r="BF160" s="268" t="n"/>
      <c r="BG160" s="268" t="n"/>
      <c r="BH160" s="268" t="n"/>
      <c r="BI160" s="268" t="n"/>
      <c r="BJ160" s="268" t="n"/>
      <c r="BK160" s="268" t="n"/>
      <c r="BL160" s="268" t="n"/>
      <c r="BM160" s="268" t="n"/>
      <c r="BN160" s="268" t="n"/>
      <c r="BO160" s="268" t="n"/>
      <c r="BP160" s="268" t="n"/>
      <c r="BQ160" s="268" t="n"/>
      <c r="BR160" s="268" t="n"/>
      <c r="BS160" s="268" t="n"/>
      <c r="BT160" s="268" t="n"/>
      <c r="BU160" s="268" t="n"/>
      <c r="BV160" s="268" t="n"/>
      <c r="BW160" s="268" t="n"/>
      <c r="BX160" s="268" t="n"/>
      <c r="BY160" s="268" t="n"/>
      <c r="BZ160" s="268" t="n"/>
      <c r="CA160" s="268" t="n"/>
      <c r="CB160" s="268" t="n"/>
      <c r="CC160" s="268" t="n"/>
      <c r="CD160" s="268" t="n"/>
      <c r="CE160" s="268" t="n"/>
      <c r="CF160" s="268" t="n"/>
      <c r="CG160" s="268" t="n"/>
      <c r="CH160" s="268" t="n"/>
      <c r="CI160" s="268" t="n"/>
      <c r="CJ160" s="268" t="n"/>
      <c r="CK160" s="268" t="n"/>
      <c r="CL160" s="268" t="n"/>
      <c r="CM160" s="268" t="n"/>
      <c r="CN160" s="268" t="n"/>
      <c r="CO160" s="268" t="n"/>
      <c r="CP160" s="268" t="n"/>
      <c r="CQ160" s="268" t="n"/>
      <c r="CR160" s="268" t="n"/>
      <c r="CS160" s="268" t="n"/>
      <c r="CT160" s="268" t="n"/>
      <c r="CU160" s="268" t="n"/>
      <c r="CV160" s="268" t="n"/>
      <c r="CW160" s="268" t="n"/>
      <c r="CX160" s="268" t="n"/>
      <c r="CY160" s="268" t="n"/>
    </row>
    <row r="161" hidden="1" outlineLevel="1" ht="12.75" customHeight="1" s="255">
      <c r="C161" s="312" t="n"/>
      <c r="D161" s="268" t="n"/>
      <c r="E161" s="268" t="n"/>
      <c r="F161" s="268" t="n"/>
      <c r="G161" s="268" t="n"/>
      <c r="H161" s="268" t="n"/>
      <c r="I161" s="268" t="n"/>
      <c r="J161" s="268" t="n"/>
      <c r="K161" s="268" t="n"/>
      <c r="L161" s="268" t="n"/>
      <c r="M161" s="268" t="n"/>
      <c r="N161" s="268" t="n"/>
      <c r="O161" s="268" t="n"/>
      <c r="P161" s="268" t="n"/>
      <c r="Q161" s="268" t="n"/>
      <c r="R161" s="268" t="n"/>
      <c r="S161" s="268" t="n"/>
      <c r="T161" s="268" t="n"/>
      <c r="U161" s="268" t="n"/>
      <c r="V161" s="268" t="n"/>
      <c r="W161" s="268" t="n"/>
      <c r="X161" s="268" t="n"/>
      <c r="Y161" s="268" t="n"/>
      <c r="Z161" s="268" t="n"/>
      <c r="AA161" s="268" t="n"/>
      <c r="AB161" s="268" t="n"/>
      <c r="AC161" s="268" t="n"/>
      <c r="AD161" s="268" t="n"/>
      <c r="AE161" s="268" t="n"/>
      <c r="AF161" s="268" t="n"/>
      <c r="AG161" s="268" t="n"/>
      <c r="AH161" s="268" t="n"/>
      <c r="AI161" s="268" t="n"/>
      <c r="AJ161" s="268" t="n"/>
      <c r="AK161" s="268" t="n"/>
      <c r="AL161" s="268" t="n"/>
      <c r="AM161" s="268" t="n"/>
      <c r="AN161" s="268" t="n"/>
      <c r="AO161" s="268" t="n"/>
      <c r="AP161" s="268" t="n"/>
      <c r="AQ161" s="268" t="n"/>
      <c r="AR161" s="268" t="n"/>
      <c r="AS161" s="268" t="n"/>
      <c r="AT161" s="268" t="n"/>
      <c r="AU161" s="268" t="n"/>
      <c r="AV161" s="268" t="n"/>
      <c r="AW161" s="268" t="n"/>
      <c r="AX161" s="268" t="n"/>
      <c r="AY161" s="268" t="n"/>
      <c r="AZ161" s="268" t="n"/>
      <c r="BA161" s="268" t="n"/>
      <c r="BB161" s="268" t="n"/>
      <c r="BC161" s="268" t="n"/>
      <c r="BD161" s="268" t="n"/>
      <c r="BE161" s="268" t="n"/>
      <c r="BF161" s="268" t="n"/>
      <c r="BG161" s="268" t="n"/>
      <c r="BH161" s="268" t="n"/>
      <c r="BI161" s="268" t="n"/>
      <c r="BJ161" s="268" t="n"/>
      <c r="BK161" s="268" t="n"/>
      <c r="BL161" s="268" t="n"/>
      <c r="BM161" s="268" t="n"/>
      <c r="BN161" s="268" t="n"/>
      <c r="BO161" s="268" t="n"/>
      <c r="BP161" s="268" t="n"/>
      <c r="BQ161" s="268" t="n"/>
      <c r="BR161" s="268" t="n"/>
      <c r="BS161" s="268" t="n"/>
      <c r="BT161" s="268" t="n"/>
      <c r="BU161" s="268" t="n"/>
      <c r="BV161" s="268" t="n"/>
      <c r="BW161" s="268" t="n"/>
      <c r="BX161" s="268" t="n"/>
      <c r="BY161" s="268" t="n"/>
      <c r="BZ161" s="268" t="n"/>
      <c r="CA161" s="268" t="n"/>
      <c r="CB161" s="268" t="n"/>
      <c r="CC161" s="268" t="n"/>
      <c r="CD161" s="268" t="n"/>
      <c r="CE161" s="268" t="n"/>
      <c r="CF161" s="268" t="n"/>
      <c r="CG161" s="268" t="n"/>
      <c r="CH161" s="268" t="n"/>
      <c r="CI161" s="268" t="n"/>
      <c r="CJ161" s="268" t="n"/>
      <c r="CK161" s="268" t="n"/>
      <c r="CL161" s="268" t="n"/>
      <c r="CM161" s="268" t="n"/>
      <c r="CN161" s="268" t="n"/>
      <c r="CO161" s="268" t="n"/>
      <c r="CP161" s="268" t="n"/>
      <c r="CQ161" s="268" t="n"/>
      <c r="CR161" s="268" t="n"/>
      <c r="CS161" s="268" t="n"/>
      <c r="CT161" s="268" t="n"/>
      <c r="CU161" s="268" t="n"/>
      <c r="CV161" s="268" t="n"/>
      <c r="CW161" s="268" t="n"/>
      <c r="CX161" s="268" t="n"/>
      <c r="CY161" s="268" t="n"/>
    </row>
    <row r="162" ht="12.75" customHeight="1" s="255">
      <c r="C162" s="270" t="inlineStr">
        <is>
          <t>Right-of-use-assets</t>
        </is>
      </c>
      <c r="D162" s="301">
        <f>INDEX('Inputs (2)'!$D$23:$AL$23,MATCH(D$7,'Inputs (2)'!$D$2:$AL$2,0))</f>
        <v>0</v>
      </c>
      <c r="E162" s="301">
        <f>INDEX('Inputs (2)'!$D$23:$AL$23,MATCH(E$7,'Inputs (2)'!$D$2:$AL$2,0))</f>
        <v>0</v>
      </c>
      <c r="F162" s="301">
        <f>INDEX('Inputs (2)'!$D$23:$AL$23,MATCH(F$7,'Inputs (2)'!$D$2:$AL$2,0))</f>
        <v>0</v>
      </c>
      <c r="G162" s="301">
        <f>INDEX('Inputs (2)'!$D$23:$AL$23,MATCH(G$7,'Inputs (2)'!$D$2:$AL$2,0))</f>
        <v>0</v>
      </c>
      <c r="H162" s="268">
        <f>G162</f>
        <v>0</v>
      </c>
      <c r="I162" s="301">
        <f>INDEX('Inputs (2)'!$D$23:$AL$23,MATCH(I$7,'Inputs (2)'!$D$2:$AL$2,0))</f>
        <v>0</v>
      </c>
      <c r="J162" s="301">
        <f>INDEX('Inputs (2)'!$D$23:$AL$23,MATCH(J$7,'Inputs (2)'!$D$2:$AL$2,0))</f>
        <v>0</v>
      </c>
      <c r="K162" s="301">
        <f>INDEX('Inputs (2)'!$D$23:$AL$23,MATCH(K$7,'Inputs (2)'!$D$2:$AL$2,0))</f>
        <v>0</v>
      </c>
      <c r="L162" s="301">
        <f>INDEX('Inputs (2)'!$D$23:$AL$23,MATCH(L$7,'Inputs (2)'!$D$2:$AL$2,0))</f>
        <v>0</v>
      </c>
      <c r="M162" s="268">
        <f>L162</f>
        <v>0</v>
      </c>
      <c r="N162" s="301">
        <f>INDEX('Inputs (2)'!$D$23:$AL$23,MATCH(N$7,'Inputs (2)'!$D$2:$AL$2,0))</f>
        <v>0</v>
      </c>
      <c r="O162" s="301">
        <f>INDEX('Inputs (2)'!$D$23:$AL$23,MATCH(O$7,'Inputs (2)'!$D$2:$AL$2,0))</f>
        <v>0</v>
      </c>
      <c r="P162" s="301">
        <f>INDEX('Inputs (2)'!$D$23:$AL$23,MATCH(P$7,'Inputs (2)'!$D$2:$AL$2,0))</f>
        <v>0</v>
      </c>
      <c r="Q162" s="301">
        <f>INDEX('Inputs (2)'!$D$23:$AL$23,MATCH(Q$7,'Inputs (2)'!$D$2:$AL$2,0))</f>
        <v>0</v>
      </c>
      <c r="R162" s="268">
        <f>Q162</f>
        <v>0</v>
      </c>
      <c r="S162" s="301">
        <f>INDEX('Inputs (2)'!$D$23:$AL$23,MATCH(S$7,'Inputs (2)'!$D$2:$AL$2,0))</f>
        <v>0</v>
      </c>
      <c r="T162" s="301">
        <f>INDEX('Inputs (2)'!$D$23:$AL$23,MATCH(T$7,'Inputs (2)'!$D$2:$AL$2,0))</f>
        <v>0</v>
      </c>
      <c r="U162" s="301">
        <f>INDEX('Inputs (2)'!$D$23:$AL$23,MATCH(U$7,'Inputs (2)'!$D$2:$AL$2,0))</f>
        <v>0</v>
      </c>
      <c r="V162" s="301">
        <f>INDEX('Inputs (2)'!$D$23:$AL$23,MATCH(V$7,'Inputs (2)'!$D$2:$AL$2,0))</f>
        <v>0</v>
      </c>
      <c r="W162" s="268">
        <f>V162</f>
        <v>0</v>
      </c>
      <c r="X162" s="301">
        <f>INDEX('Inputs (2)'!$D$23:$AL$23,MATCH(X$7,'Inputs (2)'!$D$2:$AL$2,0))</f>
        <v>0</v>
      </c>
      <c r="Y162" s="301">
        <f>INDEX('Inputs (2)'!$D$23:$AL$23,MATCH(Y$7,'Inputs (2)'!$D$2:$AL$2,0))</f>
        <v>0</v>
      </c>
      <c r="Z162" s="301">
        <f>INDEX('Inputs (2)'!$D$23:$AL$23,MATCH(Z$7,'Inputs (2)'!$D$2:$AL$2,0))</f>
        <v>0</v>
      </c>
      <c r="AA162" s="301">
        <f>INDEX('Inputs (2)'!$D$23:$AL$23,MATCH(AA$7,'Inputs (2)'!$D$2:$AL$2,0))</f>
        <v>2589.547</v>
      </c>
      <c r="AB162" s="268">
        <f>AA162</f>
        <v>2589.547</v>
      </c>
      <c r="AC162" s="301">
        <f>INDEX('Inputs (2)'!$D$23:$AL$23,MATCH(AC$7,'Inputs (2)'!$D$2:$AL$2,0))</f>
        <v>3063.22</v>
      </c>
      <c r="AD162" s="301">
        <f>INDEX('Inputs (2)'!$D$23:$AL$23,MATCH(AD$7,'Inputs (2)'!$D$2:$AL$2,0))</f>
        <v>3380.201</v>
      </c>
      <c r="AE162" s="301">
        <f>INDEX('Inputs (2)'!$D$23:$AL$23,MATCH(AE$7,'Inputs (2)'!$D$2:$AL$2,0))</f>
        <v>4677.057</v>
      </c>
      <c r="AF162" s="301">
        <f>INDEX('Inputs (2)'!$D$23:$AL$23,MATCH(AF$7,'Inputs (2)'!$D$2:$AL$2,0))</f>
        <v>8231</v>
      </c>
      <c r="AG162" s="268">
        <f>AF162</f>
        <v>8231</v>
      </c>
      <c r="AH162" s="268">
        <f>INDEX('Inputs (2)'!$D$23:$AL$23,MATCH(AH$7,'Inputs (2)'!$D$2:$AL$2,0))</f>
        <v>10182</v>
      </c>
      <c r="AI162" s="268">
        <f>INDEX('Inputs (2)'!$D$23:$AL$23,MATCH(AI$7,'Inputs (2)'!$D$2:$AL$2,0))</f>
        <v>16595</v>
      </c>
      <c r="AJ162" s="268">
        <f>AI162</f>
        <v>16595</v>
      </c>
      <c r="AK162" s="268">
        <f>AJ162</f>
        <v>16595</v>
      </c>
      <c r="AL162" s="268">
        <f>AK162</f>
        <v>16595</v>
      </c>
      <c r="AM162" s="268">
        <f>AL162</f>
        <v>16595</v>
      </c>
      <c r="AN162" s="268">
        <f>AM162</f>
        <v>16595</v>
      </c>
      <c r="AO162" s="268">
        <f>AN162</f>
        <v>16595</v>
      </c>
      <c r="AP162" s="268">
        <f>AO162</f>
        <v>16595</v>
      </c>
      <c r="AQ162" s="268">
        <f>AP162</f>
        <v>16595</v>
      </c>
      <c r="AR162" s="268">
        <f>AQ162</f>
        <v>16595</v>
      </c>
      <c r="AS162" s="268">
        <f>AR162</f>
        <v>16595</v>
      </c>
      <c r="AT162" s="268">
        <f>AS162</f>
        <v>16595</v>
      </c>
      <c r="AU162" s="268">
        <f>AT162</f>
        <v>16595</v>
      </c>
      <c r="AV162" s="268">
        <f>AU162</f>
        <v>16595</v>
      </c>
      <c r="AW162" s="268">
        <f>AV162</f>
        <v>16595</v>
      </c>
      <c r="AX162" s="268">
        <f>AW162</f>
        <v>16595</v>
      </c>
      <c r="AY162" s="268">
        <f>AX162</f>
        <v>16595</v>
      </c>
      <c r="AZ162" s="268">
        <f>AY162</f>
        <v>16595</v>
      </c>
      <c r="BA162" s="268">
        <f>AZ162</f>
        <v>16595</v>
      </c>
      <c r="BB162" s="268">
        <f>BA162</f>
        <v>16595</v>
      </c>
      <c r="BC162" s="268">
        <f>BB162</f>
        <v>16595</v>
      </c>
      <c r="BD162" s="268">
        <f>BC162</f>
        <v>16595</v>
      </c>
      <c r="BE162" s="268">
        <f>BD162</f>
        <v>16595</v>
      </c>
      <c r="BF162" s="268">
        <f>BE162</f>
        <v>16595</v>
      </c>
      <c r="BG162" s="268">
        <f>BF162</f>
        <v>16595</v>
      </c>
      <c r="BH162" s="268">
        <f>BG162</f>
        <v>16595</v>
      </c>
      <c r="BI162" s="268">
        <f>BH162</f>
        <v>16595</v>
      </c>
      <c r="BJ162" s="268">
        <f>BI162</f>
        <v>16595</v>
      </c>
      <c r="BK162" s="268">
        <f>BJ162</f>
        <v>16595</v>
      </c>
      <c r="BL162" s="268">
        <f>BK162</f>
        <v>16595</v>
      </c>
      <c r="BM162" s="268">
        <f>BL162</f>
        <v>16595</v>
      </c>
      <c r="BN162" s="268">
        <f>BM162</f>
        <v>16595</v>
      </c>
      <c r="BO162" s="268">
        <f>BN162</f>
        <v>16595</v>
      </c>
      <c r="BP162" s="268">
        <f>BO162</f>
        <v>16595</v>
      </c>
      <c r="BQ162" s="268">
        <f>BP162</f>
        <v>16595</v>
      </c>
      <c r="BR162" s="268">
        <f>BQ162</f>
        <v>16595</v>
      </c>
      <c r="BS162" s="268">
        <f>BR162</f>
        <v>16595</v>
      </c>
      <c r="BT162" s="268">
        <f>BS162</f>
        <v>16595</v>
      </c>
      <c r="BU162" s="268">
        <f>BT162</f>
        <v>16595</v>
      </c>
      <c r="BV162" s="268">
        <f>BU162</f>
        <v>16595</v>
      </c>
      <c r="BW162" s="268">
        <f>BV162</f>
        <v>16595</v>
      </c>
      <c r="BX162" s="268">
        <f>BW162</f>
        <v>16595</v>
      </c>
      <c r="BY162" s="268">
        <f>BX162</f>
        <v>16595</v>
      </c>
      <c r="BZ162" s="268">
        <f>BY162</f>
        <v>16595</v>
      </c>
      <c r="CA162" s="268">
        <f>BZ162</f>
        <v>16595</v>
      </c>
      <c r="CB162" s="268">
        <f>CA162</f>
        <v>16595</v>
      </c>
      <c r="CC162" s="268">
        <f>CB162</f>
        <v>16595</v>
      </c>
      <c r="CD162" s="268">
        <f>CC162</f>
        <v>16595</v>
      </c>
      <c r="CE162" s="268">
        <f>CD162</f>
        <v>16595</v>
      </c>
      <c r="CF162" s="268">
        <f>CE162</f>
        <v>16595</v>
      </c>
      <c r="CG162" s="268">
        <f>CF162</f>
        <v>16595</v>
      </c>
      <c r="CH162" s="268">
        <f>CG162</f>
        <v>16595</v>
      </c>
      <c r="CI162" s="268">
        <f>CH162</f>
        <v>16595</v>
      </c>
      <c r="CJ162" s="268">
        <f>CI162</f>
        <v>16595</v>
      </c>
      <c r="CK162" s="268">
        <f>CJ162</f>
        <v>16595</v>
      </c>
      <c r="CL162" s="268">
        <f>CK162</f>
        <v>16595</v>
      </c>
      <c r="CM162" s="268">
        <f>CL162</f>
        <v>16595</v>
      </c>
      <c r="CN162" s="268">
        <f>CM162</f>
        <v>16595</v>
      </c>
      <c r="CO162" s="268">
        <f>CN162</f>
        <v>16595</v>
      </c>
      <c r="CP162" s="268">
        <f>CO162</f>
        <v>16595</v>
      </c>
      <c r="CQ162" s="268">
        <f>CP162</f>
        <v>16595</v>
      </c>
      <c r="CR162" s="268">
        <f>CQ162</f>
        <v>16595</v>
      </c>
      <c r="CS162" s="268">
        <f>CR162</f>
        <v>16595</v>
      </c>
      <c r="CT162" s="268">
        <f>CS162</f>
        <v>16595</v>
      </c>
      <c r="CU162" s="268">
        <f>CT162</f>
        <v>16595</v>
      </c>
      <c r="CV162" s="268">
        <f>CU162</f>
        <v>16595</v>
      </c>
      <c r="CW162" s="268">
        <f>CV162</f>
        <v>16595</v>
      </c>
      <c r="CX162" s="268">
        <f>CW162</f>
        <v>16595</v>
      </c>
      <c r="CY162" s="268">
        <f>CX162</f>
        <v>16595</v>
      </c>
    </row>
    <row r="163" hidden="1" outlineLevel="1" ht="12.75" customHeight="1" s="255">
      <c r="C163" s="314" t="inlineStr">
        <is>
          <t>%(Var.)</t>
        </is>
      </c>
      <c r="D163" s="268" t="n"/>
      <c r="E163" s="296">
        <f>IFERROR((E162-D162)/D162,0)</f>
        <v>0</v>
      </c>
      <c r="F163" s="296">
        <f>IFERROR((F162-E162)/E162,0)</f>
        <v>0</v>
      </c>
      <c r="G163" s="296">
        <f>IFERROR((G162-F162)/F162,0)</f>
        <v>0</v>
      </c>
      <c r="H163" s="268" t="n"/>
      <c r="I163" s="296">
        <f>IFERROR((I162-H162)/H162,0)</f>
        <v>0</v>
      </c>
      <c r="J163" s="296">
        <f>IFERROR((J162-I162)/I162,0)</f>
        <v>0</v>
      </c>
      <c r="K163" s="296">
        <f>IFERROR((K162-J162)/J162,0)</f>
        <v>0</v>
      </c>
      <c r="L163" s="296">
        <f>IFERROR((L162-K162)/K162,0)</f>
        <v>0</v>
      </c>
      <c r="M163" s="268" t="n"/>
      <c r="N163" s="296">
        <f>IFERROR((N162-M162)/M162,0)</f>
        <v>0</v>
      </c>
      <c r="O163" s="296">
        <f>IFERROR((O162-N162)/N162,0)</f>
        <v>0</v>
      </c>
      <c r="P163" s="296">
        <f>IFERROR((P162-O162)/O162,0)</f>
        <v>0</v>
      </c>
      <c r="Q163" s="296">
        <f>IFERROR((Q162-P162)/P162,0)</f>
        <v>0</v>
      </c>
      <c r="R163" s="268" t="n"/>
      <c r="S163" s="296">
        <f>IFERROR((S162-R162)/R162,0)</f>
        <v>0</v>
      </c>
      <c r="T163" s="296">
        <f>IFERROR((T162-S162)/S162,0)</f>
        <v>0</v>
      </c>
      <c r="U163" s="296">
        <f>IFERROR((U162-T162)/T162,0)</f>
        <v>0</v>
      </c>
      <c r="V163" s="296">
        <f>IFERROR((V162-U162)/U162,0)</f>
        <v>0</v>
      </c>
      <c r="W163" s="268" t="n"/>
      <c r="X163" s="296">
        <f>IFERROR((X162-W162)/W162,0)</f>
        <v>0</v>
      </c>
      <c r="Y163" s="296">
        <f>IFERROR((Y162-X162)/X162,0)</f>
        <v>0</v>
      </c>
      <c r="Z163" s="296">
        <f>IFERROR((Z162-Y162)/Y162,0)</f>
        <v>0</v>
      </c>
      <c r="AA163" s="296">
        <f>IFERROR((AA162-Z162)/Z162,0)</f>
        <v>0</v>
      </c>
      <c r="AB163" s="268" t="n"/>
      <c r="AC163" s="296">
        <f>IFERROR((AC162-AB162)/AB162,0)</f>
        <v>0.182917321060402</v>
      </c>
      <c r="AD163" s="296">
        <f>IFERROR((AD162-AC162)/AC162,0)</f>
        <v>0.103479671717996</v>
      </c>
      <c r="AE163" s="296">
        <f>IFERROR((AE162-AD162)/AD162,0)</f>
        <v>0.383662391674341</v>
      </c>
      <c r="AF163" s="311">
        <f>IFERROR((AF162-AE162)/AE162,0)</f>
        <v>0.759867369587328</v>
      </c>
      <c r="AG163" s="268" t="n"/>
      <c r="AH163" s="311">
        <f>IFERROR((AH162-AG162)/AG162,0)</f>
        <v>0.237030737455959</v>
      </c>
      <c r="AI163" s="311">
        <f>IFERROR((AI162-AH162)/AH162,0)</f>
        <v>0.629836967197014</v>
      </c>
      <c r="AJ163" s="311" t="n"/>
      <c r="AK163" s="311" t="n"/>
      <c r="AL163" s="268" t="n"/>
      <c r="AM163" s="311" t="n"/>
      <c r="AN163" s="311" t="n"/>
      <c r="AO163" s="311" t="n"/>
      <c r="AP163" s="311" t="n"/>
      <c r="AQ163" s="268" t="n"/>
      <c r="AR163" s="311" t="n"/>
      <c r="AS163" s="311" t="n"/>
      <c r="AT163" s="311" t="n"/>
      <c r="AU163" s="311" t="n"/>
      <c r="AV163" s="268" t="n"/>
      <c r="AW163" s="311" t="n"/>
      <c r="AX163" s="311" t="n"/>
      <c r="AY163" s="311" t="n"/>
      <c r="AZ163" s="311" t="n"/>
      <c r="BA163" s="268" t="n"/>
      <c r="BB163" s="311" t="n"/>
      <c r="BC163" s="311" t="n"/>
      <c r="BD163" s="311" t="n"/>
      <c r="BE163" s="311" t="n"/>
      <c r="BF163" s="268" t="n"/>
      <c r="BG163" s="311" t="n"/>
      <c r="BH163" s="311" t="n"/>
      <c r="BI163" s="311" t="n"/>
      <c r="BJ163" s="311" t="n"/>
      <c r="BK163" s="268" t="n"/>
      <c r="BL163" s="311" t="n"/>
      <c r="BM163" s="311" t="n"/>
      <c r="BN163" s="311" t="n"/>
      <c r="BO163" s="311" t="n"/>
      <c r="BP163" s="268" t="n"/>
      <c r="BQ163" s="311" t="n"/>
      <c r="BR163" s="311" t="n"/>
      <c r="BS163" s="311" t="n"/>
      <c r="BT163" s="311" t="n"/>
      <c r="BU163" s="268" t="n"/>
      <c r="BV163" s="311" t="n"/>
      <c r="BW163" s="311" t="n"/>
      <c r="BX163" s="311" t="n"/>
      <c r="BY163" s="311" t="n"/>
      <c r="BZ163" s="268" t="n"/>
      <c r="CA163" s="311" t="n"/>
      <c r="CB163" s="311" t="n"/>
      <c r="CC163" s="311" t="n"/>
      <c r="CD163" s="311" t="n"/>
      <c r="CE163" s="268" t="n"/>
      <c r="CF163" s="311" t="n"/>
      <c r="CG163" s="311" t="n"/>
      <c r="CH163" s="311" t="n"/>
      <c r="CI163" s="311" t="n"/>
      <c r="CJ163" s="268" t="n"/>
      <c r="CK163" s="311" t="n"/>
      <c r="CL163" s="311" t="n"/>
      <c r="CM163" s="311" t="n"/>
      <c r="CN163" s="311" t="n"/>
      <c r="CO163" s="268" t="n"/>
      <c r="CP163" s="311" t="n"/>
      <c r="CQ163" s="311" t="n"/>
      <c r="CR163" s="311" t="n"/>
      <c r="CS163" s="311" t="n"/>
      <c r="CT163" s="268" t="n"/>
      <c r="CU163" s="311" t="n"/>
      <c r="CV163" s="311" t="n"/>
      <c r="CW163" s="311" t="n"/>
      <c r="CX163" s="311" t="n"/>
      <c r="CY163" s="268" t="n"/>
    </row>
    <row r="164" hidden="1" outlineLevel="1" ht="12.75" customHeight="1" s="255">
      <c r="C164" s="312" t="n"/>
      <c r="D164" s="268" t="n"/>
      <c r="E164" s="268" t="n"/>
      <c r="F164" s="268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8" t="n"/>
      <c r="P164" s="268" t="n"/>
      <c r="Q164" s="268" t="n"/>
      <c r="R164" s="268" t="n"/>
      <c r="S164" s="268" t="n"/>
      <c r="T164" s="268" t="n"/>
      <c r="U164" s="268" t="n"/>
      <c r="V164" s="268" t="n"/>
      <c r="W164" s="268" t="n"/>
      <c r="X164" s="268" t="n"/>
      <c r="Y164" s="268" t="n"/>
      <c r="Z164" s="268" t="n"/>
      <c r="AA164" s="268" t="n"/>
      <c r="AB164" s="268" t="n"/>
      <c r="AC164" s="268" t="n"/>
      <c r="AD164" s="268" t="n"/>
      <c r="AE164" s="268" t="n"/>
      <c r="AF164" s="268" t="n"/>
      <c r="AG164" s="268" t="n"/>
      <c r="AH164" s="268" t="n"/>
      <c r="AI164" s="268" t="n"/>
      <c r="AJ164" s="268" t="n"/>
      <c r="AK164" s="268" t="n"/>
      <c r="AL164" s="268" t="n"/>
      <c r="AM164" s="268" t="n"/>
      <c r="AN164" s="268" t="n"/>
      <c r="AO164" s="268" t="n"/>
      <c r="AP164" s="268" t="n"/>
      <c r="AQ164" s="268" t="n"/>
      <c r="AR164" s="268" t="n"/>
      <c r="AS164" s="268" t="n"/>
      <c r="AT164" s="268" t="n"/>
      <c r="AU164" s="268" t="n"/>
      <c r="AV164" s="268" t="n"/>
      <c r="AW164" s="268" t="n"/>
      <c r="AX164" s="268" t="n"/>
      <c r="AY164" s="268" t="n"/>
      <c r="AZ164" s="268" t="n"/>
      <c r="BA164" s="268" t="n"/>
      <c r="BB164" s="268" t="n"/>
      <c r="BC164" s="268" t="n"/>
      <c r="BD164" s="268" t="n"/>
      <c r="BE164" s="268" t="n"/>
      <c r="BF164" s="268" t="n"/>
      <c r="BG164" s="268" t="n"/>
      <c r="BH164" s="268" t="n"/>
      <c r="BI164" s="268" t="n"/>
      <c r="BJ164" s="268" t="n"/>
      <c r="BK164" s="268" t="n"/>
      <c r="BL164" s="268" t="n"/>
      <c r="BM164" s="268" t="n"/>
      <c r="BN164" s="268" t="n"/>
      <c r="BO164" s="268" t="n"/>
      <c r="BP164" s="268" t="n"/>
      <c r="BQ164" s="268" t="n"/>
      <c r="BR164" s="268" t="n"/>
      <c r="BS164" s="268" t="n"/>
      <c r="BT164" s="268" t="n"/>
      <c r="BU164" s="268" t="n"/>
      <c r="BV164" s="268" t="n"/>
      <c r="BW164" s="268" t="n"/>
      <c r="BX164" s="268" t="n"/>
      <c r="BY164" s="268" t="n"/>
      <c r="BZ164" s="268" t="n"/>
      <c r="CA164" s="268" t="n"/>
      <c r="CB164" s="268" t="n"/>
      <c r="CC164" s="268" t="n"/>
      <c r="CD164" s="268" t="n"/>
      <c r="CE164" s="268" t="n"/>
      <c r="CF164" s="268" t="n"/>
      <c r="CG164" s="268" t="n"/>
      <c r="CH164" s="268" t="n"/>
      <c r="CI164" s="268" t="n"/>
      <c r="CJ164" s="268" t="n"/>
      <c r="CK164" s="268" t="n"/>
      <c r="CL164" s="268" t="n"/>
      <c r="CM164" s="268" t="n"/>
      <c r="CN164" s="268" t="n"/>
      <c r="CO164" s="268" t="n"/>
      <c r="CP164" s="268" t="n"/>
      <c r="CQ164" s="268" t="n"/>
      <c r="CR164" s="268" t="n"/>
      <c r="CS164" s="268" t="n"/>
      <c r="CT164" s="268" t="n"/>
      <c r="CU164" s="268" t="n"/>
      <c r="CV164" s="268" t="n"/>
      <c r="CW164" s="268" t="n"/>
      <c r="CX164" s="268" t="n"/>
      <c r="CY164" s="268" t="n"/>
    </row>
    <row r="165" ht="12.75" customHeight="1" s="255">
      <c r="C165" s="270" t="inlineStr">
        <is>
          <t>Goodwill</t>
        </is>
      </c>
      <c r="D165" s="301">
        <f>INDEX('Inputs (2)'!$D$24:$AL$24,MATCH(D$7,'Inputs (2)'!$D$2:$AL$2,0))</f>
        <v>0</v>
      </c>
      <c r="E165" s="301">
        <f>INDEX('Inputs (2)'!$D$24:$AL$24,MATCH(E$7,'Inputs (2)'!$D$2:$AL$2,0))</f>
        <v>0</v>
      </c>
      <c r="F165" s="301">
        <f>INDEX('Inputs (2)'!$D$24:$AL$24,MATCH(F$7,'Inputs (2)'!$D$2:$AL$2,0))</f>
        <v>0</v>
      </c>
      <c r="G165" s="301">
        <f>INDEX('Inputs (2)'!$D$24:$AL$24,MATCH(G$7,'Inputs (2)'!$D$2:$AL$2,0))</f>
        <v>0</v>
      </c>
      <c r="H165" s="268">
        <f>G165</f>
        <v>0</v>
      </c>
      <c r="I165" s="301">
        <f>INDEX('Inputs (2)'!$D$24:$AL$24,MATCH(I$7,'Inputs (2)'!$D$2:$AL$2,0))</f>
        <v>0</v>
      </c>
      <c r="J165" s="301">
        <f>INDEX('Inputs (2)'!$D$24:$AL$24,MATCH(J$7,'Inputs (2)'!$D$2:$AL$2,0))</f>
        <v>0</v>
      </c>
      <c r="K165" s="301">
        <f>INDEX('Inputs (2)'!$D$24:$AL$24,MATCH(K$7,'Inputs (2)'!$D$2:$AL$2,0))</f>
        <v>0</v>
      </c>
      <c r="L165" s="301">
        <f>INDEX('Inputs (2)'!$D$24:$AL$24,MATCH(L$7,'Inputs (2)'!$D$2:$AL$2,0))</f>
        <v>0</v>
      </c>
      <c r="M165" s="268">
        <f>L165</f>
        <v>0</v>
      </c>
      <c r="N165" s="301">
        <f>INDEX('Inputs (2)'!$D$24:$AL$24,MATCH(N$7,'Inputs (2)'!$D$2:$AL$2,0))</f>
        <v>0</v>
      </c>
      <c r="O165" s="301">
        <f>INDEX('Inputs (2)'!$D$24:$AL$24,MATCH(O$7,'Inputs (2)'!$D$2:$AL$2,0))</f>
        <v>0</v>
      </c>
      <c r="P165" s="301">
        <f>INDEX('Inputs (2)'!$D$24:$AL$24,MATCH(P$7,'Inputs (2)'!$D$2:$AL$2,0))</f>
        <v>0</v>
      </c>
      <c r="Q165" s="301">
        <f>INDEX('Inputs (2)'!$D$24:$AL$24,MATCH(Q$7,'Inputs (2)'!$D$2:$AL$2,0))</f>
        <v>0</v>
      </c>
      <c r="R165" s="268">
        <f>Q165</f>
        <v>0</v>
      </c>
      <c r="S165" s="301">
        <f>INDEX('Inputs (2)'!$D$24:$AL$24,MATCH(S$7,'Inputs (2)'!$D$2:$AL$2,0))</f>
        <v>0</v>
      </c>
      <c r="T165" s="301">
        <f>INDEX('Inputs (2)'!$D$24:$AL$24,MATCH(T$7,'Inputs (2)'!$D$2:$AL$2,0))</f>
        <v>0</v>
      </c>
      <c r="U165" s="301">
        <f>INDEX('Inputs (2)'!$D$24:$AL$24,MATCH(U$7,'Inputs (2)'!$D$2:$AL$2,0))</f>
        <v>0</v>
      </c>
      <c r="V165" s="301">
        <f>INDEX('Inputs (2)'!$D$24:$AL$24,MATCH(V$7,'Inputs (2)'!$D$2:$AL$2,0))</f>
        <v>0</v>
      </c>
      <c r="W165" s="268">
        <f>V165</f>
        <v>0</v>
      </c>
      <c r="X165" s="301">
        <f>INDEX('Inputs (2)'!$D$24:$AL$24,MATCH(X$7,'Inputs (2)'!$D$2:$AL$2,0))</f>
        <v>0</v>
      </c>
      <c r="Y165" s="301">
        <f>INDEX('Inputs (2)'!$D$24:$AL$24,MATCH(Y$7,'Inputs (2)'!$D$2:$AL$2,0))</f>
        <v>0</v>
      </c>
      <c r="Z165" s="301">
        <f>INDEX('Inputs (2)'!$D$24:$AL$24,MATCH(Z$7,'Inputs (2)'!$D$2:$AL$2,0))</f>
        <v>0</v>
      </c>
      <c r="AA165" s="301">
        <f>INDEX('Inputs (2)'!$D$24:$AL$24,MATCH(AA$7,'Inputs (2)'!$D$2:$AL$2,0))</f>
        <v>19.544</v>
      </c>
      <c r="AB165" s="268">
        <f>AA165</f>
        <v>19.544</v>
      </c>
      <c r="AC165" s="301">
        <f>INDEX('Inputs (2)'!$D$24:$AL$24,MATCH(AC$7,'Inputs (2)'!$D$2:$AL$2,0))</f>
        <v>19.544</v>
      </c>
      <c r="AD165" s="301">
        <f>INDEX('Inputs (2)'!$D$24:$AL$24,MATCH(AD$7,'Inputs (2)'!$D$2:$AL$2,0))</f>
        <v>812.97</v>
      </c>
      <c r="AE165" s="301">
        <f>INDEX('Inputs (2)'!$D$24:$AL$24,MATCH(AE$7,'Inputs (2)'!$D$2:$AL$2,0))</f>
        <v>829.979</v>
      </c>
      <c r="AF165" s="301">
        <f>INDEX('Inputs (2)'!$D$24:$AL$24,MATCH(AF$7,'Inputs (2)'!$D$2:$AL$2,0))</f>
        <v>1101</v>
      </c>
      <c r="AG165" s="268">
        <f>AF165</f>
        <v>1101</v>
      </c>
      <c r="AH165" s="268">
        <f>INDEX('Inputs (2)'!$D$24:$AL$24,MATCH(AH$7,'Inputs (2)'!$D$2:$AL$2,0))</f>
        <v>1101</v>
      </c>
      <c r="AI165" s="268">
        <f>INDEX('Inputs (2)'!$D$24:$AL$24,MATCH(AI$7,'Inputs (2)'!$D$2:$AL$2,0))</f>
        <v>1101</v>
      </c>
      <c r="AJ165" s="268">
        <f>AI165</f>
        <v>1101</v>
      </c>
      <c r="AK165" s="268">
        <f>AJ165</f>
        <v>1101</v>
      </c>
      <c r="AL165" s="268">
        <f>AK165</f>
        <v>1101</v>
      </c>
      <c r="AM165" s="268">
        <f>AL165</f>
        <v>1101</v>
      </c>
      <c r="AN165" s="268">
        <f>AM165</f>
        <v>1101</v>
      </c>
      <c r="AO165" s="268">
        <f>AN165</f>
        <v>1101</v>
      </c>
      <c r="AP165" s="268">
        <f>AO165</f>
        <v>1101</v>
      </c>
      <c r="AQ165" s="268">
        <f>AP165</f>
        <v>1101</v>
      </c>
      <c r="AR165" s="268">
        <f>AQ165</f>
        <v>1101</v>
      </c>
      <c r="AS165" s="268">
        <f>AR165</f>
        <v>1101</v>
      </c>
      <c r="AT165" s="268">
        <f>AS165</f>
        <v>1101</v>
      </c>
      <c r="AU165" s="268">
        <f>AT165</f>
        <v>1101</v>
      </c>
      <c r="AV165" s="268">
        <f>AU165</f>
        <v>1101</v>
      </c>
      <c r="AW165" s="268">
        <f>AV165</f>
        <v>1101</v>
      </c>
      <c r="AX165" s="268">
        <f>AW165</f>
        <v>1101</v>
      </c>
      <c r="AY165" s="268">
        <f>AX165</f>
        <v>1101</v>
      </c>
      <c r="AZ165" s="268">
        <f>AY165</f>
        <v>1101</v>
      </c>
      <c r="BA165" s="268">
        <f>AZ165</f>
        <v>1101</v>
      </c>
      <c r="BB165" s="268">
        <f>BA165</f>
        <v>1101</v>
      </c>
      <c r="BC165" s="268">
        <f>BB165</f>
        <v>1101</v>
      </c>
      <c r="BD165" s="268">
        <f>BC165</f>
        <v>1101</v>
      </c>
      <c r="BE165" s="268">
        <f>BD165</f>
        <v>1101</v>
      </c>
      <c r="BF165" s="268">
        <f>BE165</f>
        <v>1101</v>
      </c>
      <c r="BG165" s="268">
        <f>BF165</f>
        <v>1101</v>
      </c>
      <c r="BH165" s="268">
        <f>BG165</f>
        <v>1101</v>
      </c>
      <c r="BI165" s="268">
        <f>BH165</f>
        <v>1101</v>
      </c>
      <c r="BJ165" s="268">
        <f>BI165</f>
        <v>1101</v>
      </c>
      <c r="BK165" s="268">
        <f>BJ165</f>
        <v>1101</v>
      </c>
      <c r="BL165" s="268">
        <f>BK165</f>
        <v>1101</v>
      </c>
      <c r="BM165" s="268">
        <f>BL165</f>
        <v>1101</v>
      </c>
      <c r="BN165" s="268">
        <f>BM165</f>
        <v>1101</v>
      </c>
      <c r="BO165" s="268">
        <f>BN165</f>
        <v>1101</v>
      </c>
      <c r="BP165" s="268">
        <f>BO165</f>
        <v>1101</v>
      </c>
      <c r="BQ165" s="268">
        <f>BP165</f>
        <v>1101</v>
      </c>
      <c r="BR165" s="268">
        <f>BQ165</f>
        <v>1101</v>
      </c>
      <c r="BS165" s="268">
        <f>BR165</f>
        <v>1101</v>
      </c>
      <c r="BT165" s="268">
        <f>BS165</f>
        <v>1101</v>
      </c>
      <c r="BU165" s="268">
        <f>BT165</f>
        <v>1101</v>
      </c>
      <c r="BV165" s="268">
        <f>BU165</f>
        <v>1101</v>
      </c>
      <c r="BW165" s="268">
        <f>BV165</f>
        <v>1101</v>
      </c>
      <c r="BX165" s="268">
        <f>BW165</f>
        <v>1101</v>
      </c>
      <c r="BY165" s="268">
        <f>BX165</f>
        <v>1101</v>
      </c>
      <c r="BZ165" s="268">
        <f>BY165</f>
        <v>1101</v>
      </c>
      <c r="CA165" s="268">
        <f>BZ165</f>
        <v>1101</v>
      </c>
      <c r="CB165" s="268">
        <f>CA165</f>
        <v>1101</v>
      </c>
      <c r="CC165" s="268">
        <f>CB165</f>
        <v>1101</v>
      </c>
      <c r="CD165" s="268">
        <f>CC165</f>
        <v>1101</v>
      </c>
      <c r="CE165" s="268">
        <f>CD165</f>
        <v>1101</v>
      </c>
      <c r="CF165" s="268">
        <f>CE165</f>
        <v>1101</v>
      </c>
      <c r="CG165" s="268">
        <f>CF165</f>
        <v>1101</v>
      </c>
      <c r="CH165" s="268">
        <f>CG165</f>
        <v>1101</v>
      </c>
      <c r="CI165" s="268">
        <f>CH165</f>
        <v>1101</v>
      </c>
      <c r="CJ165" s="268">
        <f>CI165</f>
        <v>1101</v>
      </c>
      <c r="CK165" s="268">
        <f>CJ165</f>
        <v>1101</v>
      </c>
      <c r="CL165" s="268">
        <f>CK165</f>
        <v>1101</v>
      </c>
      <c r="CM165" s="268">
        <f>CL165</f>
        <v>1101</v>
      </c>
      <c r="CN165" s="268">
        <f>CM165</f>
        <v>1101</v>
      </c>
      <c r="CO165" s="268">
        <f>CN165</f>
        <v>1101</v>
      </c>
      <c r="CP165" s="268">
        <f>CO165</f>
        <v>1101</v>
      </c>
      <c r="CQ165" s="268">
        <f>CP165</f>
        <v>1101</v>
      </c>
      <c r="CR165" s="268">
        <f>CQ165</f>
        <v>1101</v>
      </c>
      <c r="CS165" s="268">
        <f>CR165</f>
        <v>1101</v>
      </c>
      <c r="CT165" s="268">
        <f>CS165</f>
        <v>1101</v>
      </c>
      <c r="CU165" s="268">
        <f>CT165</f>
        <v>1101</v>
      </c>
      <c r="CV165" s="268">
        <f>CU165</f>
        <v>1101</v>
      </c>
      <c r="CW165" s="268">
        <f>CV165</f>
        <v>1101</v>
      </c>
      <c r="CX165" s="268">
        <f>CW165</f>
        <v>1101</v>
      </c>
      <c r="CY165" s="268">
        <f>CX165</f>
        <v>1101</v>
      </c>
    </row>
    <row r="166" ht="12.75" customHeight="1" s="255">
      <c r="C166" s="270" t="inlineStr">
        <is>
          <t>Intangibles</t>
        </is>
      </c>
      <c r="D166" s="301">
        <f>INDEX('Inputs (2)'!$D$25:$AL$25,MATCH(D$7,'Inputs (2)'!$D$2:$AL$2,0))</f>
        <v>0</v>
      </c>
      <c r="E166" s="301">
        <f>INDEX('Inputs (2)'!$D$25:$AL$25,MATCH(E$7,'Inputs (2)'!$D$2:$AL$2,0))</f>
        <v>0</v>
      </c>
      <c r="F166" s="301">
        <f>INDEX('Inputs (2)'!$D$25:$AL$25,MATCH(F$7,'Inputs (2)'!$D$2:$AL$2,0))</f>
        <v>0</v>
      </c>
      <c r="G166" s="301">
        <f>INDEX('Inputs (2)'!$D$25:$AL$25,MATCH(G$7,'Inputs (2)'!$D$2:$AL$2,0))</f>
        <v>0</v>
      </c>
      <c r="H166" s="268">
        <f>G166</f>
        <v>0</v>
      </c>
      <c r="I166" s="301">
        <f>INDEX('Inputs (2)'!$D$25:$AL$25,MATCH(I$7,'Inputs (2)'!$D$2:$AL$2,0))</f>
        <v>0</v>
      </c>
      <c r="J166" s="301">
        <f>INDEX('Inputs (2)'!$D$25:$AL$25,MATCH(J$7,'Inputs (2)'!$D$2:$AL$2,0))</f>
        <v>0</v>
      </c>
      <c r="K166" s="301">
        <f>INDEX('Inputs (2)'!$D$25:$AL$25,MATCH(K$7,'Inputs (2)'!$D$2:$AL$2,0))</f>
        <v>0</v>
      </c>
      <c r="L166" s="301">
        <f>INDEX('Inputs (2)'!$D$25:$AL$25,MATCH(L$7,'Inputs (2)'!$D$2:$AL$2,0))</f>
        <v>0</v>
      </c>
      <c r="M166" s="268">
        <f>L166</f>
        <v>0</v>
      </c>
      <c r="N166" s="301">
        <f>INDEX('Inputs (2)'!$D$25:$AL$25,MATCH(N$7,'Inputs (2)'!$D$2:$AL$2,0))</f>
        <v>0</v>
      </c>
      <c r="O166" s="301">
        <f>INDEX('Inputs (2)'!$D$25:$AL$25,MATCH(O$7,'Inputs (2)'!$D$2:$AL$2,0))</f>
        <v>0</v>
      </c>
      <c r="P166" s="301">
        <f>INDEX('Inputs (2)'!$D$25:$AL$25,MATCH(P$7,'Inputs (2)'!$D$2:$AL$2,0))</f>
        <v>0</v>
      </c>
      <c r="Q166" s="301">
        <f>INDEX('Inputs (2)'!$D$25:$AL$25,MATCH(Q$7,'Inputs (2)'!$D$2:$AL$2,0))</f>
        <v>0</v>
      </c>
      <c r="R166" s="268">
        <f>Q166</f>
        <v>0</v>
      </c>
      <c r="S166" s="301">
        <f>INDEX('Inputs (2)'!$D$25:$AL$25,MATCH(S$7,'Inputs (2)'!$D$2:$AL$2,0))</f>
        <v>0</v>
      </c>
      <c r="T166" s="301">
        <f>INDEX('Inputs (2)'!$D$25:$AL$25,MATCH(T$7,'Inputs (2)'!$D$2:$AL$2,0))</f>
        <v>0</v>
      </c>
      <c r="U166" s="301">
        <f>INDEX('Inputs (2)'!$D$25:$AL$25,MATCH(U$7,'Inputs (2)'!$D$2:$AL$2,0))</f>
        <v>0</v>
      </c>
      <c r="V166" s="301">
        <f>INDEX('Inputs (2)'!$D$25:$AL$25,MATCH(V$7,'Inputs (2)'!$D$2:$AL$2,0))</f>
        <v>0</v>
      </c>
      <c r="W166" s="268">
        <f>V166</f>
        <v>0</v>
      </c>
      <c r="X166" s="301">
        <f>INDEX('Inputs (2)'!$D$25:$AL$25,MATCH(X$7,'Inputs (2)'!$D$2:$AL$2,0))</f>
        <v>0</v>
      </c>
      <c r="Y166" s="301">
        <f>INDEX('Inputs (2)'!$D$25:$AL$25,MATCH(Y$7,'Inputs (2)'!$D$2:$AL$2,0))</f>
        <v>0</v>
      </c>
      <c r="Z166" s="301">
        <f>INDEX('Inputs (2)'!$D$25:$AL$25,MATCH(Z$7,'Inputs (2)'!$D$2:$AL$2,0))</f>
        <v>0</v>
      </c>
      <c r="AA166" s="301">
        <f>INDEX('Inputs (2)'!$D$25:$AL$25,MATCH(AA$7,'Inputs (2)'!$D$2:$AL$2,0))</f>
        <v>4.909</v>
      </c>
      <c r="AB166" s="268">
        <f>AA166</f>
        <v>4.909</v>
      </c>
      <c r="AC166" s="301">
        <f>INDEX('Inputs (2)'!$D$25:$AL$25,MATCH(AC$7,'Inputs (2)'!$D$2:$AL$2,0))</f>
        <v>4.395</v>
      </c>
      <c r="AD166" s="301">
        <f>INDEX('Inputs (2)'!$D$25:$AL$25,MATCH(AD$7,'Inputs (2)'!$D$2:$AL$2,0))</f>
        <v>205.895</v>
      </c>
      <c r="AE166" s="301">
        <f>INDEX('Inputs (2)'!$D$25:$AL$25,MATCH(AE$7,'Inputs (2)'!$D$2:$AL$2,0))</f>
        <v>200.001</v>
      </c>
      <c r="AF166" s="301">
        <f>INDEX('Inputs (2)'!$D$25:$AL$25,MATCH(AF$7,'Inputs (2)'!$D$2:$AL$2,0))</f>
        <v>235</v>
      </c>
      <c r="AG166" s="268">
        <f>AF166</f>
        <v>235</v>
      </c>
      <c r="AH166" s="268">
        <f>INDEX('Inputs (2)'!$D$25:$AL$25,MATCH(AH$7,'Inputs (2)'!$D$2:$AL$2,0))</f>
        <v>224</v>
      </c>
      <c r="AI166" s="268">
        <f>INDEX('Inputs (2)'!$D$25:$AL$25,MATCH(AI$7,'Inputs (2)'!$D$2:$AL$2,0))</f>
        <v>245</v>
      </c>
      <c r="AJ166" s="268" t="n"/>
      <c r="AK166" s="268" t="n"/>
      <c r="AL166" s="268">
        <f>AK166</f>
        <v>0</v>
      </c>
      <c r="AN166" s="268" t="n"/>
      <c r="AO166" s="268" t="n"/>
      <c r="AP166" s="268" t="n"/>
      <c r="AQ166" s="268">
        <f>AP166</f>
        <v>0</v>
      </c>
      <c r="AS166" s="268" t="n"/>
      <c r="AT166" s="268" t="n"/>
      <c r="AU166" s="268" t="n"/>
      <c r="AV166" s="268">
        <f>AU166</f>
        <v>0</v>
      </c>
      <c r="AX166" s="268" t="n"/>
      <c r="AY166" s="268" t="n"/>
      <c r="AZ166" s="268" t="n"/>
      <c r="BA166" s="268">
        <f>AZ166</f>
        <v>0</v>
      </c>
      <c r="BC166" s="268" t="n"/>
      <c r="BD166" s="268" t="n"/>
      <c r="BE166" s="268" t="n"/>
      <c r="BF166" s="268">
        <f>BE166</f>
        <v>0</v>
      </c>
      <c r="BH166" s="268" t="n"/>
      <c r="BI166" s="268" t="n"/>
      <c r="BJ166" s="268" t="n"/>
      <c r="BK166" s="268">
        <f>BJ166</f>
        <v>0</v>
      </c>
      <c r="BM166" s="268" t="n"/>
      <c r="BN166" s="268" t="n"/>
      <c r="BO166" s="268" t="n"/>
      <c r="BP166" s="268">
        <f>BO166</f>
        <v>0</v>
      </c>
      <c r="BR166" s="268" t="n"/>
      <c r="BS166" s="268" t="n"/>
      <c r="BT166" s="268" t="n"/>
      <c r="BU166" s="268">
        <f>BT166</f>
        <v>0</v>
      </c>
      <c r="BW166" s="268" t="n"/>
      <c r="BX166" s="268" t="n"/>
      <c r="BY166" s="268" t="n"/>
      <c r="BZ166" s="268">
        <f>BY166</f>
        <v>0</v>
      </c>
      <c r="CB166" s="268" t="n"/>
      <c r="CC166" s="268" t="n"/>
      <c r="CD166" s="268" t="n"/>
      <c r="CE166" s="268">
        <f>CD166</f>
        <v>0</v>
      </c>
      <c r="CG166" s="268" t="n"/>
      <c r="CH166" s="268" t="n"/>
      <c r="CI166" s="268" t="n"/>
      <c r="CJ166" s="268">
        <f>CI166</f>
        <v>0</v>
      </c>
      <c r="CL166" s="268" t="n"/>
      <c r="CM166" s="268" t="n"/>
      <c r="CN166" s="268" t="n"/>
      <c r="CO166" s="268">
        <f>CN166</f>
        <v>0</v>
      </c>
      <c r="CQ166" s="268" t="n"/>
      <c r="CR166" s="268" t="n"/>
      <c r="CS166" s="268" t="n"/>
      <c r="CT166" s="268">
        <f>CS166</f>
        <v>0</v>
      </c>
      <c r="CV166" s="268" t="n"/>
      <c r="CW166" s="268" t="n"/>
      <c r="CX166" s="268" t="n"/>
      <c r="CY166" s="268">
        <f>CX166</f>
        <v>0</v>
      </c>
    </row>
    <row r="167" hidden="1" outlineLevel="1" ht="12.75" customHeight="1" s="255">
      <c r="C167" s="312" t="n"/>
      <c r="D167" s="268" t="n"/>
      <c r="E167" s="268" t="n"/>
      <c r="F167" s="268" t="n"/>
      <c r="G167" s="268" t="n"/>
      <c r="H167" s="268" t="n"/>
      <c r="I167" s="268" t="n"/>
      <c r="J167" s="268" t="n"/>
      <c r="K167" s="268" t="n"/>
      <c r="L167" s="268" t="n"/>
      <c r="M167" s="268" t="n"/>
      <c r="N167" s="268" t="n"/>
      <c r="O167" s="268" t="n"/>
      <c r="P167" s="268" t="n"/>
      <c r="Q167" s="268" t="n"/>
      <c r="R167" s="268" t="n"/>
      <c r="S167" s="268" t="n"/>
      <c r="T167" s="268" t="n"/>
      <c r="U167" s="268" t="n"/>
      <c r="V167" s="268" t="n"/>
      <c r="W167" s="268" t="n"/>
      <c r="X167" s="268" t="n"/>
      <c r="Y167" s="268" t="n"/>
      <c r="Z167" s="268" t="n"/>
      <c r="AA167" s="268" t="n"/>
      <c r="AB167" s="268" t="n"/>
      <c r="AC167" s="268" t="n"/>
      <c r="AD167" s="268" t="n"/>
      <c r="AE167" s="268" t="n"/>
      <c r="AF167" s="268" t="n"/>
      <c r="AG167" s="268" t="n"/>
      <c r="AH167" s="268" t="n"/>
      <c r="AI167" s="268" t="n"/>
      <c r="AJ167" s="268" t="n"/>
      <c r="AK167" s="268" t="n"/>
      <c r="AL167" s="268" t="n"/>
      <c r="AM167" s="268" t="n"/>
      <c r="AN167" s="268" t="n"/>
      <c r="AO167" s="268" t="n"/>
      <c r="AP167" s="268" t="n"/>
      <c r="AQ167" s="268" t="n"/>
      <c r="AR167" s="268" t="n"/>
      <c r="AS167" s="268" t="n"/>
      <c r="AT167" s="268" t="n"/>
      <c r="AU167" s="268" t="n"/>
      <c r="AV167" s="268" t="n"/>
      <c r="AW167" s="268" t="n"/>
      <c r="AX167" s="268" t="n"/>
      <c r="AY167" s="268" t="n"/>
      <c r="AZ167" s="268" t="n"/>
      <c r="BA167" s="268" t="n"/>
      <c r="BB167" s="268" t="n"/>
      <c r="BC167" s="268" t="n"/>
      <c r="BD167" s="268" t="n"/>
      <c r="BE167" s="268" t="n"/>
      <c r="BF167" s="268" t="n"/>
      <c r="BG167" s="268" t="n"/>
      <c r="BH167" s="268" t="n"/>
      <c r="BI167" s="268" t="n"/>
      <c r="BJ167" s="268" t="n"/>
      <c r="BK167" s="268" t="n"/>
      <c r="BL167" s="268" t="n"/>
      <c r="BM167" s="268" t="n"/>
      <c r="BN167" s="268" t="n"/>
      <c r="BO167" s="268" t="n"/>
      <c r="BP167" s="268" t="n"/>
      <c r="BQ167" s="268" t="n"/>
      <c r="BR167" s="268" t="n"/>
      <c r="BS167" s="268" t="n"/>
      <c r="BT167" s="268" t="n"/>
      <c r="BU167" s="268" t="n"/>
      <c r="BV167" s="268" t="n"/>
      <c r="BW167" s="268" t="n"/>
      <c r="BX167" s="268" t="n"/>
      <c r="BY167" s="268" t="n"/>
      <c r="BZ167" s="268" t="n"/>
      <c r="CA167" s="268" t="n"/>
      <c r="CB167" s="268" t="n"/>
      <c r="CC167" s="268" t="n"/>
      <c r="CD167" s="268" t="n"/>
      <c r="CE167" s="268" t="n"/>
      <c r="CF167" s="268" t="n"/>
      <c r="CG167" s="268" t="n"/>
      <c r="CH167" s="268" t="n"/>
      <c r="CI167" s="268" t="n"/>
      <c r="CJ167" s="268" t="n"/>
      <c r="CK167" s="268" t="n"/>
      <c r="CL167" s="268" t="n"/>
      <c r="CM167" s="268" t="n"/>
      <c r="CN167" s="268" t="n"/>
      <c r="CO167" s="268" t="n"/>
      <c r="CP167" s="268" t="n"/>
      <c r="CQ167" s="268" t="n"/>
      <c r="CR167" s="268" t="n"/>
      <c r="CS167" s="268" t="n"/>
      <c r="CT167" s="268" t="n"/>
      <c r="CU167" s="268" t="n"/>
      <c r="CV167" s="268" t="n"/>
      <c r="CW167" s="268" t="n"/>
      <c r="CX167" s="268" t="n"/>
      <c r="CY167" s="268" t="n"/>
    </row>
    <row r="168" hidden="1" outlineLevel="1" ht="12.75" customHeight="1" s="255">
      <c r="C168" s="312" t="inlineStr">
        <is>
          <t>Purchase of intangible assets</t>
        </is>
      </c>
      <c r="D168" s="268" t="n"/>
      <c r="E168" s="268">
        <f>E166-D166-E70</f>
        <v>0</v>
      </c>
      <c r="F168" s="268">
        <f>F166-E166-F70</f>
        <v>0</v>
      </c>
      <c r="G168" s="268">
        <f>G166-F166-G70</f>
        <v>0</v>
      </c>
      <c r="H168" s="268" t="n"/>
      <c r="I168" s="268">
        <f>I166-H166-I70</f>
        <v>0</v>
      </c>
      <c r="J168" s="268">
        <f>J166-I166-J70</f>
        <v>0</v>
      </c>
      <c r="K168" s="268">
        <f>K166-J166-K70</f>
        <v>0</v>
      </c>
      <c r="L168" s="268">
        <f>L166-K166-L70</f>
        <v>0</v>
      </c>
      <c r="M168" s="268" t="n"/>
      <c r="N168" s="268">
        <f>N166-M166-N70</f>
        <v>0</v>
      </c>
      <c r="O168" s="268">
        <f>O166-N166-O70</f>
        <v>0</v>
      </c>
      <c r="P168" s="268">
        <f>P166-O166-P70</f>
        <v>0</v>
      </c>
      <c r="Q168" s="268">
        <f>Q166-P166-Q70</f>
        <v>0</v>
      </c>
      <c r="R168" s="268" t="n"/>
      <c r="S168" s="268">
        <f>S166-R166-S70</f>
        <v>0</v>
      </c>
      <c r="T168" s="268">
        <f>T166-S166-T70</f>
        <v>0</v>
      </c>
      <c r="U168" s="268">
        <f>U166-T166-U70</f>
        <v>0</v>
      </c>
      <c r="V168" s="268">
        <f>V166-U166-V70</f>
        <v>0</v>
      </c>
      <c r="W168" s="268" t="n"/>
      <c r="X168" s="268">
        <f>X166-W166-X70</f>
        <v>0</v>
      </c>
      <c r="Y168" s="268">
        <f>Y166-X166-Y70</f>
        <v>0</v>
      </c>
      <c r="Z168" s="268">
        <f>Z166-Y166-Z70</f>
        <v>0</v>
      </c>
      <c r="AA168" s="268">
        <f>AA166-Z166-AA70</f>
        <v>4.909</v>
      </c>
      <c r="AB168" s="268" t="n"/>
      <c r="AC168" s="268">
        <f>AC166-AB166-AC70</f>
        <v>-0.514</v>
      </c>
      <c r="AD168" s="268">
        <f>AD166-AC166-AD70</f>
        <v>201.5</v>
      </c>
      <c r="AE168" s="268">
        <f>AE166-AD166-AE70</f>
        <v>-5.89399999999998</v>
      </c>
      <c r="AF168" s="268" t="n"/>
      <c r="AG168" s="268" t="n"/>
      <c r="AH168" s="267">
        <f>AH166-AG166-AH70</f>
        <v>-11</v>
      </c>
      <c r="AI168" s="267">
        <f>AI166-AH166-AI70</f>
        <v>21</v>
      </c>
      <c r="AJ168" s="267" t="n"/>
      <c r="AK168" s="267" t="n"/>
      <c r="AL168" s="268" t="n"/>
      <c r="AM168" s="267" t="n"/>
      <c r="AN168" s="267" t="n"/>
      <c r="AO168" s="267" t="n"/>
      <c r="AP168" s="267" t="n"/>
      <c r="AQ168" s="268" t="n"/>
      <c r="AR168" s="267" t="n"/>
      <c r="AS168" s="267" t="n"/>
      <c r="AT168" s="267" t="n"/>
      <c r="AU168" s="267" t="n"/>
      <c r="AV168" s="268" t="n"/>
      <c r="AW168" s="267" t="n"/>
      <c r="AX168" s="267" t="n"/>
      <c r="AY168" s="267" t="n"/>
      <c r="AZ168" s="267" t="n"/>
      <c r="BA168" s="268" t="n"/>
      <c r="BB168" s="267" t="n"/>
      <c r="BC168" s="267" t="n"/>
      <c r="BD168" s="267" t="n"/>
      <c r="BE168" s="267" t="n"/>
      <c r="BF168" s="268" t="n"/>
      <c r="BG168" s="267" t="n"/>
      <c r="BH168" s="267" t="n"/>
      <c r="BI168" s="267" t="n"/>
      <c r="BJ168" s="267" t="n"/>
      <c r="BK168" s="268" t="n"/>
      <c r="BL168" s="267" t="n"/>
      <c r="BM168" s="267" t="n"/>
      <c r="BN168" s="267" t="n"/>
      <c r="BO168" s="267" t="n"/>
      <c r="BP168" s="268" t="n"/>
      <c r="BQ168" s="267" t="n"/>
      <c r="BR168" s="267" t="n"/>
      <c r="BS168" s="267" t="n"/>
      <c r="BT168" s="267" t="n"/>
      <c r="BU168" s="268" t="n"/>
      <c r="BV168" s="267" t="n"/>
      <c r="BW168" s="267" t="n"/>
      <c r="BX168" s="267" t="n"/>
      <c r="BY168" s="267" t="n"/>
      <c r="BZ168" s="268" t="n"/>
      <c r="CA168" s="267" t="n"/>
      <c r="CB168" s="267" t="n"/>
      <c r="CC168" s="267" t="n"/>
      <c r="CD168" s="267" t="n"/>
      <c r="CE168" s="268" t="n"/>
      <c r="CF168" s="267" t="n"/>
      <c r="CG168" s="267" t="n"/>
      <c r="CH168" s="267" t="n"/>
      <c r="CI168" s="267" t="n"/>
      <c r="CJ168" s="268" t="n"/>
      <c r="CK168" s="267" t="n"/>
      <c r="CL168" s="267" t="n"/>
      <c r="CM168" s="267" t="n"/>
      <c r="CN168" s="267" t="n"/>
      <c r="CO168" s="268" t="n"/>
      <c r="CP168" s="267" t="n"/>
      <c r="CQ168" s="267" t="n"/>
      <c r="CR168" s="267" t="n"/>
      <c r="CS168" s="267" t="n"/>
      <c r="CT168" s="268" t="n"/>
      <c r="CU168" s="267" t="n"/>
      <c r="CV168" s="267" t="n"/>
      <c r="CW168" s="267" t="n"/>
      <c r="CX168" s="267" t="n"/>
      <c r="CY168" s="268" t="n"/>
    </row>
    <row r="169" hidden="1" outlineLevel="1" ht="12.75" customHeight="1" s="255">
      <c r="C169" s="312" t="inlineStr">
        <is>
          <t>Amortization (enter as -)</t>
        </is>
      </c>
      <c r="D169" s="268" t="n"/>
      <c r="E169" s="268">
        <f>E69</f>
        <v>0</v>
      </c>
      <c r="F169" s="268">
        <f>F69</f>
        <v>0</v>
      </c>
      <c r="G169" s="268">
        <f>G69</f>
        <v>0</v>
      </c>
      <c r="H169" s="268" t="n"/>
      <c r="I169" s="268">
        <f>I69</f>
        <v>0</v>
      </c>
      <c r="J169" s="268">
        <f>J69</f>
        <v>0</v>
      </c>
      <c r="K169" s="268">
        <f>K69</f>
        <v>0</v>
      </c>
      <c r="L169" s="268">
        <f>L69</f>
        <v>0</v>
      </c>
      <c r="M169" s="268" t="n"/>
      <c r="N169" s="268">
        <f>N69</f>
        <v>0</v>
      </c>
      <c r="O169" s="268">
        <f>O69</f>
        <v>0</v>
      </c>
      <c r="P169" s="268">
        <f>P69</f>
        <v>0</v>
      </c>
      <c r="Q169" s="268">
        <f>Q69</f>
        <v>0</v>
      </c>
      <c r="R169" s="268" t="n"/>
      <c r="S169" s="268">
        <f>S69</f>
        <v>0</v>
      </c>
      <c r="T169" s="268">
        <f>T69</f>
        <v>0</v>
      </c>
      <c r="U169" s="268">
        <f>U69</f>
        <v>0</v>
      </c>
      <c r="V169" s="268">
        <f>V69</f>
        <v>0</v>
      </c>
      <c r="W169" s="268" t="n"/>
      <c r="X169" s="268">
        <f>X69</f>
        <v>0</v>
      </c>
      <c r="Y169" s="268">
        <f>Y69</f>
        <v>0</v>
      </c>
      <c r="Z169" s="268">
        <f>Z69</f>
        <v>0</v>
      </c>
      <c r="AA169" s="268">
        <f>AA69</f>
        <v>0</v>
      </c>
      <c r="AB169" s="268" t="n"/>
      <c r="AC169" s="268">
        <f>AC69</f>
        <v>0</v>
      </c>
      <c r="AD169" s="268">
        <f>AD69</f>
        <v>0</v>
      </c>
      <c r="AE169" s="268">
        <f>AE69</f>
        <v>0</v>
      </c>
      <c r="AF169" s="268" t="n"/>
      <c r="AG169" s="268" t="n"/>
      <c r="AH169" s="268">
        <f>AH69</f>
        <v>0</v>
      </c>
      <c r="AI169" s="267">
        <f>AI69</f>
        <v>0</v>
      </c>
      <c r="AJ169" s="267" t="n"/>
      <c r="AK169" s="267" t="n"/>
      <c r="AL169" s="268" t="n"/>
      <c r="AM169" s="267" t="n"/>
      <c r="AN169" s="267" t="n"/>
      <c r="AO169" s="267" t="n"/>
      <c r="AP169" s="267" t="n"/>
      <c r="AQ169" s="268" t="n"/>
      <c r="AR169" s="267" t="n"/>
      <c r="AS169" s="267" t="n"/>
      <c r="AT169" s="267" t="n"/>
      <c r="AU169" s="267" t="n"/>
      <c r="AV169" s="268" t="n"/>
      <c r="AW169" s="267" t="n"/>
      <c r="AX169" s="267" t="n"/>
      <c r="AY169" s="267" t="n"/>
      <c r="AZ169" s="267" t="n"/>
      <c r="BA169" s="268" t="n"/>
      <c r="BB169" s="267" t="n"/>
      <c r="BC169" s="267" t="n"/>
      <c r="BD169" s="267" t="n"/>
      <c r="BE169" s="267" t="n"/>
      <c r="BF169" s="268" t="n"/>
      <c r="BG169" s="267" t="n"/>
      <c r="BH169" s="267" t="n"/>
      <c r="BI169" s="267" t="n"/>
      <c r="BJ169" s="267" t="n"/>
      <c r="BK169" s="268" t="n"/>
      <c r="BL169" s="267" t="n"/>
      <c r="BM169" s="267" t="n"/>
      <c r="BN169" s="267" t="n"/>
      <c r="BO169" s="267" t="n"/>
      <c r="BP169" s="268" t="n"/>
      <c r="BQ169" s="267" t="n"/>
      <c r="BR169" s="267" t="n"/>
      <c r="BS169" s="267" t="n"/>
      <c r="BT169" s="267" t="n"/>
      <c r="BU169" s="268" t="n"/>
      <c r="BV169" s="267" t="n"/>
      <c r="BW169" s="267" t="n"/>
      <c r="BX169" s="267" t="n"/>
      <c r="BY169" s="267" t="n"/>
      <c r="BZ169" s="268" t="n"/>
      <c r="CA169" s="267" t="n"/>
      <c r="CB169" s="267" t="n"/>
      <c r="CC169" s="267" t="n"/>
      <c r="CD169" s="267" t="n"/>
      <c r="CE169" s="268" t="n"/>
      <c r="CF169" s="267" t="n"/>
      <c r="CG169" s="267" t="n"/>
      <c r="CH169" s="267" t="n"/>
      <c r="CI169" s="267" t="n"/>
      <c r="CJ169" s="268" t="n"/>
      <c r="CK169" s="267" t="n"/>
      <c r="CL169" s="267" t="n"/>
      <c r="CM169" s="267" t="n"/>
      <c r="CN169" s="267" t="n"/>
      <c r="CO169" s="268" t="n"/>
      <c r="CP169" s="267" t="n"/>
      <c r="CQ169" s="267" t="n"/>
      <c r="CR169" s="267" t="n"/>
      <c r="CS169" s="267" t="n"/>
      <c r="CT169" s="268" t="n"/>
      <c r="CU169" s="267" t="n"/>
      <c r="CV169" s="267" t="n"/>
      <c r="CW169" s="267" t="n"/>
      <c r="CX169" s="267" t="n"/>
      <c r="CY169" s="268" t="n"/>
    </row>
    <row r="170" hidden="1" outlineLevel="1" ht="12.75" customHeight="1" s="255">
      <c r="C170" s="312" t="inlineStr">
        <is>
          <t>Intangibles</t>
        </is>
      </c>
      <c r="D170" s="268" t="n"/>
      <c r="E170" s="268">
        <f>E166</f>
        <v>0</v>
      </c>
      <c r="F170" s="268">
        <f>F166</f>
        <v>0</v>
      </c>
      <c r="G170" s="268">
        <f>G166</f>
        <v>0</v>
      </c>
      <c r="H170" s="268" t="n"/>
      <c r="I170" s="268">
        <f>I166</f>
        <v>0</v>
      </c>
      <c r="J170" s="268">
        <f>J166</f>
        <v>0</v>
      </c>
      <c r="K170" s="268">
        <f>K166</f>
        <v>0</v>
      </c>
      <c r="L170" s="268">
        <f>L166</f>
        <v>0</v>
      </c>
      <c r="M170" s="268" t="n"/>
      <c r="N170" s="268">
        <f>N166</f>
        <v>0</v>
      </c>
      <c r="O170" s="268">
        <f>O166</f>
        <v>0</v>
      </c>
      <c r="P170" s="268">
        <f>P166</f>
        <v>0</v>
      </c>
      <c r="Q170" s="268">
        <f>Q166</f>
        <v>0</v>
      </c>
      <c r="R170" s="268" t="n"/>
      <c r="S170" s="268">
        <f>S166</f>
        <v>0</v>
      </c>
      <c r="T170" s="268">
        <f>T166</f>
        <v>0</v>
      </c>
      <c r="U170" s="268">
        <f>U166</f>
        <v>0</v>
      </c>
      <c r="V170" s="268">
        <f>V166</f>
        <v>0</v>
      </c>
      <c r="W170" s="268" t="n"/>
      <c r="X170" s="268">
        <f>X166</f>
        <v>0</v>
      </c>
      <c r="Y170" s="268">
        <f>Y166</f>
        <v>0</v>
      </c>
      <c r="Z170" s="268">
        <f>Z166</f>
        <v>0</v>
      </c>
      <c r="AA170" s="268">
        <f>AA166</f>
        <v>4.909</v>
      </c>
      <c r="AB170" s="268" t="n"/>
      <c r="AC170" s="268">
        <f>AC166</f>
        <v>4.395</v>
      </c>
      <c r="AD170" s="268">
        <f>AD166</f>
        <v>205.895</v>
      </c>
      <c r="AE170" s="268">
        <f>AE166</f>
        <v>200.001</v>
      </c>
      <c r="AF170" s="268">
        <f>AF166</f>
        <v>235</v>
      </c>
      <c r="AG170" s="268" t="n"/>
      <c r="AH170" s="268">
        <f>AH166</f>
        <v>224</v>
      </c>
      <c r="AI170" s="268">
        <f>AI166</f>
        <v>245</v>
      </c>
      <c r="AJ170" s="268">
        <f>AI170+SUM(AJ168:AJ169)</f>
        <v>245</v>
      </c>
      <c r="AK170" s="268">
        <f>AJ170+SUM(AK168:AK169)</f>
        <v>245</v>
      </c>
      <c r="AL170" s="268" t="n"/>
      <c r="AM170" s="268">
        <f>AK170+SUM(AM168:AM169)</f>
        <v>245</v>
      </c>
      <c r="AN170" s="268">
        <f>AM170+SUM(AN168:AN169)</f>
        <v>245</v>
      </c>
      <c r="AO170" s="268">
        <f>AN170+SUM(AO168:AO169)</f>
        <v>245</v>
      </c>
      <c r="AP170" s="268">
        <f>AO170+SUM(AP168:AP169)</f>
        <v>245</v>
      </c>
      <c r="AQ170" s="268" t="n"/>
      <c r="AR170" s="268">
        <f>AP170+SUM(AR168:AR169)</f>
        <v>245</v>
      </c>
      <c r="AS170" s="268">
        <f>AR170+SUM(AS168:AS169)</f>
        <v>245</v>
      </c>
      <c r="AT170" s="268">
        <f>AS170+SUM(AT168:AT169)</f>
        <v>245</v>
      </c>
      <c r="AU170" s="268">
        <f>AT170+SUM(AU168:AU169)</f>
        <v>245</v>
      </c>
      <c r="AV170" s="268" t="n"/>
      <c r="AW170" s="268">
        <f>AU170+SUM(AW168:AW169)</f>
        <v>245</v>
      </c>
      <c r="AX170" s="268">
        <f>AW170+SUM(AX168:AX169)</f>
        <v>245</v>
      </c>
      <c r="AY170" s="268">
        <f>AX170+SUM(AY168:AY169)</f>
        <v>245</v>
      </c>
      <c r="AZ170" s="268">
        <f>AY170+SUM(AZ168:AZ169)</f>
        <v>245</v>
      </c>
      <c r="BA170" s="268" t="n"/>
      <c r="BB170" s="268">
        <f>AZ170+SUM(BB168:BB169)</f>
        <v>245</v>
      </c>
      <c r="BC170" s="268">
        <f>BB170+SUM(BC168:BC169)</f>
        <v>245</v>
      </c>
      <c r="BD170" s="268">
        <f>BC170+SUM(BD168:BD169)</f>
        <v>245</v>
      </c>
      <c r="BE170" s="268">
        <f>BD170+SUM(BE168:BE169)</f>
        <v>245</v>
      </c>
      <c r="BF170" s="268" t="n"/>
      <c r="BG170" s="268">
        <f>BE170+SUM(BG168:BG169)</f>
        <v>245</v>
      </c>
      <c r="BH170" s="268">
        <f>BG170+SUM(BH168:BH169)</f>
        <v>245</v>
      </c>
      <c r="BI170" s="268">
        <f>BH170+SUM(BI168:BI169)</f>
        <v>245</v>
      </c>
      <c r="BJ170" s="268">
        <f>BI170+SUM(BJ168:BJ169)</f>
        <v>245</v>
      </c>
      <c r="BK170" s="268" t="n"/>
      <c r="BL170" s="268">
        <f>BJ170+SUM(BL168:BL169)</f>
        <v>245</v>
      </c>
      <c r="BM170" s="268">
        <f>BL170+SUM(BM168:BM169)</f>
        <v>245</v>
      </c>
      <c r="BN170" s="268">
        <f>BM170+SUM(BN168:BN169)</f>
        <v>245</v>
      </c>
      <c r="BO170" s="268">
        <f>BN170+SUM(BO168:BO169)</f>
        <v>245</v>
      </c>
      <c r="BP170" s="268" t="n"/>
      <c r="BQ170" s="268">
        <f>BO170+SUM(BQ168:BQ169)</f>
        <v>245</v>
      </c>
      <c r="BR170" s="268">
        <f>BQ170+SUM(BR168:BR169)</f>
        <v>245</v>
      </c>
      <c r="BS170" s="268">
        <f>BR170+SUM(BS168:BS169)</f>
        <v>245</v>
      </c>
      <c r="BT170" s="268">
        <f>BS170+SUM(BT168:BT169)</f>
        <v>245</v>
      </c>
      <c r="BU170" s="268" t="n"/>
      <c r="BV170" s="268">
        <f>BT170+SUM(BV168:BV169)</f>
        <v>245</v>
      </c>
      <c r="BW170" s="268">
        <f>BV170+SUM(BW168:BW169)</f>
        <v>245</v>
      </c>
      <c r="BX170" s="268">
        <f>BW170+SUM(BX168:BX169)</f>
        <v>245</v>
      </c>
      <c r="BY170" s="268">
        <f>BX170+SUM(BY168:BY169)</f>
        <v>245</v>
      </c>
      <c r="BZ170" s="268" t="n"/>
      <c r="CA170" s="268">
        <f>BY170+SUM(CA168:CA169)</f>
        <v>245</v>
      </c>
      <c r="CB170" s="268">
        <f>CA170+SUM(CB168:CB169)</f>
        <v>245</v>
      </c>
      <c r="CC170" s="268">
        <f>CB170+SUM(CC168:CC169)</f>
        <v>245</v>
      </c>
      <c r="CD170" s="268">
        <f>CC170+SUM(CD168:CD169)</f>
        <v>245</v>
      </c>
      <c r="CE170" s="268" t="n"/>
      <c r="CF170" s="268">
        <f>CD170+SUM(CF168:CF169)</f>
        <v>245</v>
      </c>
      <c r="CG170" s="268">
        <f>CF170+SUM(CG168:CG169)</f>
        <v>245</v>
      </c>
      <c r="CH170" s="268">
        <f>CG170+SUM(CH168:CH169)</f>
        <v>245</v>
      </c>
      <c r="CI170" s="268">
        <f>CH170+SUM(CI168:CI169)</f>
        <v>245</v>
      </c>
      <c r="CJ170" s="268" t="n"/>
      <c r="CK170" s="268">
        <f>CI170+SUM(CK168:CK169)</f>
        <v>245</v>
      </c>
      <c r="CL170" s="268">
        <f>CK170+SUM(CL168:CL169)</f>
        <v>245</v>
      </c>
      <c r="CM170" s="268">
        <f>CL170+SUM(CM168:CM169)</f>
        <v>245</v>
      </c>
      <c r="CN170" s="268">
        <f>CM170+SUM(CN168:CN169)</f>
        <v>245</v>
      </c>
      <c r="CO170" s="268" t="n"/>
      <c r="CP170" s="268">
        <f>CN170+SUM(CP168:CP169)</f>
        <v>245</v>
      </c>
      <c r="CQ170" s="268">
        <f>CP170+SUM(CQ168:CQ169)</f>
        <v>245</v>
      </c>
      <c r="CR170" s="268">
        <f>CQ170+SUM(CR168:CR169)</f>
        <v>245</v>
      </c>
      <c r="CS170" s="268">
        <f>CR170+SUM(CS168:CS169)</f>
        <v>245</v>
      </c>
      <c r="CT170" s="268" t="n"/>
      <c r="CU170" s="268">
        <f>CS170+SUM(CU168:CU169)</f>
        <v>245</v>
      </c>
      <c r="CV170" s="268">
        <f>CU170+SUM(CV168:CV169)</f>
        <v>245</v>
      </c>
      <c r="CW170" s="268">
        <f>CV170+SUM(CW168:CW169)</f>
        <v>245</v>
      </c>
      <c r="CX170" s="268">
        <f>CW170+SUM(CX168:CX169)</f>
        <v>245</v>
      </c>
      <c r="CY170" s="268" t="n"/>
      <c r="CZ170" s="260">
        <f>CX170+SUM(CZ168:CZ169)</f>
        <v>245</v>
      </c>
      <c r="DA170" s="260">
        <f>CZ170+SUM(DA168:DA169)</f>
        <v>245</v>
      </c>
      <c r="DB170" s="260">
        <f>DA170+SUM(DB168:DB169)</f>
        <v>245</v>
      </c>
      <c r="DC170" s="260">
        <f>DB170+SUM(DC168:DC169)</f>
        <v>245</v>
      </c>
    </row>
    <row r="171" hidden="1" outlineLevel="1" ht="12.75" customHeight="1" s="255">
      <c r="C171" s="312" t="n"/>
      <c r="D171" s="268" t="n"/>
      <c r="E171" s="268" t="n"/>
      <c r="F171" s="268" t="n"/>
      <c r="G171" s="268" t="n"/>
      <c r="H171" s="268" t="n"/>
      <c r="I171" s="268" t="n"/>
      <c r="J171" s="268" t="n"/>
      <c r="K171" s="268" t="n"/>
      <c r="L171" s="268" t="n"/>
      <c r="M171" s="268" t="n"/>
      <c r="N171" s="268" t="n"/>
      <c r="O171" s="268" t="n"/>
      <c r="P171" s="268" t="n"/>
      <c r="Q171" s="268" t="n"/>
      <c r="R171" s="268" t="n"/>
      <c r="S171" s="268" t="n"/>
      <c r="T171" s="268" t="n"/>
      <c r="U171" s="268" t="n"/>
      <c r="V171" s="268" t="n"/>
      <c r="W171" s="268" t="n"/>
      <c r="X171" s="268" t="n"/>
      <c r="Y171" s="268" t="n"/>
      <c r="Z171" s="268" t="n"/>
      <c r="AA171" s="268" t="n"/>
      <c r="AB171" s="268" t="n"/>
      <c r="AC171" s="268" t="n"/>
      <c r="AD171" s="268" t="n"/>
      <c r="AE171" s="268" t="n"/>
      <c r="AF171" s="268" t="n"/>
      <c r="AG171" s="268" t="n"/>
      <c r="AH171" s="268" t="n"/>
      <c r="AI171" s="268" t="n"/>
      <c r="AJ171" s="268" t="n"/>
      <c r="AK171" s="268" t="n"/>
      <c r="AL171" s="268" t="n"/>
      <c r="AM171" s="268" t="n"/>
      <c r="AN171" s="268" t="n"/>
      <c r="AO171" s="268" t="n"/>
      <c r="AP171" s="268" t="n"/>
      <c r="AQ171" s="268" t="n"/>
      <c r="AR171" s="268" t="n"/>
      <c r="AS171" s="268" t="n"/>
      <c r="AT171" s="268" t="n"/>
      <c r="AU171" s="268" t="n"/>
      <c r="AV171" s="268" t="n"/>
      <c r="AW171" s="268" t="n"/>
      <c r="AX171" s="268" t="n"/>
      <c r="AY171" s="268" t="n"/>
      <c r="AZ171" s="268" t="n"/>
      <c r="BA171" s="268" t="n"/>
      <c r="BB171" s="268" t="n"/>
      <c r="BC171" s="268" t="n"/>
      <c r="BD171" s="268" t="n"/>
      <c r="BE171" s="268" t="n"/>
      <c r="BF171" s="268" t="n"/>
      <c r="BG171" s="268" t="n"/>
      <c r="BH171" s="268" t="n"/>
      <c r="BI171" s="268" t="n"/>
      <c r="BJ171" s="268" t="n"/>
      <c r="BK171" s="268" t="n"/>
      <c r="BL171" s="268" t="n"/>
      <c r="BM171" s="268" t="n"/>
      <c r="BN171" s="268" t="n"/>
      <c r="BO171" s="268" t="n"/>
      <c r="BP171" s="268" t="n"/>
      <c r="BQ171" s="268" t="n"/>
      <c r="BR171" s="268" t="n"/>
      <c r="BS171" s="268" t="n"/>
      <c r="BT171" s="268" t="n"/>
      <c r="BU171" s="268" t="n"/>
      <c r="BV171" s="268" t="n"/>
      <c r="BW171" s="268" t="n"/>
      <c r="BX171" s="268" t="n"/>
      <c r="BY171" s="268" t="n"/>
      <c r="BZ171" s="268" t="n"/>
      <c r="CA171" s="268" t="n"/>
      <c r="CB171" s="268" t="n"/>
      <c r="CC171" s="268" t="n"/>
      <c r="CD171" s="268" t="n"/>
      <c r="CE171" s="268" t="n"/>
      <c r="CF171" s="268" t="n"/>
      <c r="CG171" s="268" t="n"/>
      <c r="CH171" s="268" t="n"/>
      <c r="CI171" s="268" t="n"/>
      <c r="CJ171" s="268" t="n"/>
      <c r="CK171" s="268" t="n"/>
      <c r="CL171" s="268" t="n"/>
      <c r="CM171" s="268" t="n"/>
      <c r="CN171" s="268" t="n"/>
      <c r="CO171" s="268" t="n"/>
      <c r="CP171" s="268" t="n"/>
      <c r="CQ171" s="268" t="n"/>
      <c r="CR171" s="268" t="n"/>
      <c r="CS171" s="268" t="n"/>
      <c r="CT171" s="268" t="n"/>
      <c r="CU171" s="268" t="n"/>
      <c r="CV171" s="268" t="n"/>
      <c r="CW171" s="268" t="n"/>
      <c r="CX171" s="268" t="n"/>
      <c r="CY171" s="268" t="n"/>
    </row>
    <row r="172" hidden="1" outlineLevel="1" ht="12.75" customHeight="1" s="255">
      <c r="C172" s="312" t="inlineStr">
        <is>
          <t>Definir % do D&amp;A No PPE and Intagibles</t>
        </is>
      </c>
      <c r="D172" s="268" t="n"/>
      <c r="E172" s="268" t="n"/>
      <c r="F172" s="268" t="n"/>
      <c r="G172" s="268" t="n"/>
      <c r="H172" s="268" t="n"/>
      <c r="I172" s="268" t="n"/>
      <c r="J172" s="268" t="n"/>
      <c r="K172" s="268" t="n"/>
      <c r="L172" s="268" t="n"/>
      <c r="M172" s="268" t="n"/>
      <c r="N172" s="268" t="n"/>
      <c r="O172" s="268" t="n"/>
      <c r="P172" s="268" t="n"/>
      <c r="Q172" s="268" t="n"/>
      <c r="R172" s="268" t="n"/>
      <c r="S172" s="268" t="n"/>
      <c r="T172" s="268" t="n"/>
      <c r="U172" s="268" t="n"/>
      <c r="V172" s="268" t="n"/>
      <c r="W172" s="268" t="n"/>
      <c r="X172" s="268" t="n"/>
      <c r="Y172" s="268" t="n"/>
      <c r="Z172" s="268" t="n"/>
      <c r="AA172" s="268" t="n"/>
      <c r="AB172" s="268" t="n"/>
      <c r="AC172" s="268" t="n"/>
      <c r="AD172" s="268" t="n"/>
      <c r="AE172" s="268" t="n"/>
      <c r="AF172" s="268" t="n"/>
      <c r="AG172" s="268" t="n"/>
      <c r="AH172" s="268" t="n"/>
      <c r="AI172" s="268" t="n"/>
      <c r="AJ172" s="268" t="n"/>
      <c r="AK172" s="268" t="n"/>
      <c r="AL172" s="268" t="n"/>
      <c r="AM172" s="268" t="n"/>
      <c r="AN172" s="268" t="n"/>
      <c r="AO172" s="268" t="n"/>
      <c r="AP172" s="268" t="n"/>
      <c r="AQ172" s="268" t="n"/>
      <c r="AR172" s="268" t="n"/>
      <c r="AS172" s="268" t="n"/>
      <c r="AT172" s="268" t="n"/>
      <c r="AU172" s="268" t="n"/>
      <c r="AV172" s="268" t="n"/>
      <c r="AW172" s="268" t="n"/>
      <c r="AX172" s="268" t="n"/>
      <c r="AY172" s="268" t="n"/>
      <c r="AZ172" s="268" t="n"/>
      <c r="BA172" s="268" t="n"/>
      <c r="BB172" s="268" t="n"/>
      <c r="BC172" s="268" t="n"/>
      <c r="BD172" s="268" t="n"/>
      <c r="BE172" s="268" t="n"/>
      <c r="BF172" s="268" t="n"/>
      <c r="BG172" s="268" t="n"/>
      <c r="BH172" s="268" t="n"/>
      <c r="BI172" s="268" t="n"/>
      <c r="BJ172" s="268" t="n"/>
      <c r="BK172" s="268" t="n"/>
      <c r="BL172" s="268" t="n"/>
      <c r="BM172" s="268" t="n"/>
      <c r="BN172" s="268" t="n"/>
      <c r="BO172" s="268" t="n"/>
      <c r="BP172" s="268" t="n"/>
      <c r="BQ172" s="268" t="n"/>
      <c r="BR172" s="268" t="n"/>
      <c r="BS172" s="268" t="n"/>
      <c r="BT172" s="268" t="n"/>
      <c r="BU172" s="268" t="n"/>
      <c r="BV172" s="268" t="n"/>
      <c r="BW172" s="268" t="n"/>
      <c r="BX172" s="268" t="n"/>
      <c r="BY172" s="268" t="n"/>
      <c r="BZ172" s="268" t="n"/>
      <c r="CA172" s="268" t="n"/>
      <c r="CB172" s="268" t="n"/>
      <c r="CC172" s="268" t="n"/>
      <c r="CD172" s="268" t="n"/>
      <c r="CE172" s="268" t="n"/>
      <c r="CF172" s="268" t="n"/>
      <c r="CG172" s="268" t="n"/>
      <c r="CH172" s="268" t="n"/>
      <c r="CI172" s="268" t="n"/>
      <c r="CJ172" s="268" t="n"/>
      <c r="CK172" s="268" t="n"/>
      <c r="CL172" s="268" t="n"/>
      <c r="CM172" s="268" t="n"/>
      <c r="CN172" s="268" t="n"/>
      <c r="CO172" s="268" t="n"/>
      <c r="CP172" s="268" t="n"/>
      <c r="CQ172" s="268" t="n"/>
      <c r="CR172" s="268" t="n"/>
      <c r="CS172" s="268" t="n"/>
      <c r="CT172" s="268" t="n"/>
      <c r="CU172" s="268" t="n"/>
      <c r="CV172" s="268" t="n"/>
      <c r="CW172" s="268" t="n"/>
      <c r="CX172" s="268" t="n"/>
      <c r="CY172" s="268" t="n"/>
    </row>
    <row r="173" hidden="1" outlineLevel="1" ht="12.75" customHeight="1" s="255">
      <c r="C173" s="312" t="n"/>
      <c r="D173" s="268" t="n"/>
      <c r="E173" s="268" t="n"/>
      <c r="F173" s="268" t="n"/>
      <c r="G173" s="268" t="n"/>
      <c r="H173" s="268" t="n"/>
      <c r="I173" s="268" t="n"/>
      <c r="J173" s="268" t="n"/>
      <c r="K173" s="268" t="n"/>
      <c r="L173" s="268" t="n"/>
      <c r="M173" s="268" t="n"/>
      <c r="N173" s="268" t="n"/>
      <c r="O173" s="268" t="n"/>
      <c r="P173" s="268" t="n"/>
      <c r="Q173" s="268" t="n"/>
      <c r="R173" s="268" t="n"/>
      <c r="S173" s="268" t="n"/>
      <c r="T173" s="268" t="n"/>
      <c r="U173" s="268" t="n"/>
      <c r="V173" s="268" t="n"/>
      <c r="W173" s="268" t="n"/>
      <c r="X173" s="268" t="n"/>
      <c r="Y173" s="268" t="n"/>
      <c r="Z173" s="268" t="n"/>
      <c r="AA173" s="268" t="n"/>
      <c r="AB173" s="268" t="n"/>
      <c r="AC173" s="268" t="n"/>
      <c r="AD173" s="268" t="n"/>
      <c r="AE173" s="268" t="n"/>
      <c r="AF173" s="268" t="n"/>
      <c r="AG173" s="268" t="n"/>
      <c r="AH173" s="268" t="n"/>
      <c r="AI173" s="268" t="n"/>
      <c r="AJ173" s="268" t="n"/>
      <c r="AK173" s="268" t="n"/>
      <c r="AL173" s="268" t="n"/>
      <c r="AM173" s="268" t="n"/>
      <c r="AN173" s="268" t="n"/>
      <c r="AO173" s="268" t="n"/>
      <c r="AP173" s="268" t="n"/>
      <c r="AQ173" s="268" t="n"/>
      <c r="AR173" s="268" t="n"/>
      <c r="AS173" s="268" t="n"/>
      <c r="AT173" s="268" t="n"/>
      <c r="AU173" s="268" t="n"/>
      <c r="AV173" s="268" t="n"/>
      <c r="AW173" s="268" t="n"/>
      <c r="AX173" s="268" t="n"/>
      <c r="AY173" s="268" t="n"/>
      <c r="AZ173" s="268" t="n"/>
      <c r="BA173" s="268" t="n"/>
      <c r="BB173" s="268" t="n"/>
      <c r="BC173" s="268" t="n"/>
      <c r="BD173" s="268" t="n"/>
      <c r="BE173" s="268" t="n"/>
      <c r="BF173" s="268" t="n"/>
      <c r="BG173" s="268" t="n"/>
      <c r="BH173" s="268" t="n"/>
      <c r="BI173" s="268" t="n"/>
      <c r="BJ173" s="268" t="n"/>
      <c r="BK173" s="268" t="n"/>
      <c r="BL173" s="268" t="n"/>
      <c r="BM173" s="268" t="n"/>
      <c r="BN173" s="268" t="n"/>
      <c r="BO173" s="268" t="n"/>
      <c r="BP173" s="268" t="n"/>
      <c r="BQ173" s="268" t="n"/>
      <c r="BR173" s="268" t="n"/>
      <c r="BS173" s="268" t="n"/>
      <c r="BT173" s="268" t="n"/>
      <c r="BU173" s="268" t="n"/>
      <c r="BV173" s="268" t="n"/>
      <c r="BW173" s="268" t="n"/>
      <c r="BX173" s="268" t="n"/>
      <c r="BY173" s="268" t="n"/>
      <c r="BZ173" s="268" t="n"/>
      <c r="CA173" s="268" t="n"/>
      <c r="CB173" s="268" t="n"/>
      <c r="CC173" s="268" t="n"/>
      <c r="CD173" s="268" t="n"/>
      <c r="CE173" s="268" t="n"/>
      <c r="CF173" s="268" t="n"/>
      <c r="CG173" s="268" t="n"/>
      <c r="CH173" s="268" t="n"/>
      <c r="CI173" s="268" t="n"/>
      <c r="CJ173" s="268" t="n"/>
      <c r="CK173" s="268" t="n"/>
      <c r="CL173" s="268" t="n"/>
      <c r="CM173" s="268" t="n"/>
      <c r="CN173" s="268" t="n"/>
      <c r="CO173" s="268" t="n"/>
      <c r="CP173" s="268" t="n"/>
      <c r="CQ173" s="268" t="n"/>
      <c r="CR173" s="268" t="n"/>
      <c r="CS173" s="268" t="n"/>
      <c r="CT173" s="268" t="n"/>
      <c r="CU173" s="268" t="n"/>
      <c r="CV173" s="268" t="n"/>
      <c r="CW173" s="268" t="n"/>
      <c r="CX173" s="268" t="n"/>
      <c r="CY173" s="268" t="n"/>
    </row>
    <row r="174" hidden="1" outlineLevel="1" ht="12.75" customHeight="1" s="255">
      <c r="C174" s="312" t="n"/>
      <c r="D174" s="268" t="n"/>
      <c r="E174" s="268" t="n"/>
      <c r="F174" s="268" t="n"/>
      <c r="G174" s="268" t="n"/>
      <c r="H174" s="268" t="n"/>
      <c r="I174" s="268" t="n"/>
      <c r="J174" s="268" t="n"/>
      <c r="K174" s="268" t="n"/>
      <c r="L174" s="268" t="n"/>
      <c r="M174" s="268" t="n"/>
      <c r="N174" s="268" t="n"/>
      <c r="O174" s="268" t="n"/>
      <c r="P174" s="268" t="n"/>
      <c r="Q174" s="268" t="n"/>
      <c r="R174" s="268" t="n"/>
      <c r="S174" s="268" t="n"/>
      <c r="T174" s="268" t="n"/>
      <c r="U174" s="268" t="n"/>
      <c r="V174" s="268" t="n"/>
      <c r="W174" s="268" t="n"/>
      <c r="X174" s="268" t="n"/>
      <c r="Y174" s="268" t="n"/>
      <c r="Z174" s="268" t="n"/>
      <c r="AA174" s="268" t="n"/>
      <c r="AB174" s="268" t="n"/>
      <c r="AC174" s="268" t="n"/>
      <c r="AD174" s="268" t="n"/>
      <c r="AE174" s="268" t="n"/>
      <c r="AF174" s="268" t="n"/>
      <c r="AG174" s="268" t="n"/>
      <c r="AH174" s="268" t="n"/>
      <c r="AI174" s="268" t="n"/>
      <c r="AJ174" s="268" t="n"/>
      <c r="AK174" s="268" t="n"/>
      <c r="AL174" s="268" t="n"/>
      <c r="AM174" s="268" t="n"/>
      <c r="AN174" s="268" t="n"/>
      <c r="AO174" s="268" t="n"/>
      <c r="AP174" s="268" t="n"/>
      <c r="AQ174" s="268" t="n"/>
      <c r="AR174" s="268" t="n"/>
      <c r="AS174" s="268" t="n"/>
      <c r="AT174" s="268" t="n"/>
      <c r="AU174" s="268" t="n"/>
      <c r="AV174" s="268" t="n"/>
      <c r="AW174" s="268" t="n"/>
      <c r="AX174" s="268" t="n"/>
      <c r="AY174" s="268" t="n"/>
      <c r="AZ174" s="268" t="n"/>
      <c r="BA174" s="268" t="n"/>
      <c r="BB174" s="268" t="n"/>
      <c r="BC174" s="268" t="n"/>
      <c r="BD174" s="268" t="n"/>
      <c r="BE174" s="268" t="n"/>
      <c r="BF174" s="268" t="n"/>
      <c r="BG174" s="268" t="n"/>
      <c r="BH174" s="268" t="n"/>
      <c r="BI174" s="268" t="n"/>
      <c r="BJ174" s="268" t="n"/>
      <c r="BK174" s="268" t="n"/>
      <c r="BL174" s="268" t="n"/>
      <c r="BM174" s="268" t="n"/>
      <c r="BN174" s="268" t="n"/>
      <c r="BO174" s="268" t="n"/>
      <c r="BP174" s="268" t="n"/>
      <c r="BQ174" s="268" t="n"/>
      <c r="BR174" s="268" t="n"/>
      <c r="BS174" s="268" t="n"/>
      <c r="BT174" s="268" t="n"/>
      <c r="BU174" s="268" t="n"/>
      <c r="BV174" s="268" t="n"/>
      <c r="BW174" s="268" t="n"/>
      <c r="BX174" s="268" t="n"/>
      <c r="BY174" s="268" t="n"/>
      <c r="BZ174" s="268" t="n"/>
      <c r="CA174" s="268" t="n"/>
      <c r="CB174" s="268" t="n"/>
      <c r="CC174" s="268" t="n"/>
      <c r="CD174" s="268" t="n"/>
      <c r="CE174" s="268" t="n"/>
      <c r="CF174" s="268" t="n"/>
      <c r="CG174" s="268" t="n"/>
      <c r="CH174" s="268" t="n"/>
      <c r="CI174" s="268" t="n"/>
      <c r="CJ174" s="268" t="n"/>
      <c r="CK174" s="268" t="n"/>
      <c r="CL174" s="268" t="n"/>
      <c r="CM174" s="268" t="n"/>
      <c r="CN174" s="268" t="n"/>
      <c r="CO174" s="268" t="n"/>
      <c r="CP174" s="268" t="n"/>
      <c r="CQ174" s="268" t="n"/>
      <c r="CR174" s="268" t="n"/>
      <c r="CS174" s="268" t="n"/>
      <c r="CT174" s="268" t="n"/>
      <c r="CU174" s="268" t="n"/>
      <c r="CV174" s="268" t="n"/>
      <c r="CW174" s="268" t="n"/>
      <c r="CX174" s="268" t="n"/>
      <c r="CY174" s="268" t="n"/>
    </row>
    <row r="175" ht="12.75" customHeight="1" s="255">
      <c r="C175" s="270" t="inlineStr">
        <is>
          <t>Other non-current assets</t>
        </is>
      </c>
      <c r="D175" s="301">
        <f>INDEX('Inputs (2)'!$D$26:$AL$26,MATCH(D$7,'Inputs (2)'!$D$2:$AL$2,0))</f>
        <v>0</v>
      </c>
      <c r="E175" s="301">
        <f>INDEX('Inputs (2)'!$D$26:$AL$26,MATCH(E$7,'Inputs (2)'!$D$2:$AL$2,0))</f>
        <v>0</v>
      </c>
      <c r="F175" s="301">
        <f>INDEX('Inputs (2)'!$D$26:$AL$26,MATCH(F$7,'Inputs (2)'!$D$2:$AL$2,0))</f>
        <v>0</v>
      </c>
      <c r="G175" s="301">
        <f>INDEX('Inputs (2)'!$D$26:$AL$26,MATCH(G$7,'Inputs (2)'!$D$2:$AL$2,0))</f>
        <v>0</v>
      </c>
      <c r="H175" s="268">
        <f>G175</f>
        <v>0</v>
      </c>
      <c r="I175" s="301">
        <f>INDEX('Inputs (2)'!$D$26:$AL$26,MATCH(I$7,'Inputs (2)'!$D$2:$AL$2,0))</f>
        <v>0</v>
      </c>
      <c r="J175" s="301">
        <f>INDEX('Inputs (2)'!$D$26:$AL$26,MATCH(J$7,'Inputs (2)'!$D$2:$AL$2,0))</f>
        <v>0</v>
      </c>
      <c r="K175" s="301">
        <f>INDEX('Inputs (2)'!$D$26:$AL$26,MATCH(K$7,'Inputs (2)'!$D$2:$AL$2,0))</f>
        <v>0</v>
      </c>
      <c r="L175" s="301">
        <f>INDEX('Inputs (2)'!$D$26:$AL$26,MATCH(L$7,'Inputs (2)'!$D$2:$AL$2,0))</f>
        <v>0</v>
      </c>
      <c r="M175" s="268">
        <f>L175</f>
        <v>0</v>
      </c>
      <c r="N175" s="301">
        <f>INDEX('Inputs (2)'!$D$26:$AL$26,MATCH(N$7,'Inputs (2)'!$D$2:$AL$2,0))</f>
        <v>0</v>
      </c>
      <c r="O175" s="301">
        <f>INDEX('Inputs (2)'!$D$26:$AL$26,MATCH(O$7,'Inputs (2)'!$D$2:$AL$2,0))</f>
        <v>0</v>
      </c>
      <c r="P175" s="301">
        <f>INDEX('Inputs (2)'!$D$26:$AL$26,MATCH(P$7,'Inputs (2)'!$D$2:$AL$2,0))</f>
        <v>0</v>
      </c>
      <c r="Q175" s="301">
        <f>INDEX('Inputs (2)'!$D$26:$AL$26,MATCH(Q$7,'Inputs (2)'!$D$2:$AL$2,0))</f>
        <v>0</v>
      </c>
      <c r="R175" s="268">
        <f>Q175</f>
        <v>0</v>
      </c>
      <c r="S175" s="301">
        <f>INDEX('Inputs (2)'!$D$26:$AL$26,MATCH(S$7,'Inputs (2)'!$D$2:$AL$2,0))</f>
        <v>0</v>
      </c>
      <c r="T175" s="301">
        <f>INDEX('Inputs (2)'!$D$26:$AL$26,MATCH(T$7,'Inputs (2)'!$D$2:$AL$2,0))</f>
        <v>0</v>
      </c>
      <c r="U175" s="301">
        <f>INDEX('Inputs (2)'!$D$26:$AL$26,MATCH(U$7,'Inputs (2)'!$D$2:$AL$2,0))</f>
        <v>0</v>
      </c>
      <c r="V175" s="301">
        <f>INDEX('Inputs (2)'!$D$26:$AL$26,MATCH(V$7,'Inputs (2)'!$D$2:$AL$2,0))</f>
        <v>0</v>
      </c>
      <c r="W175" s="268">
        <f>V175</f>
        <v>0</v>
      </c>
      <c r="X175" s="301">
        <f>INDEX('Inputs (2)'!$D$26:$AL$26,MATCH(X$7,'Inputs (2)'!$D$2:$AL$2,0))</f>
        <v>0</v>
      </c>
      <c r="Y175" s="301">
        <f>INDEX('Inputs (2)'!$D$26:$AL$26,MATCH(Y$7,'Inputs (2)'!$D$2:$AL$2,0))</f>
        <v>0</v>
      </c>
      <c r="Z175" s="301">
        <f>INDEX('Inputs (2)'!$D$26:$AL$26,MATCH(Z$7,'Inputs (2)'!$D$2:$AL$2,0))</f>
        <v>0</v>
      </c>
      <c r="AA175" s="301">
        <f>INDEX('Inputs (2)'!$D$26:$AL$26,MATCH(AA$7,'Inputs (2)'!$D$2:$AL$2,0))</f>
        <v>1387.576</v>
      </c>
      <c r="AB175" s="268">
        <f>AA175</f>
        <v>1387.576</v>
      </c>
      <c r="AC175" s="301">
        <f>INDEX('Inputs (2)'!$D$26:$AL$26,MATCH(AC$7,'Inputs (2)'!$D$2:$AL$2,0))</f>
        <v>1459.585</v>
      </c>
      <c r="AD175" s="301">
        <f>INDEX('Inputs (2)'!$D$26:$AL$26,MATCH(AD$7,'Inputs (2)'!$D$2:$AL$2,0))</f>
        <v>1264.804</v>
      </c>
      <c r="AE175" s="301">
        <f>INDEX('Inputs (2)'!$D$26:$AL$26,MATCH(AE$7,'Inputs (2)'!$D$2:$AL$2,0))</f>
        <v>1812.997</v>
      </c>
      <c r="AF175" s="301">
        <f>INDEX('Inputs (2)'!$D$26:$AL$26,MATCH(AF$7,'Inputs (2)'!$D$2:$AL$2,0))</f>
        <v>1690</v>
      </c>
      <c r="AG175" s="268">
        <f>AF175</f>
        <v>1690</v>
      </c>
      <c r="AH175" s="268">
        <f>INDEX('Inputs (2)'!$D$26:$AL$26,MATCH(AH$7,'Inputs (2)'!$D$2:$AL$2,0))</f>
        <v>2033</v>
      </c>
      <c r="AI175" s="268">
        <f>INDEX('Inputs (2)'!$D$26:$AL$26,MATCH(AI$7,'Inputs (2)'!$D$2:$AL$2,0))</f>
        <v>2873</v>
      </c>
      <c r="AJ175" s="268">
        <f>AI175</f>
        <v>2873</v>
      </c>
      <c r="AK175" s="268">
        <f>AJ175</f>
        <v>2873</v>
      </c>
      <c r="AL175" s="268">
        <f>AK175</f>
        <v>2873</v>
      </c>
      <c r="AM175" s="268">
        <f>AL175</f>
        <v>2873</v>
      </c>
      <c r="AN175" s="268">
        <f>AM175</f>
        <v>2873</v>
      </c>
      <c r="AO175" s="268">
        <f>AN175</f>
        <v>2873</v>
      </c>
      <c r="AP175" s="268">
        <f>AO175</f>
        <v>2873</v>
      </c>
      <c r="AQ175" s="268">
        <f>AP175</f>
        <v>2873</v>
      </c>
      <c r="AR175" s="268">
        <f>AQ175</f>
        <v>2873</v>
      </c>
      <c r="AS175" s="268">
        <f>AR175</f>
        <v>2873</v>
      </c>
      <c r="AT175" s="268">
        <f>AS175</f>
        <v>2873</v>
      </c>
      <c r="AU175" s="268">
        <f>AT175</f>
        <v>2873</v>
      </c>
      <c r="AV175" s="268">
        <f>AU175</f>
        <v>2873</v>
      </c>
      <c r="AW175" s="268">
        <f>AV175</f>
        <v>2873</v>
      </c>
      <c r="AX175" s="268">
        <f>AW175</f>
        <v>2873</v>
      </c>
      <c r="AY175" s="268">
        <f>AX175</f>
        <v>2873</v>
      </c>
      <c r="AZ175" s="268">
        <f>AY175</f>
        <v>2873</v>
      </c>
      <c r="BA175" s="268">
        <f>AZ175</f>
        <v>2873</v>
      </c>
      <c r="BB175" s="268">
        <f>BA175</f>
        <v>2873</v>
      </c>
      <c r="BC175" s="268">
        <f>BB175</f>
        <v>2873</v>
      </c>
      <c r="BD175" s="268">
        <f>BC175</f>
        <v>2873</v>
      </c>
      <c r="BE175" s="268">
        <f>BD175</f>
        <v>2873</v>
      </c>
      <c r="BF175" s="268">
        <f>BE175</f>
        <v>2873</v>
      </c>
      <c r="BG175" s="268">
        <f>BF175</f>
        <v>2873</v>
      </c>
      <c r="BH175" s="268">
        <f>BG175</f>
        <v>2873</v>
      </c>
      <c r="BI175" s="268">
        <f>BH175</f>
        <v>2873</v>
      </c>
      <c r="BJ175" s="268">
        <f>BI175</f>
        <v>2873</v>
      </c>
      <c r="BK175" s="268">
        <f>BJ175</f>
        <v>2873</v>
      </c>
      <c r="BL175" s="268">
        <f>BK175</f>
        <v>2873</v>
      </c>
      <c r="BM175" s="268">
        <f>BL175</f>
        <v>2873</v>
      </c>
      <c r="BN175" s="268">
        <f>BM175</f>
        <v>2873</v>
      </c>
      <c r="BO175" s="268">
        <f>BN175</f>
        <v>2873</v>
      </c>
      <c r="BP175" s="268">
        <f>BO175</f>
        <v>2873</v>
      </c>
      <c r="BQ175" s="268">
        <f>BP175</f>
        <v>2873</v>
      </c>
      <c r="BR175" s="268">
        <f>BQ175</f>
        <v>2873</v>
      </c>
      <c r="BS175" s="268">
        <f>BR175</f>
        <v>2873</v>
      </c>
      <c r="BT175" s="268">
        <f>BS175</f>
        <v>2873</v>
      </c>
      <c r="BU175" s="268">
        <f>BT175</f>
        <v>2873</v>
      </c>
      <c r="BV175" s="268">
        <f>BU175</f>
        <v>2873</v>
      </c>
      <c r="BW175" s="268">
        <f>BV175</f>
        <v>2873</v>
      </c>
      <c r="BX175" s="268">
        <f>BW175</f>
        <v>2873</v>
      </c>
      <c r="BY175" s="268">
        <f>BX175</f>
        <v>2873</v>
      </c>
      <c r="BZ175" s="268">
        <f>BY175</f>
        <v>2873</v>
      </c>
      <c r="CA175" s="268">
        <f>BZ175</f>
        <v>2873</v>
      </c>
      <c r="CB175" s="268">
        <f>CA175</f>
        <v>2873</v>
      </c>
      <c r="CC175" s="268">
        <f>CB175</f>
        <v>2873</v>
      </c>
      <c r="CD175" s="268">
        <f>CC175</f>
        <v>2873</v>
      </c>
      <c r="CE175" s="268">
        <f>CD175</f>
        <v>2873</v>
      </c>
      <c r="CF175" s="268">
        <f>CE175</f>
        <v>2873</v>
      </c>
      <c r="CG175" s="268">
        <f>CF175</f>
        <v>2873</v>
      </c>
      <c r="CH175" s="268">
        <f>CG175</f>
        <v>2873</v>
      </c>
      <c r="CI175" s="268">
        <f>CH175</f>
        <v>2873</v>
      </c>
      <c r="CJ175" s="268">
        <f>CI175</f>
        <v>2873</v>
      </c>
      <c r="CK175" s="268">
        <f>CJ175</f>
        <v>2873</v>
      </c>
      <c r="CL175" s="268">
        <f>CK175</f>
        <v>2873</v>
      </c>
      <c r="CM175" s="268">
        <f>CL175</f>
        <v>2873</v>
      </c>
      <c r="CN175" s="268">
        <f>CM175</f>
        <v>2873</v>
      </c>
      <c r="CO175" s="268">
        <f>CN175</f>
        <v>2873</v>
      </c>
      <c r="CP175" s="268">
        <f>CO175</f>
        <v>2873</v>
      </c>
      <c r="CQ175" s="268">
        <f>CP175</f>
        <v>2873</v>
      </c>
      <c r="CR175" s="268">
        <f>CQ175</f>
        <v>2873</v>
      </c>
      <c r="CS175" s="268">
        <f>CR175</f>
        <v>2873</v>
      </c>
      <c r="CT175" s="268">
        <f>CS175</f>
        <v>2873</v>
      </c>
      <c r="CU175" s="268">
        <f>CT175</f>
        <v>2873</v>
      </c>
      <c r="CV175" s="268">
        <f>CU175</f>
        <v>2873</v>
      </c>
      <c r="CW175" s="268">
        <f>CV175</f>
        <v>2873</v>
      </c>
      <c r="CX175" s="268">
        <f>CW175</f>
        <v>2873</v>
      </c>
      <c r="CY175" s="268">
        <f>CX175</f>
        <v>2873</v>
      </c>
    </row>
    <row r="176" hidden="1" outlineLevel="1" ht="12.75" customHeight="1" s="255">
      <c r="C176" s="314" t="inlineStr">
        <is>
          <t>%(Var.)</t>
        </is>
      </c>
      <c r="D176" s="268" t="n"/>
      <c r="E176" s="296" t="str">
        <f>IFERROR((E175-D175)/D175,"")</f>
        <v/>
      </c>
      <c r="F176" s="296" t="str">
        <f>IFERROR((F175-E175)/E175,"")</f>
        <v/>
      </c>
      <c r="G176" s="296" t="str">
        <f>IFERROR((G175-F175)/F175,"")</f>
        <v/>
      </c>
      <c r="H176" s="268" t="n"/>
      <c r="I176" s="296" t="str">
        <f>IFERROR((I175-H175)/H175,"")</f>
        <v/>
      </c>
      <c r="J176" s="296" t="str">
        <f>IFERROR((J175-I175)/I175,"")</f>
        <v/>
      </c>
      <c r="K176" s="296" t="str">
        <f>IFERROR((K175-J175)/J175,"")</f>
        <v/>
      </c>
      <c r="L176" s="296" t="str">
        <f>IFERROR((L175-K175)/K175,"")</f>
        <v/>
      </c>
      <c r="M176" s="268" t="n"/>
      <c r="N176" s="296" t="str">
        <f>IFERROR((N175-M175)/M175,"")</f>
        <v/>
      </c>
      <c r="O176" s="296" t="str">
        <f>IFERROR((O175-N175)/N175,"")</f>
        <v/>
      </c>
      <c r="P176" s="296" t="str">
        <f>IFERROR((P175-O175)/O175,"")</f>
        <v/>
      </c>
      <c r="Q176" s="296" t="str">
        <f>IFERROR((Q175-P175)/P175,"")</f>
        <v/>
      </c>
      <c r="R176" s="268" t="n"/>
      <c r="S176" s="296" t="str">
        <f>IFERROR((S175-R175)/R175,"")</f>
        <v/>
      </c>
      <c r="T176" s="296" t="str">
        <f>IFERROR((T175-S175)/S175,"")</f>
        <v/>
      </c>
      <c r="U176" s="296" t="str">
        <f>IFERROR((U175-T175)/T175,"")</f>
        <v/>
      </c>
      <c r="V176" s="296" t="str">
        <f>IFERROR((V175-U175)/U175,"")</f>
        <v/>
      </c>
      <c r="W176" s="268" t="n"/>
      <c r="X176" s="296" t="str">
        <f>IFERROR((X175-W175)/W175,"")</f>
        <v/>
      </c>
      <c r="Y176" s="296" t="str">
        <f>IFERROR((Y175-X175)/X175,"")</f>
        <v/>
      </c>
      <c r="Z176" s="296" t="str">
        <f>IFERROR((Z175-Y175)/Y175,"")</f>
        <v/>
      </c>
      <c r="AA176" s="296" t="str">
        <f>IFERROR((AA175-Z175)/Z175,"")</f>
        <v/>
      </c>
      <c r="AB176" s="268" t="n"/>
      <c r="AC176" s="296">
        <f>IFERROR((AC175-AB175)/AB175,"")</f>
        <v>0.0518955358120925</v>
      </c>
      <c r="AD176" s="296">
        <f>IFERROR((AD175-AC175)/AC175,"")</f>
        <v>-0.133449576420695</v>
      </c>
      <c r="AE176" s="296">
        <f>IFERROR((AE175-AD175)/AD175,"")</f>
        <v>0.433421304802958</v>
      </c>
      <c r="AF176" s="311">
        <f>IFERROR((AF175-AE175)/AE175,"")</f>
        <v>-0.067841811100625</v>
      </c>
      <c r="AG176" s="268" t="n"/>
      <c r="AH176" s="311">
        <f>IFERROR((AH175-AG175)/AG175,"")</f>
        <v>0.202958579881657</v>
      </c>
      <c r="AI176" s="311">
        <f>IFERROR((AI175-AH175)/AH175,"")</f>
        <v>0.413182488932612</v>
      </c>
      <c r="AJ176" s="311" t="n"/>
      <c r="AK176" s="311" t="n"/>
      <c r="AL176" s="268" t="n"/>
      <c r="AM176" s="311" t="n"/>
      <c r="AN176" s="311" t="n"/>
      <c r="AO176" s="311" t="n"/>
      <c r="AP176" s="311" t="n"/>
      <c r="AQ176" s="268" t="n"/>
      <c r="AR176" s="311" t="n"/>
      <c r="AS176" s="311" t="n"/>
      <c r="AT176" s="311" t="n"/>
      <c r="AU176" s="311" t="n"/>
      <c r="AV176" s="268" t="n"/>
      <c r="AW176" s="311" t="n"/>
      <c r="AX176" s="311" t="n"/>
      <c r="AY176" s="311" t="n"/>
      <c r="AZ176" s="311" t="n"/>
      <c r="BA176" s="268" t="n"/>
      <c r="BB176" s="311" t="n"/>
      <c r="BC176" s="311" t="n"/>
      <c r="BD176" s="311" t="n"/>
      <c r="BE176" s="311" t="n"/>
      <c r="BF176" s="268" t="n"/>
      <c r="BG176" s="311" t="n"/>
      <c r="BH176" s="311" t="n"/>
      <c r="BI176" s="311" t="n"/>
      <c r="BJ176" s="311" t="n"/>
      <c r="BK176" s="268" t="n"/>
      <c r="BL176" s="311" t="n"/>
      <c r="BM176" s="311" t="n"/>
      <c r="BN176" s="311" t="n"/>
      <c r="BO176" s="311" t="n"/>
      <c r="BP176" s="268" t="n"/>
      <c r="BQ176" s="311" t="n"/>
      <c r="BR176" s="311" t="n"/>
      <c r="BS176" s="311" t="n"/>
      <c r="BT176" s="311" t="n"/>
      <c r="BU176" s="268" t="n"/>
      <c r="BV176" s="311" t="n"/>
      <c r="BW176" s="311" t="n"/>
      <c r="BX176" s="311" t="n"/>
      <c r="BY176" s="311" t="n"/>
      <c r="BZ176" s="268" t="n"/>
      <c r="CA176" s="311" t="n"/>
      <c r="CB176" s="311" t="n"/>
      <c r="CC176" s="311" t="n"/>
      <c r="CD176" s="311" t="n"/>
      <c r="CE176" s="268" t="n"/>
      <c r="CF176" s="311" t="n"/>
      <c r="CG176" s="311" t="n"/>
      <c r="CH176" s="311" t="n"/>
      <c r="CI176" s="311" t="n"/>
      <c r="CJ176" s="268" t="n"/>
      <c r="CK176" s="311" t="n"/>
      <c r="CL176" s="311" t="n"/>
      <c r="CM176" s="311" t="n"/>
      <c r="CN176" s="311" t="n"/>
      <c r="CO176" s="268" t="n"/>
      <c r="CP176" s="311" t="n"/>
      <c r="CQ176" s="311" t="n"/>
      <c r="CR176" s="311" t="n"/>
      <c r="CS176" s="311" t="n"/>
      <c r="CT176" s="268" t="n"/>
      <c r="CU176" s="311" t="n"/>
      <c r="CV176" s="311" t="n"/>
      <c r="CW176" s="311" t="n"/>
      <c r="CX176" s="311" t="n"/>
      <c r="CY176" s="268" t="n"/>
    </row>
    <row r="177" hidden="1" outlineLevel="1" ht="12.75" customHeight="1" s="255">
      <c r="C177" s="312" t="n"/>
      <c r="D177" s="268" t="n"/>
      <c r="E177" s="296" t="n"/>
      <c r="F177" s="296" t="n"/>
      <c r="G177" s="296" t="n"/>
      <c r="H177" s="268" t="n"/>
      <c r="I177" s="296" t="n"/>
      <c r="J177" s="296" t="n"/>
      <c r="K177" s="296" t="n"/>
      <c r="L177" s="296" t="n"/>
      <c r="M177" s="268" t="n"/>
      <c r="N177" s="296" t="n"/>
      <c r="O177" s="296" t="n"/>
      <c r="P177" s="296" t="n"/>
      <c r="Q177" s="296" t="n"/>
      <c r="R177" s="268" t="n"/>
      <c r="S177" s="296" t="n"/>
      <c r="T177" s="296" t="n"/>
      <c r="U177" s="296" t="n"/>
      <c r="V177" s="296" t="n"/>
      <c r="W177" s="268" t="n"/>
      <c r="X177" s="296" t="n"/>
      <c r="Y177" s="296" t="n"/>
      <c r="Z177" s="296" t="n"/>
      <c r="AA177" s="296" t="n"/>
      <c r="AB177" s="268" t="n"/>
      <c r="AC177" s="296" t="n"/>
      <c r="AD177" s="296" t="n"/>
      <c r="AE177" s="296" t="n"/>
      <c r="AF177" s="311" t="n"/>
      <c r="AG177" s="268" t="n"/>
      <c r="AH177" s="311" t="n"/>
      <c r="AI177" s="311" t="n"/>
      <c r="AJ177" s="311" t="n"/>
      <c r="AK177" s="311" t="n"/>
      <c r="AL177" s="268" t="n"/>
      <c r="AM177" s="311" t="n"/>
      <c r="AN177" s="311" t="n"/>
      <c r="AO177" s="311" t="n"/>
      <c r="AP177" s="311" t="n"/>
      <c r="AQ177" s="268" t="n"/>
      <c r="AR177" s="311" t="n"/>
      <c r="AS177" s="311" t="n"/>
      <c r="AT177" s="311" t="n"/>
      <c r="AU177" s="311" t="n"/>
      <c r="AV177" s="268" t="n"/>
      <c r="AW177" s="311" t="n"/>
      <c r="AX177" s="311" t="n"/>
      <c r="AY177" s="311" t="n"/>
      <c r="AZ177" s="311" t="n"/>
      <c r="BA177" s="268" t="n"/>
      <c r="BB177" s="311" t="n"/>
      <c r="BC177" s="311" t="n"/>
      <c r="BD177" s="311" t="n"/>
      <c r="BE177" s="311" t="n"/>
      <c r="BF177" s="268" t="n"/>
      <c r="BG177" s="311" t="n"/>
      <c r="BH177" s="311" t="n"/>
      <c r="BI177" s="311" t="n"/>
      <c r="BJ177" s="311" t="n"/>
      <c r="BK177" s="268" t="n"/>
      <c r="BL177" s="311" t="n"/>
      <c r="BM177" s="311" t="n"/>
      <c r="BN177" s="311" t="n"/>
      <c r="BO177" s="311" t="n"/>
      <c r="BP177" s="268" t="n"/>
      <c r="BQ177" s="311" t="n"/>
      <c r="BR177" s="311" t="n"/>
      <c r="BS177" s="311" t="n"/>
      <c r="BT177" s="311" t="n"/>
      <c r="BU177" s="268" t="n"/>
      <c r="BV177" s="311" t="n"/>
      <c r="BW177" s="311" t="n"/>
      <c r="BX177" s="311" t="n"/>
      <c r="BY177" s="311" t="n"/>
      <c r="BZ177" s="268" t="n"/>
      <c r="CA177" s="311" t="n"/>
      <c r="CB177" s="311" t="n"/>
      <c r="CC177" s="311" t="n"/>
      <c r="CD177" s="311" t="n"/>
      <c r="CE177" s="268" t="n"/>
      <c r="CF177" s="311" t="n"/>
      <c r="CG177" s="311" t="n"/>
      <c r="CH177" s="311" t="n"/>
      <c r="CI177" s="311" t="n"/>
      <c r="CJ177" s="268" t="n"/>
      <c r="CK177" s="311" t="n"/>
      <c r="CL177" s="311" t="n"/>
      <c r="CM177" s="311" t="n"/>
      <c r="CN177" s="311" t="n"/>
      <c r="CO177" s="268" t="n"/>
      <c r="CP177" s="311" t="n"/>
      <c r="CQ177" s="311" t="n"/>
      <c r="CR177" s="311" t="n"/>
      <c r="CS177" s="311" t="n"/>
      <c r="CT177" s="268" t="n"/>
      <c r="CU177" s="311" t="n"/>
      <c r="CV177" s="311" t="n"/>
      <c r="CW177" s="311" t="n"/>
      <c r="CX177" s="311" t="n"/>
      <c r="CY177" s="268" t="n"/>
    </row>
    <row r="178" hidden="1" outlineLevel="1" ht="12.75" customHeight="1" s="255">
      <c r="C178" s="315" t="inlineStr">
        <is>
          <t>Outros Créditos - LP</t>
        </is>
      </c>
      <c r="D178" s="267" t="n"/>
      <c r="E178" s="267" t="n"/>
      <c r="F178" s="267" t="n"/>
      <c r="G178" s="267" t="n"/>
      <c r="H178" s="268" t="n"/>
      <c r="I178" s="267" t="n"/>
      <c r="J178" s="267" t="n"/>
      <c r="K178" s="267" t="n"/>
      <c r="L178" s="267" t="n"/>
      <c r="M178" s="268" t="n"/>
      <c r="N178" s="267" t="n"/>
      <c r="O178" s="267" t="n"/>
      <c r="P178" s="267" t="n"/>
      <c r="Q178" s="267" t="n"/>
      <c r="R178" s="268" t="n"/>
      <c r="S178" s="267" t="n"/>
      <c r="T178" s="267" t="n"/>
      <c r="U178" s="267" t="n"/>
      <c r="V178" s="267" t="n"/>
      <c r="W178" s="268" t="n"/>
      <c r="X178" s="267" t="n"/>
      <c r="Y178" s="267" t="n"/>
      <c r="Z178" s="267" t="n"/>
      <c r="AA178" s="267" t="n"/>
      <c r="AB178" s="268" t="n"/>
      <c r="AC178" s="267" t="n"/>
      <c r="AD178" s="267" t="n"/>
      <c r="AE178" s="267" t="n"/>
      <c r="AF178" s="267" t="n"/>
      <c r="AG178" s="268" t="n"/>
      <c r="AH178" s="268" t="n"/>
      <c r="AI178" s="268" t="n"/>
      <c r="AJ178" s="268" t="n"/>
      <c r="AK178" s="268" t="n"/>
      <c r="AL178" s="268" t="n"/>
      <c r="AM178" s="268" t="n"/>
      <c r="AN178" s="268" t="n"/>
      <c r="AO178" s="268" t="n"/>
      <c r="AP178" s="268" t="n"/>
      <c r="AQ178" s="268" t="n"/>
      <c r="AR178" s="268" t="n"/>
      <c r="AS178" s="268" t="n"/>
      <c r="AT178" s="268" t="n"/>
      <c r="AU178" s="268" t="n"/>
      <c r="AV178" s="268" t="n"/>
      <c r="AW178" s="268" t="n"/>
      <c r="AX178" s="268" t="n"/>
      <c r="AY178" s="268" t="n"/>
      <c r="AZ178" s="268" t="n"/>
      <c r="BA178" s="268" t="n"/>
      <c r="BB178" s="268" t="n"/>
      <c r="BC178" s="268" t="n"/>
      <c r="BD178" s="268" t="n"/>
      <c r="BE178" s="268" t="n"/>
      <c r="BF178" s="268" t="n"/>
      <c r="BG178" s="268" t="n"/>
      <c r="BH178" s="268" t="n"/>
      <c r="BI178" s="268" t="n"/>
      <c r="BJ178" s="268" t="n"/>
      <c r="BK178" s="268" t="n"/>
      <c r="BL178" s="268" t="n"/>
      <c r="BM178" s="268" t="n"/>
      <c r="BN178" s="268" t="n"/>
      <c r="BO178" s="268" t="n"/>
      <c r="BP178" s="268" t="n"/>
      <c r="BQ178" s="268" t="n"/>
      <c r="BR178" s="268" t="n"/>
      <c r="BS178" s="268" t="n"/>
      <c r="BT178" s="268" t="n"/>
      <c r="BU178" s="268" t="n"/>
      <c r="BV178" s="268" t="n"/>
      <c r="BW178" s="268" t="n"/>
      <c r="BX178" s="268" t="n"/>
      <c r="BY178" s="268" t="n"/>
      <c r="BZ178" s="268" t="n"/>
      <c r="CA178" s="268" t="n"/>
      <c r="CB178" s="268" t="n"/>
      <c r="CC178" s="268" t="n"/>
      <c r="CD178" s="268" t="n"/>
      <c r="CE178" s="268" t="n"/>
      <c r="CF178" s="268" t="n"/>
      <c r="CG178" s="268" t="n"/>
      <c r="CH178" s="268" t="n"/>
      <c r="CI178" s="268" t="n"/>
      <c r="CJ178" s="268" t="n"/>
      <c r="CK178" s="268" t="n"/>
      <c r="CL178" s="268" t="n"/>
      <c r="CM178" s="268" t="n"/>
      <c r="CN178" s="268" t="n"/>
      <c r="CO178" s="268" t="n"/>
      <c r="CP178" s="268" t="n"/>
      <c r="CQ178" s="268" t="n"/>
      <c r="CR178" s="268" t="n"/>
      <c r="CS178" s="268" t="n"/>
      <c r="CT178" s="268" t="n"/>
      <c r="CU178" s="268" t="n"/>
      <c r="CV178" s="268" t="n"/>
      <c r="CW178" s="268" t="n"/>
      <c r="CX178" s="268" t="n"/>
      <c r="CY178" s="268" t="n"/>
    </row>
    <row r="179" hidden="1" outlineLevel="1" ht="12.75" customHeight="1" s="255">
      <c r="C179" s="315" t="inlineStr">
        <is>
          <t xml:space="preserve">Impostos e Contribuições a Recuperar </t>
        </is>
      </c>
      <c r="D179" s="267" t="n"/>
      <c r="E179" s="267" t="n"/>
      <c r="F179" s="267" t="n"/>
      <c r="G179" s="267" t="n"/>
      <c r="H179" s="268" t="n"/>
      <c r="I179" s="267" t="n"/>
      <c r="J179" s="267" t="n"/>
      <c r="K179" s="267" t="n"/>
      <c r="L179" s="267" t="n"/>
      <c r="M179" s="268" t="n"/>
      <c r="N179" s="267" t="n"/>
      <c r="O179" s="267" t="n"/>
      <c r="P179" s="267" t="n"/>
      <c r="Q179" s="267" t="n"/>
      <c r="R179" s="268" t="n"/>
      <c r="S179" s="267" t="n"/>
      <c r="T179" s="267" t="n"/>
      <c r="U179" s="267" t="n"/>
      <c r="V179" s="267" t="n"/>
      <c r="W179" s="268" t="n"/>
      <c r="X179" s="267" t="n"/>
      <c r="Y179" s="267" t="n"/>
      <c r="Z179" s="267" t="n"/>
      <c r="AA179" s="267" t="n"/>
      <c r="AB179" s="268" t="n"/>
      <c r="AC179" s="267" t="n"/>
      <c r="AD179" s="267" t="n"/>
      <c r="AE179" s="267" t="n"/>
      <c r="AF179" s="267" t="n"/>
      <c r="AG179" s="268" t="n"/>
      <c r="AH179" s="268" t="n"/>
      <c r="AI179" s="268" t="n"/>
      <c r="AJ179" s="268" t="n"/>
      <c r="AK179" s="268" t="n"/>
      <c r="AL179" s="268" t="n"/>
      <c r="AM179" s="268" t="n"/>
      <c r="AN179" s="268" t="n"/>
      <c r="AO179" s="268" t="n"/>
      <c r="AP179" s="268" t="n"/>
      <c r="AQ179" s="268" t="n"/>
      <c r="AR179" s="268" t="n"/>
      <c r="AS179" s="268" t="n"/>
      <c r="AT179" s="268" t="n"/>
      <c r="AU179" s="268" t="n"/>
      <c r="AV179" s="268" t="n"/>
      <c r="AW179" s="268" t="n"/>
      <c r="AX179" s="268" t="n"/>
      <c r="AY179" s="268" t="n"/>
      <c r="AZ179" s="268" t="n"/>
      <c r="BA179" s="268" t="n"/>
      <c r="BB179" s="268" t="n"/>
      <c r="BC179" s="268" t="n"/>
      <c r="BD179" s="268" t="n"/>
      <c r="BE179" s="268" t="n"/>
      <c r="BF179" s="268" t="n"/>
      <c r="BG179" s="268" t="n"/>
      <c r="BH179" s="268" t="n"/>
      <c r="BI179" s="268" t="n"/>
      <c r="BJ179" s="268" t="n"/>
      <c r="BK179" s="268" t="n"/>
      <c r="BL179" s="268" t="n"/>
      <c r="BM179" s="268" t="n"/>
      <c r="BN179" s="268" t="n"/>
      <c r="BO179" s="268" t="n"/>
      <c r="BP179" s="268" t="n"/>
      <c r="BQ179" s="268" t="n"/>
      <c r="BR179" s="268" t="n"/>
      <c r="BS179" s="268" t="n"/>
      <c r="BT179" s="268" t="n"/>
      <c r="BU179" s="268" t="n"/>
      <c r="BV179" s="268" t="n"/>
      <c r="BW179" s="268" t="n"/>
      <c r="BX179" s="268" t="n"/>
      <c r="BY179" s="268" t="n"/>
      <c r="BZ179" s="268" t="n"/>
      <c r="CA179" s="268" t="n"/>
      <c r="CB179" s="268" t="n"/>
      <c r="CC179" s="268" t="n"/>
      <c r="CD179" s="268" t="n"/>
      <c r="CE179" s="268" t="n"/>
      <c r="CF179" s="268" t="n"/>
      <c r="CG179" s="268" t="n"/>
      <c r="CH179" s="268" t="n"/>
      <c r="CI179" s="268" t="n"/>
      <c r="CJ179" s="268" t="n"/>
      <c r="CK179" s="268" t="n"/>
      <c r="CL179" s="268" t="n"/>
      <c r="CM179" s="268" t="n"/>
      <c r="CN179" s="268" t="n"/>
      <c r="CO179" s="268" t="n"/>
      <c r="CP179" s="268" t="n"/>
      <c r="CQ179" s="268" t="n"/>
      <c r="CR179" s="268" t="n"/>
      <c r="CS179" s="268" t="n"/>
      <c r="CT179" s="268" t="n"/>
      <c r="CU179" s="268" t="n"/>
      <c r="CV179" s="268" t="n"/>
      <c r="CW179" s="268" t="n"/>
      <c r="CX179" s="268" t="n"/>
      <c r="CY179" s="268" t="n"/>
    </row>
    <row r="180" hidden="1" outlineLevel="1" ht="12.75" customHeight="1" s="255">
      <c r="C180" s="315" t="inlineStr">
        <is>
          <t xml:space="preserve">Imposto de Renda e Contribuição Social Diferidos </t>
        </is>
      </c>
      <c r="D180" s="267" t="n"/>
      <c r="E180" s="267" t="n"/>
      <c r="F180" s="267" t="n"/>
      <c r="G180" s="267" t="n"/>
      <c r="H180" s="268" t="n"/>
      <c r="I180" s="267" t="n"/>
      <c r="J180" s="267" t="n"/>
      <c r="K180" s="267" t="n"/>
      <c r="L180" s="267" t="n"/>
      <c r="M180" s="268" t="n"/>
      <c r="N180" s="267" t="n"/>
      <c r="O180" s="267" t="n"/>
      <c r="P180" s="267" t="n"/>
      <c r="Q180" s="267" t="n"/>
      <c r="R180" s="268" t="n"/>
      <c r="S180" s="267" t="n"/>
      <c r="T180" s="267" t="n"/>
      <c r="U180" s="267" t="n"/>
      <c r="V180" s="267" t="n"/>
      <c r="W180" s="268" t="n"/>
      <c r="X180" s="267" t="n"/>
      <c r="Y180" s="267" t="n"/>
      <c r="Z180" s="267" t="n"/>
      <c r="AA180" s="267" t="n"/>
      <c r="AB180" s="268" t="n"/>
      <c r="AC180" s="267" t="n"/>
      <c r="AD180" s="267" t="n"/>
      <c r="AE180" s="267" t="n"/>
      <c r="AF180" s="267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idden="1" outlineLevel="1" ht="12.75" customHeight="1" s="255">
      <c r="C181" s="315" t="n"/>
      <c r="D181" s="268" t="n"/>
      <c r="E181" s="268" t="n"/>
      <c r="F181" s="268" t="n"/>
      <c r="G181" s="268" t="n"/>
      <c r="H181" s="268" t="n"/>
      <c r="I181" s="268" t="n"/>
      <c r="J181" s="268" t="n"/>
      <c r="K181" s="268" t="n"/>
      <c r="L181" s="268" t="n"/>
      <c r="M181" s="268" t="n"/>
      <c r="N181" s="268" t="n"/>
      <c r="O181" s="268" t="n"/>
      <c r="P181" s="268" t="n"/>
      <c r="Q181" s="268" t="n"/>
      <c r="R181" s="268" t="n"/>
      <c r="S181" s="268" t="n"/>
      <c r="T181" s="268" t="n"/>
      <c r="U181" s="268" t="n"/>
      <c r="V181" s="268" t="n"/>
      <c r="W181" s="268" t="n"/>
      <c r="X181" s="268" t="n"/>
      <c r="Y181" s="268" t="n"/>
      <c r="Z181" s="268" t="n"/>
      <c r="AA181" s="268" t="n"/>
      <c r="AB181" s="268" t="n"/>
      <c r="AC181" s="268" t="n"/>
      <c r="AD181" s="268" t="n"/>
      <c r="AE181" s="268" t="n"/>
      <c r="AF181" s="268" t="n"/>
      <c r="AG181" s="268" t="n"/>
      <c r="AH181" s="268" t="n"/>
      <c r="AI181" s="268" t="n"/>
      <c r="AJ181" s="268" t="n"/>
      <c r="AK181" s="268" t="n"/>
      <c r="AL181" s="268" t="n"/>
      <c r="AM181" s="268" t="n"/>
      <c r="AN181" s="268" t="n"/>
      <c r="AO181" s="268" t="n"/>
      <c r="AP181" s="268" t="n"/>
      <c r="AQ181" s="268" t="n"/>
      <c r="AR181" s="268" t="n"/>
      <c r="AS181" s="268" t="n"/>
      <c r="AT181" s="268" t="n"/>
      <c r="AU181" s="268" t="n"/>
      <c r="AV181" s="268" t="n"/>
      <c r="AW181" s="268" t="n"/>
      <c r="AX181" s="268" t="n"/>
      <c r="AY181" s="268" t="n"/>
      <c r="AZ181" s="268" t="n"/>
      <c r="BA181" s="268" t="n"/>
      <c r="BB181" s="268" t="n"/>
      <c r="BC181" s="268" t="n"/>
      <c r="BD181" s="268" t="n"/>
      <c r="BE181" s="268" t="n"/>
      <c r="BF181" s="268" t="n"/>
      <c r="BG181" s="268" t="n"/>
      <c r="BH181" s="268" t="n"/>
      <c r="BI181" s="268" t="n"/>
      <c r="BJ181" s="268" t="n"/>
      <c r="BK181" s="268" t="n"/>
      <c r="BL181" s="268" t="n"/>
      <c r="BM181" s="268" t="n"/>
      <c r="BN181" s="268" t="n"/>
      <c r="BO181" s="268" t="n"/>
      <c r="BP181" s="268" t="n"/>
      <c r="BQ181" s="268" t="n"/>
      <c r="BR181" s="268" t="n"/>
      <c r="BS181" s="268" t="n"/>
      <c r="BT181" s="268" t="n"/>
      <c r="BU181" s="268" t="n"/>
      <c r="BV181" s="268" t="n"/>
      <c r="BW181" s="268" t="n"/>
      <c r="BX181" s="268" t="n"/>
      <c r="BY181" s="268" t="n"/>
      <c r="BZ181" s="268" t="n"/>
      <c r="CA181" s="268" t="n"/>
      <c r="CB181" s="268" t="n"/>
      <c r="CC181" s="268" t="n"/>
      <c r="CD181" s="268" t="n"/>
      <c r="CE181" s="268" t="n"/>
      <c r="CF181" s="268" t="n"/>
      <c r="CG181" s="268" t="n"/>
      <c r="CH181" s="268" t="n"/>
      <c r="CI181" s="268" t="n"/>
      <c r="CJ181" s="268" t="n"/>
      <c r="CK181" s="268" t="n"/>
      <c r="CL181" s="268" t="n"/>
      <c r="CM181" s="268" t="n"/>
      <c r="CN181" s="268" t="n"/>
      <c r="CO181" s="268" t="n"/>
      <c r="CP181" s="268" t="n"/>
      <c r="CQ181" s="268" t="n"/>
      <c r="CR181" s="268" t="n"/>
      <c r="CS181" s="268" t="n"/>
      <c r="CT181" s="268" t="n"/>
      <c r="CU181" s="268" t="n"/>
      <c r="CV181" s="268" t="n"/>
      <c r="CW181" s="268" t="n"/>
      <c r="CX181" s="268" t="n"/>
      <c r="CY181" s="268" t="n"/>
    </row>
    <row r="182" hidden="1" outlineLevel="1" ht="12.75" customHeight="1" s="255">
      <c r="C182" s="312" t="n"/>
      <c r="D182" s="268" t="n"/>
      <c r="E182" s="268" t="n"/>
      <c r="F182" s="268" t="n"/>
      <c r="G182" s="268" t="n"/>
      <c r="H182" s="268" t="n"/>
      <c r="I182" s="268" t="n"/>
      <c r="J182" s="268" t="n"/>
      <c r="K182" s="268" t="n"/>
      <c r="L182" s="268" t="n"/>
      <c r="M182" s="268" t="n"/>
      <c r="N182" s="268" t="n"/>
      <c r="O182" s="268" t="n"/>
      <c r="P182" s="268" t="n"/>
      <c r="Q182" s="268" t="n"/>
      <c r="R182" s="268" t="n"/>
      <c r="S182" s="268" t="n"/>
      <c r="T182" s="268" t="n"/>
      <c r="U182" s="268" t="n"/>
      <c r="V182" s="268" t="n"/>
      <c r="W182" s="268" t="n"/>
      <c r="X182" s="268" t="n"/>
      <c r="Y182" s="268" t="n"/>
      <c r="Z182" s="268" t="n"/>
      <c r="AA182" s="268" t="n"/>
      <c r="AB182" s="268" t="n"/>
      <c r="AC182" s="268" t="n"/>
      <c r="AD182" s="268" t="n"/>
      <c r="AE182" s="268" t="n"/>
      <c r="AF182" s="268" t="n"/>
      <c r="AG182" s="268" t="n"/>
      <c r="AH182" s="268" t="n"/>
      <c r="AI182" s="268" t="n"/>
      <c r="AJ182" s="268" t="n"/>
      <c r="AK182" s="268" t="n"/>
      <c r="AL182" s="268" t="n"/>
      <c r="AM182" s="268" t="n"/>
      <c r="AN182" s="268" t="n"/>
      <c r="AO182" s="268" t="n"/>
      <c r="AP182" s="268" t="n"/>
      <c r="AQ182" s="268" t="n"/>
      <c r="AR182" s="268" t="n"/>
      <c r="AS182" s="268" t="n"/>
      <c r="AT182" s="268" t="n"/>
      <c r="AU182" s="268" t="n"/>
      <c r="AV182" s="268" t="n"/>
      <c r="AW182" s="268" t="n"/>
      <c r="AX182" s="268" t="n"/>
      <c r="AY182" s="268" t="n"/>
      <c r="AZ182" s="268" t="n"/>
      <c r="BA182" s="268" t="n"/>
      <c r="BB182" s="268" t="n"/>
      <c r="BC182" s="268" t="n"/>
      <c r="BD182" s="268" t="n"/>
      <c r="BE182" s="268" t="n"/>
      <c r="BF182" s="268" t="n"/>
      <c r="BG182" s="268" t="n"/>
      <c r="BH182" s="268" t="n"/>
      <c r="BI182" s="268" t="n"/>
      <c r="BJ182" s="268" t="n"/>
      <c r="BK182" s="268" t="n"/>
      <c r="BL182" s="268" t="n"/>
      <c r="BM182" s="268" t="n"/>
      <c r="BN182" s="268" t="n"/>
      <c r="BO182" s="268" t="n"/>
      <c r="BP182" s="268" t="n"/>
      <c r="BQ182" s="268" t="n"/>
      <c r="BR182" s="268" t="n"/>
      <c r="BS182" s="268" t="n"/>
      <c r="BT182" s="268" t="n"/>
      <c r="BU182" s="268" t="n"/>
      <c r="BV182" s="268" t="n"/>
      <c r="BW182" s="268" t="n"/>
      <c r="BX182" s="268" t="n"/>
      <c r="BY182" s="268" t="n"/>
      <c r="BZ182" s="268" t="n"/>
      <c r="CA182" s="268" t="n"/>
      <c r="CB182" s="268" t="n"/>
      <c r="CC182" s="268" t="n"/>
      <c r="CD182" s="268" t="n"/>
      <c r="CE182" s="268" t="n"/>
      <c r="CF182" s="268" t="n"/>
      <c r="CG182" s="268" t="n"/>
      <c r="CH182" s="268" t="n"/>
      <c r="CI182" s="268" t="n"/>
      <c r="CJ182" s="268" t="n"/>
      <c r="CK182" s="268" t="n"/>
      <c r="CL182" s="268" t="n"/>
      <c r="CM182" s="268" t="n"/>
      <c r="CN182" s="268" t="n"/>
      <c r="CO182" s="268" t="n"/>
      <c r="CP182" s="268" t="n"/>
      <c r="CQ182" s="268" t="n"/>
      <c r="CR182" s="268" t="n"/>
      <c r="CS182" s="268" t="n"/>
      <c r="CT182" s="268" t="n"/>
      <c r="CU182" s="268" t="n"/>
      <c r="CV182" s="268" t="n"/>
      <c r="CW182" s="268" t="n"/>
      <c r="CX182" s="268" t="n"/>
      <c r="CY182" s="268" t="n"/>
    </row>
    <row r="183" ht="12.75" customFormat="1" customHeight="1" s="287">
      <c r="A183" s="288" t="n"/>
      <c r="B183" s="259" t="n"/>
      <c r="C183" s="275" t="inlineStr">
        <is>
          <t>Total Assets</t>
        </is>
      </c>
      <c r="D183" s="276">
        <f>(D130+D131+D135+D139+D140+D141+D147+D152+D162+D165+D166+D175)</f>
        <v>0</v>
      </c>
      <c r="E183" s="276">
        <f>(E130+E131+E135+E139+E140+E141+E147+E152+E162+E165+E166+E175)</f>
        <v>0</v>
      </c>
      <c r="F183" s="276">
        <f>(F130+F131+F135+F139+F140+F141+F147+F152+F162+F165+F166+F175)</f>
        <v>0</v>
      </c>
      <c r="G183" s="276">
        <f>(G130+G131+G135+G139+G140+G141+G147+G152+G162+G165+G166+G175)</f>
        <v>0</v>
      </c>
      <c r="H183" s="276">
        <f>SUM(H130,H131,H135,H139,H140,H141,H147,H162,H165,H166,H175,H152)</f>
        <v>0</v>
      </c>
      <c r="I183" s="276">
        <f>(I130+I131+I135+I139+I140+I141+I147+I152+I162+I165+I166+I175)</f>
        <v>0</v>
      </c>
      <c r="J183" s="276">
        <f>(J130+J131+J135+J139+J140+J141+J147+J152+J162+J165+J166+J175)</f>
        <v>0</v>
      </c>
      <c r="K183" s="276">
        <f>(K130+K131+K135+K139+K140+K141+K147+K152+K162+K165+K166+K175)</f>
        <v>0</v>
      </c>
      <c r="L183" s="276">
        <f>(L130+L131+L135+L139+L140+L141+L147+L152+L162+L165+L166+L175)</f>
        <v>0</v>
      </c>
      <c r="M183" s="276">
        <f>SUM(M130,M131,M135,M139,M140,M141,M147,M162,M165,M166,M175,M152)</f>
        <v>0</v>
      </c>
      <c r="N183" s="276">
        <f>(N130+N131+N135+N139+N140+N141+N147+N152+N162+N165+N166+N175)</f>
        <v>0</v>
      </c>
      <c r="O183" s="276">
        <f>(O130+O131+O135+O139+O140+O141+O147+O152+O162+O165+O166+O175)</f>
        <v>0</v>
      </c>
      <c r="P183" s="276">
        <f>(P130+P131+P135+P139+P140+P141+P147+P152+P162+P165+P166+P175)</f>
        <v>0</v>
      </c>
      <c r="Q183" s="276">
        <f>(Q130+Q131+Q135+Q139+Q140+Q141+Q147+Q152+Q162+Q165+Q166+Q175)</f>
        <v>0</v>
      </c>
      <c r="R183" s="276">
        <f>SUM(R130,R131,R135,R139,R140,R141,R147,R162,R165,R166,R175,R152)</f>
        <v>0</v>
      </c>
      <c r="S183" s="276">
        <f>(S130+S131+S135+S139+S140+S141+S147+S152+S162+S165+S166+S175)</f>
        <v>0</v>
      </c>
      <c r="T183" s="276">
        <f>(T130+T131+T135+T139+T140+T141+T147+T152+T162+T165+T166+T175)</f>
        <v>0</v>
      </c>
      <c r="U183" s="276">
        <f>(U130+U131+U135+U139+U140+U141+U147+U152+U162+U165+U166+U175)</f>
        <v>0</v>
      </c>
      <c r="V183" s="276">
        <f>(V130+V131+V135+V139+V140+V141+V147+V152+V162+V165+V166+V175)</f>
        <v>0</v>
      </c>
      <c r="W183" s="276">
        <f>SUM(W130,W131,W135,W139,W140,W141,W147,W162,W165,W166,W175,W152)</f>
        <v>0</v>
      </c>
      <c r="X183" s="276">
        <f>(X130+X131+X135+X139+X140+X141+X147+X152+X162+X165+X166+X175)</f>
        <v>0</v>
      </c>
      <c r="Y183" s="276">
        <f>(Y130+Y131+Y135+Y139+Y140+Y141+Y147+Y152+Y162+Y165+Y166+Y175)</f>
        <v>0</v>
      </c>
      <c r="Z183" s="276">
        <f>(Z130+Z131+Z135+Z139+Z140+Z141+Z147+Z152+Z162+Z165+Z166+Z175)</f>
        <v>0</v>
      </c>
      <c r="AA183" s="276">
        <f>(AA130+AA131+AA135+AA139+AA140+AA141+AA147+AA152+AA162+AA165+AA166+AA175)</f>
        <v>17832.599</v>
      </c>
      <c r="AB183" s="276">
        <f>SUM(AB130,AB131,AB135,AB139,AB140,AB141,AB147,AB162,AB165,AB166,AB175,AB152)</f>
        <v>17832.599</v>
      </c>
      <c r="AC183" s="276">
        <f>(AC130+AC131+AC135+AC139+AC140+AC141+AC147+AC152+AC162+AC165+AC166+AC175)</f>
        <v>21860.383</v>
      </c>
      <c r="AD183" s="276">
        <f>(AD130+AD131+AD135+AD139+AD140+AD141+AD147+AD152+AD162+AD165+AD166+AD175)</f>
        <v>26241.363</v>
      </c>
      <c r="AE183" s="276">
        <f>(AE130+AE131+AE135+AE139+AE140+AE141+AE147+AE152+AE162+AE165+AE166+AE175)</f>
        <v>32910.498</v>
      </c>
      <c r="AF183" s="276">
        <f>(AF130+AF131+AF135+AF139+AF140+AF141+AF147+AF152+AF162+AF165+AF166+AF175)</f>
        <v>49302</v>
      </c>
      <c r="AG183" s="276">
        <f>SUM(AG130,AG131,AG135,AG139,AG140,AG141,AG147,AG162,AG165,AG166,AG175,AG152)</f>
        <v>49302</v>
      </c>
      <c r="AH183" s="276">
        <f>(AH130+AH131+AH135+AH139+AH140+AH141+AH147+AH152+AH162+AH165+AH166+AH175)</f>
        <v>55573</v>
      </c>
      <c r="AI183" s="276">
        <f>(AI130+AI131+AI135+AI139+AI140+AI141+AI147+AI152+AI162+AI165+AI166+AI175)</f>
        <v>77070</v>
      </c>
      <c r="AJ183" s="276">
        <f>(AJ130+AJ131+AJ135+AJ139+AJ140+AJ141+AJ147+AJ152+AJ162+AJ165+AJ166+AJ175)</f>
        <v>66928</v>
      </c>
      <c r="AK183" s="276">
        <f>(AK130+AK131+AK135+AK139+AK140+AK141+AK147+AK152+AK162+AK165+AK166+AK175)</f>
        <v>66971</v>
      </c>
      <c r="AL183" s="276">
        <f>SUM(AL130,AL131,AL135,AL139,AL140,AL141,AL147,AL162,AL165,AL166,AL175,AL152)</f>
        <v>66971</v>
      </c>
      <c r="AM183" s="276" t="e">
        <f>(AM130+AM131+AM135+AM139+AM140+AM141+AM147+AM152+AM162+AM165+AM166+AM175)</f>
        <v>#DIV/0!</v>
      </c>
      <c r="AN183" s="276" t="e">
        <f>(AN130+AN131+AN135+AN139+AN140+AN141+AN147+AN152+AN162+AN165+AN166+AN175)</f>
        <v>#DIV/0!</v>
      </c>
      <c r="AO183" s="276" t="e">
        <f>(AO130+AO131+AO135+AO139+AO140+AO141+AO147+AO152+AO162+AO165+AO166+AO175)</f>
        <v>#DIV/0!</v>
      </c>
      <c r="AP183" s="276" t="e">
        <f>(AP130+AP131+AP135+AP139+AP140+AP141+AP147+AP152+AP162+AP165+AP166+AP175)</f>
        <v>#DIV/0!</v>
      </c>
      <c r="AQ183" s="276" t="e">
        <f>SUM(AQ130,AQ131,AQ135,AQ139,AQ140,AQ141,AQ147,AQ162,AQ165,AQ166,AQ175,AQ152)</f>
        <v>#DIV/0!</v>
      </c>
      <c r="AR183" s="276" t="e">
        <f>(AR130+AR131+AR135+AR139+AR140+AR141+AR147+AR152+AR162+AR165+AR166+AR175)</f>
        <v>#DIV/0!</v>
      </c>
      <c r="AS183" s="276" t="e">
        <f>(AS130+AS131+AS135+AS139+AS140+AS141+AS147+AS152+AS162+AS165+AS166+AS175)</f>
        <v>#DIV/0!</v>
      </c>
      <c r="AT183" s="276" t="e">
        <f>(AT130+AT131+AT135+AT139+AT140+AT141+AT147+AT152+AT162+AT165+AT166+AT175)</f>
        <v>#DIV/0!</v>
      </c>
      <c r="AU183" s="276" t="e">
        <f>(AU130+AU131+AU135+AU139+AU140+AU141+AU147+AU152+AU162+AU165+AU166+AU175)</f>
        <v>#DIV/0!</v>
      </c>
      <c r="AV183" s="276" t="e">
        <f>SUM(AV130,AV131,AV135,AV139,AV140,AV141,AV147,AV162,AV165,AV166,AV175,AV152)</f>
        <v>#DIV/0!</v>
      </c>
      <c r="AW183" s="276" t="e">
        <f>(AW130+AW131+AW135+AW139+AW140+AW141+AW147+AW152+AW162+AW165+AW166+AW175)</f>
        <v>#DIV/0!</v>
      </c>
      <c r="AX183" s="276" t="e">
        <f>(AX130+AX131+AX135+AX139+AX140+AX141+AX147+AX152+AX162+AX165+AX166+AX175)</f>
        <v>#DIV/0!</v>
      </c>
      <c r="AY183" s="276" t="e">
        <f>(AY130+AY131+AY135+AY139+AY140+AY141+AY147+AY152+AY162+AY165+AY166+AY175)</f>
        <v>#DIV/0!</v>
      </c>
      <c r="AZ183" s="276" t="e">
        <f>(AZ130+AZ131+AZ135+AZ139+AZ140+AZ141+AZ147+AZ152+AZ162+AZ165+AZ166+AZ175)</f>
        <v>#DIV/0!</v>
      </c>
      <c r="BA183" s="276" t="e">
        <f>SUM(BA130,BA131,BA135,BA139,BA140,BA141,BA147,BA162,BA165,BA166,BA175,BA152)</f>
        <v>#DIV/0!</v>
      </c>
      <c r="BB183" s="276" t="e">
        <f>(BB130+BB131+BB135+BB139+BB140+BB141+BB147+BB152+BB162+BB165+BB166+BB175)</f>
        <v>#DIV/0!</v>
      </c>
      <c r="BC183" s="276" t="e">
        <f>(BC130+BC131+BC135+BC139+BC140+BC141+BC147+BC152+BC162+BC165+BC166+BC175)</f>
        <v>#DIV/0!</v>
      </c>
      <c r="BD183" s="276" t="e">
        <f>(BD130+BD131+BD135+BD139+BD140+BD141+BD147+BD152+BD162+BD165+BD166+BD175)</f>
        <v>#DIV/0!</v>
      </c>
      <c r="BE183" s="276" t="e">
        <f>(BE130+BE131+BE135+BE139+BE140+BE141+BE147+BE152+BE162+BE165+BE166+BE175)</f>
        <v>#DIV/0!</v>
      </c>
      <c r="BF183" s="276" t="e">
        <f>SUM(BF130,BF131,BF135,BF139,BF140,BF141,BF147,BF162,BF165,BF166,BF175,BF152)</f>
        <v>#DIV/0!</v>
      </c>
      <c r="BG183" s="276" t="e">
        <f>(BG130+BG131+BG135+BG139+BG140+BG141+BG147+BG152+BG162+BG165+BG166+BG175)</f>
        <v>#DIV/0!</v>
      </c>
      <c r="BH183" s="276" t="e">
        <f>(BH130+BH131+BH135+BH139+BH140+BH141+BH147+BH152+BH162+BH165+BH166+BH175)</f>
        <v>#DIV/0!</v>
      </c>
      <c r="BI183" s="276" t="e">
        <f>(BI130+BI131+BI135+BI139+BI140+BI141+BI147+BI152+BI162+BI165+BI166+BI175)</f>
        <v>#DIV/0!</v>
      </c>
      <c r="BJ183" s="276" t="e">
        <f>(BJ130+BJ131+BJ135+BJ139+BJ140+BJ141+BJ147+BJ152+BJ162+BJ165+BJ166+BJ175)</f>
        <v>#DIV/0!</v>
      </c>
      <c r="BK183" s="276" t="e">
        <f>SUM(BK130,BK131,BK135,BK139,BK140,BK141,BK147,BK162,BK165,BK166,BK175,BK152)</f>
        <v>#DIV/0!</v>
      </c>
      <c r="BL183" s="276" t="e">
        <f>(BL130+BL131+BL135+BL139+BL140+BL141+BL147+BL152+BL162+BL165+BL166+BL175)</f>
        <v>#DIV/0!</v>
      </c>
      <c r="BM183" s="276" t="e">
        <f>(BM130+BM131+BM135+BM139+BM140+BM141+BM147+BM152+BM162+BM165+BM166+BM175)</f>
        <v>#DIV/0!</v>
      </c>
      <c r="BN183" s="276" t="e">
        <f>(BN130+BN131+BN135+BN139+BN140+BN141+BN147+BN152+BN162+BN165+BN166+BN175)</f>
        <v>#DIV/0!</v>
      </c>
      <c r="BO183" s="276" t="e">
        <f>(BO130+BO131+BO135+BO139+BO140+BO141+BO147+BO152+BO162+BO165+BO166+BO175)</f>
        <v>#DIV/0!</v>
      </c>
      <c r="BP183" s="276" t="e">
        <f>SUM(BP130,BP131,BP135,BP139,BP140,BP141,BP147,BP162,BP165,BP166,BP175,BP152)</f>
        <v>#DIV/0!</v>
      </c>
      <c r="BQ183" s="276" t="e">
        <f>(BQ130+BQ131+BQ135+BQ139+BQ140+BQ141+BQ147+BQ152+BQ162+BQ165+BQ166+BQ175)</f>
        <v>#DIV/0!</v>
      </c>
      <c r="BR183" s="276" t="e">
        <f>(BR130+BR131+BR135+BR139+BR140+BR141+BR147+BR152+BR162+BR165+BR166+BR175)</f>
        <v>#DIV/0!</v>
      </c>
      <c r="BS183" s="276" t="e">
        <f>(BS130+BS131+BS135+BS139+BS140+BS141+BS147+BS152+BS162+BS165+BS166+BS175)</f>
        <v>#DIV/0!</v>
      </c>
      <c r="BT183" s="276" t="e">
        <f>(BT130+BT131+BT135+BT139+BT140+BT141+BT147+BT152+BT162+BT165+BT166+BT175)</f>
        <v>#DIV/0!</v>
      </c>
      <c r="BU183" s="276" t="e">
        <f>SUM(BU130,BU131,BU135,BU139,BU140,BU141,BU147,BU162,BU165,BU166,BU175,BU152)</f>
        <v>#DIV/0!</v>
      </c>
      <c r="BV183" s="276" t="e">
        <f>(BV130+BV131+BV135+BV139+BV140+BV141+BV147+BV152+BV162+BV165+BV166+BV175)</f>
        <v>#DIV/0!</v>
      </c>
      <c r="BW183" s="276" t="e">
        <f>(BW130+BW131+BW135+BW139+BW140+BW141+BW147+BW152+BW162+BW165+BW166+BW175)</f>
        <v>#DIV/0!</v>
      </c>
      <c r="BX183" s="276" t="e">
        <f>(BX130+BX131+BX135+BX139+BX140+BX141+BX147+BX152+BX162+BX165+BX166+BX175)</f>
        <v>#DIV/0!</v>
      </c>
      <c r="BY183" s="276" t="e">
        <f>(BY130+BY131+BY135+BY139+BY140+BY141+BY147+BY152+BY162+BY165+BY166+BY175)</f>
        <v>#DIV/0!</v>
      </c>
      <c r="BZ183" s="276" t="e">
        <f>SUM(BZ130,BZ131,BZ135,BZ139,BZ140,BZ141,BZ147,BZ162,BZ165,BZ166,BZ175,BZ152)</f>
        <v>#DIV/0!</v>
      </c>
      <c r="CA183" s="276" t="e">
        <f>(CA130+CA131+CA135+CA139+CA140+CA141+CA147+CA152+CA162+CA165+CA166+CA175)</f>
        <v>#DIV/0!</v>
      </c>
      <c r="CB183" s="276" t="e">
        <f>(CB130+CB131+CB135+CB139+CB140+CB141+CB147+CB152+CB162+CB165+CB166+CB175)</f>
        <v>#DIV/0!</v>
      </c>
      <c r="CC183" s="276" t="e">
        <f>(CC130+CC131+CC135+CC139+CC140+CC141+CC147+CC152+CC162+CC165+CC166+CC175)</f>
        <v>#DIV/0!</v>
      </c>
      <c r="CD183" s="276" t="e">
        <f>(CD130+CD131+CD135+CD139+CD140+CD141+CD147+CD152+CD162+CD165+CD166+CD175)</f>
        <v>#DIV/0!</v>
      </c>
      <c r="CE183" s="276" t="e">
        <f>SUM(CE130,CE131,CE135,CE139,CE140,CE141,CE147,CE162,CE165,CE166,CE175,CE152)</f>
        <v>#DIV/0!</v>
      </c>
      <c r="CF183" s="276" t="e">
        <f>(CF130+CF131+CF135+CF139+CF140+CF141+CF147+CF152+CF162+CF165+CF166+CF175)</f>
        <v>#DIV/0!</v>
      </c>
      <c r="CG183" s="276" t="e">
        <f>(CG130+CG131+CG135+CG139+CG140+CG141+CG147+CG152+CG162+CG165+CG166+CG175)</f>
        <v>#DIV/0!</v>
      </c>
      <c r="CH183" s="276" t="e">
        <f>(CH130+CH131+CH135+CH139+CH140+CH141+CH147+CH152+CH162+CH165+CH166+CH175)</f>
        <v>#DIV/0!</v>
      </c>
      <c r="CI183" s="276" t="e">
        <f>(CI130+CI131+CI135+CI139+CI140+CI141+CI147+CI152+CI162+CI165+CI166+CI175)</f>
        <v>#DIV/0!</v>
      </c>
      <c r="CJ183" s="276" t="e">
        <f>SUM(CJ130,CJ131,CJ135,CJ139,CJ140,CJ141,CJ147,CJ162,CJ165,CJ166,CJ175,CJ152)</f>
        <v>#DIV/0!</v>
      </c>
      <c r="CK183" s="276" t="e">
        <f>(CK130+CK131+CK135+CK139+CK140+CK141+CK147+CK152+CK162+CK165+CK166+CK175)</f>
        <v>#DIV/0!</v>
      </c>
      <c r="CL183" s="276" t="e">
        <f>(CL130+CL131+CL135+CL139+CL140+CL141+CL147+CL152+CL162+CL165+CL166+CL175)</f>
        <v>#DIV/0!</v>
      </c>
      <c r="CM183" s="276" t="e">
        <f>(CM130+CM131+CM135+CM139+CM140+CM141+CM147+CM152+CM162+CM165+CM166+CM175)</f>
        <v>#DIV/0!</v>
      </c>
      <c r="CN183" s="276" t="e">
        <f>(CN130+CN131+CN135+CN139+CN140+CN141+CN147+CN152+CN162+CN165+CN166+CN175)</f>
        <v>#DIV/0!</v>
      </c>
      <c r="CO183" s="276" t="e">
        <f>SUM(CO130,CO131,CO135,CO139,CO140,CO141,CO147,CO162,CO165,CO166,CO175,CO152)</f>
        <v>#DIV/0!</v>
      </c>
      <c r="CP183" s="276" t="e">
        <f>(CP130+CP131+CP135+CP139+CP140+CP141+CP147+CP152+CP162+CP165+CP166+CP175)</f>
        <v>#DIV/0!</v>
      </c>
      <c r="CQ183" s="276" t="e">
        <f>(CQ130+CQ131+CQ135+CQ139+CQ140+CQ141+CQ147+CQ152+CQ162+CQ165+CQ166+CQ175)</f>
        <v>#DIV/0!</v>
      </c>
      <c r="CR183" s="276" t="e">
        <f>(CR130+CR131+CR135+CR139+CR140+CR141+CR147+CR152+CR162+CR165+CR166+CR175)</f>
        <v>#DIV/0!</v>
      </c>
      <c r="CS183" s="276" t="e">
        <f>(CS130+CS131+CS135+CS139+CS140+CS141+CS147+CS152+CS162+CS165+CS166+CS175)</f>
        <v>#DIV/0!</v>
      </c>
      <c r="CT183" s="276" t="e">
        <f>SUM(CT130,CT131,CT135,CT139,CT140,CT141,CT147,CT162,CT165,CT166,CT175,CT152)</f>
        <v>#DIV/0!</v>
      </c>
      <c r="CU183" s="276" t="e">
        <f>(CU130+CU131+CU135+CU139+CU140+CU141+CU147+CU152+CU162+CU165+CU166+CU175)</f>
        <v>#DIV/0!</v>
      </c>
      <c r="CV183" s="276" t="e">
        <f>(CV130+CV131+CV135+CV139+CV140+CV141+CV147+CV152+CV162+CV165+CV166+CV175)</f>
        <v>#DIV/0!</v>
      </c>
      <c r="CW183" s="276" t="e">
        <f>(CW130+CW131+CW135+CW139+CW140+CW141+CW147+CW152+CW162+CW165+CW166+CW175)</f>
        <v>#DIV/0!</v>
      </c>
      <c r="CX183" s="276" t="e">
        <f>(CX130+CX131+CX135+CX139+CX140+CX141+CX147+CX152+CX162+CX165+CX166+CX175)</f>
        <v>#DIV/0!</v>
      </c>
      <c r="CY183" s="276" t="e">
        <f>SUM(CY130,CY131,CY135,CY139,CY140,CY141,CY147,CY162,CY165,CY166,CY175,CY152)</f>
        <v>#DIV/0!</v>
      </c>
    </row>
    <row r="184" ht="12.75" customHeight="1" s="255">
      <c r="C184" s="270" t="inlineStr">
        <is>
          <t>Accounts payable</t>
        </is>
      </c>
      <c r="D184" s="301">
        <f>INDEX('Inputs (2)'!$D$28:$AL$28,MATCH(D$7,'Inputs (2)'!$D$2:$AL$2,0))</f>
        <v>0</v>
      </c>
      <c r="E184" s="301">
        <f>INDEX('Inputs (2)'!$D$28:$AL$28,MATCH(E$7,'Inputs (2)'!$D$2:$AL$2,0))</f>
        <v>0</v>
      </c>
      <c r="F184" s="301">
        <f>INDEX('Inputs (2)'!$D$28:$AL$28,MATCH(F$7,'Inputs (2)'!$D$2:$AL$2,0))</f>
        <v>0</v>
      </c>
      <c r="G184" s="301">
        <f>INDEX('Inputs (2)'!$D$28:$AL$28,MATCH(G$7,'Inputs (2)'!$D$2:$AL$2,0))</f>
        <v>0</v>
      </c>
      <c r="H184" s="268">
        <f>G184</f>
        <v>0</v>
      </c>
      <c r="I184" s="301">
        <f>INDEX('Inputs (2)'!$D$28:$AL$28,MATCH(I$7,'Inputs (2)'!$D$2:$AL$2,0))</f>
        <v>0</v>
      </c>
      <c r="J184" s="301">
        <f>INDEX('Inputs (2)'!$D$28:$AL$28,MATCH(J$7,'Inputs (2)'!$D$2:$AL$2,0))</f>
        <v>0</v>
      </c>
      <c r="K184" s="301">
        <f>INDEX('Inputs (2)'!$D$28:$AL$28,MATCH(K$7,'Inputs (2)'!$D$2:$AL$2,0))</f>
        <v>0</v>
      </c>
      <c r="L184" s="301">
        <f>INDEX('Inputs (2)'!$D$28:$AL$28,MATCH(L$7,'Inputs (2)'!$D$2:$AL$2,0))</f>
        <v>0</v>
      </c>
      <c r="M184" s="268">
        <f>L184</f>
        <v>0</v>
      </c>
      <c r="N184" s="301">
        <f>INDEX('Inputs (2)'!$D$28:$AL$28,MATCH(N$7,'Inputs (2)'!$D$2:$AL$2,0))</f>
        <v>0</v>
      </c>
      <c r="O184" s="301">
        <f>INDEX('Inputs (2)'!$D$28:$AL$28,MATCH(O$7,'Inputs (2)'!$D$2:$AL$2,0))</f>
        <v>0</v>
      </c>
      <c r="P184" s="301">
        <f>INDEX('Inputs (2)'!$D$28:$AL$28,MATCH(P$7,'Inputs (2)'!$D$2:$AL$2,0))</f>
        <v>0</v>
      </c>
      <c r="Q184" s="301">
        <f>INDEX('Inputs (2)'!$D$28:$AL$28,MATCH(Q$7,'Inputs (2)'!$D$2:$AL$2,0))</f>
        <v>0</v>
      </c>
      <c r="R184" s="268">
        <f>Q184</f>
        <v>0</v>
      </c>
      <c r="S184" s="301">
        <f>INDEX('Inputs (2)'!$D$28:$AL$28,MATCH(S$7,'Inputs (2)'!$D$2:$AL$2,0))</f>
        <v>0</v>
      </c>
      <c r="T184" s="301">
        <f>INDEX('Inputs (2)'!$D$28:$AL$28,MATCH(T$7,'Inputs (2)'!$D$2:$AL$2,0))</f>
        <v>0</v>
      </c>
      <c r="U184" s="301">
        <f>INDEX('Inputs (2)'!$D$28:$AL$28,MATCH(U$7,'Inputs (2)'!$D$2:$AL$2,0))</f>
        <v>0</v>
      </c>
      <c r="V184" s="301">
        <f>INDEX('Inputs (2)'!$D$28:$AL$28,MATCH(V$7,'Inputs (2)'!$D$2:$AL$2,0))</f>
        <v>0</v>
      </c>
      <c r="W184" s="268">
        <f>V184</f>
        <v>0</v>
      </c>
      <c r="X184" s="301">
        <f>INDEX('Inputs (2)'!$D$28:$AL$28,MATCH(X$7,'Inputs (2)'!$D$2:$AL$2,0))</f>
        <v>0</v>
      </c>
      <c r="Y184" s="301">
        <f>INDEX('Inputs (2)'!$D$28:$AL$28,MATCH(Y$7,'Inputs (2)'!$D$2:$AL$2,0))</f>
        <v>0</v>
      </c>
      <c r="Z184" s="301">
        <f>INDEX('Inputs (2)'!$D$28:$AL$28,MATCH(Z$7,'Inputs (2)'!$D$2:$AL$2,0))</f>
        <v>0</v>
      </c>
      <c r="AA184" s="301">
        <f>INDEX('Inputs (2)'!$D$28:$AL$28,MATCH(AA$7,'Inputs (2)'!$D$2:$AL$2,0))</f>
        <v>868.259</v>
      </c>
      <c r="AB184" s="268">
        <f>AA184</f>
        <v>868.259</v>
      </c>
      <c r="AC184" s="301">
        <f>INDEX('Inputs (2)'!$D$28:$AL$28,MATCH(AC$7,'Inputs (2)'!$D$2:$AL$2,0))</f>
        <v>1242.1</v>
      </c>
      <c r="AD184" s="301">
        <f>INDEX('Inputs (2)'!$D$28:$AL$28,MATCH(AD$7,'Inputs (2)'!$D$2:$AL$2,0))</f>
        <v>1226.579</v>
      </c>
      <c r="AE184" s="301">
        <f>INDEX('Inputs (2)'!$D$28:$AL$28,MATCH(AE$7,'Inputs (2)'!$D$2:$AL$2,0))</f>
        <v>1156.978</v>
      </c>
      <c r="AF184" s="301">
        <f>INDEX('Inputs (2)'!$D$28:$AL$28,MATCH(AF$7,'Inputs (2)'!$D$2:$AL$2,0))</f>
        <v>1623</v>
      </c>
      <c r="AG184" s="268">
        <f>AF184</f>
        <v>1623</v>
      </c>
      <c r="AH184" s="268">
        <f>INDEX('Inputs (2)'!$D$28:$AL$28,MATCH(AH$7,'Inputs (2)'!$D$2:$AL$2,0))</f>
        <v>3371</v>
      </c>
      <c r="AI184" s="268">
        <f>INDEX('Inputs (2)'!$D$28:$AL$28,MATCH(AI$7,'Inputs (2)'!$D$2:$AL$2,0))</f>
        <v>3633</v>
      </c>
      <c r="AJ184" s="268">
        <f>(AJ185/(AJ$5-AI$5))*-AJ40</f>
        <v>0</v>
      </c>
      <c r="AK184" s="268">
        <f>(AK185/(AK$5-AJ$5))*-AK40</f>
        <v>0</v>
      </c>
      <c r="AL184" s="268">
        <f>AK184</f>
        <v>0</v>
      </c>
      <c r="AM184" s="268">
        <f>(AM185/(AM$5-AL$5))*-AM40</f>
        <v>0</v>
      </c>
      <c r="AN184" s="268">
        <f>(AN185/(AN$5-AM$5))*-AN40</f>
        <v>0</v>
      </c>
      <c r="AO184" s="268">
        <f>(AO185/(AO$5-AN$5))*-AO40</f>
        <v>0</v>
      </c>
      <c r="AP184" s="268">
        <f>(AP185/(AP$5-AO$5))*-AP40</f>
        <v>0</v>
      </c>
      <c r="AQ184" s="268">
        <f>AP184</f>
        <v>0</v>
      </c>
      <c r="AR184" s="268">
        <f>(AR185/(AR$5-AQ$5))*-AR40</f>
        <v>0</v>
      </c>
      <c r="AS184" s="268">
        <f>(AS185/(AS$5-AR$5))*-AS40</f>
        <v>0</v>
      </c>
      <c r="AT184" s="268">
        <f>(AT185/(AT$5-AS$5))*-AT40</f>
        <v>0</v>
      </c>
      <c r="AU184" s="268">
        <f>(AU185/(AU$5-AT$5))*-AU40</f>
        <v>0</v>
      </c>
      <c r="AV184" s="268">
        <f>AU184</f>
        <v>0</v>
      </c>
      <c r="AW184" s="268">
        <f>(AW185/(AW$5-AV$5))*-AW40</f>
        <v>0</v>
      </c>
      <c r="AX184" s="268">
        <f>(AX185/(AX$5-AW$5))*-AX40</f>
        <v>0</v>
      </c>
      <c r="AY184" s="268">
        <f>(AY185/(AY$5-AX$5))*-AY40</f>
        <v>0</v>
      </c>
      <c r="AZ184" s="268">
        <f>(AZ185/(AZ$5-AY$5))*-AZ40</f>
        <v>0</v>
      </c>
      <c r="BA184" s="268">
        <f>AZ184</f>
        <v>0</v>
      </c>
      <c r="BB184" s="268">
        <f>(BB185/(BB$5-BA$5))*-BB40</f>
        <v>0</v>
      </c>
      <c r="BC184" s="268">
        <f>(BC185/(BC$5-BB$5))*-BC40</f>
        <v>0</v>
      </c>
      <c r="BD184" s="268">
        <f>(BD185/(BD$5-BC$5))*-BD40</f>
        <v>0</v>
      </c>
      <c r="BE184" s="268">
        <f>(BE185/(BE$5-BD$5))*-BE40</f>
        <v>0</v>
      </c>
      <c r="BF184" s="268">
        <f>BE184</f>
        <v>0</v>
      </c>
      <c r="BG184" s="268">
        <f>(BG185/(BG$5-BF$5))*-BG40</f>
        <v>0</v>
      </c>
      <c r="BH184" s="268">
        <f>(BH185/(BH$5-BG$5))*-BH40</f>
        <v>0</v>
      </c>
      <c r="BI184" s="268">
        <f>(BI185/(BI$5-BH$5))*-BI40</f>
        <v>0</v>
      </c>
      <c r="BJ184" s="268">
        <f>(BJ185/(BJ$5-BI$5))*-BJ40</f>
        <v>0</v>
      </c>
      <c r="BK184" s="268">
        <f>BJ184</f>
        <v>0</v>
      </c>
      <c r="BL184" s="268">
        <f>(BL185/(BL$5-BK$5))*-BL40</f>
        <v>0</v>
      </c>
      <c r="BM184" s="268">
        <f>(BM185/(BM$5-BL$5))*-BM40</f>
        <v>0</v>
      </c>
      <c r="BN184" s="268">
        <f>(BN185/(BN$5-BM$5))*-BN40</f>
        <v>0</v>
      </c>
      <c r="BO184" s="268">
        <f>(BO185/(BO$5-BN$5))*-BO40</f>
        <v>0</v>
      </c>
      <c r="BP184" s="268">
        <f>BO184</f>
        <v>0</v>
      </c>
      <c r="BQ184" s="268">
        <f>(BQ185/(BQ$5-BP$5))*-BQ40</f>
        <v>0</v>
      </c>
      <c r="BR184" s="268">
        <f>(BR185/(BR$5-BQ$5))*-BR40</f>
        <v>0</v>
      </c>
      <c r="BS184" s="268">
        <f>(BS185/(BS$5-BR$5))*-BS40</f>
        <v>0</v>
      </c>
      <c r="BT184" s="268">
        <f>(BT185/(BT$5-BS$5))*-BT40</f>
        <v>0</v>
      </c>
      <c r="BU184" s="268">
        <f>BT184</f>
        <v>0</v>
      </c>
      <c r="BV184" s="268">
        <f>(BV185/(BV$5-BU$5))*-BV40</f>
        <v>0</v>
      </c>
      <c r="BW184" s="268">
        <f>(BW185/(BW$5-BV$5))*-BW40</f>
        <v>0</v>
      </c>
      <c r="BX184" s="268">
        <f>(BX185/(BX$5-BW$5))*-BX40</f>
        <v>0</v>
      </c>
      <c r="BY184" s="268">
        <f>(BY185/(BY$5-BX$5))*-BY40</f>
        <v>0</v>
      </c>
      <c r="BZ184" s="268">
        <f>BY184</f>
        <v>0</v>
      </c>
      <c r="CA184" s="268">
        <f>(CA185/(CA$5-BZ$5))*-CA40</f>
        <v>0</v>
      </c>
      <c r="CB184" s="268">
        <f>(CB185/(CB$5-CA$5))*-CB40</f>
        <v>0</v>
      </c>
      <c r="CC184" s="268">
        <f>(CC185/(CC$5-CB$5))*-CC40</f>
        <v>0</v>
      </c>
      <c r="CD184" s="268">
        <f>(CD185/(CD$5-CC$5))*-CD40</f>
        <v>0</v>
      </c>
      <c r="CE184" s="268">
        <f>CD184</f>
        <v>0</v>
      </c>
      <c r="CF184" s="268">
        <f>(CF185/(CF$5-CE$5))*-CF40</f>
        <v>0</v>
      </c>
      <c r="CG184" s="268">
        <f>(CG185/(CG$5-CF$5))*-CG40</f>
        <v>0</v>
      </c>
      <c r="CH184" s="268">
        <f>(CH185/(CH$5-CG$5))*-CH40</f>
        <v>0</v>
      </c>
      <c r="CI184" s="268">
        <f>(CI185/(CI$5-CH$5))*-CI40</f>
        <v>0</v>
      </c>
      <c r="CJ184" s="268">
        <f>CI184</f>
        <v>0</v>
      </c>
      <c r="CK184" s="268">
        <f>(CK185/(CK$5-CJ$5))*-CK40</f>
        <v>0</v>
      </c>
      <c r="CL184" s="268">
        <f>(CL185/(CL$5-CK$5))*-CL40</f>
        <v>0</v>
      </c>
      <c r="CM184" s="268">
        <f>(CM185/(CM$5-CL$5))*-CM40</f>
        <v>0</v>
      </c>
      <c r="CN184" s="268">
        <f>(CN185/(CN$5-CM$5))*-CN40</f>
        <v>0</v>
      </c>
      <c r="CO184" s="268">
        <f>CN184</f>
        <v>0</v>
      </c>
      <c r="CP184" s="268">
        <f>(CP185/(CP$5-CO$5))*-CP40</f>
        <v>0</v>
      </c>
      <c r="CQ184" s="268">
        <f>(CQ185/(CQ$5-CP$5))*-CQ40</f>
        <v>0</v>
      </c>
      <c r="CR184" s="268">
        <f>(CR185/(CR$5-CQ$5))*-CR40</f>
        <v>0</v>
      </c>
      <c r="CS184" s="268">
        <f>(CS185/(CS$5-CR$5))*-CS40</f>
        <v>0</v>
      </c>
      <c r="CT184" s="268">
        <f>CS184</f>
        <v>0</v>
      </c>
      <c r="CU184" s="268">
        <f>(CU185/(CU$5-CT$5))*-CU40</f>
        <v>0</v>
      </c>
      <c r="CV184" s="268">
        <f>(CV185/(CV$5-CU$5))*-CV40</f>
        <v>0</v>
      </c>
      <c r="CW184" s="268">
        <f>(CW185/(CW$5-CV$5))*-CW40</f>
        <v>0</v>
      </c>
      <c r="CX184" s="268">
        <f>(CX185/(CX$5-CW$5))*-CX40</f>
        <v>0</v>
      </c>
      <c r="CY184" s="268">
        <f>CX184</f>
        <v>0</v>
      </c>
    </row>
    <row r="185" hidden="1" outlineLevel="1" ht="12.75" customHeight="1" s="255">
      <c r="C185" s="312" t="inlineStr">
        <is>
          <t>DPO</t>
        </is>
      </c>
      <c r="D185" s="268" t="n"/>
      <c r="E185" s="268" t="str">
        <f>IFERROR(-(E184/E$40)*(E$5-D$5),"")</f>
        <v/>
      </c>
      <c r="F185" s="268" t="str">
        <f>IFERROR(-(F184/F$40)*(F$5-E$5),"")</f>
        <v/>
      </c>
      <c r="G185" s="268" t="str">
        <f>IFERROR(-(G184/G$40)*(G$5-F$5),"")</f>
        <v/>
      </c>
      <c r="H185" s="268" t="n"/>
      <c r="I185" s="268" t="str">
        <f>IFERROR(-(I184/I$40)*(I$5-H$5),"")</f>
        <v/>
      </c>
      <c r="J185" s="268" t="str">
        <f>IFERROR(-(J184/J$40)*(J$5-I$5),"")</f>
        <v/>
      </c>
      <c r="K185" s="268" t="str">
        <f>IFERROR(-(K184/K$40)*(K$5-J$5),"")</f>
        <v/>
      </c>
      <c r="L185" s="268" t="str">
        <f>IFERROR(-(L184/L$40)*(L$5-K$5),"")</f>
        <v/>
      </c>
      <c r="M185" s="268" t="n"/>
      <c r="N185" s="268" t="str">
        <f>IFERROR(-(N184/N$40)*(N$5-M$5),"")</f>
        <v/>
      </c>
      <c r="O185" s="268" t="str">
        <f>IFERROR(-(O184/O$40)*(O$5-N$5),"")</f>
        <v/>
      </c>
      <c r="P185" s="268" t="str">
        <f>IFERROR(-(P184/P$40)*(P$5-O$5),"")</f>
        <v/>
      </c>
      <c r="Q185" s="268" t="str">
        <f>IFERROR(-(Q184/Q$40)*(Q$5-P$5),"")</f>
        <v/>
      </c>
      <c r="R185" s="268" t="n"/>
      <c r="S185" s="268" t="str">
        <f>IFERROR(-(S184/S$40)*(S$5-R$5),"")</f>
        <v/>
      </c>
      <c r="T185" s="268" t="str">
        <f>IFERROR(-(T184/T$40)*(T$5-S$5),"")</f>
        <v/>
      </c>
      <c r="U185" s="268" t="str">
        <f>IFERROR(-(U184/U$40)*(U$5-T$5),"")</f>
        <v/>
      </c>
      <c r="V185" s="268" t="str">
        <f>IFERROR(-(V184/V$40)*(V$5-U$5),"")</f>
        <v/>
      </c>
      <c r="W185" s="268" t="n"/>
      <c r="X185" s="268">
        <f>IFERROR(-(X184/X$40)*(X$5-W$5),"")</f>
        <v>0</v>
      </c>
      <c r="Y185" s="268">
        <f>IFERROR(-(Y184/Y$40)*(Y$5-X$5),"")</f>
        <v>0</v>
      </c>
      <c r="Z185" s="268">
        <f>IFERROR(-(Z184/Z$40)*(Z$5-Y$5),"")</f>
        <v>0</v>
      </c>
      <c r="AA185" s="268">
        <f>IFERROR(-(AA184/AA$40)*(AA$5-Z$5),"")</f>
        <v>439.363658364869</v>
      </c>
      <c r="AB185" s="268" t="n"/>
      <c r="AC185" s="268">
        <f>IFERROR(-(AC184/AC$40)*(AC$5-AB$5),"")</f>
        <v>426.675572519084</v>
      </c>
      <c r="AD185" s="268">
        <f>IFERROR(-(AD184/AD$40)*(AD$5-AC$5),"")</f>
        <v>356.609230031949</v>
      </c>
      <c r="AE185" s="268">
        <f>IFERROR(-(AE184/AE$40)*(AE$5-AD$5),"")</f>
        <v>288.59829078368</v>
      </c>
      <c r="AF185" s="267">
        <f>IFERROR(-(AF184/AF$40)*(AF$5-AE$5),"")</f>
        <v>293.285407029846</v>
      </c>
      <c r="AG185" s="268" t="n"/>
      <c r="AH185" s="267">
        <f>IFERROR(-(AH184/AH$40)*(AH$5-AG$5),"")</f>
        <v>423.72905027933</v>
      </c>
      <c r="AI185" s="267">
        <f>IFERROR(-(AI184/AI$40)*(AI$5-AH$5),"")</f>
        <v>376.112627986348</v>
      </c>
      <c r="AJ185" s="267" t="n"/>
      <c r="AK185" s="267" t="n"/>
      <c r="AL185" s="268" t="n"/>
      <c r="AM185" s="267" t="n"/>
      <c r="AN185" s="267" t="n"/>
      <c r="AO185" s="267" t="n"/>
      <c r="AP185" s="267" t="n"/>
      <c r="AQ185" s="268" t="n"/>
      <c r="AR185" s="267" t="n"/>
      <c r="AS185" s="267" t="n"/>
      <c r="AT185" s="267" t="n"/>
      <c r="AU185" s="267" t="n"/>
      <c r="AV185" s="268" t="n"/>
      <c r="AW185" s="267" t="n"/>
      <c r="AX185" s="267" t="n"/>
      <c r="AY185" s="267" t="n"/>
      <c r="AZ185" s="267" t="n"/>
      <c r="BA185" s="268" t="n"/>
      <c r="BB185" s="267" t="n"/>
      <c r="BC185" s="267" t="n"/>
      <c r="BD185" s="267" t="n"/>
      <c r="BE185" s="267" t="n"/>
      <c r="BF185" s="268" t="n"/>
      <c r="BG185" s="267" t="n"/>
      <c r="BH185" s="267" t="n"/>
      <c r="BI185" s="267" t="n"/>
      <c r="BJ185" s="267" t="n"/>
      <c r="BK185" s="268" t="n"/>
      <c r="BL185" s="267" t="n"/>
      <c r="BM185" s="267" t="n"/>
      <c r="BN185" s="267" t="n"/>
      <c r="BO185" s="267" t="n"/>
      <c r="BP185" s="268" t="n"/>
      <c r="BQ185" s="267" t="n"/>
      <c r="BR185" s="267" t="n"/>
      <c r="BS185" s="267" t="n"/>
      <c r="BT185" s="267" t="n"/>
      <c r="BU185" s="268" t="n"/>
      <c r="BV185" s="267" t="n"/>
      <c r="BW185" s="267" t="n"/>
      <c r="BX185" s="267" t="n"/>
      <c r="BY185" s="267" t="n"/>
      <c r="BZ185" s="268" t="n"/>
      <c r="CA185" s="267" t="n"/>
      <c r="CB185" s="267" t="n"/>
      <c r="CC185" s="267" t="n"/>
      <c r="CD185" s="267" t="n"/>
      <c r="CE185" s="268" t="n"/>
      <c r="CF185" s="267" t="n"/>
      <c r="CG185" s="267" t="n"/>
      <c r="CH185" s="267" t="n"/>
      <c r="CI185" s="267" t="n"/>
      <c r="CJ185" s="268" t="n"/>
      <c r="CK185" s="267" t="n"/>
      <c r="CL185" s="267" t="n"/>
      <c r="CM185" s="267" t="n"/>
      <c r="CN185" s="267" t="n"/>
      <c r="CO185" s="268" t="n"/>
      <c r="CP185" s="267" t="n"/>
      <c r="CQ185" s="267" t="n"/>
      <c r="CR185" s="267" t="n"/>
      <c r="CS185" s="267" t="n"/>
      <c r="CT185" s="268" t="n"/>
      <c r="CU185" s="267" t="n"/>
      <c r="CV185" s="267" t="n"/>
      <c r="CW185" s="267" t="n"/>
      <c r="CX185" s="267" t="n"/>
      <c r="CY185" s="268" t="n"/>
    </row>
    <row r="186" hidden="1" outlineLevel="1" ht="12.75" customHeight="1" s="255">
      <c r="C186" s="312" t="n"/>
      <c r="D186" s="268" t="n"/>
      <c r="E186" s="268" t="n"/>
      <c r="F186" s="268" t="n"/>
      <c r="G186" s="268" t="n"/>
      <c r="H186" s="268" t="n"/>
      <c r="I186" s="268" t="n"/>
      <c r="J186" s="268" t="n"/>
      <c r="K186" s="268" t="n"/>
      <c r="L186" s="268" t="n"/>
      <c r="M186" s="268" t="n"/>
      <c r="N186" s="268" t="n"/>
      <c r="O186" s="268" t="n"/>
      <c r="P186" s="268" t="n"/>
      <c r="Q186" s="268" t="n"/>
      <c r="R186" s="268" t="n"/>
      <c r="S186" s="268" t="n"/>
      <c r="T186" s="268" t="n"/>
      <c r="U186" s="268" t="n"/>
      <c r="V186" s="268" t="n"/>
      <c r="W186" s="268" t="n"/>
      <c r="X186" s="268" t="n"/>
      <c r="Y186" s="268" t="n"/>
      <c r="Z186" s="268" t="n"/>
      <c r="AA186" s="268" t="n"/>
      <c r="AB186" s="268" t="n"/>
      <c r="AC186" s="268" t="n"/>
      <c r="AD186" s="268" t="n"/>
      <c r="AE186" s="268" t="n"/>
      <c r="AF186" s="268" t="n"/>
      <c r="AG186" s="268" t="n"/>
      <c r="AH186" s="268" t="n"/>
      <c r="AI186" s="268" t="n"/>
      <c r="AJ186" s="268" t="n"/>
      <c r="AK186" s="268" t="n"/>
      <c r="AL186" s="268" t="n"/>
      <c r="AM186" s="268" t="n"/>
      <c r="AN186" s="268" t="n"/>
      <c r="AO186" s="268" t="n"/>
      <c r="AP186" s="268" t="n"/>
      <c r="AQ186" s="268" t="n"/>
      <c r="AR186" s="268" t="n"/>
      <c r="AS186" s="268" t="n"/>
      <c r="AT186" s="268" t="n"/>
      <c r="AU186" s="268" t="n"/>
      <c r="AV186" s="268" t="n"/>
      <c r="AW186" s="268" t="n"/>
      <c r="AX186" s="268" t="n"/>
      <c r="AY186" s="268" t="n"/>
      <c r="AZ186" s="268" t="n"/>
      <c r="BA186" s="268" t="n"/>
      <c r="BB186" s="268" t="n"/>
      <c r="BC186" s="268" t="n"/>
      <c r="BD186" s="268" t="n"/>
      <c r="BE186" s="268" t="n"/>
      <c r="BF186" s="268" t="n"/>
      <c r="BG186" s="268" t="n"/>
      <c r="BH186" s="268" t="n"/>
      <c r="BI186" s="268" t="n"/>
      <c r="BJ186" s="268" t="n"/>
      <c r="BK186" s="268" t="n"/>
      <c r="BL186" s="268" t="n"/>
      <c r="BM186" s="268" t="n"/>
      <c r="BN186" s="268" t="n"/>
      <c r="BO186" s="268" t="n"/>
      <c r="BP186" s="268" t="n"/>
      <c r="BQ186" s="268" t="n"/>
      <c r="BR186" s="268" t="n"/>
      <c r="BS186" s="268" t="n"/>
      <c r="BT186" s="268" t="n"/>
      <c r="BU186" s="268" t="n"/>
      <c r="BV186" s="268" t="n"/>
      <c r="BW186" s="268" t="n"/>
      <c r="BX186" s="268" t="n"/>
      <c r="BY186" s="268" t="n"/>
      <c r="BZ186" s="268" t="n"/>
      <c r="CA186" s="268" t="n"/>
      <c r="CB186" s="268" t="n"/>
      <c r="CC186" s="268" t="n"/>
      <c r="CD186" s="268" t="n"/>
      <c r="CE186" s="268" t="n"/>
      <c r="CF186" s="268" t="n"/>
      <c r="CG186" s="268" t="n"/>
      <c r="CH186" s="268" t="n"/>
      <c r="CI186" s="268" t="n"/>
      <c r="CJ186" s="268" t="n"/>
      <c r="CK186" s="268" t="n"/>
      <c r="CL186" s="268" t="n"/>
      <c r="CM186" s="268" t="n"/>
      <c r="CN186" s="268" t="n"/>
      <c r="CO186" s="268" t="n"/>
      <c r="CP186" s="268" t="n"/>
      <c r="CQ186" s="268" t="n"/>
      <c r="CR186" s="268" t="n"/>
      <c r="CS186" s="268" t="n"/>
      <c r="CT186" s="268" t="n"/>
      <c r="CU186" s="268" t="n"/>
      <c r="CV186" s="268" t="n"/>
      <c r="CW186" s="268" t="n"/>
      <c r="CX186" s="268" t="n"/>
      <c r="CY186" s="268" t="n"/>
    </row>
    <row r="187" hidden="1" outlineLevel="1" ht="12.75" customHeight="1" s="255">
      <c r="C187" s="312" t="n"/>
      <c r="D187" s="268" t="n"/>
      <c r="E187" s="268" t="n"/>
      <c r="F187" s="268" t="n"/>
      <c r="G187" s="268" t="n"/>
      <c r="H187" s="268" t="n"/>
      <c r="I187" s="268" t="n"/>
      <c r="J187" s="268" t="n"/>
      <c r="K187" s="268" t="n"/>
      <c r="L187" s="268" t="n"/>
      <c r="M187" s="268" t="n"/>
      <c r="N187" s="268" t="n"/>
      <c r="O187" s="268" t="n"/>
      <c r="P187" s="268" t="n"/>
      <c r="Q187" s="268" t="n"/>
      <c r="R187" s="268" t="n"/>
      <c r="S187" s="268" t="n"/>
      <c r="T187" s="268" t="n"/>
      <c r="U187" s="268" t="n"/>
      <c r="V187" s="268" t="n"/>
      <c r="W187" s="268" t="n"/>
      <c r="X187" s="268" t="n"/>
      <c r="Y187" s="268" t="n"/>
      <c r="Z187" s="268" t="n"/>
      <c r="AA187" s="268" t="n"/>
      <c r="AB187" s="268" t="n"/>
      <c r="AC187" s="268" t="n"/>
      <c r="AD187" s="268" t="n"/>
      <c r="AE187" s="268" t="n"/>
      <c r="AF187" s="268" t="n"/>
      <c r="AG187" s="268" t="n"/>
      <c r="AH187" s="268" t="n"/>
      <c r="AI187" s="268" t="n"/>
      <c r="AJ187" s="268" t="n"/>
      <c r="AK187" s="268" t="n"/>
      <c r="AL187" s="268" t="n"/>
      <c r="AM187" s="268" t="n"/>
      <c r="AN187" s="268" t="n"/>
      <c r="AO187" s="268" t="n"/>
      <c r="AP187" s="268" t="n"/>
      <c r="AQ187" s="268" t="n"/>
      <c r="AR187" s="268" t="n"/>
      <c r="AS187" s="268" t="n"/>
      <c r="AT187" s="268" t="n"/>
      <c r="AU187" s="268" t="n"/>
      <c r="AV187" s="268" t="n"/>
      <c r="AW187" s="268" t="n"/>
      <c r="AX187" s="268" t="n"/>
      <c r="AY187" s="268" t="n"/>
      <c r="AZ187" s="268" t="n"/>
      <c r="BA187" s="268" t="n"/>
      <c r="BB187" s="268" t="n"/>
      <c r="BC187" s="268" t="n"/>
      <c r="BD187" s="268" t="n"/>
      <c r="BE187" s="268" t="n"/>
      <c r="BF187" s="268" t="n"/>
      <c r="BG187" s="268" t="n"/>
      <c r="BH187" s="268" t="n"/>
      <c r="BI187" s="268" t="n"/>
      <c r="BJ187" s="268" t="n"/>
      <c r="BK187" s="268" t="n"/>
      <c r="BL187" s="268" t="n"/>
      <c r="BM187" s="268" t="n"/>
      <c r="BN187" s="268" t="n"/>
      <c r="BO187" s="268" t="n"/>
      <c r="BP187" s="268" t="n"/>
      <c r="BQ187" s="268" t="n"/>
      <c r="BR187" s="268" t="n"/>
      <c r="BS187" s="268" t="n"/>
      <c r="BT187" s="268" t="n"/>
      <c r="BU187" s="268" t="n"/>
      <c r="BV187" s="268" t="n"/>
      <c r="BW187" s="268" t="n"/>
      <c r="BX187" s="268" t="n"/>
      <c r="BY187" s="268" t="n"/>
      <c r="BZ187" s="268" t="n"/>
      <c r="CA187" s="268" t="n"/>
      <c r="CB187" s="268" t="n"/>
      <c r="CC187" s="268" t="n"/>
      <c r="CD187" s="268" t="n"/>
      <c r="CE187" s="268" t="n"/>
      <c r="CF187" s="268" t="n"/>
      <c r="CG187" s="268" t="n"/>
      <c r="CH187" s="268" t="n"/>
      <c r="CI187" s="268" t="n"/>
      <c r="CJ187" s="268" t="n"/>
      <c r="CK187" s="268" t="n"/>
      <c r="CL187" s="268" t="n"/>
      <c r="CM187" s="268" t="n"/>
      <c r="CN187" s="268" t="n"/>
      <c r="CO187" s="268" t="n"/>
      <c r="CP187" s="268" t="n"/>
      <c r="CQ187" s="268" t="n"/>
      <c r="CR187" s="268" t="n"/>
      <c r="CS187" s="268" t="n"/>
      <c r="CT187" s="268" t="n"/>
      <c r="CU187" s="268" t="n"/>
      <c r="CV187" s="268" t="n"/>
      <c r="CW187" s="268" t="n"/>
      <c r="CX187" s="268" t="n"/>
      <c r="CY187" s="268" t="n"/>
    </row>
    <row r="188" ht="12.75" customHeight="1" s="255">
      <c r="C188" s="270" t="inlineStr">
        <is>
          <t>Accrued expenses</t>
        </is>
      </c>
      <c r="D188" s="301">
        <f>INDEX('Inputs (2)'!$D$29:$AL$29,MATCH(D$7,'Inputs (2)'!$D$2:$AL$2,0))</f>
        <v>0</v>
      </c>
      <c r="E188" s="301">
        <f>INDEX('Inputs (2)'!$D$29:$AL$29,MATCH(E$7,'Inputs (2)'!$D$2:$AL$2,0))</f>
        <v>0</v>
      </c>
      <c r="F188" s="301">
        <f>INDEX('Inputs (2)'!$D$29:$AL$29,MATCH(F$7,'Inputs (2)'!$D$2:$AL$2,0))</f>
        <v>0</v>
      </c>
      <c r="G188" s="301">
        <f>INDEX('Inputs (2)'!$D$29:$AL$29,MATCH(G$7,'Inputs (2)'!$D$2:$AL$2,0))</f>
        <v>0</v>
      </c>
      <c r="H188" s="268">
        <f>G188</f>
        <v>0</v>
      </c>
      <c r="I188" s="301">
        <f>INDEX('Inputs (2)'!$D$29:$AL$29,MATCH(I$7,'Inputs (2)'!$D$2:$AL$2,0))</f>
        <v>0</v>
      </c>
      <c r="J188" s="301">
        <f>INDEX('Inputs (2)'!$D$29:$AL$29,MATCH(J$7,'Inputs (2)'!$D$2:$AL$2,0))</f>
        <v>0</v>
      </c>
      <c r="K188" s="301">
        <f>INDEX('Inputs (2)'!$D$29:$AL$29,MATCH(K$7,'Inputs (2)'!$D$2:$AL$2,0))</f>
        <v>0</v>
      </c>
      <c r="L188" s="301">
        <f>INDEX('Inputs (2)'!$D$29:$AL$29,MATCH(L$7,'Inputs (2)'!$D$2:$AL$2,0))</f>
        <v>0</v>
      </c>
      <c r="M188" s="268">
        <f>L188</f>
        <v>0</v>
      </c>
      <c r="N188" s="301">
        <f>INDEX('Inputs (2)'!$D$29:$AL$29,MATCH(N$7,'Inputs (2)'!$D$2:$AL$2,0))</f>
        <v>0</v>
      </c>
      <c r="O188" s="301">
        <f>INDEX('Inputs (2)'!$D$29:$AL$29,MATCH(O$7,'Inputs (2)'!$D$2:$AL$2,0))</f>
        <v>0</v>
      </c>
      <c r="P188" s="301">
        <f>INDEX('Inputs (2)'!$D$29:$AL$29,MATCH(P$7,'Inputs (2)'!$D$2:$AL$2,0))</f>
        <v>0</v>
      </c>
      <c r="Q188" s="301">
        <f>INDEX('Inputs (2)'!$D$29:$AL$29,MATCH(Q$7,'Inputs (2)'!$D$2:$AL$2,0))</f>
        <v>0</v>
      </c>
      <c r="R188" s="268">
        <f>Q188</f>
        <v>0</v>
      </c>
      <c r="S188" s="301">
        <f>INDEX('Inputs (2)'!$D$29:$AL$29,MATCH(S$7,'Inputs (2)'!$D$2:$AL$2,0))</f>
        <v>0</v>
      </c>
      <c r="T188" s="301">
        <f>INDEX('Inputs (2)'!$D$29:$AL$29,MATCH(T$7,'Inputs (2)'!$D$2:$AL$2,0))</f>
        <v>0</v>
      </c>
      <c r="U188" s="301">
        <f>INDEX('Inputs (2)'!$D$29:$AL$29,MATCH(U$7,'Inputs (2)'!$D$2:$AL$2,0))</f>
        <v>0</v>
      </c>
      <c r="V188" s="301">
        <f>INDEX('Inputs (2)'!$D$29:$AL$29,MATCH(V$7,'Inputs (2)'!$D$2:$AL$2,0))</f>
        <v>0</v>
      </c>
      <c r="W188" s="268">
        <f>V188</f>
        <v>0</v>
      </c>
      <c r="X188" s="301">
        <f>INDEX('Inputs (2)'!$D$29:$AL$29,MATCH(X$7,'Inputs (2)'!$D$2:$AL$2,0))</f>
        <v>0</v>
      </c>
      <c r="Y188" s="301">
        <f>INDEX('Inputs (2)'!$D$29:$AL$29,MATCH(Y$7,'Inputs (2)'!$D$2:$AL$2,0))</f>
        <v>0</v>
      </c>
      <c r="Z188" s="301">
        <f>INDEX('Inputs (2)'!$D$29:$AL$29,MATCH(Z$7,'Inputs (2)'!$D$2:$AL$2,0))</f>
        <v>0</v>
      </c>
      <c r="AA188" s="301">
        <f>INDEX('Inputs (2)'!$D$29:$AL$29,MATCH(AA$7,'Inputs (2)'!$D$2:$AL$2,0))</f>
        <v>355.821</v>
      </c>
      <c r="AB188" s="268">
        <f>AA188</f>
        <v>355.821</v>
      </c>
      <c r="AC188" s="301">
        <f>INDEX('Inputs (2)'!$D$29:$AL$29,MATCH(AC$7,'Inputs (2)'!$D$2:$AL$2,0))</f>
        <v>1377.013</v>
      </c>
      <c r="AD188" s="301">
        <f>INDEX('Inputs (2)'!$D$29:$AL$29,MATCH(AD$7,'Inputs (2)'!$D$2:$AL$2,0))</f>
        <v>1411.237</v>
      </c>
      <c r="AE188" s="301">
        <f>INDEX('Inputs (2)'!$D$29:$AL$29,MATCH(AE$7,'Inputs (2)'!$D$2:$AL$2,0))</f>
        <v>3172.274</v>
      </c>
      <c r="AF188" s="301">
        <f>INDEX('Inputs (2)'!$D$29:$AL$29,MATCH(AF$7,'Inputs (2)'!$D$2:$AL$2,0))</f>
        <v>5773</v>
      </c>
      <c r="AG188" s="268">
        <f>AF188</f>
        <v>5773</v>
      </c>
      <c r="AH188" s="268">
        <f>INDEX('Inputs (2)'!$D$29:$AL$29,MATCH(AH$7,'Inputs (2)'!$D$2:$AL$2,0))</f>
        <v>2726</v>
      </c>
      <c r="AI188" s="268">
        <f>INDEX('Inputs (2)'!$D$29:$AL$29,MATCH(AI$7,'Inputs (2)'!$D$2:$AL$2,0))</f>
        <v>6424</v>
      </c>
      <c r="AJ188" s="268">
        <f>AH188*AJ44/AH44</f>
        <v>0</v>
      </c>
      <c r="AK188" s="268">
        <f>AI188*AK44/AI44</f>
        <v>0</v>
      </c>
      <c r="AL188" s="268">
        <f>AK188</f>
        <v>0</v>
      </c>
      <c r="AM188" s="268" t="e">
        <f>AK188*AM44/AK44</f>
        <v>#DIV/0!</v>
      </c>
      <c r="AN188" s="268">
        <f>AL188*AN44/AL44</f>
        <v>0</v>
      </c>
      <c r="AO188" s="268" t="e">
        <f>AM188*AO44/AM44</f>
        <v>#DIV/0!</v>
      </c>
      <c r="AP188" s="268" t="e">
        <f>AN188*AP44/AN44</f>
        <v>#DIV/0!</v>
      </c>
      <c r="AQ188" s="268" t="e">
        <f>AP188</f>
        <v>#DIV/0!</v>
      </c>
      <c r="AR188" s="268" t="e">
        <f>AP188*AR44/AP44</f>
        <v>#DIV/0!</v>
      </c>
      <c r="AS188" s="268" t="e">
        <f>AQ188*AS44/AQ44</f>
        <v>#DIV/0!</v>
      </c>
      <c r="AT188" s="268" t="e">
        <f>AR188*AT44/AR44</f>
        <v>#DIV/0!</v>
      </c>
      <c r="AU188" s="268" t="e">
        <f>AS188*AU44/AS44</f>
        <v>#DIV/0!</v>
      </c>
      <c r="AV188" s="268" t="e">
        <f>AU188</f>
        <v>#DIV/0!</v>
      </c>
      <c r="AW188" s="268" t="e">
        <f>AU188*AW44/AU44</f>
        <v>#DIV/0!</v>
      </c>
      <c r="AX188" s="268" t="e">
        <f>AV188*AX44/AV44</f>
        <v>#DIV/0!</v>
      </c>
      <c r="AY188" s="268" t="e">
        <f>AW188*AY44/AW44</f>
        <v>#DIV/0!</v>
      </c>
      <c r="AZ188" s="268" t="e">
        <f>AX188*AZ44/AX44</f>
        <v>#DIV/0!</v>
      </c>
      <c r="BA188" s="268" t="e">
        <f>AZ188</f>
        <v>#DIV/0!</v>
      </c>
      <c r="BB188" s="268" t="e">
        <f>AZ188*BB44/AZ44</f>
        <v>#DIV/0!</v>
      </c>
      <c r="BC188" s="268" t="e">
        <f>BA188*BC44/BA44</f>
        <v>#DIV/0!</v>
      </c>
      <c r="BD188" s="268" t="e">
        <f>BB188*BD44/BB44</f>
        <v>#DIV/0!</v>
      </c>
      <c r="BE188" s="268" t="e">
        <f>BC188*BE44/BC44</f>
        <v>#DIV/0!</v>
      </c>
      <c r="BF188" s="268" t="e">
        <f>BE188</f>
        <v>#DIV/0!</v>
      </c>
      <c r="BG188" s="268" t="e">
        <f>BE188*BG44/BE44</f>
        <v>#DIV/0!</v>
      </c>
      <c r="BH188" s="268" t="e">
        <f>BF188*BH44/BF44</f>
        <v>#DIV/0!</v>
      </c>
      <c r="BI188" s="268" t="e">
        <f>BG188*BI44/BG44</f>
        <v>#DIV/0!</v>
      </c>
      <c r="BJ188" s="268" t="e">
        <f>BH188*BJ44/BH44</f>
        <v>#DIV/0!</v>
      </c>
      <c r="BK188" s="268" t="e">
        <f>BJ188</f>
        <v>#DIV/0!</v>
      </c>
      <c r="BL188" s="268" t="e">
        <f>BJ188*BL44/BJ44</f>
        <v>#DIV/0!</v>
      </c>
      <c r="BM188" s="268" t="e">
        <f>BK188*BM44/BK44</f>
        <v>#DIV/0!</v>
      </c>
      <c r="BN188" s="268" t="e">
        <f>BL188*BN44/BL44</f>
        <v>#DIV/0!</v>
      </c>
      <c r="BO188" s="268" t="e">
        <f>BM188*BO44/BM44</f>
        <v>#DIV/0!</v>
      </c>
      <c r="BP188" s="268" t="e">
        <f>BO188</f>
        <v>#DIV/0!</v>
      </c>
      <c r="BQ188" s="268" t="e">
        <f>BO188*BQ44/BO44</f>
        <v>#DIV/0!</v>
      </c>
      <c r="BR188" s="268" t="e">
        <f>BP188*BR44/BP44</f>
        <v>#DIV/0!</v>
      </c>
      <c r="BS188" s="268" t="e">
        <f>BQ188*BS44/BQ44</f>
        <v>#DIV/0!</v>
      </c>
      <c r="BT188" s="268" t="e">
        <f>BR188*BT44/BR44</f>
        <v>#DIV/0!</v>
      </c>
      <c r="BU188" s="268" t="e">
        <f>BT188</f>
        <v>#DIV/0!</v>
      </c>
      <c r="BV188" s="268" t="e">
        <f>BT188*BV44/BT44</f>
        <v>#DIV/0!</v>
      </c>
      <c r="BW188" s="268" t="e">
        <f>BU188*BW44/BU44</f>
        <v>#DIV/0!</v>
      </c>
      <c r="BX188" s="268" t="e">
        <f>BV188*BX44/BV44</f>
        <v>#DIV/0!</v>
      </c>
      <c r="BY188" s="268" t="e">
        <f>BW188*BY44/BW44</f>
        <v>#DIV/0!</v>
      </c>
      <c r="BZ188" s="268" t="e">
        <f>BY188</f>
        <v>#DIV/0!</v>
      </c>
      <c r="CA188" s="268" t="e">
        <f>BY188*CA44/BY44</f>
        <v>#DIV/0!</v>
      </c>
      <c r="CB188" s="268" t="e">
        <f>BZ188*CB44/BZ44</f>
        <v>#DIV/0!</v>
      </c>
      <c r="CC188" s="268" t="e">
        <f>CA188*CC44/CA44</f>
        <v>#DIV/0!</v>
      </c>
      <c r="CD188" s="268" t="e">
        <f>CB188*CD44/CB44</f>
        <v>#DIV/0!</v>
      </c>
      <c r="CE188" s="268" t="e">
        <f>CD188</f>
        <v>#DIV/0!</v>
      </c>
      <c r="CF188" s="268" t="e">
        <f>CD188*CF44/CD44</f>
        <v>#DIV/0!</v>
      </c>
      <c r="CG188" s="268" t="e">
        <f>CE188*CG44/CE44</f>
        <v>#DIV/0!</v>
      </c>
      <c r="CH188" s="268" t="e">
        <f>CF188*CH44/CF44</f>
        <v>#DIV/0!</v>
      </c>
      <c r="CI188" s="268" t="e">
        <f>CG188*CI44/CG44</f>
        <v>#DIV/0!</v>
      </c>
      <c r="CJ188" s="268" t="e">
        <f>CI188</f>
        <v>#DIV/0!</v>
      </c>
      <c r="CK188" s="268" t="e">
        <f>CI188*CK44/CI44</f>
        <v>#DIV/0!</v>
      </c>
      <c r="CL188" s="268" t="e">
        <f>CJ188*CL44/CJ44</f>
        <v>#DIV/0!</v>
      </c>
      <c r="CM188" s="268" t="e">
        <f>CK188*CM44/CK44</f>
        <v>#DIV/0!</v>
      </c>
      <c r="CN188" s="268" t="e">
        <f>CL188*CN44/CL44</f>
        <v>#DIV/0!</v>
      </c>
      <c r="CO188" s="268" t="e">
        <f>CN188</f>
        <v>#DIV/0!</v>
      </c>
      <c r="CP188" s="268" t="e">
        <f>CN188*CP44/CN44</f>
        <v>#DIV/0!</v>
      </c>
      <c r="CQ188" s="268" t="e">
        <f>CO188*CQ44/CO44</f>
        <v>#DIV/0!</v>
      </c>
      <c r="CR188" s="268" t="e">
        <f>CP188*CR44/CP44</f>
        <v>#DIV/0!</v>
      </c>
      <c r="CS188" s="268" t="e">
        <f>CQ188*CS44/CQ44</f>
        <v>#DIV/0!</v>
      </c>
      <c r="CT188" s="268" t="e">
        <f>CS188</f>
        <v>#DIV/0!</v>
      </c>
      <c r="CU188" s="268" t="e">
        <f>CS188*CU44/CS44</f>
        <v>#DIV/0!</v>
      </c>
      <c r="CV188" s="268" t="e">
        <f>CT188*CV44/CT44</f>
        <v>#DIV/0!</v>
      </c>
      <c r="CW188" s="268" t="e">
        <f>CU188*CW44/CU44</f>
        <v>#DIV/0!</v>
      </c>
      <c r="CX188" s="268" t="e">
        <f>CV188*CX44/CV44</f>
        <v>#DIV/0!</v>
      </c>
      <c r="CY188" s="268" t="e">
        <f>CX188</f>
        <v>#DIV/0!</v>
      </c>
    </row>
    <row r="189" hidden="1" outlineLevel="1" ht="12.75" customHeight="1" s="255">
      <c r="C189" s="314" t="inlineStr">
        <is>
          <t>%(Var.)</t>
        </is>
      </c>
      <c r="D189" s="268" t="n"/>
      <c r="E189" s="296" t="str">
        <f>IFERROR((E188-D188)/D188,"")</f>
        <v/>
      </c>
      <c r="F189" s="296" t="str">
        <f>IFERROR((F188-E188)/E188,"")</f>
        <v/>
      </c>
      <c r="G189" s="296" t="str">
        <f>IFERROR((G188-F188)/F188,"")</f>
        <v/>
      </c>
      <c r="H189" s="268" t="n"/>
      <c r="I189" s="296" t="str">
        <f>IFERROR((I188-H188)/H188,"")</f>
        <v/>
      </c>
      <c r="J189" s="296" t="str">
        <f>IFERROR((J188-I188)/I188,"")</f>
        <v/>
      </c>
      <c r="K189" s="296" t="str">
        <f>IFERROR((K188-J188)/J188,"")</f>
        <v/>
      </c>
      <c r="L189" s="296" t="str">
        <f>IFERROR((L188-K188)/K188,"")</f>
        <v/>
      </c>
      <c r="M189" s="268" t="n"/>
      <c r="N189" s="296" t="str">
        <f>IFERROR((N188-M188)/M188,"")</f>
        <v/>
      </c>
      <c r="O189" s="296" t="str">
        <f>IFERROR((O188-N188)/N188,"")</f>
        <v/>
      </c>
      <c r="P189" s="296" t="str">
        <f>IFERROR((P188-O188)/O188,"")</f>
        <v/>
      </c>
      <c r="Q189" s="296" t="str">
        <f>IFERROR((Q188-P188)/P188,"")</f>
        <v/>
      </c>
      <c r="R189" s="268" t="n"/>
      <c r="S189" s="296" t="str">
        <f>IFERROR((S188-R188)/R188,"")</f>
        <v/>
      </c>
      <c r="T189" s="296" t="str">
        <f>IFERROR((T188-S188)/S188,"")</f>
        <v/>
      </c>
      <c r="U189" s="296" t="str">
        <f>IFERROR((U188-T188)/T188,"")</f>
        <v/>
      </c>
      <c r="V189" s="296" t="str">
        <f>IFERROR((V188-U188)/U188,"")</f>
        <v/>
      </c>
      <c r="W189" s="268" t="n"/>
      <c r="X189" s="296" t="str">
        <f>IFERROR((X188-W188)/W188,"")</f>
        <v/>
      </c>
      <c r="Y189" s="296" t="str">
        <f>IFERROR((Y188-X188)/X188,"")</f>
        <v/>
      </c>
      <c r="Z189" s="296" t="str">
        <f>IFERROR((Z188-Y188)/Y188,"")</f>
        <v/>
      </c>
      <c r="AA189" s="296" t="str">
        <f>IFERROR((AA188-Z188)/Z188,"")</f>
        <v/>
      </c>
      <c r="AB189" s="268" t="n"/>
      <c r="AC189" s="296">
        <f>IFERROR((AC188-AB188)/AB188,"")</f>
        <v>2.86995989556547</v>
      </c>
      <c r="AD189" s="296">
        <f>IFERROR((AD188-AC188)/AC188,"")</f>
        <v>0.0248537958610412</v>
      </c>
      <c r="AE189" s="296">
        <f>IFERROR((AE188-AD188)/AD188,"")</f>
        <v>1.24786765086233</v>
      </c>
      <c r="AF189" s="311">
        <f>IFERROR((AF188-AE188)/AE188,"")</f>
        <v>0.819830191212991</v>
      </c>
      <c r="AG189" s="268" t="n"/>
      <c r="AH189" s="311">
        <f>IFERROR((AH188-AG188)/AG188,"")</f>
        <v>-0.527801836133726</v>
      </c>
      <c r="AI189" s="311">
        <f>IFERROR((AI188-AH188)/AH188,"")</f>
        <v>1.35656639765224</v>
      </c>
      <c r="AJ189" s="311" t="n"/>
      <c r="AK189" s="311" t="n"/>
      <c r="AL189" s="268" t="n"/>
      <c r="AM189" s="311" t="n"/>
      <c r="AN189" s="311" t="n"/>
      <c r="AO189" s="311" t="n"/>
      <c r="AP189" s="311" t="n"/>
      <c r="AQ189" s="268" t="n"/>
      <c r="AR189" s="311" t="n"/>
      <c r="AS189" s="311" t="n"/>
      <c r="AT189" s="311" t="n"/>
      <c r="AU189" s="311" t="n"/>
      <c r="AV189" s="268" t="n"/>
      <c r="AW189" s="311" t="n"/>
      <c r="AX189" s="311" t="n"/>
      <c r="AY189" s="311" t="n"/>
      <c r="AZ189" s="311" t="n"/>
      <c r="BA189" s="268" t="n"/>
      <c r="BB189" s="311" t="n"/>
      <c r="BC189" s="311" t="n"/>
      <c r="BD189" s="311" t="n"/>
      <c r="BE189" s="311" t="n"/>
      <c r="BF189" s="268" t="n"/>
      <c r="BG189" s="311" t="n"/>
      <c r="BH189" s="311" t="n"/>
      <c r="BI189" s="311" t="n"/>
      <c r="BJ189" s="311" t="n"/>
      <c r="BK189" s="268" t="n"/>
      <c r="BL189" s="311" t="n"/>
      <c r="BM189" s="311" t="n"/>
      <c r="BN189" s="311" t="n"/>
      <c r="BO189" s="311" t="n"/>
      <c r="BP189" s="268" t="n"/>
      <c r="BQ189" s="311" t="n"/>
      <c r="BR189" s="311" t="n"/>
      <c r="BS189" s="311" t="n"/>
      <c r="BT189" s="311" t="n"/>
      <c r="BU189" s="268" t="n"/>
      <c r="BV189" s="311" t="n"/>
      <c r="BW189" s="311" t="n"/>
      <c r="BX189" s="311" t="n"/>
      <c r="BY189" s="311" t="n"/>
      <c r="BZ189" s="268" t="n"/>
      <c r="CA189" s="311" t="n"/>
      <c r="CB189" s="311" t="n"/>
      <c r="CC189" s="311" t="n"/>
      <c r="CD189" s="311" t="n"/>
      <c r="CE189" s="268" t="n"/>
      <c r="CF189" s="311" t="n"/>
      <c r="CG189" s="311" t="n"/>
      <c r="CH189" s="311" t="n"/>
      <c r="CI189" s="311" t="n"/>
      <c r="CJ189" s="268" t="n"/>
      <c r="CK189" s="311" t="n"/>
      <c r="CL189" s="311" t="n"/>
      <c r="CM189" s="311" t="n"/>
      <c r="CN189" s="311" t="n"/>
      <c r="CO189" s="268" t="n"/>
      <c r="CP189" s="311" t="n"/>
      <c r="CQ189" s="311" t="n"/>
      <c r="CR189" s="311" t="n"/>
      <c r="CS189" s="311" t="n"/>
      <c r="CT189" s="268" t="n"/>
      <c r="CU189" s="311" t="n"/>
      <c r="CV189" s="311" t="n"/>
      <c r="CW189" s="311" t="n"/>
      <c r="CX189" s="311" t="n"/>
      <c r="CY189" s="268" t="n"/>
    </row>
    <row r="190" ht="12.75" customHeight="1" s="255">
      <c r="C190" s="270" t="inlineStr">
        <is>
          <t>Taxes payable</t>
        </is>
      </c>
      <c r="D190" s="301">
        <f>INDEX('Inputs (2)'!$D$30:$AL$30,MATCH(D$7,'Inputs (2)'!$D$2:$AL$2,0))</f>
        <v>0</v>
      </c>
      <c r="E190" s="301">
        <f>INDEX('Inputs (2)'!$D$30:$AL$30,MATCH(E$7,'Inputs (2)'!$D$2:$AL$2,0))</f>
        <v>0</v>
      </c>
      <c r="F190" s="301">
        <f>INDEX('Inputs (2)'!$D$30:$AL$30,MATCH(F$7,'Inputs (2)'!$D$2:$AL$2,0))</f>
        <v>0</v>
      </c>
      <c r="G190" s="301">
        <f>INDEX('Inputs (2)'!$D$30:$AL$30,MATCH(G$7,'Inputs (2)'!$D$2:$AL$2,0))</f>
        <v>0</v>
      </c>
      <c r="H190" s="268">
        <f>G190</f>
        <v>0</v>
      </c>
      <c r="I190" s="301">
        <f>INDEX('Inputs (2)'!$D$30:$AL$30,MATCH(I$7,'Inputs (2)'!$D$2:$AL$2,0))</f>
        <v>0</v>
      </c>
      <c r="J190" s="301">
        <f>INDEX('Inputs (2)'!$D$30:$AL$30,MATCH(J$7,'Inputs (2)'!$D$2:$AL$2,0))</f>
        <v>0</v>
      </c>
      <c r="K190" s="301">
        <f>INDEX('Inputs (2)'!$D$30:$AL$30,MATCH(K$7,'Inputs (2)'!$D$2:$AL$2,0))</f>
        <v>0</v>
      </c>
      <c r="L190" s="301">
        <f>INDEX('Inputs (2)'!$D$30:$AL$30,MATCH(L$7,'Inputs (2)'!$D$2:$AL$2,0))</f>
        <v>0</v>
      </c>
      <c r="M190" s="268">
        <f>L190</f>
        <v>0</v>
      </c>
      <c r="N190" s="301">
        <f>INDEX('Inputs (2)'!$D$30:$AL$30,MATCH(N$7,'Inputs (2)'!$D$2:$AL$2,0))</f>
        <v>0</v>
      </c>
      <c r="O190" s="301">
        <f>INDEX('Inputs (2)'!$D$30:$AL$30,MATCH(O$7,'Inputs (2)'!$D$2:$AL$2,0))</f>
        <v>0</v>
      </c>
      <c r="P190" s="301">
        <f>INDEX('Inputs (2)'!$D$30:$AL$30,MATCH(P$7,'Inputs (2)'!$D$2:$AL$2,0))</f>
        <v>0</v>
      </c>
      <c r="Q190" s="301">
        <f>INDEX('Inputs (2)'!$D$30:$AL$30,MATCH(Q$7,'Inputs (2)'!$D$2:$AL$2,0))</f>
        <v>0</v>
      </c>
      <c r="R190" s="268">
        <f>Q190</f>
        <v>0</v>
      </c>
      <c r="S190" s="301">
        <f>INDEX('Inputs (2)'!$D$30:$AL$30,MATCH(S$7,'Inputs (2)'!$D$2:$AL$2,0))</f>
        <v>0</v>
      </c>
      <c r="T190" s="301">
        <f>INDEX('Inputs (2)'!$D$30:$AL$30,MATCH(T$7,'Inputs (2)'!$D$2:$AL$2,0))</f>
        <v>0</v>
      </c>
      <c r="U190" s="301">
        <f>INDEX('Inputs (2)'!$D$30:$AL$30,MATCH(U$7,'Inputs (2)'!$D$2:$AL$2,0))</f>
        <v>0</v>
      </c>
      <c r="V190" s="301">
        <f>INDEX('Inputs (2)'!$D$30:$AL$30,MATCH(V$7,'Inputs (2)'!$D$2:$AL$2,0))</f>
        <v>0</v>
      </c>
      <c r="W190" s="268">
        <f>V190</f>
        <v>0</v>
      </c>
      <c r="X190" s="301">
        <f>INDEX('Inputs (2)'!$D$30:$AL$30,MATCH(X$7,'Inputs (2)'!$D$2:$AL$2,0))</f>
        <v>0</v>
      </c>
      <c r="Y190" s="301">
        <f>INDEX('Inputs (2)'!$D$30:$AL$30,MATCH(Y$7,'Inputs (2)'!$D$2:$AL$2,0))</f>
        <v>0</v>
      </c>
      <c r="Z190" s="301">
        <f>INDEX('Inputs (2)'!$D$30:$AL$30,MATCH(Z$7,'Inputs (2)'!$D$2:$AL$2,0))</f>
        <v>0</v>
      </c>
      <c r="AA190" s="301">
        <f>INDEX('Inputs (2)'!$D$30:$AL$30,MATCH(AA$7,'Inputs (2)'!$D$2:$AL$2,0))</f>
        <v>0</v>
      </c>
      <c r="AB190" s="268">
        <f>AA190</f>
        <v>0</v>
      </c>
      <c r="AC190" s="301">
        <f>INDEX('Inputs (2)'!$D$30:$AL$30,MATCH(AC$7,'Inputs (2)'!$D$2:$AL$2,0))</f>
        <v>0</v>
      </c>
      <c r="AD190" s="301">
        <f>INDEX('Inputs (2)'!$D$30:$AL$30,MATCH(AD$7,'Inputs (2)'!$D$2:$AL$2,0))</f>
        <v>0</v>
      </c>
      <c r="AE190" s="301">
        <f>INDEX('Inputs (2)'!$D$30:$AL$30,MATCH(AE$7,'Inputs (2)'!$D$2:$AL$2,0))</f>
        <v>0</v>
      </c>
      <c r="AF190" s="301">
        <f>INDEX('Inputs (2)'!$D$30:$AL$30,MATCH(AF$7,'Inputs (2)'!$D$2:$AL$2,0))</f>
        <v>0</v>
      </c>
      <c r="AG190" s="268">
        <f>AF190</f>
        <v>0</v>
      </c>
      <c r="AH190" s="268">
        <f>INDEX('Inputs (2)'!$D$30:$AL$30,MATCH(AH$7,'Inputs (2)'!$D$2:$AL$2,0))</f>
        <v>0</v>
      </c>
      <c r="AI190" s="268">
        <f>INDEX('Inputs (2)'!$D$30:$AL$30,MATCH(AI$7,'Inputs (2)'!$D$2:$AL$2,0))</f>
        <v>0</v>
      </c>
      <c r="AJ190" s="268">
        <f>AH190*AJ117/AH117</f>
        <v>0</v>
      </c>
      <c r="AK190" s="268">
        <f>AI190*AK117/AI117</f>
        <v>0</v>
      </c>
      <c r="AL190" s="268">
        <f>AK190</f>
        <v>0</v>
      </c>
      <c r="AM190" s="268" t="e">
        <f>AK190*AM117/AK117</f>
        <v>#DIV/0!</v>
      </c>
      <c r="AN190" s="268">
        <f>AL190*AN117/AL117</f>
        <v>0</v>
      </c>
      <c r="AO190" s="268" t="e">
        <f>AM190*AO117/AM117</f>
        <v>#DIV/0!</v>
      </c>
      <c r="AP190" s="268" t="e">
        <f>AN190*AP117/AN117</f>
        <v>#DIV/0!</v>
      </c>
      <c r="AQ190" s="268" t="e">
        <f>AP190</f>
        <v>#DIV/0!</v>
      </c>
      <c r="AR190" s="268" t="e">
        <f>AP190*AR117/AP117</f>
        <v>#DIV/0!</v>
      </c>
      <c r="AS190" s="268" t="e">
        <f>AQ190*AS117/AQ117</f>
        <v>#DIV/0!</v>
      </c>
      <c r="AT190" s="268" t="e">
        <f>AR190*AT117/AR117</f>
        <v>#DIV/0!</v>
      </c>
      <c r="AU190" s="268" t="e">
        <f>AS190*AU117/AS117</f>
        <v>#DIV/0!</v>
      </c>
      <c r="AV190" s="268" t="e">
        <f>AU190</f>
        <v>#DIV/0!</v>
      </c>
      <c r="AW190" s="268" t="e">
        <f>AU190*AW117/AU117</f>
        <v>#DIV/0!</v>
      </c>
      <c r="AX190" s="268" t="e">
        <f>AV190*AX117/AV117</f>
        <v>#DIV/0!</v>
      </c>
      <c r="AY190" s="268" t="e">
        <f>AW190*AY117/AW117</f>
        <v>#DIV/0!</v>
      </c>
      <c r="AZ190" s="268" t="e">
        <f>AX190*AZ117/AX117</f>
        <v>#DIV/0!</v>
      </c>
      <c r="BA190" s="268" t="e">
        <f>AZ190</f>
        <v>#DIV/0!</v>
      </c>
      <c r="BB190" s="268" t="e">
        <f>AZ190*BB117/AZ117</f>
        <v>#DIV/0!</v>
      </c>
      <c r="BC190" s="268" t="e">
        <f>BA190*BC117/BA117</f>
        <v>#DIV/0!</v>
      </c>
      <c r="BD190" s="268" t="e">
        <f>BB190*BD117/BB117</f>
        <v>#DIV/0!</v>
      </c>
      <c r="BE190" s="268" t="e">
        <f>BC190*BE117/BC117</f>
        <v>#DIV/0!</v>
      </c>
      <c r="BF190" s="268" t="e">
        <f>BE190</f>
        <v>#DIV/0!</v>
      </c>
      <c r="BG190" s="268" t="e">
        <f>BE190*BG117/BE117</f>
        <v>#DIV/0!</v>
      </c>
      <c r="BH190" s="268" t="e">
        <f>BF190*BH117/BF117</f>
        <v>#DIV/0!</v>
      </c>
      <c r="BI190" s="268" t="e">
        <f>BG190*BI117/BG117</f>
        <v>#DIV/0!</v>
      </c>
      <c r="BJ190" s="268" t="e">
        <f>BH190*BJ117/BH117</f>
        <v>#DIV/0!</v>
      </c>
      <c r="BK190" s="268" t="e">
        <f>BJ190</f>
        <v>#DIV/0!</v>
      </c>
      <c r="BL190" s="268" t="e">
        <f>BJ190*BL117/BJ117</f>
        <v>#DIV/0!</v>
      </c>
      <c r="BM190" s="268" t="e">
        <f>BK190*BM117/BK117</f>
        <v>#DIV/0!</v>
      </c>
      <c r="BN190" s="268" t="e">
        <f>BL190*BN117/BL117</f>
        <v>#DIV/0!</v>
      </c>
      <c r="BO190" s="268" t="e">
        <f>BM190*BO117/BM117</f>
        <v>#DIV/0!</v>
      </c>
      <c r="BP190" s="268" t="e">
        <f>BO190</f>
        <v>#DIV/0!</v>
      </c>
      <c r="BQ190" s="268" t="e">
        <f>BO190*BQ117/BO117</f>
        <v>#DIV/0!</v>
      </c>
      <c r="BR190" s="268" t="e">
        <f>BP190*BR117/BP117</f>
        <v>#DIV/0!</v>
      </c>
      <c r="BS190" s="268" t="e">
        <f>BQ190*BS117/BQ117</f>
        <v>#DIV/0!</v>
      </c>
      <c r="BT190" s="268" t="e">
        <f>BR190*BT117/BR117</f>
        <v>#DIV/0!</v>
      </c>
      <c r="BU190" s="268" t="e">
        <f>BT190</f>
        <v>#DIV/0!</v>
      </c>
      <c r="BV190" s="268" t="e">
        <f>BT190*BV117/BT117</f>
        <v>#DIV/0!</v>
      </c>
      <c r="BW190" s="268" t="e">
        <f>BU190*BW117/BU117</f>
        <v>#DIV/0!</v>
      </c>
      <c r="BX190" s="268" t="e">
        <f>BV190*BX117/BV117</f>
        <v>#DIV/0!</v>
      </c>
      <c r="BY190" s="268" t="e">
        <f>BW190*BY117/BW117</f>
        <v>#DIV/0!</v>
      </c>
      <c r="BZ190" s="268" t="e">
        <f>BY190</f>
        <v>#DIV/0!</v>
      </c>
      <c r="CA190" s="268" t="e">
        <f>BY190*CA117/BY117</f>
        <v>#DIV/0!</v>
      </c>
      <c r="CB190" s="268" t="e">
        <f>BZ190*CB117/BZ117</f>
        <v>#DIV/0!</v>
      </c>
      <c r="CC190" s="268" t="e">
        <f>CA190*CC117/CA117</f>
        <v>#DIV/0!</v>
      </c>
      <c r="CD190" s="268" t="e">
        <f>CB190*CD117/CB117</f>
        <v>#DIV/0!</v>
      </c>
      <c r="CE190" s="268" t="e">
        <f>CD190</f>
        <v>#DIV/0!</v>
      </c>
      <c r="CF190" s="268" t="e">
        <f>CD190*CF117/CD117</f>
        <v>#DIV/0!</v>
      </c>
      <c r="CG190" s="268" t="e">
        <f>CE190*CG117/CE117</f>
        <v>#DIV/0!</v>
      </c>
      <c r="CH190" s="268" t="e">
        <f>CF190*CH117/CF117</f>
        <v>#DIV/0!</v>
      </c>
      <c r="CI190" s="268" t="e">
        <f>CG190*CI117/CG117</f>
        <v>#DIV/0!</v>
      </c>
      <c r="CJ190" s="268" t="e">
        <f>CI190</f>
        <v>#DIV/0!</v>
      </c>
      <c r="CK190" s="268" t="e">
        <f>CI190*CK117/CI117</f>
        <v>#DIV/0!</v>
      </c>
      <c r="CL190" s="268" t="e">
        <f>CJ190*CL117/CJ117</f>
        <v>#DIV/0!</v>
      </c>
      <c r="CM190" s="268" t="e">
        <f>CK190*CM117/CK117</f>
        <v>#DIV/0!</v>
      </c>
      <c r="CN190" s="268" t="e">
        <f>CL190*CN117/CL117</f>
        <v>#DIV/0!</v>
      </c>
      <c r="CO190" s="268" t="e">
        <f>CN190</f>
        <v>#DIV/0!</v>
      </c>
      <c r="CP190" s="268" t="e">
        <f>CN190*CP117/CN117</f>
        <v>#DIV/0!</v>
      </c>
      <c r="CQ190" s="268" t="e">
        <f>CO190*CQ117/CO117</f>
        <v>#DIV/0!</v>
      </c>
      <c r="CR190" s="268" t="e">
        <f>CP190*CR117/CP117</f>
        <v>#DIV/0!</v>
      </c>
      <c r="CS190" s="268" t="e">
        <f>CQ190*CS117/CQ117</f>
        <v>#DIV/0!</v>
      </c>
      <c r="CT190" s="268" t="e">
        <f>CS190</f>
        <v>#DIV/0!</v>
      </c>
      <c r="CU190" s="268" t="e">
        <f>CS190*CU117/CS117</f>
        <v>#DIV/0!</v>
      </c>
      <c r="CV190" s="268" t="e">
        <f>CT190*CV117/CT117</f>
        <v>#DIV/0!</v>
      </c>
      <c r="CW190" s="268" t="e">
        <f>CU190*CW117/CU117</f>
        <v>#DIV/0!</v>
      </c>
      <c r="CX190" s="268" t="e">
        <f>CV190*CX117/CV117</f>
        <v>#DIV/0!</v>
      </c>
      <c r="CY190" s="268" t="e">
        <f>CX190</f>
        <v>#DIV/0!</v>
      </c>
    </row>
    <row r="191" ht="12.75" customHeight="1" s="255">
      <c r="C191" s="270" t="inlineStr">
        <is>
          <t>Other current liabilities (non-debt)</t>
        </is>
      </c>
      <c r="D191" s="301">
        <f>INDEX('Inputs (2)'!$D$31:$AL$31,MATCH(D$7,'Inputs (2)'!$D$2:$AL$2,0))</f>
        <v>0</v>
      </c>
      <c r="E191" s="301">
        <f>INDEX('Inputs (2)'!$D$31:$AL$31,MATCH(E$7,'Inputs (2)'!$D$2:$AL$2,0))</f>
        <v>0</v>
      </c>
      <c r="F191" s="301">
        <f>INDEX('Inputs (2)'!$D$31:$AL$31,MATCH(F$7,'Inputs (2)'!$D$2:$AL$2,0))</f>
        <v>0</v>
      </c>
      <c r="G191" s="301">
        <f>INDEX('Inputs (2)'!$D$31:$AL$31,MATCH(G$7,'Inputs (2)'!$D$2:$AL$2,0))</f>
        <v>0</v>
      </c>
      <c r="H191" s="268">
        <f>G191</f>
        <v>0</v>
      </c>
      <c r="I191" s="301">
        <f>INDEX('Inputs (2)'!$D$31:$AL$31,MATCH(I$7,'Inputs (2)'!$D$2:$AL$2,0))</f>
        <v>0</v>
      </c>
      <c r="J191" s="301">
        <f>INDEX('Inputs (2)'!$D$31:$AL$31,MATCH(J$7,'Inputs (2)'!$D$2:$AL$2,0))</f>
        <v>0</v>
      </c>
      <c r="K191" s="301">
        <f>INDEX('Inputs (2)'!$D$31:$AL$31,MATCH(K$7,'Inputs (2)'!$D$2:$AL$2,0))</f>
        <v>0</v>
      </c>
      <c r="L191" s="301">
        <f>INDEX('Inputs (2)'!$D$31:$AL$31,MATCH(L$7,'Inputs (2)'!$D$2:$AL$2,0))</f>
        <v>0</v>
      </c>
      <c r="M191" s="268">
        <f>L191</f>
        <v>0</v>
      </c>
      <c r="N191" s="301">
        <f>INDEX('Inputs (2)'!$D$31:$AL$31,MATCH(N$7,'Inputs (2)'!$D$2:$AL$2,0))</f>
        <v>0</v>
      </c>
      <c r="O191" s="301">
        <f>INDEX('Inputs (2)'!$D$31:$AL$31,MATCH(O$7,'Inputs (2)'!$D$2:$AL$2,0))</f>
        <v>0</v>
      </c>
      <c r="P191" s="301">
        <f>INDEX('Inputs (2)'!$D$31:$AL$31,MATCH(P$7,'Inputs (2)'!$D$2:$AL$2,0))</f>
        <v>0</v>
      </c>
      <c r="Q191" s="301">
        <f>INDEX('Inputs (2)'!$D$31:$AL$31,MATCH(Q$7,'Inputs (2)'!$D$2:$AL$2,0))</f>
        <v>0</v>
      </c>
      <c r="R191" s="268">
        <f>Q191</f>
        <v>0</v>
      </c>
      <c r="S191" s="301">
        <f>INDEX('Inputs (2)'!$D$31:$AL$31,MATCH(S$7,'Inputs (2)'!$D$2:$AL$2,0))</f>
        <v>0</v>
      </c>
      <c r="T191" s="301">
        <f>INDEX('Inputs (2)'!$D$31:$AL$31,MATCH(T$7,'Inputs (2)'!$D$2:$AL$2,0))</f>
        <v>0</v>
      </c>
      <c r="U191" s="301">
        <f>INDEX('Inputs (2)'!$D$31:$AL$31,MATCH(U$7,'Inputs (2)'!$D$2:$AL$2,0))</f>
        <v>0</v>
      </c>
      <c r="V191" s="301">
        <f>INDEX('Inputs (2)'!$D$31:$AL$31,MATCH(V$7,'Inputs (2)'!$D$2:$AL$2,0))</f>
        <v>0</v>
      </c>
      <c r="W191" s="268">
        <f>V191</f>
        <v>0</v>
      </c>
      <c r="X191" s="301">
        <f>INDEX('Inputs (2)'!$D$31:$AL$31,MATCH(X$7,'Inputs (2)'!$D$2:$AL$2,0))</f>
        <v>0</v>
      </c>
      <c r="Y191" s="301">
        <f>INDEX('Inputs (2)'!$D$31:$AL$31,MATCH(Y$7,'Inputs (2)'!$D$2:$AL$2,0))</f>
        <v>0</v>
      </c>
      <c r="Z191" s="301">
        <f>INDEX('Inputs (2)'!$D$31:$AL$31,MATCH(Z$7,'Inputs (2)'!$D$2:$AL$2,0))</f>
        <v>0</v>
      </c>
      <c r="AA191" s="301">
        <f>INDEX('Inputs (2)'!$D$31:$AL$31,MATCH(AA$7,'Inputs (2)'!$D$2:$AL$2,0))</f>
        <v>1056.972</v>
      </c>
      <c r="AB191" s="268">
        <f>AA191</f>
        <v>1056.972</v>
      </c>
      <c r="AC191" s="301">
        <f>INDEX('Inputs (2)'!$D$31:$AL$31,MATCH(AC$7,'Inputs (2)'!$D$2:$AL$2,0))</f>
        <v>495.54</v>
      </c>
      <c r="AD191" s="301">
        <f>INDEX('Inputs (2)'!$D$31:$AL$31,MATCH(AD$7,'Inputs (2)'!$D$2:$AL$2,0))</f>
        <v>1011.795</v>
      </c>
      <c r="AE191" s="301">
        <f>INDEX('Inputs (2)'!$D$31:$AL$31,MATCH(AE$7,'Inputs (2)'!$D$2:$AL$2,0))</f>
        <v>1327.971</v>
      </c>
      <c r="AF191" s="301">
        <f>INDEX('Inputs (2)'!$D$31:$AL$31,MATCH(AF$7,'Inputs (2)'!$D$2:$AL$2,0))</f>
        <v>1909</v>
      </c>
      <c r="AG191" s="268">
        <f>AF191</f>
        <v>1909</v>
      </c>
      <c r="AH191" s="268">
        <f>INDEX('Inputs (2)'!$D$31:$AL$31,MATCH(AH$7,'Inputs (2)'!$D$2:$AL$2,0))</f>
        <v>3687</v>
      </c>
      <c r="AI191" s="268">
        <f>INDEX('Inputs (2)'!$D$31:$AL$31,MATCH(AI$7,'Inputs (2)'!$D$2:$AL$2,0))</f>
        <v>10276</v>
      </c>
      <c r="AJ191" s="268">
        <f>AI191</f>
        <v>10276</v>
      </c>
      <c r="AK191" s="268">
        <f>AJ191</f>
        <v>10276</v>
      </c>
      <c r="AL191" s="268">
        <f>AK191</f>
        <v>10276</v>
      </c>
      <c r="AM191" s="268">
        <f>AL191</f>
        <v>10276</v>
      </c>
      <c r="AN191" s="268">
        <f>AM191</f>
        <v>10276</v>
      </c>
      <c r="AO191" s="268">
        <f>AN191</f>
        <v>10276</v>
      </c>
      <c r="AP191" s="268">
        <f>AO191</f>
        <v>10276</v>
      </c>
      <c r="AQ191" s="268">
        <f>AP191</f>
        <v>10276</v>
      </c>
      <c r="AR191" s="268">
        <f>AQ191</f>
        <v>10276</v>
      </c>
      <c r="AS191" s="268">
        <f>AR191</f>
        <v>10276</v>
      </c>
      <c r="AT191" s="268">
        <f>AS191</f>
        <v>10276</v>
      </c>
      <c r="AU191" s="268">
        <f>AT191</f>
        <v>10276</v>
      </c>
      <c r="AV191" s="268">
        <f>AU191</f>
        <v>10276</v>
      </c>
      <c r="AW191" s="268">
        <f>AV191</f>
        <v>10276</v>
      </c>
      <c r="AX191" s="268">
        <f>AW191</f>
        <v>10276</v>
      </c>
      <c r="AY191" s="268">
        <f>AX191</f>
        <v>10276</v>
      </c>
      <c r="AZ191" s="268">
        <f>AY191</f>
        <v>10276</v>
      </c>
      <c r="BA191" s="268">
        <f>AZ191</f>
        <v>10276</v>
      </c>
      <c r="BB191" s="268">
        <f>BA191</f>
        <v>10276</v>
      </c>
      <c r="BC191" s="268">
        <f>BB191</f>
        <v>10276</v>
      </c>
      <c r="BD191" s="268">
        <f>BC191</f>
        <v>10276</v>
      </c>
      <c r="BE191" s="268">
        <f>BD191</f>
        <v>10276</v>
      </c>
      <c r="BF191" s="268">
        <f>BE191</f>
        <v>10276</v>
      </c>
      <c r="BG191" s="268">
        <f>BF191</f>
        <v>10276</v>
      </c>
      <c r="BH191" s="268">
        <f>BG191</f>
        <v>10276</v>
      </c>
      <c r="BI191" s="268">
        <f>BH191</f>
        <v>10276</v>
      </c>
      <c r="BJ191" s="268">
        <f>BI191</f>
        <v>10276</v>
      </c>
      <c r="BK191" s="268">
        <f>BJ191</f>
        <v>10276</v>
      </c>
      <c r="BL191" s="268">
        <f>BK191</f>
        <v>10276</v>
      </c>
      <c r="BM191" s="268">
        <f>BL191</f>
        <v>10276</v>
      </c>
      <c r="BN191" s="268">
        <f>BM191</f>
        <v>10276</v>
      </c>
      <c r="BO191" s="268">
        <f>BN191</f>
        <v>10276</v>
      </c>
      <c r="BP191" s="268">
        <f>BO191</f>
        <v>10276</v>
      </c>
      <c r="BQ191" s="268">
        <f>BP191</f>
        <v>10276</v>
      </c>
      <c r="BR191" s="268">
        <f>BQ191</f>
        <v>10276</v>
      </c>
      <c r="BS191" s="268">
        <f>BR191</f>
        <v>10276</v>
      </c>
      <c r="BT191" s="268">
        <f>BS191</f>
        <v>10276</v>
      </c>
      <c r="BU191" s="268">
        <f>BT191</f>
        <v>10276</v>
      </c>
      <c r="BV191" s="268">
        <f>BU191</f>
        <v>10276</v>
      </c>
      <c r="BW191" s="268">
        <f>BV191</f>
        <v>10276</v>
      </c>
      <c r="BX191" s="268">
        <f>BW191</f>
        <v>10276</v>
      </c>
      <c r="BY191" s="268">
        <f>BX191</f>
        <v>10276</v>
      </c>
      <c r="BZ191" s="268">
        <f>BY191</f>
        <v>10276</v>
      </c>
      <c r="CA191" s="268">
        <f>BZ191</f>
        <v>10276</v>
      </c>
      <c r="CB191" s="268">
        <f>CA191</f>
        <v>10276</v>
      </c>
      <c r="CC191" s="268">
        <f>CB191</f>
        <v>10276</v>
      </c>
      <c r="CD191" s="268">
        <f>CC191</f>
        <v>10276</v>
      </c>
      <c r="CE191" s="268">
        <f>CD191</f>
        <v>10276</v>
      </c>
      <c r="CF191" s="268">
        <f>CE191</f>
        <v>10276</v>
      </c>
      <c r="CG191" s="268">
        <f>CF191</f>
        <v>10276</v>
      </c>
      <c r="CH191" s="268">
        <f>CG191</f>
        <v>10276</v>
      </c>
      <c r="CI191" s="268">
        <f>CH191</f>
        <v>10276</v>
      </c>
      <c r="CJ191" s="268">
        <f>CI191</f>
        <v>10276</v>
      </c>
      <c r="CK191" s="268">
        <f>CJ191</f>
        <v>10276</v>
      </c>
      <c r="CL191" s="268">
        <f>CK191</f>
        <v>10276</v>
      </c>
      <c r="CM191" s="268">
        <f>CL191</f>
        <v>10276</v>
      </c>
      <c r="CN191" s="268">
        <f>CM191</f>
        <v>10276</v>
      </c>
      <c r="CO191" s="268">
        <f>CN191</f>
        <v>10276</v>
      </c>
      <c r="CP191" s="268">
        <f>CO191</f>
        <v>10276</v>
      </c>
      <c r="CQ191" s="268">
        <f>CP191</f>
        <v>10276</v>
      </c>
      <c r="CR191" s="268">
        <f>CQ191</f>
        <v>10276</v>
      </c>
      <c r="CS191" s="268">
        <f>CR191</f>
        <v>10276</v>
      </c>
      <c r="CT191" s="268">
        <f>CS191</f>
        <v>10276</v>
      </c>
      <c r="CU191" s="268">
        <f>CT191</f>
        <v>10276</v>
      </c>
      <c r="CV191" s="268">
        <f>CU191</f>
        <v>10276</v>
      </c>
      <c r="CW191" s="268">
        <f>CV191</f>
        <v>10276</v>
      </c>
      <c r="CX191" s="268">
        <f>CW191</f>
        <v>10276</v>
      </c>
      <c r="CY191" s="268">
        <f>CX191</f>
        <v>10276</v>
      </c>
    </row>
    <row r="192" hidden="1" outlineLevel="1" ht="12.75" customHeight="1" s="255">
      <c r="C192" s="314" t="inlineStr">
        <is>
          <t>%(Var.)</t>
        </is>
      </c>
      <c r="D192" s="268" t="n"/>
      <c r="E192" s="296" t="str">
        <f>IFERROR((E191-D191)/D191,"")</f>
        <v/>
      </c>
      <c r="F192" s="296" t="str">
        <f>IFERROR((F191-E191)/E191,"")</f>
        <v/>
      </c>
      <c r="G192" s="296" t="str">
        <f>IFERROR((G191-F191)/F191,"")</f>
        <v/>
      </c>
      <c r="H192" s="268" t="n"/>
      <c r="I192" s="296" t="str">
        <f>IFERROR((I191-H191)/H191,"")</f>
        <v/>
      </c>
      <c r="J192" s="296" t="str">
        <f>IFERROR((J191-I191)/I191,"")</f>
        <v/>
      </c>
      <c r="K192" s="296" t="str">
        <f>IFERROR((K191-J191)/J191,"")</f>
        <v/>
      </c>
      <c r="L192" s="296" t="str">
        <f>IFERROR((L191-K191)/K191,"")</f>
        <v/>
      </c>
      <c r="M192" s="268" t="n"/>
      <c r="N192" s="296" t="str">
        <f>IFERROR((N191-M191)/M191,"")</f>
        <v/>
      </c>
      <c r="O192" s="296" t="str">
        <f>IFERROR((O191-N191)/N191,"")</f>
        <v/>
      </c>
      <c r="P192" s="296" t="str">
        <f>IFERROR((P191-O191)/O191,"")</f>
        <v/>
      </c>
      <c r="Q192" s="296" t="str">
        <f>IFERROR((Q191-P191)/P191,"")</f>
        <v/>
      </c>
      <c r="R192" s="268" t="n"/>
      <c r="S192" s="296" t="str">
        <f>IFERROR((S191-R191)/R191,"")</f>
        <v/>
      </c>
      <c r="T192" s="296" t="str">
        <f>IFERROR((T191-S191)/S191,"")</f>
        <v/>
      </c>
      <c r="U192" s="296" t="str">
        <f>IFERROR((U191-T191)/T191,"")</f>
        <v/>
      </c>
      <c r="V192" s="296" t="str">
        <f>IFERROR((V191-U191)/U191,"")</f>
        <v/>
      </c>
      <c r="W192" s="268" t="n"/>
      <c r="X192" s="296" t="str">
        <f>IFERROR((X191-W191)/W191,"")</f>
        <v/>
      </c>
      <c r="Y192" s="296" t="str">
        <f>IFERROR((Y191-X191)/X191,"")</f>
        <v/>
      </c>
      <c r="Z192" s="296" t="str">
        <f>IFERROR((Z191-Y191)/Y191,"")</f>
        <v/>
      </c>
      <c r="AA192" s="296" t="str">
        <f>IFERROR((AA191-Z191)/Z191,"")</f>
        <v/>
      </c>
      <c r="AB192" s="268" t="n"/>
      <c r="AC192" s="296">
        <f>IFERROR((AC191-AB191)/AB191,"")</f>
        <v>-0.531170172909027</v>
      </c>
      <c r="AD192" s="296">
        <f>IFERROR((AD191-AC191)/AC191,"")</f>
        <v>1.04180288170481</v>
      </c>
      <c r="AE192" s="296">
        <f>IFERROR((AE191-AD191)/AD191,"")</f>
        <v>0.312490178346404</v>
      </c>
      <c r="AF192" s="311">
        <f>IFERROR((AF191-AE191)/AE191,"")</f>
        <v>0.437531391875274</v>
      </c>
      <c r="AG192" s="268" t="n"/>
      <c r="AH192" s="311">
        <f>IFERROR((AH191-AG191)/AG191,"")</f>
        <v>0.93137768465165</v>
      </c>
      <c r="AI192" s="311">
        <f>IFERROR((AI191-AH191)/AH191,"")</f>
        <v>1.78708977488473</v>
      </c>
      <c r="AJ192" s="311" t="n"/>
      <c r="AK192" s="311" t="n"/>
      <c r="AL192" s="268" t="n"/>
      <c r="AM192" s="311" t="n"/>
      <c r="AN192" s="311" t="n"/>
      <c r="AO192" s="311" t="n"/>
      <c r="AP192" s="311" t="n"/>
      <c r="AQ192" s="268" t="n"/>
      <c r="AR192" s="311" t="n"/>
      <c r="AS192" s="311" t="n"/>
      <c r="AT192" s="311" t="n"/>
      <c r="AU192" s="311" t="n"/>
      <c r="AV192" s="268" t="n"/>
      <c r="AW192" s="311" t="n"/>
      <c r="AX192" s="311" t="n"/>
      <c r="AY192" s="311" t="n"/>
      <c r="AZ192" s="311" t="n"/>
      <c r="BA192" s="268" t="n"/>
      <c r="BB192" s="311" t="n"/>
      <c r="BC192" s="311" t="n"/>
      <c r="BD192" s="311" t="n"/>
      <c r="BE192" s="311" t="n"/>
      <c r="BF192" s="268" t="n"/>
      <c r="BG192" s="311" t="n"/>
      <c r="BH192" s="311" t="n"/>
      <c r="BI192" s="311" t="n"/>
      <c r="BJ192" s="311" t="n"/>
      <c r="BK192" s="268" t="n"/>
      <c r="BL192" s="311" t="n"/>
      <c r="BM192" s="311" t="n"/>
      <c r="BN192" s="311" t="n"/>
      <c r="BO192" s="311" t="n"/>
      <c r="BP192" s="268" t="n"/>
      <c r="BQ192" s="311" t="n"/>
      <c r="BR192" s="311" t="n"/>
      <c r="BS192" s="311" t="n"/>
      <c r="BT192" s="311" t="n"/>
      <c r="BU192" s="268" t="n"/>
      <c r="BV192" s="311" t="n"/>
      <c r="BW192" s="311" t="n"/>
      <c r="BX192" s="311" t="n"/>
      <c r="BY192" s="311" t="n"/>
      <c r="BZ192" s="268" t="n"/>
      <c r="CA192" s="311" t="n"/>
      <c r="CB192" s="311" t="n"/>
      <c r="CC192" s="311" t="n"/>
      <c r="CD192" s="311" t="n"/>
      <c r="CE192" s="268" t="n"/>
      <c r="CF192" s="311" t="n"/>
      <c r="CG192" s="311" t="n"/>
      <c r="CH192" s="311" t="n"/>
      <c r="CI192" s="311" t="n"/>
      <c r="CJ192" s="268" t="n"/>
      <c r="CK192" s="311" t="n"/>
      <c r="CL192" s="311" t="n"/>
      <c r="CM192" s="311" t="n"/>
      <c r="CN192" s="311" t="n"/>
      <c r="CO192" s="268" t="n"/>
      <c r="CP192" s="311" t="n"/>
      <c r="CQ192" s="311" t="n"/>
      <c r="CR192" s="311" t="n"/>
      <c r="CS192" s="311" t="n"/>
      <c r="CT192" s="268" t="n"/>
      <c r="CU192" s="311" t="n"/>
      <c r="CV192" s="311" t="n"/>
      <c r="CW192" s="311" t="n"/>
      <c r="CX192" s="311" t="n"/>
      <c r="CY192" s="268" t="n"/>
    </row>
    <row r="193" hidden="1" outlineLevel="1" ht="12.75" customHeight="1" s="255">
      <c r="C193" s="312" t="n"/>
      <c r="D193" s="268" t="n"/>
      <c r="E193" s="268" t="n"/>
      <c r="F193" s="268" t="n"/>
      <c r="G193" s="268" t="n"/>
      <c r="H193" s="268" t="n"/>
      <c r="I193" s="268" t="n"/>
      <c r="J193" s="268" t="n"/>
      <c r="K193" s="268" t="n"/>
      <c r="L193" s="268" t="n"/>
      <c r="M193" s="268" t="n"/>
      <c r="N193" s="268" t="n"/>
      <c r="O193" s="268" t="n"/>
      <c r="P193" s="268" t="n"/>
      <c r="Q193" s="268" t="n"/>
      <c r="R193" s="268" t="n"/>
      <c r="S193" s="268" t="n"/>
      <c r="T193" s="268" t="n"/>
      <c r="U193" s="268" t="n"/>
      <c r="V193" s="268" t="n"/>
      <c r="W193" s="268" t="n"/>
      <c r="X193" s="268" t="n"/>
      <c r="Y193" s="268" t="n"/>
      <c r="Z193" s="268" t="n"/>
      <c r="AA193" s="268" t="n"/>
      <c r="AB193" s="268" t="n"/>
      <c r="AC193" s="268" t="n"/>
      <c r="AD193" s="268" t="n"/>
      <c r="AE193" s="268" t="n"/>
      <c r="AF193" s="268" t="n"/>
      <c r="AG193" s="268" t="n"/>
      <c r="AH193" s="268" t="n"/>
      <c r="AI193" s="268" t="n"/>
      <c r="AJ193" s="268" t="n"/>
      <c r="AK193" s="268" t="n"/>
      <c r="AL193" s="268" t="n"/>
      <c r="AM193" s="268" t="n"/>
      <c r="AN193" s="268" t="n"/>
      <c r="AO193" s="268" t="n"/>
      <c r="AP193" s="268" t="n"/>
      <c r="AQ193" s="268" t="n"/>
      <c r="AR193" s="268" t="n"/>
      <c r="AS193" s="268" t="n"/>
      <c r="AT193" s="268" t="n"/>
      <c r="AU193" s="268" t="n"/>
      <c r="AV193" s="268" t="n"/>
      <c r="AW193" s="268" t="n"/>
      <c r="AX193" s="268" t="n"/>
      <c r="AY193" s="268" t="n"/>
      <c r="AZ193" s="268" t="n"/>
      <c r="BA193" s="268" t="n"/>
      <c r="BB193" s="268" t="n"/>
      <c r="BC193" s="268" t="n"/>
      <c r="BD193" s="268" t="n"/>
      <c r="BE193" s="268" t="n"/>
      <c r="BF193" s="268" t="n"/>
      <c r="BG193" s="268" t="n"/>
      <c r="BH193" s="268" t="n"/>
      <c r="BI193" s="268" t="n"/>
      <c r="BJ193" s="268" t="n"/>
      <c r="BK193" s="268" t="n"/>
      <c r="BL193" s="268" t="n"/>
      <c r="BM193" s="268" t="n"/>
      <c r="BN193" s="268" t="n"/>
      <c r="BO193" s="268" t="n"/>
      <c r="BP193" s="268" t="n"/>
      <c r="BQ193" s="268" t="n"/>
      <c r="BR193" s="268" t="n"/>
      <c r="BS193" s="268" t="n"/>
      <c r="BT193" s="268" t="n"/>
      <c r="BU193" s="268" t="n"/>
      <c r="BV193" s="268" t="n"/>
      <c r="BW193" s="268" t="n"/>
      <c r="BX193" s="268" t="n"/>
      <c r="BY193" s="268" t="n"/>
      <c r="BZ193" s="268" t="n"/>
      <c r="CA193" s="268" t="n"/>
      <c r="CB193" s="268" t="n"/>
      <c r="CC193" s="268" t="n"/>
      <c r="CD193" s="268" t="n"/>
      <c r="CE193" s="268" t="n"/>
      <c r="CF193" s="268" t="n"/>
      <c r="CG193" s="268" t="n"/>
      <c r="CH193" s="268" t="n"/>
      <c r="CI193" s="268" t="n"/>
      <c r="CJ193" s="268" t="n"/>
      <c r="CK193" s="268" t="n"/>
      <c r="CL193" s="268" t="n"/>
      <c r="CM193" s="268" t="n"/>
      <c r="CN193" s="268" t="n"/>
      <c r="CO193" s="268" t="n"/>
      <c r="CP193" s="268" t="n"/>
      <c r="CQ193" s="268" t="n"/>
      <c r="CR193" s="268" t="n"/>
      <c r="CS193" s="268" t="n"/>
      <c r="CT193" s="268" t="n"/>
      <c r="CU193" s="268" t="n"/>
      <c r="CV193" s="268" t="n"/>
      <c r="CW193" s="268" t="n"/>
      <c r="CX193" s="268" t="n"/>
      <c r="CY193" s="268" t="n"/>
    </row>
    <row r="194" hidden="1" outlineLevel="1" ht="12.75" customHeight="1" s="255">
      <c r="C194" s="312" t="inlineStr">
        <is>
          <t xml:space="preserve">Dividendos a Pagar </t>
        </is>
      </c>
      <c r="D194" s="267" t="n"/>
      <c r="E194" s="267" t="n"/>
      <c r="F194" s="267" t="n"/>
      <c r="G194" s="267" t="n"/>
      <c r="H194" s="268" t="n"/>
      <c r="I194" s="267" t="n"/>
      <c r="J194" s="267" t="n"/>
      <c r="K194" s="267" t="n"/>
      <c r="L194" s="267" t="n"/>
      <c r="M194" s="268" t="n"/>
      <c r="N194" s="267" t="n"/>
      <c r="O194" s="267" t="n"/>
      <c r="P194" s="267" t="n"/>
      <c r="Q194" s="267" t="n"/>
      <c r="R194" s="268" t="n"/>
      <c r="S194" s="267" t="n"/>
      <c r="T194" s="267" t="n"/>
      <c r="U194" s="267" t="n"/>
      <c r="V194" s="267" t="n"/>
      <c r="W194" s="268" t="n"/>
      <c r="X194" s="267" t="n"/>
      <c r="Y194" s="267" t="n"/>
      <c r="Z194" s="267" t="n"/>
      <c r="AA194" s="267" t="n"/>
      <c r="AB194" s="268" t="n"/>
      <c r="AC194" s="267" t="n"/>
      <c r="AD194" s="267" t="n"/>
      <c r="AE194" s="267" t="n"/>
      <c r="AF194" s="267" t="n"/>
      <c r="AG194" s="268" t="n"/>
      <c r="AH194" s="267" t="n"/>
      <c r="AI194" s="267" t="n"/>
      <c r="AJ194" s="267" t="n"/>
      <c r="AK194" s="267" t="n"/>
      <c r="AL194" s="268" t="n"/>
      <c r="AM194" s="267" t="n"/>
      <c r="AN194" s="267" t="n"/>
      <c r="AO194" s="267" t="n"/>
      <c r="AP194" s="267" t="n"/>
      <c r="AQ194" s="268" t="n"/>
      <c r="AR194" s="267" t="n"/>
      <c r="AS194" s="267" t="n"/>
      <c r="AT194" s="267" t="n"/>
      <c r="AU194" s="267" t="n"/>
      <c r="AV194" s="268" t="n"/>
      <c r="AW194" s="267" t="n"/>
      <c r="AX194" s="267" t="n"/>
      <c r="AY194" s="267" t="n"/>
      <c r="AZ194" s="267" t="n"/>
      <c r="BA194" s="268" t="n"/>
      <c r="BB194" s="267" t="n"/>
      <c r="BC194" s="267" t="n"/>
      <c r="BD194" s="267" t="n"/>
      <c r="BE194" s="267" t="n"/>
      <c r="BF194" s="268" t="n"/>
      <c r="BG194" s="267" t="n"/>
      <c r="BH194" s="267" t="n"/>
      <c r="BI194" s="267" t="n"/>
      <c r="BJ194" s="267" t="n"/>
      <c r="BK194" s="268" t="n"/>
      <c r="BL194" s="267" t="n"/>
      <c r="BM194" s="267" t="n"/>
      <c r="BN194" s="267" t="n"/>
      <c r="BO194" s="267" t="n"/>
      <c r="BP194" s="268" t="n"/>
      <c r="BQ194" s="267" t="n"/>
      <c r="BR194" s="267" t="n"/>
      <c r="BS194" s="267" t="n"/>
      <c r="BT194" s="267" t="n"/>
      <c r="BU194" s="268" t="n"/>
      <c r="BV194" s="267" t="n"/>
      <c r="BW194" s="267" t="n"/>
      <c r="BX194" s="267" t="n"/>
      <c r="BY194" s="267" t="n"/>
      <c r="BZ194" s="268" t="n"/>
      <c r="CA194" s="267" t="n"/>
      <c r="CB194" s="267" t="n"/>
      <c r="CC194" s="267" t="n"/>
      <c r="CD194" s="267" t="n"/>
      <c r="CE194" s="268" t="n"/>
      <c r="CF194" s="267" t="n"/>
      <c r="CG194" s="267" t="n"/>
      <c r="CH194" s="267" t="n"/>
      <c r="CI194" s="267" t="n"/>
      <c r="CJ194" s="268" t="n"/>
      <c r="CK194" s="267" t="n"/>
      <c r="CL194" s="267" t="n"/>
      <c r="CM194" s="267" t="n"/>
      <c r="CN194" s="267" t="n"/>
      <c r="CO194" s="268" t="n"/>
      <c r="CP194" s="267" t="n"/>
      <c r="CQ194" s="267" t="n"/>
      <c r="CR194" s="267" t="n"/>
      <c r="CS194" s="267" t="n"/>
      <c r="CT194" s="268" t="n"/>
      <c r="CU194" s="267" t="n"/>
      <c r="CV194" s="267" t="n"/>
      <c r="CW194" s="267" t="n"/>
      <c r="CX194" s="267" t="n"/>
      <c r="CY194" s="268" t="n"/>
    </row>
    <row r="195" hidden="1" outlineLevel="1" ht="12.75" customHeight="1" s="255">
      <c r="C195" s="312" t="inlineStr">
        <is>
          <t>Contas a pagar pela aquisição de controladas</t>
        </is>
      </c>
      <c r="D195" s="267" t="n"/>
      <c r="E195" s="267" t="n"/>
      <c r="F195" s="267" t="n"/>
      <c r="G195" s="267" t="n"/>
      <c r="H195" s="268" t="n"/>
      <c r="I195" s="267" t="n"/>
      <c r="J195" s="267" t="n"/>
      <c r="K195" s="267" t="n"/>
      <c r="L195" s="267" t="n"/>
      <c r="M195" s="268" t="n"/>
      <c r="N195" s="267" t="n"/>
      <c r="O195" s="267" t="n"/>
      <c r="P195" s="267" t="n"/>
      <c r="Q195" s="267" t="n"/>
      <c r="R195" s="268" t="n"/>
      <c r="S195" s="267" t="n"/>
      <c r="T195" s="267" t="n"/>
      <c r="U195" s="267" t="n"/>
      <c r="V195" s="267" t="n"/>
      <c r="W195" s="268" t="n"/>
      <c r="X195" s="267" t="n"/>
      <c r="Y195" s="267" t="n"/>
      <c r="Z195" s="267" t="n"/>
      <c r="AA195" s="267" t="n"/>
      <c r="AB195" s="268" t="n"/>
      <c r="AC195" s="267" t="n"/>
      <c r="AD195" s="267" t="n"/>
      <c r="AE195" s="267" t="n"/>
      <c r="AF195" s="267" t="n"/>
      <c r="AG195" s="268" t="n"/>
      <c r="AH195" s="267" t="n"/>
      <c r="AI195" s="267" t="n"/>
      <c r="AJ195" s="267" t="n"/>
      <c r="AK195" s="267" t="n"/>
      <c r="AL195" s="268" t="n"/>
      <c r="AM195" s="267" t="n"/>
      <c r="AN195" s="267" t="n"/>
      <c r="AO195" s="267" t="n"/>
      <c r="AP195" s="267" t="n"/>
      <c r="AQ195" s="268" t="n"/>
      <c r="AR195" s="267" t="n"/>
      <c r="AS195" s="267" t="n"/>
      <c r="AT195" s="267" t="n"/>
      <c r="AU195" s="267" t="n"/>
      <c r="AV195" s="268" t="n"/>
      <c r="AW195" s="267" t="n"/>
      <c r="AX195" s="267" t="n"/>
      <c r="AY195" s="267" t="n"/>
      <c r="AZ195" s="267" t="n"/>
      <c r="BA195" s="268" t="n"/>
      <c r="BB195" s="267" t="n"/>
      <c r="BC195" s="267" t="n"/>
      <c r="BD195" s="267" t="n"/>
      <c r="BE195" s="267" t="n"/>
      <c r="BF195" s="268" t="n"/>
      <c r="BG195" s="267" t="n"/>
      <c r="BH195" s="267" t="n"/>
      <c r="BI195" s="267" t="n"/>
      <c r="BJ195" s="267" t="n"/>
      <c r="BK195" s="268" t="n"/>
      <c r="BL195" s="267" t="n"/>
      <c r="BM195" s="267" t="n"/>
      <c r="BN195" s="267" t="n"/>
      <c r="BO195" s="267" t="n"/>
      <c r="BP195" s="268" t="n"/>
      <c r="BQ195" s="267" t="n"/>
      <c r="BR195" s="267" t="n"/>
      <c r="BS195" s="267" t="n"/>
      <c r="BT195" s="267" t="n"/>
      <c r="BU195" s="268" t="n"/>
      <c r="BV195" s="267" t="n"/>
      <c r="BW195" s="267" t="n"/>
      <c r="BX195" s="267" t="n"/>
      <c r="BY195" s="267" t="n"/>
      <c r="BZ195" s="268" t="n"/>
      <c r="CA195" s="267" t="n"/>
      <c r="CB195" s="267" t="n"/>
      <c r="CC195" s="267" t="n"/>
      <c r="CD195" s="267" t="n"/>
      <c r="CE195" s="268" t="n"/>
      <c r="CF195" s="267" t="n"/>
      <c r="CG195" s="267" t="n"/>
      <c r="CH195" s="267" t="n"/>
      <c r="CI195" s="267" t="n"/>
      <c r="CJ195" s="268" t="n"/>
      <c r="CK195" s="267" t="n"/>
      <c r="CL195" s="267" t="n"/>
      <c r="CM195" s="267" t="n"/>
      <c r="CN195" s="267" t="n"/>
      <c r="CO195" s="268" t="n"/>
      <c r="CP195" s="267" t="n"/>
      <c r="CQ195" s="267" t="n"/>
      <c r="CR195" s="267" t="n"/>
      <c r="CS195" s="267" t="n"/>
      <c r="CT195" s="268" t="n"/>
      <c r="CU195" s="267" t="n"/>
      <c r="CV195" s="267" t="n"/>
      <c r="CW195" s="267" t="n"/>
      <c r="CX195" s="267" t="n"/>
      <c r="CY195" s="268" t="n"/>
    </row>
    <row r="196" hidden="1" outlineLevel="1" ht="12.75" customHeight="1" s="255">
      <c r="C196" s="312" t="inlineStr">
        <is>
          <t>Outros</t>
        </is>
      </c>
      <c r="D196" s="267" t="n"/>
      <c r="E196" s="267" t="n"/>
      <c r="F196" s="267" t="n"/>
      <c r="G196" s="267" t="n"/>
      <c r="H196" s="268" t="n"/>
      <c r="I196" s="267" t="n"/>
      <c r="J196" s="267" t="n"/>
      <c r="K196" s="267" t="n"/>
      <c r="L196" s="267" t="n"/>
      <c r="M196" s="268" t="n"/>
      <c r="N196" s="267" t="n"/>
      <c r="O196" s="267" t="n"/>
      <c r="P196" s="267" t="n"/>
      <c r="Q196" s="267" t="n"/>
      <c r="R196" s="268" t="n"/>
      <c r="S196" s="267" t="n"/>
      <c r="T196" s="267" t="n"/>
      <c r="U196" s="267" t="n"/>
      <c r="V196" s="267" t="n"/>
      <c r="W196" s="268" t="n"/>
      <c r="X196" s="267" t="n"/>
      <c r="Y196" s="267" t="n"/>
      <c r="Z196" s="267" t="n"/>
      <c r="AA196" s="267" t="n"/>
      <c r="AB196" s="268" t="n"/>
      <c r="AC196" s="267" t="n"/>
      <c r="AD196" s="267" t="n"/>
      <c r="AE196" s="267" t="n"/>
      <c r="AF196" s="267" t="n"/>
      <c r="AG196" s="268" t="n"/>
      <c r="AH196" s="267" t="n"/>
      <c r="AI196" s="267" t="n"/>
      <c r="AJ196" s="267" t="n"/>
      <c r="AK196" s="267" t="n"/>
      <c r="AL196" s="268" t="n"/>
      <c r="AM196" s="267" t="n"/>
      <c r="AN196" s="267" t="n"/>
      <c r="AO196" s="267" t="n"/>
      <c r="AP196" s="267" t="n"/>
      <c r="AQ196" s="268" t="n"/>
      <c r="AR196" s="267" t="n"/>
      <c r="AS196" s="267" t="n"/>
      <c r="AT196" s="267" t="n"/>
      <c r="AU196" s="267" t="n"/>
      <c r="AV196" s="268" t="n"/>
      <c r="AW196" s="267" t="n"/>
      <c r="AX196" s="267" t="n"/>
      <c r="AY196" s="267" t="n"/>
      <c r="AZ196" s="267" t="n"/>
      <c r="BA196" s="268" t="n"/>
      <c r="BB196" s="267" t="n"/>
      <c r="BC196" s="267" t="n"/>
      <c r="BD196" s="267" t="n"/>
      <c r="BE196" s="267" t="n"/>
      <c r="BF196" s="268" t="n"/>
      <c r="BG196" s="267" t="n"/>
      <c r="BH196" s="267" t="n"/>
      <c r="BI196" s="267" t="n"/>
      <c r="BJ196" s="267" t="n"/>
      <c r="BK196" s="268" t="n"/>
      <c r="BL196" s="267" t="n"/>
      <c r="BM196" s="267" t="n"/>
      <c r="BN196" s="267" t="n"/>
      <c r="BO196" s="267" t="n"/>
      <c r="BP196" s="268" t="n"/>
      <c r="BQ196" s="267" t="n"/>
      <c r="BR196" s="267" t="n"/>
      <c r="BS196" s="267" t="n"/>
      <c r="BT196" s="267" t="n"/>
      <c r="BU196" s="268" t="n"/>
      <c r="BV196" s="267" t="n"/>
      <c r="BW196" s="267" t="n"/>
      <c r="BX196" s="267" t="n"/>
      <c r="BY196" s="267" t="n"/>
      <c r="BZ196" s="268" t="n"/>
      <c r="CA196" s="267" t="n"/>
      <c r="CB196" s="267" t="n"/>
      <c r="CC196" s="267" t="n"/>
      <c r="CD196" s="267" t="n"/>
      <c r="CE196" s="268" t="n"/>
      <c r="CF196" s="267" t="n"/>
      <c r="CG196" s="267" t="n"/>
      <c r="CH196" s="267" t="n"/>
      <c r="CI196" s="267" t="n"/>
      <c r="CJ196" s="268" t="n"/>
      <c r="CK196" s="267" t="n"/>
      <c r="CL196" s="267" t="n"/>
      <c r="CM196" s="267" t="n"/>
      <c r="CN196" s="267" t="n"/>
      <c r="CO196" s="268" t="n"/>
      <c r="CP196" s="267" t="n"/>
      <c r="CQ196" s="267" t="n"/>
      <c r="CR196" s="267" t="n"/>
      <c r="CS196" s="267" t="n"/>
      <c r="CT196" s="268" t="n"/>
      <c r="CU196" s="267" t="n"/>
      <c r="CV196" s="267" t="n"/>
      <c r="CW196" s="267" t="n"/>
      <c r="CX196" s="267" t="n"/>
      <c r="CY196" s="268" t="n"/>
    </row>
    <row r="197" hidden="1" outlineLevel="1" ht="12.75" customHeight="1" s="255">
      <c r="C197" s="312" t="n"/>
      <c r="D197" s="268" t="n"/>
      <c r="E197" s="268" t="n"/>
      <c r="F197" s="268" t="n"/>
      <c r="G197" s="268" t="n"/>
      <c r="H197" s="268" t="n"/>
      <c r="I197" s="268" t="n"/>
      <c r="J197" s="268" t="n"/>
      <c r="K197" s="268" t="n"/>
      <c r="L197" s="268" t="n"/>
      <c r="M197" s="268" t="n"/>
      <c r="N197" s="268" t="n"/>
      <c r="O197" s="268" t="n"/>
      <c r="P197" s="268" t="n"/>
      <c r="Q197" s="268" t="n"/>
      <c r="R197" s="268" t="n"/>
      <c r="S197" s="268" t="n"/>
      <c r="T197" s="268" t="n"/>
      <c r="U197" s="268" t="n"/>
      <c r="V197" s="268" t="n"/>
      <c r="W197" s="268" t="n"/>
      <c r="X197" s="268" t="n"/>
      <c r="Y197" s="268" t="n"/>
      <c r="Z197" s="268" t="n"/>
      <c r="AA197" s="268" t="n"/>
      <c r="AB197" s="268" t="n"/>
      <c r="AC197" s="268" t="n"/>
      <c r="AD197" s="268" t="n"/>
      <c r="AE197" s="268" t="n"/>
      <c r="AF197" s="268" t="n"/>
      <c r="AG197" s="268" t="n"/>
      <c r="AH197" s="268" t="n"/>
      <c r="AI197" s="268" t="n"/>
      <c r="AJ197" s="268" t="n"/>
      <c r="AK197" s="268" t="n"/>
      <c r="AL197" s="268" t="n"/>
      <c r="AM197" s="268" t="n"/>
      <c r="AN197" s="268" t="n"/>
      <c r="AO197" s="268" t="n"/>
      <c r="AP197" s="268" t="n"/>
      <c r="AQ197" s="268" t="n"/>
      <c r="AR197" s="268" t="n"/>
      <c r="AS197" s="268" t="n"/>
      <c r="AT197" s="268" t="n"/>
      <c r="AU197" s="268" t="n"/>
      <c r="AV197" s="268" t="n"/>
      <c r="AW197" s="268" t="n"/>
      <c r="AX197" s="268" t="n"/>
      <c r="AY197" s="268" t="n"/>
      <c r="AZ197" s="268" t="n"/>
      <c r="BA197" s="268" t="n"/>
      <c r="BB197" s="268" t="n"/>
      <c r="BC197" s="268" t="n"/>
      <c r="BD197" s="268" t="n"/>
      <c r="BE197" s="268" t="n"/>
      <c r="BF197" s="268" t="n"/>
      <c r="BG197" s="268" t="n"/>
      <c r="BH197" s="268" t="n"/>
      <c r="BI197" s="268" t="n"/>
      <c r="BJ197" s="268" t="n"/>
      <c r="BK197" s="268" t="n"/>
      <c r="BL197" s="268" t="n"/>
      <c r="BM197" s="268" t="n"/>
      <c r="BN197" s="268" t="n"/>
      <c r="BO197" s="268" t="n"/>
      <c r="BP197" s="268" t="n"/>
      <c r="BQ197" s="268" t="n"/>
      <c r="BR197" s="268" t="n"/>
      <c r="BS197" s="268" t="n"/>
      <c r="BT197" s="268" t="n"/>
      <c r="BU197" s="268" t="n"/>
      <c r="BV197" s="268" t="n"/>
      <c r="BW197" s="268" t="n"/>
      <c r="BX197" s="268" t="n"/>
      <c r="BY197" s="268" t="n"/>
      <c r="BZ197" s="268" t="n"/>
      <c r="CA197" s="268" t="n"/>
      <c r="CB197" s="268" t="n"/>
      <c r="CC197" s="268" t="n"/>
      <c r="CD197" s="268" t="n"/>
      <c r="CE197" s="268" t="n"/>
      <c r="CF197" s="268" t="n"/>
      <c r="CG197" s="268" t="n"/>
      <c r="CH197" s="268" t="n"/>
      <c r="CI197" s="268" t="n"/>
      <c r="CJ197" s="268" t="n"/>
      <c r="CK197" s="268" t="n"/>
      <c r="CL197" s="268" t="n"/>
      <c r="CM197" s="268" t="n"/>
      <c r="CN197" s="268" t="n"/>
      <c r="CO197" s="268" t="n"/>
      <c r="CP197" s="268" t="n"/>
      <c r="CQ197" s="268" t="n"/>
      <c r="CR197" s="268" t="n"/>
      <c r="CS197" s="268" t="n"/>
      <c r="CT197" s="268" t="n"/>
      <c r="CU197" s="268" t="n"/>
      <c r="CV197" s="268" t="n"/>
      <c r="CW197" s="268" t="n"/>
      <c r="CX197" s="268" t="n"/>
      <c r="CY197" s="268" t="n"/>
    </row>
    <row r="198" ht="12.75" customHeight="1" s="255">
      <c r="C198" s="270" t="inlineStr">
        <is>
          <t>Current portion of long-term debt</t>
        </is>
      </c>
      <c r="D198" s="301">
        <f>INDEX('Inputs (2)'!$D$32:$AL$32,MATCH(D$7,'Inputs (2)'!$D$2:$AL$2,0))</f>
        <v>0</v>
      </c>
      <c r="E198" s="301">
        <f>INDEX('Inputs (2)'!$D$32:$AL$32,MATCH(E$7,'Inputs (2)'!$D$2:$AL$2,0))</f>
        <v>0</v>
      </c>
      <c r="F198" s="301">
        <f>INDEX('Inputs (2)'!$D$32:$AL$32,MATCH(F$7,'Inputs (2)'!$D$2:$AL$2,0))</f>
        <v>0</v>
      </c>
      <c r="G198" s="301">
        <f>INDEX('Inputs (2)'!$D$32:$AL$32,MATCH(G$7,'Inputs (2)'!$D$2:$AL$2,0))</f>
        <v>0</v>
      </c>
      <c r="H198" s="268">
        <f>G198</f>
        <v>0</v>
      </c>
      <c r="I198" s="301">
        <f>INDEX('Inputs (2)'!$D$32:$AL$32,MATCH(I$7,'Inputs (2)'!$D$2:$AL$2,0))</f>
        <v>0</v>
      </c>
      <c r="J198" s="301">
        <f>INDEX('Inputs (2)'!$D$32:$AL$32,MATCH(J$7,'Inputs (2)'!$D$2:$AL$2,0))</f>
        <v>0</v>
      </c>
      <c r="K198" s="301">
        <f>INDEX('Inputs (2)'!$D$32:$AL$32,MATCH(K$7,'Inputs (2)'!$D$2:$AL$2,0))</f>
        <v>0</v>
      </c>
      <c r="L198" s="301">
        <f>INDEX('Inputs (2)'!$D$32:$AL$32,MATCH(L$7,'Inputs (2)'!$D$2:$AL$2,0))</f>
        <v>0</v>
      </c>
      <c r="M198" s="268">
        <f>L198</f>
        <v>0</v>
      </c>
      <c r="N198" s="301">
        <f>INDEX('Inputs (2)'!$D$32:$AL$32,MATCH(N$7,'Inputs (2)'!$D$2:$AL$2,0))</f>
        <v>0</v>
      </c>
      <c r="O198" s="301">
        <f>INDEX('Inputs (2)'!$D$32:$AL$32,MATCH(O$7,'Inputs (2)'!$D$2:$AL$2,0))</f>
        <v>0</v>
      </c>
      <c r="P198" s="301">
        <f>INDEX('Inputs (2)'!$D$32:$AL$32,MATCH(P$7,'Inputs (2)'!$D$2:$AL$2,0))</f>
        <v>0</v>
      </c>
      <c r="Q198" s="301">
        <f>INDEX('Inputs (2)'!$D$32:$AL$32,MATCH(Q$7,'Inputs (2)'!$D$2:$AL$2,0))</f>
        <v>0</v>
      </c>
      <c r="R198" s="268">
        <f>Q198</f>
        <v>0</v>
      </c>
      <c r="S198" s="301">
        <f>INDEX('Inputs (2)'!$D$32:$AL$32,MATCH(S$7,'Inputs (2)'!$D$2:$AL$2,0))</f>
        <v>0</v>
      </c>
      <c r="T198" s="301">
        <f>INDEX('Inputs (2)'!$D$32:$AL$32,MATCH(T$7,'Inputs (2)'!$D$2:$AL$2,0))</f>
        <v>0</v>
      </c>
      <c r="U198" s="301">
        <f>INDEX('Inputs (2)'!$D$32:$AL$32,MATCH(U$7,'Inputs (2)'!$D$2:$AL$2,0))</f>
        <v>0</v>
      </c>
      <c r="V198" s="301">
        <f>INDEX('Inputs (2)'!$D$32:$AL$32,MATCH(V$7,'Inputs (2)'!$D$2:$AL$2,0))</f>
        <v>0</v>
      </c>
      <c r="W198" s="268">
        <f>V198</f>
        <v>0</v>
      </c>
      <c r="X198" s="301">
        <f>INDEX('Inputs (2)'!$D$32:$AL$32,MATCH(X$7,'Inputs (2)'!$D$2:$AL$2,0))</f>
        <v>0</v>
      </c>
      <c r="Y198" s="301">
        <f>INDEX('Inputs (2)'!$D$32:$AL$32,MATCH(Y$7,'Inputs (2)'!$D$2:$AL$2,0))</f>
        <v>0</v>
      </c>
      <c r="Z198" s="301">
        <f>INDEX('Inputs (2)'!$D$32:$AL$32,MATCH(Z$7,'Inputs (2)'!$D$2:$AL$2,0))</f>
        <v>0</v>
      </c>
      <c r="AA198" s="301">
        <f>INDEX('Inputs (2)'!$D$32:$AL$32,MATCH(AA$7,'Inputs (2)'!$D$2:$AL$2,0))</f>
        <v>2468.425</v>
      </c>
      <c r="AB198" s="268">
        <f>AA198</f>
        <v>2468.425</v>
      </c>
      <c r="AC198" s="301">
        <f>INDEX('Inputs (2)'!$D$32:$AL$32,MATCH(AC$7,'Inputs (2)'!$D$2:$AL$2,0))</f>
        <v>3776.595</v>
      </c>
      <c r="AD198" s="301">
        <f>INDEX('Inputs (2)'!$D$32:$AL$32,MATCH(AD$7,'Inputs (2)'!$D$2:$AL$2,0))</f>
        <v>3627.664</v>
      </c>
      <c r="AE198" s="301">
        <f>INDEX('Inputs (2)'!$D$32:$AL$32,MATCH(AE$7,'Inputs (2)'!$D$2:$AL$2,0))</f>
        <v>3712.177</v>
      </c>
      <c r="AF198" s="301">
        <f>INDEX('Inputs (2)'!$D$32:$AL$32,MATCH(AF$7,'Inputs (2)'!$D$2:$AL$2,0))</f>
        <v>6708</v>
      </c>
      <c r="AG198" s="268">
        <f>AF198</f>
        <v>6708</v>
      </c>
      <c r="AH198" s="268">
        <f>INDEX('Inputs (2)'!$D$32:$AL$32,MATCH(AH$7,'Inputs (2)'!$D$2:$AL$2,0))</f>
        <v>7547</v>
      </c>
      <c r="AI198" s="268">
        <f>INDEX('Inputs (2)'!$D$32:$AL$32,MATCH(AI$7,'Inputs (2)'!$D$2:$AL$2,0))</f>
        <v>0</v>
      </c>
      <c r="AJ198" s="268">
        <f>AI198</f>
        <v>0</v>
      </c>
      <c r="AK198" s="268">
        <f>AJ198</f>
        <v>0</v>
      </c>
      <c r="AL198" s="268">
        <f>AK198</f>
        <v>0</v>
      </c>
      <c r="AM198" s="268">
        <f>AL198</f>
        <v>0</v>
      </c>
      <c r="AN198" s="268">
        <f>AM198</f>
        <v>0</v>
      </c>
      <c r="AO198" s="268">
        <f>AN198</f>
        <v>0</v>
      </c>
      <c r="AP198" s="268">
        <f>AO198</f>
        <v>0</v>
      </c>
      <c r="AQ198" s="268">
        <f>AP198</f>
        <v>0</v>
      </c>
      <c r="AR198" s="268">
        <f>AQ198</f>
        <v>0</v>
      </c>
      <c r="AS198" s="268">
        <f>AR198</f>
        <v>0</v>
      </c>
      <c r="AT198" s="268">
        <f>AS198</f>
        <v>0</v>
      </c>
      <c r="AU198" s="268">
        <f>AT198</f>
        <v>0</v>
      </c>
      <c r="AV198" s="268">
        <f>AU198</f>
        <v>0</v>
      </c>
      <c r="AW198" s="268">
        <f>AV198</f>
        <v>0</v>
      </c>
      <c r="AX198" s="268">
        <f>AW198</f>
        <v>0</v>
      </c>
      <c r="AY198" s="268">
        <f>AX198</f>
        <v>0</v>
      </c>
      <c r="AZ198" s="268">
        <f>AY198</f>
        <v>0</v>
      </c>
      <c r="BA198" s="268">
        <f>AZ198</f>
        <v>0</v>
      </c>
      <c r="BB198" s="268">
        <f>BA198</f>
        <v>0</v>
      </c>
      <c r="BC198" s="268">
        <f>BB198</f>
        <v>0</v>
      </c>
      <c r="BD198" s="268">
        <f>BC198</f>
        <v>0</v>
      </c>
      <c r="BE198" s="268">
        <f>BD198</f>
        <v>0</v>
      </c>
      <c r="BF198" s="268">
        <f>BE198</f>
        <v>0</v>
      </c>
      <c r="BG198" s="268">
        <f>BF198</f>
        <v>0</v>
      </c>
      <c r="BH198" s="268">
        <f>BG198</f>
        <v>0</v>
      </c>
      <c r="BI198" s="268">
        <f>BH198</f>
        <v>0</v>
      </c>
      <c r="BJ198" s="268">
        <f>BI198</f>
        <v>0</v>
      </c>
      <c r="BK198" s="268">
        <f>BJ198</f>
        <v>0</v>
      </c>
      <c r="BL198" s="268">
        <f>BK198</f>
        <v>0</v>
      </c>
      <c r="BM198" s="268">
        <f>BL198</f>
        <v>0</v>
      </c>
      <c r="BN198" s="268">
        <f>BM198</f>
        <v>0</v>
      </c>
      <c r="BO198" s="268">
        <f>BN198</f>
        <v>0</v>
      </c>
      <c r="BP198" s="268">
        <f>BO198</f>
        <v>0</v>
      </c>
      <c r="BQ198" s="268">
        <f>BP198</f>
        <v>0</v>
      </c>
      <c r="BR198" s="268">
        <f>BQ198</f>
        <v>0</v>
      </c>
      <c r="BS198" s="268">
        <f>BR198</f>
        <v>0</v>
      </c>
      <c r="BT198" s="268">
        <f>BS198</f>
        <v>0</v>
      </c>
      <c r="BU198" s="268">
        <f>BT198</f>
        <v>0</v>
      </c>
      <c r="BV198" s="268">
        <f>BU198</f>
        <v>0</v>
      </c>
      <c r="BW198" s="268">
        <f>BV198</f>
        <v>0</v>
      </c>
      <c r="BX198" s="268">
        <f>BW198</f>
        <v>0</v>
      </c>
      <c r="BY198" s="268">
        <f>BX198</f>
        <v>0</v>
      </c>
      <c r="BZ198" s="268">
        <f>BY198</f>
        <v>0</v>
      </c>
      <c r="CA198" s="268">
        <f>BZ198</f>
        <v>0</v>
      </c>
      <c r="CB198" s="268">
        <f>CA198</f>
        <v>0</v>
      </c>
      <c r="CC198" s="268">
        <f>CB198</f>
        <v>0</v>
      </c>
      <c r="CD198" s="268">
        <f>CC198</f>
        <v>0</v>
      </c>
      <c r="CE198" s="268">
        <f>CD198</f>
        <v>0</v>
      </c>
      <c r="CF198" s="268">
        <f>CE198</f>
        <v>0</v>
      </c>
      <c r="CG198" s="268">
        <f>CF198</f>
        <v>0</v>
      </c>
      <c r="CH198" s="268">
        <f>CG198</f>
        <v>0</v>
      </c>
      <c r="CI198" s="268">
        <f>CH198</f>
        <v>0</v>
      </c>
      <c r="CJ198" s="268">
        <f>CI198</f>
        <v>0</v>
      </c>
      <c r="CK198" s="268">
        <f>CJ198</f>
        <v>0</v>
      </c>
      <c r="CL198" s="268">
        <f>CK198</f>
        <v>0</v>
      </c>
      <c r="CM198" s="268">
        <f>CL198</f>
        <v>0</v>
      </c>
      <c r="CN198" s="268">
        <f>CM198</f>
        <v>0</v>
      </c>
      <c r="CO198" s="268">
        <f>CN198</f>
        <v>0</v>
      </c>
      <c r="CP198" s="268">
        <f>CO198</f>
        <v>0</v>
      </c>
      <c r="CQ198" s="268">
        <f>CP198</f>
        <v>0</v>
      </c>
      <c r="CR198" s="268">
        <f>CQ198</f>
        <v>0</v>
      </c>
      <c r="CS198" s="268">
        <f>CR198</f>
        <v>0</v>
      </c>
      <c r="CT198" s="268">
        <f>CS198</f>
        <v>0</v>
      </c>
      <c r="CU198" s="268">
        <f>CT198</f>
        <v>0</v>
      </c>
      <c r="CV198" s="268">
        <f>CU198</f>
        <v>0</v>
      </c>
      <c r="CW198" s="268">
        <f>CV198</f>
        <v>0</v>
      </c>
      <c r="CX198" s="268">
        <f>CW198</f>
        <v>0</v>
      </c>
      <c r="CY198" s="268">
        <f>CX198</f>
        <v>0</v>
      </c>
    </row>
    <row r="199" ht="12.75" customHeight="1" s="255">
      <c r="C199" s="270" t="inlineStr">
        <is>
          <t>Short term debt (Revolving credit facility)</t>
        </is>
      </c>
      <c r="D199" s="301">
        <f>INDEX('Inputs (2)'!$D$33:$AL$33,MATCH(D$7,'Inputs (2)'!$D$2:$AL$2,0))</f>
        <v>0</v>
      </c>
      <c r="E199" s="301">
        <f>INDEX('Inputs (2)'!$D$33:$AL$33,MATCH(E$7,'Inputs (2)'!$D$2:$AL$2,0))</f>
        <v>0</v>
      </c>
      <c r="F199" s="301">
        <f>INDEX('Inputs (2)'!$D$33:$AL$33,MATCH(F$7,'Inputs (2)'!$D$2:$AL$2,0))</f>
        <v>0</v>
      </c>
      <c r="G199" s="301">
        <f>INDEX('Inputs (2)'!$D$33:$AL$33,MATCH(G$7,'Inputs (2)'!$D$2:$AL$2,0))</f>
        <v>0</v>
      </c>
      <c r="H199" s="268">
        <f>G199</f>
        <v>0</v>
      </c>
      <c r="I199" s="301">
        <f>INDEX('Inputs (2)'!$D$33:$AL$33,MATCH(I$7,'Inputs (2)'!$D$2:$AL$2,0))</f>
        <v>0</v>
      </c>
      <c r="J199" s="301">
        <f>INDEX('Inputs (2)'!$D$33:$AL$33,MATCH(J$7,'Inputs (2)'!$D$2:$AL$2,0))</f>
        <v>0</v>
      </c>
      <c r="K199" s="301">
        <f>INDEX('Inputs (2)'!$D$33:$AL$33,MATCH(K$7,'Inputs (2)'!$D$2:$AL$2,0))</f>
        <v>0</v>
      </c>
      <c r="L199" s="301">
        <f>INDEX('Inputs (2)'!$D$33:$AL$33,MATCH(L$7,'Inputs (2)'!$D$2:$AL$2,0))</f>
        <v>0</v>
      </c>
      <c r="M199" s="268">
        <f>L199</f>
        <v>0</v>
      </c>
      <c r="N199" s="301">
        <f>INDEX('Inputs (2)'!$D$33:$AL$33,MATCH(N$7,'Inputs (2)'!$D$2:$AL$2,0))</f>
        <v>0</v>
      </c>
      <c r="O199" s="301">
        <f>INDEX('Inputs (2)'!$D$33:$AL$33,MATCH(O$7,'Inputs (2)'!$D$2:$AL$2,0))</f>
        <v>0</v>
      </c>
      <c r="P199" s="301">
        <f>INDEX('Inputs (2)'!$D$33:$AL$33,MATCH(P$7,'Inputs (2)'!$D$2:$AL$2,0))</f>
        <v>0</v>
      </c>
      <c r="Q199" s="301">
        <f>INDEX('Inputs (2)'!$D$33:$AL$33,MATCH(Q$7,'Inputs (2)'!$D$2:$AL$2,0))</f>
        <v>0</v>
      </c>
      <c r="R199" s="268">
        <f>Q199</f>
        <v>0</v>
      </c>
      <c r="S199" s="301">
        <f>INDEX('Inputs (2)'!$D$33:$AL$33,MATCH(S$7,'Inputs (2)'!$D$2:$AL$2,0))</f>
        <v>0</v>
      </c>
      <c r="T199" s="301">
        <f>INDEX('Inputs (2)'!$D$33:$AL$33,MATCH(T$7,'Inputs (2)'!$D$2:$AL$2,0))</f>
        <v>0</v>
      </c>
      <c r="U199" s="301">
        <f>INDEX('Inputs (2)'!$D$33:$AL$33,MATCH(U$7,'Inputs (2)'!$D$2:$AL$2,0))</f>
        <v>0</v>
      </c>
      <c r="V199" s="301">
        <f>INDEX('Inputs (2)'!$D$33:$AL$33,MATCH(V$7,'Inputs (2)'!$D$2:$AL$2,0))</f>
        <v>0</v>
      </c>
      <c r="W199" s="268">
        <f>V199</f>
        <v>0</v>
      </c>
      <c r="X199" s="301">
        <f>INDEX('Inputs (2)'!$D$33:$AL$33,MATCH(X$7,'Inputs (2)'!$D$2:$AL$2,0))</f>
        <v>0</v>
      </c>
      <c r="Y199" s="301">
        <f>INDEX('Inputs (2)'!$D$33:$AL$33,MATCH(Y$7,'Inputs (2)'!$D$2:$AL$2,0))</f>
        <v>0</v>
      </c>
      <c r="Z199" s="301">
        <f>INDEX('Inputs (2)'!$D$33:$AL$33,MATCH(Z$7,'Inputs (2)'!$D$2:$AL$2,0))</f>
        <v>0</v>
      </c>
      <c r="AA199" s="301">
        <f>INDEX('Inputs (2)'!$D$33:$AL$33,MATCH(AA$7,'Inputs (2)'!$D$2:$AL$2,0))</f>
        <v>0</v>
      </c>
      <c r="AB199" s="268">
        <f>AA199</f>
        <v>0</v>
      </c>
      <c r="AC199" s="301">
        <f>INDEX('Inputs (2)'!$D$33:$AL$33,MATCH(AC$7,'Inputs (2)'!$D$2:$AL$2,0))</f>
        <v>0</v>
      </c>
      <c r="AD199" s="301">
        <f>INDEX('Inputs (2)'!$D$33:$AL$33,MATCH(AD$7,'Inputs (2)'!$D$2:$AL$2,0))</f>
        <v>0</v>
      </c>
      <c r="AE199" s="301">
        <f>INDEX('Inputs (2)'!$D$33:$AL$33,MATCH(AE$7,'Inputs (2)'!$D$2:$AL$2,0))</f>
        <v>0</v>
      </c>
      <c r="AF199" s="301">
        <f>INDEX('Inputs (2)'!$D$33:$AL$33,MATCH(AF$7,'Inputs (2)'!$D$2:$AL$2,0))</f>
        <v>0</v>
      </c>
      <c r="AG199" s="268">
        <f>AF199</f>
        <v>0</v>
      </c>
      <c r="AH199" s="268">
        <f>INDEX('Inputs (2)'!$D$33:$AL$33,MATCH(AH$7,'Inputs (2)'!$D$2:$AL$2,0))</f>
        <v>0</v>
      </c>
      <c r="AI199" s="268">
        <f>INDEX('Inputs (2)'!$D$33:$AL$33,MATCH(AI$7,'Inputs (2)'!$D$2:$AL$2,0))</f>
        <v>0</v>
      </c>
      <c r="AJ199" s="268">
        <f>AI199</f>
        <v>0</v>
      </c>
      <c r="AK199" s="268">
        <f>AJ199</f>
        <v>0</v>
      </c>
      <c r="AL199" s="268">
        <f>AK199</f>
        <v>0</v>
      </c>
      <c r="AM199" s="268">
        <f>AL199</f>
        <v>0</v>
      </c>
      <c r="AN199" s="268">
        <f>AM199</f>
        <v>0</v>
      </c>
      <c r="AO199" s="268">
        <f>AN199</f>
        <v>0</v>
      </c>
      <c r="AP199" s="268">
        <f>AO199</f>
        <v>0</v>
      </c>
      <c r="AQ199" s="268">
        <f>AP199</f>
        <v>0</v>
      </c>
      <c r="AR199" s="268">
        <f>AQ199</f>
        <v>0</v>
      </c>
      <c r="AS199" s="268">
        <f>AR199</f>
        <v>0</v>
      </c>
      <c r="AT199" s="268">
        <f>AS199</f>
        <v>0</v>
      </c>
      <c r="AU199" s="268">
        <f>AT199</f>
        <v>0</v>
      </c>
      <c r="AV199" s="268">
        <f>AU199</f>
        <v>0</v>
      </c>
      <c r="AW199" s="268">
        <f>AV199</f>
        <v>0</v>
      </c>
      <c r="AX199" s="268">
        <f>AW199</f>
        <v>0</v>
      </c>
      <c r="AY199" s="268">
        <f>AX199</f>
        <v>0</v>
      </c>
      <c r="AZ199" s="268">
        <f>AY199</f>
        <v>0</v>
      </c>
      <c r="BA199" s="268">
        <f>AZ199</f>
        <v>0</v>
      </c>
      <c r="BB199" s="268">
        <f>BA199</f>
        <v>0</v>
      </c>
      <c r="BC199" s="268">
        <f>BB199</f>
        <v>0</v>
      </c>
      <c r="BD199" s="268">
        <f>BC199</f>
        <v>0</v>
      </c>
      <c r="BE199" s="268">
        <f>BD199</f>
        <v>0</v>
      </c>
      <c r="BF199" s="268">
        <f>BE199</f>
        <v>0</v>
      </c>
      <c r="BG199" s="268">
        <f>BF199</f>
        <v>0</v>
      </c>
      <c r="BH199" s="268">
        <f>BG199</f>
        <v>0</v>
      </c>
      <c r="BI199" s="268">
        <f>BH199</f>
        <v>0</v>
      </c>
      <c r="BJ199" s="268">
        <f>BI199</f>
        <v>0</v>
      </c>
      <c r="BK199" s="268">
        <f>BJ199</f>
        <v>0</v>
      </c>
      <c r="BL199" s="268">
        <f>BK199</f>
        <v>0</v>
      </c>
      <c r="BM199" s="268">
        <f>BL199</f>
        <v>0</v>
      </c>
      <c r="BN199" s="268">
        <f>BM199</f>
        <v>0</v>
      </c>
      <c r="BO199" s="268">
        <f>BN199</f>
        <v>0</v>
      </c>
      <c r="BP199" s="268">
        <f>BO199</f>
        <v>0</v>
      </c>
      <c r="BQ199" s="268">
        <f>BP199</f>
        <v>0</v>
      </c>
      <c r="BR199" s="268">
        <f>BQ199</f>
        <v>0</v>
      </c>
      <c r="BS199" s="268">
        <f>BR199</f>
        <v>0</v>
      </c>
      <c r="BT199" s="268">
        <f>BS199</f>
        <v>0</v>
      </c>
      <c r="BU199" s="268">
        <f>BT199</f>
        <v>0</v>
      </c>
      <c r="BV199" s="268">
        <f>BU199</f>
        <v>0</v>
      </c>
      <c r="BW199" s="268">
        <f>BV199</f>
        <v>0</v>
      </c>
      <c r="BX199" s="268">
        <f>BW199</f>
        <v>0</v>
      </c>
      <c r="BY199" s="268">
        <f>BX199</f>
        <v>0</v>
      </c>
      <c r="BZ199" s="268">
        <f>BY199</f>
        <v>0</v>
      </c>
      <c r="CA199" s="268">
        <f>BZ199</f>
        <v>0</v>
      </c>
      <c r="CB199" s="268">
        <f>CA199</f>
        <v>0</v>
      </c>
      <c r="CC199" s="268">
        <f>CB199</f>
        <v>0</v>
      </c>
      <c r="CD199" s="268">
        <f>CC199</f>
        <v>0</v>
      </c>
      <c r="CE199" s="268">
        <f>CD199</f>
        <v>0</v>
      </c>
      <c r="CF199" s="268">
        <f>CE199</f>
        <v>0</v>
      </c>
      <c r="CG199" s="268">
        <f>CF199</f>
        <v>0</v>
      </c>
      <c r="CH199" s="268">
        <f>CG199</f>
        <v>0</v>
      </c>
      <c r="CI199" s="268">
        <f>CH199</f>
        <v>0</v>
      </c>
      <c r="CJ199" s="268">
        <f>CI199</f>
        <v>0</v>
      </c>
      <c r="CK199" s="268">
        <f>CJ199</f>
        <v>0</v>
      </c>
      <c r="CL199" s="268">
        <f>CK199</f>
        <v>0</v>
      </c>
      <c r="CM199" s="268">
        <f>CL199</f>
        <v>0</v>
      </c>
      <c r="CN199" s="268">
        <f>CM199</f>
        <v>0</v>
      </c>
      <c r="CO199" s="268">
        <f>CN199</f>
        <v>0</v>
      </c>
      <c r="CP199" s="268">
        <f>CO199</f>
        <v>0</v>
      </c>
      <c r="CQ199" s="268">
        <f>CP199</f>
        <v>0</v>
      </c>
      <c r="CR199" s="268">
        <f>CQ199</f>
        <v>0</v>
      </c>
      <c r="CS199" s="268">
        <f>CR199</f>
        <v>0</v>
      </c>
      <c r="CT199" s="268">
        <f>CS199</f>
        <v>0</v>
      </c>
      <c r="CU199" s="268">
        <f>CT199</f>
        <v>0</v>
      </c>
      <c r="CV199" s="268">
        <f>CU199</f>
        <v>0</v>
      </c>
      <c r="CW199" s="268">
        <f>CV199</f>
        <v>0</v>
      </c>
      <c r="CX199" s="268">
        <f>CW199</f>
        <v>0</v>
      </c>
      <c r="CY199" s="268">
        <f>CX199</f>
        <v>0</v>
      </c>
    </row>
    <row r="200" ht="12.75" customHeight="1" s="255">
      <c r="C200" s="270" t="inlineStr">
        <is>
          <t>Short term operating leases</t>
        </is>
      </c>
      <c r="D200" s="301">
        <f>INDEX('Inputs (2)'!$D$34:$AL$34,MATCH(D$7,'Inputs (2)'!$D$2:$AL$2,0))</f>
        <v>0</v>
      </c>
      <c r="E200" s="301">
        <f>INDEX('Inputs (2)'!$D$34:$AL$34,MATCH(E$7,'Inputs (2)'!$D$2:$AL$2,0))</f>
        <v>0</v>
      </c>
      <c r="F200" s="301">
        <f>INDEX('Inputs (2)'!$D$34:$AL$34,MATCH(F$7,'Inputs (2)'!$D$2:$AL$2,0))</f>
        <v>0</v>
      </c>
      <c r="G200" s="301">
        <f>INDEX('Inputs (2)'!$D$34:$AL$34,MATCH(G$7,'Inputs (2)'!$D$2:$AL$2,0))</f>
        <v>0</v>
      </c>
      <c r="H200" s="268">
        <f>G200</f>
        <v>0</v>
      </c>
      <c r="I200" s="301">
        <f>INDEX('Inputs (2)'!$D$34:$AL$34,MATCH(I$7,'Inputs (2)'!$D$2:$AL$2,0))</f>
        <v>0</v>
      </c>
      <c r="J200" s="301">
        <f>INDEX('Inputs (2)'!$D$34:$AL$34,MATCH(J$7,'Inputs (2)'!$D$2:$AL$2,0))</f>
        <v>0</v>
      </c>
      <c r="K200" s="301">
        <f>INDEX('Inputs (2)'!$D$34:$AL$34,MATCH(K$7,'Inputs (2)'!$D$2:$AL$2,0))</f>
        <v>0</v>
      </c>
      <c r="L200" s="301">
        <f>INDEX('Inputs (2)'!$D$34:$AL$34,MATCH(L$7,'Inputs (2)'!$D$2:$AL$2,0))</f>
        <v>0</v>
      </c>
      <c r="M200" s="268">
        <f>L200</f>
        <v>0</v>
      </c>
      <c r="N200" s="301">
        <f>INDEX('Inputs (2)'!$D$34:$AL$34,MATCH(N$7,'Inputs (2)'!$D$2:$AL$2,0))</f>
        <v>0</v>
      </c>
      <c r="O200" s="301">
        <f>INDEX('Inputs (2)'!$D$34:$AL$34,MATCH(O$7,'Inputs (2)'!$D$2:$AL$2,0))</f>
        <v>0</v>
      </c>
      <c r="P200" s="301">
        <f>INDEX('Inputs (2)'!$D$34:$AL$34,MATCH(P$7,'Inputs (2)'!$D$2:$AL$2,0))</f>
        <v>0</v>
      </c>
      <c r="Q200" s="301">
        <f>INDEX('Inputs (2)'!$D$34:$AL$34,MATCH(Q$7,'Inputs (2)'!$D$2:$AL$2,0))</f>
        <v>0</v>
      </c>
      <c r="R200" s="268">
        <f>Q200</f>
        <v>0</v>
      </c>
      <c r="S200" s="301">
        <f>INDEX('Inputs (2)'!$D$34:$AL$34,MATCH(S$7,'Inputs (2)'!$D$2:$AL$2,0))</f>
        <v>0</v>
      </c>
      <c r="T200" s="301">
        <f>INDEX('Inputs (2)'!$D$34:$AL$34,MATCH(T$7,'Inputs (2)'!$D$2:$AL$2,0))</f>
        <v>0</v>
      </c>
      <c r="U200" s="301">
        <f>INDEX('Inputs (2)'!$D$34:$AL$34,MATCH(U$7,'Inputs (2)'!$D$2:$AL$2,0))</f>
        <v>0</v>
      </c>
      <c r="V200" s="301">
        <f>INDEX('Inputs (2)'!$D$34:$AL$34,MATCH(V$7,'Inputs (2)'!$D$2:$AL$2,0))</f>
        <v>0</v>
      </c>
      <c r="W200" s="268">
        <f>V200</f>
        <v>0</v>
      </c>
      <c r="X200" s="301">
        <f>INDEX('Inputs (2)'!$D$34:$AL$34,MATCH(X$7,'Inputs (2)'!$D$2:$AL$2,0))</f>
        <v>0</v>
      </c>
      <c r="Y200" s="301">
        <f>INDEX('Inputs (2)'!$D$34:$AL$34,MATCH(Y$7,'Inputs (2)'!$D$2:$AL$2,0))</f>
        <v>0</v>
      </c>
      <c r="Z200" s="301">
        <f>INDEX('Inputs (2)'!$D$34:$AL$34,MATCH(Z$7,'Inputs (2)'!$D$2:$AL$2,0))</f>
        <v>0</v>
      </c>
      <c r="AA200" s="301">
        <f>INDEX('Inputs (2)'!$D$34:$AL$34,MATCH(AA$7,'Inputs (2)'!$D$2:$AL$2,0))</f>
        <v>213.104</v>
      </c>
      <c r="AB200" s="268">
        <f>AA200</f>
        <v>213.104</v>
      </c>
      <c r="AC200" s="301">
        <f>INDEX('Inputs (2)'!$D$34:$AL$34,MATCH(AC$7,'Inputs (2)'!$D$2:$AL$2,0))</f>
        <v>239.549</v>
      </c>
      <c r="AD200" s="301">
        <f>INDEX('Inputs (2)'!$D$34:$AL$34,MATCH(AD$7,'Inputs (2)'!$D$2:$AL$2,0))</f>
        <v>279.08</v>
      </c>
      <c r="AE200" s="301">
        <f>INDEX('Inputs (2)'!$D$34:$AL$34,MATCH(AE$7,'Inputs (2)'!$D$2:$AL$2,0))</f>
        <v>345.472</v>
      </c>
      <c r="AF200" s="301">
        <f>INDEX('Inputs (2)'!$D$34:$AL$34,MATCH(AF$7,'Inputs (2)'!$D$2:$AL$2,0))</f>
        <v>427</v>
      </c>
      <c r="AG200" s="268">
        <f>AF200</f>
        <v>427</v>
      </c>
      <c r="AH200" s="268">
        <f>INDEX('Inputs (2)'!$D$34:$AL$34,MATCH(AH$7,'Inputs (2)'!$D$2:$AL$2,0))</f>
        <v>487</v>
      </c>
      <c r="AI200" s="268">
        <f>INDEX('Inputs (2)'!$D$34:$AL$34,MATCH(AI$7,'Inputs (2)'!$D$2:$AL$2,0))</f>
        <v>584</v>
      </c>
      <c r="AJ200" s="268">
        <f>AI200</f>
        <v>584</v>
      </c>
      <c r="AK200" s="268">
        <f>AJ200</f>
        <v>584</v>
      </c>
      <c r="AL200" s="268">
        <f>AK200</f>
        <v>584</v>
      </c>
      <c r="AM200" s="268">
        <f>AL200</f>
        <v>584</v>
      </c>
      <c r="AN200" s="268">
        <f>AM200</f>
        <v>584</v>
      </c>
      <c r="AO200" s="268">
        <f>AN200</f>
        <v>584</v>
      </c>
      <c r="AP200" s="268">
        <f>AO200</f>
        <v>584</v>
      </c>
      <c r="AQ200" s="268">
        <f>AP200</f>
        <v>584</v>
      </c>
      <c r="AR200" s="268">
        <f>AQ200</f>
        <v>584</v>
      </c>
      <c r="AS200" s="268">
        <f>AR200</f>
        <v>584</v>
      </c>
      <c r="AT200" s="268">
        <f>AS200</f>
        <v>584</v>
      </c>
      <c r="AU200" s="268">
        <f>AT200</f>
        <v>584</v>
      </c>
      <c r="AV200" s="268">
        <f>AU200</f>
        <v>584</v>
      </c>
      <c r="AW200" s="268">
        <f>AV200</f>
        <v>584</v>
      </c>
      <c r="AX200" s="268">
        <f>AW200</f>
        <v>584</v>
      </c>
      <c r="AY200" s="268">
        <f>AX200</f>
        <v>584</v>
      </c>
      <c r="AZ200" s="268">
        <f>AY200</f>
        <v>584</v>
      </c>
      <c r="BA200" s="268">
        <f>AZ200</f>
        <v>584</v>
      </c>
      <c r="BB200" s="268">
        <f>BA200</f>
        <v>584</v>
      </c>
      <c r="BC200" s="268">
        <f>BB200</f>
        <v>584</v>
      </c>
      <c r="BD200" s="268">
        <f>BC200</f>
        <v>584</v>
      </c>
      <c r="BE200" s="268">
        <f>BD200</f>
        <v>584</v>
      </c>
      <c r="BF200" s="268">
        <f>BE200</f>
        <v>584</v>
      </c>
      <c r="BG200" s="268">
        <f>BF200</f>
        <v>584</v>
      </c>
      <c r="BH200" s="268">
        <f>BG200</f>
        <v>584</v>
      </c>
      <c r="BI200" s="268">
        <f>BH200</f>
        <v>584</v>
      </c>
      <c r="BJ200" s="268">
        <f>BI200</f>
        <v>584</v>
      </c>
      <c r="BK200" s="268">
        <f>BJ200</f>
        <v>584</v>
      </c>
      <c r="BL200" s="268">
        <f>BK200</f>
        <v>584</v>
      </c>
      <c r="BM200" s="268">
        <f>BL200</f>
        <v>584</v>
      </c>
      <c r="BN200" s="268">
        <f>BM200</f>
        <v>584</v>
      </c>
      <c r="BO200" s="268">
        <f>BN200</f>
        <v>584</v>
      </c>
      <c r="BP200" s="268">
        <f>BO200</f>
        <v>584</v>
      </c>
      <c r="BQ200" s="268">
        <f>BP200</f>
        <v>584</v>
      </c>
      <c r="BR200" s="268">
        <f>BQ200</f>
        <v>584</v>
      </c>
      <c r="BS200" s="268">
        <f>BR200</f>
        <v>584</v>
      </c>
      <c r="BT200" s="268">
        <f>BS200</f>
        <v>584</v>
      </c>
      <c r="BU200" s="268">
        <f>BT200</f>
        <v>584</v>
      </c>
      <c r="BV200" s="268">
        <f>BU200</f>
        <v>584</v>
      </c>
      <c r="BW200" s="268">
        <f>BV200</f>
        <v>584</v>
      </c>
      <c r="BX200" s="268">
        <f>BW200</f>
        <v>584</v>
      </c>
      <c r="BY200" s="268">
        <f>BX200</f>
        <v>584</v>
      </c>
      <c r="BZ200" s="268">
        <f>BY200</f>
        <v>584</v>
      </c>
      <c r="CA200" s="268">
        <f>BZ200</f>
        <v>584</v>
      </c>
      <c r="CB200" s="268">
        <f>CA200</f>
        <v>584</v>
      </c>
      <c r="CC200" s="268">
        <f>CB200</f>
        <v>584</v>
      </c>
      <c r="CD200" s="268">
        <f>CC200</f>
        <v>584</v>
      </c>
      <c r="CE200" s="268">
        <f>CD200</f>
        <v>584</v>
      </c>
      <c r="CF200" s="268">
        <f>CE200</f>
        <v>584</v>
      </c>
      <c r="CG200" s="268">
        <f>CF200</f>
        <v>584</v>
      </c>
      <c r="CH200" s="268">
        <f>CG200</f>
        <v>584</v>
      </c>
      <c r="CI200" s="268">
        <f>CH200</f>
        <v>584</v>
      </c>
      <c r="CJ200" s="268">
        <f>CI200</f>
        <v>584</v>
      </c>
      <c r="CK200" s="268">
        <f>CJ200</f>
        <v>584</v>
      </c>
      <c r="CL200" s="268">
        <f>CK200</f>
        <v>584</v>
      </c>
      <c r="CM200" s="268">
        <f>CL200</f>
        <v>584</v>
      </c>
      <c r="CN200" s="268">
        <f>CM200</f>
        <v>584</v>
      </c>
      <c r="CO200" s="268">
        <f>CN200</f>
        <v>584</v>
      </c>
      <c r="CP200" s="268">
        <f>CO200</f>
        <v>584</v>
      </c>
      <c r="CQ200" s="268">
        <f>CP200</f>
        <v>584</v>
      </c>
      <c r="CR200" s="268">
        <f>CQ200</f>
        <v>584</v>
      </c>
      <c r="CS200" s="268">
        <f>CR200</f>
        <v>584</v>
      </c>
      <c r="CT200" s="268">
        <f>CS200</f>
        <v>584</v>
      </c>
      <c r="CU200" s="268">
        <f>CT200</f>
        <v>584</v>
      </c>
      <c r="CV200" s="268">
        <f>CU200</f>
        <v>584</v>
      </c>
      <c r="CW200" s="268">
        <f>CV200</f>
        <v>584</v>
      </c>
      <c r="CX200" s="268">
        <f>CW200</f>
        <v>584</v>
      </c>
      <c r="CY200" s="268">
        <f>CX200</f>
        <v>584</v>
      </c>
    </row>
    <row r="201" hidden="1" outlineLevel="1" ht="12.75" customHeight="1" s="255">
      <c r="C201" s="314" t="inlineStr">
        <is>
          <t>%(Var.)</t>
        </is>
      </c>
      <c r="D201" s="268" t="n"/>
      <c r="E201" s="296">
        <f>IFERROR((E200-D200)/D200,0)</f>
        <v>0</v>
      </c>
      <c r="F201" s="296">
        <f>IFERROR((F200-E200)/E200,0)</f>
        <v>0</v>
      </c>
      <c r="G201" s="296">
        <f>IFERROR((G200-F200)/F200,0)</f>
        <v>0</v>
      </c>
      <c r="H201" s="268" t="n"/>
      <c r="I201" s="296">
        <f>IFERROR((I200-H200)/H200,0)</f>
        <v>0</v>
      </c>
      <c r="J201" s="296">
        <f>IFERROR((J200-I200)/I200,0)</f>
        <v>0</v>
      </c>
      <c r="K201" s="296">
        <f>IFERROR((K200-J200)/J200,0)</f>
        <v>0</v>
      </c>
      <c r="L201" s="296">
        <f>IFERROR((L200-K200)/K200,0)</f>
        <v>0</v>
      </c>
      <c r="M201" s="268" t="n"/>
      <c r="N201" s="296">
        <f>IFERROR((N200-M200)/M200,0)</f>
        <v>0</v>
      </c>
      <c r="O201" s="296">
        <f>IFERROR((O200-N200)/N200,0)</f>
        <v>0</v>
      </c>
      <c r="P201" s="296">
        <f>IFERROR((P200-O200)/O200,0)</f>
        <v>0</v>
      </c>
      <c r="Q201" s="296">
        <f>IFERROR((Q200-P200)/P200,0)</f>
        <v>0</v>
      </c>
      <c r="R201" s="268" t="n"/>
      <c r="S201" s="296">
        <f>IFERROR((S200-R200)/R200,0)</f>
        <v>0</v>
      </c>
      <c r="T201" s="296">
        <f>IFERROR((T200-S200)/S200,0)</f>
        <v>0</v>
      </c>
      <c r="U201" s="296">
        <f>IFERROR((U200-T200)/T200,0)</f>
        <v>0</v>
      </c>
      <c r="V201" s="296">
        <f>IFERROR((V200-U200)/U200,0)</f>
        <v>0</v>
      </c>
      <c r="W201" s="268" t="n"/>
      <c r="X201" s="296">
        <f>IFERROR((X200-W200)/W200,0)</f>
        <v>0</v>
      </c>
      <c r="Y201" s="296">
        <f>IFERROR((Y200-X200)/X200,0)</f>
        <v>0</v>
      </c>
      <c r="Z201" s="296">
        <f>IFERROR((Z200-Y200)/Y200,0)</f>
        <v>0</v>
      </c>
      <c r="AA201" s="296">
        <f>IFERROR((AA200-Z200)/Z200,0)</f>
        <v>0</v>
      </c>
      <c r="AB201" s="268" t="n"/>
      <c r="AC201" s="296">
        <f>IFERROR((AC200-AB200)/AB200,0)</f>
        <v>0.124094338914333</v>
      </c>
      <c r="AD201" s="296">
        <f>IFERROR((AD200-AC200)/AC200,0)</f>
        <v>0.165022604978522</v>
      </c>
      <c r="AE201" s="296">
        <f>IFERROR((AE200-AD200)/AD200,0)</f>
        <v>0.237895943815393</v>
      </c>
      <c r="AF201" s="267">
        <f>IFERROR((AF200-AE200)/AE200,0)</f>
        <v>0.235990181548722</v>
      </c>
      <c r="AG201" s="268" t="n"/>
      <c r="AH201" s="267">
        <f>IFERROR((AH200-AG200)/AG200,0)</f>
        <v>0.140515222482436</v>
      </c>
      <c r="AI201" s="267">
        <f>IFERROR((AI200-AH200)/AH200,0)</f>
        <v>0.19917864476386</v>
      </c>
      <c r="AJ201" s="267" t="n"/>
      <c r="AK201" s="267" t="n"/>
      <c r="AL201" s="268" t="n"/>
      <c r="AM201" s="267" t="n"/>
      <c r="AN201" s="267" t="n"/>
      <c r="AO201" s="267" t="n"/>
      <c r="AP201" s="267" t="n"/>
      <c r="AQ201" s="268" t="n"/>
      <c r="AR201" s="267" t="n"/>
      <c r="AS201" s="267" t="n"/>
      <c r="AT201" s="267" t="n"/>
      <c r="AU201" s="267" t="n"/>
      <c r="AV201" s="268" t="n"/>
      <c r="AW201" s="267" t="n"/>
      <c r="AX201" s="267" t="n"/>
      <c r="AY201" s="267" t="n"/>
      <c r="AZ201" s="267" t="n"/>
      <c r="BA201" s="268" t="n"/>
      <c r="BB201" s="267" t="n"/>
      <c r="BC201" s="267" t="n"/>
      <c r="BD201" s="267" t="n"/>
      <c r="BE201" s="267" t="n"/>
      <c r="BF201" s="268" t="n"/>
      <c r="BG201" s="267" t="n"/>
      <c r="BH201" s="267" t="n"/>
      <c r="BI201" s="267" t="n"/>
      <c r="BJ201" s="267" t="n"/>
      <c r="BK201" s="268" t="n"/>
      <c r="BL201" s="267" t="n"/>
      <c r="BM201" s="267" t="n"/>
      <c r="BN201" s="267" t="n"/>
      <c r="BO201" s="267" t="n"/>
      <c r="BP201" s="268" t="n"/>
      <c r="BQ201" s="267" t="n"/>
      <c r="BR201" s="267" t="n"/>
      <c r="BS201" s="267" t="n"/>
      <c r="BT201" s="267" t="n"/>
      <c r="BU201" s="268" t="n"/>
      <c r="BV201" s="267" t="n"/>
      <c r="BW201" s="267" t="n"/>
      <c r="BX201" s="267" t="n"/>
      <c r="BY201" s="267" t="n"/>
      <c r="BZ201" s="268" t="n"/>
      <c r="CA201" s="267" t="n"/>
      <c r="CB201" s="267" t="n"/>
      <c r="CC201" s="267" t="n"/>
      <c r="CD201" s="267" t="n"/>
      <c r="CE201" s="268" t="n"/>
      <c r="CF201" s="267" t="n"/>
      <c r="CG201" s="267" t="n"/>
      <c r="CH201" s="267" t="n"/>
      <c r="CI201" s="267" t="n"/>
      <c r="CJ201" s="268" t="n"/>
      <c r="CK201" s="267" t="n"/>
      <c r="CL201" s="267" t="n"/>
      <c r="CM201" s="267" t="n"/>
      <c r="CN201" s="267" t="n"/>
      <c r="CO201" s="268" t="n"/>
      <c r="CP201" s="267" t="n"/>
      <c r="CQ201" s="267" t="n"/>
      <c r="CR201" s="267" t="n"/>
      <c r="CS201" s="267" t="n"/>
      <c r="CT201" s="268" t="n"/>
      <c r="CU201" s="267" t="n"/>
      <c r="CV201" s="267" t="n"/>
      <c r="CW201" s="267" t="n"/>
      <c r="CX201" s="267" t="n"/>
      <c r="CY201" s="268" t="n"/>
    </row>
    <row r="202" hidden="1" outlineLevel="1" ht="12.75" customHeight="1" s="255">
      <c r="C202" s="312" t="n"/>
      <c r="D202" s="268" t="n"/>
      <c r="E202" s="268" t="n"/>
      <c r="F202" s="268" t="n"/>
      <c r="G202" s="268" t="n"/>
      <c r="H202" s="268" t="n"/>
      <c r="I202" s="268" t="n"/>
      <c r="J202" s="268" t="n"/>
      <c r="K202" s="268" t="n"/>
      <c r="L202" s="268" t="n"/>
      <c r="M202" s="268" t="n"/>
      <c r="N202" s="268" t="n"/>
      <c r="O202" s="268" t="n"/>
      <c r="P202" s="268" t="n"/>
      <c r="Q202" s="268" t="n"/>
      <c r="R202" s="268" t="n"/>
      <c r="S202" s="268" t="n"/>
      <c r="T202" s="268" t="n"/>
      <c r="U202" s="268" t="n"/>
      <c r="V202" s="268" t="n"/>
      <c r="W202" s="268" t="n"/>
      <c r="X202" s="268" t="n"/>
      <c r="Y202" s="268" t="n"/>
      <c r="Z202" s="268" t="n"/>
      <c r="AA202" s="268" t="n"/>
      <c r="AB202" s="268" t="n"/>
      <c r="AC202" s="268" t="n"/>
      <c r="AD202" s="268" t="n"/>
      <c r="AE202" s="268" t="n"/>
      <c r="AF202" s="268" t="n"/>
      <c r="AG202" s="268" t="n"/>
      <c r="AH202" s="268" t="n"/>
      <c r="AI202" s="268" t="n"/>
      <c r="AJ202" s="268" t="n"/>
      <c r="AK202" s="268" t="n"/>
      <c r="AL202" s="268" t="n"/>
      <c r="AM202" s="268" t="n"/>
      <c r="AN202" s="268" t="n"/>
      <c r="AO202" s="268" t="n"/>
      <c r="AP202" s="268" t="n"/>
      <c r="AQ202" s="268" t="n"/>
      <c r="AR202" s="268" t="n"/>
      <c r="AS202" s="268" t="n"/>
      <c r="AT202" s="268" t="n"/>
      <c r="AU202" s="268" t="n"/>
      <c r="AV202" s="268" t="n"/>
      <c r="AW202" s="268" t="n"/>
      <c r="AX202" s="268" t="n"/>
      <c r="AY202" s="268" t="n"/>
      <c r="AZ202" s="268" t="n"/>
      <c r="BA202" s="268" t="n"/>
      <c r="BB202" s="268" t="n"/>
      <c r="BC202" s="268" t="n"/>
      <c r="BD202" s="268" t="n"/>
      <c r="BE202" s="268" t="n"/>
      <c r="BF202" s="268" t="n"/>
      <c r="BG202" s="268" t="n"/>
      <c r="BH202" s="268" t="n"/>
      <c r="BI202" s="268" t="n"/>
      <c r="BJ202" s="268" t="n"/>
      <c r="BK202" s="268" t="n"/>
      <c r="BL202" s="268" t="n"/>
      <c r="BM202" s="268" t="n"/>
      <c r="BN202" s="268" t="n"/>
      <c r="BO202" s="268" t="n"/>
      <c r="BP202" s="268" t="n"/>
      <c r="BQ202" s="268" t="n"/>
      <c r="BR202" s="268" t="n"/>
      <c r="BS202" s="268" t="n"/>
      <c r="BT202" s="268" t="n"/>
      <c r="BU202" s="268" t="n"/>
      <c r="BV202" s="268" t="n"/>
      <c r="BW202" s="268" t="n"/>
      <c r="BX202" s="268" t="n"/>
      <c r="BY202" s="268" t="n"/>
      <c r="BZ202" s="268" t="n"/>
      <c r="CA202" s="268" t="n"/>
      <c r="CB202" s="268" t="n"/>
      <c r="CC202" s="268" t="n"/>
      <c r="CD202" s="268" t="n"/>
      <c r="CE202" s="268" t="n"/>
      <c r="CF202" s="268" t="n"/>
      <c r="CG202" s="268" t="n"/>
      <c r="CH202" s="268" t="n"/>
      <c r="CI202" s="268" t="n"/>
      <c r="CJ202" s="268" t="n"/>
      <c r="CK202" s="268" t="n"/>
      <c r="CL202" s="268" t="n"/>
      <c r="CM202" s="268" t="n"/>
      <c r="CN202" s="268" t="n"/>
      <c r="CO202" s="268" t="n"/>
      <c r="CP202" s="268" t="n"/>
      <c r="CQ202" s="268" t="n"/>
      <c r="CR202" s="268" t="n"/>
      <c r="CS202" s="268" t="n"/>
      <c r="CT202" s="268" t="n"/>
      <c r="CU202" s="268" t="n"/>
      <c r="CV202" s="268" t="n"/>
      <c r="CW202" s="268" t="n"/>
      <c r="CX202" s="268" t="n"/>
      <c r="CY202" s="268" t="n"/>
    </row>
    <row r="203" ht="12.75" customHeight="1" s="255">
      <c r="C203" s="270" t="inlineStr">
        <is>
          <t>Long term debt</t>
        </is>
      </c>
      <c r="D203" s="301">
        <f>INDEX('Inputs (2)'!$D$35:$AL$35,MATCH(D$7,'Inputs (2)'!$D$2:$AL$2,0))</f>
        <v>0</v>
      </c>
      <c r="E203" s="301">
        <f>INDEX('Inputs (2)'!$D$35:$AL$35,MATCH(E$7,'Inputs (2)'!$D$2:$AL$2,0))</f>
        <v>0</v>
      </c>
      <c r="F203" s="301">
        <f>INDEX('Inputs (2)'!$D$35:$AL$35,MATCH(F$7,'Inputs (2)'!$D$2:$AL$2,0))</f>
        <v>0</v>
      </c>
      <c r="G203" s="301">
        <f>INDEX('Inputs (2)'!$D$35:$AL$35,MATCH(G$7,'Inputs (2)'!$D$2:$AL$2,0))</f>
        <v>0</v>
      </c>
      <c r="H203" s="268">
        <f>G203</f>
        <v>0</v>
      </c>
      <c r="I203" s="301">
        <f>INDEX('Inputs (2)'!$D$35:$AL$35,MATCH(I$7,'Inputs (2)'!$D$2:$AL$2,0))</f>
        <v>0</v>
      </c>
      <c r="J203" s="301">
        <f>INDEX('Inputs (2)'!$D$35:$AL$35,MATCH(J$7,'Inputs (2)'!$D$2:$AL$2,0))</f>
        <v>0</v>
      </c>
      <c r="K203" s="301">
        <f>INDEX('Inputs (2)'!$D$35:$AL$35,MATCH(K$7,'Inputs (2)'!$D$2:$AL$2,0))</f>
        <v>0</v>
      </c>
      <c r="L203" s="301">
        <f>INDEX('Inputs (2)'!$D$35:$AL$35,MATCH(L$7,'Inputs (2)'!$D$2:$AL$2,0))</f>
        <v>0</v>
      </c>
      <c r="M203" s="268">
        <f>L203</f>
        <v>0</v>
      </c>
      <c r="N203" s="301">
        <f>INDEX('Inputs (2)'!$D$35:$AL$35,MATCH(N$7,'Inputs (2)'!$D$2:$AL$2,0))</f>
        <v>0</v>
      </c>
      <c r="O203" s="301">
        <f>INDEX('Inputs (2)'!$D$35:$AL$35,MATCH(O$7,'Inputs (2)'!$D$2:$AL$2,0))</f>
        <v>0</v>
      </c>
      <c r="P203" s="301">
        <f>INDEX('Inputs (2)'!$D$35:$AL$35,MATCH(P$7,'Inputs (2)'!$D$2:$AL$2,0))</f>
        <v>0</v>
      </c>
      <c r="Q203" s="301">
        <f>INDEX('Inputs (2)'!$D$35:$AL$35,MATCH(Q$7,'Inputs (2)'!$D$2:$AL$2,0))</f>
        <v>0</v>
      </c>
      <c r="R203" s="268">
        <f>Q203</f>
        <v>0</v>
      </c>
      <c r="S203" s="301">
        <f>INDEX('Inputs (2)'!$D$35:$AL$35,MATCH(S$7,'Inputs (2)'!$D$2:$AL$2,0))</f>
        <v>0</v>
      </c>
      <c r="T203" s="301">
        <f>INDEX('Inputs (2)'!$D$35:$AL$35,MATCH(T$7,'Inputs (2)'!$D$2:$AL$2,0))</f>
        <v>0</v>
      </c>
      <c r="U203" s="301">
        <f>INDEX('Inputs (2)'!$D$35:$AL$35,MATCH(U$7,'Inputs (2)'!$D$2:$AL$2,0))</f>
        <v>0</v>
      </c>
      <c r="V203" s="301">
        <f>INDEX('Inputs (2)'!$D$35:$AL$35,MATCH(V$7,'Inputs (2)'!$D$2:$AL$2,0))</f>
        <v>0</v>
      </c>
      <c r="W203" s="268">
        <f>V203</f>
        <v>0</v>
      </c>
      <c r="X203" s="301">
        <f>INDEX('Inputs (2)'!$D$35:$AL$35,MATCH(X$7,'Inputs (2)'!$D$2:$AL$2,0))</f>
        <v>0</v>
      </c>
      <c r="Y203" s="301">
        <f>INDEX('Inputs (2)'!$D$35:$AL$35,MATCH(Y$7,'Inputs (2)'!$D$2:$AL$2,0))</f>
        <v>0</v>
      </c>
      <c r="Z203" s="301">
        <f>INDEX('Inputs (2)'!$D$35:$AL$35,MATCH(Z$7,'Inputs (2)'!$D$2:$AL$2,0))</f>
        <v>0</v>
      </c>
      <c r="AA203" s="301">
        <f>INDEX('Inputs (2)'!$D$35:$AL$35,MATCH(AA$7,'Inputs (2)'!$D$2:$AL$2,0))</f>
        <v>5457.915</v>
      </c>
      <c r="AB203" s="268">
        <f>AA203</f>
        <v>5457.915</v>
      </c>
      <c r="AC203" s="301">
        <f>INDEX('Inputs (2)'!$D$35:$AL$35,MATCH(AC$7,'Inputs (2)'!$D$2:$AL$2,0))</f>
        <v>4935.071</v>
      </c>
      <c r="AD203" s="301">
        <f>INDEX('Inputs (2)'!$D$35:$AL$35,MATCH(AD$7,'Inputs (2)'!$D$2:$AL$2,0))</f>
        <v>7423.837</v>
      </c>
      <c r="AE203" s="301">
        <f>INDEX('Inputs (2)'!$D$35:$AL$35,MATCH(AE$7,'Inputs (2)'!$D$2:$AL$2,0))</f>
        <v>10322.757</v>
      </c>
      <c r="AF203" s="301">
        <f>INDEX('Inputs (2)'!$D$35:$AL$35,MATCH(AF$7,'Inputs (2)'!$D$2:$AL$2,0))</f>
        <v>14665</v>
      </c>
      <c r="AG203" s="268">
        <f>AF203</f>
        <v>14665</v>
      </c>
      <c r="AH203" s="268">
        <f>INDEX('Inputs (2)'!$D$35:$AL$35,MATCH(AH$7,'Inputs (2)'!$D$2:$AL$2,0))</f>
        <v>17312</v>
      </c>
      <c r="AI203" s="268">
        <f>INDEX('Inputs (2)'!$D$35:$AL$35,MATCH(AI$7,'Inputs (2)'!$D$2:$AL$2,0))</f>
        <v>0</v>
      </c>
      <c r="AJ203" s="268">
        <f>AJ209</f>
        <v>0</v>
      </c>
      <c r="AK203" s="268">
        <f>AK209</f>
        <v>0</v>
      </c>
      <c r="AL203" s="268">
        <f>AK203</f>
        <v>0</v>
      </c>
      <c r="AM203" s="268">
        <f>AM209</f>
        <v>0</v>
      </c>
      <c r="AN203" s="268">
        <f>AN209</f>
        <v>0</v>
      </c>
      <c r="AO203" s="268">
        <f>AO209</f>
        <v>0</v>
      </c>
      <c r="AP203" s="268">
        <f>AP209</f>
        <v>0</v>
      </c>
      <c r="AQ203" s="268">
        <f>AP203</f>
        <v>0</v>
      </c>
      <c r="AR203" s="268">
        <f>AR209</f>
        <v>0</v>
      </c>
      <c r="AS203" s="268">
        <f>AS209</f>
        <v>0</v>
      </c>
      <c r="AT203" s="268">
        <f>AT209</f>
        <v>0</v>
      </c>
      <c r="AU203" s="268">
        <f>AU209</f>
        <v>0</v>
      </c>
      <c r="AV203" s="268">
        <f>AU203</f>
        <v>0</v>
      </c>
      <c r="AW203" s="268">
        <f>AW209</f>
        <v>0</v>
      </c>
      <c r="AX203" s="268">
        <f>AX209</f>
        <v>0</v>
      </c>
      <c r="AY203" s="268">
        <f>AY209</f>
        <v>0</v>
      </c>
      <c r="AZ203" s="268">
        <f>AZ209</f>
        <v>0</v>
      </c>
      <c r="BA203" s="268">
        <f>AZ203</f>
        <v>0</v>
      </c>
      <c r="BB203" s="268">
        <f>BB209</f>
        <v>0</v>
      </c>
      <c r="BC203" s="268">
        <f>BC209</f>
        <v>0</v>
      </c>
      <c r="BD203" s="268">
        <f>BD209</f>
        <v>0</v>
      </c>
      <c r="BE203" s="268">
        <f>BE209</f>
        <v>0</v>
      </c>
      <c r="BF203" s="268">
        <f>BE203</f>
        <v>0</v>
      </c>
      <c r="BG203" s="268">
        <f>BG209</f>
        <v>0</v>
      </c>
      <c r="BH203" s="268">
        <f>BH209</f>
        <v>0</v>
      </c>
      <c r="BI203" s="268">
        <f>BI209</f>
        <v>0</v>
      </c>
      <c r="BJ203" s="268">
        <f>BJ209</f>
        <v>0</v>
      </c>
      <c r="BK203" s="268">
        <f>BJ203</f>
        <v>0</v>
      </c>
      <c r="BL203" s="268">
        <f>BL209</f>
        <v>0</v>
      </c>
      <c r="BM203" s="268">
        <f>BM209</f>
        <v>0</v>
      </c>
      <c r="BN203" s="268">
        <f>BN209</f>
        <v>0</v>
      </c>
      <c r="BO203" s="268">
        <f>BO209</f>
        <v>0</v>
      </c>
      <c r="BP203" s="268">
        <f>BO203</f>
        <v>0</v>
      </c>
      <c r="BQ203" s="268">
        <f>BQ209</f>
        <v>0</v>
      </c>
      <c r="BR203" s="268">
        <f>BR209</f>
        <v>0</v>
      </c>
      <c r="BS203" s="268">
        <f>BS209</f>
        <v>0</v>
      </c>
      <c r="BT203" s="268">
        <f>BT209</f>
        <v>0</v>
      </c>
      <c r="BU203" s="268">
        <f>BT203</f>
        <v>0</v>
      </c>
      <c r="BV203" s="268">
        <f>BV209</f>
        <v>0</v>
      </c>
      <c r="BW203" s="268">
        <f>BW209</f>
        <v>0</v>
      </c>
      <c r="BX203" s="268">
        <f>BX209</f>
        <v>0</v>
      </c>
      <c r="BY203" s="268">
        <f>BY209</f>
        <v>0</v>
      </c>
      <c r="BZ203" s="268">
        <f>BY203</f>
        <v>0</v>
      </c>
      <c r="CA203" s="268">
        <f>CA209</f>
        <v>0</v>
      </c>
      <c r="CB203" s="268">
        <f>CB209</f>
        <v>0</v>
      </c>
      <c r="CC203" s="268">
        <f>CC209</f>
        <v>0</v>
      </c>
      <c r="CD203" s="268">
        <f>CD209</f>
        <v>0</v>
      </c>
      <c r="CE203" s="268">
        <f>CD203</f>
        <v>0</v>
      </c>
      <c r="CF203" s="268">
        <f>CF209</f>
        <v>0</v>
      </c>
      <c r="CG203" s="268">
        <f>CG209</f>
        <v>0</v>
      </c>
      <c r="CH203" s="268">
        <f>CH209</f>
        <v>0</v>
      </c>
      <c r="CI203" s="268">
        <f>CI209</f>
        <v>0</v>
      </c>
      <c r="CJ203" s="268">
        <f>CI203</f>
        <v>0</v>
      </c>
      <c r="CK203" s="268">
        <f>CK209</f>
        <v>0</v>
      </c>
      <c r="CL203" s="268">
        <f>CL209</f>
        <v>0</v>
      </c>
      <c r="CM203" s="268">
        <f>CM209</f>
        <v>0</v>
      </c>
      <c r="CN203" s="268">
        <f>CN209</f>
        <v>0</v>
      </c>
      <c r="CO203" s="268">
        <f>CN203</f>
        <v>0</v>
      </c>
      <c r="CP203" s="268">
        <f>CP209</f>
        <v>0</v>
      </c>
      <c r="CQ203" s="268">
        <f>CQ209</f>
        <v>0</v>
      </c>
      <c r="CR203" s="268">
        <f>CR209</f>
        <v>0</v>
      </c>
      <c r="CS203" s="268">
        <f>CS209</f>
        <v>0</v>
      </c>
      <c r="CT203" s="268">
        <f>CS203</f>
        <v>0</v>
      </c>
      <c r="CU203" s="268">
        <f>CU209</f>
        <v>0</v>
      </c>
      <c r="CV203" s="268">
        <f>CV209</f>
        <v>0</v>
      </c>
      <c r="CW203" s="268">
        <f>CW209</f>
        <v>0</v>
      </c>
      <c r="CX203" s="268">
        <f>CX209</f>
        <v>0</v>
      </c>
      <c r="CY203" s="268">
        <f>CX203</f>
        <v>0</v>
      </c>
    </row>
    <row r="204" hidden="1" outlineLevel="1" ht="12.75" customHeight="1" s="255">
      <c r="C204" s="312" t="n"/>
      <c r="D204" s="268" t="n"/>
      <c r="E204" s="268" t="n"/>
      <c r="F204" s="268" t="n"/>
      <c r="G204" s="268" t="n"/>
      <c r="H204" s="268" t="n"/>
      <c r="I204" s="268" t="n"/>
      <c r="J204" s="268" t="n"/>
      <c r="K204" s="268" t="n"/>
      <c r="L204" s="268" t="n"/>
      <c r="M204" s="268" t="n"/>
      <c r="N204" s="268" t="n"/>
      <c r="O204" s="268" t="n"/>
      <c r="P204" s="268" t="n"/>
      <c r="Q204" s="268" t="n"/>
      <c r="R204" s="268" t="n"/>
      <c r="S204" s="268" t="n"/>
      <c r="T204" s="268" t="n"/>
      <c r="U204" s="268" t="n"/>
      <c r="V204" s="268" t="n"/>
      <c r="W204" s="268" t="n"/>
      <c r="X204" s="268" t="n"/>
      <c r="Y204" s="268" t="n"/>
      <c r="Z204" s="268" t="n"/>
      <c r="AA204" s="268" t="n"/>
      <c r="AB204" s="268" t="n"/>
      <c r="AC204" s="268" t="n"/>
      <c r="AD204" s="268" t="n"/>
      <c r="AE204" s="268" t="n"/>
      <c r="AF204" s="268" t="n"/>
      <c r="AG204" s="268" t="n"/>
      <c r="AH204" s="268" t="n"/>
      <c r="AI204" s="268" t="n"/>
      <c r="AJ204" s="268" t="n"/>
      <c r="AK204" s="268" t="n"/>
      <c r="AL204" s="268" t="n"/>
      <c r="AM204" s="268" t="n"/>
      <c r="AN204" s="268" t="n"/>
      <c r="AO204" s="268" t="n"/>
      <c r="AP204" s="268" t="n"/>
      <c r="AQ204" s="268" t="n"/>
      <c r="AR204" s="268" t="n"/>
      <c r="AS204" s="268" t="n"/>
      <c r="AT204" s="268" t="n"/>
      <c r="AU204" s="268" t="n"/>
      <c r="AV204" s="268" t="n"/>
      <c r="AW204" s="268" t="n"/>
      <c r="AX204" s="268" t="n"/>
      <c r="AY204" s="268" t="n"/>
      <c r="AZ204" s="268" t="n"/>
      <c r="BA204" s="268" t="n"/>
      <c r="BB204" s="268" t="n"/>
      <c r="BC204" s="268" t="n"/>
      <c r="BD204" s="268" t="n"/>
      <c r="BE204" s="268" t="n"/>
      <c r="BF204" s="268" t="n"/>
      <c r="BG204" s="268" t="n"/>
      <c r="BH204" s="268" t="n"/>
      <c r="BI204" s="268" t="n"/>
      <c r="BJ204" s="268" t="n"/>
      <c r="BK204" s="268" t="n"/>
      <c r="BL204" s="268" t="n"/>
      <c r="BM204" s="268" t="n"/>
      <c r="BN204" s="268" t="n"/>
      <c r="BO204" s="268" t="n"/>
      <c r="BP204" s="268" t="n"/>
      <c r="BQ204" s="268" t="n"/>
      <c r="BR204" s="268" t="n"/>
      <c r="BS204" s="268" t="n"/>
      <c r="BT204" s="268" t="n"/>
      <c r="BU204" s="268" t="n"/>
      <c r="BV204" s="268" t="n"/>
      <c r="BW204" s="268" t="n"/>
      <c r="BX204" s="268" t="n"/>
      <c r="BY204" s="268" t="n"/>
      <c r="BZ204" s="268" t="n"/>
      <c r="CA204" s="268" t="n"/>
      <c r="CB204" s="268" t="n"/>
      <c r="CC204" s="268" t="n"/>
      <c r="CD204" s="268" t="n"/>
      <c r="CE204" s="268" t="n"/>
      <c r="CF204" s="268" t="n"/>
      <c r="CG204" s="268" t="n"/>
      <c r="CH204" s="268" t="n"/>
      <c r="CI204" s="268" t="n"/>
      <c r="CJ204" s="268" t="n"/>
      <c r="CK204" s="268" t="n"/>
      <c r="CL204" s="268" t="n"/>
      <c r="CM204" s="268" t="n"/>
      <c r="CN204" s="268" t="n"/>
      <c r="CO204" s="268" t="n"/>
      <c r="CP204" s="268" t="n"/>
      <c r="CQ204" s="268" t="n"/>
      <c r="CR204" s="268" t="n"/>
      <c r="CS204" s="268" t="n"/>
      <c r="CT204" s="268" t="n"/>
      <c r="CU204" s="268" t="n"/>
      <c r="CV204" s="268" t="n"/>
      <c r="CW204" s="268" t="n"/>
      <c r="CX204" s="268" t="n"/>
      <c r="CY204" s="268" t="n"/>
    </row>
    <row r="205" hidden="1" outlineLevel="1" ht="12.75" customHeight="1" s="255">
      <c r="C205" s="312" t="inlineStr">
        <is>
          <t>Current portion of LTD</t>
        </is>
      </c>
      <c r="D205" s="268" t="n"/>
      <c r="E205" s="268" t="n"/>
      <c r="F205" s="268" t="n"/>
      <c r="G205" s="268" t="n"/>
      <c r="H205" s="268" t="n"/>
      <c r="I205" s="268" t="n"/>
      <c r="J205" s="268" t="n"/>
      <c r="K205" s="268" t="n"/>
      <c r="L205" s="268" t="n"/>
      <c r="M205" s="268" t="n"/>
      <c r="N205" s="268" t="n"/>
      <c r="O205" s="268" t="n"/>
      <c r="P205" s="268" t="n"/>
      <c r="Q205" s="268" t="n"/>
      <c r="R205" s="268" t="n"/>
      <c r="S205" s="268" t="n"/>
      <c r="T205" s="268" t="n"/>
      <c r="U205" s="268" t="n"/>
      <c r="V205" s="268" t="n"/>
      <c r="W205" s="268" t="n"/>
      <c r="X205" s="268" t="n"/>
      <c r="Y205" s="268" t="n"/>
      <c r="Z205" s="268" t="n"/>
      <c r="AA205" s="268" t="n"/>
      <c r="AB205" s="268" t="n"/>
      <c r="AC205" s="268" t="n"/>
      <c r="AD205" s="268" t="n"/>
      <c r="AE205" s="268" t="n"/>
      <c r="AF205" s="268" t="n"/>
      <c r="AG205" s="268" t="n"/>
      <c r="AH205" s="268">
        <f>AF198</f>
        <v>6708</v>
      </c>
      <c r="AI205" s="317" t="n"/>
      <c r="AJ205" s="317" t="n"/>
      <c r="AK205" s="317" t="n"/>
      <c r="AL205" s="268" t="n"/>
      <c r="AM205" s="268">
        <f>AK198</f>
        <v>0</v>
      </c>
      <c r="AN205" s="317" t="n"/>
      <c r="AO205" s="317" t="n"/>
      <c r="AP205" s="317" t="n"/>
      <c r="AQ205" s="268" t="n"/>
      <c r="AR205" s="268">
        <f>AP198</f>
        <v>0</v>
      </c>
      <c r="AS205" s="317" t="n"/>
      <c r="AT205" s="317" t="n"/>
      <c r="AU205" s="317" t="n"/>
      <c r="AV205" s="268" t="n"/>
      <c r="AW205" s="268">
        <f>AU198</f>
        <v>0</v>
      </c>
      <c r="AX205" s="317" t="n"/>
      <c r="AY205" s="317" t="n"/>
      <c r="AZ205" s="317" t="n"/>
      <c r="BA205" s="268" t="n"/>
      <c r="BB205" s="268">
        <f>AZ198</f>
        <v>0</v>
      </c>
      <c r="BC205" s="317" t="n"/>
      <c r="BD205" s="317" t="n"/>
      <c r="BE205" s="317" t="n"/>
      <c r="BF205" s="268" t="n"/>
      <c r="BG205" s="268">
        <f>BE198</f>
        <v>0</v>
      </c>
      <c r="BH205" s="317" t="n"/>
      <c r="BI205" s="317" t="n"/>
      <c r="BJ205" s="317" t="n"/>
      <c r="BK205" s="268" t="n"/>
      <c r="BL205" s="268">
        <f>BJ198</f>
        <v>0</v>
      </c>
      <c r="BM205" s="317" t="n"/>
      <c r="BN205" s="317" t="n"/>
      <c r="BO205" s="317" t="n"/>
      <c r="BP205" s="268" t="n"/>
      <c r="BQ205" s="268">
        <f>BO198</f>
        <v>0</v>
      </c>
      <c r="BR205" s="317" t="n"/>
      <c r="BS205" s="317" t="n"/>
      <c r="BT205" s="317" t="n"/>
      <c r="BU205" s="268" t="n"/>
      <c r="BV205" s="268">
        <f>BT198</f>
        <v>0</v>
      </c>
      <c r="BW205" s="317" t="n"/>
      <c r="BX205" s="317" t="n"/>
      <c r="BY205" s="317" t="n"/>
      <c r="BZ205" s="268" t="n"/>
      <c r="CA205" s="268">
        <f>BY198</f>
        <v>0</v>
      </c>
      <c r="CB205" s="317" t="n"/>
      <c r="CC205" s="317" t="n"/>
      <c r="CD205" s="317" t="n"/>
      <c r="CE205" s="268" t="n"/>
      <c r="CF205" s="268">
        <f>CD198</f>
        <v>0</v>
      </c>
      <c r="CG205" s="317" t="n"/>
      <c r="CH205" s="317" t="n"/>
      <c r="CI205" s="317" t="n"/>
      <c r="CJ205" s="268" t="n"/>
      <c r="CK205" s="268">
        <f>CI198</f>
        <v>0</v>
      </c>
      <c r="CL205" s="317" t="n"/>
      <c r="CM205" s="317" t="n"/>
      <c r="CN205" s="317" t="n"/>
      <c r="CO205" s="268" t="n"/>
      <c r="CP205" s="268">
        <f>CN198</f>
        <v>0</v>
      </c>
      <c r="CQ205" s="317" t="n"/>
      <c r="CR205" s="317" t="n"/>
      <c r="CS205" s="317" t="n"/>
      <c r="CT205" s="268" t="n"/>
      <c r="CU205" s="268">
        <f>CS198</f>
        <v>0</v>
      </c>
      <c r="CV205" s="317" t="n"/>
      <c r="CW205" s="317" t="n"/>
      <c r="CX205" s="317" t="n"/>
      <c r="CY205" s="268" t="n"/>
    </row>
    <row r="206" hidden="1" outlineLevel="1" ht="12.75" customHeight="1" s="255">
      <c r="C206" s="312" t="n"/>
      <c r="D206" s="268" t="n"/>
      <c r="E206" s="268" t="n"/>
      <c r="F206" s="268" t="n"/>
      <c r="G206" s="268" t="n"/>
      <c r="H206" s="268" t="n"/>
      <c r="I206" s="268" t="n"/>
      <c r="J206" s="268" t="n"/>
      <c r="K206" s="268" t="n"/>
      <c r="L206" s="268" t="n"/>
      <c r="M206" s="268" t="n"/>
      <c r="N206" s="268" t="n"/>
      <c r="O206" s="268" t="n"/>
      <c r="P206" s="268" t="n"/>
      <c r="Q206" s="268" t="n"/>
      <c r="R206" s="268" t="n"/>
      <c r="S206" s="268" t="n"/>
      <c r="T206" s="268" t="n"/>
      <c r="U206" s="268" t="n"/>
      <c r="V206" s="268" t="n"/>
      <c r="W206" s="268" t="n"/>
      <c r="X206" s="268" t="n"/>
      <c r="Y206" s="268" t="n"/>
      <c r="Z206" s="268" t="n"/>
      <c r="AA206" s="268" t="n"/>
      <c r="AB206" s="268" t="n"/>
      <c r="AC206" s="268" t="n"/>
      <c r="AD206" s="268" t="n"/>
      <c r="AE206" s="268" t="n"/>
      <c r="AF206" s="268" t="n"/>
      <c r="AG206" s="268" t="n"/>
      <c r="AH206" s="268" t="n"/>
      <c r="AI206" s="268" t="n"/>
      <c r="AJ206" s="268" t="n"/>
      <c r="AK206" s="268" t="n"/>
      <c r="AL206" s="268" t="n"/>
      <c r="AM206" s="268" t="n"/>
      <c r="AN206" s="268" t="n"/>
      <c r="AO206" s="268" t="n"/>
      <c r="AP206" s="268" t="n"/>
      <c r="AQ206" s="268" t="n"/>
      <c r="AR206" s="268" t="n"/>
      <c r="AS206" s="268" t="n"/>
      <c r="AT206" s="268" t="n"/>
      <c r="AU206" s="268" t="n"/>
      <c r="AV206" s="268" t="n"/>
      <c r="AW206" s="268" t="n"/>
      <c r="AX206" s="268" t="n"/>
      <c r="AY206" s="268" t="n"/>
      <c r="AZ206" s="268" t="n"/>
      <c r="BA206" s="268" t="n"/>
      <c r="BB206" s="268" t="n"/>
      <c r="BC206" s="268" t="n"/>
      <c r="BD206" s="268" t="n"/>
      <c r="BE206" s="268" t="n"/>
      <c r="BF206" s="268" t="n"/>
      <c r="BG206" s="268" t="n"/>
      <c r="BH206" s="268" t="n"/>
      <c r="BI206" s="268" t="n"/>
      <c r="BJ206" s="268" t="n"/>
      <c r="BK206" s="268" t="n"/>
      <c r="BL206" s="268" t="n"/>
      <c r="BM206" s="268" t="n"/>
      <c r="BN206" s="268" t="n"/>
      <c r="BO206" s="268" t="n"/>
      <c r="BP206" s="268" t="n"/>
      <c r="BQ206" s="268" t="n"/>
      <c r="BR206" s="268" t="n"/>
      <c r="BS206" s="268" t="n"/>
      <c r="BT206" s="268" t="n"/>
      <c r="BU206" s="268" t="n"/>
      <c r="BV206" s="268" t="n"/>
      <c r="BW206" s="268" t="n"/>
      <c r="BX206" s="268" t="n"/>
      <c r="BY206" s="268" t="n"/>
      <c r="BZ206" s="268" t="n"/>
      <c r="CA206" s="268" t="n"/>
      <c r="CB206" s="268" t="n"/>
      <c r="CC206" s="268" t="n"/>
      <c r="CD206" s="268" t="n"/>
      <c r="CE206" s="268" t="n"/>
      <c r="CF206" s="268" t="n"/>
      <c r="CG206" s="268" t="n"/>
      <c r="CH206" s="268" t="n"/>
      <c r="CI206" s="268" t="n"/>
      <c r="CJ206" s="268" t="n"/>
      <c r="CK206" s="268" t="n"/>
      <c r="CL206" s="268" t="n"/>
      <c r="CM206" s="268" t="n"/>
      <c r="CN206" s="268" t="n"/>
      <c r="CO206" s="268" t="n"/>
      <c r="CP206" s="268" t="n"/>
      <c r="CQ206" s="268" t="n"/>
      <c r="CR206" s="268" t="n"/>
      <c r="CS206" s="268" t="n"/>
      <c r="CT206" s="268" t="n"/>
      <c r="CU206" s="268" t="n"/>
      <c r="CV206" s="268" t="n"/>
      <c r="CW206" s="268" t="n"/>
      <c r="CX206" s="268" t="n"/>
      <c r="CY206" s="268" t="n"/>
    </row>
    <row r="207" hidden="1" outlineLevel="1" ht="12.75" customHeight="1" s="255">
      <c r="C207" s="312" t="inlineStr">
        <is>
          <t>Reclassification of LTD to CP of LTD</t>
        </is>
      </c>
      <c r="D207" s="268" t="n"/>
      <c r="E207" s="268" t="n"/>
      <c r="F207" s="268" t="n"/>
      <c r="G207" s="268" t="n"/>
      <c r="H207" s="268" t="n"/>
      <c r="I207" s="268" t="n"/>
      <c r="J207" s="268" t="n"/>
      <c r="K207" s="268" t="n"/>
      <c r="L207" s="268" t="n"/>
      <c r="M207" s="268" t="n"/>
      <c r="N207" s="268" t="n"/>
      <c r="O207" s="268" t="n"/>
      <c r="P207" s="268" t="n"/>
      <c r="Q207" s="268" t="n"/>
      <c r="R207" s="268" t="n"/>
      <c r="S207" s="268" t="n"/>
      <c r="T207" s="268" t="n"/>
      <c r="U207" s="268" t="n"/>
      <c r="V207" s="268" t="n"/>
      <c r="W207" s="268" t="n"/>
      <c r="X207" s="268" t="n"/>
      <c r="Y207" s="268" t="n"/>
      <c r="Z207" s="268" t="n"/>
      <c r="AA207" s="268" t="n"/>
      <c r="AB207" s="268" t="n"/>
      <c r="AC207" s="268" t="n"/>
      <c r="AD207" s="268" t="n"/>
      <c r="AE207" s="268" t="n"/>
      <c r="AF207" s="268" t="n"/>
      <c r="AG207" s="268" t="n"/>
      <c r="AH207" s="268" t="n"/>
      <c r="AI207" s="268">
        <f>-AI205</f>
        <v>0</v>
      </c>
      <c r="AJ207" s="268">
        <f>-AJ205</f>
        <v>0</v>
      </c>
      <c r="AK207" s="268">
        <f>-AK205</f>
        <v>0</v>
      </c>
      <c r="AL207" s="268" t="n"/>
      <c r="AM207" s="268" t="n"/>
      <c r="AN207" s="268">
        <f>-AN205</f>
        <v>0</v>
      </c>
      <c r="AO207" s="268">
        <f>-AO205</f>
        <v>0</v>
      </c>
      <c r="AP207" s="268">
        <f>-AP205</f>
        <v>0</v>
      </c>
      <c r="AQ207" s="268" t="n"/>
      <c r="AR207" s="268" t="n"/>
      <c r="AS207" s="268">
        <f>-AS205</f>
        <v>0</v>
      </c>
      <c r="AT207" s="268">
        <f>-AT205</f>
        <v>0</v>
      </c>
      <c r="AU207" s="268">
        <f>-AU205</f>
        <v>0</v>
      </c>
      <c r="AV207" s="268" t="n"/>
      <c r="AW207" s="268" t="n"/>
      <c r="AX207" s="268">
        <f>-AX205</f>
        <v>0</v>
      </c>
      <c r="AY207" s="268">
        <f>-AY205</f>
        <v>0</v>
      </c>
      <c r="AZ207" s="268">
        <f>-AZ205</f>
        <v>0</v>
      </c>
      <c r="BA207" s="268" t="n"/>
      <c r="BB207" s="268" t="n"/>
      <c r="BC207" s="268">
        <f>-BC205</f>
        <v>0</v>
      </c>
      <c r="BD207" s="268">
        <f>-BD205</f>
        <v>0</v>
      </c>
      <c r="BE207" s="268">
        <f>-BE205</f>
        <v>0</v>
      </c>
      <c r="BF207" s="268" t="n"/>
      <c r="BG207" s="268" t="n"/>
      <c r="BH207" s="268">
        <f>-BH205</f>
        <v>0</v>
      </c>
      <c r="BI207" s="268">
        <f>-BI205</f>
        <v>0</v>
      </c>
      <c r="BJ207" s="268">
        <f>-BJ205</f>
        <v>0</v>
      </c>
      <c r="BK207" s="268" t="n"/>
      <c r="BL207" s="268" t="n"/>
      <c r="BM207" s="268">
        <f>-BM205</f>
        <v>0</v>
      </c>
      <c r="BN207" s="268">
        <f>-BN205</f>
        <v>0</v>
      </c>
      <c r="BO207" s="268">
        <f>-BO205</f>
        <v>0</v>
      </c>
      <c r="BP207" s="268" t="n"/>
      <c r="BQ207" s="268" t="n"/>
      <c r="BR207" s="268">
        <f>-BR205</f>
        <v>0</v>
      </c>
      <c r="BS207" s="268">
        <f>-BS205</f>
        <v>0</v>
      </c>
      <c r="BT207" s="268">
        <f>-BT205</f>
        <v>0</v>
      </c>
      <c r="BU207" s="268" t="n"/>
      <c r="BV207" s="268" t="n"/>
      <c r="BW207" s="268">
        <f>-BW205</f>
        <v>0</v>
      </c>
      <c r="BX207" s="268">
        <f>-BX205</f>
        <v>0</v>
      </c>
      <c r="BY207" s="268">
        <f>-BY205</f>
        <v>0</v>
      </c>
      <c r="BZ207" s="268" t="n"/>
      <c r="CA207" s="268" t="n"/>
      <c r="CB207" s="268">
        <f>-CB205</f>
        <v>0</v>
      </c>
      <c r="CC207" s="268">
        <f>-CC205</f>
        <v>0</v>
      </c>
      <c r="CD207" s="268">
        <f>-CD205</f>
        <v>0</v>
      </c>
      <c r="CE207" s="268" t="n"/>
      <c r="CF207" s="268" t="n"/>
      <c r="CG207" s="268">
        <f>-CG205</f>
        <v>0</v>
      </c>
      <c r="CH207" s="268">
        <f>-CH205</f>
        <v>0</v>
      </c>
      <c r="CI207" s="268">
        <f>-CI205</f>
        <v>0</v>
      </c>
      <c r="CJ207" s="268" t="n"/>
      <c r="CK207" s="268" t="n"/>
      <c r="CL207" s="268">
        <f>-CL205</f>
        <v>0</v>
      </c>
      <c r="CM207" s="268">
        <f>-CM205</f>
        <v>0</v>
      </c>
      <c r="CN207" s="268">
        <f>-CN205</f>
        <v>0</v>
      </c>
      <c r="CO207" s="268" t="n"/>
      <c r="CP207" s="268" t="n"/>
      <c r="CQ207" s="268">
        <f>-CQ205</f>
        <v>0</v>
      </c>
      <c r="CR207" s="268">
        <f>-CR205</f>
        <v>0</v>
      </c>
      <c r="CS207" s="268">
        <f>-CS205</f>
        <v>0</v>
      </c>
      <c r="CT207" s="268" t="n"/>
      <c r="CU207" s="268" t="n"/>
      <c r="CV207" s="268">
        <f>-CV205</f>
        <v>0</v>
      </c>
      <c r="CW207" s="268">
        <f>-CW205</f>
        <v>0</v>
      </c>
      <c r="CX207" s="268">
        <f>-CX205</f>
        <v>0</v>
      </c>
      <c r="CY207" s="268" t="n"/>
    </row>
    <row r="208" hidden="1" outlineLevel="1" ht="12.75" customHeight="1" s="255">
      <c r="C208" s="312" t="inlineStr">
        <is>
          <t>Discretionary (paydown)/borrowing of long term debt</t>
        </is>
      </c>
      <c r="D208" s="268" t="n"/>
      <c r="E208" s="268" t="n"/>
      <c r="F208" s="268" t="n"/>
      <c r="G208" s="268" t="n"/>
      <c r="H208" s="268" t="n"/>
      <c r="I208" s="268" t="n"/>
      <c r="J208" s="268" t="n"/>
      <c r="K208" s="268" t="n"/>
      <c r="L208" s="268" t="n"/>
      <c r="M208" s="268" t="n"/>
      <c r="N208" s="268" t="n"/>
      <c r="O208" s="268" t="n"/>
      <c r="P208" s="268" t="n"/>
      <c r="Q208" s="268" t="n"/>
      <c r="R208" s="268" t="n"/>
      <c r="S208" s="268" t="n"/>
      <c r="T208" s="268" t="n"/>
      <c r="U208" s="268" t="n"/>
      <c r="V208" s="268" t="n"/>
      <c r="W208" s="268" t="n"/>
      <c r="X208" s="268" t="n"/>
      <c r="Y208" s="268" t="n"/>
      <c r="Z208" s="268" t="n"/>
      <c r="AA208" s="268" t="n"/>
      <c r="AB208" s="268" t="n"/>
      <c r="AC208" s="268" t="n"/>
      <c r="AD208" s="268" t="n"/>
      <c r="AE208" s="268" t="n"/>
      <c r="AF208" s="268" t="n"/>
      <c r="AG208" s="268" t="n"/>
      <c r="AH208" s="317" t="n"/>
      <c r="AI208" s="317" t="n"/>
      <c r="AJ208" s="317" t="n"/>
      <c r="AK208" s="317" t="n"/>
      <c r="AL208" s="268" t="n"/>
      <c r="AM208" s="317" t="n"/>
      <c r="AN208" s="317" t="n"/>
      <c r="AO208" s="317" t="n"/>
      <c r="AP208" s="317" t="n"/>
      <c r="AQ208" s="268" t="n"/>
      <c r="AR208" s="317" t="n"/>
      <c r="AS208" s="317" t="n"/>
      <c r="AT208" s="317" t="n"/>
      <c r="AU208" s="317" t="n"/>
      <c r="AV208" s="268" t="n"/>
      <c r="AW208" s="317" t="n"/>
      <c r="AX208" s="317" t="n"/>
      <c r="AY208" s="317" t="n"/>
      <c r="AZ208" s="317" t="n"/>
      <c r="BA208" s="268" t="n"/>
      <c r="BB208" s="317" t="n"/>
      <c r="BC208" s="317" t="n"/>
      <c r="BD208" s="317" t="n"/>
      <c r="BE208" s="317" t="n"/>
      <c r="BF208" s="268" t="n"/>
      <c r="BG208" s="317" t="n"/>
      <c r="BH208" s="317" t="n"/>
      <c r="BI208" s="317" t="n"/>
      <c r="BJ208" s="317" t="n"/>
      <c r="BK208" s="268" t="n"/>
      <c r="BL208" s="317" t="n"/>
      <c r="BM208" s="317" t="n"/>
      <c r="BN208" s="317" t="n"/>
      <c r="BO208" s="317" t="n"/>
      <c r="BP208" s="268" t="n"/>
      <c r="BQ208" s="317" t="n"/>
      <c r="BR208" s="317" t="n"/>
      <c r="BS208" s="317" t="n"/>
      <c r="BT208" s="317" t="n"/>
      <c r="BU208" s="268" t="n"/>
      <c r="BV208" s="317" t="n"/>
      <c r="BW208" s="317" t="n"/>
      <c r="BX208" s="317" t="n"/>
      <c r="BY208" s="317" t="n"/>
      <c r="BZ208" s="268" t="n"/>
      <c r="CA208" s="317" t="n"/>
      <c r="CB208" s="317" t="n"/>
      <c r="CC208" s="317" t="n"/>
      <c r="CD208" s="317" t="n"/>
      <c r="CE208" s="268" t="n"/>
      <c r="CF208" s="317" t="n"/>
      <c r="CG208" s="317" t="n"/>
      <c r="CH208" s="317" t="n"/>
      <c r="CI208" s="317" t="n"/>
      <c r="CJ208" s="268" t="n"/>
      <c r="CK208" s="317" t="n"/>
      <c r="CL208" s="317" t="n"/>
      <c r="CM208" s="317" t="n"/>
      <c r="CN208" s="317" t="n"/>
      <c r="CO208" s="268" t="n"/>
      <c r="CP208" s="317" t="n"/>
      <c r="CQ208" s="317" t="n"/>
      <c r="CR208" s="317" t="n"/>
      <c r="CS208" s="317" t="n"/>
      <c r="CT208" s="268" t="n"/>
      <c r="CU208" s="317" t="n"/>
      <c r="CV208" s="317" t="n"/>
      <c r="CW208" s="317" t="n"/>
      <c r="CX208" s="317" t="n"/>
      <c r="CY208" s="268" t="n"/>
    </row>
    <row r="209" hidden="1" outlineLevel="1" ht="12.75" customHeight="1" s="255">
      <c r="C209" s="312" t="inlineStr">
        <is>
          <t>Long term debt</t>
        </is>
      </c>
      <c r="D209" s="268" t="n"/>
      <c r="E209" s="268" t="n"/>
      <c r="F209" s="268" t="n"/>
      <c r="G209" s="268" t="n"/>
      <c r="H209" s="268" t="n"/>
      <c r="I209" s="268" t="n"/>
      <c r="J209" s="268" t="n"/>
      <c r="K209" s="268" t="n"/>
      <c r="L209" s="268" t="n"/>
      <c r="M209" s="268" t="n"/>
      <c r="N209" s="268" t="n"/>
      <c r="O209" s="268" t="n"/>
      <c r="P209" s="268" t="n"/>
      <c r="Q209" s="268" t="n"/>
      <c r="R209" s="268" t="n"/>
      <c r="S209" s="268" t="n"/>
      <c r="T209" s="268" t="n"/>
      <c r="U209" s="268" t="n"/>
      <c r="V209" s="268" t="n"/>
      <c r="W209" s="268" t="n"/>
      <c r="X209" s="268" t="n"/>
      <c r="Y209" s="268" t="n"/>
      <c r="Z209" s="268" t="n"/>
      <c r="AA209" s="268" t="n"/>
      <c r="AB209" s="268" t="n"/>
      <c r="AC209" s="268" t="n"/>
      <c r="AD209" s="268" t="n"/>
      <c r="AE209" s="268" t="n"/>
      <c r="AF209" s="268" t="n"/>
      <c r="AG209" s="268" t="n"/>
      <c r="AH209" s="268">
        <f>AF203+SUM(AH207:AH208)</f>
        <v>14665</v>
      </c>
      <c r="AI209" s="268">
        <f>AH209+SUM(AI207:AI208)</f>
        <v>14665</v>
      </c>
      <c r="AJ209" s="268">
        <f>AI203+SUM(AJ207:AJ208)</f>
        <v>0</v>
      </c>
      <c r="AK209" s="268">
        <f>AJ209+SUM(AK207:AK208)</f>
        <v>0</v>
      </c>
      <c r="AL209" s="268" t="n"/>
      <c r="AM209" s="268">
        <f>AK209+SUM(AM207:AM208)</f>
        <v>0</v>
      </c>
      <c r="AN209" s="268">
        <f>AM209+SUM(AN207:AN208)</f>
        <v>0</v>
      </c>
      <c r="AO209" s="268">
        <f>AN209+SUM(AO207:AO208)</f>
        <v>0</v>
      </c>
      <c r="AP209" s="268">
        <f>AO209+SUM(AP207:AP208)</f>
        <v>0</v>
      </c>
      <c r="AQ209" s="268" t="n"/>
      <c r="AR209" s="268">
        <f>AP209+SUM(AR207:AR208)</f>
        <v>0</v>
      </c>
      <c r="AS209" s="268">
        <f>AR209+SUM(AS207:AS208)</f>
        <v>0</v>
      </c>
      <c r="AT209" s="268">
        <f>AS209+SUM(AT207:AT208)</f>
        <v>0</v>
      </c>
      <c r="AU209" s="268">
        <f>AT209+SUM(AU207:AU208)</f>
        <v>0</v>
      </c>
      <c r="AV209" s="268" t="n"/>
      <c r="AW209" s="268">
        <f>AU209+SUM(AW207:AW208)</f>
        <v>0</v>
      </c>
      <c r="AX209" s="268">
        <f>AW209+SUM(AX207:AX208)</f>
        <v>0</v>
      </c>
      <c r="AY209" s="268">
        <f>AX209+SUM(AY207:AY208)</f>
        <v>0</v>
      </c>
      <c r="AZ209" s="268">
        <f>AY209+SUM(AZ207:AZ208)</f>
        <v>0</v>
      </c>
      <c r="BA209" s="268" t="n"/>
      <c r="BB209" s="268">
        <f>AZ209+SUM(BB207:BB208)</f>
        <v>0</v>
      </c>
      <c r="BC209" s="268">
        <f>BB209+SUM(BC207:BC208)</f>
        <v>0</v>
      </c>
      <c r="BD209" s="268">
        <f>BC209+SUM(BD207:BD208)</f>
        <v>0</v>
      </c>
      <c r="BE209" s="268">
        <f>BD209+SUM(BE207:BE208)</f>
        <v>0</v>
      </c>
      <c r="BF209" s="268" t="n"/>
      <c r="BG209" s="268">
        <f>BE209+SUM(BG207:BG208)</f>
        <v>0</v>
      </c>
      <c r="BH209" s="268">
        <f>BG209+SUM(BH207:BH208)</f>
        <v>0</v>
      </c>
      <c r="BI209" s="268">
        <f>BH209+SUM(BI207:BI208)</f>
        <v>0</v>
      </c>
      <c r="BJ209" s="268">
        <f>BI209+SUM(BJ207:BJ208)</f>
        <v>0</v>
      </c>
      <c r="BK209" s="268" t="n"/>
      <c r="BL209" s="268">
        <f>BJ209+SUM(BL207:BL208)</f>
        <v>0</v>
      </c>
      <c r="BM209" s="268">
        <f>BL209+SUM(BM207:BM208)</f>
        <v>0</v>
      </c>
      <c r="BN209" s="268">
        <f>BM209+SUM(BN207:BN208)</f>
        <v>0</v>
      </c>
      <c r="BO209" s="268">
        <f>BN209+SUM(BO207:BO208)</f>
        <v>0</v>
      </c>
      <c r="BP209" s="268" t="n"/>
      <c r="BQ209" s="268">
        <f>BO209+SUM(BQ207:BQ208)</f>
        <v>0</v>
      </c>
      <c r="BR209" s="268">
        <f>BQ209+SUM(BR207:BR208)</f>
        <v>0</v>
      </c>
      <c r="BS209" s="268">
        <f>BR209+SUM(BS207:BS208)</f>
        <v>0</v>
      </c>
      <c r="BT209" s="268">
        <f>BS209+SUM(BT207:BT208)</f>
        <v>0</v>
      </c>
      <c r="BU209" s="268" t="n"/>
      <c r="BV209" s="268">
        <f>BT209+SUM(BV207:BV208)</f>
        <v>0</v>
      </c>
      <c r="BW209" s="268">
        <f>BV209+SUM(BW207:BW208)</f>
        <v>0</v>
      </c>
      <c r="BX209" s="268">
        <f>BW209+SUM(BX207:BX208)</f>
        <v>0</v>
      </c>
      <c r="BY209" s="268">
        <f>BX209+SUM(BY207:BY208)</f>
        <v>0</v>
      </c>
      <c r="BZ209" s="268" t="n"/>
      <c r="CA209" s="268">
        <f>BY209+SUM(CA207:CA208)</f>
        <v>0</v>
      </c>
      <c r="CB209" s="268">
        <f>CA209+SUM(CB207:CB208)</f>
        <v>0</v>
      </c>
      <c r="CC209" s="268">
        <f>CB209+SUM(CC207:CC208)</f>
        <v>0</v>
      </c>
      <c r="CD209" s="268">
        <f>CC209+SUM(CD207:CD208)</f>
        <v>0</v>
      </c>
      <c r="CE209" s="268" t="n"/>
      <c r="CF209" s="268">
        <f>CD209+SUM(CF207:CF208)</f>
        <v>0</v>
      </c>
      <c r="CG209" s="268">
        <f>CF209+SUM(CG207:CG208)</f>
        <v>0</v>
      </c>
      <c r="CH209" s="268">
        <f>CG209+SUM(CH207:CH208)</f>
        <v>0</v>
      </c>
      <c r="CI209" s="268">
        <f>CH209+SUM(CI207:CI208)</f>
        <v>0</v>
      </c>
      <c r="CJ209" s="268" t="n"/>
      <c r="CK209" s="268">
        <f>CI209+SUM(CK207:CK208)</f>
        <v>0</v>
      </c>
      <c r="CL209" s="268">
        <f>CK209+SUM(CL207:CL208)</f>
        <v>0</v>
      </c>
      <c r="CM209" s="268">
        <f>CL209+SUM(CM207:CM208)</f>
        <v>0</v>
      </c>
      <c r="CN209" s="268">
        <f>CM209+SUM(CN207:CN208)</f>
        <v>0</v>
      </c>
      <c r="CO209" s="268" t="n"/>
      <c r="CP209" s="268">
        <f>CN209+SUM(CP207:CP208)</f>
        <v>0</v>
      </c>
      <c r="CQ209" s="268">
        <f>CP209+SUM(CQ207:CQ208)</f>
        <v>0</v>
      </c>
      <c r="CR209" s="268">
        <f>CQ209+SUM(CR207:CR208)</f>
        <v>0</v>
      </c>
      <c r="CS209" s="268">
        <f>CR209+SUM(CS207:CS208)</f>
        <v>0</v>
      </c>
      <c r="CT209" s="268" t="n"/>
      <c r="CU209" s="268">
        <f>CS209+SUM(CU207:CU208)</f>
        <v>0</v>
      </c>
      <c r="CV209" s="268">
        <f>CU209+SUM(CV207:CV208)</f>
        <v>0</v>
      </c>
      <c r="CW209" s="268">
        <f>CV209+SUM(CW207:CW208)</f>
        <v>0</v>
      </c>
      <c r="CX209" s="268">
        <f>CW209+SUM(CX207:CX208)</f>
        <v>0</v>
      </c>
      <c r="CY209" s="268" t="n"/>
      <c r="CZ209" s="260">
        <f>CX209+SUM(CZ207:CZ208)</f>
        <v>0</v>
      </c>
      <c r="DA209" s="260">
        <f>CZ209+SUM(DA207:DA208)</f>
        <v>0</v>
      </c>
      <c r="DB209" s="260">
        <f>DA209+SUM(DB207:DB208)</f>
        <v>0</v>
      </c>
      <c r="DC209" s="260">
        <f>DB209+SUM(DC207:DC208)</f>
        <v>0</v>
      </c>
    </row>
    <row r="210" hidden="1" outlineLevel="1" ht="12.75" customHeight="1" s="255">
      <c r="C210" s="312" t="n"/>
      <c r="D210" s="268" t="n"/>
      <c r="E210" s="268" t="n"/>
      <c r="F210" s="268" t="n"/>
      <c r="G210" s="268" t="n"/>
      <c r="H210" s="268" t="n"/>
      <c r="I210" s="268" t="n"/>
      <c r="J210" s="268" t="n"/>
      <c r="K210" s="268" t="n"/>
      <c r="L210" s="268" t="n"/>
      <c r="M210" s="268" t="n"/>
      <c r="N210" s="268" t="n"/>
      <c r="O210" s="268" t="n"/>
      <c r="P210" s="268" t="n"/>
      <c r="Q210" s="268" t="n"/>
      <c r="R210" s="268" t="n"/>
      <c r="S210" s="268" t="n"/>
      <c r="T210" s="268" t="n"/>
      <c r="U210" s="268" t="n"/>
      <c r="V210" s="268" t="n"/>
      <c r="W210" s="268" t="n"/>
      <c r="X210" s="268" t="n"/>
      <c r="Y210" s="268" t="n"/>
      <c r="Z210" s="268" t="n"/>
      <c r="AA210" s="268" t="n"/>
      <c r="AB210" s="268" t="n"/>
      <c r="AC210" s="268" t="n"/>
      <c r="AD210" s="268" t="n"/>
      <c r="AE210" s="268" t="n"/>
      <c r="AF210" s="268" t="n"/>
      <c r="AG210" s="268" t="n"/>
      <c r="AH210" s="268" t="n"/>
      <c r="AI210" s="268" t="n"/>
      <c r="AJ210" s="268" t="n"/>
      <c r="AK210" s="268" t="n"/>
      <c r="AL210" s="268" t="n"/>
      <c r="AM210" s="268" t="n"/>
      <c r="AN210" s="268" t="n"/>
      <c r="AO210" s="268" t="n"/>
      <c r="AP210" s="268" t="n"/>
      <c r="AQ210" s="268" t="n"/>
      <c r="AR210" s="268" t="n"/>
      <c r="AS210" s="268" t="n"/>
      <c r="AT210" s="268" t="n"/>
      <c r="AU210" s="268" t="n"/>
      <c r="AV210" s="268" t="n"/>
      <c r="AW210" s="268" t="n"/>
      <c r="AX210" s="268" t="n"/>
      <c r="AY210" s="268" t="n"/>
      <c r="AZ210" s="268" t="n"/>
      <c r="BA210" s="268" t="n"/>
      <c r="BB210" s="268" t="n"/>
      <c r="BC210" s="268" t="n"/>
      <c r="BD210" s="268" t="n"/>
      <c r="BE210" s="268" t="n"/>
      <c r="BF210" s="268" t="n"/>
      <c r="BG210" s="268" t="n"/>
      <c r="BH210" s="268" t="n"/>
      <c r="BI210" s="268" t="n"/>
      <c r="BJ210" s="268" t="n"/>
      <c r="BK210" s="268" t="n"/>
      <c r="BL210" s="268" t="n"/>
      <c r="BM210" s="268" t="n"/>
      <c r="BN210" s="268" t="n"/>
      <c r="BO210" s="268" t="n"/>
      <c r="BP210" s="268" t="n"/>
      <c r="BQ210" s="268" t="n"/>
      <c r="BR210" s="268" t="n"/>
      <c r="BS210" s="268" t="n"/>
      <c r="BT210" s="268" t="n"/>
      <c r="BU210" s="268" t="n"/>
      <c r="BV210" s="268" t="n"/>
      <c r="BW210" s="268" t="n"/>
      <c r="BX210" s="268" t="n"/>
      <c r="BY210" s="268" t="n"/>
      <c r="BZ210" s="268" t="n"/>
      <c r="CA210" s="268" t="n"/>
      <c r="CB210" s="268" t="n"/>
      <c r="CC210" s="268" t="n"/>
      <c r="CD210" s="268" t="n"/>
      <c r="CE210" s="268" t="n"/>
      <c r="CF210" s="268" t="n"/>
      <c r="CG210" s="268" t="n"/>
      <c r="CH210" s="268" t="n"/>
      <c r="CI210" s="268" t="n"/>
      <c r="CJ210" s="268" t="n"/>
      <c r="CK210" s="268" t="n"/>
      <c r="CL210" s="268" t="n"/>
      <c r="CM210" s="268" t="n"/>
      <c r="CN210" s="268" t="n"/>
      <c r="CO210" s="268" t="n"/>
      <c r="CP210" s="268" t="n"/>
      <c r="CQ210" s="268" t="n"/>
      <c r="CR210" s="268" t="n"/>
      <c r="CS210" s="268" t="n"/>
      <c r="CT210" s="268" t="n"/>
      <c r="CU210" s="268" t="n"/>
      <c r="CV210" s="268" t="n"/>
      <c r="CW210" s="268" t="n"/>
      <c r="CX210" s="268" t="n"/>
      <c r="CY210" s="268" t="n"/>
    </row>
    <row r="211" hidden="1" outlineLevel="1" ht="12.75" customHeight="1" s="255">
      <c r="C211" s="312" t="inlineStr">
        <is>
          <t>Discretionary (paydown)/borrowing of convertible debt</t>
        </is>
      </c>
      <c r="D211" s="268" t="n"/>
      <c r="E211" s="268" t="n"/>
      <c r="F211" s="268" t="n"/>
      <c r="G211" s="268" t="n"/>
      <c r="H211" s="268" t="n"/>
      <c r="I211" s="268" t="n"/>
      <c r="J211" s="268" t="n"/>
      <c r="K211" s="268" t="n"/>
      <c r="L211" s="268" t="n"/>
      <c r="M211" s="268" t="n"/>
      <c r="N211" s="268" t="n"/>
      <c r="O211" s="268" t="n"/>
      <c r="P211" s="268" t="n"/>
      <c r="Q211" s="268" t="n"/>
      <c r="R211" s="268" t="n"/>
      <c r="S211" s="268" t="n"/>
      <c r="T211" s="268" t="n"/>
      <c r="U211" s="268" t="n"/>
      <c r="V211" s="268" t="n"/>
      <c r="W211" s="268" t="n"/>
      <c r="X211" s="268" t="n"/>
      <c r="Y211" s="268" t="n"/>
      <c r="Z211" s="268" t="n"/>
      <c r="AA211" s="268" t="n"/>
      <c r="AB211" s="268" t="n"/>
      <c r="AC211" s="268" t="n"/>
      <c r="AD211" s="268" t="n"/>
      <c r="AE211" s="268" t="n"/>
      <c r="AF211" s="268" t="n"/>
      <c r="AG211" s="268" t="n"/>
      <c r="AH211" s="317" t="n"/>
      <c r="AI211" s="317" t="n"/>
      <c r="AJ211" s="317" t="n"/>
      <c r="AK211" s="317" t="n"/>
      <c r="AL211" s="268" t="n"/>
      <c r="AM211" s="317" t="n"/>
      <c r="AN211" s="317" t="n"/>
      <c r="AO211" s="317" t="n"/>
      <c r="AP211" s="317" t="n"/>
      <c r="AQ211" s="268" t="n"/>
      <c r="AR211" s="317" t="n"/>
      <c r="AS211" s="317" t="n"/>
      <c r="AT211" s="317" t="n"/>
      <c r="AU211" s="317" t="n"/>
      <c r="AV211" s="268" t="n"/>
      <c r="AW211" s="317" t="n"/>
      <c r="AX211" s="317" t="n"/>
      <c r="AY211" s="317" t="n"/>
      <c r="AZ211" s="317" t="n"/>
      <c r="BA211" s="268" t="n"/>
      <c r="BB211" s="317" t="n"/>
      <c r="BC211" s="317" t="n"/>
      <c r="BD211" s="317" t="n"/>
      <c r="BE211" s="317" t="n"/>
      <c r="BF211" s="268" t="n"/>
      <c r="BG211" s="317" t="n"/>
      <c r="BH211" s="317" t="n"/>
      <c r="BI211" s="317" t="n"/>
      <c r="BJ211" s="317" t="n"/>
      <c r="BK211" s="268" t="n"/>
      <c r="BL211" s="317" t="n"/>
      <c r="BM211" s="317" t="n"/>
      <c r="BN211" s="317" t="n"/>
      <c r="BO211" s="317" t="n"/>
      <c r="BP211" s="268" t="n"/>
      <c r="BQ211" s="317" t="n"/>
      <c r="BR211" s="317" t="n"/>
      <c r="BS211" s="317" t="n"/>
      <c r="BT211" s="317" t="n"/>
      <c r="BU211" s="268" t="n"/>
      <c r="BV211" s="317" t="n"/>
      <c r="BW211" s="317" t="n"/>
      <c r="BX211" s="317" t="n"/>
      <c r="BY211" s="317" t="n"/>
      <c r="BZ211" s="268" t="n"/>
      <c r="CA211" s="317" t="n"/>
      <c r="CB211" s="317" t="n"/>
      <c r="CC211" s="317" t="n"/>
      <c r="CD211" s="317" t="n"/>
      <c r="CE211" s="268" t="n"/>
      <c r="CF211" s="317" t="n"/>
      <c r="CG211" s="317" t="n"/>
      <c r="CH211" s="317" t="n"/>
      <c r="CI211" s="317" t="n"/>
      <c r="CJ211" s="268" t="n"/>
      <c r="CK211" s="317" t="n"/>
      <c r="CL211" s="317" t="n"/>
      <c r="CM211" s="317" t="n"/>
      <c r="CN211" s="317" t="n"/>
      <c r="CO211" s="268" t="n"/>
      <c r="CP211" s="317" t="n"/>
      <c r="CQ211" s="317" t="n"/>
      <c r="CR211" s="317" t="n"/>
      <c r="CS211" s="317" t="n"/>
      <c r="CT211" s="268" t="n"/>
      <c r="CU211" s="317" t="n"/>
      <c r="CV211" s="317" t="n"/>
      <c r="CW211" s="317" t="n"/>
      <c r="CX211" s="317" t="n"/>
      <c r="CY211" s="268" t="n"/>
    </row>
    <row r="212" hidden="1" outlineLevel="1" ht="12.75" customHeight="1" s="255">
      <c r="C212" s="312" t="inlineStr">
        <is>
          <t>Convertible debt</t>
        </is>
      </c>
      <c r="D212" s="268" t="n"/>
      <c r="E212" s="268" t="n"/>
      <c r="F212" s="268" t="n"/>
      <c r="G212" s="268" t="n"/>
      <c r="H212" s="268" t="n"/>
      <c r="I212" s="268" t="n"/>
      <c r="J212" s="268" t="n"/>
      <c r="K212" s="268" t="n"/>
      <c r="L212" s="268" t="n"/>
      <c r="M212" s="268" t="n"/>
      <c r="N212" s="268" t="n"/>
      <c r="O212" s="268" t="n"/>
      <c r="P212" s="268" t="n"/>
      <c r="Q212" s="268" t="n"/>
      <c r="R212" s="268" t="n"/>
      <c r="S212" s="268" t="n"/>
      <c r="T212" s="268" t="n"/>
      <c r="U212" s="268" t="n"/>
      <c r="V212" s="268" t="n"/>
      <c r="W212" s="268" t="n"/>
      <c r="X212" s="268" t="n"/>
      <c r="Y212" s="268" t="n"/>
      <c r="Z212" s="268" t="n"/>
      <c r="AA212" s="268" t="n"/>
      <c r="AB212" s="268" t="n"/>
      <c r="AC212" s="268" t="n"/>
      <c r="AD212" s="268" t="n"/>
      <c r="AE212" s="268" t="n"/>
      <c r="AF212" s="268" t="n"/>
      <c r="AG212" s="268" t="n"/>
      <c r="AH212" s="268">
        <f>AH224</f>
        <v>0</v>
      </c>
      <c r="AI212" s="268">
        <f>AH212+SUM(AI211)</f>
        <v>0</v>
      </c>
      <c r="AJ212" s="268">
        <f>AI212+SUM(AJ211)</f>
        <v>0</v>
      </c>
      <c r="AK212" s="268">
        <f>AJ212+SUM(AK211)</f>
        <v>0</v>
      </c>
      <c r="AL212" s="268" t="n"/>
      <c r="AM212" s="268">
        <f>AM224</f>
        <v>0</v>
      </c>
      <c r="AN212" s="268">
        <f>AM212+SUM(AN211)</f>
        <v>0</v>
      </c>
      <c r="AO212" s="268">
        <f>AN212+SUM(AO211)</f>
        <v>0</v>
      </c>
      <c r="AP212" s="268">
        <f>AO212+SUM(AP211)</f>
        <v>0</v>
      </c>
      <c r="AQ212" s="268" t="n"/>
      <c r="AR212" s="268">
        <f>AR224</f>
        <v>0</v>
      </c>
      <c r="AS212" s="268">
        <f>AR212+SUM(AS211)</f>
        <v>0</v>
      </c>
      <c r="AT212" s="268">
        <f>AS212+SUM(AT211)</f>
        <v>0</v>
      </c>
      <c r="AU212" s="268">
        <f>AT212+SUM(AU211)</f>
        <v>0</v>
      </c>
      <c r="AV212" s="268" t="n"/>
      <c r="AW212" s="268">
        <f>AW224</f>
        <v>0</v>
      </c>
      <c r="AX212" s="268">
        <f>AW212+SUM(AX211)</f>
        <v>0</v>
      </c>
      <c r="AY212" s="268">
        <f>AX212+SUM(AY211)</f>
        <v>0</v>
      </c>
      <c r="AZ212" s="268">
        <f>AY212+SUM(AZ211)</f>
        <v>0</v>
      </c>
      <c r="BA212" s="268" t="n"/>
      <c r="BB212" s="268">
        <f>BB224</f>
        <v>0</v>
      </c>
      <c r="BC212" s="268">
        <f>BB212+SUM(BC211)</f>
        <v>0</v>
      </c>
      <c r="BD212" s="268">
        <f>BC212+SUM(BD211)</f>
        <v>0</v>
      </c>
      <c r="BE212" s="268">
        <f>BD212+SUM(BE211)</f>
        <v>0</v>
      </c>
      <c r="BF212" s="268" t="n"/>
      <c r="BG212" s="268">
        <f>BG224</f>
        <v>0</v>
      </c>
      <c r="BH212" s="268">
        <f>BG212+SUM(BH211)</f>
        <v>0</v>
      </c>
      <c r="BI212" s="268">
        <f>BH212+SUM(BI211)</f>
        <v>0</v>
      </c>
      <c r="BJ212" s="268">
        <f>BI212+SUM(BJ211)</f>
        <v>0</v>
      </c>
      <c r="BK212" s="268" t="n"/>
      <c r="BL212" s="268">
        <f>BL224</f>
        <v>0</v>
      </c>
      <c r="BM212" s="268">
        <f>BL212+SUM(BM211)</f>
        <v>0</v>
      </c>
      <c r="BN212" s="268">
        <f>BM212+SUM(BN211)</f>
        <v>0</v>
      </c>
      <c r="BO212" s="268">
        <f>BN212+SUM(BO211)</f>
        <v>0</v>
      </c>
      <c r="BP212" s="268" t="n"/>
      <c r="BQ212" s="268">
        <f>BQ224</f>
        <v>0</v>
      </c>
      <c r="BR212" s="268">
        <f>BQ212+SUM(BR211)</f>
        <v>0</v>
      </c>
      <c r="BS212" s="268">
        <f>BR212+SUM(BS211)</f>
        <v>0</v>
      </c>
      <c r="BT212" s="268">
        <f>BS212+SUM(BT211)</f>
        <v>0</v>
      </c>
      <c r="BU212" s="268" t="n"/>
      <c r="BV212" s="268">
        <f>BV224</f>
        <v>0</v>
      </c>
      <c r="BW212" s="268">
        <f>BV212+SUM(BW211)</f>
        <v>0</v>
      </c>
      <c r="BX212" s="268">
        <f>BW212+SUM(BX211)</f>
        <v>0</v>
      </c>
      <c r="BY212" s="268">
        <f>BX212+SUM(BY211)</f>
        <v>0</v>
      </c>
      <c r="BZ212" s="268" t="n"/>
      <c r="CA212" s="268">
        <f>CA224</f>
        <v>0</v>
      </c>
      <c r="CB212" s="268">
        <f>CA212+SUM(CB211)</f>
        <v>0</v>
      </c>
      <c r="CC212" s="268">
        <f>CB212+SUM(CC211)</f>
        <v>0</v>
      </c>
      <c r="CD212" s="268">
        <f>CC212+SUM(CD211)</f>
        <v>0</v>
      </c>
      <c r="CE212" s="268" t="n"/>
      <c r="CF212" s="268">
        <f>CF224</f>
        <v>0</v>
      </c>
      <c r="CG212" s="268">
        <f>CF212+SUM(CG211)</f>
        <v>0</v>
      </c>
      <c r="CH212" s="268">
        <f>CG212+SUM(CH211)</f>
        <v>0</v>
      </c>
      <c r="CI212" s="268">
        <f>CH212+SUM(CI211)</f>
        <v>0</v>
      </c>
      <c r="CJ212" s="268" t="n"/>
      <c r="CK212" s="268">
        <f>CK224</f>
        <v>0</v>
      </c>
      <c r="CL212" s="268">
        <f>CK212+SUM(CL211)</f>
        <v>0</v>
      </c>
      <c r="CM212" s="268">
        <f>CL212+SUM(CM211)</f>
        <v>0</v>
      </c>
      <c r="CN212" s="268">
        <f>CM212+SUM(CN211)</f>
        <v>0</v>
      </c>
      <c r="CO212" s="268" t="n"/>
      <c r="CP212" s="268">
        <f>CP224</f>
        <v>0</v>
      </c>
      <c r="CQ212" s="268">
        <f>CP212+SUM(CQ211)</f>
        <v>0</v>
      </c>
      <c r="CR212" s="268">
        <f>CQ212+SUM(CR211)</f>
        <v>0</v>
      </c>
      <c r="CS212" s="268">
        <f>CR212+SUM(CS211)</f>
        <v>0</v>
      </c>
      <c r="CT212" s="268" t="n"/>
      <c r="CU212" s="268">
        <f>CU224</f>
        <v>0</v>
      </c>
      <c r="CV212" s="268">
        <f>CU212+SUM(CV211)</f>
        <v>0</v>
      </c>
      <c r="CW212" s="268">
        <f>CV212+SUM(CW211)</f>
        <v>0</v>
      </c>
      <c r="CX212" s="268">
        <f>CW212+SUM(CX211)</f>
        <v>0</v>
      </c>
      <c r="CY212" s="268" t="n"/>
    </row>
    <row r="213" hidden="1" outlineLevel="1" ht="12.75" customHeight="1" s="255">
      <c r="C213" s="312" t="n"/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I213" s="268" t="n"/>
      <c r="AJ213" s="268" t="n"/>
      <c r="AK213" s="268" t="n"/>
      <c r="AL213" s="268" t="n"/>
      <c r="AN213" s="268" t="n"/>
      <c r="AO213" s="268" t="n"/>
      <c r="AP213" s="268" t="n"/>
      <c r="AQ213" s="268" t="n"/>
      <c r="AS213" s="268" t="n"/>
      <c r="AT213" s="268" t="n"/>
      <c r="AU213" s="268" t="n"/>
      <c r="AV213" s="268" t="n"/>
      <c r="AX213" s="268" t="n"/>
      <c r="AY213" s="268" t="n"/>
      <c r="AZ213" s="268" t="n"/>
      <c r="BA213" s="268" t="n"/>
      <c r="BC213" s="268" t="n"/>
      <c r="BD213" s="268" t="n"/>
      <c r="BE213" s="268" t="n"/>
      <c r="BF213" s="268" t="n"/>
      <c r="BH213" s="268" t="n"/>
      <c r="BI213" s="268" t="n"/>
      <c r="BJ213" s="268" t="n"/>
      <c r="BK213" s="268" t="n"/>
      <c r="BM213" s="268" t="n"/>
      <c r="BN213" s="268" t="n"/>
      <c r="BO213" s="268" t="n"/>
      <c r="BP213" s="268" t="n"/>
      <c r="BR213" s="268" t="n"/>
      <c r="BS213" s="268" t="n"/>
      <c r="BT213" s="268" t="n"/>
      <c r="BU213" s="268" t="n"/>
      <c r="BW213" s="268" t="n"/>
      <c r="BX213" s="268" t="n"/>
      <c r="BY213" s="268" t="n"/>
      <c r="BZ213" s="268" t="n"/>
      <c r="CB213" s="268" t="n"/>
      <c r="CC213" s="268" t="n"/>
      <c r="CD213" s="268" t="n"/>
      <c r="CE213" s="268" t="n"/>
      <c r="CG213" s="268" t="n"/>
      <c r="CH213" s="268" t="n"/>
      <c r="CI213" s="268" t="n"/>
      <c r="CJ213" s="268" t="n"/>
      <c r="CL213" s="268" t="n"/>
      <c r="CM213" s="268" t="n"/>
      <c r="CN213" s="268" t="n"/>
      <c r="CO213" s="268" t="n"/>
      <c r="CQ213" s="268" t="n"/>
      <c r="CR213" s="268" t="n"/>
      <c r="CS213" s="268" t="n"/>
      <c r="CT213" s="268" t="n"/>
      <c r="CV213" s="268" t="n"/>
      <c r="CW213" s="268" t="n"/>
      <c r="CX213" s="268" t="n"/>
      <c r="CY213" s="268" t="n"/>
    </row>
    <row r="214" hidden="1" outlineLevel="1" ht="12.75" customHeight="1" s="255">
      <c r="C214" s="312" t="inlineStr">
        <is>
          <t>Calculation of short term debt</t>
        </is>
      </c>
      <c r="D214" s="268" t="n"/>
      <c r="E214" s="268" t="n"/>
      <c r="F214" s="268" t="n"/>
      <c r="G214" s="268" t="n"/>
      <c r="H214" s="268" t="n"/>
      <c r="I214" s="268" t="n"/>
      <c r="J214" s="268" t="n"/>
      <c r="K214" s="268" t="n"/>
      <c r="L214" s="268" t="n"/>
      <c r="M214" s="268" t="n"/>
      <c r="N214" s="268" t="n"/>
      <c r="O214" s="268" t="n"/>
      <c r="P214" s="268" t="n"/>
      <c r="Q214" s="268" t="n"/>
      <c r="R214" s="268" t="n"/>
      <c r="S214" s="268" t="n"/>
      <c r="T214" s="268" t="n"/>
      <c r="U214" s="268" t="n"/>
      <c r="V214" s="268" t="n"/>
      <c r="W214" s="268" t="n"/>
      <c r="X214" s="268" t="n"/>
      <c r="Y214" s="268" t="n"/>
      <c r="Z214" s="268" t="n"/>
      <c r="AA214" s="268" t="n"/>
      <c r="AB214" s="268" t="n"/>
      <c r="AC214" s="268" t="n"/>
      <c r="AD214" s="268" t="n"/>
      <c r="AE214" s="268" t="n"/>
      <c r="AF214" s="268" t="n"/>
      <c r="AG214" s="268" t="n"/>
      <c r="AH214" s="268" t="n"/>
      <c r="AI214" s="268" t="n"/>
      <c r="AJ214" s="268" t="n"/>
      <c r="AK214" s="268" t="n"/>
      <c r="AL214" s="268" t="n"/>
      <c r="AM214" s="268" t="n"/>
      <c r="AN214" s="268" t="n"/>
      <c r="AO214" s="268" t="n"/>
      <c r="AP214" s="268" t="n"/>
      <c r="AQ214" s="268" t="n"/>
      <c r="AR214" s="268" t="n"/>
      <c r="AS214" s="268" t="n"/>
      <c r="AT214" s="268" t="n"/>
      <c r="AU214" s="268" t="n"/>
      <c r="AV214" s="268" t="n"/>
      <c r="AW214" s="268" t="n"/>
      <c r="AX214" s="268" t="n"/>
      <c r="AY214" s="268" t="n"/>
      <c r="AZ214" s="268" t="n"/>
      <c r="BA214" s="268" t="n"/>
      <c r="BB214" s="268" t="n"/>
      <c r="BC214" s="268" t="n"/>
      <c r="BD214" s="268" t="n"/>
      <c r="BE214" s="268" t="n"/>
      <c r="BF214" s="268" t="n"/>
      <c r="BG214" s="268" t="n"/>
      <c r="BH214" s="268" t="n"/>
      <c r="BI214" s="268" t="n"/>
      <c r="BJ214" s="268" t="n"/>
      <c r="BK214" s="268" t="n"/>
      <c r="BL214" s="268" t="n"/>
      <c r="BM214" s="268" t="n"/>
      <c r="BN214" s="268" t="n"/>
      <c r="BO214" s="268" t="n"/>
      <c r="BP214" s="268" t="n"/>
      <c r="BQ214" s="268" t="n"/>
      <c r="BR214" s="268" t="n"/>
      <c r="BS214" s="268" t="n"/>
      <c r="BT214" s="268" t="n"/>
      <c r="BU214" s="268" t="n"/>
      <c r="BV214" s="268" t="n"/>
      <c r="BW214" s="268" t="n"/>
      <c r="BX214" s="268" t="n"/>
      <c r="BY214" s="268" t="n"/>
      <c r="BZ214" s="268" t="n"/>
      <c r="CA214" s="268" t="n"/>
      <c r="CB214" s="268" t="n"/>
      <c r="CC214" s="268" t="n"/>
      <c r="CD214" s="268" t="n"/>
      <c r="CE214" s="268" t="n"/>
      <c r="CF214" s="268" t="n"/>
      <c r="CG214" s="268" t="n"/>
      <c r="CH214" s="268" t="n"/>
      <c r="CI214" s="268" t="n"/>
      <c r="CJ214" s="268" t="n"/>
      <c r="CK214" s="268" t="n"/>
      <c r="CL214" s="268" t="n"/>
      <c r="CM214" s="268" t="n"/>
      <c r="CN214" s="268" t="n"/>
      <c r="CO214" s="268" t="n"/>
      <c r="CP214" s="268" t="n"/>
      <c r="CQ214" s="268" t="n"/>
      <c r="CR214" s="268" t="n"/>
      <c r="CS214" s="268" t="n"/>
      <c r="CT214" s="268" t="n"/>
      <c r="CU214" s="268" t="n"/>
      <c r="CV214" s="268" t="n"/>
      <c r="CW214" s="268" t="n"/>
      <c r="CX214" s="268" t="n"/>
      <c r="CY214" s="268" t="n"/>
    </row>
    <row r="215" hidden="1" outlineLevel="1" ht="12.75" customHeight="1" s="255">
      <c r="C215" s="312" t="inlineStr">
        <is>
          <t>Cash @ beginning of the period (end of last period)</t>
        </is>
      </c>
      <c r="D215" s="268" t="n"/>
      <c r="E215" s="268" t="n"/>
      <c r="F215" s="268" t="n"/>
      <c r="G215" s="268" t="n"/>
      <c r="H215" s="268" t="n"/>
      <c r="I215" s="268" t="n"/>
      <c r="J215" s="268" t="n"/>
      <c r="K215" s="268" t="n"/>
      <c r="L215" s="268" t="n"/>
      <c r="M215" s="268" t="n"/>
      <c r="N215" s="268" t="n"/>
      <c r="O215" s="268" t="n"/>
      <c r="P215" s="268" t="n"/>
      <c r="Q215" s="268" t="n"/>
      <c r="R215" s="268" t="n"/>
      <c r="S215" s="268" t="n"/>
      <c r="T215" s="268" t="n"/>
      <c r="U215" s="268" t="n"/>
      <c r="V215" s="268" t="n"/>
      <c r="W215" s="268" t="n"/>
      <c r="X215" s="268" t="n"/>
      <c r="Y215" s="268" t="n"/>
      <c r="Z215" s="268" t="n"/>
      <c r="AA215" s="268" t="n"/>
      <c r="AB215" s="268" t="n"/>
      <c r="AC215" s="268" t="n"/>
      <c r="AD215" s="268" t="n"/>
      <c r="AE215" s="268" t="n"/>
      <c r="AF215" s="268" t="n"/>
      <c r="AG215" s="268" t="n"/>
      <c r="AH215" s="318">
        <f>AG130</f>
        <v>3161</v>
      </c>
      <c r="AI215" s="268" t="n"/>
      <c r="AJ215" s="268" t="n"/>
      <c r="AK215" s="268" t="n"/>
      <c r="AL215" s="268" t="n"/>
      <c r="AM215" s="318">
        <f>AL130</f>
        <v>-1774</v>
      </c>
      <c r="AN215" s="268" t="n"/>
      <c r="AO215" s="268" t="n"/>
      <c r="AP215" s="268" t="n"/>
      <c r="AQ215" s="268" t="n"/>
      <c r="AR215" s="318" t="e">
        <f>AQ130</f>
        <v>#DIV/0!</v>
      </c>
      <c r="AS215" s="268" t="n"/>
      <c r="AT215" s="268" t="n"/>
      <c r="AU215" s="268" t="n"/>
      <c r="AV215" s="268" t="n"/>
      <c r="AW215" s="318" t="e">
        <f>AV130</f>
        <v>#DIV/0!</v>
      </c>
      <c r="AX215" s="268" t="n"/>
      <c r="AY215" s="268" t="n"/>
      <c r="AZ215" s="268" t="n"/>
      <c r="BA215" s="268" t="n"/>
      <c r="BB215" s="318" t="e">
        <f>BA130</f>
        <v>#DIV/0!</v>
      </c>
      <c r="BC215" s="268" t="n"/>
      <c r="BD215" s="268" t="n"/>
      <c r="BE215" s="268" t="n"/>
      <c r="BF215" s="268" t="n"/>
      <c r="BG215" s="318" t="e">
        <f>BF130</f>
        <v>#DIV/0!</v>
      </c>
      <c r="BH215" s="268" t="n"/>
      <c r="BI215" s="268" t="n"/>
      <c r="BJ215" s="268" t="n"/>
      <c r="BK215" s="268" t="n"/>
      <c r="BL215" s="318" t="e">
        <f>BK130</f>
        <v>#DIV/0!</v>
      </c>
      <c r="BM215" s="268" t="n"/>
      <c r="BN215" s="268" t="n"/>
      <c r="BO215" s="268" t="n"/>
      <c r="BP215" s="268" t="n"/>
      <c r="BQ215" s="318" t="e">
        <f>BP130</f>
        <v>#DIV/0!</v>
      </c>
      <c r="BR215" s="268" t="n"/>
      <c r="BS215" s="268" t="n"/>
      <c r="BT215" s="268" t="n"/>
      <c r="BU215" s="268" t="n"/>
      <c r="BV215" s="318" t="e">
        <f>BU130</f>
        <v>#DIV/0!</v>
      </c>
      <c r="BW215" s="268" t="n"/>
      <c r="BX215" s="268" t="n"/>
      <c r="BY215" s="268" t="n"/>
      <c r="BZ215" s="268" t="n"/>
      <c r="CA215" s="318" t="e">
        <f>BZ130</f>
        <v>#DIV/0!</v>
      </c>
      <c r="CB215" s="268" t="n"/>
      <c r="CC215" s="268" t="n"/>
      <c r="CD215" s="268" t="n"/>
      <c r="CE215" s="268" t="n"/>
      <c r="CF215" s="318" t="e">
        <f>CE130</f>
        <v>#DIV/0!</v>
      </c>
      <c r="CG215" s="268" t="n"/>
      <c r="CH215" s="268" t="n"/>
      <c r="CI215" s="268" t="n"/>
      <c r="CJ215" s="268" t="n"/>
      <c r="CK215" s="318" t="e">
        <f>CJ130</f>
        <v>#DIV/0!</v>
      </c>
      <c r="CL215" s="268" t="n"/>
      <c r="CM215" s="268" t="n"/>
      <c r="CN215" s="268" t="n"/>
      <c r="CO215" s="268" t="n"/>
      <c r="CP215" s="318" t="e">
        <f>CO130</f>
        <v>#DIV/0!</v>
      </c>
      <c r="CQ215" s="268" t="n"/>
      <c r="CR215" s="268" t="n"/>
      <c r="CS215" s="268" t="n"/>
      <c r="CT215" s="268" t="n"/>
      <c r="CU215" s="318" t="e">
        <f>CT130</f>
        <v>#DIV/0!</v>
      </c>
      <c r="CV215" s="268" t="n"/>
      <c r="CW215" s="268" t="n"/>
      <c r="CX215" s="268" t="n"/>
      <c r="CY215" s="268" t="n"/>
    </row>
    <row r="216" hidden="1" outlineLevel="1" ht="12.75" customHeight="1" s="255">
      <c r="C216" s="312" t="inlineStr">
        <is>
          <t>Plus: Free cash flows prior to debt during period</t>
        </is>
      </c>
      <c r="D216" s="268" t="n"/>
      <c r="E216" s="268" t="n"/>
      <c r="F216" s="268" t="n"/>
      <c r="G216" s="268" t="n"/>
      <c r="H216" s="268" t="n"/>
      <c r="I216" s="268" t="n"/>
      <c r="J216" s="268" t="n"/>
      <c r="K216" s="268" t="n"/>
      <c r="L216" s="268" t="n"/>
      <c r="M216" s="268" t="n"/>
      <c r="N216" s="268" t="n"/>
      <c r="O216" s="268" t="n"/>
      <c r="P216" s="268" t="n"/>
      <c r="Q216" s="268" t="n"/>
      <c r="R216" s="268" t="n"/>
      <c r="S216" s="268" t="n"/>
      <c r="T216" s="268" t="n"/>
      <c r="U216" s="268" t="n"/>
      <c r="V216" s="268" t="n"/>
      <c r="W216" s="268" t="n"/>
      <c r="X216" s="268" t="n"/>
      <c r="Y216" s="268" t="n"/>
      <c r="Z216" s="268" t="n"/>
      <c r="AA216" s="268" t="n"/>
      <c r="AB216" s="268" t="n"/>
      <c r="AC216" s="268" t="n"/>
      <c r="AD216" s="268" t="n"/>
      <c r="AE216" s="268" t="n"/>
      <c r="AF216" s="268" t="n"/>
      <c r="AG216" s="268" t="inlineStr">
        <is>
          <t>% of sales</t>
        </is>
      </c>
      <c r="AH216" s="319">
        <f>SUM(AH279,AH286)+SUM(AH288:AH294)</f>
        <v>-6236</v>
      </c>
      <c r="AI216" s="319">
        <f>SUM(AI279,AI286)+SUM(AI288:AI294)</f>
        <v>21863</v>
      </c>
      <c r="AJ216" s="319">
        <f>SUM(AJ279,AJ286)+SUM(AJ288:AJ294)</f>
        <v>-7356</v>
      </c>
      <c r="AK216" s="319">
        <f>SUM(AK279,AK286)+SUM(AK288:AK294)</f>
        <v>43</v>
      </c>
      <c r="AL216" s="268" t="n"/>
      <c r="AM216" s="319" t="e">
        <f>SUM(AM279,AM286)+SUM(AM288:AM294)</f>
        <v>#DIV/0!</v>
      </c>
      <c r="AN216" s="319" t="e">
        <f>SUM(AN279,AN286)+SUM(AN288:AN294)</f>
        <v>#DIV/0!</v>
      </c>
      <c r="AO216" s="319" t="e">
        <f>SUM(AO279,AO286)+SUM(AO288:AO294)</f>
        <v>#DIV/0!</v>
      </c>
      <c r="AP216" s="319" t="e">
        <f>SUM(AP279,AP286)+SUM(AP288:AP294)</f>
        <v>#DIV/0!</v>
      </c>
      <c r="AQ216" s="268" t="n"/>
      <c r="AR216" s="319" t="e">
        <f>SUM(AR279,AR286)+SUM(AR288:AR294)</f>
        <v>#DIV/0!</v>
      </c>
      <c r="AS216" s="319" t="e">
        <f>SUM(AS279,AS286)+SUM(AS288:AS294)</f>
        <v>#DIV/0!</v>
      </c>
      <c r="AT216" s="319" t="e">
        <f>SUM(AT279,AT286)+SUM(AT288:AT294)</f>
        <v>#DIV/0!</v>
      </c>
      <c r="AU216" s="319" t="e">
        <f>SUM(AU279,AU286)+SUM(AU288:AU294)</f>
        <v>#DIV/0!</v>
      </c>
      <c r="AV216" s="268" t="n"/>
      <c r="AW216" s="319" t="e">
        <f>SUM(AW279,AW286)+SUM(AW288:AW294)</f>
        <v>#DIV/0!</v>
      </c>
      <c r="AX216" s="319" t="e">
        <f>SUM(AX279,AX286)+SUM(AX288:AX294)</f>
        <v>#DIV/0!</v>
      </c>
      <c r="AY216" s="319" t="e">
        <f>SUM(AY279,AY286)+SUM(AY288:AY294)</f>
        <v>#DIV/0!</v>
      </c>
      <c r="AZ216" s="319" t="e">
        <f>SUM(AZ279,AZ286)+SUM(AZ288:AZ294)</f>
        <v>#DIV/0!</v>
      </c>
      <c r="BA216" s="268" t="n"/>
      <c r="BB216" s="319" t="e">
        <f>SUM(BB279,BB286)+SUM(BB288:BB294)</f>
        <v>#DIV/0!</v>
      </c>
      <c r="BC216" s="319" t="e">
        <f>SUM(BC279,BC286)+SUM(BC288:BC294)</f>
        <v>#DIV/0!</v>
      </c>
      <c r="BD216" s="319" t="e">
        <f>SUM(BD279,BD286)+SUM(BD288:BD294)</f>
        <v>#DIV/0!</v>
      </c>
      <c r="BE216" s="319" t="e">
        <f>SUM(BE279,BE286)+SUM(BE288:BE294)</f>
        <v>#DIV/0!</v>
      </c>
      <c r="BF216" s="268" t="n"/>
      <c r="BG216" s="319" t="e">
        <f>SUM(BG279,BG286)+SUM(BG288:BG294)</f>
        <v>#DIV/0!</v>
      </c>
      <c r="BH216" s="319" t="e">
        <f>SUM(BH279,BH286)+SUM(BH288:BH294)</f>
        <v>#DIV/0!</v>
      </c>
      <c r="BI216" s="319" t="e">
        <f>SUM(BI279,BI286)+SUM(BI288:BI294)</f>
        <v>#DIV/0!</v>
      </c>
      <c r="BJ216" s="319" t="e">
        <f>SUM(BJ279,BJ286)+SUM(BJ288:BJ294)</f>
        <v>#DIV/0!</v>
      </c>
      <c r="BK216" s="268" t="n"/>
      <c r="BL216" s="319" t="e">
        <f>SUM(BL279,BL286)+SUM(BL288:BL294)</f>
        <v>#DIV/0!</v>
      </c>
      <c r="BM216" s="319" t="e">
        <f>SUM(BM279,BM286)+SUM(BM288:BM294)</f>
        <v>#DIV/0!</v>
      </c>
      <c r="BN216" s="319" t="e">
        <f>SUM(BN279,BN286)+SUM(BN288:BN294)</f>
        <v>#DIV/0!</v>
      </c>
      <c r="BO216" s="319" t="e">
        <f>SUM(BO279,BO286)+SUM(BO288:BO294)</f>
        <v>#DIV/0!</v>
      </c>
      <c r="BP216" s="268" t="n"/>
      <c r="BQ216" s="319" t="e">
        <f>SUM(BQ279,BQ286)+SUM(BQ288:BQ294)</f>
        <v>#DIV/0!</v>
      </c>
      <c r="BR216" s="319" t="e">
        <f>SUM(BR279,BR286)+SUM(BR288:BR294)</f>
        <v>#DIV/0!</v>
      </c>
      <c r="BS216" s="319" t="e">
        <f>SUM(BS279,BS286)+SUM(BS288:BS294)</f>
        <v>#DIV/0!</v>
      </c>
      <c r="BT216" s="319" t="e">
        <f>SUM(BT279,BT286)+SUM(BT288:BT294)</f>
        <v>#DIV/0!</v>
      </c>
      <c r="BU216" s="268" t="n"/>
      <c r="BV216" s="319" t="e">
        <f>SUM(BV279,BV286)+SUM(BV288:BV294)</f>
        <v>#DIV/0!</v>
      </c>
      <c r="BW216" s="319" t="e">
        <f>SUM(BW279,BW286)+SUM(BW288:BW294)</f>
        <v>#DIV/0!</v>
      </c>
      <c r="BX216" s="319" t="e">
        <f>SUM(BX279,BX286)+SUM(BX288:BX294)</f>
        <v>#DIV/0!</v>
      </c>
      <c r="BY216" s="319" t="e">
        <f>SUM(BY279,BY286)+SUM(BY288:BY294)</f>
        <v>#DIV/0!</v>
      </c>
      <c r="BZ216" s="268" t="n"/>
      <c r="CA216" s="319" t="e">
        <f>SUM(CA279,CA286)+SUM(CA288:CA294)</f>
        <v>#DIV/0!</v>
      </c>
      <c r="CB216" s="319" t="e">
        <f>SUM(CB279,CB286)+SUM(CB288:CB294)</f>
        <v>#DIV/0!</v>
      </c>
      <c r="CC216" s="319" t="e">
        <f>SUM(CC279,CC286)+SUM(CC288:CC294)</f>
        <v>#DIV/0!</v>
      </c>
      <c r="CD216" s="319" t="e">
        <f>SUM(CD279,CD286)+SUM(CD288:CD294)</f>
        <v>#DIV/0!</v>
      </c>
      <c r="CE216" s="268" t="n"/>
      <c r="CF216" s="319" t="e">
        <f>SUM(CF279,CF286)+SUM(CF288:CF294)</f>
        <v>#DIV/0!</v>
      </c>
      <c r="CG216" s="319" t="e">
        <f>SUM(CG279,CG286)+SUM(CG288:CG294)</f>
        <v>#DIV/0!</v>
      </c>
      <c r="CH216" s="319" t="e">
        <f>SUM(CH279,CH286)+SUM(CH288:CH294)</f>
        <v>#DIV/0!</v>
      </c>
      <c r="CI216" s="319" t="e">
        <f>SUM(CI279,CI286)+SUM(CI288:CI294)</f>
        <v>#DIV/0!</v>
      </c>
      <c r="CJ216" s="268" t="n"/>
      <c r="CK216" s="319" t="e">
        <f>SUM(CK279,CK286)+SUM(CK288:CK294)</f>
        <v>#DIV/0!</v>
      </c>
      <c r="CL216" s="319" t="e">
        <f>SUM(CL279,CL286)+SUM(CL288:CL294)</f>
        <v>#DIV/0!</v>
      </c>
      <c r="CM216" s="319" t="e">
        <f>SUM(CM279,CM286)+SUM(CM288:CM294)</f>
        <v>#DIV/0!</v>
      </c>
      <c r="CN216" s="319" t="e">
        <f>SUM(CN279,CN286)+SUM(CN288:CN294)</f>
        <v>#DIV/0!</v>
      </c>
      <c r="CO216" s="268" t="n"/>
      <c r="CP216" s="319" t="e">
        <f>SUM(CP279,CP286)+SUM(CP288:CP294)</f>
        <v>#DIV/0!</v>
      </c>
      <c r="CQ216" s="319" t="e">
        <f>SUM(CQ279,CQ286)+SUM(CQ288:CQ294)</f>
        <v>#DIV/0!</v>
      </c>
      <c r="CR216" s="319" t="e">
        <f>SUM(CR279,CR286)+SUM(CR288:CR294)</f>
        <v>#DIV/0!</v>
      </c>
      <c r="CS216" s="319" t="e">
        <f>SUM(CS279,CS286)+SUM(CS288:CS294)</f>
        <v>#DIV/0!</v>
      </c>
      <c r="CT216" s="268" t="n"/>
      <c r="CU216" s="319" t="e">
        <f>SUM(CU279,CU286)+SUM(CU288:CU294)</f>
        <v>#DIV/0!</v>
      </c>
      <c r="CV216" s="319" t="e">
        <f>SUM(CV279,CV286)+SUM(CV288:CV294)</f>
        <v>#DIV/0!</v>
      </c>
      <c r="CW216" s="319" t="e">
        <f>SUM(CW279,CW286)+SUM(CW288:CW294)</f>
        <v>#DIV/0!</v>
      </c>
      <c r="CX216" s="319" t="e">
        <f>SUM(CX279,CX286)+SUM(CX288:CX294)</f>
        <v>#DIV/0!</v>
      </c>
      <c r="CY216" s="268" t="n"/>
    </row>
    <row r="217" hidden="1" outlineLevel="1" ht="12.75" customHeight="1" s="255">
      <c r="C217" s="312" t="inlineStr">
        <is>
          <t>Less: Minimum cash balance</t>
        </is>
      </c>
      <c r="D217" s="268" t="n"/>
      <c r="E217" s="268" t="n"/>
      <c r="F217" s="268" t="n"/>
      <c r="G217" s="268" t="n"/>
      <c r="H217" s="268" t="n"/>
      <c r="I217" s="268" t="n"/>
      <c r="J217" s="268" t="n"/>
      <c r="K217" s="268" t="n"/>
      <c r="L217" s="268" t="n"/>
      <c r="M217" s="268" t="n"/>
      <c r="N217" s="268" t="n"/>
      <c r="O217" s="268" t="n"/>
      <c r="P217" s="268" t="n"/>
      <c r="Q217" s="268" t="n"/>
      <c r="R217" s="268" t="n"/>
      <c r="S217" s="268" t="n"/>
      <c r="T217" s="268" t="n"/>
      <c r="U217" s="268" t="n"/>
      <c r="V217" s="268" t="n"/>
      <c r="W217" s="268" t="n"/>
      <c r="X217" s="268" t="n"/>
      <c r="Y217" s="268" t="n"/>
      <c r="Z217" s="268" t="n"/>
      <c r="AA217" s="268" t="n"/>
      <c r="AB217" s="268" t="n"/>
      <c r="AC217" s="268" t="n"/>
      <c r="AD217" s="268" t="n"/>
      <c r="AE217" s="268" t="n"/>
      <c r="AF217" s="268" t="n"/>
      <c r="AG217" s="320" t="n"/>
      <c r="AH217" s="268">
        <f>($AG$217*AH15)</f>
        <v>0</v>
      </c>
      <c r="AI217" s="268">
        <f>($AG$217*AI15)</f>
        <v>0</v>
      </c>
      <c r="AJ217" s="268">
        <f>($AG$217*AJ15)</f>
        <v>0</v>
      </c>
      <c r="AK217" s="268">
        <f>($AG$217*AK15)</f>
        <v>0</v>
      </c>
      <c r="AL217" s="268" t="n"/>
      <c r="AM217" s="268">
        <f>($AG$217*AM15)</f>
        <v>0</v>
      </c>
      <c r="AN217" s="268">
        <f>($AG$217*AN15)</f>
        <v>0</v>
      </c>
      <c r="AO217" s="268">
        <f>($AG$217*AO15)</f>
        <v>0</v>
      </c>
      <c r="AP217" s="268">
        <f>($AG$217*AP15)</f>
        <v>0</v>
      </c>
      <c r="AQ217" s="268" t="n"/>
      <c r="AR217" s="268">
        <f>($AG$217*AR15)</f>
        <v>0</v>
      </c>
      <c r="AS217" s="268">
        <f>($AG$217*AS15)</f>
        <v>0</v>
      </c>
      <c r="AT217" s="268">
        <f>($AG$217*AT15)</f>
        <v>0</v>
      </c>
      <c r="AU217" s="268">
        <f>($AG$217*AU15)</f>
        <v>0</v>
      </c>
      <c r="AV217" s="268" t="n"/>
      <c r="AW217" s="268">
        <f>($AG$217*AW15)</f>
        <v>0</v>
      </c>
      <c r="AX217" s="268">
        <f>($AG$217*AX15)</f>
        <v>0</v>
      </c>
      <c r="AY217" s="268">
        <f>($AG$217*AY15)</f>
        <v>0</v>
      </c>
      <c r="AZ217" s="268">
        <f>($AG$217*AZ15)</f>
        <v>0</v>
      </c>
      <c r="BA217" s="268" t="n"/>
      <c r="BB217" s="268">
        <f>($AG$217*BB15)</f>
        <v>0</v>
      </c>
      <c r="BC217" s="268">
        <f>($AG$217*BC15)</f>
        <v>0</v>
      </c>
      <c r="BD217" s="268">
        <f>($AG$217*BD15)</f>
        <v>0</v>
      </c>
      <c r="BE217" s="268">
        <f>($AG$217*BE15)</f>
        <v>0</v>
      </c>
      <c r="BF217" s="268" t="n"/>
      <c r="BG217" s="268">
        <f>($AG$217*BG15)</f>
        <v>0</v>
      </c>
      <c r="BH217" s="268">
        <f>($AG$217*BH15)</f>
        <v>0</v>
      </c>
      <c r="BI217" s="268">
        <f>($AG$217*BI15)</f>
        <v>0</v>
      </c>
      <c r="BJ217" s="268">
        <f>($AG$217*BJ15)</f>
        <v>0</v>
      </c>
      <c r="BK217" s="268" t="n"/>
      <c r="BL217" s="268">
        <f>($AG$217*BL15)</f>
        <v>0</v>
      </c>
      <c r="BM217" s="268">
        <f>($AG$217*BM15)</f>
        <v>0</v>
      </c>
      <c r="BN217" s="268">
        <f>($AG$217*BN15)</f>
        <v>0</v>
      </c>
      <c r="BO217" s="268">
        <f>($AG$217*BO15)</f>
        <v>0</v>
      </c>
      <c r="BP217" s="268" t="n"/>
      <c r="BQ217" s="268">
        <f>($AG$217*BQ15)</f>
        <v>0</v>
      </c>
      <c r="BR217" s="268">
        <f>($AG$217*BR15)</f>
        <v>0</v>
      </c>
      <c r="BS217" s="268">
        <f>($AG$217*BS15)</f>
        <v>0</v>
      </c>
      <c r="BT217" s="268">
        <f>($AG$217*BT15)</f>
        <v>0</v>
      </c>
      <c r="BU217" s="268" t="n"/>
      <c r="BV217" s="268">
        <f>($AG$217*BV15)</f>
        <v>0</v>
      </c>
      <c r="BW217" s="268">
        <f>($AG$217*BW15)</f>
        <v>0</v>
      </c>
      <c r="BX217" s="268">
        <f>($AG$217*BX15)</f>
        <v>0</v>
      </c>
      <c r="BY217" s="268">
        <f>($AG$217*BY15)</f>
        <v>0</v>
      </c>
      <c r="BZ217" s="268" t="n"/>
      <c r="CA217" s="268">
        <f>($AG$217*CA15)</f>
        <v>0</v>
      </c>
      <c r="CB217" s="268">
        <f>($AG$217*CB15)</f>
        <v>0</v>
      </c>
      <c r="CC217" s="268">
        <f>($AG$217*CC15)</f>
        <v>0</v>
      </c>
      <c r="CD217" s="268">
        <f>($AG$217*CD15)</f>
        <v>0</v>
      </c>
      <c r="CE217" s="268" t="n"/>
      <c r="CF217" s="268">
        <f>($AG$217*CF15)</f>
        <v>0</v>
      </c>
      <c r="CG217" s="268">
        <f>($AG$217*CG15)</f>
        <v>0</v>
      </c>
      <c r="CH217" s="268">
        <f>($AG$217*CH15)</f>
        <v>0</v>
      </c>
      <c r="CI217" s="268">
        <f>($AG$217*CI15)</f>
        <v>0</v>
      </c>
      <c r="CJ217" s="268" t="n"/>
      <c r="CK217" s="268">
        <f>($AG$217*CK15)</f>
        <v>0</v>
      </c>
      <c r="CL217" s="268">
        <f>($AG$217*CL15)</f>
        <v>0</v>
      </c>
      <c r="CM217" s="268">
        <f>($AG$217*CM15)</f>
        <v>0</v>
      </c>
      <c r="CN217" s="268">
        <f>($AG$217*CN15)</f>
        <v>0</v>
      </c>
      <c r="CO217" s="268" t="n"/>
      <c r="CP217" s="268">
        <f>($AG$217*CP15)</f>
        <v>0</v>
      </c>
      <c r="CQ217" s="268">
        <f>($AG$217*CQ15)</f>
        <v>0</v>
      </c>
      <c r="CR217" s="268">
        <f>($AG$217*CR15)</f>
        <v>0</v>
      </c>
      <c r="CS217" s="268">
        <f>($AG$217*CS15)</f>
        <v>0</v>
      </c>
      <c r="CT217" s="268" t="n"/>
      <c r="CU217" s="268">
        <f>($AG$217*CU15)</f>
        <v>0</v>
      </c>
      <c r="CV217" s="268">
        <f>($AG$217*CV15)</f>
        <v>0</v>
      </c>
      <c r="CW217" s="268">
        <f>($AG$217*CW15)</f>
        <v>0</v>
      </c>
      <c r="CX217" s="268">
        <f>($AG$217*CX15)</f>
        <v>0</v>
      </c>
      <c r="CY217" s="268" t="n"/>
    </row>
    <row r="218" hidden="1" outlineLevel="1" ht="12.75" customHeight="1" s="255">
      <c r="C218" s="312" t="inlineStr">
        <is>
          <t>Total cash available / (debt required) for short term debt paydown</t>
        </is>
      </c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59">
        <f>AH215+AH216-AH217-AF205+AH207+AH211</f>
        <v>-3075</v>
      </c>
      <c r="AI218" s="259">
        <f>AI215+AI216-AI217-AG205+AI207+AI211</f>
        <v>21863</v>
      </c>
      <c r="AJ218" s="259">
        <f>AJ215+AJ216-AJ217-AH205+AJ207+AJ211</f>
        <v>-14064</v>
      </c>
      <c r="AK218" s="259">
        <f>AK215+AK216-AK217-AI205+AK207+AK211</f>
        <v>43</v>
      </c>
      <c r="AL218" s="268" t="n"/>
      <c r="AM218" s="259" t="e">
        <f>AM215+AM216-AM217-AK205+AM207+AM211</f>
        <v>#DIV/0!</v>
      </c>
      <c r="AN218" s="259" t="e">
        <f>AN215+AN216-AN217-AL205+AN207+AN211</f>
        <v>#DIV/0!</v>
      </c>
      <c r="AO218" s="259" t="e">
        <f>AO215+AO216-AO217-AM205+AO207+AO211</f>
        <v>#DIV/0!</v>
      </c>
      <c r="AP218" s="259" t="e">
        <f>AP215+AP216-AP217-AN205+AP207+AP211</f>
        <v>#DIV/0!</v>
      </c>
      <c r="AQ218" s="268" t="n"/>
      <c r="AR218" s="259" t="e">
        <f>AR215+AR216-AR217-AP205+AR207+AR211</f>
        <v>#DIV/0!</v>
      </c>
      <c r="AS218" s="259" t="e">
        <f>AS215+AS216-AS217-AQ205+AS207+AS211</f>
        <v>#DIV/0!</v>
      </c>
      <c r="AT218" s="259" t="e">
        <f>AT215+AT216-AT217-AR205+AT207+AT211</f>
        <v>#DIV/0!</v>
      </c>
      <c r="AU218" s="259" t="e">
        <f>AU215+AU216-AU217-AS205+AU207+AU211</f>
        <v>#DIV/0!</v>
      </c>
      <c r="AV218" s="268" t="n"/>
      <c r="AW218" s="259" t="e">
        <f>AW215+AW216-AW217-AU205+AW207+AW211</f>
        <v>#DIV/0!</v>
      </c>
      <c r="AX218" s="259" t="e">
        <f>AX215+AX216-AX217-AV205+AX207+AX211</f>
        <v>#DIV/0!</v>
      </c>
      <c r="AY218" s="259" t="e">
        <f>AY215+AY216-AY217-AW205+AY207+AY211</f>
        <v>#DIV/0!</v>
      </c>
      <c r="AZ218" s="259" t="e">
        <f>AZ215+AZ216-AZ217-AX205+AZ207+AZ211</f>
        <v>#DIV/0!</v>
      </c>
      <c r="BA218" s="268" t="n"/>
      <c r="BB218" s="259" t="e">
        <f>BB215+BB216-BB217-AZ205+BB207+BB211</f>
        <v>#DIV/0!</v>
      </c>
      <c r="BC218" s="259" t="e">
        <f>BC215+BC216-BC217-BA205+BC207+BC211</f>
        <v>#DIV/0!</v>
      </c>
      <c r="BD218" s="259" t="e">
        <f>BD215+BD216-BD217-BB205+BD207+BD211</f>
        <v>#DIV/0!</v>
      </c>
      <c r="BE218" s="259" t="e">
        <f>BE215+BE216-BE217-BC205+BE207+BE211</f>
        <v>#DIV/0!</v>
      </c>
      <c r="BF218" s="268" t="n"/>
      <c r="BG218" s="259" t="e">
        <f>BG215+BG216-BG217-BE205+BG207+BG211</f>
        <v>#DIV/0!</v>
      </c>
      <c r="BH218" s="259" t="e">
        <f>BH215+BH216-BH217-BF205+BH207+BH211</f>
        <v>#DIV/0!</v>
      </c>
      <c r="BI218" s="259" t="e">
        <f>BI215+BI216-BI217-BG205+BI207+BI211</f>
        <v>#DIV/0!</v>
      </c>
      <c r="BJ218" s="259" t="e">
        <f>BJ215+BJ216-BJ217-BH205+BJ207+BJ211</f>
        <v>#DIV/0!</v>
      </c>
      <c r="BK218" s="268" t="n"/>
      <c r="BL218" s="259" t="e">
        <f>BL215+BL216-BL217-BJ205+BL207+BL211</f>
        <v>#DIV/0!</v>
      </c>
      <c r="BM218" s="259" t="e">
        <f>BM215+BM216-BM217-BK205+BM207+BM211</f>
        <v>#DIV/0!</v>
      </c>
      <c r="BN218" s="259" t="e">
        <f>BN215+BN216-BN217-BL205+BN207+BN211</f>
        <v>#DIV/0!</v>
      </c>
      <c r="BO218" s="259" t="e">
        <f>BO215+BO216-BO217-BM205+BO207+BO211</f>
        <v>#DIV/0!</v>
      </c>
      <c r="BP218" s="268" t="n"/>
      <c r="BQ218" s="259" t="e">
        <f>BQ215+BQ216-BQ217-BO205+BQ207+BQ211</f>
        <v>#DIV/0!</v>
      </c>
      <c r="BR218" s="259" t="e">
        <f>BR215+BR216-BR217-BP205+BR207+BR211</f>
        <v>#DIV/0!</v>
      </c>
      <c r="BS218" s="259" t="e">
        <f>BS215+BS216-BS217-BQ205+BS207+BS211</f>
        <v>#DIV/0!</v>
      </c>
      <c r="BT218" s="259" t="e">
        <f>BT215+BT216-BT217-BR205+BT207+BT211</f>
        <v>#DIV/0!</v>
      </c>
      <c r="BU218" s="268" t="n"/>
      <c r="BV218" s="259" t="e">
        <f>BV215+BV216-BV217-BT205+BV207+BV211</f>
        <v>#DIV/0!</v>
      </c>
      <c r="BW218" s="259" t="e">
        <f>BW215+BW216-BW217-BU205+BW207+BW211</f>
        <v>#DIV/0!</v>
      </c>
      <c r="BX218" s="259" t="e">
        <f>BX215+BX216-BX217-BV205+BX207+BX211</f>
        <v>#DIV/0!</v>
      </c>
      <c r="BY218" s="259" t="e">
        <f>BY215+BY216-BY217-BW205+BY207+BY211</f>
        <v>#DIV/0!</v>
      </c>
      <c r="BZ218" s="268" t="n"/>
      <c r="CA218" s="259" t="e">
        <f>CA215+CA216-CA217-BY205+CA207+CA211</f>
        <v>#DIV/0!</v>
      </c>
      <c r="CB218" s="259" t="e">
        <f>CB215+CB216-CB217-BZ205+CB207+CB211</f>
        <v>#DIV/0!</v>
      </c>
      <c r="CC218" s="259" t="e">
        <f>CC215+CC216-CC217-CA205+CC207+CC211</f>
        <v>#DIV/0!</v>
      </c>
      <c r="CD218" s="259" t="e">
        <f>CD215+CD216-CD217-CB205+CD207+CD211</f>
        <v>#DIV/0!</v>
      </c>
      <c r="CE218" s="268" t="n"/>
      <c r="CF218" s="259" t="e">
        <f>CF215+CF216-CF217-CD205+CF207+CF211</f>
        <v>#DIV/0!</v>
      </c>
      <c r="CG218" s="259" t="e">
        <f>CG215+CG216-CG217-CE205+CG207+CG211</f>
        <v>#DIV/0!</v>
      </c>
      <c r="CH218" s="259" t="e">
        <f>CH215+CH216-CH217-CF205+CH207+CH211</f>
        <v>#DIV/0!</v>
      </c>
      <c r="CI218" s="259" t="e">
        <f>CI215+CI216-CI217-CG205+CI207+CI211</f>
        <v>#DIV/0!</v>
      </c>
      <c r="CJ218" s="268" t="n"/>
      <c r="CK218" s="259" t="e">
        <f>CK215+CK216-CK217-CI205+CK207+CK211</f>
        <v>#DIV/0!</v>
      </c>
      <c r="CL218" s="259" t="e">
        <f>CL215+CL216-CL217-CJ205+CL207+CL211</f>
        <v>#DIV/0!</v>
      </c>
      <c r="CM218" s="259" t="e">
        <f>CM215+CM216-CM217-CK205+CM207+CM211</f>
        <v>#DIV/0!</v>
      </c>
      <c r="CN218" s="259" t="e">
        <f>CN215+CN216-CN217-CL205+CN207+CN211</f>
        <v>#DIV/0!</v>
      </c>
      <c r="CO218" s="268" t="n"/>
      <c r="CP218" s="259" t="e">
        <f>CP215+CP216-CP217-CN205+CP207+CP211</f>
        <v>#DIV/0!</v>
      </c>
      <c r="CQ218" s="259" t="e">
        <f>CQ215+CQ216-CQ217-CO205+CQ207+CQ211</f>
        <v>#DIV/0!</v>
      </c>
      <c r="CR218" s="259" t="e">
        <f>CR215+CR216-CR217-CP205+CR207+CR211</f>
        <v>#DIV/0!</v>
      </c>
      <c r="CS218" s="259" t="e">
        <f>CS215+CS216-CS217-CQ205+CS207+CS211</f>
        <v>#DIV/0!</v>
      </c>
      <c r="CT218" s="268" t="n"/>
      <c r="CU218" s="259" t="e">
        <f>CU215+CU216-CU217-CS205+CU207+CU211</f>
        <v>#DIV/0!</v>
      </c>
      <c r="CV218" s="259" t="e">
        <f>CV215+CV216-CV217-CT205+CV207+CV211</f>
        <v>#DIV/0!</v>
      </c>
      <c r="CW218" s="259" t="e">
        <f>CW215+CW216-CW217-CU205+CW207+CW211</f>
        <v>#DIV/0!</v>
      </c>
      <c r="CX218" s="259" t="e">
        <f>CX215+CX216-CX217-CV205+CX207+CX211</f>
        <v>#DIV/0!</v>
      </c>
      <c r="CY218" s="268" t="n"/>
    </row>
    <row r="219" hidden="1" outlineLevel="1" ht="12.75" customHeight="1" s="255">
      <c r="C219" s="312" t="inlineStr">
        <is>
          <t>Short term debt</t>
        </is>
      </c>
      <c r="D219" s="268" t="n"/>
      <c r="E219" s="268" t="n"/>
      <c r="F219" s="268" t="n"/>
      <c r="G219" s="268" t="n"/>
      <c r="H219" s="268" t="n"/>
      <c r="I219" s="268" t="n"/>
      <c r="J219" s="268" t="n"/>
      <c r="K219" s="268" t="n"/>
      <c r="L219" s="268" t="n"/>
      <c r="M219" s="268" t="n"/>
      <c r="N219" s="268" t="n"/>
      <c r="O219" s="268" t="n"/>
      <c r="P219" s="268" t="n"/>
      <c r="Q219" s="268" t="n"/>
      <c r="R219" s="268" t="n"/>
      <c r="S219" s="268" t="n"/>
      <c r="T219" s="268" t="n"/>
      <c r="U219" s="268" t="n"/>
      <c r="V219" s="268" t="n"/>
      <c r="W219" s="268" t="n"/>
      <c r="X219" s="268" t="n"/>
      <c r="Y219" s="268" t="n"/>
      <c r="Z219" s="268" t="n"/>
      <c r="AA219" s="268" t="n"/>
      <c r="AB219" s="268" t="n"/>
      <c r="AC219" s="268" t="n"/>
      <c r="AD219" s="268" t="n"/>
      <c r="AE219" s="268" t="n"/>
      <c r="AF219" s="268" t="n"/>
      <c r="AG219" s="268" t="n"/>
      <c r="AH219" s="268">
        <f>AH199</f>
        <v>0</v>
      </c>
      <c r="AI219" s="268">
        <f>MAX(0,AH219-AI218)</f>
        <v>0</v>
      </c>
      <c r="AJ219" s="268">
        <f>MAX(0,AI219-AJ218)</f>
        <v>14064</v>
      </c>
      <c r="AK219" s="268">
        <f>MAX(0,AJ219-AK218)</f>
        <v>14021</v>
      </c>
      <c r="AL219" s="268" t="n"/>
      <c r="AM219" s="268">
        <f>AM199</f>
        <v>0</v>
      </c>
      <c r="AN219" s="268" t="e">
        <f>MAX(0,AM219-AN218)</f>
        <v>#DIV/0!</v>
      </c>
      <c r="AO219" s="268" t="e">
        <f>MAX(0,AN219-AO218)</f>
        <v>#DIV/0!</v>
      </c>
      <c r="AP219" s="268" t="e">
        <f>MAX(0,AO219-AP218)</f>
        <v>#DIV/0!</v>
      </c>
      <c r="AQ219" s="268" t="n"/>
      <c r="AR219" s="268">
        <f>AR199</f>
        <v>0</v>
      </c>
      <c r="AS219" s="268" t="e">
        <f>MAX(0,AR219-AS218)</f>
        <v>#DIV/0!</v>
      </c>
      <c r="AT219" s="268" t="e">
        <f>MAX(0,AS219-AT218)</f>
        <v>#DIV/0!</v>
      </c>
      <c r="AU219" s="268" t="e">
        <f>MAX(0,AT219-AU218)</f>
        <v>#DIV/0!</v>
      </c>
      <c r="AV219" s="268" t="n"/>
      <c r="AW219" s="268">
        <f>AW199</f>
        <v>0</v>
      </c>
      <c r="AX219" s="268" t="e">
        <f>MAX(0,AW219-AX218)</f>
        <v>#DIV/0!</v>
      </c>
      <c r="AY219" s="268" t="e">
        <f>MAX(0,AX219-AY218)</f>
        <v>#DIV/0!</v>
      </c>
      <c r="AZ219" s="268" t="e">
        <f>MAX(0,AY219-AZ218)</f>
        <v>#DIV/0!</v>
      </c>
      <c r="BA219" s="268" t="n"/>
      <c r="BB219" s="268">
        <f>BB199</f>
        <v>0</v>
      </c>
      <c r="BC219" s="268" t="e">
        <f>MAX(0,BB219-BC218)</f>
        <v>#DIV/0!</v>
      </c>
      <c r="BD219" s="268" t="e">
        <f>MAX(0,BC219-BD218)</f>
        <v>#DIV/0!</v>
      </c>
      <c r="BE219" s="268" t="e">
        <f>MAX(0,BD219-BE218)</f>
        <v>#DIV/0!</v>
      </c>
      <c r="BF219" s="268" t="n"/>
      <c r="BG219" s="268">
        <f>BG199</f>
        <v>0</v>
      </c>
      <c r="BH219" s="268" t="e">
        <f>MAX(0,BG219-BH218)</f>
        <v>#DIV/0!</v>
      </c>
      <c r="BI219" s="268" t="e">
        <f>MAX(0,BH219-BI218)</f>
        <v>#DIV/0!</v>
      </c>
      <c r="BJ219" s="268" t="e">
        <f>MAX(0,BI219-BJ218)</f>
        <v>#DIV/0!</v>
      </c>
      <c r="BK219" s="268" t="n"/>
      <c r="BL219" s="268">
        <f>BL199</f>
        <v>0</v>
      </c>
      <c r="BM219" s="268" t="e">
        <f>MAX(0,BL219-BM218)</f>
        <v>#DIV/0!</v>
      </c>
      <c r="BN219" s="268" t="e">
        <f>MAX(0,BM219-BN218)</f>
        <v>#DIV/0!</v>
      </c>
      <c r="BO219" s="268" t="e">
        <f>MAX(0,BN219-BO218)</f>
        <v>#DIV/0!</v>
      </c>
      <c r="BP219" s="268" t="n"/>
      <c r="BQ219" s="268">
        <f>BQ199</f>
        <v>0</v>
      </c>
      <c r="BR219" s="268" t="e">
        <f>MAX(0,BQ219-BR218)</f>
        <v>#DIV/0!</v>
      </c>
      <c r="BS219" s="268" t="e">
        <f>MAX(0,BR219-BS218)</f>
        <v>#DIV/0!</v>
      </c>
      <c r="BT219" s="268" t="e">
        <f>MAX(0,BS219-BT218)</f>
        <v>#DIV/0!</v>
      </c>
      <c r="BU219" s="268" t="n"/>
      <c r="BV219" s="268">
        <f>BV199</f>
        <v>0</v>
      </c>
      <c r="BW219" s="268" t="e">
        <f>MAX(0,BV219-BW218)</f>
        <v>#DIV/0!</v>
      </c>
      <c r="BX219" s="268" t="e">
        <f>MAX(0,BW219-BX218)</f>
        <v>#DIV/0!</v>
      </c>
      <c r="BY219" s="268" t="e">
        <f>MAX(0,BX219-BY218)</f>
        <v>#DIV/0!</v>
      </c>
      <c r="BZ219" s="268" t="n"/>
      <c r="CA219" s="268">
        <f>CA199</f>
        <v>0</v>
      </c>
      <c r="CB219" s="268" t="e">
        <f>MAX(0,CA219-CB218)</f>
        <v>#DIV/0!</v>
      </c>
      <c r="CC219" s="268" t="e">
        <f>MAX(0,CB219-CC218)</f>
        <v>#DIV/0!</v>
      </c>
      <c r="CD219" s="268" t="e">
        <f>MAX(0,CC219-CD218)</f>
        <v>#DIV/0!</v>
      </c>
      <c r="CE219" s="268" t="n"/>
      <c r="CF219" s="268">
        <f>CF199</f>
        <v>0</v>
      </c>
      <c r="CG219" s="268" t="e">
        <f>MAX(0,CF219-CG218)</f>
        <v>#DIV/0!</v>
      </c>
      <c r="CH219" s="268" t="e">
        <f>MAX(0,CG219-CH218)</f>
        <v>#DIV/0!</v>
      </c>
      <c r="CI219" s="268" t="e">
        <f>MAX(0,CH219-CI218)</f>
        <v>#DIV/0!</v>
      </c>
      <c r="CJ219" s="268" t="n"/>
      <c r="CK219" s="268">
        <f>CK199</f>
        <v>0</v>
      </c>
      <c r="CL219" s="268" t="e">
        <f>MAX(0,CK219-CL218)</f>
        <v>#DIV/0!</v>
      </c>
      <c r="CM219" s="268" t="e">
        <f>MAX(0,CL219-CM218)</f>
        <v>#DIV/0!</v>
      </c>
      <c r="CN219" s="268" t="e">
        <f>MAX(0,CM219-CN218)</f>
        <v>#DIV/0!</v>
      </c>
      <c r="CO219" s="268" t="n"/>
      <c r="CP219" s="268">
        <f>CP199</f>
        <v>0</v>
      </c>
      <c r="CQ219" s="268" t="e">
        <f>MAX(0,CP219-CQ218)</f>
        <v>#DIV/0!</v>
      </c>
      <c r="CR219" s="268" t="e">
        <f>MAX(0,CQ219-CR218)</f>
        <v>#DIV/0!</v>
      </c>
      <c r="CS219" s="268" t="e">
        <f>MAX(0,CR219-CS218)</f>
        <v>#DIV/0!</v>
      </c>
      <c r="CT219" s="268" t="n"/>
      <c r="CU219" s="268">
        <f>CU199</f>
        <v>0</v>
      </c>
      <c r="CV219" s="268" t="e">
        <f>MAX(0,CU219-CV218)</f>
        <v>#DIV/0!</v>
      </c>
      <c r="CW219" s="268" t="e">
        <f>MAX(0,CV219-CW218)</f>
        <v>#DIV/0!</v>
      </c>
      <c r="CX219" s="268" t="e">
        <f>MAX(0,CW219-CX218)</f>
        <v>#DIV/0!</v>
      </c>
      <c r="CY219" s="268" t="n"/>
    </row>
    <row r="220" hidden="1" outlineLevel="1" ht="12.75" customHeight="1" s="255">
      <c r="C220" s="312" t="n"/>
      <c r="D220" s="268" t="n"/>
      <c r="E220" s="268" t="n"/>
      <c r="F220" s="268" t="n"/>
      <c r="G220" s="268" t="n"/>
      <c r="H220" s="268" t="n"/>
      <c r="I220" s="268" t="n"/>
      <c r="J220" s="268" t="n"/>
      <c r="K220" s="268" t="n"/>
      <c r="L220" s="268" t="n"/>
      <c r="M220" s="268" t="n"/>
      <c r="N220" s="268" t="n"/>
      <c r="O220" s="268" t="n"/>
      <c r="P220" s="268" t="n"/>
      <c r="Q220" s="268" t="n"/>
      <c r="R220" s="268" t="n"/>
      <c r="S220" s="268" t="n"/>
      <c r="T220" s="268" t="n"/>
      <c r="U220" s="268" t="n"/>
      <c r="V220" s="268" t="n"/>
      <c r="W220" s="268" t="n"/>
      <c r="X220" s="268" t="n"/>
      <c r="Y220" s="268" t="n"/>
      <c r="Z220" s="268" t="n"/>
      <c r="AA220" s="268" t="n"/>
      <c r="AB220" s="268" t="n"/>
      <c r="AC220" s="268" t="n"/>
      <c r="AD220" s="268" t="n"/>
      <c r="AE220" s="268" t="n"/>
      <c r="AF220" s="268" t="n"/>
      <c r="AG220" s="268" t="n"/>
      <c r="AH220" s="268" t="n"/>
      <c r="AI220" s="268" t="n"/>
      <c r="AJ220" s="268" t="n"/>
      <c r="AK220" s="268" t="n"/>
      <c r="AL220" s="268" t="n"/>
      <c r="AM220" s="268" t="n"/>
      <c r="AN220" s="268" t="n"/>
      <c r="AO220" s="268" t="n"/>
      <c r="AP220" s="268" t="n"/>
      <c r="AQ220" s="268" t="n"/>
      <c r="AR220" s="268" t="n"/>
      <c r="AS220" s="268" t="n"/>
      <c r="AT220" s="268" t="n"/>
      <c r="AU220" s="268" t="n"/>
      <c r="AV220" s="268" t="n"/>
      <c r="AW220" s="268" t="n"/>
      <c r="AX220" s="268" t="n"/>
      <c r="AY220" s="268" t="n"/>
      <c r="AZ220" s="268" t="n"/>
      <c r="BA220" s="268" t="n"/>
      <c r="BB220" s="268" t="n"/>
      <c r="BC220" s="268" t="n"/>
      <c r="BD220" s="268" t="n"/>
      <c r="BE220" s="268" t="n"/>
      <c r="BF220" s="268" t="n"/>
      <c r="BG220" s="268" t="n"/>
      <c r="BH220" s="268" t="n"/>
      <c r="BI220" s="268" t="n"/>
      <c r="BJ220" s="268" t="n"/>
      <c r="BK220" s="268" t="n"/>
      <c r="BL220" s="268" t="n"/>
      <c r="BM220" s="268" t="n"/>
      <c r="BN220" s="268" t="n"/>
      <c r="BO220" s="268" t="n"/>
      <c r="BP220" s="268" t="n"/>
      <c r="BQ220" s="268" t="n"/>
      <c r="BR220" s="268" t="n"/>
      <c r="BS220" s="268" t="n"/>
      <c r="BT220" s="268" t="n"/>
      <c r="BU220" s="268" t="n"/>
      <c r="BV220" s="268" t="n"/>
      <c r="BW220" s="268" t="n"/>
      <c r="BX220" s="268" t="n"/>
      <c r="BY220" s="268" t="n"/>
      <c r="BZ220" s="268" t="n"/>
      <c r="CA220" s="268" t="n"/>
      <c r="CB220" s="268" t="n"/>
      <c r="CC220" s="268" t="n"/>
      <c r="CD220" s="268" t="n"/>
      <c r="CE220" s="268" t="n"/>
      <c r="CF220" s="268" t="n"/>
      <c r="CG220" s="268" t="n"/>
      <c r="CH220" s="268" t="n"/>
      <c r="CI220" s="268" t="n"/>
      <c r="CJ220" s="268" t="n"/>
      <c r="CK220" s="268" t="n"/>
      <c r="CL220" s="268" t="n"/>
      <c r="CM220" s="268" t="n"/>
      <c r="CN220" s="268" t="n"/>
      <c r="CO220" s="268" t="n"/>
      <c r="CP220" s="268" t="n"/>
      <c r="CQ220" s="268" t="n"/>
      <c r="CR220" s="268" t="n"/>
      <c r="CS220" s="268" t="n"/>
      <c r="CT220" s="268" t="n"/>
      <c r="CU220" s="268" t="n"/>
      <c r="CV220" s="268" t="n"/>
      <c r="CW220" s="268" t="n"/>
      <c r="CX220" s="268" t="n"/>
      <c r="CY220" s="268" t="n"/>
    </row>
    <row r="221" ht="12.75" customHeight="1" s="255">
      <c r="C221" s="270" t="inlineStr">
        <is>
          <t>Long term operating leases</t>
        </is>
      </c>
      <c r="D221" s="301">
        <f>INDEX('Inputs (2)'!$D$36:$AL$36,MATCH(D$7,'Inputs (2)'!$D$2:$AL$2,0))</f>
        <v>0</v>
      </c>
      <c r="E221" s="301">
        <f>INDEX('Inputs (2)'!$D$36:$AL$36,MATCH(E$7,'Inputs (2)'!$D$2:$AL$2,0))</f>
        <v>0</v>
      </c>
      <c r="F221" s="301">
        <f>INDEX('Inputs (2)'!$D$36:$AL$36,MATCH(F$7,'Inputs (2)'!$D$2:$AL$2,0))</f>
        <v>0</v>
      </c>
      <c r="G221" s="301">
        <f>INDEX('Inputs (2)'!$D$36:$AL$36,MATCH(G$7,'Inputs (2)'!$D$2:$AL$2,0))</f>
        <v>0</v>
      </c>
      <c r="H221" s="268">
        <f>G221</f>
        <v>0</v>
      </c>
      <c r="I221" s="301">
        <f>INDEX('Inputs (2)'!$D$36:$AL$36,MATCH(I$7,'Inputs (2)'!$D$2:$AL$2,0))</f>
        <v>0</v>
      </c>
      <c r="J221" s="301">
        <f>INDEX('Inputs (2)'!$D$36:$AL$36,MATCH(J$7,'Inputs (2)'!$D$2:$AL$2,0))</f>
        <v>0</v>
      </c>
      <c r="K221" s="301">
        <f>INDEX('Inputs (2)'!$D$36:$AL$36,MATCH(K$7,'Inputs (2)'!$D$2:$AL$2,0))</f>
        <v>0</v>
      </c>
      <c r="L221" s="301">
        <f>INDEX('Inputs (2)'!$D$36:$AL$36,MATCH(L$7,'Inputs (2)'!$D$2:$AL$2,0))</f>
        <v>0</v>
      </c>
      <c r="M221" s="268">
        <f>L221</f>
        <v>0</v>
      </c>
      <c r="N221" s="301">
        <f>INDEX('Inputs (2)'!$D$36:$AL$36,MATCH(N$7,'Inputs (2)'!$D$2:$AL$2,0))</f>
        <v>0</v>
      </c>
      <c r="O221" s="301">
        <f>INDEX('Inputs (2)'!$D$36:$AL$36,MATCH(O$7,'Inputs (2)'!$D$2:$AL$2,0))</f>
        <v>0</v>
      </c>
      <c r="P221" s="301">
        <f>INDEX('Inputs (2)'!$D$36:$AL$36,MATCH(P$7,'Inputs (2)'!$D$2:$AL$2,0))</f>
        <v>0</v>
      </c>
      <c r="Q221" s="301">
        <f>INDEX('Inputs (2)'!$D$36:$AL$36,MATCH(Q$7,'Inputs (2)'!$D$2:$AL$2,0))</f>
        <v>0</v>
      </c>
      <c r="R221" s="268">
        <f>Q221</f>
        <v>0</v>
      </c>
      <c r="S221" s="301">
        <f>INDEX('Inputs (2)'!$D$36:$AL$36,MATCH(S$7,'Inputs (2)'!$D$2:$AL$2,0))</f>
        <v>0</v>
      </c>
      <c r="T221" s="301">
        <f>INDEX('Inputs (2)'!$D$36:$AL$36,MATCH(T$7,'Inputs (2)'!$D$2:$AL$2,0))</f>
        <v>0</v>
      </c>
      <c r="U221" s="301">
        <f>INDEX('Inputs (2)'!$D$36:$AL$36,MATCH(U$7,'Inputs (2)'!$D$2:$AL$2,0))</f>
        <v>0</v>
      </c>
      <c r="V221" s="301">
        <f>INDEX('Inputs (2)'!$D$36:$AL$36,MATCH(V$7,'Inputs (2)'!$D$2:$AL$2,0))</f>
        <v>0</v>
      </c>
      <c r="W221" s="268">
        <f>V221</f>
        <v>0</v>
      </c>
      <c r="X221" s="301">
        <f>INDEX('Inputs (2)'!$D$36:$AL$36,MATCH(X$7,'Inputs (2)'!$D$2:$AL$2,0))</f>
        <v>0</v>
      </c>
      <c r="Y221" s="301">
        <f>INDEX('Inputs (2)'!$D$36:$AL$36,MATCH(Y$7,'Inputs (2)'!$D$2:$AL$2,0))</f>
        <v>0</v>
      </c>
      <c r="Z221" s="301">
        <f>INDEX('Inputs (2)'!$D$36:$AL$36,MATCH(Z$7,'Inputs (2)'!$D$2:$AL$2,0))</f>
        <v>0</v>
      </c>
      <c r="AA221" s="301">
        <f>INDEX('Inputs (2)'!$D$36:$AL$36,MATCH(AA$7,'Inputs (2)'!$D$2:$AL$2,0))</f>
        <v>2388.912</v>
      </c>
      <c r="AB221" s="268">
        <f>AA221</f>
        <v>2388.912</v>
      </c>
      <c r="AC221" s="301">
        <f>INDEX('Inputs (2)'!$D$36:$AL$36,MATCH(AC$7,'Inputs (2)'!$D$2:$AL$2,0))</f>
        <v>2867.838</v>
      </c>
      <c r="AD221" s="301">
        <f>INDEX('Inputs (2)'!$D$36:$AL$36,MATCH(AD$7,'Inputs (2)'!$D$2:$AL$2,0))</f>
        <v>3168.392</v>
      </c>
      <c r="AE221" s="301">
        <f>INDEX('Inputs (2)'!$D$36:$AL$36,MATCH(AE$7,'Inputs (2)'!$D$2:$AL$2,0))</f>
        <v>4378.869</v>
      </c>
      <c r="AF221" s="301">
        <f>INDEX('Inputs (2)'!$D$36:$AL$36,MATCH(AF$7,'Inputs (2)'!$D$2:$AL$2,0))</f>
        <v>7768</v>
      </c>
      <c r="AG221" s="268">
        <f>AF221</f>
        <v>7768</v>
      </c>
      <c r="AH221" s="268">
        <f>INDEX('Inputs (2)'!$D$36:$AL$36,MATCH(AH$7,'Inputs (2)'!$D$2:$AL$2,0))</f>
        <v>9563</v>
      </c>
      <c r="AI221" s="268">
        <f>INDEX('Inputs (2)'!$D$36:$AL$36,MATCH(AI$7,'Inputs (2)'!$D$2:$AL$2,0))</f>
        <v>15735</v>
      </c>
      <c r="AJ221" s="268">
        <f>AI221</f>
        <v>15735</v>
      </c>
      <c r="AK221" s="268">
        <f>AJ221</f>
        <v>15735</v>
      </c>
      <c r="AL221" s="268">
        <f>AK221</f>
        <v>15735</v>
      </c>
      <c r="AM221" s="268">
        <f>AL221</f>
        <v>15735</v>
      </c>
      <c r="AN221" s="268">
        <f>AM221</f>
        <v>15735</v>
      </c>
      <c r="AO221" s="268">
        <f>AN221</f>
        <v>15735</v>
      </c>
      <c r="AP221" s="268">
        <f>AO221</f>
        <v>15735</v>
      </c>
      <c r="AQ221" s="268">
        <f>AP221</f>
        <v>15735</v>
      </c>
      <c r="AR221" s="268">
        <f>AQ221</f>
        <v>15735</v>
      </c>
      <c r="AS221" s="268">
        <f>AR221</f>
        <v>15735</v>
      </c>
      <c r="AT221" s="268">
        <f>AS221</f>
        <v>15735</v>
      </c>
      <c r="AU221" s="268">
        <f>AT221</f>
        <v>15735</v>
      </c>
      <c r="AV221" s="268">
        <f>AU221</f>
        <v>15735</v>
      </c>
      <c r="AW221" s="268">
        <f>AV221</f>
        <v>15735</v>
      </c>
      <c r="AX221" s="268">
        <f>AW221</f>
        <v>15735</v>
      </c>
      <c r="AY221" s="268">
        <f>AX221</f>
        <v>15735</v>
      </c>
      <c r="AZ221" s="268">
        <f>AY221</f>
        <v>15735</v>
      </c>
      <c r="BA221" s="268">
        <f>AZ221</f>
        <v>15735</v>
      </c>
      <c r="BB221" s="268">
        <f>BA221</f>
        <v>15735</v>
      </c>
      <c r="BC221" s="268">
        <f>BB221</f>
        <v>15735</v>
      </c>
      <c r="BD221" s="268">
        <f>BC221</f>
        <v>15735</v>
      </c>
      <c r="BE221" s="268">
        <f>BD221</f>
        <v>15735</v>
      </c>
      <c r="BF221" s="268">
        <f>BE221</f>
        <v>15735</v>
      </c>
      <c r="BG221" s="268">
        <f>BF221</f>
        <v>15735</v>
      </c>
      <c r="BH221" s="268">
        <f>BG221</f>
        <v>15735</v>
      </c>
      <c r="BI221" s="268">
        <f>BH221</f>
        <v>15735</v>
      </c>
      <c r="BJ221" s="268">
        <f>BI221</f>
        <v>15735</v>
      </c>
      <c r="BK221" s="268">
        <f>BJ221</f>
        <v>15735</v>
      </c>
      <c r="BL221" s="268">
        <f>BK221</f>
        <v>15735</v>
      </c>
      <c r="BM221" s="268">
        <f>BL221</f>
        <v>15735</v>
      </c>
      <c r="BN221" s="268">
        <f>BM221</f>
        <v>15735</v>
      </c>
      <c r="BO221" s="268">
        <f>BN221</f>
        <v>15735</v>
      </c>
      <c r="BP221" s="268">
        <f>BO221</f>
        <v>15735</v>
      </c>
      <c r="BQ221" s="268">
        <f>BP221</f>
        <v>15735</v>
      </c>
      <c r="BR221" s="268">
        <f>BQ221</f>
        <v>15735</v>
      </c>
      <c r="BS221" s="268">
        <f>BR221</f>
        <v>15735</v>
      </c>
      <c r="BT221" s="268">
        <f>BS221</f>
        <v>15735</v>
      </c>
      <c r="BU221" s="268">
        <f>BT221</f>
        <v>15735</v>
      </c>
      <c r="BV221" s="268">
        <f>BU221</f>
        <v>15735</v>
      </c>
      <c r="BW221" s="268">
        <f>BV221</f>
        <v>15735</v>
      </c>
      <c r="BX221" s="268">
        <f>BW221</f>
        <v>15735</v>
      </c>
      <c r="BY221" s="268">
        <f>BX221</f>
        <v>15735</v>
      </c>
      <c r="BZ221" s="268">
        <f>BY221</f>
        <v>15735</v>
      </c>
      <c r="CA221" s="268">
        <f>BZ221</f>
        <v>15735</v>
      </c>
      <c r="CB221" s="268">
        <f>CA221</f>
        <v>15735</v>
      </c>
      <c r="CC221" s="268">
        <f>CB221</f>
        <v>15735</v>
      </c>
      <c r="CD221" s="268">
        <f>CC221</f>
        <v>15735</v>
      </c>
      <c r="CE221" s="268">
        <f>CD221</f>
        <v>15735</v>
      </c>
      <c r="CF221" s="268">
        <f>CE221</f>
        <v>15735</v>
      </c>
      <c r="CG221" s="268">
        <f>CF221</f>
        <v>15735</v>
      </c>
      <c r="CH221" s="268">
        <f>CG221</f>
        <v>15735</v>
      </c>
      <c r="CI221" s="268">
        <f>CH221</f>
        <v>15735</v>
      </c>
      <c r="CJ221" s="268">
        <f>CI221</f>
        <v>15735</v>
      </c>
      <c r="CK221" s="268">
        <f>CJ221</f>
        <v>15735</v>
      </c>
      <c r="CL221" s="268">
        <f>CK221</f>
        <v>15735</v>
      </c>
      <c r="CM221" s="268">
        <f>CL221</f>
        <v>15735</v>
      </c>
      <c r="CN221" s="268">
        <f>CM221</f>
        <v>15735</v>
      </c>
      <c r="CO221" s="268">
        <f>CN221</f>
        <v>15735</v>
      </c>
      <c r="CP221" s="268">
        <f>CO221</f>
        <v>15735</v>
      </c>
      <c r="CQ221" s="268">
        <f>CP221</f>
        <v>15735</v>
      </c>
      <c r="CR221" s="268">
        <f>CQ221</f>
        <v>15735</v>
      </c>
      <c r="CS221" s="268">
        <f>CR221</f>
        <v>15735</v>
      </c>
      <c r="CT221" s="268">
        <f>CS221</f>
        <v>15735</v>
      </c>
      <c r="CU221" s="268">
        <f>CT221</f>
        <v>15735</v>
      </c>
      <c r="CV221" s="268">
        <f>CU221</f>
        <v>15735</v>
      </c>
      <c r="CW221" s="268">
        <f>CV221</f>
        <v>15735</v>
      </c>
      <c r="CX221" s="268">
        <f>CW221</f>
        <v>15735</v>
      </c>
      <c r="CY221" s="268">
        <f>CX221</f>
        <v>15735</v>
      </c>
    </row>
    <row r="222" hidden="1" outlineLevel="1" ht="12.75" customHeight="1" s="255">
      <c r="C222" s="314" t="inlineStr">
        <is>
          <t>%(Var.)</t>
        </is>
      </c>
      <c r="D222" s="268" t="n"/>
      <c r="E222" s="296">
        <f>IFERROR((E221-D221)/D221,0)</f>
        <v>0</v>
      </c>
      <c r="F222" s="296">
        <f>IFERROR((F221-E221)/E221,0)</f>
        <v>0</v>
      </c>
      <c r="G222" s="296">
        <f>IFERROR((G221-F221)/F221,0)</f>
        <v>0</v>
      </c>
      <c r="H222" s="268" t="n"/>
      <c r="I222" s="296">
        <f>IFERROR((I221-H221)/H221,0)</f>
        <v>0</v>
      </c>
      <c r="J222" s="296">
        <f>IFERROR((J221-I221)/I221,0)</f>
        <v>0</v>
      </c>
      <c r="K222" s="296">
        <f>IFERROR((K221-J221)/J221,0)</f>
        <v>0</v>
      </c>
      <c r="L222" s="296">
        <f>IFERROR((L221-K221)/K221,0)</f>
        <v>0</v>
      </c>
      <c r="M222" s="268" t="n"/>
      <c r="N222" s="296">
        <f>IFERROR((N221-M221)/M221,0)</f>
        <v>0</v>
      </c>
      <c r="O222" s="296">
        <f>IFERROR((O221-N221)/N221,0)</f>
        <v>0</v>
      </c>
      <c r="P222" s="296">
        <f>IFERROR((P221-O221)/O221,0)</f>
        <v>0</v>
      </c>
      <c r="Q222" s="296">
        <f>IFERROR((Q221-P221)/P221,0)</f>
        <v>0</v>
      </c>
      <c r="R222" s="268" t="n"/>
      <c r="S222" s="296">
        <f>IFERROR((S221-R221)/R221,0)</f>
        <v>0</v>
      </c>
      <c r="T222" s="296">
        <f>IFERROR((T221-S221)/S221,0)</f>
        <v>0</v>
      </c>
      <c r="U222" s="296">
        <f>IFERROR((U221-T221)/T221,0)</f>
        <v>0</v>
      </c>
      <c r="V222" s="296">
        <f>IFERROR((V221-U221)/U221,0)</f>
        <v>0</v>
      </c>
      <c r="W222" s="268" t="n"/>
      <c r="X222" s="296">
        <f>IFERROR((X221-W221)/W221,0)</f>
        <v>0</v>
      </c>
      <c r="Y222" s="296">
        <f>IFERROR((Y221-X221)/X221,0)</f>
        <v>0</v>
      </c>
      <c r="Z222" s="296">
        <f>IFERROR((Z221-Y221)/Y221,0)</f>
        <v>0</v>
      </c>
      <c r="AA222" s="296">
        <f>IFERROR((AA221-Z221)/Z221,0)</f>
        <v>0</v>
      </c>
      <c r="AB222" s="268" t="n"/>
      <c r="AC222" s="296">
        <f>IFERROR((AC221-AB221)/AB221,0)</f>
        <v>0.200478711647813</v>
      </c>
      <c r="AD222" s="296">
        <f>IFERROR((AD221-AC221)/AC221,0)</f>
        <v>0.104801596185001</v>
      </c>
      <c r="AE222" s="296">
        <f>IFERROR((AE221-AD221)/AD221,0)</f>
        <v>0.382047739042391</v>
      </c>
      <c r="AF222" s="297">
        <f>IFERROR((AF221-AE221)/AE221,0)</f>
        <v>0.773974055857803</v>
      </c>
      <c r="AG222" s="268" t="n"/>
      <c r="AH222" s="267">
        <f>IFERROR((AH221-AG221)/AG221,0)</f>
        <v>0.231076210092688</v>
      </c>
      <c r="AI222" s="267">
        <f>IFERROR((AI221-AH221)/AH221,0)</f>
        <v>0.645404161873889</v>
      </c>
      <c r="AJ222" s="267" t="n"/>
      <c r="AK222" s="267" t="n"/>
      <c r="AL222" s="268" t="n"/>
      <c r="AM222" s="267" t="n"/>
      <c r="AN222" s="267" t="n"/>
      <c r="AO222" s="267" t="n"/>
      <c r="AP222" s="267" t="n"/>
      <c r="AQ222" s="268" t="n"/>
      <c r="AR222" s="267" t="n"/>
      <c r="AS222" s="267" t="n"/>
      <c r="AT222" s="267" t="n"/>
      <c r="AU222" s="267" t="n"/>
      <c r="AV222" s="268" t="n"/>
      <c r="AW222" s="267" t="n"/>
      <c r="AX222" s="267" t="n"/>
      <c r="AY222" s="267" t="n"/>
      <c r="AZ222" s="267" t="n"/>
      <c r="BA222" s="268" t="n"/>
      <c r="BB222" s="267" t="n"/>
      <c r="BC222" s="267" t="n"/>
      <c r="BD222" s="267" t="n"/>
      <c r="BE222" s="267" t="n"/>
      <c r="BF222" s="268" t="n"/>
      <c r="BG222" s="267" t="n"/>
      <c r="BH222" s="267" t="n"/>
      <c r="BI222" s="267" t="n"/>
      <c r="BJ222" s="267" t="n"/>
      <c r="BK222" s="268" t="n"/>
      <c r="BL222" s="267" t="n"/>
      <c r="BM222" s="267" t="n"/>
      <c r="BN222" s="267" t="n"/>
      <c r="BO222" s="267" t="n"/>
      <c r="BP222" s="268" t="n"/>
      <c r="BQ222" s="267" t="n"/>
      <c r="BR222" s="267" t="n"/>
      <c r="BS222" s="267" t="n"/>
      <c r="BT222" s="267" t="n"/>
      <c r="BU222" s="268" t="n"/>
      <c r="BV222" s="267" t="n"/>
      <c r="BW222" s="267" t="n"/>
      <c r="BX222" s="267" t="n"/>
      <c r="BY222" s="267" t="n"/>
      <c r="BZ222" s="268" t="n"/>
      <c r="CA222" s="267" t="n"/>
      <c r="CB222" s="267" t="n"/>
      <c r="CC222" s="267" t="n"/>
      <c r="CD222" s="267" t="n"/>
      <c r="CE222" s="268" t="n"/>
      <c r="CF222" s="267" t="n"/>
      <c r="CG222" s="267" t="n"/>
      <c r="CH222" s="267" t="n"/>
      <c r="CI222" s="267" t="n"/>
      <c r="CJ222" s="268" t="n"/>
      <c r="CK222" s="267" t="n"/>
      <c r="CL222" s="267" t="n"/>
      <c r="CM222" s="267" t="n"/>
      <c r="CN222" s="267" t="n"/>
      <c r="CO222" s="268" t="n"/>
      <c r="CP222" s="267" t="n"/>
      <c r="CQ222" s="267" t="n"/>
      <c r="CR222" s="267" t="n"/>
      <c r="CS222" s="267" t="n"/>
      <c r="CT222" s="268" t="n"/>
      <c r="CU222" s="267" t="n"/>
      <c r="CV222" s="267" t="n"/>
      <c r="CW222" s="267" t="n"/>
      <c r="CX222" s="267" t="n"/>
      <c r="CY222" s="268" t="n"/>
    </row>
    <row r="223" hidden="1" outlineLevel="1" ht="12.75" customHeight="1" s="255">
      <c r="C223" s="312" t="n"/>
      <c r="D223" s="268" t="n"/>
      <c r="E223" s="268" t="n"/>
      <c r="F223" s="268" t="n"/>
      <c r="G223" s="268" t="n"/>
      <c r="H223" s="268" t="n"/>
      <c r="I223" s="268" t="n"/>
      <c r="J223" s="268" t="n"/>
      <c r="K223" s="268" t="n"/>
      <c r="L223" s="268" t="n"/>
      <c r="M223" s="268" t="n"/>
      <c r="N223" s="268" t="n"/>
      <c r="O223" s="268" t="n"/>
      <c r="P223" s="268" t="n"/>
      <c r="Q223" s="268" t="n"/>
      <c r="R223" s="268" t="n"/>
      <c r="S223" s="268" t="n"/>
      <c r="T223" s="268" t="n"/>
      <c r="U223" s="268" t="n"/>
      <c r="V223" s="268" t="n"/>
      <c r="W223" s="268" t="n"/>
      <c r="X223" s="268" t="n"/>
      <c r="Y223" s="268" t="n"/>
      <c r="Z223" s="268" t="n"/>
      <c r="AA223" s="268" t="n"/>
      <c r="AB223" s="268" t="n"/>
      <c r="AC223" s="268" t="n"/>
      <c r="AD223" s="268" t="n"/>
      <c r="AE223" s="268" t="n"/>
      <c r="AF223" s="268" t="n"/>
      <c r="AG223" s="268" t="n"/>
      <c r="AH223" s="268" t="n"/>
      <c r="AI223" s="268" t="n"/>
      <c r="AJ223" s="268" t="n"/>
      <c r="AK223" s="268" t="n"/>
      <c r="AL223" s="268" t="n"/>
      <c r="AM223" s="268" t="n"/>
      <c r="AN223" s="268" t="n"/>
      <c r="AO223" s="268" t="n"/>
      <c r="AP223" s="268" t="n"/>
      <c r="AQ223" s="268" t="n"/>
      <c r="AR223" s="268" t="n"/>
      <c r="AS223" s="268" t="n"/>
      <c r="AT223" s="268" t="n"/>
      <c r="AU223" s="268" t="n"/>
      <c r="AV223" s="268" t="n"/>
      <c r="AW223" s="268" t="n"/>
      <c r="AX223" s="268" t="n"/>
      <c r="AY223" s="268" t="n"/>
      <c r="AZ223" s="268" t="n"/>
      <c r="BA223" s="268" t="n"/>
      <c r="BB223" s="268" t="n"/>
      <c r="BC223" s="268" t="n"/>
      <c r="BD223" s="268" t="n"/>
      <c r="BE223" s="268" t="n"/>
      <c r="BF223" s="268" t="n"/>
      <c r="BG223" s="268" t="n"/>
      <c r="BH223" s="268" t="n"/>
      <c r="BI223" s="268" t="n"/>
      <c r="BJ223" s="268" t="n"/>
      <c r="BK223" s="268" t="n"/>
      <c r="BL223" s="268" t="n"/>
      <c r="BM223" s="268" t="n"/>
      <c r="BN223" s="268" t="n"/>
      <c r="BO223" s="268" t="n"/>
      <c r="BP223" s="268" t="n"/>
      <c r="BQ223" s="268" t="n"/>
      <c r="BR223" s="268" t="n"/>
      <c r="BS223" s="268" t="n"/>
      <c r="BT223" s="268" t="n"/>
      <c r="BU223" s="268" t="n"/>
      <c r="BV223" s="268" t="n"/>
      <c r="BW223" s="268" t="n"/>
      <c r="BX223" s="268" t="n"/>
      <c r="BY223" s="268" t="n"/>
      <c r="BZ223" s="268" t="n"/>
      <c r="CA223" s="268" t="n"/>
      <c r="CB223" s="268" t="n"/>
      <c r="CC223" s="268" t="n"/>
      <c r="CD223" s="268" t="n"/>
      <c r="CE223" s="268" t="n"/>
      <c r="CF223" s="268" t="n"/>
      <c r="CG223" s="268" t="n"/>
      <c r="CH223" s="268" t="n"/>
      <c r="CI223" s="268" t="n"/>
      <c r="CJ223" s="268" t="n"/>
      <c r="CK223" s="268" t="n"/>
      <c r="CL223" s="268" t="n"/>
      <c r="CM223" s="268" t="n"/>
      <c r="CN223" s="268" t="n"/>
      <c r="CO223" s="268" t="n"/>
      <c r="CP223" s="268" t="n"/>
      <c r="CQ223" s="268" t="n"/>
      <c r="CR223" s="268" t="n"/>
      <c r="CS223" s="268" t="n"/>
      <c r="CT223" s="268" t="n"/>
      <c r="CU223" s="268" t="n"/>
      <c r="CV223" s="268" t="n"/>
      <c r="CW223" s="268" t="n"/>
      <c r="CX223" s="268" t="n"/>
      <c r="CY223" s="268" t="n"/>
    </row>
    <row r="224" ht="12.75" customHeight="1" s="255">
      <c r="C224" s="270" t="inlineStr">
        <is>
          <t>Convertible debt</t>
        </is>
      </c>
      <c r="D224" s="301">
        <f>INDEX('Inputs (2)'!$D$37:$AL$37,MATCH(D$7,'Inputs (2)'!$D$2:$AL$2,0))</f>
        <v>0</v>
      </c>
      <c r="E224" s="301">
        <f>INDEX('Inputs (2)'!$D$37:$AL$37,MATCH(E$7,'Inputs (2)'!$D$2:$AL$2,0))</f>
        <v>0</v>
      </c>
      <c r="F224" s="301">
        <f>INDEX('Inputs (2)'!$D$37:$AL$37,MATCH(F$7,'Inputs (2)'!$D$2:$AL$2,0))</f>
        <v>0</v>
      </c>
      <c r="G224" s="301">
        <f>INDEX('Inputs (2)'!$D$37:$AL$37,MATCH(G$7,'Inputs (2)'!$D$2:$AL$2,0))</f>
        <v>0</v>
      </c>
      <c r="H224" s="268">
        <f>G224</f>
        <v>0</v>
      </c>
      <c r="I224" s="301">
        <f>INDEX('Inputs (2)'!$D$37:$AL$37,MATCH(I$7,'Inputs (2)'!$D$2:$AL$2,0))</f>
        <v>0</v>
      </c>
      <c r="J224" s="301">
        <f>INDEX('Inputs (2)'!$D$37:$AL$37,MATCH(J$7,'Inputs (2)'!$D$2:$AL$2,0))</f>
        <v>0</v>
      </c>
      <c r="K224" s="301">
        <f>INDEX('Inputs (2)'!$D$37:$AL$37,MATCH(K$7,'Inputs (2)'!$D$2:$AL$2,0))</f>
        <v>0</v>
      </c>
      <c r="L224" s="301">
        <f>INDEX('Inputs (2)'!$D$37:$AL$37,MATCH(L$7,'Inputs (2)'!$D$2:$AL$2,0))</f>
        <v>0</v>
      </c>
      <c r="M224" s="268">
        <f>L224</f>
        <v>0</v>
      </c>
      <c r="N224" s="301">
        <f>INDEX('Inputs (2)'!$D$37:$AL$37,MATCH(N$7,'Inputs (2)'!$D$2:$AL$2,0))</f>
        <v>0</v>
      </c>
      <c r="O224" s="301">
        <f>INDEX('Inputs (2)'!$D$37:$AL$37,MATCH(O$7,'Inputs (2)'!$D$2:$AL$2,0))</f>
        <v>0</v>
      </c>
      <c r="P224" s="301">
        <f>INDEX('Inputs (2)'!$D$37:$AL$37,MATCH(P$7,'Inputs (2)'!$D$2:$AL$2,0))</f>
        <v>0</v>
      </c>
      <c r="Q224" s="301">
        <f>INDEX('Inputs (2)'!$D$37:$AL$37,MATCH(Q$7,'Inputs (2)'!$D$2:$AL$2,0))</f>
        <v>0</v>
      </c>
      <c r="R224" s="268">
        <f>Q224</f>
        <v>0</v>
      </c>
      <c r="S224" s="301">
        <f>INDEX('Inputs (2)'!$D$37:$AL$37,MATCH(S$7,'Inputs (2)'!$D$2:$AL$2,0))</f>
        <v>0</v>
      </c>
      <c r="T224" s="301">
        <f>INDEX('Inputs (2)'!$D$37:$AL$37,MATCH(T$7,'Inputs (2)'!$D$2:$AL$2,0))</f>
        <v>0</v>
      </c>
      <c r="U224" s="301">
        <f>INDEX('Inputs (2)'!$D$37:$AL$37,MATCH(U$7,'Inputs (2)'!$D$2:$AL$2,0))</f>
        <v>0</v>
      </c>
      <c r="V224" s="301">
        <f>INDEX('Inputs (2)'!$D$37:$AL$37,MATCH(V$7,'Inputs (2)'!$D$2:$AL$2,0))</f>
        <v>0</v>
      </c>
      <c r="W224" s="268">
        <f>V224</f>
        <v>0</v>
      </c>
      <c r="X224" s="301">
        <f>INDEX('Inputs (2)'!$D$37:$AL$37,MATCH(X$7,'Inputs (2)'!$D$2:$AL$2,0))</f>
        <v>0</v>
      </c>
      <c r="Y224" s="301">
        <f>INDEX('Inputs (2)'!$D$37:$AL$37,MATCH(Y$7,'Inputs (2)'!$D$2:$AL$2,0))</f>
        <v>0</v>
      </c>
      <c r="Z224" s="301">
        <f>INDEX('Inputs (2)'!$D$37:$AL$37,MATCH(Z$7,'Inputs (2)'!$D$2:$AL$2,0))</f>
        <v>0</v>
      </c>
      <c r="AA224" s="301">
        <f>INDEX('Inputs (2)'!$D$37:$AL$37,MATCH(AA$7,'Inputs (2)'!$D$2:$AL$2,0))</f>
        <v>0</v>
      </c>
      <c r="AB224" s="268">
        <f>AA224</f>
        <v>0</v>
      </c>
      <c r="AC224" s="301">
        <f>INDEX('Inputs (2)'!$D$37:$AL$37,MATCH(AC$7,'Inputs (2)'!$D$2:$AL$2,0))</f>
        <v>0</v>
      </c>
      <c r="AD224" s="301">
        <f>INDEX('Inputs (2)'!$D$37:$AL$37,MATCH(AD$7,'Inputs (2)'!$D$2:$AL$2,0))</f>
        <v>0</v>
      </c>
      <c r="AE224" s="301">
        <f>INDEX('Inputs (2)'!$D$37:$AL$37,MATCH(AE$7,'Inputs (2)'!$D$2:$AL$2,0))</f>
        <v>0</v>
      </c>
      <c r="AF224" s="301">
        <f>INDEX('Inputs (2)'!$D$37:$AL$37,MATCH(AF$7,'Inputs (2)'!$D$2:$AL$2,0))</f>
        <v>0</v>
      </c>
      <c r="AG224" s="268">
        <f>AF224</f>
        <v>0</v>
      </c>
      <c r="AH224" s="268">
        <f>INDEX('Inputs (2)'!$D$37:$AL$37,MATCH(AH$7,'Inputs (2)'!$D$2:$AL$2,0))</f>
        <v>0</v>
      </c>
      <c r="AI224" s="268">
        <f>INDEX('Inputs (2)'!$D$37:$AL$37,MATCH(AI$7,'Inputs (2)'!$D$2:$AL$2,0))</f>
        <v>0</v>
      </c>
      <c r="AJ224" s="268">
        <f>AI224</f>
        <v>0</v>
      </c>
      <c r="AK224" s="268">
        <f>AJ224</f>
        <v>0</v>
      </c>
      <c r="AL224" s="268">
        <f>AK224</f>
        <v>0</v>
      </c>
      <c r="AM224" s="268">
        <f>AL224</f>
        <v>0</v>
      </c>
      <c r="AN224" s="268">
        <f>AM224</f>
        <v>0</v>
      </c>
      <c r="AO224" s="268">
        <f>AN224</f>
        <v>0</v>
      </c>
      <c r="AP224" s="268">
        <f>AO224</f>
        <v>0</v>
      </c>
      <c r="AQ224" s="268">
        <f>AP224</f>
        <v>0</v>
      </c>
      <c r="AR224" s="268">
        <f>AQ224</f>
        <v>0</v>
      </c>
      <c r="AS224" s="268">
        <f>AR224</f>
        <v>0</v>
      </c>
      <c r="AT224" s="268">
        <f>AS224</f>
        <v>0</v>
      </c>
      <c r="AU224" s="268">
        <f>AT224</f>
        <v>0</v>
      </c>
      <c r="AV224" s="268">
        <f>AU224</f>
        <v>0</v>
      </c>
      <c r="AW224" s="268">
        <f>AV224</f>
        <v>0</v>
      </c>
      <c r="AX224" s="268">
        <f>AW224</f>
        <v>0</v>
      </c>
      <c r="AY224" s="268">
        <f>AX224</f>
        <v>0</v>
      </c>
      <c r="AZ224" s="268">
        <f>AY224</f>
        <v>0</v>
      </c>
      <c r="BA224" s="268">
        <f>AZ224</f>
        <v>0</v>
      </c>
      <c r="BB224" s="268">
        <f>BA224</f>
        <v>0</v>
      </c>
      <c r="BC224" s="268">
        <f>BB224</f>
        <v>0</v>
      </c>
      <c r="BD224" s="268">
        <f>BC224</f>
        <v>0</v>
      </c>
      <c r="BE224" s="268">
        <f>BD224</f>
        <v>0</v>
      </c>
      <c r="BF224" s="268">
        <f>BE224</f>
        <v>0</v>
      </c>
      <c r="BG224" s="268">
        <f>BF224</f>
        <v>0</v>
      </c>
      <c r="BH224" s="268">
        <f>BG224</f>
        <v>0</v>
      </c>
      <c r="BI224" s="268">
        <f>BH224</f>
        <v>0</v>
      </c>
      <c r="BJ224" s="268">
        <f>BI224</f>
        <v>0</v>
      </c>
      <c r="BK224" s="268">
        <f>BJ224</f>
        <v>0</v>
      </c>
      <c r="BL224" s="268">
        <f>BK224</f>
        <v>0</v>
      </c>
      <c r="BM224" s="268">
        <f>BL224</f>
        <v>0</v>
      </c>
      <c r="BN224" s="268">
        <f>BM224</f>
        <v>0</v>
      </c>
      <c r="BO224" s="268">
        <f>BN224</f>
        <v>0</v>
      </c>
      <c r="BP224" s="268">
        <f>BO224</f>
        <v>0</v>
      </c>
      <c r="BQ224" s="268">
        <f>BP224</f>
        <v>0</v>
      </c>
      <c r="BR224" s="268">
        <f>BQ224</f>
        <v>0</v>
      </c>
      <c r="BS224" s="268">
        <f>BR224</f>
        <v>0</v>
      </c>
      <c r="BT224" s="268">
        <f>BS224</f>
        <v>0</v>
      </c>
      <c r="BU224" s="268">
        <f>BT224</f>
        <v>0</v>
      </c>
      <c r="BV224" s="268">
        <f>BU224</f>
        <v>0</v>
      </c>
      <c r="BW224" s="268">
        <f>BV224</f>
        <v>0</v>
      </c>
      <c r="BX224" s="268">
        <f>BW224</f>
        <v>0</v>
      </c>
      <c r="BY224" s="268">
        <f>BX224</f>
        <v>0</v>
      </c>
      <c r="BZ224" s="268">
        <f>BY224</f>
        <v>0</v>
      </c>
      <c r="CA224" s="268">
        <f>BZ224</f>
        <v>0</v>
      </c>
      <c r="CB224" s="268">
        <f>CA224</f>
        <v>0</v>
      </c>
      <c r="CC224" s="268">
        <f>CB224</f>
        <v>0</v>
      </c>
      <c r="CD224" s="268">
        <f>CC224</f>
        <v>0</v>
      </c>
      <c r="CE224" s="268">
        <f>CD224</f>
        <v>0</v>
      </c>
      <c r="CF224" s="268">
        <f>CE224</f>
        <v>0</v>
      </c>
      <c r="CG224" s="268">
        <f>CF224</f>
        <v>0</v>
      </c>
      <c r="CH224" s="268">
        <f>CG224</f>
        <v>0</v>
      </c>
      <c r="CI224" s="268">
        <f>CH224</f>
        <v>0</v>
      </c>
      <c r="CJ224" s="268">
        <f>CI224</f>
        <v>0</v>
      </c>
      <c r="CK224" s="268">
        <f>CJ224</f>
        <v>0</v>
      </c>
      <c r="CL224" s="268">
        <f>CK224</f>
        <v>0</v>
      </c>
      <c r="CM224" s="268">
        <f>CL224</f>
        <v>0</v>
      </c>
      <c r="CN224" s="268">
        <f>CM224</f>
        <v>0</v>
      </c>
      <c r="CO224" s="268">
        <f>CN224</f>
        <v>0</v>
      </c>
      <c r="CP224" s="268">
        <f>CO224</f>
        <v>0</v>
      </c>
      <c r="CQ224" s="268">
        <f>CP224</f>
        <v>0</v>
      </c>
      <c r="CR224" s="268">
        <f>CQ224</f>
        <v>0</v>
      </c>
      <c r="CS224" s="268">
        <f>CR224</f>
        <v>0</v>
      </c>
      <c r="CT224" s="268">
        <f>CS224</f>
        <v>0</v>
      </c>
      <c r="CU224" s="268">
        <f>CT224</f>
        <v>0</v>
      </c>
      <c r="CV224" s="268">
        <f>CU224</f>
        <v>0</v>
      </c>
      <c r="CW224" s="268">
        <f>CV224</f>
        <v>0</v>
      </c>
      <c r="CX224" s="268">
        <f>CW224</f>
        <v>0</v>
      </c>
      <c r="CY224" s="268">
        <f>CX224</f>
        <v>0</v>
      </c>
    </row>
    <row r="225" ht="12.75" customHeight="1" s="255">
      <c r="C225" s="270" t="inlineStr">
        <is>
          <t>Deferred income taxes</t>
        </is>
      </c>
      <c r="D225" s="301">
        <f>INDEX('Inputs (2)'!$D$38:$AL$38,MATCH(D$7,'Inputs (2)'!$D$2:$AL$2,0))</f>
        <v>0</v>
      </c>
      <c r="E225" s="301">
        <f>INDEX('Inputs (2)'!$D$38:$AL$38,MATCH(E$7,'Inputs (2)'!$D$2:$AL$2,0))</f>
        <v>0</v>
      </c>
      <c r="F225" s="301">
        <f>INDEX('Inputs (2)'!$D$38:$AL$38,MATCH(F$7,'Inputs (2)'!$D$2:$AL$2,0))</f>
        <v>0</v>
      </c>
      <c r="G225" s="301">
        <f>INDEX('Inputs (2)'!$D$38:$AL$38,MATCH(G$7,'Inputs (2)'!$D$2:$AL$2,0))</f>
        <v>0</v>
      </c>
      <c r="H225" s="268">
        <f>G225</f>
        <v>0</v>
      </c>
      <c r="I225" s="301">
        <f>INDEX('Inputs (2)'!$D$38:$AL$38,MATCH(I$7,'Inputs (2)'!$D$2:$AL$2,0))</f>
        <v>0</v>
      </c>
      <c r="J225" s="301">
        <f>INDEX('Inputs (2)'!$D$38:$AL$38,MATCH(J$7,'Inputs (2)'!$D$2:$AL$2,0))</f>
        <v>0</v>
      </c>
      <c r="K225" s="301">
        <f>INDEX('Inputs (2)'!$D$38:$AL$38,MATCH(K$7,'Inputs (2)'!$D$2:$AL$2,0))</f>
        <v>0</v>
      </c>
      <c r="L225" s="301">
        <f>INDEX('Inputs (2)'!$D$38:$AL$38,MATCH(L$7,'Inputs (2)'!$D$2:$AL$2,0))</f>
        <v>0</v>
      </c>
      <c r="M225" s="268">
        <f>L225</f>
        <v>0</v>
      </c>
      <c r="N225" s="301">
        <f>INDEX('Inputs (2)'!$D$38:$AL$38,MATCH(N$7,'Inputs (2)'!$D$2:$AL$2,0))</f>
        <v>0</v>
      </c>
      <c r="O225" s="301">
        <f>INDEX('Inputs (2)'!$D$38:$AL$38,MATCH(O$7,'Inputs (2)'!$D$2:$AL$2,0))</f>
        <v>0</v>
      </c>
      <c r="P225" s="301">
        <f>INDEX('Inputs (2)'!$D$38:$AL$38,MATCH(P$7,'Inputs (2)'!$D$2:$AL$2,0))</f>
        <v>0</v>
      </c>
      <c r="Q225" s="301">
        <f>INDEX('Inputs (2)'!$D$38:$AL$38,MATCH(Q$7,'Inputs (2)'!$D$2:$AL$2,0))</f>
        <v>0</v>
      </c>
      <c r="R225" s="268">
        <f>Q225</f>
        <v>0</v>
      </c>
      <c r="S225" s="301">
        <f>INDEX('Inputs (2)'!$D$38:$AL$38,MATCH(S$7,'Inputs (2)'!$D$2:$AL$2,0))</f>
        <v>0</v>
      </c>
      <c r="T225" s="301">
        <f>INDEX('Inputs (2)'!$D$38:$AL$38,MATCH(T$7,'Inputs (2)'!$D$2:$AL$2,0))</f>
        <v>0</v>
      </c>
      <c r="U225" s="301">
        <f>INDEX('Inputs (2)'!$D$38:$AL$38,MATCH(U$7,'Inputs (2)'!$D$2:$AL$2,0))</f>
        <v>0</v>
      </c>
      <c r="V225" s="301">
        <f>INDEX('Inputs (2)'!$D$38:$AL$38,MATCH(V$7,'Inputs (2)'!$D$2:$AL$2,0))</f>
        <v>0</v>
      </c>
      <c r="W225" s="268">
        <f>V225</f>
        <v>0</v>
      </c>
      <c r="X225" s="301">
        <f>INDEX('Inputs (2)'!$D$38:$AL$38,MATCH(X$7,'Inputs (2)'!$D$2:$AL$2,0))</f>
        <v>0</v>
      </c>
      <c r="Y225" s="301">
        <f>INDEX('Inputs (2)'!$D$38:$AL$38,MATCH(Y$7,'Inputs (2)'!$D$2:$AL$2,0))</f>
        <v>0</v>
      </c>
      <c r="Z225" s="301">
        <f>INDEX('Inputs (2)'!$D$38:$AL$38,MATCH(Z$7,'Inputs (2)'!$D$2:$AL$2,0))</f>
        <v>0</v>
      </c>
      <c r="AA225" s="301">
        <f>INDEX('Inputs (2)'!$D$38:$AL$38,MATCH(AA$7,'Inputs (2)'!$D$2:$AL$2,0))</f>
        <v>149.232</v>
      </c>
      <c r="AB225" s="268">
        <f>AA225</f>
        <v>149.232</v>
      </c>
      <c r="AC225" s="301">
        <f>INDEX('Inputs (2)'!$D$38:$AL$38,MATCH(AC$7,'Inputs (2)'!$D$2:$AL$2,0))</f>
        <v>193.849</v>
      </c>
      <c r="AD225" s="301">
        <f>INDEX('Inputs (2)'!$D$38:$AL$38,MATCH(AD$7,'Inputs (2)'!$D$2:$AL$2,0))</f>
        <v>245.659</v>
      </c>
      <c r="AE225" s="301">
        <f>INDEX('Inputs (2)'!$D$38:$AL$38,MATCH(AE$7,'Inputs (2)'!$D$2:$AL$2,0))</f>
        <v>117.633</v>
      </c>
      <c r="AF225" s="301">
        <f>INDEX('Inputs (2)'!$D$38:$AL$38,MATCH(AF$7,'Inputs (2)'!$D$2:$AL$2,0))</f>
        <v>115</v>
      </c>
      <c r="AG225" s="268">
        <f>AF225</f>
        <v>115</v>
      </c>
      <c r="AH225" s="268">
        <f>INDEX('Inputs (2)'!$D$38:$AL$38,MATCH(AH$7,'Inputs (2)'!$D$2:$AL$2,0))</f>
        <v>194</v>
      </c>
      <c r="AI225" s="268">
        <f>INDEX('Inputs (2)'!$D$38:$AL$38,MATCH(AI$7,'Inputs (2)'!$D$2:$AL$2,0))</f>
        <v>256</v>
      </c>
      <c r="AJ225" s="268">
        <f>AI225</f>
        <v>256</v>
      </c>
      <c r="AK225" s="268">
        <f>AJ225</f>
        <v>256</v>
      </c>
      <c r="AL225" s="268">
        <f>AK225</f>
        <v>256</v>
      </c>
      <c r="AM225" s="268">
        <f>AL225</f>
        <v>256</v>
      </c>
      <c r="AN225" s="268">
        <f>AM225</f>
        <v>256</v>
      </c>
      <c r="AO225" s="268">
        <f>AN225</f>
        <v>256</v>
      </c>
      <c r="AP225" s="268">
        <f>AO225</f>
        <v>256</v>
      </c>
      <c r="AQ225" s="268">
        <f>AP225</f>
        <v>256</v>
      </c>
      <c r="AR225" s="268">
        <f>AQ225</f>
        <v>256</v>
      </c>
      <c r="AS225" s="268">
        <f>AR225</f>
        <v>256</v>
      </c>
      <c r="AT225" s="268">
        <f>AS225</f>
        <v>256</v>
      </c>
      <c r="AU225" s="268">
        <f>AT225</f>
        <v>256</v>
      </c>
      <c r="AV225" s="268">
        <f>AU225</f>
        <v>256</v>
      </c>
      <c r="AW225" s="268">
        <f>AV225</f>
        <v>256</v>
      </c>
      <c r="AX225" s="268">
        <f>AW225</f>
        <v>256</v>
      </c>
      <c r="AY225" s="268">
        <f>AX225</f>
        <v>256</v>
      </c>
      <c r="AZ225" s="268">
        <f>AY225</f>
        <v>256</v>
      </c>
      <c r="BA225" s="268">
        <f>AZ225</f>
        <v>256</v>
      </c>
      <c r="BB225" s="268">
        <f>BA225</f>
        <v>256</v>
      </c>
      <c r="BC225" s="268">
        <f>BB225</f>
        <v>256</v>
      </c>
      <c r="BD225" s="268">
        <f>BC225</f>
        <v>256</v>
      </c>
      <c r="BE225" s="268">
        <f>BD225</f>
        <v>256</v>
      </c>
      <c r="BF225" s="268">
        <f>BE225</f>
        <v>256</v>
      </c>
      <c r="BG225" s="268">
        <f>BF225</f>
        <v>256</v>
      </c>
      <c r="BH225" s="268">
        <f>BG225</f>
        <v>256</v>
      </c>
      <c r="BI225" s="268">
        <f>BH225</f>
        <v>256</v>
      </c>
      <c r="BJ225" s="268">
        <f>BI225</f>
        <v>256</v>
      </c>
      <c r="BK225" s="268">
        <f>BJ225</f>
        <v>256</v>
      </c>
      <c r="BL225" s="268">
        <f>BK225</f>
        <v>256</v>
      </c>
      <c r="BM225" s="268">
        <f>BL225</f>
        <v>256</v>
      </c>
      <c r="BN225" s="268">
        <f>BM225</f>
        <v>256</v>
      </c>
      <c r="BO225" s="268">
        <f>BN225</f>
        <v>256</v>
      </c>
      <c r="BP225" s="268">
        <f>BO225</f>
        <v>256</v>
      </c>
      <c r="BQ225" s="268">
        <f>BP225</f>
        <v>256</v>
      </c>
      <c r="BR225" s="268">
        <f>BQ225</f>
        <v>256</v>
      </c>
      <c r="BS225" s="268">
        <f>BR225</f>
        <v>256</v>
      </c>
      <c r="BT225" s="268">
        <f>BS225</f>
        <v>256</v>
      </c>
      <c r="BU225" s="268">
        <f>BT225</f>
        <v>256</v>
      </c>
      <c r="BV225" s="268">
        <f>BU225</f>
        <v>256</v>
      </c>
      <c r="BW225" s="268">
        <f>BV225</f>
        <v>256</v>
      </c>
      <c r="BX225" s="268">
        <f>BW225</f>
        <v>256</v>
      </c>
      <c r="BY225" s="268">
        <f>BX225</f>
        <v>256</v>
      </c>
      <c r="BZ225" s="268">
        <f>BY225</f>
        <v>256</v>
      </c>
      <c r="CA225" s="268">
        <f>BZ225</f>
        <v>256</v>
      </c>
      <c r="CB225" s="268">
        <f>CA225</f>
        <v>256</v>
      </c>
      <c r="CC225" s="268">
        <f>CB225</f>
        <v>256</v>
      </c>
      <c r="CD225" s="268">
        <f>CC225</f>
        <v>256</v>
      </c>
      <c r="CE225" s="268">
        <f>CD225</f>
        <v>256</v>
      </c>
      <c r="CF225" s="268">
        <f>CE225</f>
        <v>256</v>
      </c>
      <c r="CG225" s="268">
        <f>CF225</f>
        <v>256</v>
      </c>
      <c r="CH225" s="268">
        <f>CG225</f>
        <v>256</v>
      </c>
      <c r="CI225" s="268">
        <f>CH225</f>
        <v>256</v>
      </c>
      <c r="CJ225" s="268">
        <f>CI225</f>
        <v>256</v>
      </c>
      <c r="CK225" s="268">
        <f>CJ225</f>
        <v>256</v>
      </c>
      <c r="CL225" s="268">
        <f>CK225</f>
        <v>256</v>
      </c>
      <c r="CM225" s="268">
        <f>CL225</f>
        <v>256</v>
      </c>
      <c r="CN225" s="268">
        <f>CM225</f>
        <v>256</v>
      </c>
      <c r="CO225" s="268">
        <f>CN225</f>
        <v>256</v>
      </c>
      <c r="CP225" s="268">
        <f>CO225</f>
        <v>256</v>
      </c>
      <c r="CQ225" s="268">
        <f>CP225</f>
        <v>256</v>
      </c>
      <c r="CR225" s="268">
        <f>CQ225</f>
        <v>256</v>
      </c>
      <c r="CS225" s="268">
        <f>CR225</f>
        <v>256</v>
      </c>
      <c r="CT225" s="268">
        <f>CS225</f>
        <v>256</v>
      </c>
      <c r="CU225" s="268">
        <f>CT225</f>
        <v>256</v>
      </c>
      <c r="CV225" s="268">
        <f>CU225</f>
        <v>256</v>
      </c>
      <c r="CW225" s="268">
        <f>CV225</f>
        <v>256</v>
      </c>
      <c r="CX225" s="268">
        <f>CW225</f>
        <v>256</v>
      </c>
      <c r="CY225" s="268">
        <f>CX225</f>
        <v>256</v>
      </c>
    </row>
    <row r="226" ht="12.75" customHeight="1" s="255">
      <c r="C226" s="270" t="inlineStr">
        <is>
          <t>Other non-current liabilities</t>
        </is>
      </c>
      <c r="D226" s="301">
        <f>INDEX('Inputs (2)'!$D$39:$AL$39,MATCH(D$7,'Inputs (2)'!$D$2:$AL$2,0))</f>
        <v>0</v>
      </c>
      <c r="E226" s="301">
        <f>INDEX('Inputs (2)'!$D$39:$AL$39,MATCH(E$7,'Inputs (2)'!$D$2:$AL$2,0))</f>
        <v>0</v>
      </c>
      <c r="F226" s="301">
        <f>INDEX('Inputs (2)'!$D$39:$AL$39,MATCH(F$7,'Inputs (2)'!$D$2:$AL$2,0))</f>
        <v>0</v>
      </c>
      <c r="G226" s="301">
        <f>INDEX('Inputs (2)'!$D$39:$AL$39,MATCH(G$7,'Inputs (2)'!$D$2:$AL$2,0))</f>
        <v>0</v>
      </c>
      <c r="H226" s="268">
        <f>G226</f>
        <v>0</v>
      </c>
      <c r="I226" s="301">
        <f>INDEX('Inputs (2)'!$D$39:$AL$39,MATCH(I$7,'Inputs (2)'!$D$2:$AL$2,0))</f>
        <v>0</v>
      </c>
      <c r="J226" s="301">
        <f>INDEX('Inputs (2)'!$D$39:$AL$39,MATCH(J$7,'Inputs (2)'!$D$2:$AL$2,0))</f>
        <v>0</v>
      </c>
      <c r="K226" s="301">
        <f>INDEX('Inputs (2)'!$D$39:$AL$39,MATCH(K$7,'Inputs (2)'!$D$2:$AL$2,0))</f>
        <v>0</v>
      </c>
      <c r="L226" s="301">
        <f>INDEX('Inputs (2)'!$D$39:$AL$39,MATCH(L$7,'Inputs (2)'!$D$2:$AL$2,0))</f>
        <v>0</v>
      </c>
      <c r="M226" s="268">
        <f>L226</f>
        <v>0</v>
      </c>
      <c r="N226" s="301">
        <f>INDEX('Inputs (2)'!$D$39:$AL$39,MATCH(N$7,'Inputs (2)'!$D$2:$AL$2,0))</f>
        <v>0</v>
      </c>
      <c r="O226" s="301">
        <f>INDEX('Inputs (2)'!$D$39:$AL$39,MATCH(O$7,'Inputs (2)'!$D$2:$AL$2,0))</f>
        <v>0</v>
      </c>
      <c r="P226" s="301">
        <f>INDEX('Inputs (2)'!$D$39:$AL$39,MATCH(P$7,'Inputs (2)'!$D$2:$AL$2,0))</f>
        <v>0</v>
      </c>
      <c r="Q226" s="301">
        <f>INDEX('Inputs (2)'!$D$39:$AL$39,MATCH(Q$7,'Inputs (2)'!$D$2:$AL$2,0))</f>
        <v>0</v>
      </c>
      <c r="R226" s="268">
        <f>Q226</f>
        <v>0</v>
      </c>
      <c r="S226" s="301">
        <f>INDEX('Inputs (2)'!$D$39:$AL$39,MATCH(S$7,'Inputs (2)'!$D$2:$AL$2,0))</f>
        <v>0</v>
      </c>
      <c r="T226" s="301">
        <f>INDEX('Inputs (2)'!$D$39:$AL$39,MATCH(T$7,'Inputs (2)'!$D$2:$AL$2,0))</f>
        <v>0</v>
      </c>
      <c r="U226" s="301">
        <f>INDEX('Inputs (2)'!$D$39:$AL$39,MATCH(U$7,'Inputs (2)'!$D$2:$AL$2,0))</f>
        <v>0</v>
      </c>
      <c r="V226" s="301">
        <f>INDEX('Inputs (2)'!$D$39:$AL$39,MATCH(V$7,'Inputs (2)'!$D$2:$AL$2,0))</f>
        <v>0</v>
      </c>
      <c r="W226" s="268">
        <f>V226</f>
        <v>0</v>
      </c>
      <c r="X226" s="301">
        <f>INDEX('Inputs (2)'!$D$39:$AL$39,MATCH(X$7,'Inputs (2)'!$D$2:$AL$2,0))</f>
        <v>0</v>
      </c>
      <c r="Y226" s="301">
        <f>INDEX('Inputs (2)'!$D$39:$AL$39,MATCH(Y$7,'Inputs (2)'!$D$2:$AL$2,0))</f>
        <v>0</v>
      </c>
      <c r="Z226" s="301">
        <f>INDEX('Inputs (2)'!$D$39:$AL$39,MATCH(Z$7,'Inputs (2)'!$D$2:$AL$2,0))</f>
        <v>0</v>
      </c>
      <c r="AA226" s="301">
        <f>INDEX('Inputs (2)'!$D$39:$AL$39,MATCH(AA$7,'Inputs (2)'!$D$2:$AL$2,0))</f>
        <v>3565.446</v>
      </c>
      <c r="AB226" s="268">
        <f>AA226</f>
        <v>3565.446</v>
      </c>
      <c r="AC226" s="301">
        <f>INDEX('Inputs (2)'!$D$39:$AL$39,MATCH(AC$7,'Inputs (2)'!$D$2:$AL$2,0))</f>
        <v>3663.546</v>
      </c>
      <c r="AD226" s="301">
        <f>INDEX('Inputs (2)'!$D$39:$AL$39,MATCH(AD$7,'Inputs (2)'!$D$2:$AL$2,0))</f>
        <v>4026.314</v>
      </c>
      <c r="AE226" s="301">
        <f>INDEX('Inputs (2)'!$D$39:$AL$39,MATCH(AE$7,'Inputs (2)'!$D$2:$AL$2,0))</f>
        <v>4498.353</v>
      </c>
      <c r="AF226" s="301">
        <f>INDEX('Inputs (2)'!$D$39:$AL$39,MATCH(AF$7,'Inputs (2)'!$D$2:$AL$2,0))</f>
        <v>6979</v>
      </c>
      <c r="AG226" s="268">
        <f>AF226</f>
        <v>6979</v>
      </c>
      <c r="AH226" s="268">
        <f>INDEX('Inputs (2)'!$D$39:$AL$39,MATCH(AH$7,'Inputs (2)'!$D$2:$AL$2,0))</f>
        <v>5927</v>
      </c>
      <c r="AI226" s="268">
        <f>INDEX('Inputs (2)'!$D$39:$AL$39,MATCH(AI$7,'Inputs (2)'!$D$2:$AL$2,0))</f>
        <v>35138</v>
      </c>
      <c r="AJ226" s="268">
        <f>AI226</f>
        <v>35138</v>
      </c>
      <c r="AK226" s="268">
        <f>AJ226</f>
        <v>35138</v>
      </c>
      <c r="AL226" s="268">
        <f>AK226</f>
        <v>35138</v>
      </c>
      <c r="AM226" s="268">
        <f>AL226</f>
        <v>35138</v>
      </c>
      <c r="AN226" s="268">
        <f>AM226</f>
        <v>35138</v>
      </c>
      <c r="AO226" s="268">
        <f>AN226</f>
        <v>35138</v>
      </c>
      <c r="AP226" s="268">
        <f>AO226</f>
        <v>35138</v>
      </c>
      <c r="AQ226" s="268">
        <f>AP226</f>
        <v>35138</v>
      </c>
      <c r="AR226" s="268">
        <f>AQ226</f>
        <v>35138</v>
      </c>
      <c r="AS226" s="268">
        <f>AR226</f>
        <v>35138</v>
      </c>
      <c r="AT226" s="268">
        <f>AS226</f>
        <v>35138</v>
      </c>
      <c r="AU226" s="268">
        <f>AT226</f>
        <v>35138</v>
      </c>
      <c r="AV226" s="268">
        <f>AU226</f>
        <v>35138</v>
      </c>
      <c r="AW226" s="268">
        <f>AV226</f>
        <v>35138</v>
      </c>
      <c r="AX226" s="268">
        <f>AW226</f>
        <v>35138</v>
      </c>
      <c r="AY226" s="268">
        <f>AX226</f>
        <v>35138</v>
      </c>
      <c r="AZ226" s="268">
        <f>AY226</f>
        <v>35138</v>
      </c>
      <c r="BA226" s="268">
        <f>AZ226</f>
        <v>35138</v>
      </c>
      <c r="BB226" s="268">
        <f>BA226</f>
        <v>35138</v>
      </c>
      <c r="BC226" s="268">
        <f>BB226</f>
        <v>35138</v>
      </c>
      <c r="BD226" s="268">
        <f>BC226</f>
        <v>35138</v>
      </c>
      <c r="BE226" s="268">
        <f>BD226</f>
        <v>35138</v>
      </c>
      <c r="BF226" s="268">
        <f>BE226</f>
        <v>35138</v>
      </c>
      <c r="BG226" s="268">
        <f>BF226</f>
        <v>35138</v>
      </c>
      <c r="BH226" s="268">
        <f>BG226</f>
        <v>35138</v>
      </c>
      <c r="BI226" s="268">
        <f>BH226</f>
        <v>35138</v>
      </c>
      <c r="BJ226" s="268">
        <f>BI226</f>
        <v>35138</v>
      </c>
      <c r="BK226" s="268">
        <f>BJ226</f>
        <v>35138</v>
      </c>
      <c r="BL226" s="268">
        <f>BK226</f>
        <v>35138</v>
      </c>
      <c r="BM226" s="268">
        <f>BL226</f>
        <v>35138</v>
      </c>
      <c r="BN226" s="268">
        <f>BM226</f>
        <v>35138</v>
      </c>
      <c r="BO226" s="268">
        <f>BN226</f>
        <v>35138</v>
      </c>
      <c r="BP226" s="268">
        <f>BO226</f>
        <v>35138</v>
      </c>
      <c r="BQ226" s="268">
        <f>BP226</f>
        <v>35138</v>
      </c>
      <c r="BR226" s="268">
        <f>BQ226</f>
        <v>35138</v>
      </c>
      <c r="BS226" s="268">
        <f>BR226</f>
        <v>35138</v>
      </c>
      <c r="BT226" s="268">
        <f>BS226</f>
        <v>35138</v>
      </c>
      <c r="BU226" s="268">
        <f>BT226</f>
        <v>35138</v>
      </c>
      <c r="BV226" s="268">
        <f>BU226</f>
        <v>35138</v>
      </c>
      <c r="BW226" s="268">
        <f>BV226</f>
        <v>35138</v>
      </c>
      <c r="BX226" s="268">
        <f>BW226</f>
        <v>35138</v>
      </c>
      <c r="BY226" s="268">
        <f>BX226</f>
        <v>35138</v>
      </c>
      <c r="BZ226" s="268">
        <f>BY226</f>
        <v>35138</v>
      </c>
      <c r="CA226" s="268">
        <f>BZ226</f>
        <v>35138</v>
      </c>
      <c r="CB226" s="268">
        <f>CA226</f>
        <v>35138</v>
      </c>
      <c r="CC226" s="268">
        <f>CB226</f>
        <v>35138</v>
      </c>
      <c r="CD226" s="268">
        <f>CC226</f>
        <v>35138</v>
      </c>
      <c r="CE226" s="268">
        <f>CD226</f>
        <v>35138</v>
      </c>
      <c r="CF226" s="268">
        <f>CE226</f>
        <v>35138</v>
      </c>
      <c r="CG226" s="268">
        <f>CF226</f>
        <v>35138</v>
      </c>
      <c r="CH226" s="268">
        <f>CG226</f>
        <v>35138</v>
      </c>
      <c r="CI226" s="268">
        <f>CH226</f>
        <v>35138</v>
      </c>
      <c r="CJ226" s="268">
        <f>CI226</f>
        <v>35138</v>
      </c>
      <c r="CK226" s="268">
        <f>CJ226</f>
        <v>35138</v>
      </c>
      <c r="CL226" s="268">
        <f>CK226</f>
        <v>35138</v>
      </c>
      <c r="CM226" s="268">
        <f>CL226</f>
        <v>35138</v>
      </c>
      <c r="CN226" s="268">
        <f>CM226</f>
        <v>35138</v>
      </c>
      <c r="CO226" s="268">
        <f>CN226</f>
        <v>35138</v>
      </c>
      <c r="CP226" s="268">
        <f>CO226</f>
        <v>35138</v>
      </c>
      <c r="CQ226" s="268">
        <f>CP226</f>
        <v>35138</v>
      </c>
      <c r="CR226" s="268">
        <f>CQ226</f>
        <v>35138</v>
      </c>
      <c r="CS226" s="268">
        <f>CR226</f>
        <v>35138</v>
      </c>
      <c r="CT226" s="268">
        <f>CS226</f>
        <v>35138</v>
      </c>
      <c r="CU226" s="268">
        <f>CT226</f>
        <v>35138</v>
      </c>
      <c r="CV226" s="268">
        <f>CU226</f>
        <v>35138</v>
      </c>
      <c r="CW226" s="268">
        <f>CV226</f>
        <v>35138</v>
      </c>
      <c r="CX226" s="268">
        <f>CW226</f>
        <v>35138</v>
      </c>
      <c r="CY226" s="268">
        <f>CX226</f>
        <v>35138</v>
      </c>
    </row>
    <row r="227" hidden="1" outlineLevel="1" ht="12" customHeight="1" s="255">
      <c r="C227" s="314" t="inlineStr">
        <is>
          <t>%(Var.)</t>
        </is>
      </c>
      <c r="D227" s="268" t="n"/>
      <c r="E227" s="296" t="str">
        <f>IFERROR((E226-D226)/D226,"")</f>
        <v/>
      </c>
      <c r="F227" s="296" t="str">
        <f>IFERROR((F226-E226)/E226,"")</f>
        <v/>
      </c>
      <c r="G227" s="296" t="str">
        <f>IFERROR((G226-F226)/F226,"")</f>
        <v/>
      </c>
      <c r="H227" s="268" t="n"/>
      <c r="I227" s="296" t="str">
        <f>IFERROR((I226-H226)/H226,"")</f>
        <v/>
      </c>
      <c r="J227" s="296" t="str">
        <f>IFERROR((J226-I226)/I226,"")</f>
        <v/>
      </c>
      <c r="K227" s="296" t="str">
        <f>IFERROR((K226-J226)/J226,"")</f>
        <v/>
      </c>
      <c r="L227" s="296" t="str">
        <f>IFERROR((L226-K226)/K226,"")</f>
        <v/>
      </c>
      <c r="M227" s="268" t="n"/>
      <c r="N227" s="296" t="str">
        <f>IFERROR((N226-M226)/M226,"")</f>
        <v/>
      </c>
      <c r="O227" s="296" t="str">
        <f>IFERROR((O226-N226)/N226,"")</f>
        <v/>
      </c>
      <c r="P227" s="296" t="str">
        <f>IFERROR((P226-O226)/O226,"")</f>
        <v/>
      </c>
      <c r="Q227" s="296" t="str">
        <f>IFERROR((Q226-P226)/P226,"")</f>
        <v/>
      </c>
      <c r="R227" s="268" t="n"/>
      <c r="S227" s="296" t="str">
        <f>IFERROR((S226-R226)/R226,"")</f>
        <v/>
      </c>
      <c r="T227" s="296" t="str">
        <f>IFERROR((T226-S226)/S226,"")</f>
        <v/>
      </c>
      <c r="U227" s="296" t="str">
        <f>IFERROR((U226-T226)/T226,"")</f>
        <v/>
      </c>
      <c r="V227" s="296" t="str">
        <f>IFERROR((V226-U226)/U226,"")</f>
        <v/>
      </c>
      <c r="W227" s="268" t="n"/>
      <c r="X227" s="296" t="str">
        <f>IFERROR((X226-W226)/W226,"")</f>
        <v/>
      </c>
      <c r="Y227" s="296" t="str">
        <f>IFERROR((Y226-X226)/X226,"")</f>
        <v/>
      </c>
      <c r="Z227" s="296" t="str">
        <f>IFERROR((Z226-Y226)/Y226,"")</f>
        <v/>
      </c>
      <c r="AA227" s="296" t="str">
        <f>IFERROR((AA226-Z226)/Z226,"")</f>
        <v/>
      </c>
      <c r="AB227" s="268" t="n"/>
      <c r="AC227" s="296">
        <f>IFERROR((AC226-AB226)/AB226,"")</f>
        <v>0.0275140894014382</v>
      </c>
      <c r="AD227" s="296">
        <f>IFERROR((AD226-AC226)/AC226,"")</f>
        <v>0.0990210031483157</v>
      </c>
      <c r="AE227" s="296">
        <f>IFERROR((AE226-AD226)/AD226,"")</f>
        <v>0.117238496550443</v>
      </c>
      <c r="AF227" s="297">
        <f>IFERROR((AF226-AE226)/AE226,"")</f>
        <v>0.551456722049159</v>
      </c>
      <c r="AG227" s="268" t="n"/>
      <c r="AH227" s="297">
        <f>IFERROR((AH226-AG226)/AG226,"")</f>
        <v>-0.150737928069924</v>
      </c>
      <c r="AI227" s="297">
        <f>IFERROR((AI226-AH226)/AH226,"")</f>
        <v>4.9284629660874</v>
      </c>
      <c r="AJ227" s="297" t="n"/>
      <c r="AK227" s="297" t="n"/>
      <c r="AL227" s="268" t="n"/>
      <c r="AM227" s="297" t="n"/>
      <c r="AN227" s="297" t="n"/>
      <c r="AO227" s="297" t="n"/>
      <c r="AP227" s="297" t="n"/>
      <c r="AQ227" s="268" t="n"/>
      <c r="AR227" s="297" t="n"/>
      <c r="AS227" s="297" t="n"/>
      <c r="AT227" s="297" t="n"/>
      <c r="AU227" s="297" t="n"/>
      <c r="AV227" s="268" t="n"/>
      <c r="AW227" s="297" t="n"/>
      <c r="AX227" s="297" t="n"/>
      <c r="AY227" s="297" t="n"/>
      <c r="AZ227" s="297" t="n"/>
      <c r="BA227" s="268" t="n"/>
      <c r="BB227" s="297" t="n"/>
      <c r="BC227" s="297" t="n"/>
      <c r="BD227" s="297" t="n"/>
      <c r="BE227" s="297" t="n"/>
      <c r="BF227" s="268" t="n"/>
      <c r="BG227" s="297" t="n"/>
      <c r="BH227" s="297" t="n"/>
      <c r="BI227" s="297" t="n"/>
      <c r="BJ227" s="297" t="n"/>
      <c r="BK227" s="268" t="n"/>
      <c r="BL227" s="297" t="n"/>
      <c r="BM227" s="297" t="n"/>
      <c r="BN227" s="297" t="n"/>
      <c r="BO227" s="297" t="n"/>
      <c r="BP227" s="268" t="n"/>
      <c r="BQ227" s="297" t="n"/>
      <c r="BR227" s="297" t="n"/>
      <c r="BS227" s="297" t="n"/>
      <c r="BT227" s="297" t="n"/>
      <c r="BU227" s="268" t="n"/>
      <c r="BV227" s="297" t="n"/>
      <c r="BW227" s="297" t="n"/>
      <c r="BX227" s="297" t="n"/>
      <c r="BY227" s="297" t="n"/>
      <c r="BZ227" s="268" t="n"/>
      <c r="CA227" s="297" t="n"/>
      <c r="CB227" s="297" t="n"/>
      <c r="CC227" s="297" t="n"/>
      <c r="CD227" s="297" t="n"/>
      <c r="CE227" s="268" t="n"/>
      <c r="CF227" s="297" t="n"/>
      <c r="CG227" s="297" t="n"/>
      <c r="CH227" s="297" t="n"/>
      <c r="CI227" s="297" t="n"/>
      <c r="CJ227" s="268" t="n"/>
      <c r="CK227" s="297" t="n"/>
      <c r="CL227" s="297" t="n"/>
      <c r="CM227" s="297" t="n"/>
      <c r="CN227" s="297" t="n"/>
      <c r="CO227" s="268" t="n"/>
      <c r="CP227" s="297" t="n"/>
      <c r="CQ227" s="297" t="n"/>
      <c r="CR227" s="297" t="n"/>
      <c r="CS227" s="297" t="n"/>
      <c r="CT227" s="268" t="n"/>
      <c r="CU227" s="297" t="n"/>
      <c r="CV227" s="297" t="n"/>
      <c r="CW227" s="297" t="n"/>
      <c r="CX227" s="297" t="n"/>
      <c r="CY227" s="268" t="n"/>
    </row>
    <row r="228" hidden="1" outlineLevel="1" ht="12" customHeight="1" s="255">
      <c r="C228" s="314" t="n"/>
      <c r="D228" s="268" t="n"/>
      <c r="E228" s="268" t="n"/>
      <c r="F228" s="268" t="n"/>
      <c r="G228" s="268" t="n"/>
      <c r="H228" s="268" t="n"/>
      <c r="I228" s="268" t="n"/>
      <c r="J228" s="268" t="n"/>
      <c r="K228" s="268" t="n"/>
      <c r="L228" s="268" t="n"/>
      <c r="M228" s="268" t="n"/>
      <c r="N228" s="268" t="n"/>
      <c r="O228" s="268" t="n"/>
      <c r="P228" s="268" t="n"/>
      <c r="Q228" s="268" t="n"/>
      <c r="R228" s="268" t="n"/>
      <c r="S228" s="268" t="n"/>
      <c r="T228" s="268" t="n"/>
      <c r="U228" s="268" t="n"/>
      <c r="V228" s="268" t="n"/>
      <c r="W228" s="268" t="n"/>
      <c r="X228" s="268" t="n"/>
      <c r="Y228" s="268" t="n"/>
      <c r="Z228" s="268" t="n"/>
      <c r="AA228" s="268" t="n"/>
      <c r="AB228" s="268" t="n"/>
      <c r="AC228" s="268" t="n"/>
      <c r="AD228" s="268" t="n"/>
      <c r="AE228" s="268" t="n"/>
      <c r="AF228" s="268" t="n"/>
      <c r="AG228" s="268" t="n"/>
      <c r="AH228" s="268" t="n"/>
      <c r="AI228" s="268" t="n"/>
      <c r="AJ228" s="268" t="n"/>
      <c r="AK228" s="268" t="n"/>
      <c r="AL228" s="268" t="n"/>
      <c r="AM228" s="268" t="n"/>
      <c r="AN228" s="268" t="n"/>
      <c r="AO228" s="268" t="n"/>
      <c r="AP228" s="268" t="n"/>
      <c r="AQ228" s="268" t="n"/>
      <c r="AR228" s="268" t="n"/>
      <c r="AS228" s="268" t="n"/>
      <c r="AT228" s="268" t="n"/>
      <c r="AU228" s="268" t="n"/>
      <c r="AV228" s="268" t="n"/>
      <c r="AW228" s="268" t="n"/>
      <c r="AX228" s="268" t="n"/>
      <c r="AY228" s="268" t="n"/>
      <c r="AZ228" s="268" t="n"/>
      <c r="BA228" s="268" t="n"/>
      <c r="BB228" s="268" t="n"/>
      <c r="BC228" s="268" t="n"/>
      <c r="BD228" s="268" t="n"/>
      <c r="BE228" s="268" t="n"/>
      <c r="BF228" s="268" t="n"/>
      <c r="BG228" s="268" t="n"/>
      <c r="BH228" s="268" t="n"/>
      <c r="BI228" s="268" t="n"/>
      <c r="BJ228" s="268" t="n"/>
      <c r="BK228" s="268" t="n"/>
      <c r="BL228" s="268" t="n"/>
      <c r="BM228" s="268" t="n"/>
      <c r="BN228" s="268" t="n"/>
      <c r="BO228" s="268" t="n"/>
      <c r="BP228" s="268" t="n"/>
      <c r="BQ228" s="268" t="n"/>
      <c r="BR228" s="268" t="n"/>
      <c r="BS228" s="268" t="n"/>
      <c r="BT228" s="268" t="n"/>
      <c r="BU228" s="268" t="n"/>
      <c r="BV228" s="268" t="n"/>
      <c r="BW228" s="268" t="n"/>
      <c r="BX228" s="268" t="n"/>
      <c r="BY228" s="268" t="n"/>
      <c r="BZ228" s="268" t="n"/>
      <c r="CA228" s="268" t="n"/>
      <c r="CB228" s="268" t="n"/>
      <c r="CC228" s="268" t="n"/>
      <c r="CD228" s="268" t="n"/>
      <c r="CE228" s="268" t="n"/>
      <c r="CF228" s="268" t="n"/>
      <c r="CG228" s="268" t="n"/>
      <c r="CH228" s="268" t="n"/>
      <c r="CI228" s="268" t="n"/>
      <c r="CJ228" s="268" t="n"/>
      <c r="CK228" s="268" t="n"/>
      <c r="CL228" s="268" t="n"/>
      <c r="CM228" s="268" t="n"/>
      <c r="CN228" s="268" t="n"/>
      <c r="CO228" s="268" t="n"/>
      <c r="CP228" s="268" t="n"/>
      <c r="CQ228" s="268" t="n"/>
      <c r="CR228" s="268" t="n"/>
      <c r="CS228" s="268" t="n"/>
      <c r="CT228" s="268" t="n"/>
      <c r="CU228" s="268" t="n"/>
      <c r="CV228" s="268" t="n"/>
      <c r="CW228" s="268" t="n"/>
      <c r="CX228" s="268" t="n"/>
      <c r="CY228" s="268" t="n"/>
    </row>
    <row r="229" hidden="1" outlineLevel="1" ht="12.75" customHeight="1" s="255">
      <c r="C229" s="312" t="inlineStr">
        <is>
          <t>Contas a pagar pela aquisição de controladas</t>
        </is>
      </c>
      <c r="D229" s="267" t="n"/>
      <c r="E229" s="267" t="n"/>
      <c r="F229" s="267" t="n"/>
      <c r="G229" s="267" t="n"/>
      <c r="H229" s="268" t="n"/>
      <c r="I229" s="267" t="n"/>
      <c r="J229" s="267" t="n"/>
      <c r="K229" s="267" t="n"/>
      <c r="L229" s="267" t="n"/>
      <c r="M229" s="268" t="n"/>
      <c r="N229" s="267" t="n"/>
      <c r="O229" s="267" t="n"/>
      <c r="P229" s="267" t="n"/>
      <c r="Q229" s="267" t="n"/>
      <c r="R229" s="268" t="n"/>
      <c r="S229" s="267" t="n"/>
      <c r="T229" s="267" t="n"/>
      <c r="U229" s="267" t="n"/>
      <c r="V229" s="267" t="n"/>
      <c r="W229" s="268" t="n"/>
      <c r="X229" s="267" t="n"/>
      <c r="Y229" s="267" t="n"/>
      <c r="Z229" s="267" t="n"/>
      <c r="AA229" s="267" t="n"/>
      <c r="AB229" s="268" t="n"/>
      <c r="AC229" s="267" t="n"/>
      <c r="AD229" s="267" t="n"/>
      <c r="AE229" s="267" t="n"/>
      <c r="AF229" s="267" t="n"/>
      <c r="AG229" s="268" t="n"/>
      <c r="AH229" s="268" t="n"/>
      <c r="AI229" s="268" t="n"/>
      <c r="AJ229" s="268" t="n"/>
      <c r="AK229" s="268" t="n"/>
      <c r="AL229" s="268" t="n"/>
      <c r="AM229" s="268" t="n"/>
      <c r="AN229" s="268" t="n"/>
      <c r="AO229" s="268" t="n"/>
      <c r="AP229" s="268" t="n"/>
      <c r="AQ229" s="268" t="n"/>
      <c r="AR229" s="268" t="n"/>
      <c r="AS229" s="268" t="n"/>
      <c r="AT229" s="268" t="n"/>
      <c r="AU229" s="268" t="n"/>
      <c r="AV229" s="268" t="n"/>
      <c r="AW229" s="268" t="n"/>
      <c r="AX229" s="268" t="n"/>
      <c r="AY229" s="268" t="n"/>
      <c r="AZ229" s="268" t="n"/>
      <c r="BA229" s="268" t="n"/>
      <c r="BB229" s="268" t="n"/>
      <c r="BC229" s="268" t="n"/>
      <c r="BD229" s="268" t="n"/>
      <c r="BE229" s="268" t="n"/>
      <c r="BF229" s="268" t="n"/>
      <c r="BG229" s="268" t="n"/>
      <c r="BH229" s="268" t="n"/>
      <c r="BI229" s="268" t="n"/>
      <c r="BJ229" s="268" t="n"/>
      <c r="BK229" s="268" t="n"/>
      <c r="BL229" s="268" t="n"/>
      <c r="BM229" s="268" t="n"/>
      <c r="BN229" s="268" t="n"/>
      <c r="BO229" s="268" t="n"/>
      <c r="BP229" s="268" t="n"/>
      <c r="BQ229" s="268" t="n"/>
      <c r="BR229" s="268" t="n"/>
      <c r="BS229" s="268" t="n"/>
      <c r="BT229" s="268" t="n"/>
      <c r="BU229" s="268" t="n"/>
      <c r="BV229" s="268" t="n"/>
      <c r="BW229" s="268" t="n"/>
      <c r="BX229" s="268" t="n"/>
      <c r="BY229" s="268" t="n"/>
      <c r="BZ229" s="268" t="n"/>
      <c r="CA229" s="268" t="n"/>
      <c r="CB229" s="268" t="n"/>
      <c r="CC229" s="268" t="n"/>
      <c r="CD229" s="268" t="n"/>
      <c r="CE229" s="268" t="n"/>
      <c r="CF229" s="268" t="n"/>
      <c r="CG229" s="268" t="n"/>
      <c r="CH229" s="268" t="n"/>
      <c r="CI229" s="268" t="n"/>
      <c r="CJ229" s="268" t="n"/>
      <c r="CK229" s="268" t="n"/>
      <c r="CL229" s="268" t="n"/>
      <c r="CM229" s="268" t="n"/>
      <c r="CN229" s="268" t="n"/>
      <c r="CO229" s="268" t="n"/>
      <c r="CP229" s="268" t="n"/>
      <c r="CQ229" s="268" t="n"/>
      <c r="CR229" s="268" t="n"/>
      <c r="CS229" s="268" t="n"/>
      <c r="CT229" s="268" t="n"/>
      <c r="CU229" s="268" t="n"/>
      <c r="CV229" s="268" t="n"/>
      <c r="CW229" s="268" t="n"/>
      <c r="CX229" s="268" t="n"/>
      <c r="CY229" s="268" t="n"/>
    </row>
    <row r="230" hidden="1" outlineLevel="1" ht="12.75" customHeight="1" s="255">
      <c r="C230" s="312" t="inlineStr">
        <is>
          <t xml:space="preserve">Outras Obrigações </t>
        </is>
      </c>
      <c r="D230" s="267" t="n"/>
      <c r="E230" s="267" t="n"/>
      <c r="F230" s="267" t="n"/>
      <c r="G230" s="267" t="n"/>
      <c r="H230" s="268" t="n"/>
      <c r="I230" s="267" t="n"/>
      <c r="J230" s="267" t="n"/>
      <c r="K230" s="267" t="n"/>
      <c r="L230" s="267" t="n"/>
      <c r="M230" s="268" t="n"/>
      <c r="N230" s="267" t="n"/>
      <c r="O230" s="267" t="n"/>
      <c r="P230" s="267" t="n"/>
      <c r="Q230" s="267" t="n"/>
      <c r="R230" s="268" t="n"/>
      <c r="S230" s="267" t="n"/>
      <c r="T230" s="267" t="n"/>
      <c r="U230" s="267" t="n"/>
      <c r="V230" s="267" t="n"/>
      <c r="W230" s="268" t="n"/>
      <c r="X230" s="267" t="n"/>
      <c r="Y230" s="267" t="n"/>
      <c r="Z230" s="267" t="n"/>
      <c r="AA230" s="267" t="n"/>
      <c r="AB230" s="268" t="n"/>
      <c r="AC230" s="267" t="n"/>
      <c r="AD230" s="267" t="n"/>
      <c r="AE230" s="267" t="n"/>
      <c r="AF230" s="267" t="n"/>
      <c r="AG230" s="268" t="n"/>
      <c r="AH230" s="268" t="n"/>
      <c r="AI230" s="268" t="n"/>
      <c r="AJ230" s="268" t="n"/>
      <c r="AK230" s="268" t="n"/>
      <c r="AL230" s="268" t="n"/>
      <c r="AM230" s="268" t="n"/>
      <c r="AN230" s="268" t="n"/>
      <c r="AO230" s="268" t="n"/>
      <c r="AP230" s="268" t="n"/>
      <c r="AQ230" s="268" t="n"/>
      <c r="AR230" s="268" t="n"/>
      <c r="AS230" s="268" t="n"/>
      <c r="AT230" s="268" t="n"/>
      <c r="AU230" s="268" t="n"/>
      <c r="AV230" s="268" t="n"/>
      <c r="AW230" s="268" t="n"/>
      <c r="AX230" s="268" t="n"/>
      <c r="AY230" s="268" t="n"/>
      <c r="AZ230" s="268" t="n"/>
      <c r="BA230" s="268" t="n"/>
      <c r="BB230" s="268" t="n"/>
      <c r="BC230" s="268" t="n"/>
      <c r="BD230" s="268" t="n"/>
      <c r="BE230" s="268" t="n"/>
      <c r="BF230" s="268" t="n"/>
      <c r="BG230" s="268" t="n"/>
      <c r="BH230" s="268" t="n"/>
      <c r="BI230" s="268" t="n"/>
      <c r="BJ230" s="268" t="n"/>
      <c r="BK230" s="268" t="n"/>
      <c r="BL230" s="268" t="n"/>
      <c r="BM230" s="268" t="n"/>
      <c r="BN230" s="268" t="n"/>
      <c r="BO230" s="268" t="n"/>
      <c r="BP230" s="268" t="n"/>
      <c r="BQ230" s="268" t="n"/>
      <c r="BR230" s="268" t="n"/>
      <c r="BS230" s="268" t="n"/>
      <c r="BT230" s="268" t="n"/>
      <c r="BU230" s="268" t="n"/>
      <c r="BV230" s="268" t="n"/>
      <c r="BW230" s="268" t="n"/>
      <c r="BX230" s="268" t="n"/>
      <c r="BY230" s="268" t="n"/>
      <c r="BZ230" s="268" t="n"/>
      <c r="CA230" s="268" t="n"/>
      <c r="CB230" s="268" t="n"/>
      <c r="CC230" s="268" t="n"/>
      <c r="CD230" s="268" t="n"/>
      <c r="CE230" s="268" t="n"/>
      <c r="CF230" s="268" t="n"/>
      <c r="CG230" s="268" t="n"/>
      <c r="CH230" s="268" t="n"/>
      <c r="CI230" s="268" t="n"/>
      <c r="CJ230" s="268" t="n"/>
      <c r="CK230" s="268" t="n"/>
      <c r="CL230" s="268" t="n"/>
      <c r="CM230" s="268" t="n"/>
      <c r="CN230" s="268" t="n"/>
      <c r="CO230" s="268" t="n"/>
      <c r="CP230" s="268" t="n"/>
      <c r="CQ230" s="268" t="n"/>
      <c r="CR230" s="268" t="n"/>
      <c r="CS230" s="268" t="n"/>
      <c r="CT230" s="268" t="n"/>
      <c r="CU230" s="268" t="n"/>
      <c r="CV230" s="268" t="n"/>
      <c r="CW230" s="268" t="n"/>
      <c r="CX230" s="268" t="n"/>
      <c r="CY230" s="268" t="n"/>
    </row>
    <row r="231" hidden="1" outlineLevel="1" ht="12.75" customHeight="1" s="255">
      <c r="C231" s="312" t="inlineStr">
        <is>
          <t xml:space="preserve">Provisão de Risco Cíveis, Trabalhistas e Tributários </t>
        </is>
      </c>
      <c r="D231" s="267" t="n"/>
      <c r="E231" s="267" t="n"/>
      <c r="F231" s="267" t="n"/>
      <c r="G231" s="267" t="n"/>
      <c r="H231" s="268" t="n"/>
      <c r="I231" s="267" t="n"/>
      <c r="J231" s="267" t="n"/>
      <c r="K231" s="267" t="n"/>
      <c r="L231" s="267" t="n"/>
      <c r="M231" s="268" t="n"/>
      <c r="N231" s="267" t="n"/>
      <c r="O231" s="267" t="n"/>
      <c r="P231" s="267" t="n"/>
      <c r="Q231" s="267" t="n"/>
      <c r="R231" s="268" t="n"/>
      <c r="S231" s="267" t="n"/>
      <c r="T231" s="267" t="n"/>
      <c r="U231" s="267" t="n"/>
      <c r="V231" s="267" t="n"/>
      <c r="W231" s="268" t="n"/>
      <c r="X231" s="267" t="n"/>
      <c r="Y231" s="267" t="n"/>
      <c r="Z231" s="267" t="n"/>
      <c r="AA231" s="267" t="n"/>
      <c r="AB231" s="268" t="n"/>
      <c r="AC231" s="267" t="n"/>
      <c r="AD231" s="267" t="n"/>
      <c r="AE231" s="267" t="n"/>
      <c r="AF231" s="267" t="n"/>
      <c r="AG231" s="268" t="n"/>
      <c r="AH231" s="268" t="n"/>
      <c r="AI231" s="268" t="n"/>
      <c r="AJ231" s="268" t="n"/>
      <c r="AK231" s="268" t="n"/>
      <c r="AL231" s="268" t="n"/>
      <c r="AM231" s="268" t="n"/>
      <c r="AN231" s="268" t="n"/>
      <c r="AO231" s="268" t="n"/>
      <c r="AP231" s="268" t="n"/>
      <c r="AQ231" s="268" t="n"/>
      <c r="AR231" s="268" t="n"/>
      <c r="AS231" s="268" t="n"/>
      <c r="AT231" s="268" t="n"/>
      <c r="AU231" s="268" t="n"/>
      <c r="AV231" s="268" t="n"/>
      <c r="AW231" s="268" t="n"/>
      <c r="AX231" s="268" t="n"/>
      <c r="AY231" s="268" t="n"/>
      <c r="AZ231" s="268" t="n"/>
      <c r="BA231" s="268" t="n"/>
      <c r="BB231" s="268" t="n"/>
      <c r="BC231" s="268" t="n"/>
      <c r="BD231" s="268" t="n"/>
      <c r="BE231" s="268" t="n"/>
      <c r="BF231" s="268" t="n"/>
      <c r="BG231" s="268" t="n"/>
      <c r="BH231" s="268" t="n"/>
      <c r="BI231" s="268" t="n"/>
      <c r="BJ231" s="268" t="n"/>
      <c r="BK231" s="268" t="n"/>
      <c r="BL231" s="268" t="n"/>
      <c r="BM231" s="268" t="n"/>
      <c r="BN231" s="268" t="n"/>
      <c r="BO231" s="268" t="n"/>
      <c r="BP231" s="268" t="n"/>
      <c r="BQ231" s="268" t="n"/>
      <c r="BR231" s="268" t="n"/>
      <c r="BS231" s="268" t="n"/>
      <c r="BT231" s="268" t="n"/>
      <c r="BU231" s="268" t="n"/>
      <c r="BV231" s="268" t="n"/>
      <c r="BW231" s="268" t="n"/>
      <c r="BX231" s="268" t="n"/>
      <c r="BY231" s="268" t="n"/>
      <c r="BZ231" s="268" t="n"/>
      <c r="CA231" s="268" t="n"/>
      <c r="CB231" s="268" t="n"/>
      <c r="CC231" s="268" t="n"/>
      <c r="CD231" s="268" t="n"/>
      <c r="CE231" s="268" t="n"/>
      <c r="CF231" s="268" t="n"/>
      <c r="CG231" s="268" t="n"/>
      <c r="CH231" s="268" t="n"/>
      <c r="CI231" s="268" t="n"/>
      <c r="CJ231" s="268" t="n"/>
      <c r="CK231" s="268" t="n"/>
      <c r="CL231" s="268" t="n"/>
      <c r="CM231" s="268" t="n"/>
      <c r="CN231" s="268" t="n"/>
      <c r="CO231" s="268" t="n"/>
      <c r="CP231" s="268" t="n"/>
      <c r="CQ231" s="268" t="n"/>
      <c r="CR231" s="268" t="n"/>
      <c r="CS231" s="268" t="n"/>
      <c r="CT231" s="268" t="n"/>
      <c r="CU231" s="268" t="n"/>
      <c r="CV231" s="268" t="n"/>
      <c r="CW231" s="268" t="n"/>
      <c r="CX231" s="268" t="n"/>
      <c r="CY231" s="268" t="n"/>
    </row>
    <row r="232" hidden="1" outlineLevel="1" ht="12.75" customHeight="1" s="255">
      <c r="C232" s="312" t="n"/>
      <c r="D232" s="268" t="n"/>
      <c r="E232" s="268" t="n"/>
      <c r="F232" s="268" t="n"/>
      <c r="G232" s="268" t="n"/>
      <c r="H232" s="268" t="n"/>
      <c r="I232" s="268" t="n"/>
      <c r="J232" s="268" t="n"/>
      <c r="K232" s="268" t="n"/>
      <c r="L232" s="268" t="n"/>
      <c r="M232" s="268" t="n"/>
      <c r="N232" s="268" t="n"/>
      <c r="O232" s="268" t="n"/>
      <c r="P232" s="268" t="n"/>
      <c r="Q232" s="268" t="n"/>
      <c r="R232" s="268" t="n"/>
      <c r="S232" s="268" t="n"/>
      <c r="T232" s="268" t="n"/>
      <c r="U232" s="268" t="n"/>
      <c r="V232" s="268" t="n"/>
      <c r="W232" s="268" t="n"/>
      <c r="X232" s="268" t="n"/>
      <c r="Y232" s="268" t="n"/>
      <c r="Z232" s="268" t="n"/>
      <c r="AA232" s="268" t="n"/>
      <c r="AB232" s="268" t="n"/>
      <c r="AC232" s="268" t="n"/>
      <c r="AD232" s="268" t="n"/>
      <c r="AE232" s="268" t="n"/>
      <c r="AF232" s="268" t="n"/>
      <c r="AG232" s="268" t="n"/>
      <c r="AH232" s="268" t="n"/>
      <c r="AI232" s="268" t="n"/>
      <c r="AJ232" s="268" t="n"/>
      <c r="AK232" s="268" t="n"/>
      <c r="AL232" s="268" t="n"/>
      <c r="AM232" s="268" t="n"/>
      <c r="AN232" s="268" t="n"/>
      <c r="AO232" s="268" t="n"/>
      <c r="AP232" s="268" t="n"/>
      <c r="AQ232" s="268" t="n"/>
      <c r="AR232" s="268" t="n"/>
      <c r="AS232" s="268" t="n"/>
      <c r="AT232" s="268" t="n"/>
      <c r="AU232" s="268" t="n"/>
      <c r="AV232" s="268" t="n"/>
      <c r="AW232" s="268" t="n"/>
      <c r="AX232" s="268" t="n"/>
      <c r="AY232" s="268" t="n"/>
      <c r="AZ232" s="268" t="n"/>
      <c r="BA232" s="268" t="n"/>
      <c r="BB232" s="268" t="n"/>
      <c r="BC232" s="268" t="n"/>
      <c r="BD232" s="268" t="n"/>
      <c r="BE232" s="268" t="n"/>
      <c r="BF232" s="268" t="n"/>
      <c r="BG232" s="268" t="n"/>
      <c r="BH232" s="268" t="n"/>
      <c r="BI232" s="268" t="n"/>
      <c r="BJ232" s="268" t="n"/>
      <c r="BK232" s="268" t="n"/>
      <c r="BL232" s="268" t="n"/>
      <c r="BM232" s="268" t="n"/>
      <c r="BN232" s="268" t="n"/>
      <c r="BO232" s="268" t="n"/>
      <c r="BP232" s="268" t="n"/>
      <c r="BQ232" s="268" t="n"/>
      <c r="BR232" s="268" t="n"/>
      <c r="BS232" s="268" t="n"/>
      <c r="BT232" s="268" t="n"/>
      <c r="BU232" s="268" t="n"/>
      <c r="BV232" s="268" t="n"/>
      <c r="BW232" s="268" t="n"/>
      <c r="BX232" s="268" t="n"/>
      <c r="BY232" s="268" t="n"/>
      <c r="BZ232" s="268" t="n"/>
      <c r="CA232" s="268" t="n"/>
      <c r="CB232" s="268" t="n"/>
      <c r="CC232" s="268" t="n"/>
      <c r="CD232" s="268" t="n"/>
      <c r="CE232" s="268" t="n"/>
      <c r="CF232" s="268" t="n"/>
      <c r="CG232" s="268" t="n"/>
      <c r="CH232" s="268" t="n"/>
      <c r="CI232" s="268" t="n"/>
      <c r="CJ232" s="268" t="n"/>
      <c r="CK232" s="268" t="n"/>
      <c r="CL232" s="268" t="n"/>
      <c r="CM232" s="268" t="n"/>
      <c r="CN232" s="268" t="n"/>
      <c r="CO232" s="268" t="n"/>
      <c r="CP232" s="268" t="n"/>
      <c r="CQ232" s="268" t="n"/>
      <c r="CR232" s="268" t="n"/>
      <c r="CS232" s="268" t="n"/>
      <c r="CT232" s="268" t="n"/>
      <c r="CU232" s="268" t="n"/>
      <c r="CV232" s="268" t="n"/>
      <c r="CW232" s="268" t="n"/>
      <c r="CX232" s="268" t="n"/>
      <c r="CY232" s="268" t="n"/>
    </row>
    <row r="233" ht="12.75" customFormat="1" customHeight="1" s="287">
      <c r="A233" s="288" t="n"/>
      <c r="B233" s="288" t="n"/>
      <c r="C233" s="321" t="inlineStr">
        <is>
          <t>Total Liabilities</t>
        </is>
      </c>
      <c r="D233" s="276">
        <f>SUM(D184+D188+D190+D191+D198+D199+D200+D203+D221+D224+D225+D226)</f>
        <v>0</v>
      </c>
      <c r="E233" s="276">
        <f>SUM(E184+E188+E190+E191+E198+E199+E200+E203+E221+E224+E225+E226)</f>
        <v>0</v>
      </c>
      <c r="F233" s="276">
        <f>SUM(F184+F188+F190+F191+F198+F199+F200+F203+F221+F224+F225+F226)</f>
        <v>0</v>
      </c>
      <c r="G233" s="276">
        <f>SUM(G184+G188+G190+G191+G198+G199+G200+G203+G221+G224+G225+G226)</f>
        <v>0</v>
      </c>
      <c r="H233" s="276">
        <f>SUM(H184,H188,H190,H191,H198,H199,H203,H200,H221,H224,H225,H226)</f>
        <v>0</v>
      </c>
      <c r="I233" s="276">
        <f>SUM(I184+I188+I190+I191+I198+I199+I200+I203+I221+I224+I225+I226)</f>
        <v>0</v>
      </c>
      <c r="J233" s="276">
        <f>SUM(J184+J188+J190+J191+J198+J199+J200+J203+J221+J224+J225+J226)</f>
        <v>0</v>
      </c>
      <c r="K233" s="276">
        <f>SUM(K184+K188+K190+K191+K198+K199+K200+K203+K221+K224+K225+K226)</f>
        <v>0</v>
      </c>
      <c r="L233" s="276">
        <f>SUM(L184+L188+L190+L191+L198+L199+L200+L203+L221+L224+L225+L226)</f>
        <v>0</v>
      </c>
      <c r="M233" s="276">
        <f>SUM(M184,M188,M190,M191,M198,M199,M203,M200,M221,M224,M225,M226)</f>
        <v>0</v>
      </c>
      <c r="N233" s="276">
        <f>SUM(N184+N188+N190+N191+N198+N199+N200+N203+N221+N224+N225+N226)</f>
        <v>0</v>
      </c>
      <c r="O233" s="276">
        <f>SUM(O184+O188+O190+O191+O198+O199+O200+O203+O221+O224+O225+O226)</f>
        <v>0</v>
      </c>
      <c r="P233" s="276">
        <f>SUM(P184+P188+P190+P191+P198+P199+P200+P203+P221+P224+P225+P226)</f>
        <v>0</v>
      </c>
      <c r="Q233" s="276">
        <f>SUM(Q184+Q188+Q190+Q191+Q198+Q199+Q200+Q203+Q221+Q224+Q225+Q226)</f>
        <v>0</v>
      </c>
      <c r="R233" s="276">
        <f>SUM(R184,R188,R190,R191,R198,R199,R203,R200,R221,R224,R225,R226)</f>
        <v>0</v>
      </c>
      <c r="S233" s="276">
        <f>SUM(S184+S188+S190+S191+S198+S199+S200+S203+S221+S224+S225+S226)</f>
        <v>0</v>
      </c>
      <c r="T233" s="276">
        <f>SUM(T184+T188+T190+T191+T198+T199+T200+T203+T221+T224+T225+T226)</f>
        <v>0</v>
      </c>
      <c r="U233" s="276">
        <f>SUM(U184+U188+U190+U191+U198+U199+U200+U203+U221+U224+U225+U226)</f>
        <v>0</v>
      </c>
      <c r="V233" s="276">
        <f>SUM(V184+V188+V190+V191+V198+V199+V200+V203+V221+V224+V225+V226)</f>
        <v>0</v>
      </c>
      <c r="W233" s="276">
        <f>SUM(W184,W188,W190,W191,W198,W199,W203,W200,W221,W224,W225,W226)</f>
        <v>0</v>
      </c>
      <c r="X233" s="276">
        <f>SUM(X184+X188+X190+X191+X198+X199+X200+X203+X221+X224+X225+X226)</f>
        <v>0</v>
      </c>
      <c r="Y233" s="276">
        <f>SUM(Y184+Y188+Y190+Y191+Y198+Y199+Y200+Y203+Y221+Y224+Y225+Y226)</f>
        <v>0</v>
      </c>
      <c r="Z233" s="276">
        <f>SUM(Z184+Z188+Z190+Z191+Z198+Z199+Z200+Z203+Z221+Z224+Z225+Z226)</f>
        <v>0</v>
      </c>
      <c r="AA233" s="276">
        <f>SUM(AA184+AA188+AA190+AA191+AA198+AA199+AA200+AA203+AA221+AA224+AA225+AA226)</f>
        <v>16524.086</v>
      </c>
      <c r="AB233" s="276">
        <f>SUM(AB184,AB188,AB190,AB191,AB198,AB199,AB203,AB200,AB221,AB224,AB225,AB226)</f>
        <v>16524.086</v>
      </c>
      <c r="AC233" s="276">
        <f>SUM(AC184+AC188+AC190+AC191+AC198+AC199+AC200+AC203+AC221+AC224+AC225+AC226)</f>
        <v>18791.101</v>
      </c>
      <c r="AD233" s="276">
        <f>SUM(AD184+AD188+AD190+AD191+AD198+AD199+AD200+AD203+AD221+AD224+AD225+AD226)</f>
        <v>22420.557</v>
      </c>
      <c r="AE233" s="276">
        <f>SUM(AE184+AE188+AE190+AE191+AE198+AE199+AE200+AE203+AE221+AE224+AE225+AE226)</f>
        <v>29032.484</v>
      </c>
      <c r="AF233" s="276">
        <f>SUM(AF184+AF188+AF190+AF191+AF198+AF199+AF200+AF203+AF221+AF224+AF225+AF226)</f>
        <v>45967</v>
      </c>
      <c r="AG233" s="276">
        <f>SUM(AG184,AG188,AG190,AG191,AG198,AG199,AG203,AG200,AG221,AG224,AG225,AG226)</f>
        <v>45967</v>
      </c>
      <c r="AH233" s="276">
        <f>SUM(AH184+AH188+AH190+AH191+AH198+AH199+AH200+AH203+AH221+AH224+AH225+AH226)</f>
        <v>50814</v>
      </c>
      <c r="AI233" s="276">
        <f>SUM(AI184+AI188+AI190+AI191+AI198+AI199+AI200+AI203+AI221+AI224+AI225+AI226)</f>
        <v>72046</v>
      </c>
      <c r="AJ233" s="276">
        <f>SUM(AJ184+AJ188+AJ190+AJ191+AJ198+AJ199+AJ200+AJ203+AJ221+AJ224+AJ225+AJ226)</f>
        <v>61989</v>
      </c>
      <c r="AK233" s="276">
        <f>SUM(AK184+AK188+AK190+AK191+AK198+AK199+AK200+AK203+AK221+AK224+AK225+AK226)</f>
        <v>61989</v>
      </c>
      <c r="AL233" s="276">
        <f>SUM(AL184,AL188,AL190,AL191,AL198,AL199,AL203,AL200,AL221,AL224,AL225,AL226)</f>
        <v>61989</v>
      </c>
      <c r="AM233" s="276" t="e">
        <f>SUM(AM184+AM188+AM190+AM191+AM198+AM199+AM200+AM203+AM221+AM224+AM225+AM226)</f>
        <v>#DIV/0!</v>
      </c>
      <c r="AN233" s="276">
        <f>SUM(AN184+AN188+AN190+AN191+AN198+AN199+AN200+AN203+AN221+AN224+AN225+AN226)</f>
        <v>61989</v>
      </c>
      <c r="AO233" s="276" t="e">
        <f>SUM(AO184+AO188+AO190+AO191+AO198+AO199+AO200+AO203+AO221+AO224+AO225+AO226)</f>
        <v>#DIV/0!</v>
      </c>
      <c r="AP233" s="276" t="e">
        <f>SUM(AP184+AP188+AP190+AP191+AP198+AP199+AP200+AP203+AP221+AP224+AP225+AP226)</f>
        <v>#DIV/0!</v>
      </c>
      <c r="AQ233" s="276" t="e">
        <f>SUM(AQ184,AQ188,AQ190,AQ191,AQ198,AQ199,AQ203,AQ200,AQ221,AQ224,AQ225,AQ226)</f>
        <v>#DIV/0!</v>
      </c>
      <c r="AR233" s="276" t="e">
        <f>SUM(AR184+AR188+AR190+AR191+AR198+AR199+AR200+AR203+AR221+AR224+AR225+AR226)</f>
        <v>#DIV/0!</v>
      </c>
      <c r="AS233" s="276" t="e">
        <f>SUM(AS184+AS188+AS190+AS191+AS198+AS199+AS200+AS203+AS221+AS224+AS225+AS226)</f>
        <v>#DIV/0!</v>
      </c>
      <c r="AT233" s="276" t="e">
        <f>SUM(AT184+AT188+AT190+AT191+AT198+AT199+AT200+AT203+AT221+AT224+AT225+AT226)</f>
        <v>#DIV/0!</v>
      </c>
      <c r="AU233" s="276" t="e">
        <f>SUM(AU184+AU188+AU190+AU191+AU198+AU199+AU200+AU203+AU221+AU224+AU225+AU226)</f>
        <v>#DIV/0!</v>
      </c>
      <c r="AV233" s="276" t="e">
        <f>SUM(AV184,AV188,AV190,AV191,AV198,AV199,AV203,AV200,AV221,AV224,AV225,AV226)</f>
        <v>#DIV/0!</v>
      </c>
      <c r="AW233" s="276" t="e">
        <f>SUM(AW184+AW188+AW190+AW191+AW198+AW199+AW200+AW203+AW221+AW224+AW225+AW226)</f>
        <v>#DIV/0!</v>
      </c>
      <c r="AX233" s="276" t="e">
        <f>SUM(AX184+AX188+AX190+AX191+AX198+AX199+AX200+AX203+AX221+AX224+AX225+AX226)</f>
        <v>#DIV/0!</v>
      </c>
      <c r="AY233" s="276" t="e">
        <f>SUM(AY184+AY188+AY190+AY191+AY198+AY199+AY200+AY203+AY221+AY224+AY225+AY226)</f>
        <v>#DIV/0!</v>
      </c>
      <c r="AZ233" s="276" t="e">
        <f>SUM(AZ184+AZ188+AZ190+AZ191+AZ198+AZ199+AZ200+AZ203+AZ221+AZ224+AZ225+AZ226)</f>
        <v>#DIV/0!</v>
      </c>
      <c r="BA233" s="276" t="e">
        <f>SUM(BA184,BA188,BA190,BA191,BA198,BA199,BA203,BA200,BA221,BA224,BA225,BA226)</f>
        <v>#DIV/0!</v>
      </c>
      <c r="BB233" s="276" t="e">
        <f>SUM(BB184+BB188+BB190+BB191+BB198+BB199+BB200+BB203+BB221+BB224+BB225+BB226)</f>
        <v>#DIV/0!</v>
      </c>
      <c r="BC233" s="276" t="e">
        <f>SUM(BC184+BC188+BC190+BC191+BC198+BC199+BC200+BC203+BC221+BC224+BC225+BC226)</f>
        <v>#DIV/0!</v>
      </c>
      <c r="BD233" s="276" t="e">
        <f>SUM(BD184+BD188+BD190+BD191+BD198+BD199+BD200+BD203+BD221+BD224+BD225+BD226)</f>
        <v>#DIV/0!</v>
      </c>
      <c r="BE233" s="276" t="e">
        <f>SUM(BE184+BE188+BE190+BE191+BE198+BE199+BE200+BE203+BE221+BE224+BE225+BE226)</f>
        <v>#DIV/0!</v>
      </c>
      <c r="BF233" s="276" t="e">
        <f>SUM(BF184,BF188,BF190,BF191,BF198,BF199,BF203,BF200,BF221,BF224,BF225,BF226)</f>
        <v>#DIV/0!</v>
      </c>
      <c r="BG233" s="276" t="e">
        <f>SUM(BG184+BG188+BG190+BG191+BG198+BG199+BG200+BG203+BG221+BG224+BG225+BG226)</f>
        <v>#DIV/0!</v>
      </c>
      <c r="BH233" s="276" t="e">
        <f>SUM(BH184+BH188+BH190+BH191+BH198+BH199+BH200+BH203+BH221+BH224+BH225+BH226)</f>
        <v>#DIV/0!</v>
      </c>
      <c r="BI233" s="276" t="e">
        <f>SUM(BI184+BI188+BI190+BI191+BI198+BI199+BI200+BI203+BI221+BI224+BI225+BI226)</f>
        <v>#DIV/0!</v>
      </c>
      <c r="BJ233" s="276" t="e">
        <f>SUM(BJ184+BJ188+BJ190+BJ191+BJ198+BJ199+BJ200+BJ203+BJ221+BJ224+BJ225+BJ226)</f>
        <v>#DIV/0!</v>
      </c>
      <c r="BK233" s="276" t="e">
        <f>SUM(BK184,BK188,BK190,BK191,BK198,BK199,BK203,BK200,BK221,BK224,BK225,BK226)</f>
        <v>#DIV/0!</v>
      </c>
      <c r="BL233" s="276" t="e">
        <f>SUM(BL184+BL188+BL190+BL191+BL198+BL199+BL200+BL203+BL221+BL224+BL225+BL226)</f>
        <v>#DIV/0!</v>
      </c>
      <c r="BM233" s="276" t="e">
        <f>SUM(BM184+BM188+BM190+BM191+BM198+BM199+BM200+BM203+BM221+BM224+BM225+BM226)</f>
        <v>#DIV/0!</v>
      </c>
      <c r="BN233" s="276" t="e">
        <f>SUM(BN184+BN188+BN190+BN191+BN198+BN199+BN200+BN203+BN221+BN224+BN225+BN226)</f>
        <v>#DIV/0!</v>
      </c>
      <c r="BO233" s="276" t="e">
        <f>SUM(BO184+BO188+BO190+BO191+BO198+BO199+BO200+BO203+BO221+BO224+BO225+BO226)</f>
        <v>#DIV/0!</v>
      </c>
      <c r="BP233" s="276" t="e">
        <f>SUM(BP184,BP188,BP190,BP191,BP198,BP199,BP203,BP200,BP221,BP224,BP225,BP226)</f>
        <v>#DIV/0!</v>
      </c>
      <c r="BQ233" s="276" t="e">
        <f>SUM(BQ184+BQ188+BQ190+BQ191+BQ198+BQ199+BQ200+BQ203+BQ221+BQ224+BQ225+BQ226)</f>
        <v>#DIV/0!</v>
      </c>
      <c r="BR233" s="276" t="e">
        <f>SUM(BR184+BR188+BR190+BR191+BR198+BR199+BR200+BR203+BR221+BR224+BR225+BR226)</f>
        <v>#DIV/0!</v>
      </c>
      <c r="BS233" s="276" t="e">
        <f>SUM(BS184+BS188+BS190+BS191+BS198+BS199+BS200+BS203+BS221+BS224+BS225+BS226)</f>
        <v>#DIV/0!</v>
      </c>
      <c r="BT233" s="276" t="e">
        <f>SUM(BT184+BT188+BT190+BT191+BT198+BT199+BT200+BT203+BT221+BT224+BT225+BT226)</f>
        <v>#DIV/0!</v>
      </c>
      <c r="BU233" s="276" t="e">
        <f>SUM(BU184,BU188,BU190,BU191,BU198,BU199,BU203,BU200,BU221,BU224,BU225,BU226)</f>
        <v>#DIV/0!</v>
      </c>
      <c r="BV233" s="276" t="e">
        <f>SUM(BV184+BV188+BV190+BV191+BV198+BV199+BV200+BV203+BV221+BV224+BV225+BV226)</f>
        <v>#DIV/0!</v>
      </c>
      <c r="BW233" s="276" t="e">
        <f>SUM(BW184+BW188+BW190+BW191+BW198+BW199+BW200+BW203+BW221+BW224+BW225+BW226)</f>
        <v>#DIV/0!</v>
      </c>
      <c r="BX233" s="276" t="e">
        <f>SUM(BX184+BX188+BX190+BX191+BX198+BX199+BX200+BX203+BX221+BX224+BX225+BX226)</f>
        <v>#DIV/0!</v>
      </c>
      <c r="BY233" s="276" t="e">
        <f>SUM(BY184+BY188+BY190+BY191+BY198+BY199+BY200+BY203+BY221+BY224+BY225+BY226)</f>
        <v>#DIV/0!</v>
      </c>
      <c r="BZ233" s="276" t="e">
        <f>SUM(BZ184,BZ188,BZ190,BZ191,BZ198,BZ199,BZ203,BZ200,BZ221,BZ224,BZ225,BZ226)</f>
        <v>#DIV/0!</v>
      </c>
      <c r="CA233" s="276" t="e">
        <f>SUM(CA184+CA188+CA190+CA191+CA198+CA199+CA200+CA203+CA221+CA224+CA225+CA226)</f>
        <v>#DIV/0!</v>
      </c>
      <c r="CB233" s="276" t="e">
        <f>SUM(CB184+CB188+CB190+CB191+CB198+CB199+CB200+CB203+CB221+CB224+CB225+CB226)</f>
        <v>#DIV/0!</v>
      </c>
      <c r="CC233" s="276" t="e">
        <f>SUM(CC184+CC188+CC190+CC191+CC198+CC199+CC200+CC203+CC221+CC224+CC225+CC226)</f>
        <v>#DIV/0!</v>
      </c>
      <c r="CD233" s="276" t="e">
        <f>SUM(CD184+CD188+CD190+CD191+CD198+CD199+CD200+CD203+CD221+CD224+CD225+CD226)</f>
        <v>#DIV/0!</v>
      </c>
      <c r="CE233" s="276" t="e">
        <f>SUM(CE184,CE188,CE190,CE191,CE198,CE199,CE203,CE200,CE221,CE224,CE225,CE226)</f>
        <v>#DIV/0!</v>
      </c>
      <c r="CF233" s="276" t="e">
        <f>SUM(CF184+CF188+CF190+CF191+CF198+CF199+CF200+CF203+CF221+CF224+CF225+CF226)</f>
        <v>#DIV/0!</v>
      </c>
      <c r="CG233" s="276" t="e">
        <f>SUM(CG184+CG188+CG190+CG191+CG198+CG199+CG200+CG203+CG221+CG224+CG225+CG226)</f>
        <v>#DIV/0!</v>
      </c>
      <c r="CH233" s="276" t="e">
        <f>SUM(CH184+CH188+CH190+CH191+CH198+CH199+CH200+CH203+CH221+CH224+CH225+CH226)</f>
        <v>#DIV/0!</v>
      </c>
      <c r="CI233" s="276" t="e">
        <f>SUM(CI184+CI188+CI190+CI191+CI198+CI199+CI200+CI203+CI221+CI224+CI225+CI226)</f>
        <v>#DIV/0!</v>
      </c>
      <c r="CJ233" s="276" t="e">
        <f>SUM(CJ184,CJ188,CJ190,CJ191,CJ198,CJ199,CJ203,CJ200,CJ221,CJ224,CJ225,CJ226)</f>
        <v>#DIV/0!</v>
      </c>
      <c r="CK233" s="276" t="e">
        <f>SUM(CK184+CK188+CK190+CK191+CK198+CK199+CK200+CK203+CK221+CK224+CK225+CK226)</f>
        <v>#DIV/0!</v>
      </c>
      <c r="CL233" s="276" t="e">
        <f>SUM(CL184+CL188+CL190+CL191+CL198+CL199+CL200+CL203+CL221+CL224+CL225+CL226)</f>
        <v>#DIV/0!</v>
      </c>
      <c r="CM233" s="276" t="e">
        <f>SUM(CM184+CM188+CM190+CM191+CM198+CM199+CM200+CM203+CM221+CM224+CM225+CM226)</f>
        <v>#DIV/0!</v>
      </c>
      <c r="CN233" s="276" t="e">
        <f>SUM(CN184+CN188+CN190+CN191+CN198+CN199+CN200+CN203+CN221+CN224+CN225+CN226)</f>
        <v>#DIV/0!</v>
      </c>
      <c r="CO233" s="276" t="e">
        <f>SUM(CO184,CO188,CO190,CO191,CO198,CO199,CO203,CO200,CO221,CO224,CO225,CO226)</f>
        <v>#DIV/0!</v>
      </c>
      <c r="CP233" s="276" t="e">
        <f>SUM(CP184+CP188+CP190+CP191+CP198+CP199+CP200+CP203+CP221+CP224+CP225+CP226)</f>
        <v>#DIV/0!</v>
      </c>
      <c r="CQ233" s="276" t="e">
        <f>SUM(CQ184+CQ188+CQ190+CQ191+CQ198+CQ199+CQ200+CQ203+CQ221+CQ224+CQ225+CQ226)</f>
        <v>#DIV/0!</v>
      </c>
      <c r="CR233" s="276" t="e">
        <f>SUM(CR184+CR188+CR190+CR191+CR198+CR199+CR200+CR203+CR221+CR224+CR225+CR226)</f>
        <v>#DIV/0!</v>
      </c>
      <c r="CS233" s="276" t="e">
        <f>SUM(CS184+CS188+CS190+CS191+CS198+CS199+CS200+CS203+CS221+CS224+CS225+CS226)</f>
        <v>#DIV/0!</v>
      </c>
      <c r="CT233" s="276" t="e">
        <f>SUM(CT184,CT188,CT190,CT191,CT198,CT199,CT203,CT200,CT221,CT224,CT225,CT226)</f>
        <v>#DIV/0!</v>
      </c>
      <c r="CU233" s="276" t="e">
        <f>SUM(CU184+CU188+CU190+CU191+CU198+CU199+CU200+CU203+CU221+CU224+CU225+CU226)</f>
        <v>#DIV/0!</v>
      </c>
      <c r="CV233" s="276" t="e">
        <f>SUM(CV184+CV188+CV190+CV191+CV198+CV199+CV200+CV203+CV221+CV224+CV225+CV226)</f>
        <v>#DIV/0!</v>
      </c>
      <c r="CW233" s="276" t="e">
        <f>SUM(CW184+CW188+CW190+CW191+CW198+CW199+CW200+CW203+CW221+CW224+CW225+CW226)</f>
        <v>#DIV/0!</v>
      </c>
      <c r="CX233" s="276" t="e">
        <f>SUM(CX184+CX188+CX190+CX191+CX198+CX199+CX200+CX203+CX221+CX224+CX225+CX226)</f>
        <v>#DIV/0!</v>
      </c>
      <c r="CY233" s="276" t="e">
        <f>SUM(CY184,CY188,CY190,CY191,CY198,CY199,CY203,CY200,CY221,CY224,CY225,CY226)</f>
        <v>#DIV/0!</v>
      </c>
    </row>
    <row r="234" ht="12.75" customHeight="1" s="255">
      <c r="C234" s="270" t="inlineStr">
        <is>
          <t>Minority interest</t>
        </is>
      </c>
      <c r="D234" s="301">
        <f>INDEX('Inputs (2)'!$D$41:$AL$41,MATCH(D$7,'Inputs (2)'!$D$2:$AL$2,0))</f>
        <v>0</v>
      </c>
      <c r="E234" s="301">
        <f>INDEX('Inputs (2)'!$D$41:$AL$41,MATCH(E$7,'Inputs (2)'!$D$2:$AL$2,0))</f>
        <v>0</v>
      </c>
      <c r="F234" s="301">
        <f>INDEX('Inputs (2)'!$D$41:$AL$41,MATCH(F$7,'Inputs (2)'!$D$2:$AL$2,0))</f>
        <v>0</v>
      </c>
      <c r="G234" s="301">
        <f>INDEX('Inputs (2)'!$D$41:$AL$41,MATCH(G$7,'Inputs (2)'!$D$2:$AL$2,0))</f>
        <v>0</v>
      </c>
      <c r="H234" s="268">
        <f>G234</f>
        <v>0</v>
      </c>
      <c r="I234" s="301">
        <f>INDEX('Inputs (2)'!$D$41:$AL$41,MATCH(I$7,'Inputs (2)'!$D$2:$AL$2,0))</f>
        <v>0</v>
      </c>
      <c r="J234" s="301">
        <f>INDEX('Inputs (2)'!$D$41:$AL$41,MATCH(J$7,'Inputs (2)'!$D$2:$AL$2,0))</f>
        <v>0</v>
      </c>
      <c r="K234" s="301">
        <f>INDEX('Inputs (2)'!$D$41:$AL$41,MATCH(K$7,'Inputs (2)'!$D$2:$AL$2,0))</f>
        <v>0</v>
      </c>
      <c r="L234" s="301">
        <f>INDEX('Inputs (2)'!$D$41:$AL$41,MATCH(L$7,'Inputs (2)'!$D$2:$AL$2,0))</f>
        <v>0</v>
      </c>
      <c r="M234" s="268">
        <f>L234</f>
        <v>0</v>
      </c>
      <c r="N234" s="301">
        <f>INDEX('Inputs (2)'!$D$41:$AL$41,MATCH(N$7,'Inputs (2)'!$D$2:$AL$2,0))</f>
        <v>0</v>
      </c>
      <c r="O234" s="301">
        <f>INDEX('Inputs (2)'!$D$41:$AL$41,MATCH(O$7,'Inputs (2)'!$D$2:$AL$2,0))</f>
        <v>0</v>
      </c>
      <c r="P234" s="301">
        <f>INDEX('Inputs (2)'!$D$41:$AL$41,MATCH(P$7,'Inputs (2)'!$D$2:$AL$2,0))</f>
        <v>0</v>
      </c>
      <c r="Q234" s="301">
        <f>INDEX('Inputs (2)'!$D$41:$AL$41,MATCH(Q$7,'Inputs (2)'!$D$2:$AL$2,0))</f>
        <v>0</v>
      </c>
      <c r="R234" s="268">
        <f>Q234</f>
        <v>0</v>
      </c>
      <c r="S234" s="301">
        <f>INDEX('Inputs (2)'!$D$41:$AL$41,MATCH(S$7,'Inputs (2)'!$D$2:$AL$2,0))</f>
        <v>0</v>
      </c>
      <c r="T234" s="301">
        <f>INDEX('Inputs (2)'!$D$41:$AL$41,MATCH(T$7,'Inputs (2)'!$D$2:$AL$2,0))</f>
        <v>0</v>
      </c>
      <c r="U234" s="301">
        <f>INDEX('Inputs (2)'!$D$41:$AL$41,MATCH(U$7,'Inputs (2)'!$D$2:$AL$2,0))</f>
        <v>0</v>
      </c>
      <c r="V234" s="301">
        <f>INDEX('Inputs (2)'!$D$41:$AL$41,MATCH(V$7,'Inputs (2)'!$D$2:$AL$2,0))</f>
        <v>0</v>
      </c>
      <c r="W234" s="268">
        <f>V234</f>
        <v>0</v>
      </c>
      <c r="X234" s="301">
        <f>INDEX('Inputs (2)'!$D$41:$AL$41,MATCH(X$7,'Inputs (2)'!$D$2:$AL$2,0))</f>
        <v>0</v>
      </c>
      <c r="Y234" s="301">
        <f>INDEX('Inputs (2)'!$D$41:$AL$41,MATCH(Y$7,'Inputs (2)'!$D$2:$AL$2,0))</f>
        <v>0</v>
      </c>
      <c r="Z234" s="301">
        <f>INDEX('Inputs (2)'!$D$41:$AL$41,MATCH(Z$7,'Inputs (2)'!$D$2:$AL$2,0))</f>
        <v>0</v>
      </c>
      <c r="AA234" s="301">
        <f>INDEX('Inputs (2)'!$D$41:$AL$41,MATCH(AA$7,'Inputs (2)'!$D$2:$AL$2,0))</f>
        <v>0</v>
      </c>
      <c r="AB234" s="268">
        <f>AA234</f>
        <v>0</v>
      </c>
      <c r="AC234" s="301">
        <f>INDEX('Inputs (2)'!$D$41:$AL$41,MATCH(AC$7,'Inputs (2)'!$D$2:$AL$2,0))</f>
        <v>0</v>
      </c>
      <c r="AD234" s="301">
        <f>INDEX('Inputs (2)'!$D$41:$AL$41,MATCH(AD$7,'Inputs (2)'!$D$2:$AL$2,0))</f>
        <v>0</v>
      </c>
      <c r="AE234" s="301">
        <f>INDEX('Inputs (2)'!$D$41:$AL$41,MATCH(AE$7,'Inputs (2)'!$D$2:$AL$2,0))</f>
        <v>0</v>
      </c>
      <c r="AF234" s="301">
        <f>INDEX('Inputs (2)'!$D$41:$AL$41,MATCH(AF$7,'Inputs (2)'!$D$2:$AL$2,0))</f>
        <v>0</v>
      </c>
      <c r="AG234" s="268">
        <f>AF234</f>
        <v>0</v>
      </c>
      <c r="AH234" s="268">
        <f>INDEX('Inputs (2)'!$D$41:$AL$41,MATCH(AH$7,'Inputs (2)'!$D$2:$AL$2,0))</f>
        <v>0</v>
      </c>
      <c r="AI234" s="268">
        <f>INDEX('Inputs (2)'!$D$41:$AL$41,MATCH(AI$7,'Inputs (2)'!$D$2:$AL$2,0))</f>
        <v>0</v>
      </c>
      <c r="AJ234" s="268">
        <f>AI234-AJ122+AJ237</f>
        <v>0</v>
      </c>
      <c r="AK234" s="268">
        <f>AJ234-AK122+AK237</f>
        <v>0</v>
      </c>
      <c r="AL234" s="268">
        <f>AK234</f>
        <v>0</v>
      </c>
      <c r="AM234" s="268">
        <f>AL234-AM122+AM237</f>
        <v>0</v>
      </c>
      <c r="AN234" s="268">
        <f>AM234-AN122+AN237</f>
        <v>0</v>
      </c>
      <c r="AO234" s="268">
        <f>AN234-AO122+AO237</f>
        <v>0</v>
      </c>
      <c r="AP234" s="268">
        <f>AO234-AP122+AP237</f>
        <v>0</v>
      </c>
      <c r="AQ234" s="268">
        <f>AP234</f>
        <v>0</v>
      </c>
      <c r="AR234" s="268">
        <f>AQ234-AR122+AR237</f>
        <v>0</v>
      </c>
      <c r="AS234" s="268">
        <f>AR234-AS122+AS237</f>
        <v>0</v>
      </c>
      <c r="AT234" s="268">
        <f>AS234-AT122+AT237</f>
        <v>0</v>
      </c>
      <c r="AU234" s="268">
        <f>AT234-AU122+AU237</f>
        <v>0</v>
      </c>
      <c r="AV234" s="268">
        <f>AU234</f>
        <v>0</v>
      </c>
      <c r="AW234" s="268">
        <f>AV234-AW122+AW237</f>
        <v>0</v>
      </c>
      <c r="AX234" s="268">
        <f>AW234-AX122+AX237</f>
        <v>0</v>
      </c>
      <c r="AY234" s="268">
        <f>AX234-AY122+AY237</f>
        <v>0</v>
      </c>
      <c r="AZ234" s="268">
        <f>AY234-AZ122+AZ237</f>
        <v>0</v>
      </c>
      <c r="BA234" s="268">
        <f>AZ234</f>
        <v>0</v>
      </c>
      <c r="BB234" s="268">
        <f>BA234-BB122+BB237</f>
        <v>0</v>
      </c>
      <c r="BC234" s="268">
        <f>BB234-BC122+BC237</f>
        <v>0</v>
      </c>
      <c r="BD234" s="268">
        <f>BC234-BD122+BD237</f>
        <v>0</v>
      </c>
      <c r="BE234" s="268">
        <f>BD234-BE122+BE237</f>
        <v>0</v>
      </c>
      <c r="BF234" s="268">
        <f>BE234</f>
        <v>0</v>
      </c>
      <c r="BG234" s="268">
        <f>BF234-BG122+BG237</f>
        <v>0</v>
      </c>
      <c r="BH234" s="268">
        <f>BG234-BH122+BH237</f>
        <v>0</v>
      </c>
      <c r="BI234" s="268">
        <f>BH234-BI122+BI237</f>
        <v>0</v>
      </c>
      <c r="BJ234" s="268">
        <f>BI234-BJ122+BJ237</f>
        <v>0</v>
      </c>
      <c r="BK234" s="268">
        <f>BJ234</f>
        <v>0</v>
      </c>
      <c r="BL234" s="268">
        <f>BK234-BL122+BL237</f>
        <v>0</v>
      </c>
      <c r="BM234" s="268">
        <f>BL234-BM122+BM237</f>
        <v>0</v>
      </c>
      <c r="BN234" s="268">
        <f>BM234-BN122+BN237</f>
        <v>0</v>
      </c>
      <c r="BO234" s="268">
        <f>BN234-BO122+BO237</f>
        <v>0</v>
      </c>
      <c r="BP234" s="268">
        <f>BO234</f>
        <v>0</v>
      </c>
      <c r="BQ234" s="268">
        <f>BP234-BQ122+BQ237</f>
        <v>0</v>
      </c>
      <c r="BR234" s="268">
        <f>BQ234-BR122+BR237</f>
        <v>0</v>
      </c>
      <c r="BS234" s="268">
        <f>BR234-BS122+BS237</f>
        <v>0</v>
      </c>
      <c r="BT234" s="268">
        <f>BS234-BT122+BT237</f>
        <v>0</v>
      </c>
      <c r="BU234" s="268">
        <f>BT234</f>
        <v>0</v>
      </c>
      <c r="BV234" s="268">
        <f>BU234-BV122+BV237</f>
        <v>0</v>
      </c>
      <c r="BW234" s="268">
        <f>BV234-BW122+BW237</f>
        <v>0</v>
      </c>
      <c r="BX234" s="268">
        <f>BW234-BX122+BX237</f>
        <v>0</v>
      </c>
      <c r="BY234" s="268">
        <f>BX234-BY122+BY237</f>
        <v>0</v>
      </c>
      <c r="BZ234" s="268">
        <f>BY234</f>
        <v>0</v>
      </c>
      <c r="CA234" s="268">
        <f>BZ234-CA122+CA237</f>
        <v>0</v>
      </c>
      <c r="CB234" s="268">
        <f>CA234-CB122+CB237</f>
        <v>0</v>
      </c>
      <c r="CC234" s="268">
        <f>CB234-CC122+CC237</f>
        <v>0</v>
      </c>
      <c r="CD234" s="268">
        <f>CC234-CD122+CD237</f>
        <v>0</v>
      </c>
      <c r="CE234" s="268">
        <f>CD234</f>
        <v>0</v>
      </c>
      <c r="CF234" s="268">
        <f>CE234-CF122+CF237</f>
        <v>0</v>
      </c>
      <c r="CG234" s="268">
        <f>CF234-CG122+CG237</f>
        <v>0</v>
      </c>
      <c r="CH234" s="268">
        <f>CG234-CH122+CH237</f>
        <v>0</v>
      </c>
      <c r="CI234" s="268">
        <f>CH234-CI122+CI237</f>
        <v>0</v>
      </c>
      <c r="CJ234" s="268">
        <f>CI234</f>
        <v>0</v>
      </c>
      <c r="CK234" s="268">
        <f>CJ234-CK122+CK237</f>
        <v>0</v>
      </c>
      <c r="CL234" s="268">
        <f>CK234-CL122+CL237</f>
        <v>0</v>
      </c>
      <c r="CM234" s="268">
        <f>CL234-CM122+CM237</f>
        <v>0</v>
      </c>
      <c r="CN234" s="268">
        <f>CM234-CN122+CN237</f>
        <v>0</v>
      </c>
      <c r="CO234" s="268">
        <f>CN234</f>
        <v>0</v>
      </c>
      <c r="CP234" s="268">
        <f>CO234-CP122+CP237</f>
        <v>0</v>
      </c>
      <c r="CQ234" s="268">
        <f>CP234-CQ122+CQ237</f>
        <v>0</v>
      </c>
      <c r="CR234" s="268">
        <f>CQ234-CR122+CR237</f>
        <v>0</v>
      </c>
      <c r="CS234" s="268">
        <f>CR234-CS122+CS237</f>
        <v>0</v>
      </c>
      <c r="CT234" s="268">
        <f>CS234</f>
        <v>0</v>
      </c>
      <c r="CU234" s="268">
        <f>CT234-CU122+CU237</f>
        <v>0</v>
      </c>
      <c r="CV234" s="268">
        <f>CU234-CV122+CV237</f>
        <v>0</v>
      </c>
      <c r="CW234" s="268">
        <f>CV234-CW122+CW237</f>
        <v>0</v>
      </c>
      <c r="CX234" s="268">
        <f>CW234-CX122+CX237</f>
        <v>0</v>
      </c>
      <c r="CY234" s="268">
        <f>CX234</f>
        <v>0</v>
      </c>
    </row>
    <row r="235" hidden="1" outlineLevel="1" ht="12.75" customFormat="1" customHeight="1" s="322">
      <c r="A235" s="293" t="n"/>
      <c r="B235" s="293" t="n"/>
      <c r="C235" s="314" t="n"/>
      <c r="D235" s="298" t="n"/>
      <c r="E235" s="298" t="n"/>
      <c r="F235" s="298" t="n"/>
      <c r="G235" s="298" t="n"/>
      <c r="H235" s="298" t="n"/>
      <c r="I235" s="298" t="n"/>
      <c r="J235" s="298" t="n"/>
      <c r="K235" s="298" t="n"/>
      <c r="L235" s="298" t="n"/>
      <c r="M235" s="298" t="n"/>
      <c r="N235" s="298" t="n"/>
      <c r="O235" s="298" t="n"/>
      <c r="P235" s="298" t="n"/>
      <c r="Q235" s="298" t="n"/>
      <c r="R235" s="298" t="n"/>
      <c r="S235" s="298" t="n"/>
      <c r="T235" s="298" t="n"/>
      <c r="U235" s="298" t="n"/>
      <c r="V235" s="298" t="n"/>
      <c r="W235" s="298" t="n"/>
      <c r="X235" s="298" t="n"/>
      <c r="Y235" s="298" t="n"/>
      <c r="Z235" s="298" t="n"/>
      <c r="AA235" s="298" t="n"/>
      <c r="AB235" s="298" t="n"/>
      <c r="AC235" s="298" t="n"/>
      <c r="AD235" s="298" t="n"/>
      <c r="AE235" s="298" t="n"/>
      <c r="AF235" s="298" t="n"/>
      <c r="AG235" s="298" t="n"/>
      <c r="AH235" s="298" t="n"/>
      <c r="AI235" s="298" t="n"/>
      <c r="AJ235" s="298" t="n"/>
      <c r="AK235" s="298" t="n"/>
      <c r="AL235" s="298" t="n"/>
      <c r="AM235" s="298" t="n"/>
      <c r="AN235" s="298" t="n"/>
      <c r="AO235" s="298" t="n"/>
      <c r="AP235" s="298" t="n"/>
      <c r="AQ235" s="298" t="n"/>
      <c r="AR235" s="298" t="n"/>
      <c r="AS235" s="298" t="n"/>
      <c r="AT235" s="298" t="n"/>
      <c r="AU235" s="298" t="n"/>
      <c r="AV235" s="298" t="n"/>
      <c r="AW235" s="298" t="n"/>
      <c r="AX235" s="298" t="n"/>
      <c r="AY235" s="298" t="n"/>
      <c r="AZ235" s="298" t="n"/>
      <c r="BA235" s="298" t="n"/>
      <c r="BB235" s="298" t="n"/>
      <c r="BC235" s="298" t="n"/>
      <c r="BD235" s="298" t="n"/>
      <c r="BE235" s="298" t="n"/>
      <c r="BF235" s="298" t="n"/>
      <c r="BG235" s="298" t="n"/>
      <c r="BH235" s="298" t="n"/>
      <c r="BI235" s="298" t="n"/>
      <c r="BJ235" s="298" t="n"/>
      <c r="BK235" s="298" t="n"/>
      <c r="BL235" s="298" t="n"/>
      <c r="BM235" s="298" t="n"/>
      <c r="BN235" s="298" t="n"/>
      <c r="BO235" s="298" t="n"/>
      <c r="BP235" s="298" t="n"/>
      <c r="BQ235" s="298" t="n"/>
      <c r="BR235" s="298" t="n"/>
      <c r="BS235" s="298" t="n"/>
      <c r="BT235" s="298" t="n"/>
      <c r="BU235" s="298" t="n"/>
      <c r="BV235" s="298" t="n"/>
      <c r="BW235" s="298" t="n"/>
      <c r="BX235" s="298" t="n"/>
      <c r="BY235" s="298" t="n"/>
      <c r="BZ235" s="298" t="n"/>
      <c r="CA235" s="298" t="n"/>
      <c r="CB235" s="298" t="n"/>
      <c r="CC235" s="298" t="n"/>
      <c r="CD235" s="298" t="n"/>
      <c r="CE235" s="298" t="n"/>
      <c r="CF235" s="298" t="n"/>
      <c r="CG235" s="298" t="n"/>
      <c r="CH235" s="298" t="n"/>
      <c r="CI235" s="298" t="n"/>
      <c r="CJ235" s="298" t="n"/>
      <c r="CK235" s="298" t="n"/>
      <c r="CL235" s="298" t="n"/>
      <c r="CM235" s="298" t="n"/>
      <c r="CN235" s="298" t="n"/>
      <c r="CO235" s="298" t="n"/>
      <c r="CP235" s="298" t="n"/>
      <c r="CQ235" s="298" t="n"/>
      <c r="CR235" s="298" t="n"/>
      <c r="CS235" s="298" t="n"/>
      <c r="CT235" s="298" t="n"/>
      <c r="CU235" s="298" t="n"/>
      <c r="CV235" s="298" t="n"/>
      <c r="CW235" s="298" t="n"/>
      <c r="CX235" s="298" t="n"/>
      <c r="CY235" s="298" t="n"/>
    </row>
    <row r="236" hidden="1" outlineLevel="1" ht="12.75" customFormat="1" customHeight="1" s="322">
      <c r="A236" s="293" t="n"/>
      <c r="B236" s="293" t="n"/>
      <c r="C236" s="312" t="inlineStr">
        <is>
          <t>Minority Interest Expense - % YoY</t>
        </is>
      </c>
      <c r="D236" s="298" t="n"/>
      <c r="E236" s="313">
        <f>IF(D121=0,0,E121/D121-1)</f>
        <v>0</v>
      </c>
      <c r="F236" s="298" t="n"/>
      <c r="G236" s="298" t="n"/>
      <c r="H236" s="313" t="n"/>
      <c r="I236" s="298" t="n"/>
      <c r="J236" s="313">
        <f>IF(I121=0,0,J121/I121-1)</f>
        <v>0</v>
      </c>
      <c r="K236" s="298" t="n"/>
      <c r="L236" s="298" t="n"/>
      <c r="M236" s="313" t="n"/>
      <c r="N236" s="313">
        <f>IF(I121=0,0,N121/I121-1)</f>
        <v>0</v>
      </c>
      <c r="O236" s="313">
        <f>IF(J121=0,0,O121/J121-1)</f>
        <v>0</v>
      </c>
      <c r="P236" s="313">
        <f>IF(K121=0,0,P121/K121-1)</f>
        <v>0</v>
      </c>
      <c r="Q236" s="313">
        <f>IF(L121=0,0,Q121/L121-1)</f>
        <v>0</v>
      </c>
      <c r="R236" s="313" t="n"/>
      <c r="S236" s="313">
        <f>IF(N121=0,0,S121/N121-1)</f>
        <v>0</v>
      </c>
      <c r="T236" s="313">
        <f>IF(O121=0,0,T121/O121-1)</f>
        <v>0</v>
      </c>
      <c r="U236" s="313">
        <f>IF(P121=0,0,U121/P121-1)</f>
        <v>0</v>
      </c>
      <c r="V236" s="313">
        <f>IF(Q121=0,0,V121/Q121-1)</f>
        <v>0</v>
      </c>
      <c r="W236" s="313">
        <f>IF(R122=0,0,W122/R122-1)</f>
        <v>0</v>
      </c>
      <c r="X236" s="313">
        <f>IF(S121=0,0,X121/S121-1)</f>
        <v>0</v>
      </c>
      <c r="Y236" s="313">
        <f>IF(T121=0,0,Y121/T121-1)</f>
        <v>0</v>
      </c>
      <c r="Z236" s="313">
        <f>IF(U121=0,0,Z121/U121-1)</f>
        <v>0</v>
      </c>
      <c r="AA236" s="313">
        <f>IF(V121=0,0,AA121/V121-1)</f>
        <v>0</v>
      </c>
      <c r="AB236" s="313">
        <f>IF(W122=0,0,AB122/W122-1)</f>
        <v>0</v>
      </c>
      <c r="AC236" s="313">
        <f>IF(X121=0,0,AC121/X121-1)</f>
        <v>0</v>
      </c>
      <c r="AD236" s="313">
        <f>IF(Y121=0,0,AD121/Y121-1)</f>
        <v>0</v>
      </c>
      <c r="AE236" s="313">
        <f>IF(Z121=0,0,AE121/Z121-1)</f>
        <v>0</v>
      </c>
      <c r="AF236" s="313">
        <f>IF(AA121=0,0,AF121/AA121-1)</f>
        <v>0</v>
      </c>
      <c r="AG236" s="313">
        <f>IF(AB122=0,0,AG122/AB122-1)</f>
        <v>0</v>
      </c>
      <c r="AH236" s="317">
        <f>IF(AC121=0,0,AH121/AC121-1)</f>
        <v>0</v>
      </c>
      <c r="AI236" s="317">
        <f>IF(AD121=0,0,AI121/AD121-1)</f>
        <v>0</v>
      </c>
      <c r="AJ236" s="317" t="n"/>
      <c r="AK236" s="317" t="n"/>
      <c r="AL236" s="313">
        <f>IF(AG122=0,0,AL122/AG122-1)</f>
        <v>0</v>
      </c>
      <c r="AM236" s="317" t="n"/>
      <c r="AN236" s="317" t="n"/>
      <c r="AO236" s="317" t="n"/>
      <c r="AP236" s="317" t="n"/>
      <c r="AQ236" s="313">
        <f>IF(AL122=0,0,AQ122/AL122-1)</f>
        <v>0</v>
      </c>
      <c r="AR236" s="317" t="n"/>
      <c r="AS236" s="317" t="n"/>
      <c r="AT236" s="317" t="n"/>
      <c r="AU236" s="317" t="n"/>
      <c r="AV236" s="313">
        <f>IF(AQ122=0,0,AV122/AQ122-1)</f>
        <v>0</v>
      </c>
      <c r="AW236" s="317" t="n"/>
      <c r="AX236" s="317" t="n"/>
      <c r="AY236" s="317" t="n"/>
      <c r="AZ236" s="317" t="n"/>
      <c r="BA236" s="313">
        <f>IF(AV122=0,0,BA122/AV122-1)</f>
        <v>0</v>
      </c>
      <c r="BB236" s="317" t="n"/>
      <c r="BC236" s="317" t="n"/>
      <c r="BD236" s="317" t="n"/>
      <c r="BE236" s="317" t="n"/>
      <c r="BF236" s="313">
        <f>IF(BA122=0,0,BF122/BA122-1)</f>
        <v>0</v>
      </c>
      <c r="BG236" s="317" t="n"/>
      <c r="BH236" s="317" t="n"/>
      <c r="BI236" s="317" t="n"/>
      <c r="BJ236" s="317" t="n"/>
      <c r="BK236" s="313">
        <f>IF(BF122=0,0,BK122/BF122-1)</f>
        <v>0</v>
      </c>
      <c r="BL236" s="317" t="n"/>
      <c r="BM236" s="317" t="n"/>
      <c r="BN236" s="317" t="n"/>
      <c r="BO236" s="317" t="n"/>
      <c r="BP236" s="313">
        <f>IF(BK122=0,0,BP122/BK122-1)</f>
        <v>0</v>
      </c>
      <c r="BQ236" s="317" t="n"/>
      <c r="BR236" s="317" t="n"/>
      <c r="BS236" s="317" t="n"/>
      <c r="BT236" s="317" t="n"/>
      <c r="BU236" s="313">
        <f>IF(BP122=0,0,BU122/BP122-1)</f>
        <v>0</v>
      </c>
      <c r="BV236" s="317" t="n"/>
      <c r="BW236" s="317" t="n"/>
      <c r="BX236" s="317" t="n"/>
      <c r="BY236" s="317" t="n"/>
      <c r="BZ236" s="313">
        <f>IF(BU122=0,0,BZ122/BU122-1)</f>
        <v>0</v>
      </c>
      <c r="CA236" s="317" t="n"/>
      <c r="CB236" s="317" t="n"/>
      <c r="CC236" s="317" t="n"/>
      <c r="CD236" s="317" t="n"/>
      <c r="CE236" s="313">
        <f>IF(BZ122=0,0,CE122/BZ122-1)</f>
        <v>0</v>
      </c>
      <c r="CF236" s="317" t="n"/>
      <c r="CG236" s="317" t="n"/>
      <c r="CH236" s="317" t="n"/>
      <c r="CI236" s="317" t="n"/>
      <c r="CJ236" s="313">
        <f>IF(CE122=0,0,CJ122/CE122-1)</f>
        <v>0</v>
      </c>
      <c r="CK236" s="317" t="n"/>
      <c r="CL236" s="317" t="n"/>
      <c r="CM236" s="317" t="n"/>
      <c r="CN236" s="317" t="n"/>
      <c r="CO236" s="313">
        <f>IF(CJ122=0,0,CO122/CJ122-1)</f>
        <v>0</v>
      </c>
      <c r="CP236" s="317" t="n"/>
      <c r="CQ236" s="317" t="n"/>
      <c r="CR236" s="317" t="n"/>
      <c r="CS236" s="317" t="n"/>
      <c r="CT236" s="313">
        <f>IF(CO122=0,0,CT122/CO122-1)</f>
        <v>0</v>
      </c>
      <c r="CU236" s="317" t="n"/>
      <c r="CV236" s="317" t="n"/>
      <c r="CW236" s="317" t="n"/>
      <c r="CX236" s="317" t="n"/>
      <c r="CY236" s="313">
        <f>IF(CT122=0,0,CY122/CT122-1)</f>
        <v>0</v>
      </c>
    </row>
    <row r="237" hidden="1" outlineLevel="1" ht="12.75" customFormat="1" customHeight="1" s="322">
      <c r="A237" s="293" t="n"/>
      <c r="B237" s="293" t="n"/>
      <c r="C237" s="312" t="inlineStr">
        <is>
          <t>Dividends (enter as -)</t>
        </is>
      </c>
      <c r="D237" s="298" t="n"/>
      <c r="E237" s="298" t="n"/>
      <c r="F237" s="298" t="n"/>
      <c r="G237" s="298" t="n"/>
      <c r="H237" s="298" t="n"/>
      <c r="I237" s="298" t="n"/>
      <c r="J237" s="298" t="n"/>
      <c r="K237" s="298" t="n"/>
      <c r="L237" s="298" t="n"/>
      <c r="M237" s="298" t="n"/>
      <c r="N237" s="298" t="n"/>
      <c r="O237" s="298" t="n"/>
      <c r="P237" s="298" t="n"/>
      <c r="Q237" s="298" t="n"/>
      <c r="R237" s="298" t="n"/>
      <c r="S237" s="298" t="n"/>
      <c r="T237" s="298" t="n"/>
      <c r="U237" s="298" t="n"/>
      <c r="V237" s="298" t="n"/>
      <c r="W237" s="298" t="n"/>
      <c r="X237" s="298" t="n"/>
      <c r="Y237" s="298" t="n"/>
      <c r="Z237" s="298" t="n"/>
      <c r="AA237" s="298" t="n"/>
      <c r="AB237" s="298" t="n"/>
      <c r="AC237" s="298" t="n"/>
      <c r="AD237" s="298" t="n"/>
      <c r="AE237" s="298" t="n"/>
      <c r="AF237" s="298" t="n"/>
      <c r="AG237" s="298" t="n"/>
      <c r="AH237" s="317" t="n"/>
      <c r="AI237" s="317" t="n"/>
      <c r="AJ237" s="317" t="n"/>
      <c r="AK237" s="317" t="n"/>
      <c r="AL237" s="298" t="n"/>
      <c r="AM237" s="317" t="n"/>
      <c r="AN237" s="317" t="n"/>
      <c r="AO237" s="317" t="n"/>
      <c r="AP237" s="317" t="n"/>
      <c r="AQ237" s="298" t="n"/>
      <c r="AR237" s="317" t="n"/>
      <c r="AS237" s="317" t="n"/>
      <c r="AT237" s="317" t="n"/>
      <c r="AU237" s="317" t="n"/>
      <c r="AV237" s="298" t="n"/>
      <c r="AW237" s="317" t="n"/>
      <c r="AX237" s="317" t="n"/>
      <c r="AY237" s="317" t="n"/>
      <c r="AZ237" s="317" t="n"/>
      <c r="BA237" s="298" t="n"/>
      <c r="BB237" s="317" t="n"/>
      <c r="BC237" s="317" t="n"/>
      <c r="BD237" s="317" t="n"/>
      <c r="BE237" s="317" t="n"/>
      <c r="BF237" s="298" t="n"/>
      <c r="BG237" s="317" t="n"/>
      <c r="BH237" s="317" t="n"/>
      <c r="BI237" s="317" t="n"/>
      <c r="BJ237" s="317" t="n"/>
      <c r="BK237" s="298" t="n"/>
      <c r="BL237" s="317" t="n"/>
      <c r="BM237" s="317" t="n"/>
      <c r="BN237" s="317" t="n"/>
      <c r="BO237" s="317" t="n"/>
      <c r="BP237" s="298" t="n"/>
      <c r="BQ237" s="317" t="n"/>
      <c r="BR237" s="317" t="n"/>
      <c r="BS237" s="317" t="n"/>
      <c r="BT237" s="317" t="n"/>
      <c r="BU237" s="298" t="n"/>
      <c r="BV237" s="317" t="n"/>
      <c r="BW237" s="317" t="n"/>
      <c r="BX237" s="317" t="n"/>
      <c r="BY237" s="317" t="n"/>
      <c r="BZ237" s="298" t="n"/>
      <c r="CA237" s="317" t="n"/>
      <c r="CB237" s="317" t="n"/>
      <c r="CC237" s="317" t="n"/>
      <c r="CD237" s="317" t="n"/>
      <c r="CE237" s="298" t="n"/>
      <c r="CF237" s="317" t="n"/>
      <c r="CG237" s="317" t="n"/>
      <c r="CH237" s="317" t="n"/>
      <c r="CI237" s="317" t="n"/>
      <c r="CJ237" s="298" t="n"/>
      <c r="CK237" s="317" t="n"/>
      <c r="CL237" s="317" t="n"/>
      <c r="CM237" s="317" t="n"/>
      <c r="CN237" s="317" t="n"/>
      <c r="CO237" s="298" t="n"/>
      <c r="CP237" s="317" t="n"/>
      <c r="CQ237" s="317" t="n"/>
      <c r="CR237" s="317" t="n"/>
      <c r="CS237" s="317" t="n"/>
      <c r="CT237" s="298" t="n"/>
      <c r="CU237" s="317" t="n"/>
      <c r="CV237" s="317" t="n"/>
      <c r="CW237" s="317" t="n"/>
      <c r="CX237" s="317" t="n"/>
      <c r="CY237" s="298" t="n"/>
    </row>
    <row r="238" hidden="1" outlineLevel="1" ht="12.75" customFormat="1" customHeight="1" s="322">
      <c r="A238" s="293" t="n"/>
      <c r="B238" s="293" t="n"/>
      <c r="C238" s="314" t="n"/>
      <c r="D238" s="298" t="n"/>
      <c r="E238" s="298" t="n"/>
      <c r="F238" s="298" t="n"/>
      <c r="G238" s="298" t="n"/>
      <c r="H238" s="298" t="n"/>
      <c r="I238" s="298" t="n"/>
      <c r="J238" s="298" t="n"/>
      <c r="K238" s="298" t="n"/>
      <c r="L238" s="298" t="n"/>
      <c r="M238" s="298" t="n"/>
      <c r="N238" s="298" t="n"/>
      <c r="O238" s="298" t="n"/>
      <c r="P238" s="298" t="n"/>
      <c r="Q238" s="298" t="n"/>
      <c r="R238" s="298" t="n"/>
      <c r="S238" s="298" t="n"/>
      <c r="T238" s="298" t="n"/>
      <c r="U238" s="298" t="n"/>
      <c r="V238" s="298" t="n"/>
      <c r="W238" s="298" t="n"/>
      <c r="X238" s="298" t="n"/>
      <c r="Y238" s="298" t="n"/>
      <c r="Z238" s="298" t="n"/>
      <c r="AA238" s="298" t="n"/>
      <c r="AB238" s="298" t="n"/>
      <c r="AC238" s="298" t="n"/>
      <c r="AD238" s="298" t="n"/>
      <c r="AE238" s="298" t="n"/>
      <c r="AF238" s="298" t="n"/>
      <c r="AG238" s="298" t="n"/>
      <c r="AH238" s="298" t="n"/>
      <c r="AI238" s="298" t="n"/>
      <c r="AJ238" s="298" t="n"/>
      <c r="AK238" s="298" t="n"/>
      <c r="AL238" s="298" t="n"/>
      <c r="AM238" s="298" t="n"/>
      <c r="AN238" s="298" t="n"/>
      <c r="AO238" s="298" t="n"/>
      <c r="AP238" s="298" t="n"/>
      <c r="AQ238" s="298" t="n"/>
      <c r="AR238" s="298" t="n"/>
      <c r="AS238" s="298" t="n"/>
      <c r="AT238" s="298" t="n"/>
      <c r="AU238" s="298" t="n"/>
      <c r="AV238" s="298" t="n"/>
      <c r="AW238" s="298" t="n"/>
      <c r="AX238" s="298" t="n"/>
      <c r="AY238" s="298" t="n"/>
      <c r="AZ238" s="298" t="n"/>
      <c r="BA238" s="298" t="n"/>
      <c r="BB238" s="298" t="n"/>
      <c r="BC238" s="298" t="n"/>
      <c r="BD238" s="298" t="n"/>
      <c r="BE238" s="298" t="n"/>
      <c r="BF238" s="298" t="n"/>
      <c r="BG238" s="298" t="n"/>
      <c r="BH238" s="298" t="n"/>
      <c r="BI238" s="298" t="n"/>
      <c r="BJ238" s="298" t="n"/>
      <c r="BK238" s="298" t="n"/>
      <c r="BL238" s="298" t="n"/>
      <c r="BM238" s="298" t="n"/>
      <c r="BN238" s="298" t="n"/>
      <c r="BO238" s="298" t="n"/>
      <c r="BP238" s="298" t="n"/>
      <c r="BQ238" s="298" t="n"/>
      <c r="BR238" s="298" t="n"/>
      <c r="BS238" s="298" t="n"/>
      <c r="BT238" s="298" t="n"/>
      <c r="BU238" s="298" t="n"/>
      <c r="BV238" s="298" t="n"/>
      <c r="BW238" s="298" t="n"/>
      <c r="BX238" s="298" t="n"/>
      <c r="BY238" s="298" t="n"/>
      <c r="BZ238" s="298" t="n"/>
      <c r="CA238" s="298" t="n"/>
      <c r="CB238" s="298" t="n"/>
      <c r="CC238" s="298" t="n"/>
      <c r="CD238" s="298" t="n"/>
      <c r="CE238" s="298" t="n"/>
      <c r="CF238" s="298" t="n"/>
      <c r="CG238" s="298" t="n"/>
      <c r="CH238" s="298" t="n"/>
      <c r="CI238" s="298" t="n"/>
      <c r="CJ238" s="298" t="n"/>
      <c r="CK238" s="298" t="n"/>
      <c r="CL238" s="298" t="n"/>
      <c r="CM238" s="298" t="n"/>
      <c r="CN238" s="298" t="n"/>
      <c r="CO238" s="298" t="n"/>
      <c r="CP238" s="298" t="n"/>
      <c r="CQ238" s="298" t="n"/>
      <c r="CR238" s="298" t="n"/>
      <c r="CS238" s="298" t="n"/>
      <c r="CT238" s="298" t="n"/>
      <c r="CU238" s="298" t="n"/>
      <c r="CV238" s="298" t="n"/>
      <c r="CW238" s="298" t="n"/>
      <c r="CX238" s="298" t="n"/>
      <c r="CY238" s="298" t="n"/>
    </row>
    <row r="239" ht="12.75" customHeight="1" s="255">
      <c r="C239" s="270" t="inlineStr">
        <is>
          <t>Convertible Preferred Stock</t>
        </is>
      </c>
      <c r="D239" s="301" t="n"/>
      <c r="E239" s="301" t="n"/>
      <c r="F239" s="301" t="n"/>
      <c r="G239" s="301" t="n"/>
      <c r="H239" s="268">
        <f>G239</f>
        <v>0</v>
      </c>
      <c r="I239" s="301" t="n"/>
      <c r="J239" s="301" t="n"/>
      <c r="K239" s="301" t="n"/>
      <c r="L239" s="301" t="n"/>
      <c r="M239" s="268">
        <f>L239</f>
        <v>0</v>
      </c>
      <c r="N239" s="301" t="n"/>
      <c r="O239" s="301" t="n"/>
      <c r="P239" s="301" t="n"/>
      <c r="Q239" s="301" t="n"/>
      <c r="R239" s="268">
        <f>Q239</f>
        <v>0</v>
      </c>
      <c r="S239" s="301" t="n"/>
      <c r="T239" s="301" t="n"/>
      <c r="U239" s="301" t="n"/>
      <c r="V239" s="301" t="n"/>
      <c r="W239" s="268">
        <f>V239</f>
        <v>0</v>
      </c>
      <c r="X239" s="301" t="n"/>
      <c r="Y239" s="301" t="n"/>
      <c r="Z239" s="301" t="n"/>
      <c r="AA239" s="301" t="n"/>
      <c r="AB239" s="268">
        <f>AA239</f>
        <v>0</v>
      </c>
      <c r="AC239" s="301" t="n"/>
      <c r="AD239" s="301" t="n"/>
      <c r="AE239" s="301" t="n"/>
      <c r="AF239" s="301" t="n"/>
      <c r="AG239" s="268">
        <f>AF239</f>
        <v>0</v>
      </c>
      <c r="AH239" s="268">
        <f>AG239</f>
        <v>0</v>
      </c>
      <c r="AI239" s="268">
        <f>AH239</f>
        <v>0</v>
      </c>
      <c r="AJ239" s="268">
        <f>AI239</f>
        <v>0</v>
      </c>
      <c r="AK239" s="268">
        <f>AJ239</f>
        <v>0</v>
      </c>
      <c r="AL239" s="268">
        <f>AK239</f>
        <v>0</v>
      </c>
      <c r="AM239" s="268">
        <f>AL239</f>
        <v>0</v>
      </c>
      <c r="AN239" s="268">
        <f>AM239</f>
        <v>0</v>
      </c>
      <c r="AO239" s="268">
        <f>AN239</f>
        <v>0</v>
      </c>
      <c r="AP239" s="268">
        <f>AO239</f>
        <v>0</v>
      </c>
      <c r="AQ239" s="268">
        <f>AP239</f>
        <v>0</v>
      </c>
      <c r="AR239" s="268">
        <f>AQ239</f>
        <v>0</v>
      </c>
      <c r="AS239" s="268">
        <f>AR239</f>
        <v>0</v>
      </c>
      <c r="AT239" s="268">
        <f>AS239</f>
        <v>0</v>
      </c>
      <c r="AU239" s="268">
        <f>AT239</f>
        <v>0</v>
      </c>
      <c r="AV239" s="268">
        <f>AU239</f>
        <v>0</v>
      </c>
      <c r="AW239" s="268">
        <f>AV239</f>
        <v>0</v>
      </c>
      <c r="AX239" s="268">
        <f>AW239</f>
        <v>0</v>
      </c>
      <c r="AY239" s="268">
        <f>AX239</f>
        <v>0</v>
      </c>
      <c r="AZ239" s="268">
        <f>AY239</f>
        <v>0</v>
      </c>
      <c r="BA239" s="268">
        <f>AZ239</f>
        <v>0</v>
      </c>
      <c r="BB239" s="268">
        <f>BA239</f>
        <v>0</v>
      </c>
      <c r="BC239" s="268">
        <f>BB239</f>
        <v>0</v>
      </c>
      <c r="BD239" s="268">
        <f>BC239</f>
        <v>0</v>
      </c>
      <c r="BE239" s="268">
        <f>BD239</f>
        <v>0</v>
      </c>
      <c r="BF239" s="268">
        <f>BE239</f>
        <v>0</v>
      </c>
      <c r="BG239" s="268">
        <f>BF239</f>
        <v>0</v>
      </c>
      <c r="BH239" s="268">
        <f>BG239</f>
        <v>0</v>
      </c>
      <c r="BI239" s="268">
        <f>BH239</f>
        <v>0</v>
      </c>
      <c r="BJ239" s="268">
        <f>BI239</f>
        <v>0</v>
      </c>
      <c r="BK239" s="268">
        <f>BJ239</f>
        <v>0</v>
      </c>
      <c r="BL239" s="268">
        <f>BK239</f>
        <v>0</v>
      </c>
      <c r="BM239" s="268">
        <f>BL239</f>
        <v>0</v>
      </c>
      <c r="BN239" s="268">
        <f>BM239</f>
        <v>0</v>
      </c>
      <c r="BO239" s="268">
        <f>BN239</f>
        <v>0</v>
      </c>
      <c r="BP239" s="268">
        <f>BO239</f>
        <v>0</v>
      </c>
      <c r="BQ239" s="268">
        <f>BP239</f>
        <v>0</v>
      </c>
      <c r="BR239" s="268">
        <f>BQ239</f>
        <v>0</v>
      </c>
      <c r="BS239" s="268">
        <f>BR239</f>
        <v>0</v>
      </c>
      <c r="BT239" s="268">
        <f>BS239</f>
        <v>0</v>
      </c>
      <c r="BU239" s="268">
        <f>BT239</f>
        <v>0</v>
      </c>
      <c r="BV239" s="268">
        <f>BU239</f>
        <v>0</v>
      </c>
      <c r="BW239" s="268">
        <f>BV239</f>
        <v>0</v>
      </c>
      <c r="BX239" s="268">
        <f>BW239</f>
        <v>0</v>
      </c>
      <c r="BY239" s="268">
        <f>BX239</f>
        <v>0</v>
      </c>
      <c r="BZ239" s="268">
        <f>BY239</f>
        <v>0</v>
      </c>
      <c r="CA239" s="268">
        <f>BZ239</f>
        <v>0</v>
      </c>
      <c r="CB239" s="268">
        <f>CA239</f>
        <v>0</v>
      </c>
      <c r="CC239" s="268">
        <f>CB239</f>
        <v>0</v>
      </c>
      <c r="CD239" s="268">
        <f>CC239</f>
        <v>0</v>
      </c>
      <c r="CE239" s="268">
        <f>CD239</f>
        <v>0</v>
      </c>
      <c r="CF239" s="268">
        <f>CE239</f>
        <v>0</v>
      </c>
      <c r="CG239" s="268">
        <f>CF239</f>
        <v>0</v>
      </c>
      <c r="CH239" s="268">
        <f>CG239</f>
        <v>0</v>
      </c>
      <c r="CI239" s="268">
        <f>CH239</f>
        <v>0</v>
      </c>
      <c r="CJ239" s="268">
        <f>CI239</f>
        <v>0</v>
      </c>
      <c r="CK239" s="268">
        <f>CJ239</f>
        <v>0</v>
      </c>
      <c r="CL239" s="268">
        <f>CK239</f>
        <v>0</v>
      </c>
      <c r="CM239" s="268">
        <f>CL239</f>
        <v>0</v>
      </c>
      <c r="CN239" s="268">
        <f>CM239</f>
        <v>0</v>
      </c>
      <c r="CO239" s="268">
        <f>CN239</f>
        <v>0</v>
      </c>
      <c r="CP239" s="268">
        <f>CO239</f>
        <v>0</v>
      </c>
      <c r="CQ239" s="268">
        <f>CP239</f>
        <v>0</v>
      </c>
      <c r="CR239" s="268">
        <f>CQ239</f>
        <v>0</v>
      </c>
      <c r="CS239" s="268">
        <f>CR239</f>
        <v>0</v>
      </c>
      <c r="CT239" s="268">
        <f>CS239</f>
        <v>0</v>
      </c>
      <c r="CU239" s="268">
        <f>CT239</f>
        <v>0</v>
      </c>
      <c r="CV239" s="268">
        <f>CU239</f>
        <v>0</v>
      </c>
      <c r="CW239" s="268">
        <f>CV239</f>
        <v>0</v>
      </c>
      <c r="CX239" s="268">
        <f>CW239</f>
        <v>0</v>
      </c>
      <c r="CY239" s="268">
        <f>CX239</f>
        <v>0</v>
      </c>
    </row>
    <row r="240" ht="12.75" customHeight="1" s="255">
      <c r="C240" s="269" t="inlineStr">
        <is>
          <t>Common Stock and APIC</t>
        </is>
      </c>
      <c r="D240" s="301">
        <f>INDEX('Inputs (2)'!$D$43:$AL$43,MATCH(D$7,'Inputs (2)'!$D$2:$AL$2,0))</f>
        <v>0</v>
      </c>
      <c r="E240" s="301">
        <f>INDEX('Inputs (2)'!$D$43:$AL$43,MATCH(E$7,'Inputs (2)'!$D$2:$AL$2,0))</f>
        <v>0</v>
      </c>
      <c r="F240" s="301">
        <f>INDEX('Inputs (2)'!$D$43:$AL$43,MATCH(F$7,'Inputs (2)'!$D$2:$AL$2,0))</f>
        <v>0</v>
      </c>
      <c r="G240" s="301">
        <f>INDEX('Inputs (2)'!$D$43:$AL$43,MATCH(G$7,'Inputs (2)'!$D$2:$AL$2,0))</f>
        <v>0</v>
      </c>
      <c r="H240" s="268">
        <f>G240</f>
        <v>0</v>
      </c>
      <c r="I240" s="301">
        <f>INDEX('Inputs (2)'!$D$43:$AL$43,MATCH(I$7,'Inputs (2)'!$D$2:$AL$2,0))</f>
        <v>0</v>
      </c>
      <c r="J240" s="301">
        <f>INDEX('Inputs (2)'!$D$43:$AL$43,MATCH(J$7,'Inputs (2)'!$D$2:$AL$2,0))</f>
        <v>0</v>
      </c>
      <c r="K240" s="301">
        <f>INDEX('Inputs (2)'!$D$43:$AL$43,MATCH(K$7,'Inputs (2)'!$D$2:$AL$2,0))</f>
        <v>0</v>
      </c>
      <c r="L240" s="301">
        <f>INDEX('Inputs (2)'!$D$43:$AL$43,MATCH(L$7,'Inputs (2)'!$D$2:$AL$2,0))</f>
        <v>0</v>
      </c>
      <c r="M240" s="268">
        <f>L240</f>
        <v>0</v>
      </c>
      <c r="N240" s="301">
        <f>INDEX('Inputs (2)'!$D$43:$AL$43,MATCH(N$7,'Inputs (2)'!$D$2:$AL$2,0))</f>
        <v>0</v>
      </c>
      <c r="O240" s="301">
        <f>INDEX('Inputs (2)'!$D$43:$AL$43,MATCH(O$7,'Inputs (2)'!$D$2:$AL$2,0))</f>
        <v>0</v>
      </c>
      <c r="P240" s="301">
        <f>INDEX('Inputs (2)'!$D$43:$AL$43,MATCH(P$7,'Inputs (2)'!$D$2:$AL$2,0))</f>
        <v>0</v>
      </c>
      <c r="Q240" s="301">
        <f>INDEX('Inputs (2)'!$D$43:$AL$43,MATCH(Q$7,'Inputs (2)'!$D$2:$AL$2,0))</f>
        <v>0</v>
      </c>
      <c r="R240" s="268">
        <f>Q240</f>
        <v>0</v>
      </c>
      <c r="S240" s="301">
        <f>INDEX('Inputs (2)'!$D$43:$AL$43,MATCH(S$7,'Inputs (2)'!$D$2:$AL$2,0))</f>
        <v>0</v>
      </c>
      <c r="T240" s="301">
        <f>INDEX('Inputs (2)'!$D$43:$AL$43,MATCH(T$7,'Inputs (2)'!$D$2:$AL$2,0))</f>
        <v>0</v>
      </c>
      <c r="U240" s="301">
        <f>INDEX('Inputs (2)'!$D$43:$AL$43,MATCH(U$7,'Inputs (2)'!$D$2:$AL$2,0))</f>
        <v>0</v>
      </c>
      <c r="V240" s="301">
        <f>INDEX('Inputs (2)'!$D$43:$AL$43,MATCH(V$7,'Inputs (2)'!$D$2:$AL$2,0))</f>
        <v>0</v>
      </c>
      <c r="W240" s="268">
        <f>V240</f>
        <v>0</v>
      </c>
      <c r="X240" s="301">
        <f>INDEX('Inputs (2)'!$D$43:$AL$43,MATCH(X$7,'Inputs (2)'!$D$2:$AL$2,0))</f>
        <v>0</v>
      </c>
      <c r="Y240" s="301">
        <f>INDEX('Inputs (2)'!$D$43:$AL$43,MATCH(Y$7,'Inputs (2)'!$D$2:$AL$2,0))</f>
        <v>0</v>
      </c>
      <c r="Z240" s="301">
        <f>INDEX('Inputs (2)'!$D$43:$AL$43,MATCH(Z$7,'Inputs (2)'!$D$2:$AL$2,0))</f>
        <v>0</v>
      </c>
      <c r="AA240" s="301">
        <f>INDEX('Inputs (2)'!$D$43:$AL$43,MATCH(AA$7,'Inputs (2)'!$D$2:$AL$2,0))</f>
        <v>1096.16</v>
      </c>
      <c r="AB240" s="268">
        <f>AA240</f>
        <v>1096.16</v>
      </c>
      <c r="AC240" s="301">
        <f>INDEX('Inputs (2)'!$D$43:$AL$43,MATCH(AC$7,'Inputs (2)'!$D$2:$AL$2,0))</f>
        <v>3730.521</v>
      </c>
      <c r="AD240" s="301">
        <f>INDEX('Inputs (2)'!$D$43:$AL$43,MATCH(AD$7,'Inputs (2)'!$D$2:$AL$2,0))</f>
        <v>4772.825</v>
      </c>
      <c r="AE240" s="301">
        <f>INDEX('Inputs (2)'!$D$43:$AL$43,MATCH(AE$7,'Inputs (2)'!$D$2:$AL$2,0))</f>
        <v>6104.329</v>
      </c>
      <c r="AF240" s="301">
        <f>INDEX('Inputs (2)'!$D$43:$AL$43,MATCH(AF$7,'Inputs (2)'!$D$2:$AL$2,0))</f>
        <v>6012</v>
      </c>
      <c r="AG240" s="268">
        <f>AF240</f>
        <v>6012</v>
      </c>
      <c r="AH240" s="268">
        <f>INDEX('Inputs (2)'!$D$43:$AL$43,MATCH(AH$7,'Inputs (2)'!$D$2:$AL$2,0))</f>
        <v>8171</v>
      </c>
      <c r="AI240" s="268">
        <f>INDEX('Inputs (2)'!$D$43:$AL$43,MATCH(AI$7,'Inputs (2)'!$D$2:$AL$2,0))</f>
        <v>9085</v>
      </c>
      <c r="AJ240" s="268">
        <f>AI240+AJ244</f>
        <v>9085</v>
      </c>
      <c r="AK240" s="268">
        <f>AJ240+AK244</f>
        <v>9085</v>
      </c>
      <c r="AL240" s="268">
        <f>AK240</f>
        <v>9085</v>
      </c>
      <c r="AM240" s="268">
        <f>AL240+AM244</f>
        <v>9085</v>
      </c>
      <c r="AN240" s="268">
        <f>AM240+AN244</f>
        <v>9085</v>
      </c>
      <c r="AO240" s="268">
        <f>AN240+AO244</f>
        <v>9085</v>
      </c>
      <c r="AP240" s="268">
        <f>AO240+AP244</f>
        <v>9085</v>
      </c>
      <c r="AQ240" s="268">
        <f>AP240</f>
        <v>9085</v>
      </c>
      <c r="AR240" s="268">
        <f>AQ240+AR244</f>
        <v>9085</v>
      </c>
      <c r="AS240" s="268">
        <f>AR240+AS244</f>
        <v>9085</v>
      </c>
      <c r="AT240" s="268">
        <f>AS240+AT244</f>
        <v>9085</v>
      </c>
      <c r="AU240" s="268">
        <f>AT240+AU244</f>
        <v>9085</v>
      </c>
      <c r="AV240" s="268">
        <f>AU240</f>
        <v>9085</v>
      </c>
      <c r="AW240" s="268">
        <f>AV240+AW244</f>
        <v>9085</v>
      </c>
      <c r="AX240" s="268">
        <f>AW240+AX244</f>
        <v>9085</v>
      </c>
      <c r="AY240" s="268">
        <f>AX240+AY244</f>
        <v>9085</v>
      </c>
      <c r="AZ240" s="268">
        <f>AY240+AZ244</f>
        <v>9085</v>
      </c>
      <c r="BA240" s="268">
        <f>AZ240</f>
        <v>9085</v>
      </c>
      <c r="BB240" s="268">
        <f>BA240+BB244</f>
        <v>9085</v>
      </c>
      <c r="BC240" s="268">
        <f>BB240+BC244</f>
        <v>9085</v>
      </c>
      <c r="BD240" s="268">
        <f>BC240+BD244</f>
        <v>9085</v>
      </c>
      <c r="BE240" s="268">
        <f>BD240+BE244</f>
        <v>9085</v>
      </c>
      <c r="BF240" s="268">
        <f>BE240</f>
        <v>9085</v>
      </c>
      <c r="BG240" s="268">
        <f>BF240+BG244</f>
        <v>9085</v>
      </c>
      <c r="BH240" s="268">
        <f>BG240+BH244</f>
        <v>9085</v>
      </c>
      <c r="BI240" s="268">
        <f>BH240+BI244</f>
        <v>9085</v>
      </c>
      <c r="BJ240" s="268">
        <f>BI240+BJ244</f>
        <v>9085</v>
      </c>
      <c r="BK240" s="268">
        <f>BJ240</f>
        <v>9085</v>
      </c>
      <c r="BL240" s="268">
        <f>BK240+BL244</f>
        <v>9085</v>
      </c>
      <c r="BM240" s="268">
        <f>BL240+BM244</f>
        <v>9085</v>
      </c>
      <c r="BN240" s="268">
        <f>BM240+BN244</f>
        <v>9085</v>
      </c>
      <c r="BO240" s="268">
        <f>BN240+BO244</f>
        <v>9085</v>
      </c>
      <c r="BP240" s="268">
        <f>BO240</f>
        <v>9085</v>
      </c>
      <c r="BQ240" s="268">
        <f>BP240+BQ244</f>
        <v>9085</v>
      </c>
      <c r="BR240" s="268">
        <f>BQ240+BR244</f>
        <v>9085</v>
      </c>
      <c r="BS240" s="268">
        <f>BR240+BS244</f>
        <v>9085</v>
      </c>
      <c r="BT240" s="268">
        <f>BS240+BT244</f>
        <v>9085</v>
      </c>
      <c r="BU240" s="268">
        <f>BT240</f>
        <v>9085</v>
      </c>
      <c r="BV240" s="268">
        <f>BU240+BV244</f>
        <v>9085</v>
      </c>
      <c r="BW240" s="268">
        <f>BV240+BW244</f>
        <v>9085</v>
      </c>
      <c r="BX240" s="268">
        <f>BW240+BX244</f>
        <v>9085</v>
      </c>
      <c r="BY240" s="268">
        <f>BX240+BY244</f>
        <v>9085</v>
      </c>
      <c r="BZ240" s="268">
        <f>BY240</f>
        <v>9085</v>
      </c>
      <c r="CA240" s="268">
        <f>BZ240+CA244</f>
        <v>9085</v>
      </c>
      <c r="CB240" s="268">
        <f>CA240+CB244</f>
        <v>9085</v>
      </c>
      <c r="CC240" s="268">
        <f>CB240+CC244</f>
        <v>9085</v>
      </c>
      <c r="CD240" s="268">
        <f>CC240+CD244</f>
        <v>9085</v>
      </c>
      <c r="CE240" s="268">
        <f>CD240</f>
        <v>9085</v>
      </c>
      <c r="CF240" s="268">
        <f>CE240+CF244</f>
        <v>9085</v>
      </c>
      <c r="CG240" s="268">
        <f>CF240+CG244</f>
        <v>9085</v>
      </c>
      <c r="CH240" s="268">
        <f>CG240+CH244</f>
        <v>9085</v>
      </c>
      <c r="CI240" s="268">
        <f>CH240+CI244</f>
        <v>9085</v>
      </c>
      <c r="CJ240" s="268">
        <f>CI240</f>
        <v>9085</v>
      </c>
      <c r="CK240" s="268">
        <f>CJ240+CK244</f>
        <v>9085</v>
      </c>
      <c r="CL240" s="268">
        <f>CK240+CL244</f>
        <v>9085</v>
      </c>
      <c r="CM240" s="268">
        <f>CL240+CM244</f>
        <v>9085</v>
      </c>
      <c r="CN240" s="268">
        <f>CM240+CN244</f>
        <v>9085</v>
      </c>
      <c r="CO240" s="268">
        <f>CN240</f>
        <v>9085</v>
      </c>
      <c r="CP240" s="268">
        <f>CO240+CP244</f>
        <v>9085</v>
      </c>
      <c r="CQ240" s="268">
        <f>CP240+CQ244</f>
        <v>9085</v>
      </c>
      <c r="CR240" s="268">
        <f>CQ240+CR244</f>
        <v>9085</v>
      </c>
      <c r="CS240" s="268">
        <f>CR240+CS244</f>
        <v>9085</v>
      </c>
      <c r="CT240" s="268">
        <f>CS240</f>
        <v>9085</v>
      </c>
      <c r="CU240" s="268">
        <f>CT240+CU244</f>
        <v>9085</v>
      </c>
      <c r="CV240" s="268">
        <f>CU240+CV244</f>
        <v>9085</v>
      </c>
      <c r="CW240" s="268">
        <f>CV240+CW244</f>
        <v>9085</v>
      </c>
      <c r="CX240" s="268">
        <f>CW240+CX244</f>
        <v>9085</v>
      </c>
      <c r="CY240" s="268">
        <f>CX240</f>
        <v>9085</v>
      </c>
    </row>
    <row r="241" hidden="1" outlineLevel="1" ht="12.75" customFormat="1" customHeight="1" s="322">
      <c r="A241" s="293" t="n"/>
      <c r="B241" s="293" t="n"/>
      <c r="C241" s="323" t="n"/>
      <c r="D241" s="298" t="n"/>
      <c r="E241" s="298" t="n"/>
      <c r="F241" s="298" t="n"/>
      <c r="G241" s="298" t="n"/>
      <c r="H241" s="298" t="n"/>
      <c r="I241" s="298" t="n"/>
      <c r="J241" s="298" t="n"/>
      <c r="K241" s="298" t="n"/>
      <c r="L241" s="298" t="n"/>
      <c r="M241" s="298" t="n"/>
      <c r="N241" s="298" t="n"/>
      <c r="O241" s="298" t="n"/>
      <c r="P241" s="298" t="n"/>
      <c r="Q241" s="298" t="n"/>
      <c r="R241" s="298" t="n"/>
      <c r="S241" s="298" t="n"/>
      <c r="T241" s="298" t="n"/>
      <c r="U241" s="298" t="n"/>
      <c r="V241" s="298" t="n"/>
      <c r="W241" s="298" t="n"/>
      <c r="X241" s="298" t="n"/>
      <c r="Y241" s="298" t="n"/>
      <c r="Z241" s="298" t="n"/>
      <c r="AA241" s="298" t="n"/>
      <c r="AB241" s="298" t="n"/>
      <c r="AC241" s="298" t="n"/>
      <c r="AD241" s="298" t="n"/>
      <c r="AE241" s="298" t="n"/>
      <c r="AF241" s="298" t="n"/>
      <c r="AG241" s="298" t="n"/>
      <c r="AH241" s="298" t="n"/>
      <c r="AI241" s="298" t="n"/>
      <c r="AJ241" s="298" t="n"/>
      <c r="AK241" s="298" t="n"/>
      <c r="AL241" s="298" t="n"/>
      <c r="AM241" s="298" t="n"/>
      <c r="AN241" s="298" t="n"/>
      <c r="AO241" s="298" t="n"/>
      <c r="AP241" s="298" t="n"/>
      <c r="AQ241" s="298" t="n"/>
      <c r="AR241" s="298" t="n"/>
      <c r="AS241" s="298" t="n"/>
      <c r="AT241" s="298" t="n"/>
      <c r="AU241" s="298" t="n"/>
      <c r="AV241" s="298" t="n"/>
      <c r="AW241" s="298" t="n"/>
      <c r="AX241" s="298" t="n"/>
      <c r="AY241" s="298" t="n"/>
      <c r="AZ241" s="298" t="n"/>
      <c r="BA241" s="298" t="n"/>
      <c r="BB241" s="298" t="n"/>
      <c r="BC241" s="298" t="n"/>
      <c r="BD241" s="298" t="n"/>
      <c r="BE241" s="298" t="n"/>
      <c r="BF241" s="298" t="n"/>
      <c r="BG241" s="298" t="n"/>
      <c r="BH241" s="298" t="n"/>
      <c r="BI241" s="298" t="n"/>
      <c r="BJ241" s="298" t="n"/>
      <c r="BK241" s="298" t="n"/>
      <c r="BL241" s="298" t="n"/>
      <c r="BM241" s="298" t="n"/>
      <c r="BN241" s="298" t="n"/>
      <c r="BO241" s="298" t="n"/>
      <c r="BP241" s="298" t="n"/>
      <c r="BQ241" s="298" t="n"/>
      <c r="BR241" s="298" t="n"/>
      <c r="BS241" s="298" t="n"/>
      <c r="BT241" s="298" t="n"/>
      <c r="BU241" s="298" t="n"/>
      <c r="BV241" s="298" t="n"/>
      <c r="BW241" s="298" t="n"/>
      <c r="BX241" s="298" t="n"/>
      <c r="BY241" s="298" t="n"/>
      <c r="BZ241" s="298" t="n"/>
      <c r="CA241" s="298" t="n"/>
      <c r="CB241" s="298" t="n"/>
      <c r="CC241" s="298" t="n"/>
      <c r="CD241" s="298" t="n"/>
      <c r="CE241" s="298" t="n"/>
      <c r="CF241" s="298" t="n"/>
      <c r="CG241" s="298" t="n"/>
      <c r="CH241" s="298" t="n"/>
      <c r="CI241" s="298" t="n"/>
      <c r="CJ241" s="298" t="n"/>
      <c r="CK241" s="298" t="n"/>
      <c r="CL241" s="298" t="n"/>
      <c r="CM241" s="298" t="n"/>
      <c r="CN241" s="298" t="n"/>
      <c r="CO241" s="298" t="n"/>
      <c r="CP241" s="298" t="n"/>
      <c r="CQ241" s="298" t="n"/>
      <c r="CR241" s="298" t="n"/>
      <c r="CS241" s="298" t="n"/>
      <c r="CT241" s="298" t="n"/>
      <c r="CU241" s="298" t="n"/>
      <c r="CV241" s="298" t="n"/>
      <c r="CW241" s="298" t="n"/>
      <c r="CX241" s="298" t="n"/>
      <c r="CY241" s="298" t="n"/>
    </row>
    <row r="242" hidden="1" outlineLevel="1" ht="12.75" customFormat="1" customHeight="1" s="322">
      <c r="A242" s="293" t="n"/>
      <c r="B242" s="293" t="n"/>
      <c r="C242" s="323" t="inlineStr">
        <is>
          <t>Diluted Shares outstanding</t>
        </is>
      </c>
      <c r="D242" s="298" t="n"/>
      <c r="E242" s="298" t="n"/>
      <c r="F242" s="298" t="n"/>
      <c r="G242" s="298" t="n"/>
      <c r="H242" s="298" t="n"/>
      <c r="I242" s="298" t="n"/>
      <c r="J242" s="298" t="n"/>
      <c r="K242" s="298" t="n"/>
      <c r="L242" s="298" t="n"/>
      <c r="M242" s="298" t="n"/>
      <c r="N242" s="298" t="n"/>
      <c r="O242" s="298" t="n"/>
      <c r="P242" s="298" t="n"/>
      <c r="Q242" s="298" t="n"/>
      <c r="R242" s="298" t="n"/>
      <c r="S242" s="298" t="n"/>
      <c r="T242" s="298" t="n"/>
      <c r="U242" s="298" t="n"/>
      <c r="V242" s="298" t="n"/>
      <c r="W242" s="298" t="n"/>
      <c r="X242" s="298" t="n"/>
      <c r="Y242" s="298" t="n"/>
      <c r="Z242" s="298" t="n"/>
      <c r="AA242" s="298" t="n"/>
      <c r="AB242" s="298" t="n"/>
      <c r="AC242" s="298" t="n"/>
      <c r="AD242" s="298" t="n"/>
      <c r="AE242" s="298" t="n"/>
      <c r="AF242" s="298" t="n"/>
      <c r="AG242" s="298" t="n"/>
      <c r="AH242" s="298" t="n"/>
      <c r="AI242" s="298" t="n"/>
      <c r="AJ242" s="298" t="n"/>
      <c r="AK242" s="298" t="n"/>
      <c r="AL242" s="298" t="n"/>
      <c r="AM242" s="298" t="n"/>
      <c r="AN242" s="298" t="n"/>
      <c r="AO242" s="298" t="n"/>
      <c r="AP242" s="298" t="n"/>
      <c r="AQ242" s="298" t="n"/>
      <c r="AR242" s="298" t="n"/>
      <c r="AS242" s="298" t="n"/>
      <c r="AT242" s="298" t="n"/>
      <c r="AU242" s="298" t="n"/>
      <c r="AV242" s="298" t="n"/>
      <c r="AW242" s="298" t="n"/>
      <c r="AX242" s="298" t="n"/>
      <c r="AY242" s="298" t="n"/>
      <c r="AZ242" s="298" t="n"/>
      <c r="BA242" s="298" t="n"/>
      <c r="BB242" s="298" t="n"/>
      <c r="BC242" s="298" t="n"/>
      <c r="BD242" s="298" t="n"/>
      <c r="BE242" s="298" t="n"/>
      <c r="BF242" s="298" t="n"/>
      <c r="BG242" s="298" t="n"/>
      <c r="BH242" s="298" t="n"/>
      <c r="BI242" s="298" t="n"/>
      <c r="BJ242" s="298" t="n"/>
      <c r="BK242" s="298" t="n"/>
      <c r="BL242" s="298" t="n"/>
      <c r="BM242" s="298" t="n"/>
      <c r="BN242" s="298" t="n"/>
      <c r="BO242" s="298" t="n"/>
      <c r="BP242" s="298" t="n"/>
      <c r="BQ242" s="298" t="n"/>
      <c r="BR242" s="298" t="n"/>
      <c r="BS242" s="298" t="n"/>
      <c r="BT242" s="298" t="n"/>
      <c r="BU242" s="298" t="n"/>
      <c r="BV242" s="298" t="n"/>
      <c r="BW242" s="298" t="n"/>
      <c r="BX242" s="298" t="n"/>
      <c r="BY242" s="298" t="n"/>
      <c r="BZ242" s="298" t="n"/>
      <c r="CA242" s="298" t="n"/>
      <c r="CB242" s="298" t="n"/>
      <c r="CC242" s="298" t="n"/>
      <c r="CD242" s="298" t="n"/>
      <c r="CE242" s="298" t="n"/>
      <c r="CF242" s="298" t="n"/>
      <c r="CG242" s="298" t="n"/>
      <c r="CH242" s="298" t="n"/>
      <c r="CI242" s="298" t="n"/>
      <c r="CJ242" s="298" t="n"/>
      <c r="CK242" s="298" t="n"/>
      <c r="CL242" s="298" t="n"/>
      <c r="CM242" s="298" t="n"/>
      <c r="CN242" s="298" t="n"/>
      <c r="CO242" s="298" t="n"/>
      <c r="CP242" s="298" t="n"/>
      <c r="CQ242" s="298" t="n"/>
      <c r="CR242" s="298" t="n"/>
      <c r="CS242" s="298" t="n"/>
      <c r="CT242" s="298" t="n"/>
      <c r="CU242" s="298" t="n"/>
      <c r="CV242" s="298" t="n"/>
      <c r="CW242" s="298" t="n"/>
      <c r="CX242" s="298" t="n"/>
      <c r="CY242" s="298" t="n"/>
    </row>
    <row r="243" hidden="1" outlineLevel="1" ht="12.75" customFormat="1" customHeight="1" s="322">
      <c r="A243" s="293" t="n"/>
      <c r="B243" s="293" t="n"/>
      <c r="C243" s="323" t="inlineStr">
        <is>
          <t>Treasury share $ repurchases</t>
        </is>
      </c>
      <c r="D243" s="298" t="n"/>
      <c r="E243" s="298" t="n"/>
      <c r="F243" s="298" t="n"/>
      <c r="G243" s="298" t="n"/>
      <c r="H243" s="298" t="n"/>
      <c r="I243" s="298" t="n"/>
      <c r="J243" s="298" t="n"/>
      <c r="K243" s="298" t="n"/>
      <c r="L243" s="298" t="n"/>
      <c r="M243" s="298" t="n"/>
      <c r="N243" s="298" t="n"/>
      <c r="O243" s="298" t="n"/>
      <c r="P243" s="298" t="n"/>
      <c r="Q243" s="298" t="n"/>
      <c r="R243" s="298" t="n"/>
      <c r="S243" s="298" t="n"/>
      <c r="T243" s="298" t="n"/>
      <c r="U243" s="298" t="n"/>
      <c r="V243" s="298" t="n"/>
      <c r="W243" s="298" t="n"/>
      <c r="X243" s="298" t="n"/>
      <c r="Y243" s="298" t="n"/>
      <c r="Z243" s="298" t="n"/>
      <c r="AA243" s="298" t="n"/>
      <c r="AB243" s="298" t="n"/>
      <c r="AC243" s="298" t="n"/>
      <c r="AD243" s="298" t="n"/>
      <c r="AE243" s="298" t="n"/>
      <c r="AF243" s="298" t="n"/>
      <c r="AG243" s="298" t="n"/>
      <c r="AH243" s="267" t="n"/>
      <c r="AI243" s="267" t="n"/>
      <c r="AJ243" s="267" t="n"/>
      <c r="AK243" s="267" t="n"/>
      <c r="AL243" s="298" t="n"/>
      <c r="AM243" s="267" t="n"/>
      <c r="AN243" s="267" t="n"/>
      <c r="AO243" s="267" t="n"/>
      <c r="AP243" s="267" t="n"/>
      <c r="AQ243" s="298" t="n"/>
      <c r="AR243" s="267" t="n"/>
      <c r="AS243" s="267" t="n"/>
      <c r="AT243" s="267" t="n"/>
      <c r="AU243" s="267" t="n"/>
      <c r="AV243" s="298" t="n"/>
      <c r="AW243" s="267" t="n"/>
      <c r="AX243" s="267" t="n"/>
      <c r="AY243" s="267" t="n"/>
      <c r="AZ243" s="267" t="n"/>
      <c r="BA243" s="298" t="n"/>
      <c r="BB243" s="267" t="n"/>
      <c r="BC243" s="267" t="n"/>
      <c r="BD243" s="267" t="n"/>
      <c r="BE243" s="267" t="n"/>
      <c r="BF243" s="298" t="n"/>
      <c r="BG243" s="267" t="n"/>
      <c r="BH243" s="267" t="n"/>
      <c r="BI243" s="267" t="n"/>
      <c r="BJ243" s="267" t="n"/>
      <c r="BK243" s="298" t="n"/>
      <c r="BL243" s="267" t="n"/>
      <c r="BM243" s="267" t="n"/>
      <c r="BN243" s="267" t="n"/>
      <c r="BO243" s="267" t="n"/>
      <c r="BP243" s="298" t="n"/>
      <c r="BQ243" s="267" t="n"/>
      <c r="BR243" s="267" t="n"/>
      <c r="BS243" s="267" t="n"/>
      <c r="BT243" s="267" t="n"/>
      <c r="BU243" s="298" t="n"/>
      <c r="BV243" s="267" t="n"/>
      <c r="BW243" s="267" t="n"/>
      <c r="BX243" s="267" t="n"/>
      <c r="BY243" s="267" t="n"/>
      <c r="BZ243" s="298" t="n"/>
      <c r="CA243" s="267" t="n"/>
      <c r="CB243" s="267" t="n"/>
      <c r="CC243" s="267" t="n"/>
      <c r="CD243" s="267" t="n"/>
      <c r="CE243" s="298" t="n"/>
      <c r="CF243" s="267" t="n"/>
      <c r="CG243" s="267" t="n"/>
      <c r="CH243" s="267" t="n"/>
      <c r="CI243" s="267" t="n"/>
      <c r="CJ243" s="298" t="n"/>
      <c r="CK243" s="267" t="n"/>
      <c r="CL243" s="267" t="n"/>
      <c r="CM243" s="267" t="n"/>
      <c r="CN243" s="267" t="n"/>
      <c r="CO243" s="298" t="n"/>
      <c r="CP243" s="267" t="n"/>
      <c r="CQ243" s="267" t="n"/>
      <c r="CR243" s="267" t="n"/>
      <c r="CS243" s="267" t="n"/>
      <c r="CT243" s="298" t="n"/>
      <c r="CU243" s="267" t="n"/>
      <c r="CV243" s="267" t="n"/>
      <c r="CW243" s="267" t="n"/>
      <c r="CX243" s="267" t="n"/>
      <c r="CY243" s="298" t="n"/>
    </row>
    <row r="244" hidden="1" outlineLevel="1" ht="12.75" customFormat="1" customHeight="1" s="322">
      <c r="A244" s="293" t="n"/>
      <c r="B244" s="293" t="n"/>
      <c r="C244" s="323" t="inlineStr">
        <is>
          <t>Value of shares issued</t>
        </is>
      </c>
      <c r="D244" s="298" t="n"/>
      <c r="E244" s="298" t="n"/>
      <c r="F244" s="298" t="n"/>
      <c r="G244" s="298" t="n"/>
      <c r="H244" s="298" t="n"/>
      <c r="I244" s="298" t="n"/>
      <c r="J244" s="298" t="n"/>
      <c r="K244" s="298" t="n"/>
      <c r="L244" s="298" t="n"/>
      <c r="M244" s="298" t="n"/>
      <c r="N244" s="298" t="n"/>
      <c r="O244" s="298" t="n"/>
      <c r="P244" s="298" t="n"/>
      <c r="Q244" s="298" t="n"/>
      <c r="R244" s="298" t="n"/>
      <c r="S244" s="298" t="n"/>
      <c r="T244" s="298" t="n"/>
      <c r="U244" s="298" t="n"/>
      <c r="V244" s="298" t="n"/>
      <c r="W244" s="298" t="n"/>
      <c r="X244" s="298" t="n"/>
      <c r="Y244" s="298" t="n"/>
      <c r="Z244" s="298" t="n"/>
      <c r="AA244" s="298" t="n"/>
      <c r="AB244" s="298" t="n"/>
      <c r="AC244" s="298" t="n"/>
      <c r="AD244" s="298" t="n"/>
      <c r="AE244" s="298" t="n"/>
      <c r="AF244" s="298" t="n"/>
      <c r="AG244" s="298" t="n"/>
      <c r="AH244" s="267" t="n"/>
      <c r="AI244" s="267" t="n"/>
      <c r="AJ244" s="267" t="n"/>
      <c r="AK244" s="267" t="n"/>
      <c r="AL244" s="298" t="n"/>
      <c r="AM244" s="267" t="n"/>
      <c r="AN244" s="267" t="n"/>
      <c r="AO244" s="267" t="n"/>
      <c r="AP244" s="267" t="n"/>
      <c r="AQ244" s="298" t="n"/>
      <c r="AR244" s="267" t="n"/>
      <c r="AS244" s="267" t="n"/>
      <c r="AT244" s="267" t="n"/>
      <c r="AU244" s="267" t="n"/>
      <c r="AV244" s="298" t="n"/>
      <c r="AW244" s="267" t="n"/>
      <c r="AX244" s="267" t="n"/>
      <c r="AY244" s="267" t="n"/>
      <c r="AZ244" s="267" t="n"/>
      <c r="BA244" s="298" t="n"/>
      <c r="BB244" s="267" t="n"/>
      <c r="BC244" s="267" t="n"/>
      <c r="BD244" s="267" t="n"/>
      <c r="BE244" s="267" t="n"/>
      <c r="BF244" s="298" t="n"/>
      <c r="BG244" s="267" t="n"/>
      <c r="BH244" s="267" t="n"/>
      <c r="BI244" s="267" t="n"/>
      <c r="BJ244" s="267" t="n"/>
      <c r="BK244" s="298" t="n"/>
      <c r="BL244" s="267" t="n"/>
      <c r="BM244" s="267" t="n"/>
      <c r="BN244" s="267" t="n"/>
      <c r="BO244" s="267" t="n"/>
      <c r="BP244" s="298" t="n"/>
      <c r="BQ244" s="267" t="n"/>
      <c r="BR244" s="267" t="n"/>
      <c r="BS244" s="267" t="n"/>
      <c r="BT244" s="267" t="n"/>
      <c r="BU244" s="298" t="n"/>
      <c r="BV244" s="267" t="n"/>
      <c r="BW244" s="267" t="n"/>
      <c r="BX244" s="267" t="n"/>
      <c r="BY244" s="267" t="n"/>
      <c r="BZ244" s="298" t="n"/>
      <c r="CA244" s="267" t="n"/>
      <c r="CB244" s="267" t="n"/>
      <c r="CC244" s="267" t="n"/>
      <c r="CD244" s="267" t="n"/>
      <c r="CE244" s="298" t="n"/>
      <c r="CF244" s="267" t="n"/>
      <c r="CG244" s="267" t="n"/>
      <c r="CH244" s="267" t="n"/>
      <c r="CI244" s="267" t="n"/>
      <c r="CJ244" s="298" t="n"/>
      <c r="CK244" s="267" t="n"/>
      <c r="CL244" s="267" t="n"/>
      <c r="CM244" s="267" t="n"/>
      <c r="CN244" s="267" t="n"/>
      <c r="CO244" s="298" t="n"/>
      <c r="CP244" s="267" t="n"/>
      <c r="CQ244" s="267" t="n"/>
      <c r="CR244" s="267" t="n"/>
      <c r="CS244" s="267" t="n"/>
      <c r="CT244" s="298" t="n"/>
      <c r="CU244" s="267" t="n"/>
      <c r="CV244" s="267" t="n"/>
      <c r="CW244" s="267" t="n"/>
      <c r="CX244" s="267" t="n"/>
      <c r="CY244" s="298" t="n"/>
    </row>
    <row r="245" hidden="1" outlineLevel="1" ht="12.75" customFormat="1" customHeight="1" s="322">
      <c r="A245" s="293" t="n"/>
      <c r="B245" s="293" t="n"/>
      <c r="C245" s="323" t="inlineStr">
        <is>
          <t>Expected average share price</t>
        </is>
      </c>
      <c r="D245" s="298" t="n"/>
      <c r="E245" s="298" t="n"/>
      <c r="F245" s="298" t="n"/>
      <c r="G245" s="298" t="n"/>
      <c r="H245" s="298" t="n"/>
      <c r="I245" s="298" t="n"/>
      <c r="J245" s="298" t="n"/>
      <c r="K245" s="298" t="n"/>
      <c r="L245" s="298" t="n"/>
      <c r="M245" s="298" t="n"/>
      <c r="N245" s="298" t="n"/>
      <c r="O245" s="298" t="n"/>
      <c r="P245" s="298" t="n"/>
      <c r="Q245" s="298" t="n"/>
      <c r="R245" s="298" t="n"/>
      <c r="S245" s="298" t="n"/>
      <c r="T245" s="298" t="n"/>
      <c r="U245" s="298" t="n"/>
      <c r="V245" s="298" t="n"/>
      <c r="W245" s="298" t="n"/>
      <c r="X245" s="298" t="n"/>
      <c r="Y245" s="298" t="n"/>
      <c r="Z245" s="298" t="n"/>
      <c r="AA245" s="298" t="n"/>
      <c r="AB245" s="298" t="n"/>
      <c r="AC245" s="298" t="n"/>
      <c r="AD245" s="298" t="n"/>
      <c r="AE245" s="298" t="n"/>
      <c r="AF245" s="298" t="n"/>
      <c r="AG245" s="324" t="n"/>
      <c r="AH245" s="325">
        <f>AG245*(1+AH246)</f>
        <v>0</v>
      </c>
      <c r="AI245" s="325">
        <f>AH245*(1+AI246)</f>
        <v>0</v>
      </c>
      <c r="AJ245" s="325">
        <f>AI245*(1+AJ246)</f>
        <v>0</v>
      </c>
      <c r="AK245" s="325">
        <f>AJ245*(1+AK246)</f>
        <v>0</v>
      </c>
      <c r="AL245" s="298" t="n"/>
      <c r="AM245" s="325">
        <f>AK245*(1+AM246)</f>
        <v>0</v>
      </c>
      <c r="AN245" s="325">
        <f>AM245*(1+AN246)</f>
        <v>0</v>
      </c>
      <c r="AO245" s="325">
        <f>AN245*(1+AO246)</f>
        <v>0</v>
      </c>
      <c r="AP245" s="325">
        <f>AO245*(1+AP246)</f>
        <v>0</v>
      </c>
      <c r="AQ245" s="298" t="n"/>
      <c r="AR245" s="325">
        <f>AP245*(1+AR246)</f>
        <v>0</v>
      </c>
      <c r="AS245" s="325">
        <f>AR245*(1+AS246)</f>
        <v>0</v>
      </c>
      <c r="AT245" s="325">
        <f>AS245*(1+AT246)</f>
        <v>0</v>
      </c>
      <c r="AU245" s="325">
        <f>AT245*(1+AU246)</f>
        <v>0</v>
      </c>
      <c r="AV245" s="298" t="n"/>
      <c r="AW245" s="325">
        <f>AU245*(1+AW246)</f>
        <v>0</v>
      </c>
      <c r="AX245" s="325">
        <f>AW245*(1+AX246)</f>
        <v>0</v>
      </c>
      <c r="AY245" s="325">
        <f>AX245*(1+AY246)</f>
        <v>0</v>
      </c>
      <c r="AZ245" s="325">
        <f>AY245*(1+AZ246)</f>
        <v>0</v>
      </c>
      <c r="BA245" s="298" t="n"/>
      <c r="BB245" s="325">
        <f>AZ245*(1+BB246)</f>
        <v>0</v>
      </c>
      <c r="BC245" s="325">
        <f>BB245*(1+BC246)</f>
        <v>0</v>
      </c>
      <c r="BD245" s="325">
        <f>BC245*(1+BD246)</f>
        <v>0</v>
      </c>
      <c r="BE245" s="325">
        <f>BD245*(1+BE246)</f>
        <v>0</v>
      </c>
      <c r="BF245" s="298" t="n"/>
      <c r="BG245" s="325">
        <f>BE245*(1+BG246)</f>
        <v>0</v>
      </c>
      <c r="BH245" s="325">
        <f>BG245*(1+BH246)</f>
        <v>0</v>
      </c>
      <c r="BI245" s="325">
        <f>BH245*(1+BI246)</f>
        <v>0</v>
      </c>
      <c r="BJ245" s="325">
        <f>BI245*(1+BJ246)</f>
        <v>0</v>
      </c>
      <c r="BK245" s="298" t="n"/>
      <c r="BL245" s="325">
        <f>BJ245*(1+BL246)</f>
        <v>0</v>
      </c>
      <c r="BM245" s="325">
        <f>BL245*(1+BM246)</f>
        <v>0</v>
      </c>
      <c r="BN245" s="325">
        <f>BM245*(1+BN246)</f>
        <v>0</v>
      </c>
      <c r="BO245" s="325">
        <f>BN245*(1+BO246)</f>
        <v>0</v>
      </c>
      <c r="BP245" s="298" t="n"/>
      <c r="BQ245" s="325">
        <f>BO245*(1+BQ246)</f>
        <v>0</v>
      </c>
      <c r="BR245" s="325">
        <f>BQ245*(1+BR246)</f>
        <v>0</v>
      </c>
      <c r="BS245" s="325">
        <f>BR245*(1+BS246)</f>
        <v>0</v>
      </c>
      <c r="BT245" s="325">
        <f>BS245*(1+BT246)</f>
        <v>0</v>
      </c>
      <c r="BU245" s="298" t="n"/>
      <c r="BV245" s="325">
        <f>BT245*(1+BV246)</f>
        <v>0</v>
      </c>
      <c r="BW245" s="325">
        <f>BV245*(1+BW246)</f>
        <v>0</v>
      </c>
      <c r="BX245" s="325">
        <f>BW245*(1+BX246)</f>
        <v>0</v>
      </c>
      <c r="BY245" s="325">
        <f>BX245*(1+BY246)</f>
        <v>0</v>
      </c>
      <c r="BZ245" s="298" t="n"/>
      <c r="CA245" s="325">
        <f>BY245*(1+CA246)</f>
        <v>0</v>
      </c>
      <c r="CB245" s="325">
        <f>CA245*(1+CB246)</f>
        <v>0</v>
      </c>
      <c r="CC245" s="325">
        <f>CB245*(1+CC246)</f>
        <v>0</v>
      </c>
      <c r="CD245" s="325">
        <f>CC245*(1+CD246)</f>
        <v>0</v>
      </c>
      <c r="CE245" s="298" t="n"/>
      <c r="CF245" s="325">
        <f>CD245*(1+CF246)</f>
        <v>0</v>
      </c>
      <c r="CG245" s="325">
        <f>CF245*(1+CG246)</f>
        <v>0</v>
      </c>
      <c r="CH245" s="325">
        <f>CG245*(1+CH246)</f>
        <v>0</v>
      </c>
      <c r="CI245" s="325">
        <f>CH245*(1+CI246)</f>
        <v>0</v>
      </c>
      <c r="CJ245" s="298" t="n"/>
      <c r="CK245" s="325">
        <f>CI245*(1+CK246)</f>
        <v>0</v>
      </c>
      <c r="CL245" s="325">
        <f>CK245*(1+CL246)</f>
        <v>0</v>
      </c>
      <c r="CM245" s="325">
        <f>CL245*(1+CM246)</f>
        <v>0</v>
      </c>
      <c r="CN245" s="325">
        <f>CM245*(1+CN246)</f>
        <v>0</v>
      </c>
      <c r="CO245" s="298" t="n"/>
      <c r="CP245" s="325">
        <f>CN245*(1+CP246)</f>
        <v>0</v>
      </c>
      <c r="CQ245" s="325">
        <f>CP245*(1+CQ246)</f>
        <v>0</v>
      </c>
      <c r="CR245" s="325">
        <f>CQ245*(1+CR246)</f>
        <v>0</v>
      </c>
      <c r="CS245" s="325">
        <f>CR245*(1+CS246)</f>
        <v>0</v>
      </c>
      <c r="CT245" s="298" t="n"/>
      <c r="CU245" s="325">
        <f>CS245*(1+CU246)</f>
        <v>0</v>
      </c>
      <c r="CV245" s="325">
        <f>CU245*(1+CV246)</f>
        <v>0</v>
      </c>
      <c r="CW245" s="325">
        <f>CV245*(1+CW246)</f>
        <v>0</v>
      </c>
      <c r="CX245" s="325">
        <f>CW245*(1+CX246)</f>
        <v>0</v>
      </c>
      <c r="CY245" s="298" t="n"/>
      <c r="CZ245" s="322">
        <f>CX245*(1+CZ246)</f>
        <v>0</v>
      </c>
      <c r="DA245" s="322">
        <f>CZ245*(1+DA246)</f>
        <v>0</v>
      </c>
      <c r="DB245" s="322">
        <f>DA245*(1+DB246)</f>
        <v>0</v>
      </c>
      <c r="DC245" s="322">
        <f>DB245*(1+DC246)</f>
        <v>0</v>
      </c>
    </row>
    <row r="246" hidden="1" outlineLevel="1" ht="12.75" customFormat="1" customHeight="1" s="322">
      <c r="A246" s="293" t="n"/>
      <c r="B246" s="293" t="n"/>
      <c r="C246" s="323" t="inlineStr">
        <is>
          <t>Consensus EPS growth</t>
        </is>
      </c>
      <c r="D246" s="298" t="n"/>
      <c r="E246" s="298" t="n"/>
      <c r="F246" s="298" t="n"/>
      <c r="G246" s="298" t="n"/>
      <c r="H246" s="298" t="n"/>
      <c r="I246" s="298" t="n"/>
      <c r="J246" s="298" t="n"/>
      <c r="K246" s="298" t="n"/>
      <c r="L246" s="298" t="n"/>
      <c r="M246" s="298" t="n"/>
      <c r="N246" s="298" t="n"/>
      <c r="O246" s="298" t="n"/>
      <c r="P246" s="298" t="n"/>
      <c r="Q246" s="298" t="n"/>
      <c r="R246" s="298" t="n"/>
      <c r="S246" s="298" t="n"/>
      <c r="T246" s="298" t="n"/>
      <c r="U246" s="298" t="n"/>
      <c r="V246" s="298" t="n"/>
      <c r="W246" s="298" t="n"/>
      <c r="X246" s="298" t="n"/>
      <c r="Y246" s="298" t="n"/>
      <c r="Z246" s="298" t="n"/>
      <c r="AA246" s="298" t="n"/>
      <c r="AB246" s="298" t="n"/>
      <c r="AC246" s="298" t="n"/>
      <c r="AD246" s="298" t="n"/>
      <c r="AE246" s="298" t="n"/>
      <c r="AF246" s="298" t="n"/>
      <c r="AG246" s="298" t="n"/>
      <c r="AH246" s="313">
        <f>$AL$251</f>
        <v>0</v>
      </c>
      <c r="AI246" s="313">
        <f>$AL$251</f>
        <v>0</v>
      </c>
      <c r="AJ246" s="313">
        <f>$AL$251</f>
        <v>0</v>
      </c>
      <c r="AK246" s="313">
        <f>$AL$251</f>
        <v>0</v>
      </c>
      <c r="AL246" s="298" t="n"/>
      <c r="AM246" s="313">
        <f>$AL$251</f>
        <v>0</v>
      </c>
      <c r="AN246" s="313">
        <f>$AL$251</f>
        <v>0</v>
      </c>
      <c r="AO246" s="313">
        <f>$AL$251</f>
        <v>0</v>
      </c>
      <c r="AP246" s="313">
        <f>$AL$251</f>
        <v>0</v>
      </c>
      <c r="AQ246" s="298" t="n"/>
      <c r="AR246" s="313">
        <f>$AL$251</f>
        <v>0</v>
      </c>
      <c r="AS246" s="313">
        <f>$AL$251</f>
        <v>0</v>
      </c>
      <c r="AT246" s="313">
        <f>$AL$251</f>
        <v>0</v>
      </c>
      <c r="AU246" s="313">
        <f>$AL$251</f>
        <v>0</v>
      </c>
      <c r="AV246" s="298" t="n"/>
      <c r="AW246" s="313">
        <f>$AL$251</f>
        <v>0</v>
      </c>
      <c r="AX246" s="313">
        <f>$AL$251</f>
        <v>0</v>
      </c>
      <c r="AY246" s="313">
        <f>$AL$251</f>
        <v>0</v>
      </c>
      <c r="AZ246" s="313">
        <f>$AL$251</f>
        <v>0</v>
      </c>
      <c r="BA246" s="298" t="n"/>
      <c r="BB246" s="313">
        <f>$AL$251</f>
        <v>0</v>
      </c>
      <c r="BC246" s="313">
        <f>$AL$251</f>
        <v>0</v>
      </c>
      <c r="BD246" s="313">
        <f>$AL$251</f>
        <v>0</v>
      </c>
      <c r="BE246" s="313">
        <f>$AL$251</f>
        <v>0</v>
      </c>
      <c r="BF246" s="298" t="n"/>
      <c r="BG246" s="313">
        <f>$AL$251</f>
        <v>0</v>
      </c>
      <c r="BH246" s="313">
        <f>$AL$251</f>
        <v>0</v>
      </c>
      <c r="BI246" s="313">
        <f>$AL$251</f>
        <v>0</v>
      </c>
      <c r="BJ246" s="313">
        <f>$AL$251</f>
        <v>0</v>
      </c>
      <c r="BK246" s="298" t="n"/>
      <c r="BL246" s="313">
        <f>$AL$251</f>
        <v>0</v>
      </c>
      <c r="BM246" s="313">
        <f>$AL$251</f>
        <v>0</v>
      </c>
      <c r="BN246" s="313">
        <f>$AL$251</f>
        <v>0</v>
      </c>
      <c r="BO246" s="313">
        <f>$AL$251</f>
        <v>0</v>
      </c>
      <c r="BP246" s="298" t="n"/>
      <c r="BQ246" s="313">
        <f>$AL$251</f>
        <v>0</v>
      </c>
      <c r="BR246" s="313">
        <f>$AL$251</f>
        <v>0</v>
      </c>
      <c r="BS246" s="313">
        <f>$AL$251</f>
        <v>0</v>
      </c>
      <c r="BT246" s="313">
        <f>$AL$251</f>
        <v>0</v>
      </c>
      <c r="BU246" s="298" t="n"/>
      <c r="BV246" s="313">
        <f>$AL$251</f>
        <v>0</v>
      </c>
      <c r="BW246" s="313">
        <f>$AL$251</f>
        <v>0</v>
      </c>
      <c r="BX246" s="313">
        <f>$AL$251</f>
        <v>0</v>
      </c>
      <c r="BY246" s="313">
        <f>$AL$251</f>
        <v>0</v>
      </c>
      <c r="BZ246" s="298" t="n"/>
      <c r="CA246" s="313">
        <f>$AL$251</f>
        <v>0</v>
      </c>
      <c r="CB246" s="313">
        <f>$AL$251</f>
        <v>0</v>
      </c>
      <c r="CC246" s="313">
        <f>$AL$251</f>
        <v>0</v>
      </c>
      <c r="CD246" s="313">
        <f>$AL$251</f>
        <v>0</v>
      </c>
      <c r="CE246" s="298" t="n"/>
      <c r="CF246" s="313">
        <f>$AL$251</f>
        <v>0</v>
      </c>
      <c r="CG246" s="313">
        <f>$AL$251</f>
        <v>0</v>
      </c>
      <c r="CH246" s="313">
        <f>$AL$251</f>
        <v>0</v>
      </c>
      <c r="CI246" s="313">
        <f>$AL$251</f>
        <v>0</v>
      </c>
      <c r="CJ246" s="298" t="n"/>
      <c r="CK246" s="313">
        <f>$AL$251</f>
        <v>0</v>
      </c>
      <c r="CL246" s="313">
        <f>$AL$251</f>
        <v>0</v>
      </c>
      <c r="CM246" s="313">
        <f>$AL$251</f>
        <v>0</v>
      </c>
      <c r="CN246" s="313">
        <f>$AL$251</f>
        <v>0</v>
      </c>
      <c r="CO246" s="298" t="n"/>
      <c r="CP246" s="313">
        <f>$AL$251</f>
        <v>0</v>
      </c>
      <c r="CQ246" s="313">
        <f>$AL$251</f>
        <v>0</v>
      </c>
      <c r="CR246" s="313">
        <f>$AL$251</f>
        <v>0</v>
      </c>
      <c r="CS246" s="313">
        <f>$AL$251</f>
        <v>0</v>
      </c>
      <c r="CT246" s="298" t="n"/>
      <c r="CU246" s="313">
        <f>$AL$251</f>
        <v>0</v>
      </c>
      <c r="CV246" s="313">
        <f>$AL$251</f>
        <v>0</v>
      </c>
      <c r="CW246" s="313">
        <f>$AL$251</f>
        <v>0</v>
      </c>
      <c r="CX246" s="313">
        <f>$AL$251</f>
        <v>0</v>
      </c>
      <c r="CY246" s="298" t="n"/>
    </row>
    <row r="247" hidden="1" outlineLevel="1" ht="12.75" customFormat="1" customHeight="1" s="322">
      <c r="A247" s="293" t="n"/>
      <c r="B247" s="293" t="n"/>
      <c r="C247" s="323" t="n"/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8" t="n"/>
      <c r="P247" s="298" t="n"/>
      <c r="Q247" s="298" t="n"/>
      <c r="R247" s="298" t="n"/>
      <c r="S247" s="298" t="n"/>
      <c r="T247" s="298" t="n"/>
      <c r="U247" s="298" t="n"/>
      <c r="V247" s="298" t="n"/>
      <c r="W247" s="298" t="n"/>
      <c r="X247" s="298" t="n"/>
      <c r="Y247" s="298" t="n"/>
      <c r="Z247" s="298" t="n"/>
      <c r="AA247" s="298" t="n"/>
      <c r="AB247" s="298" t="n"/>
      <c r="AC247" s="298" t="n"/>
      <c r="AD247" s="298" t="n"/>
      <c r="AE247" s="298" t="n"/>
      <c r="AF247" s="298" t="n"/>
      <c r="AG247" s="298" t="n"/>
      <c r="AH247" s="268" t="n"/>
      <c r="AI247" s="268" t="n"/>
      <c r="AJ247" s="268" t="n"/>
      <c r="AK247" s="268" t="n"/>
      <c r="AL247" s="298" t="n"/>
      <c r="AM247" s="268" t="n"/>
      <c r="AN247" s="268" t="n"/>
      <c r="AO247" s="268" t="n"/>
      <c r="AP247" s="268" t="n"/>
      <c r="AQ247" s="298" t="n"/>
      <c r="AR247" s="268" t="n"/>
      <c r="AS247" s="268" t="n"/>
      <c r="AT247" s="268" t="n"/>
      <c r="AU247" s="268" t="n"/>
      <c r="AV247" s="298" t="n"/>
      <c r="AW247" s="268" t="n"/>
      <c r="AX247" s="268" t="n"/>
      <c r="AY247" s="268" t="n"/>
      <c r="AZ247" s="268" t="n"/>
      <c r="BA247" s="298" t="n"/>
      <c r="BB247" s="268" t="n"/>
      <c r="BC247" s="268" t="n"/>
      <c r="BD247" s="268" t="n"/>
      <c r="BE247" s="268" t="n"/>
      <c r="BF247" s="298" t="n"/>
      <c r="BG247" s="268" t="n"/>
      <c r="BH247" s="268" t="n"/>
      <c r="BI247" s="268" t="n"/>
      <c r="BJ247" s="268" t="n"/>
      <c r="BK247" s="298" t="n"/>
      <c r="BL247" s="268" t="n"/>
      <c r="BM247" s="268" t="n"/>
      <c r="BN247" s="268" t="n"/>
      <c r="BO247" s="268" t="n"/>
      <c r="BP247" s="298" t="n"/>
      <c r="BQ247" s="268" t="n"/>
      <c r="BR247" s="268" t="n"/>
      <c r="BS247" s="268" t="n"/>
      <c r="BT247" s="268" t="n"/>
      <c r="BU247" s="298" t="n"/>
      <c r="BV247" s="268" t="n"/>
      <c r="BW247" s="268" t="n"/>
      <c r="BX247" s="268" t="n"/>
      <c r="BY247" s="268" t="n"/>
      <c r="BZ247" s="298" t="n"/>
      <c r="CA247" s="268" t="n"/>
      <c r="CB247" s="268" t="n"/>
      <c r="CC247" s="268" t="n"/>
      <c r="CD247" s="268" t="n"/>
      <c r="CE247" s="298" t="n"/>
      <c r="CF247" s="268" t="n"/>
      <c r="CG247" s="268" t="n"/>
      <c r="CH247" s="268" t="n"/>
      <c r="CI247" s="268" t="n"/>
      <c r="CJ247" s="298" t="n"/>
      <c r="CK247" s="268" t="n"/>
      <c r="CL247" s="268" t="n"/>
      <c r="CM247" s="268" t="n"/>
      <c r="CN247" s="268" t="n"/>
      <c r="CO247" s="298" t="n"/>
      <c r="CP247" s="268" t="n"/>
      <c r="CQ247" s="268" t="n"/>
      <c r="CR247" s="268" t="n"/>
      <c r="CS247" s="268" t="n"/>
      <c r="CT247" s="298" t="n"/>
      <c r="CU247" s="268" t="n"/>
      <c r="CV247" s="268" t="n"/>
      <c r="CW247" s="268" t="n"/>
      <c r="CX247" s="268" t="n"/>
      <c r="CY247" s="298" t="n"/>
    </row>
    <row r="248" hidden="1" outlineLevel="1" ht="12.75" customFormat="1" customHeight="1" s="322">
      <c r="A248" s="293" t="n"/>
      <c r="B248" s="293" t="n"/>
      <c r="C248" s="323" t="inlineStr">
        <is>
          <t>Shares repurchased</t>
        </is>
      </c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8" t="n"/>
      <c r="P248" s="298" t="n"/>
      <c r="Q248" s="298" t="n"/>
      <c r="R248" s="298" t="n"/>
      <c r="S248" s="298" t="n"/>
      <c r="T248" s="298" t="n"/>
      <c r="U248" s="298" t="n"/>
      <c r="V248" s="298" t="n"/>
      <c r="W248" s="298" t="n"/>
      <c r="X248" s="298" t="n"/>
      <c r="Y248" s="298" t="n"/>
      <c r="Z248" s="298" t="n"/>
      <c r="AA248" s="298" t="n"/>
      <c r="AB248" s="298" t="n"/>
      <c r="AC248" s="298" t="n"/>
      <c r="AD248" s="298" t="n"/>
      <c r="AE248" s="298" t="n"/>
      <c r="AF248" s="298" t="n"/>
      <c r="AG248" s="298" t="n"/>
      <c r="AH248" s="326" t="n"/>
      <c r="AI248" s="326" t="n"/>
      <c r="AJ248" s="326" t="e">
        <f>-AJ243/AJ245</f>
        <v>#DIV/0!</v>
      </c>
      <c r="AK248" s="326" t="e">
        <f>-AK243/AK245</f>
        <v>#DIV/0!</v>
      </c>
      <c r="AL248" s="298" t="n"/>
      <c r="AM248" s="326" t="e">
        <f>-AM243/AM245</f>
        <v>#DIV/0!</v>
      </c>
      <c r="AN248" s="326" t="e">
        <f>-AN243/AN245</f>
        <v>#DIV/0!</v>
      </c>
      <c r="AO248" s="326" t="e">
        <f>-AO243/AO245</f>
        <v>#DIV/0!</v>
      </c>
      <c r="AP248" s="326" t="e">
        <f>-AP243/AP245</f>
        <v>#DIV/0!</v>
      </c>
      <c r="AQ248" s="298" t="n"/>
      <c r="AR248" s="326" t="e">
        <f>-AR243/AR245</f>
        <v>#DIV/0!</v>
      </c>
      <c r="AS248" s="326" t="e">
        <f>-AS243/AS245</f>
        <v>#DIV/0!</v>
      </c>
      <c r="AT248" s="326" t="e">
        <f>-AT243/AT245</f>
        <v>#DIV/0!</v>
      </c>
      <c r="AU248" s="326" t="e">
        <f>-AU243/AU245</f>
        <v>#DIV/0!</v>
      </c>
      <c r="AV248" s="298" t="n"/>
      <c r="AW248" s="326" t="e">
        <f>-AW243/AW245</f>
        <v>#DIV/0!</v>
      </c>
      <c r="AX248" s="326" t="e">
        <f>-AX243/AX245</f>
        <v>#DIV/0!</v>
      </c>
      <c r="AY248" s="326" t="e">
        <f>-AY243/AY245</f>
        <v>#DIV/0!</v>
      </c>
      <c r="AZ248" s="326" t="e">
        <f>-AZ243/AZ245</f>
        <v>#DIV/0!</v>
      </c>
      <c r="BA248" s="298" t="n"/>
      <c r="BB248" s="326" t="e">
        <f>-BB243/BB245</f>
        <v>#DIV/0!</v>
      </c>
      <c r="BC248" s="326" t="e">
        <f>-BC243/BC245</f>
        <v>#DIV/0!</v>
      </c>
      <c r="BD248" s="326" t="e">
        <f>-BD243/BD245</f>
        <v>#DIV/0!</v>
      </c>
      <c r="BE248" s="326" t="e">
        <f>-BE243/BE245</f>
        <v>#DIV/0!</v>
      </c>
      <c r="BF248" s="298" t="n"/>
      <c r="BG248" s="326" t="e">
        <f>-BG243/BG245</f>
        <v>#DIV/0!</v>
      </c>
      <c r="BH248" s="326" t="e">
        <f>-BH243/BH245</f>
        <v>#DIV/0!</v>
      </c>
      <c r="BI248" s="326" t="e">
        <f>-BI243/BI245</f>
        <v>#DIV/0!</v>
      </c>
      <c r="BJ248" s="326" t="e">
        <f>-BJ243/BJ245</f>
        <v>#DIV/0!</v>
      </c>
      <c r="BK248" s="298" t="n"/>
      <c r="BL248" s="326" t="e">
        <f>-BL243/BL245</f>
        <v>#DIV/0!</v>
      </c>
      <c r="BM248" s="326" t="e">
        <f>-BM243/BM245</f>
        <v>#DIV/0!</v>
      </c>
      <c r="BN248" s="326" t="e">
        <f>-BN243/BN245</f>
        <v>#DIV/0!</v>
      </c>
      <c r="BO248" s="326" t="e">
        <f>-BO243/BO245</f>
        <v>#DIV/0!</v>
      </c>
      <c r="BP248" s="298" t="n"/>
      <c r="BQ248" s="326" t="e">
        <f>-BQ243/BQ245</f>
        <v>#DIV/0!</v>
      </c>
      <c r="BR248" s="326" t="e">
        <f>-BR243/BR245</f>
        <v>#DIV/0!</v>
      </c>
      <c r="BS248" s="326" t="e">
        <f>-BS243/BS245</f>
        <v>#DIV/0!</v>
      </c>
      <c r="BT248" s="326" t="e">
        <f>-BT243/BT245</f>
        <v>#DIV/0!</v>
      </c>
      <c r="BU248" s="298" t="n"/>
      <c r="BV248" s="326" t="e">
        <f>-BV243/BV245</f>
        <v>#DIV/0!</v>
      </c>
      <c r="BW248" s="326" t="e">
        <f>-BW243/BW245</f>
        <v>#DIV/0!</v>
      </c>
      <c r="BX248" s="326" t="e">
        <f>-BX243/BX245</f>
        <v>#DIV/0!</v>
      </c>
      <c r="BY248" s="326" t="e">
        <f>-BY243/BY245</f>
        <v>#DIV/0!</v>
      </c>
      <c r="BZ248" s="298" t="n"/>
      <c r="CA248" s="326" t="e">
        <f>-CA243/CA245</f>
        <v>#DIV/0!</v>
      </c>
      <c r="CB248" s="326" t="e">
        <f>-CB243/CB245</f>
        <v>#DIV/0!</v>
      </c>
      <c r="CC248" s="326" t="e">
        <f>-CC243/CC245</f>
        <v>#DIV/0!</v>
      </c>
      <c r="CD248" s="326" t="e">
        <f>-CD243/CD245</f>
        <v>#DIV/0!</v>
      </c>
      <c r="CE248" s="298" t="n"/>
      <c r="CF248" s="326" t="e">
        <f>-CF243/CF245</f>
        <v>#DIV/0!</v>
      </c>
      <c r="CG248" s="326" t="e">
        <f>-CG243/CG245</f>
        <v>#DIV/0!</v>
      </c>
      <c r="CH248" s="326" t="e">
        <f>-CH243/CH245</f>
        <v>#DIV/0!</v>
      </c>
      <c r="CI248" s="326" t="e">
        <f>-CI243/CI245</f>
        <v>#DIV/0!</v>
      </c>
      <c r="CJ248" s="298" t="n"/>
      <c r="CK248" s="326" t="e">
        <f>-CK243/CK245</f>
        <v>#DIV/0!</v>
      </c>
      <c r="CL248" s="326" t="e">
        <f>-CL243/CL245</f>
        <v>#DIV/0!</v>
      </c>
      <c r="CM248" s="326" t="e">
        <f>-CM243/CM245</f>
        <v>#DIV/0!</v>
      </c>
      <c r="CN248" s="326" t="e">
        <f>-CN243/CN245</f>
        <v>#DIV/0!</v>
      </c>
      <c r="CO248" s="298" t="n"/>
      <c r="CP248" s="326" t="e">
        <f>-CP243/CP245</f>
        <v>#DIV/0!</v>
      </c>
      <c r="CQ248" s="326" t="e">
        <f>-CQ243/CQ245</f>
        <v>#DIV/0!</v>
      </c>
      <c r="CR248" s="326" t="e">
        <f>-CR243/CR245</f>
        <v>#DIV/0!</v>
      </c>
      <c r="CS248" s="326" t="e">
        <f>-CS243/CS245</f>
        <v>#DIV/0!</v>
      </c>
      <c r="CT248" s="298" t="n"/>
      <c r="CU248" s="326" t="e">
        <f>-CU243/CU245</f>
        <v>#DIV/0!</v>
      </c>
      <c r="CV248" s="326" t="e">
        <f>-CV243/CV245</f>
        <v>#DIV/0!</v>
      </c>
      <c r="CW248" s="326" t="e">
        <f>-CW243/CW245</f>
        <v>#DIV/0!</v>
      </c>
      <c r="CX248" s="326" t="e">
        <f>-CX243/CX245</f>
        <v>#DIV/0!</v>
      </c>
      <c r="CY248" s="298" t="n"/>
    </row>
    <row r="249" hidden="1" outlineLevel="1" ht="12.75" customFormat="1" customHeight="1" s="322">
      <c r="A249" s="293" t="n"/>
      <c r="B249" s="293" t="n"/>
      <c r="C249" s="323" t="inlineStr">
        <is>
          <t>Shares issued</t>
        </is>
      </c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8" t="n"/>
      <c r="P249" s="298" t="n"/>
      <c r="Q249" s="298" t="n"/>
      <c r="R249" s="298" t="n"/>
      <c r="S249" s="298" t="n"/>
      <c r="T249" s="298" t="n"/>
      <c r="U249" s="298" t="n"/>
      <c r="V249" s="298" t="n"/>
      <c r="W249" s="298" t="n"/>
      <c r="X249" s="298" t="n"/>
      <c r="Y249" s="298" t="n"/>
      <c r="Z249" s="298" t="n"/>
      <c r="AA249" s="298" t="n"/>
      <c r="AB249" s="298" t="n"/>
      <c r="AC249" s="298" t="n"/>
      <c r="AD249" s="298" t="n"/>
      <c r="AE249" s="298" t="n"/>
      <c r="AF249" s="265" t="n"/>
      <c r="AG249" s="298" t="n"/>
      <c r="AH249" s="326" t="n"/>
      <c r="AI249" s="326" t="n"/>
      <c r="AJ249" s="326" t="e">
        <f>AJ244/AJ245</f>
        <v>#DIV/0!</v>
      </c>
      <c r="AK249" s="326" t="e">
        <f>AK244/AK245</f>
        <v>#DIV/0!</v>
      </c>
      <c r="AL249" s="298" t="n"/>
      <c r="AM249" s="326" t="e">
        <f>AM244/AM245</f>
        <v>#DIV/0!</v>
      </c>
      <c r="AN249" s="326" t="e">
        <f>AN244/AN245</f>
        <v>#DIV/0!</v>
      </c>
      <c r="AO249" s="326" t="e">
        <f>AO244/AO245</f>
        <v>#DIV/0!</v>
      </c>
      <c r="AP249" s="326" t="e">
        <f>AP244/AP245</f>
        <v>#DIV/0!</v>
      </c>
      <c r="AQ249" s="298" t="n"/>
      <c r="AR249" s="326" t="e">
        <f>AR244/AR245</f>
        <v>#DIV/0!</v>
      </c>
      <c r="AS249" s="326" t="e">
        <f>AS244/AS245</f>
        <v>#DIV/0!</v>
      </c>
      <c r="AT249" s="326" t="e">
        <f>AT244/AT245</f>
        <v>#DIV/0!</v>
      </c>
      <c r="AU249" s="326" t="e">
        <f>AU244/AU245</f>
        <v>#DIV/0!</v>
      </c>
      <c r="AV249" s="298" t="n"/>
      <c r="AW249" s="326" t="e">
        <f>AW244/AW245</f>
        <v>#DIV/0!</v>
      </c>
      <c r="AX249" s="326" t="e">
        <f>AX244/AX245</f>
        <v>#DIV/0!</v>
      </c>
      <c r="AY249" s="326" t="e">
        <f>AY244/AY245</f>
        <v>#DIV/0!</v>
      </c>
      <c r="AZ249" s="326" t="e">
        <f>AZ244/AZ245</f>
        <v>#DIV/0!</v>
      </c>
      <c r="BA249" s="298" t="n"/>
      <c r="BB249" s="326" t="e">
        <f>BB244/BB245</f>
        <v>#DIV/0!</v>
      </c>
      <c r="BC249" s="326" t="e">
        <f>BC244/BC245</f>
        <v>#DIV/0!</v>
      </c>
      <c r="BD249" s="326" t="e">
        <f>BD244/BD245</f>
        <v>#DIV/0!</v>
      </c>
      <c r="BE249" s="326" t="e">
        <f>BE244/BE245</f>
        <v>#DIV/0!</v>
      </c>
      <c r="BF249" s="298" t="n"/>
      <c r="BG249" s="326" t="e">
        <f>BG244/BG245</f>
        <v>#DIV/0!</v>
      </c>
      <c r="BH249" s="326" t="e">
        <f>BH244/BH245</f>
        <v>#DIV/0!</v>
      </c>
      <c r="BI249" s="326" t="e">
        <f>BI244/BI245</f>
        <v>#DIV/0!</v>
      </c>
      <c r="BJ249" s="326" t="e">
        <f>BJ244/BJ245</f>
        <v>#DIV/0!</v>
      </c>
      <c r="BK249" s="298" t="n"/>
      <c r="BL249" s="326" t="e">
        <f>BL244/BL245</f>
        <v>#DIV/0!</v>
      </c>
      <c r="BM249" s="326" t="e">
        <f>BM244/BM245</f>
        <v>#DIV/0!</v>
      </c>
      <c r="BN249" s="326" t="e">
        <f>BN244/BN245</f>
        <v>#DIV/0!</v>
      </c>
      <c r="BO249" s="326" t="e">
        <f>BO244/BO245</f>
        <v>#DIV/0!</v>
      </c>
      <c r="BP249" s="298" t="n"/>
      <c r="BQ249" s="326" t="e">
        <f>BQ244/BQ245</f>
        <v>#DIV/0!</v>
      </c>
      <c r="BR249" s="326" t="e">
        <f>BR244/BR245</f>
        <v>#DIV/0!</v>
      </c>
      <c r="BS249" s="326" t="e">
        <f>BS244/BS245</f>
        <v>#DIV/0!</v>
      </c>
      <c r="BT249" s="326" t="e">
        <f>BT244/BT245</f>
        <v>#DIV/0!</v>
      </c>
      <c r="BU249" s="298" t="n"/>
      <c r="BV249" s="326" t="e">
        <f>BV244/BV245</f>
        <v>#DIV/0!</v>
      </c>
      <c r="BW249" s="326" t="e">
        <f>BW244/BW245</f>
        <v>#DIV/0!</v>
      </c>
      <c r="BX249" s="326" t="e">
        <f>BX244/BX245</f>
        <v>#DIV/0!</v>
      </c>
      <c r="BY249" s="326" t="e">
        <f>BY244/BY245</f>
        <v>#DIV/0!</v>
      </c>
      <c r="BZ249" s="298" t="n"/>
      <c r="CA249" s="326" t="e">
        <f>CA244/CA245</f>
        <v>#DIV/0!</v>
      </c>
      <c r="CB249" s="326" t="e">
        <f>CB244/CB245</f>
        <v>#DIV/0!</v>
      </c>
      <c r="CC249" s="326" t="e">
        <f>CC244/CC245</f>
        <v>#DIV/0!</v>
      </c>
      <c r="CD249" s="326" t="e">
        <f>CD244/CD245</f>
        <v>#DIV/0!</v>
      </c>
      <c r="CE249" s="298" t="n"/>
      <c r="CF249" s="326" t="e">
        <f>CF244/CF245</f>
        <v>#DIV/0!</v>
      </c>
      <c r="CG249" s="326" t="e">
        <f>CG244/CG245</f>
        <v>#DIV/0!</v>
      </c>
      <c r="CH249" s="326" t="e">
        <f>CH244/CH245</f>
        <v>#DIV/0!</v>
      </c>
      <c r="CI249" s="326" t="e">
        <f>CI244/CI245</f>
        <v>#DIV/0!</v>
      </c>
      <c r="CJ249" s="298" t="n"/>
      <c r="CK249" s="326" t="e">
        <f>CK244/CK245</f>
        <v>#DIV/0!</v>
      </c>
      <c r="CL249" s="326" t="e">
        <f>CL244/CL245</f>
        <v>#DIV/0!</v>
      </c>
      <c r="CM249" s="326" t="e">
        <f>CM244/CM245</f>
        <v>#DIV/0!</v>
      </c>
      <c r="CN249" s="326" t="e">
        <f>CN244/CN245</f>
        <v>#DIV/0!</v>
      </c>
      <c r="CO249" s="298" t="n"/>
      <c r="CP249" s="326" t="e">
        <f>CP244/CP245</f>
        <v>#DIV/0!</v>
      </c>
      <c r="CQ249" s="326" t="e">
        <f>CQ244/CQ245</f>
        <v>#DIV/0!</v>
      </c>
      <c r="CR249" s="326" t="e">
        <f>CR244/CR245</f>
        <v>#DIV/0!</v>
      </c>
      <c r="CS249" s="326" t="e">
        <f>CS244/CS245</f>
        <v>#DIV/0!</v>
      </c>
      <c r="CT249" s="298" t="n"/>
      <c r="CU249" s="326" t="e">
        <f>CU244/CU245</f>
        <v>#DIV/0!</v>
      </c>
      <c r="CV249" s="326" t="e">
        <f>CV244/CV245</f>
        <v>#DIV/0!</v>
      </c>
      <c r="CW249" s="326" t="e">
        <f>CW244/CW245</f>
        <v>#DIV/0!</v>
      </c>
      <c r="CX249" s="326" t="e">
        <f>CX244/CX245</f>
        <v>#DIV/0!</v>
      </c>
      <c r="CY249" s="298" t="n"/>
    </row>
    <row r="250" hidden="1" outlineLevel="1" ht="12.75" customFormat="1" customHeight="1" s="322">
      <c r="A250" s="293" t="n"/>
      <c r="B250" s="293" t="n"/>
      <c r="C250" s="323" t="inlineStr">
        <is>
          <t>End of period basic shares outstanding</t>
        </is>
      </c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8" t="n"/>
      <c r="P250" s="298" t="n"/>
      <c r="Q250" s="298" t="n"/>
      <c r="R250" s="298" t="n"/>
      <c r="S250" s="298" t="n"/>
      <c r="T250" s="298" t="n"/>
      <c r="U250" s="298" t="n"/>
      <c r="V250" s="298" t="n"/>
      <c r="W250" s="298" t="n"/>
      <c r="X250" s="298" t="n"/>
      <c r="Y250" s="298" t="n"/>
      <c r="Z250" s="298" t="n"/>
      <c r="AA250" s="298" t="n"/>
      <c r="AB250" s="298" t="n"/>
      <c r="AC250" s="298" t="n"/>
      <c r="AD250" s="298" t="n"/>
      <c r="AE250" s="298" t="n"/>
      <c r="AF250" s="298" t="n"/>
      <c r="AG250" s="324" t="n"/>
      <c r="AH250" s="259">
        <f>AG250+AH249-AH248</f>
        <v>0</v>
      </c>
      <c r="AI250" s="259">
        <f>AH250+AI249-AI248</f>
        <v>0</v>
      </c>
      <c r="AJ250" s="326" t="e">
        <f>AI250+AJ249-AJ248</f>
        <v>#DIV/0!</v>
      </c>
      <c r="AK250" s="326" t="e">
        <f>AJ250+AK249-AK248</f>
        <v>#DIV/0!</v>
      </c>
      <c r="AL250" s="298" t="n"/>
      <c r="AM250" s="259" t="e">
        <f>AK250+AM249-AM248</f>
        <v>#DIV/0!</v>
      </c>
      <c r="AN250" s="259" t="e">
        <f>AM250+AN249-AN248</f>
        <v>#DIV/0!</v>
      </c>
      <c r="AO250" s="326" t="e">
        <f>AN250+AO249-AO248</f>
        <v>#DIV/0!</v>
      </c>
      <c r="AP250" s="326" t="e">
        <f>AO250+AP249-AP248</f>
        <v>#DIV/0!</v>
      </c>
      <c r="AQ250" s="298" t="n"/>
      <c r="AR250" s="259" t="e">
        <f>AP250+AR249-AR248</f>
        <v>#DIV/0!</v>
      </c>
      <c r="AS250" s="259" t="e">
        <f>AR250+AS249-AS248</f>
        <v>#DIV/0!</v>
      </c>
      <c r="AT250" s="326" t="e">
        <f>AS250+AT249-AT248</f>
        <v>#DIV/0!</v>
      </c>
      <c r="AU250" s="326" t="e">
        <f>AT250+AU249-AU248</f>
        <v>#DIV/0!</v>
      </c>
      <c r="AV250" s="298" t="n"/>
      <c r="AW250" s="259" t="e">
        <f>AU250+AW249-AW248</f>
        <v>#DIV/0!</v>
      </c>
      <c r="AX250" s="259" t="e">
        <f>AW250+AX249-AX248</f>
        <v>#DIV/0!</v>
      </c>
      <c r="AY250" s="326" t="e">
        <f>AX250+AY249-AY248</f>
        <v>#DIV/0!</v>
      </c>
      <c r="AZ250" s="326" t="e">
        <f>AY250+AZ249-AZ248</f>
        <v>#DIV/0!</v>
      </c>
      <c r="BA250" s="298" t="n"/>
      <c r="BB250" s="259" t="e">
        <f>AZ250+BB249-BB248</f>
        <v>#DIV/0!</v>
      </c>
      <c r="BC250" s="259" t="e">
        <f>BB250+BC249-BC248</f>
        <v>#DIV/0!</v>
      </c>
      <c r="BD250" s="326" t="e">
        <f>BC250+BD249-BD248</f>
        <v>#DIV/0!</v>
      </c>
      <c r="BE250" s="326" t="e">
        <f>BD250+BE249-BE248</f>
        <v>#DIV/0!</v>
      </c>
      <c r="BF250" s="298" t="n"/>
      <c r="BG250" s="259" t="e">
        <f>BE250+BG249-BG248</f>
        <v>#DIV/0!</v>
      </c>
      <c r="BH250" s="259" t="e">
        <f>BG250+BH249-BH248</f>
        <v>#DIV/0!</v>
      </c>
      <c r="BI250" s="326" t="e">
        <f>BH250+BI249-BI248</f>
        <v>#DIV/0!</v>
      </c>
      <c r="BJ250" s="326" t="e">
        <f>BI250+BJ249-BJ248</f>
        <v>#DIV/0!</v>
      </c>
      <c r="BK250" s="298" t="n"/>
      <c r="BL250" s="259" t="e">
        <f>BJ250+BL249-BL248</f>
        <v>#DIV/0!</v>
      </c>
      <c r="BM250" s="259" t="e">
        <f>BL250+BM249-BM248</f>
        <v>#DIV/0!</v>
      </c>
      <c r="BN250" s="326" t="e">
        <f>BM250+BN249-BN248</f>
        <v>#DIV/0!</v>
      </c>
      <c r="BO250" s="326" t="e">
        <f>BN250+BO249-BO248</f>
        <v>#DIV/0!</v>
      </c>
      <c r="BP250" s="298" t="n"/>
      <c r="BQ250" s="259" t="e">
        <f>BO250+BQ249-BQ248</f>
        <v>#DIV/0!</v>
      </c>
      <c r="BR250" s="259" t="e">
        <f>BQ250+BR249-BR248</f>
        <v>#DIV/0!</v>
      </c>
      <c r="BS250" s="326" t="e">
        <f>BR250+BS249-BS248</f>
        <v>#DIV/0!</v>
      </c>
      <c r="BT250" s="326" t="e">
        <f>BS250+BT249-BT248</f>
        <v>#DIV/0!</v>
      </c>
      <c r="BU250" s="298" t="n"/>
      <c r="BV250" s="259" t="e">
        <f>BT250+BV249-BV248</f>
        <v>#DIV/0!</v>
      </c>
      <c r="BW250" s="259" t="e">
        <f>BV250+BW249-BW248</f>
        <v>#DIV/0!</v>
      </c>
      <c r="BX250" s="326" t="e">
        <f>BW250+BX249-BX248</f>
        <v>#DIV/0!</v>
      </c>
      <c r="BY250" s="326" t="e">
        <f>BX250+BY249-BY248</f>
        <v>#DIV/0!</v>
      </c>
      <c r="BZ250" s="298" t="n"/>
      <c r="CA250" s="259" t="e">
        <f>BY250+CA249-CA248</f>
        <v>#DIV/0!</v>
      </c>
      <c r="CB250" s="259" t="e">
        <f>CA250+CB249-CB248</f>
        <v>#DIV/0!</v>
      </c>
      <c r="CC250" s="326" t="e">
        <f>CB250+CC249-CC248</f>
        <v>#DIV/0!</v>
      </c>
      <c r="CD250" s="326" t="e">
        <f>CC250+CD249-CD248</f>
        <v>#DIV/0!</v>
      </c>
      <c r="CE250" s="298" t="n"/>
      <c r="CF250" s="259" t="e">
        <f>CD250+CF249-CF248</f>
        <v>#DIV/0!</v>
      </c>
      <c r="CG250" s="259" t="e">
        <f>CF250+CG249-CG248</f>
        <v>#DIV/0!</v>
      </c>
      <c r="CH250" s="326" t="e">
        <f>CG250+CH249-CH248</f>
        <v>#DIV/0!</v>
      </c>
      <c r="CI250" s="326" t="e">
        <f>CH250+CI249-CI248</f>
        <v>#DIV/0!</v>
      </c>
      <c r="CJ250" s="298" t="n"/>
      <c r="CK250" s="259" t="e">
        <f>CI250+CK249-CK248</f>
        <v>#DIV/0!</v>
      </c>
      <c r="CL250" s="259" t="e">
        <f>CK250+CL249-CL248</f>
        <v>#DIV/0!</v>
      </c>
      <c r="CM250" s="326" t="e">
        <f>CL250+CM249-CM248</f>
        <v>#DIV/0!</v>
      </c>
      <c r="CN250" s="326" t="e">
        <f>CM250+CN249-CN248</f>
        <v>#DIV/0!</v>
      </c>
      <c r="CO250" s="298" t="n"/>
      <c r="CP250" s="259" t="e">
        <f>CN250+CP249-CP248</f>
        <v>#DIV/0!</v>
      </c>
      <c r="CQ250" s="259" t="e">
        <f>CP250+CQ249-CQ248</f>
        <v>#DIV/0!</v>
      </c>
      <c r="CR250" s="326" t="e">
        <f>CQ250+CR249-CR248</f>
        <v>#DIV/0!</v>
      </c>
      <c r="CS250" s="326" t="e">
        <f>CR250+CS249-CS248</f>
        <v>#DIV/0!</v>
      </c>
      <c r="CT250" s="298" t="n"/>
      <c r="CU250" s="259" t="e">
        <f>CS250+CU249-CU248</f>
        <v>#DIV/0!</v>
      </c>
      <c r="CV250" s="259" t="e">
        <f>CU250+CV249-CV248</f>
        <v>#DIV/0!</v>
      </c>
      <c r="CW250" s="326" t="e">
        <f>CV250+CW249-CW248</f>
        <v>#DIV/0!</v>
      </c>
      <c r="CX250" s="326" t="e">
        <f>CW250+CX249-CX248</f>
        <v>#DIV/0!</v>
      </c>
      <c r="CY250" s="298" t="n"/>
      <c r="CZ250" s="322" t="e">
        <f>CX250+CZ249-CZ248</f>
        <v>#DIV/0!</v>
      </c>
      <c r="DA250" s="322" t="e">
        <f>CZ250+DA249-DA248</f>
        <v>#DIV/0!</v>
      </c>
      <c r="DB250" s="322" t="e">
        <f>DA250+DB249-DB248</f>
        <v>#DIV/0!</v>
      </c>
      <c r="DC250" s="322" t="e">
        <f>DB250+DC249-DC248</f>
        <v>#DIV/0!</v>
      </c>
    </row>
    <row r="251" hidden="1" outlineLevel="1" ht="12.75" customFormat="1" customHeight="1" s="322">
      <c r="A251" s="293" t="n"/>
      <c r="B251" s="293" t="n"/>
      <c r="C251" s="323" t="inlineStr">
        <is>
          <t>Weighted average basic shares outstanding</t>
        </is>
      </c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8" t="n"/>
      <c r="P251" s="298" t="n"/>
      <c r="Q251" s="298" t="n"/>
      <c r="R251" s="298" t="n"/>
      <c r="S251" s="298" t="n"/>
      <c r="T251" s="298" t="n"/>
      <c r="U251" s="298" t="n"/>
      <c r="V251" s="298" t="n"/>
      <c r="W251" s="298" t="n"/>
      <c r="X251" s="298" t="n"/>
      <c r="Y251" s="298" t="n"/>
      <c r="Z251" s="298" t="n"/>
      <c r="AA251" s="298" t="n"/>
      <c r="AB251" s="298" t="n"/>
      <c r="AC251" s="298" t="n"/>
      <c r="AD251" s="298" t="n"/>
      <c r="AE251" s="298" t="n"/>
      <c r="AF251" s="298" t="n"/>
      <c r="AG251" s="298" t="n"/>
      <c r="AH251" s="326">
        <f>AVERAGE(AG250,AH250)</f>
        <v>0</v>
      </c>
      <c r="AI251" s="326">
        <f>AVERAGE(AH250,AI250)</f>
        <v>0</v>
      </c>
      <c r="AJ251" s="326" t="e">
        <f>AVERAGE(AI250,AJ250)</f>
        <v>#DIV/0!</v>
      </c>
      <c r="AK251" s="326" t="e">
        <f>AVERAGE(AJ250,AK250)</f>
        <v>#DIV/0!</v>
      </c>
      <c r="AL251" s="298" t="n"/>
      <c r="AM251" s="326" t="e">
        <f>AVERAGE(AK250,AM250)</f>
        <v>#DIV/0!</v>
      </c>
      <c r="AN251" s="326" t="e">
        <f>AVERAGE(AM250,AN250)</f>
        <v>#DIV/0!</v>
      </c>
      <c r="AO251" s="326" t="e">
        <f>AVERAGE(AN250,AO250)</f>
        <v>#DIV/0!</v>
      </c>
      <c r="AP251" s="326" t="e">
        <f>AVERAGE(AO250,AP250)</f>
        <v>#DIV/0!</v>
      </c>
      <c r="AQ251" s="298" t="n"/>
      <c r="AR251" s="326" t="e">
        <f>AVERAGE(AP250,AR250)</f>
        <v>#DIV/0!</v>
      </c>
      <c r="AS251" s="326" t="e">
        <f>AVERAGE(AR250,AS250)</f>
        <v>#DIV/0!</v>
      </c>
      <c r="AT251" s="326" t="e">
        <f>AVERAGE(AS250,AT250)</f>
        <v>#DIV/0!</v>
      </c>
      <c r="AU251" s="326" t="e">
        <f>AVERAGE(AT250,AU250)</f>
        <v>#DIV/0!</v>
      </c>
      <c r="AV251" s="298" t="n"/>
      <c r="AW251" s="326" t="e">
        <f>AVERAGE(AU250,AW250)</f>
        <v>#DIV/0!</v>
      </c>
      <c r="AX251" s="326" t="e">
        <f>AVERAGE(AW250,AX250)</f>
        <v>#DIV/0!</v>
      </c>
      <c r="AY251" s="326" t="e">
        <f>AVERAGE(AX250,AY250)</f>
        <v>#DIV/0!</v>
      </c>
      <c r="AZ251" s="326" t="e">
        <f>AVERAGE(AY250,AZ250)</f>
        <v>#DIV/0!</v>
      </c>
      <c r="BA251" s="298" t="n"/>
      <c r="BB251" s="326" t="e">
        <f>AVERAGE(AZ250,BB250)</f>
        <v>#DIV/0!</v>
      </c>
      <c r="BC251" s="326" t="e">
        <f>AVERAGE(BB250,BC250)</f>
        <v>#DIV/0!</v>
      </c>
      <c r="BD251" s="326" t="e">
        <f>AVERAGE(BC250,BD250)</f>
        <v>#DIV/0!</v>
      </c>
      <c r="BE251" s="326" t="e">
        <f>AVERAGE(BD250,BE250)</f>
        <v>#DIV/0!</v>
      </c>
      <c r="BF251" s="298" t="n"/>
      <c r="BG251" s="326" t="e">
        <f>AVERAGE(BE250,BG250)</f>
        <v>#DIV/0!</v>
      </c>
      <c r="BH251" s="326" t="e">
        <f>AVERAGE(BG250,BH250)</f>
        <v>#DIV/0!</v>
      </c>
      <c r="BI251" s="326" t="e">
        <f>AVERAGE(BH250,BI250)</f>
        <v>#DIV/0!</v>
      </c>
      <c r="BJ251" s="326" t="e">
        <f>AVERAGE(BI250,BJ250)</f>
        <v>#DIV/0!</v>
      </c>
      <c r="BK251" s="298" t="n"/>
      <c r="BL251" s="326" t="e">
        <f>AVERAGE(BJ250,BL250)</f>
        <v>#DIV/0!</v>
      </c>
      <c r="BM251" s="326" t="e">
        <f>AVERAGE(BL250,BM250)</f>
        <v>#DIV/0!</v>
      </c>
      <c r="BN251" s="326" t="e">
        <f>AVERAGE(BM250,BN250)</f>
        <v>#DIV/0!</v>
      </c>
      <c r="BO251" s="326" t="e">
        <f>AVERAGE(BN250,BO250)</f>
        <v>#DIV/0!</v>
      </c>
      <c r="BP251" s="298" t="n"/>
      <c r="BQ251" s="326" t="e">
        <f>AVERAGE(BO250,BQ250)</f>
        <v>#DIV/0!</v>
      </c>
      <c r="BR251" s="326" t="e">
        <f>AVERAGE(BQ250,BR250)</f>
        <v>#DIV/0!</v>
      </c>
      <c r="BS251" s="326" t="e">
        <f>AVERAGE(BR250,BS250)</f>
        <v>#DIV/0!</v>
      </c>
      <c r="BT251" s="326" t="e">
        <f>AVERAGE(BS250,BT250)</f>
        <v>#DIV/0!</v>
      </c>
      <c r="BU251" s="298" t="n"/>
      <c r="BV251" s="326" t="e">
        <f>AVERAGE(BT250,BV250)</f>
        <v>#DIV/0!</v>
      </c>
      <c r="BW251" s="326" t="e">
        <f>AVERAGE(BV250,BW250)</f>
        <v>#DIV/0!</v>
      </c>
      <c r="BX251" s="326" t="e">
        <f>AVERAGE(BW250,BX250)</f>
        <v>#DIV/0!</v>
      </c>
      <c r="BY251" s="326" t="e">
        <f>AVERAGE(BX250,BY250)</f>
        <v>#DIV/0!</v>
      </c>
      <c r="BZ251" s="298" t="n"/>
      <c r="CA251" s="326" t="e">
        <f>AVERAGE(BY250,CA250)</f>
        <v>#DIV/0!</v>
      </c>
      <c r="CB251" s="326" t="e">
        <f>AVERAGE(CA250,CB250)</f>
        <v>#DIV/0!</v>
      </c>
      <c r="CC251" s="326" t="e">
        <f>AVERAGE(CB250,CC250)</f>
        <v>#DIV/0!</v>
      </c>
      <c r="CD251" s="326" t="e">
        <f>AVERAGE(CC250,CD250)</f>
        <v>#DIV/0!</v>
      </c>
      <c r="CE251" s="298" t="n"/>
      <c r="CF251" s="326" t="e">
        <f>AVERAGE(CD250,CF250)</f>
        <v>#DIV/0!</v>
      </c>
      <c r="CG251" s="326" t="e">
        <f>AVERAGE(CF250,CG250)</f>
        <v>#DIV/0!</v>
      </c>
      <c r="CH251" s="326" t="e">
        <f>AVERAGE(CG250,CH250)</f>
        <v>#DIV/0!</v>
      </c>
      <c r="CI251" s="326" t="e">
        <f>AVERAGE(CH250,CI250)</f>
        <v>#DIV/0!</v>
      </c>
      <c r="CJ251" s="298" t="n"/>
      <c r="CK251" s="326" t="e">
        <f>AVERAGE(CI250,CK250)</f>
        <v>#DIV/0!</v>
      </c>
      <c r="CL251" s="326" t="e">
        <f>AVERAGE(CK250,CL250)</f>
        <v>#DIV/0!</v>
      </c>
      <c r="CM251" s="326" t="e">
        <f>AVERAGE(CL250,CM250)</f>
        <v>#DIV/0!</v>
      </c>
      <c r="CN251" s="326" t="e">
        <f>AVERAGE(CM250,CN250)</f>
        <v>#DIV/0!</v>
      </c>
      <c r="CO251" s="298" t="n"/>
      <c r="CP251" s="326" t="e">
        <f>AVERAGE(CN250,CP250)</f>
        <v>#DIV/0!</v>
      </c>
      <c r="CQ251" s="326" t="e">
        <f>AVERAGE(CP250,CQ250)</f>
        <v>#DIV/0!</v>
      </c>
      <c r="CR251" s="326" t="e">
        <f>AVERAGE(CQ250,CR250)</f>
        <v>#DIV/0!</v>
      </c>
      <c r="CS251" s="326" t="e">
        <f>AVERAGE(CR250,CS250)</f>
        <v>#DIV/0!</v>
      </c>
      <c r="CT251" s="298" t="n"/>
      <c r="CU251" s="326" t="e">
        <f>AVERAGE(CS250,CU250)</f>
        <v>#DIV/0!</v>
      </c>
      <c r="CV251" s="326" t="e">
        <f>AVERAGE(CU250,CV250)</f>
        <v>#DIV/0!</v>
      </c>
      <c r="CW251" s="326" t="e">
        <f>AVERAGE(CV250,CW250)</f>
        <v>#DIV/0!</v>
      </c>
      <c r="CX251" s="326" t="e">
        <f>AVERAGE(CW250,CX250)</f>
        <v>#DIV/0!</v>
      </c>
      <c r="CY251" s="298" t="n"/>
      <c r="CZ251" s="322" t="e">
        <f>AVERAGE(CX250,CZ250)</f>
        <v>#DIV/0!</v>
      </c>
      <c r="DA251" s="322" t="e">
        <f>AVERAGE(CZ250,DA250)</f>
        <v>#DIV/0!</v>
      </c>
      <c r="DB251" s="322" t="e">
        <f>AVERAGE(DA250,DB250)</f>
        <v>#DIV/0!</v>
      </c>
      <c r="DC251" s="322" t="e">
        <f>AVERAGE(DB250,DC250)</f>
        <v>#DIV/0!</v>
      </c>
    </row>
    <row r="252" hidden="1" outlineLevel="1" ht="12.75" customFormat="1" customHeight="1" s="322">
      <c r="A252" s="293" t="n"/>
      <c r="B252" s="293" t="n"/>
      <c r="C252" s="323" t="n"/>
      <c r="D252" s="298" t="n"/>
      <c r="E252" s="298" t="n"/>
      <c r="F252" s="298" t="n"/>
      <c r="G252" s="298" t="n"/>
      <c r="H252" s="268" t="n"/>
      <c r="I252" s="298" t="n"/>
      <c r="J252" s="298" t="n"/>
      <c r="K252" s="298" t="n"/>
      <c r="L252" s="298" t="n"/>
      <c r="M252" s="268" t="n"/>
      <c r="N252" s="298" t="n"/>
      <c r="O252" s="298" t="n"/>
      <c r="P252" s="298" t="n"/>
      <c r="Q252" s="298" t="n"/>
      <c r="R252" s="268" t="n"/>
      <c r="S252" s="298" t="n"/>
      <c r="T252" s="298" t="n"/>
      <c r="U252" s="298" t="n"/>
      <c r="V252" s="298" t="n"/>
      <c r="W252" s="268" t="n"/>
      <c r="X252" s="298" t="n"/>
      <c r="Y252" s="298" t="n"/>
      <c r="Z252" s="298" t="n"/>
      <c r="AA252" s="298" t="n"/>
      <c r="AB252" s="268" t="n"/>
      <c r="AC252" s="298" t="n"/>
      <c r="AD252" s="298" t="n"/>
      <c r="AE252" s="298" t="n"/>
      <c r="AF252" s="298" t="n"/>
      <c r="AG252" s="268" t="n"/>
      <c r="AH252" s="298" t="n"/>
      <c r="AI252" s="298" t="n"/>
      <c r="AJ252" s="298" t="n"/>
      <c r="AK252" s="298" t="n"/>
      <c r="AL252" s="268" t="n"/>
      <c r="AM252" s="298" t="n"/>
      <c r="AN252" s="298" t="n"/>
      <c r="AO252" s="298" t="n"/>
      <c r="AP252" s="298" t="n"/>
      <c r="AQ252" s="268" t="n"/>
      <c r="AR252" s="298" t="n"/>
      <c r="AS252" s="298" t="n"/>
      <c r="AT252" s="298" t="n"/>
      <c r="AU252" s="298" t="n"/>
      <c r="AV252" s="268" t="n"/>
      <c r="AW252" s="298" t="n"/>
      <c r="AX252" s="298" t="n"/>
      <c r="AY252" s="298" t="n"/>
      <c r="AZ252" s="298" t="n"/>
      <c r="BA252" s="268" t="n"/>
      <c r="BB252" s="298" t="n"/>
      <c r="BC252" s="298" t="n"/>
      <c r="BD252" s="298" t="n"/>
      <c r="BE252" s="298" t="n"/>
      <c r="BF252" s="268" t="n"/>
      <c r="BG252" s="298" t="n"/>
      <c r="BH252" s="298" t="n"/>
      <c r="BI252" s="298" t="n"/>
      <c r="BJ252" s="298" t="n"/>
      <c r="BK252" s="268" t="n"/>
      <c r="BL252" s="298" t="n"/>
      <c r="BM252" s="298" t="n"/>
      <c r="BN252" s="298" t="n"/>
      <c r="BO252" s="298" t="n"/>
      <c r="BP252" s="268" t="n"/>
      <c r="BQ252" s="298" t="n"/>
      <c r="BR252" s="298" t="n"/>
      <c r="BS252" s="298" t="n"/>
      <c r="BT252" s="298" t="n"/>
      <c r="BU252" s="268" t="n"/>
      <c r="BV252" s="298" t="n"/>
      <c r="BW252" s="298" t="n"/>
      <c r="BX252" s="298" t="n"/>
      <c r="BY252" s="298" t="n"/>
      <c r="BZ252" s="268" t="n"/>
      <c r="CA252" s="298" t="n"/>
      <c r="CB252" s="298" t="n"/>
      <c r="CC252" s="298" t="n"/>
      <c r="CD252" s="298" t="n"/>
      <c r="CE252" s="268" t="n"/>
      <c r="CF252" s="298" t="n"/>
      <c r="CG252" s="298" t="n"/>
      <c r="CH252" s="298" t="n"/>
      <c r="CI252" s="298" t="n"/>
      <c r="CJ252" s="268" t="n"/>
      <c r="CK252" s="298" t="n"/>
      <c r="CL252" s="298" t="n"/>
      <c r="CM252" s="298" t="n"/>
      <c r="CN252" s="298" t="n"/>
      <c r="CO252" s="268" t="n"/>
      <c r="CP252" s="298" t="n"/>
      <c r="CQ252" s="298" t="n"/>
      <c r="CR252" s="298" t="n"/>
      <c r="CS252" s="298" t="n"/>
      <c r="CT252" s="268" t="n"/>
      <c r="CU252" s="298" t="n"/>
      <c r="CV252" s="298" t="n"/>
      <c r="CW252" s="298" t="n"/>
      <c r="CX252" s="298" t="n"/>
      <c r="CY252" s="268" t="n"/>
    </row>
    <row r="253" ht="12.75" customHeight="1" s="255">
      <c r="C253" s="270" t="inlineStr">
        <is>
          <t>Treasury stock (contra account)</t>
        </is>
      </c>
      <c r="D253" s="301">
        <f>INDEX('Inputs (2)'!$D$44:$AL$44,MATCH(D$7,'Inputs (2)'!$D$2:$AL$2,0))</f>
        <v>0</v>
      </c>
      <c r="E253" s="301">
        <f>INDEX('Inputs (2)'!$D$44:$AL$44,MATCH(E$7,'Inputs (2)'!$D$2:$AL$2,0))</f>
        <v>0</v>
      </c>
      <c r="F253" s="301">
        <f>INDEX('Inputs (2)'!$D$44:$AL$44,MATCH(F$7,'Inputs (2)'!$D$2:$AL$2,0))</f>
        <v>0</v>
      </c>
      <c r="G253" s="301">
        <f>INDEX('Inputs (2)'!$D$44:$AL$44,MATCH(G$7,'Inputs (2)'!$D$2:$AL$2,0))</f>
        <v>0</v>
      </c>
      <c r="H253" s="268">
        <f>G253</f>
        <v>0</v>
      </c>
      <c r="I253" s="301">
        <f>INDEX('Inputs (2)'!$D$44:$AL$44,MATCH(I$7,'Inputs (2)'!$D$2:$AL$2,0))</f>
        <v>0</v>
      </c>
      <c r="J253" s="301">
        <f>INDEX('Inputs (2)'!$D$44:$AL$44,MATCH(J$7,'Inputs (2)'!$D$2:$AL$2,0))</f>
        <v>0</v>
      </c>
      <c r="K253" s="301">
        <f>INDEX('Inputs (2)'!$D$44:$AL$44,MATCH(K$7,'Inputs (2)'!$D$2:$AL$2,0))</f>
        <v>0</v>
      </c>
      <c r="L253" s="301">
        <f>INDEX('Inputs (2)'!$D$44:$AL$44,MATCH(L$7,'Inputs (2)'!$D$2:$AL$2,0))</f>
        <v>0</v>
      </c>
      <c r="M253" s="268">
        <f>L253</f>
        <v>0</v>
      </c>
      <c r="N253" s="301">
        <f>INDEX('Inputs (2)'!$D$44:$AL$44,MATCH(N$7,'Inputs (2)'!$D$2:$AL$2,0))</f>
        <v>0</v>
      </c>
      <c r="O253" s="301">
        <f>INDEX('Inputs (2)'!$D$44:$AL$44,MATCH(O$7,'Inputs (2)'!$D$2:$AL$2,0))</f>
        <v>0</v>
      </c>
      <c r="P253" s="301">
        <f>INDEX('Inputs (2)'!$D$44:$AL$44,MATCH(P$7,'Inputs (2)'!$D$2:$AL$2,0))</f>
        <v>0</v>
      </c>
      <c r="Q253" s="301">
        <f>INDEX('Inputs (2)'!$D$44:$AL$44,MATCH(Q$7,'Inputs (2)'!$D$2:$AL$2,0))</f>
        <v>0</v>
      </c>
      <c r="R253" s="268">
        <f>Q253</f>
        <v>0</v>
      </c>
      <c r="S253" s="301">
        <f>INDEX('Inputs (2)'!$D$44:$AL$44,MATCH(S$7,'Inputs (2)'!$D$2:$AL$2,0))</f>
        <v>0</v>
      </c>
      <c r="T253" s="301">
        <f>INDEX('Inputs (2)'!$D$44:$AL$44,MATCH(T$7,'Inputs (2)'!$D$2:$AL$2,0))</f>
        <v>0</v>
      </c>
      <c r="U253" s="301">
        <f>INDEX('Inputs (2)'!$D$44:$AL$44,MATCH(U$7,'Inputs (2)'!$D$2:$AL$2,0))</f>
        <v>0</v>
      </c>
      <c r="V253" s="301">
        <f>INDEX('Inputs (2)'!$D$44:$AL$44,MATCH(V$7,'Inputs (2)'!$D$2:$AL$2,0))</f>
        <v>0</v>
      </c>
      <c r="W253" s="268">
        <f>V253</f>
        <v>0</v>
      </c>
      <c r="X253" s="301">
        <f>INDEX('Inputs (2)'!$D$44:$AL$44,MATCH(X$7,'Inputs (2)'!$D$2:$AL$2,0))</f>
        <v>0</v>
      </c>
      <c r="Y253" s="301">
        <f>INDEX('Inputs (2)'!$D$44:$AL$44,MATCH(Y$7,'Inputs (2)'!$D$2:$AL$2,0))</f>
        <v>0</v>
      </c>
      <c r="Z253" s="301">
        <f>INDEX('Inputs (2)'!$D$44:$AL$44,MATCH(Z$7,'Inputs (2)'!$D$2:$AL$2,0))</f>
        <v>0</v>
      </c>
      <c r="AA253" s="301">
        <f>INDEX('Inputs (2)'!$D$44:$AL$44,MATCH(AA$7,'Inputs (2)'!$D$2:$AL$2,0))</f>
        <v>-33.524</v>
      </c>
      <c r="AB253" s="268">
        <f>AA253</f>
        <v>-33.524</v>
      </c>
      <c r="AC253" s="301">
        <f>INDEX('Inputs (2)'!$D$44:$AL$44,MATCH(AC$7,'Inputs (2)'!$D$2:$AL$2,0))</f>
        <v>-33.524</v>
      </c>
      <c r="AD253" s="301">
        <f>INDEX('Inputs (2)'!$D$44:$AL$44,MATCH(AD$7,'Inputs (2)'!$D$2:$AL$2,0))</f>
        <v>-33.524</v>
      </c>
      <c r="AE253" s="301">
        <f>INDEX('Inputs (2)'!$D$44:$AL$44,MATCH(AE$7,'Inputs (2)'!$D$2:$AL$2,0))</f>
        <v>-33.524</v>
      </c>
      <c r="AF253" s="301">
        <f>INDEX('Inputs (2)'!$D$44:$AL$44,MATCH(AF$7,'Inputs (2)'!$D$2:$AL$2,0))</f>
        <v>-34</v>
      </c>
      <c r="AG253" s="268">
        <f>AF253</f>
        <v>-34</v>
      </c>
      <c r="AH253" s="268">
        <f>INDEX('Inputs (2)'!$D$44:$AL$44,MATCH(AH$7,'Inputs (2)'!$D$2:$AL$2,0))</f>
        <v>-34</v>
      </c>
      <c r="AI253" s="268">
        <f>INDEX('Inputs (2)'!$D$44:$AL$44,MATCH(AI$7,'Inputs (2)'!$D$2:$AL$2,0))</f>
        <v>-34</v>
      </c>
      <c r="AJ253" s="268">
        <f>AI253+AJ243</f>
        <v>-34</v>
      </c>
      <c r="AK253" s="268">
        <f>AJ253+AK243</f>
        <v>-34</v>
      </c>
      <c r="AL253" s="268">
        <f>AK253</f>
        <v>-34</v>
      </c>
      <c r="AM253" s="268">
        <f>AL253+AM243</f>
        <v>-34</v>
      </c>
      <c r="AN253" s="268">
        <f>AM253+AN243</f>
        <v>-34</v>
      </c>
      <c r="AO253" s="268">
        <f>AN253+AO243</f>
        <v>-34</v>
      </c>
      <c r="AP253" s="268">
        <f>AO253+AP243</f>
        <v>-34</v>
      </c>
      <c r="AQ253" s="268">
        <f>AP253</f>
        <v>-34</v>
      </c>
      <c r="AR253" s="268">
        <f>AQ253+AR243</f>
        <v>-34</v>
      </c>
      <c r="AS253" s="268">
        <f>AR253+AS243</f>
        <v>-34</v>
      </c>
      <c r="AT253" s="268">
        <f>AS253+AT243</f>
        <v>-34</v>
      </c>
      <c r="AU253" s="268">
        <f>AT253+AU243</f>
        <v>-34</v>
      </c>
      <c r="AV253" s="268">
        <f>AU253</f>
        <v>-34</v>
      </c>
      <c r="AW253" s="268">
        <f>AV253+AW243</f>
        <v>-34</v>
      </c>
      <c r="AX253" s="268">
        <f>AW253+AX243</f>
        <v>-34</v>
      </c>
      <c r="AY253" s="268">
        <f>AX253+AY243</f>
        <v>-34</v>
      </c>
      <c r="AZ253" s="268">
        <f>AY253+AZ243</f>
        <v>-34</v>
      </c>
      <c r="BA253" s="268">
        <f>AZ253</f>
        <v>-34</v>
      </c>
      <c r="BB253" s="268">
        <f>BA253+BB243</f>
        <v>-34</v>
      </c>
      <c r="BC253" s="268">
        <f>BB253+BC243</f>
        <v>-34</v>
      </c>
      <c r="BD253" s="268">
        <f>BC253+BD243</f>
        <v>-34</v>
      </c>
      <c r="BE253" s="268">
        <f>BD253+BE243</f>
        <v>-34</v>
      </c>
      <c r="BF253" s="268">
        <f>BE253</f>
        <v>-34</v>
      </c>
      <c r="BG253" s="268">
        <f>BF253+BG243</f>
        <v>-34</v>
      </c>
      <c r="BH253" s="268">
        <f>BG253+BH243</f>
        <v>-34</v>
      </c>
      <c r="BI253" s="268">
        <f>BH253+BI243</f>
        <v>-34</v>
      </c>
      <c r="BJ253" s="268">
        <f>BI253+BJ243</f>
        <v>-34</v>
      </c>
      <c r="BK253" s="268">
        <f>BJ253</f>
        <v>-34</v>
      </c>
      <c r="BL253" s="268">
        <f>BK253+BL243</f>
        <v>-34</v>
      </c>
      <c r="BM253" s="268">
        <f>BL253+BM243</f>
        <v>-34</v>
      </c>
      <c r="BN253" s="268">
        <f>BM253+BN243</f>
        <v>-34</v>
      </c>
      <c r="BO253" s="268">
        <f>BN253+BO243</f>
        <v>-34</v>
      </c>
      <c r="BP253" s="268">
        <f>BO253</f>
        <v>-34</v>
      </c>
      <c r="BQ253" s="268">
        <f>BP253+BQ243</f>
        <v>-34</v>
      </c>
      <c r="BR253" s="268">
        <f>BQ253+BR243</f>
        <v>-34</v>
      </c>
      <c r="BS253" s="268">
        <f>BR253+BS243</f>
        <v>-34</v>
      </c>
      <c r="BT253" s="268">
        <f>BS253+BT243</f>
        <v>-34</v>
      </c>
      <c r="BU253" s="268">
        <f>BT253</f>
        <v>-34</v>
      </c>
      <c r="BV253" s="268">
        <f>BU253+BV243</f>
        <v>-34</v>
      </c>
      <c r="BW253" s="268">
        <f>BV253+BW243</f>
        <v>-34</v>
      </c>
      <c r="BX253" s="268">
        <f>BW253+BX243</f>
        <v>-34</v>
      </c>
      <c r="BY253" s="268">
        <f>BX253+BY243</f>
        <v>-34</v>
      </c>
      <c r="BZ253" s="268">
        <f>BY253</f>
        <v>-34</v>
      </c>
      <c r="CA253" s="268">
        <f>BZ253+CA243</f>
        <v>-34</v>
      </c>
      <c r="CB253" s="268">
        <f>CA253+CB243</f>
        <v>-34</v>
      </c>
      <c r="CC253" s="268">
        <f>CB253+CC243</f>
        <v>-34</v>
      </c>
      <c r="CD253" s="268">
        <f>CC253+CD243</f>
        <v>-34</v>
      </c>
      <c r="CE253" s="268">
        <f>CD253</f>
        <v>-34</v>
      </c>
      <c r="CF253" s="268">
        <f>CE253+CF243</f>
        <v>-34</v>
      </c>
      <c r="CG253" s="268">
        <f>CF253+CG243</f>
        <v>-34</v>
      </c>
      <c r="CH253" s="268">
        <f>CG253+CH243</f>
        <v>-34</v>
      </c>
      <c r="CI253" s="268">
        <f>CH253+CI243</f>
        <v>-34</v>
      </c>
      <c r="CJ253" s="268">
        <f>CI253</f>
        <v>-34</v>
      </c>
      <c r="CK253" s="268">
        <f>CJ253+CK243</f>
        <v>-34</v>
      </c>
      <c r="CL253" s="268">
        <f>CK253+CL243</f>
        <v>-34</v>
      </c>
      <c r="CM253" s="268">
        <f>CL253+CM243</f>
        <v>-34</v>
      </c>
      <c r="CN253" s="268">
        <f>CM253+CN243</f>
        <v>-34</v>
      </c>
      <c r="CO253" s="268">
        <f>CN253</f>
        <v>-34</v>
      </c>
      <c r="CP253" s="268">
        <f>CO253+CP243</f>
        <v>-34</v>
      </c>
      <c r="CQ253" s="268">
        <f>CP253+CQ243</f>
        <v>-34</v>
      </c>
      <c r="CR253" s="268">
        <f>CQ253+CR243</f>
        <v>-34</v>
      </c>
      <c r="CS253" s="268">
        <f>CR253+CS243</f>
        <v>-34</v>
      </c>
      <c r="CT253" s="268">
        <f>CS253</f>
        <v>-34</v>
      </c>
      <c r="CU253" s="268">
        <f>CT253+CU243</f>
        <v>-34</v>
      </c>
      <c r="CV253" s="268">
        <f>CU253+CV243</f>
        <v>-34</v>
      </c>
      <c r="CW253" s="268">
        <f>CV253+CW243</f>
        <v>-34</v>
      </c>
      <c r="CX253" s="268">
        <f>CW253+CX243</f>
        <v>-34</v>
      </c>
      <c r="CY253" s="268">
        <f>CX253</f>
        <v>-34</v>
      </c>
    </row>
    <row r="254" ht="12.75" customHeight="1" s="255">
      <c r="C254" s="270" t="inlineStr">
        <is>
          <t>Comprehensive (accumulated) loss</t>
        </is>
      </c>
      <c r="D254" s="301">
        <f>INDEX('Inputs (2)'!$D$45:$AL$45,MATCH(D$7,'Inputs (2)'!$D$2:$AL$2,0))</f>
        <v>0</v>
      </c>
      <c r="E254" s="301">
        <f>INDEX('Inputs (2)'!$D$45:$AL$45,MATCH(E$7,'Inputs (2)'!$D$2:$AL$2,0))</f>
        <v>0</v>
      </c>
      <c r="F254" s="301">
        <f>INDEX('Inputs (2)'!$D$45:$AL$45,MATCH(F$7,'Inputs (2)'!$D$2:$AL$2,0))</f>
        <v>0</v>
      </c>
      <c r="G254" s="301">
        <f>INDEX('Inputs (2)'!$D$45:$AL$45,MATCH(G$7,'Inputs (2)'!$D$2:$AL$2,0))</f>
        <v>0</v>
      </c>
      <c r="H254" s="268">
        <f>G254</f>
        <v>0</v>
      </c>
      <c r="I254" s="301">
        <f>INDEX('Inputs (2)'!$D$45:$AL$45,MATCH(I$7,'Inputs (2)'!$D$2:$AL$2,0))</f>
        <v>0</v>
      </c>
      <c r="J254" s="301">
        <f>INDEX('Inputs (2)'!$D$45:$AL$45,MATCH(J$7,'Inputs (2)'!$D$2:$AL$2,0))</f>
        <v>0</v>
      </c>
      <c r="K254" s="301">
        <f>INDEX('Inputs (2)'!$D$45:$AL$45,MATCH(K$7,'Inputs (2)'!$D$2:$AL$2,0))</f>
        <v>0</v>
      </c>
      <c r="L254" s="301">
        <f>INDEX('Inputs (2)'!$D$45:$AL$45,MATCH(L$7,'Inputs (2)'!$D$2:$AL$2,0))</f>
        <v>0</v>
      </c>
      <c r="M254" s="268">
        <f>L254</f>
        <v>0</v>
      </c>
      <c r="N254" s="301">
        <f>INDEX('Inputs (2)'!$D$45:$AL$45,MATCH(N$7,'Inputs (2)'!$D$2:$AL$2,0))</f>
        <v>0</v>
      </c>
      <c r="O254" s="301">
        <f>INDEX('Inputs (2)'!$D$45:$AL$45,MATCH(O$7,'Inputs (2)'!$D$2:$AL$2,0))</f>
        <v>0</v>
      </c>
      <c r="P254" s="301">
        <f>INDEX('Inputs (2)'!$D$45:$AL$45,MATCH(P$7,'Inputs (2)'!$D$2:$AL$2,0))</f>
        <v>0</v>
      </c>
      <c r="Q254" s="301">
        <f>INDEX('Inputs (2)'!$D$45:$AL$45,MATCH(Q$7,'Inputs (2)'!$D$2:$AL$2,0))</f>
        <v>0</v>
      </c>
      <c r="R254" s="268">
        <f>Q254</f>
        <v>0</v>
      </c>
      <c r="S254" s="301">
        <f>INDEX('Inputs (2)'!$D$45:$AL$45,MATCH(S$7,'Inputs (2)'!$D$2:$AL$2,0))</f>
        <v>0</v>
      </c>
      <c r="T254" s="301">
        <f>INDEX('Inputs (2)'!$D$45:$AL$45,MATCH(T$7,'Inputs (2)'!$D$2:$AL$2,0))</f>
        <v>0</v>
      </c>
      <c r="U254" s="301">
        <f>INDEX('Inputs (2)'!$D$45:$AL$45,MATCH(U$7,'Inputs (2)'!$D$2:$AL$2,0))</f>
        <v>0</v>
      </c>
      <c r="V254" s="301">
        <f>INDEX('Inputs (2)'!$D$45:$AL$45,MATCH(V$7,'Inputs (2)'!$D$2:$AL$2,0))</f>
        <v>0</v>
      </c>
      <c r="W254" s="268">
        <f>V254</f>
        <v>0</v>
      </c>
      <c r="X254" s="301">
        <f>INDEX('Inputs (2)'!$D$45:$AL$45,MATCH(X$7,'Inputs (2)'!$D$2:$AL$2,0))</f>
        <v>0</v>
      </c>
      <c r="Y254" s="301">
        <f>INDEX('Inputs (2)'!$D$45:$AL$45,MATCH(Y$7,'Inputs (2)'!$D$2:$AL$2,0))</f>
        <v>0</v>
      </c>
      <c r="Z254" s="301">
        <f>INDEX('Inputs (2)'!$D$45:$AL$45,MATCH(Z$7,'Inputs (2)'!$D$2:$AL$2,0))</f>
        <v>0</v>
      </c>
      <c r="AA254" s="301">
        <f>INDEX('Inputs (2)'!$D$45:$AL$45,MATCH(AA$7,'Inputs (2)'!$D$2:$AL$2,0))</f>
        <v>0</v>
      </c>
      <c r="AB254" s="268">
        <f>AA254</f>
        <v>0</v>
      </c>
      <c r="AC254" s="301">
        <f>INDEX('Inputs (2)'!$D$45:$AL$45,MATCH(AC$7,'Inputs (2)'!$D$2:$AL$2,0))</f>
        <v>0</v>
      </c>
      <c r="AD254" s="301">
        <f>INDEX('Inputs (2)'!$D$45:$AL$45,MATCH(AD$7,'Inputs (2)'!$D$2:$AL$2,0))</f>
        <v>-0.271</v>
      </c>
      <c r="AE254" s="301">
        <f>INDEX('Inputs (2)'!$D$45:$AL$45,MATCH(AE$7,'Inputs (2)'!$D$2:$AL$2,0))</f>
        <v>-1.284</v>
      </c>
      <c r="AF254" s="301">
        <f>INDEX('Inputs (2)'!$D$45:$AL$45,MATCH(AF$7,'Inputs (2)'!$D$2:$AL$2,0))</f>
        <v>0</v>
      </c>
      <c r="AG254" s="268">
        <f>AF254</f>
        <v>0</v>
      </c>
      <c r="AH254" s="268">
        <f>INDEX('Inputs (2)'!$D$45:$AL$45,MATCH(AH$7,'Inputs (2)'!$D$2:$AL$2,0))</f>
        <v>5</v>
      </c>
      <c r="AI254" s="268">
        <f>INDEX('Inputs (2)'!$D$45:$AL$45,MATCH(AI$7,'Inputs (2)'!$D$2:$AL$2,0))</f>
        <v>-18</v>
      </c>
      <c r="AJ254" s="268">
        <f>AI254</f>
        <v>-18</v>
      </c>
      <c r="AK254" s="268">
        <f>AJ254</f>
        <v>-18</v>
      </c>
      <c r="AL254" s="268">
        <f>AK254</f>
        <v>-18</v>
      </c>
      <c r="AM254" s="268">
        <f>AL254</f>
        <v>-18</v>
      </c>
      <c r="AN254" s="268">
        <f>AM254</f>
        <v>-18</v>
      </c>
      <c r="AO254" s="268">
        <f>AN254</f>
        <v>-18</v>
      </c>
      <c r="AP254" s="268">
        <f>AO254</f>
        <v>-18</v>
      </c>
      <c r="AQ254" s="268">
        <f>AP254</f>
        <v>-18</v>
      </c>
      <c r="AR254" s="268">
        <f>AQ254</f>
        <v>-18</v>
      </c>
      <c r="AS254" s="268">
        <f>AR254</f>
        <v>-18</v>
      </c>
      <c r="AT254" s="268">
        <f>AS254</f>
        <v>-18</v>
      </c>
      <c r="AU254" s="268">
        <f>AT254</f>
        <v>-18</v>
      </c>
      <c r="AV254" s="268">
        <f>AU254</f>
        <v>-18</v>
      </c>
      <c r="AW254" s="268">
        <f>AV254</f>
        <v>-18</v>
      </c>
      <c r="AX254" s="268">
        <f>AW254</f>
        <v>-18</v>
      </c>
      <c r="AY254" s="268">
        <f>AX254</f>
        <v>-18</v>
      </c>
      <c r="AZ254" s="268">
        <f>AY254</f>
        <v>-18</v>
      </c>
      <c r="BA254" s="268">
        <f>AZ254</f>
        <v>-18</v>
      </c>
      <c r="BB254" s="268">
        <f>BA254</f>
        <v>-18</v>
      </c>
      <c r="BC254" s="268">
        <f>BB254</f>
        <v>-18</v>
      </c>
      <c r="BD254" s="268">
        <f>BC254</f>
        <v>-18</v>
      </c>
      <c r="BE254" s="268">
        <f>BD254</f>
        <v>-18</v>
      </c>
      <c r="BF254" s="268">
        <f>BE254</f>
        <v>-18</v>
      </c>
      <c r="BG254" s="268">
        <f>BF254</f>
        <v>-18</v>
      </c>
      <c r="BH254" s="268">
        <f>BG254</f>
        <v>-18</v>
      </c>
      <c r="BI254" s="268">
        <f>BH254</f>
        <v>-18</v>
      </c>
      <c r="BJ254" s="268">
        <f>BI254</f>
        <v>-18</v>
      </c>
      <c r="BK254" s="268">
        <f>BJ254</f>
        <v>-18</v>
      </c>
      <c r="BL254" s="268">
        <f>BK254</f>
        <v>-18</v>
      </c>
      <c r="BM254" s="268">
        <f>BL254</f>
        <v>-18</v>
      </c>
      <c r="BN254" s="268">
        <f>BM254</f>
        <v>-18</v>
      </c>
      <c r="BO254" s="268">
        <f>BN254</f>
        <v>-18</v>
      </c>
      <c r="BP254" s="268">
        <f>BO254</f>
        <v>-18</v>
      </c>
      <c r="BQ254" s="268">
        <f>BP254</f>
        <v>-18</v>
      </c>
      <c r="BR254" s="268">
        <f>BQ254</f>
        <v>-18</v>
      </c>
      <c r="BS254" s="268">
        <f>BR254</f>
        <v>-18</v>
      </c>
      <c r="BT254" s="268">
        <f>BS254</f>
        <v>-18</v>
      </c>
      <c r="BU254" s="268">
        <f>BT254</f>
        <v>-18</v>
      </c>
      <c r="BV254" s="268">
        <f>BU254</f>
        <v>-18</v>
      </c>
      <c r="BW254" s="268">
        <f>BV254</f>
        <v>-18</v>
      </c>
      <c r="BX254" s="268">
        <f>BW254</f>
        <v>-18</v>
      </c>
      <c r="BY254" s="268">
        <f>BX254</f>
        <v>-18</v>
      </c>
      <c r="BZ254" s="268">
        <f>BY254</f>
        <v>-18</v>
      </c>
      <c r="CA254" s="268">
        <f>BZ254</f>
        <v>-18</v>
      </c>
      <c r="CB254" s="268">
        <f>CA254</f>
        <v>-18</v>
      </c>
      <c r="CC254" s="268">
        <f>CB254</f>
        <v>-18</v>
      </c>
      <c r="CD254" s="268">
        <f>CC254</f>
        <v>-18</v>
      </c>
      <c r="CE254" s="268">
        <f>CD254</f>
        <v>-18</v>
      </c>
      <c r="CF254" s="268">
        <f>CE254</f>
        <v>-18</v>
      </c>
      <c r="CG254" s="268">
        <f>CF254</f>
        <v>-18</v>
      </c>
      <c r="CH254" s="268">
        <f>CG254</f>
        <v>-18</v>
      </c>
      <c r="CI254" s="268">
        <f>CH254</f>
        <v>-18</v>
      </c>
      <c r="CJ254" s="268">
        <f>CI254</f>
        <v>-18</v>
      </c>
      <c r="CK254" s="268">
        <f>CJ254</f>
        <v>-18</v>
      </c>
      <c r="CL254" s="268">
        <f>CK254</f>
        <v>-18</v>
      </c>
      <c r="CM254" s="268">
        <f>CL254</f>
        <v>-18</v>
      </c>
      <c r="CN254" s="268">
        <f>CM254</f>
        <v>-18</v>
      </c>
      <c r="CO254" s="268">
        <f>CN254</f>
        <v>-18</v>
      </c>
      <c r="CP254" s="268">
        <f>CO254</f>
        <v>-18</v>
      </c>
      <c r="CQ254" s="268">
        <f>CP254</f>
        <v>-18</v>
      </c>
      <c r="CR254" s="268">
        <f>CQ254</f>
        <v>-18</v>
      </c>
      <c r="CS254" s="268">
        <f>CR254</f>
        <v>-18</v>
      </c>
      <c r="CT254" s="268">
        <f>CS254</f>
        <v>-18</v>
      </c>
      <c r="CU254" s="268">
        <f>CT254</f>
        <v>-18</v>
      </c>
      <c r="CV254" s="268">
        <f>CU254</f>
        <v>-18</v>
      </c>
      <c r="CW254" s="268">
        <f>CV254</f>
        <v>-18</v>
      </c>
      <c r="CX254" s="268">
        <f>CW254</f>
        <v>-18</v>
      </c>
      <c r="CY254" s="268">
        <f>CX254</f>
        <v>-18</v>
      </c>
    </row>
    <row r="255" ht="12.75" customHeight="1" s="255">
      <c r="C255" s="270" t="inlineStr">
        <is>
          <t>Other equity account</t>
        </is>
      </c>
      <c r="D255" s="301">
        <f>INDEX('Inputs (2)'!$D$46:$AL$46,MATCH(D$7,'Inputs (2)'!$D$2:$AL$2,0))</f>
        <v>0</v>
      </c>
      <c r="E255" s="301">
        <f>INDEX('Inputs (2)'!$D$46:$AL$46,MATCH(E$7,'Inputs (2)'!$D$2:$AL$2,0))</f>
        <v>0</v>
      </c>
      <c r="F255" s="301">
        <f>INDEX('Inputs (2)'!$D$46:$AL$46,MATCH(F$7,'Inputs (2)'!$D$2:$AL$2,0))</f>
        <v>0</v>
      </c>
      <c r="G255" s="301">
        <f>INDEX('Inputs (2)'!$D$46:$AL$46,MATCH(G$7,'Inputs (2)'!$D$2:$AL$2,0))</f>
        <v>0</v>
      </c>
      <c r="H255" s="268">
        <f>G255</f>
        <v>0</v>
      </c>
      <c r="I255" s="301">
        <f>INDEX('Inputs (2)'!$D$46:$AL$46,MATCH(I$7,'Inputs (2)'!$D$2:$AL$2,0))</f>
        <v>0</v>
      </c>
      <c r="J255" s="301">
        <f>INDEX('Inputs (2)'!$D$46:$AL$46,MATCH(J$7,'Inputs (2)'!$D$2:$AL$2,0))</f>
        <v>0</v>
      </c>
      <c r="K255" s="301">
        <f>INDEX('Inputs (2)'!$D$46:$AL$46,MATCH(K$7,'Inputs (2)'!$D$2:$AL$2,0))</f>
        <v>0</v>
      </c>
      <c r="L255" s="301">
        <f>INDEX('Inputs (2)'!$D$46:$AL$46,MATCH(L$7,'Inputs (2)'!$D$2:$AL$2,0))</f>
        <v>0</v>
      </c>
      <c r="M255" s="268">
        <f>L255</f>
        <v>0</v>
      </c>
      <c r="N255" s="301">
        <f>INDEX('Inputs (2)'!$D$46:$AL$46,MATCH(N$7,'Inputs (2)'!$D$2:$AL$2,0))</f>
        <v>0</v>
      </c>
      <c r="O255" s="301">
        <f>INDEX('Inputs (2)'!$D$46:$AL$46,MATCH(O$7,'Inputs (2)'!$D$2:$AL$2,0))</f>
        <v>0</v>
      </c>
      <c r="P255" s="301">
        <f>INDEX('Inputs (2)'!$D$46:$AL$46,MATCH(P$7,'Inputs (2)'!$D$2:$AL$2,0))</f>
        <v>0</v>
      </c>
      <c r="Q255" s="301">
        <f>INDEX('Inputs (2)'!$D$46:$AL$46,MATCH(Q$7,'Inputs (2)'!$D$2:$AL$2,0))</f>
        <v>0</v>
      </c>
      <c r="R255" s="268">
        <f>Q255</f>
        <v>0</v>
      </c>
      <c r="S255" s="301">
        <f>INDEX('Inputs (2)'!$D$46:$AL$46,MATCH(S$7,'Inputs (2)'!$D$2:$AL$2,0))</f>
        <v>0</v>
      </c>
      <c r="T255" s="301">
        <f>INDEX('Inputs (2)'!$D$46:$AL$46,MATCH(T$7,'Inputs (2)'!$D$2:$AL$2,0))</f>
        <v>0</v>
      </c>
      <c r="U255" s="301">
        <f>INDEX('Inputs (2)'!$D$46:$AL$46,MATCH(U$7,'Inputs (2)'!$D$2:$AL$2,0))</f>
        <v>0</v>
      </c>
      <c r="V255" s="301">
        <f>INDEX('Inputs (2)'!$D$46:$AL$46,MATCH(V$7,'Inputs (2)'!$D$2:$AL$2,0))</f>
        <v>0</v>
      </c>
      <c r="W255" s="268">
        <f>V255</f>
        <v>0</v>
      </c>
      <c r="X255" s="301">
        <f>INDEX('Inputs (2)'!$D$46:$AL$46,MATCH(X$7,'Inputs (2)'!$D$2:$AL$2,0))</f>
        <v>0</v>
      </c>
      <c r="Y255" s="301">
        <f>INDEX('Inputs (2)'!$D$46:$AL$46,MATCH(Y$7,'Inputs (2)'!$D$2:$AL$2,0))</f>
        <v>0</v>
      </c>
      <c r="Z255" s="301">
        <f>INDEX('Inputs (2)'!$D$46:$AL$46,MATCH(Z$7,'Inputs (2)'!$D$2:$AL$2,0))</f>
        <v>0</v>
      </c>
      <c r="AA255" s="301">
        <f>INDEX('Inputs (2)'!$D$46:$AL$46,MATCH(AA$7,'Inputs (2)'!$D$2:$AL$2,0))</f>
        <v>1722.112</v>
      </c>
      <c r="AB255" s="268">
        <f>AA255</f>
        <v>1722.112</v>
      </c>
      <c r="AC255" s="301">
        <f>INDEX('Inputs (2)'!$D$46:$AL$46,MATCH(AC$7,'Inputs (2)'!$D$2:$AL$2,0))</f>
        <v>1163.161</v>
      </c>
      <c r="AD255" s="301">
        <f>INDEX('Inputs (2)'!$D$46:$AL$46,MATCH(AD$7,'Inputs (2)'!$D$2:$AL$2,0))</f>
        <v>1163.161</v>
      </c>
      <c r="AE255" s="301">
        <f>INDEX('Inputs (2)'!$D$46:$AL$46,MATCH(AE$7,'Inputs (2)'!$D$2:$AL$2,0))</f>
        <v>0.002</v>
      </c>
      <c r="AF255" s="301">
        <f>INDEX('Inputs (2)'!$D$46:$AL$46,MATCH(AF$7,'Inputs (2)'!$D$2:$AL$2,0))</f>
        <v>0</v>
      </c>
      <c r="AG255" s="268">
        <f>AF255</f>
        <v>0</v>
      </c>
      <c r="AH255" s="268">
        <f>INDEX('Inputs (2)'!$D$46:$AL$46,MATCH(AH$7,'Inputs (2)'!$D$2:$AL$2,0))</f>
        <v>0</v>
      </c>
      <c r="AI255" s="268">
        <f>INDEX('Inputs (2)'!$D$46:$AL$46,MATCH(AI$7,'Inputs (2)'!$D$2:$AL$2,0))</f>
        <v>0</v>
      </c>
      <c r="AJ255" s="268">
        <f>AI255</f>
        <v>0</v>
      </c>
      <c r="AK255" s="268">
        <f>AJ255</f>
        <v>0</v>
      </c>
      <c r="AL255" s="268">
        <f>AK255</f>
        <v>0</v>
      </c>
      <c r="AM255" s="268">
        <f>AL255</f>
        <v>0</v>
      </c>
      <c r="AN255" s="268">
        <f>AM255</f>
        <v>0</v>
      </c>
      <c r="AO255" s="268">
        <f>AN255</f>
        <v>0</v>
      </c>
      <c r="AP255" s="268">
        <f>AO255</f>
        <v>0</v>
      </c>
      <c r="AQ255" s="268">
        <f>AP255</f>
        <v>0</v>
      </c>
      <c r="AR255" s="268">
        <f>AQ255</f>
        <v>0</v>
      </c>
      <c r="AS255" s="268">
        <f>AR255</f>
        <v>0</v>
      </c>
      <c r="AT255" s="268">
        <f>AS255</f>
        <v>0</v>
      </c>
      <c r="AU255" s="268">
        <f>AT255</f>
        <v>0</v>
      </c>
      <c r="AV255" s="268">
        <f>AU255</f>
        <v>0</v>
      </c>
      <c r="AW255" s="268">
        <f>AV255</f>
        <v>0</v>
      </c>
      <c r="AX255" s="268">
        <f>AW255</f>
        <v>0</v>
      </c>
      <c r="AY255" s="268">
        <f>AX255</f>
        <v>0</v>
      </c>
      <c r="AZ255" s="268">
        <f>AY255</f>
        <v>0</v>
      </c>
      <c r="BA255" s="268">
        <f>AZ255</f>
        <v>0</v>
      </c>
      <c r="BB255" s="268">
        <f>BA255</f>
        <v>0</v>
      </c>
      <c r="BC255" s="268">
        <f>BB255</f>
        <v>0</v>
      </c>
      <c r="BD255" s="268">
        <f>BC255</f>
        <v>0</v>
      </c>
      <c r="BE255" s="268">
        <f>BD255</f>
        <v>0</v>
      </c>
      <c r="BF255" s="268">
        <f>BE255</f>
        <v>0</v>
      </c>
      <c r="BG255" s="268">
        <f>BF255</f>
        <v>0</v>
      </c>
      <c r="BH255" s="268">
        <f>BG255</f>
        <v>0</v>
      </c>
      <c r="BI255" s="268">
        <f>BH255</f>
        <v>0</v>
      </c>
      <c r="BJ255" s="268">
        <f>BI255</f>
        <v>0</v>
      </c>
      <c r="BK255" s="268">
        <f>BJ255</f>
        <v>0</v>
      </c>
      <c r="BL255" s="268">
        <f>BK255</f>
        <v>0</v>
      </c>
      <c r="BM255" s="268">
        <f>BL255</f>
        <v>0</v>
      </c>
      <c r="BN255" s="268">
        <f>BM255</f>
        <v>0</v>
      </c>
      <c r="BO255" s="268">
        <f>BN255</f>
        <v>0</v>
      </c>
      <c r="BP255" s="268">
        <f>BO255</f>
        <v>0</v>
      </c>
      <c r="BQ255" s="268">
        <f>BP255</f>
        <v>0</v>
      </c>
      <c r="BR255" s="268">
        <f>BQ255</f>
        <v>0</v>
      </c>
      <c r="BS255" s="268">
        <f>BR255</f>
        <v>0</v>
      </c>
      <c r="BT255" s="268">
        <f>BS255</f>
        <v>0</v>
      </c>
      <c r="BU255" s="268">
        <f>BT255</f>
        <v>0</v>
      </c>
      <c r="BV255" s="268">
        <f>BU255</f>
        <v>0</v>
      </c>
      <c r="BW255" s="268">
        <f>BV255</f>
        <v>0</v>
      </c>
      <c r="BX255" s="268">
        <f>BW255</f>
        <v>0</v>
      </c>
      <c r="BY255" s="268">
        <f>BX255</f>
        <v>0</v>
      </c>
      <c r="BZ255" s="268">
        <f>BY255</f>
        <v>0</v>
      </c>
      <c r="CA255" s="268">
        <f>BZ255</f>
        <v>0</v>
      </c>
      <c r="CB255" s="268">
        <f>CA255</f>
        <v>0</v>
      </c>
      <c r="CC255" s="268">
        <f>CB255</f>
        <v>0</v>
      </c>
      <c r="CD255" s="268">
        <f>CC255</f>
        <v>0</v>
      </c>
      <c r="CE255" s="268">
        <f>CD255</f>
        <v>0</v>
      </c>
      <c r="CF255" s="268">
        <f>CE255</f>
        <v>0</v>
      </c>
      <c r="CG255" s="268">
        <f>CF255</f>
        <v>0</v>
      </c>
      <c r="CH255" s="268">
        <f>CG255</f>
        <v>0</v>
      </c>
      <c r="CI255" s="268">
        <f>CH255</f>
        <v>0</v>
      </c>
      <c r="CJ255" s="268">
        <f>CI255</f>
        <v>0</v>
      </c>
      <c r="CK255" s="268">
        <f>CJ255</f>
        <v>0</v>
      </c>
      <c r="CL255" s="268">
        <f>CK255</f>
        <v>0</v>
      </c>
      <c r="CM255" s="268">
        <f>CL255</f>
        <v>0</v>
      </c>
      <c r="CN255" s="268">
        <f>CM255</f>
        <v>0</v>
      </c>
      <c r="CO255" s="268">
        <f>CN255</f>
        <v>0</v>
      </c>
      <c r="CP255" s="268">
        <f>CO255</f>
        <v>0</v>
      </c>
      <c r="CQ255" s="268">
        <f>CP255</f>
        <v>0</v>
      </c>
      <c r="CR255" s="268">
        <f>CQ255</f>
        <v>0</v>
      </c>
      <c r="CS255" s="268">
        <f>CR255</f>
        <v>0</v>
      </c>
      <c r="CT255" s="268">
        <f>CS255</f>
        <v>0</v>
      </c>
      <c r="CU255" s="268">
        <f>CT255</f>
        <v>0</v>
      </c>
      <c r="CV255" s="268">
        <f>CU255</f>
        <v>0</v>
      </c>
      <c r="CW255" s="268">
        <f>CV255</f>
        <v>0</v>
      </c>
      <c r="CX255" s="268">
        <f>CW255</f>
        <v>0</v>
      </c>
      <c r="CY255" s="268">
        <f>CX255</f>
        <v>0</v>
      </c>
    </row>
    <row r="256" ht="12.75" customHeight="1" s="255">
      <c r="C256" s="271" t="inlineStr">
        <is>
          <t>Retained earnings</t>
        </is>
      </c>
      <c r="D256" s="301">
        <f>INDEX('Inputs (2)'!$D$47:$AL$47,MATCH(D$7,'Inputs (2)'!$D$2:$AL$2,0))</f>
        <v>0</v>
      </c>
      <c r="E256" s="301">
        <f>INDEX('Inputs (2)'!$D$47:$AL$47,MATCH(E$7,'Inputs (2)'!$D$2:$AL$2,0))</f>
        <v>0</v>
      </c>
      <c r="F256" s="301">
        <f>INDEX('Inputs (2)'!$D$47:$AL$47,MATCH(F$7,'Inputs (2)'!$D$2:$AL$2,0))</f>
        <v>0</v>
      </c>
      <c r="G256" s="301">
        <f>INDEX('Inputs (2)'!$D$47:$AL$47,MATCH(G$7,'Inputs (2)'!$D$2:$AL$2,0))</f>
        <v>0</v>
      </c>
      <c r="H256" s="268">
        <f>G256</f>
        <v>0</v>
      </c>
      <c r="I256" s="301">
        <f>INDEX('Inputs (2)'!$D$47:$AL$47,MATCH(I$7,'Inputs (2)'!$D$2:$AL$2,0))</f>
        <v>0</v>
      </c>
      <c r="J256" s="301">
        <f>INDEX('Inputs (2)'!$D$47:$AL$47,MATCH(J$7,'Inputs (2)'!$D$2:$AL$2,0))</f>
        <v>0</v>
      </c>
      <c r="K256" s="301">
        <f>INDEX('Inputs (2)'!$D$47:$AL$47,MATCH(K$7,'Inputs (2)'!$D$2:$AL$2,0))</f>
        <v>0</v>
      </c>
      <c r="L256" s="301">
        <f>INDEX('Inputs (2)'!$D$47:$AL$47,MATCH(L$7,'Inputs (2)'!$D$2:$AL$2,0))</f>
        <v>0</v>
      </c>
      <c r="M256" s="268">
        <f>L256</f>
        <v>0</v>
      </c>
      <c r="N256" s="301">
        <f>INDEX('Inputs (2)'!$D$47:$AL$47,MATCH(N$7,'Inputs (2)'!$D$2:$AL$2,0))</f>
        <v>0</v>
      </c>
      <c r="O256" s="301">
        <f>INDEX('Inputs (2)'!$D$47:$AL$47,MATCH(O$7,'Inputs (2)'!$D$2:$AL$2,0))</f>
        <v>0</v>
      </c>
      <c r="P256" s="301">
        <f>INDEX('Inputs (2)'!$D$47:$AL$47,MATCH(P$7,'Inputs (2)'!$D$2:$AL$2,0))</f>
        <v>0</v>
      </c>
      <c r="Q256" s="301">
        <f>INDEX('Inputs (2)'!$D$47:$AL$47,MATCH(Q$7,'Inputs (2)'!$D$2:$AL$2,0))</f>
        <v>0</v>
      </c>
      <c r="R256" s="268">
        <f>Q256</f>
        <v>0</v>
      </c>
      <c r="S256" s="301">
        <f>INDEX('Inputs (2)'!$D$47:$AL$47,MATCH(S$7,'Inputs (2)'!$D$2:$AL$2,0))</f>
        <v>0</v>
      </c>
      <c r="T256" s="301">
        <f>INDEX('Inputs (2)'!$D$47:$AL$47,MATCH(T$7,'Inputs (2)'!$D$2:$AL$2,0))</f>
        <v>0</v>
      </c>
      <c r="U256" s="301">
        <f>INDEX('Inputs (2)'!$D$47:$AL$47,MATCH(U$7,'Inputs (2)'!$D$2:$AL$2,0))</f>
        <v>0</v>
      </c>
      <c r="V256" s="301">
        <f>INDEX('Inputs (2)'!$D$47:$AL$47,MATCH(V$7,'Inputs (2)'!$D$2:$AL$2,0))</f>
        <v>0</v>
      </c>
      <c r="W256" s="268">
        <f>V256</f>
        <v>0</v>
      </c>
      <c r="X256" s="301">
        <f>INDEX('Inputs (2)'!$D$47:$AL$47,MATCH(X$7,'Inputs (2)'!$D$2:$AL$2,0))</f>
        <v>0</v>
      </c>
      <c r="Y256" s="301">
        <f>INDEX('Inputs (2)'!$D$47:$AL$47,MATCH(Y$7,'Inputs (2)'!$D$2:$AL$2,0))</f>
        <v>0</v>
      </c>
      <c r="Z256" s="301">
        <f>INDEX('Inputs (2)'!$D$47:$AL$47,MATCH(Z$7,'Inputs (2)'!$D$2:$AL$2,0))</f>
        <v>0</v>
      </c>
      <c r="AA256" s="301">
        <f>INDEX('Inputs (2)'!$D$47:$AL$47,MATCH(AA$7,'Inputs (2)'!$D$2:$AL$2,0))</f>
        <v>-1476.235</v>
      </c>
      <c r="AB256" s="268">
        <f>AA256</f>
        <v>-1476.235</v>
      </c>
      <c r="AC256" s="301">
        <f>INDEX('Inputs (2)'!$D$47:$AL$47,MATCH(AC$7,'Inputs (2)'!$D$2:$AL$2,0))</f>
        <v>-1790.876</v>
      </c>
      <c r="AD256" s="301">
        <f>INDEX('Inputs (2)'!$D$47:$AL$47,MATCH(AD$7,'Inputs (2)'!$D$2:$AL$2,0))</f>
        <v>-2081.385</v>
      </c>
      <c r="AE256" s="301">
        <f>INDEX('Inputs (2)'!$D$47:$AL$47,MATCH(AE$7,'Inputs (2)'!$D$2:$AL$2,0))</f>
        <v>-2191.509</v>
      </c>
      <c r="AF256" s="301">
        <f>INDEX('Inputs (2)'!$D$47:$AL$47,MATCH(AF$7,'Inputs (2)'!$D$2:$AL$2,0))</f>
        <v>-2643</v>
      </c>
      <c r="AG256" s="268">
        <f>AF256</f>
        <v>-2643</v>
      </c>
      <c r="AH256" s="268">
        <f>INDEX('Inputs (2)'!$D$47:$AL$47,MATCH(AH$7,'Inputs (2)'!$D$2:$AL$2,0))</f>
        <v>-3383</v>
      </c>
      <c r="AI256" s="268">
        <f>INDEX('Inputs (2)'!$D$47:$AL$47,MATCH(AI$7,'Inputs (2)'!$D$2:$AL$2,0))</f>
        <v>-4009</v>
      </c>
      <c r="AJ256" s="268">
        <f>AI256+AJ123+AJ124</f>
        <v>-4094</v>
      </c>
      <c r="AK256" s="268">
        <f>AJ256+AK123+AK124</f>
        <v>-4051</v>
      </c>
      <c r="AL256" s="268">
        <f>AK256</f>
        <v>-4051</v>
      </c>
      <c r="AM256" s="268">
        <f>AL256+AM123+AM124</f>
        <v>-4008</v>
      </c>
      <c r="AN256" s="268">
        <f>AM256+AN123+AN124</f>
        <v>-4092</v>
      </c>
      <c r="AO256" s="268">
        <f>AN256+AO123+AO124</f>
        <v>-4049</v>
      </c>
      <c r="AP256" s="268">
        <f>AO256+AP123+AP124</f>
        <v>-4133</v>
      </c>
      <c r="AQ256" s="268">
        <f>AP256</f>
        <v>-4133</v>
      </c>
      <c r="AR256" s="268">
        <f>AQ256+AR123+AR124</f>
        <v>-4217</v>
      </c>
      <c r="AS256" s="268">
        <f>AR256+AS123+AS124</f>
        <v>-4299</v>
      </c>
      <c r="AT256" s="268">
        <f>AS256+AT123+AT124</f>
        <v>-4383</v>
      </c>
      <c r="AU256" s="268">
        <f>AT256+AU123+AU124</f>
        <v>-4465</v>
      </c>
      <c r="AV256" s="268">
        <f>AU256</f>
        <v>-4465</v>
      </c>
      <c r="AW256" s="268">
        <f>AV256+AW123+AW124</f>
        <v>-4547</v>
      </c>
      <c r="AX256" s="268">
        <f>AW256+AX123+AX124</f>
        <v>-4879</v>
      </c>
      <c r="AY256" s="268">
        <f>AX256+AY123+AY124</f>
        <v>-4961</v>
      </c>
      <c r="AZ256" s="268">
        <f>AY256+AZ123+AZ124</f>
        <v>-5293</v>
      </c>
      <c r="BA256" s="268">
        <f>AZ256</f>
        <v>-5293</v>
      </c>
      <c r="BB256" s="268">
        <f>BA256+BB123+BB124</f>
        <v>-5625</v>
      </c>
      <c r="BC256" s="268">
        <f>BB256+BC123+BC124</f>
        <v>-6453</v>
      </c>
      <c r="BD256" s="268">
        <f>BC256+BD123+BD124</f>
        <v>-6785</v>
      </c>
      <c r="BE256" s="268">
        <f>BD256+BE123+BE124</f>
        <v>-7613</v>
      </c>
      <c r="BF256" s="268">
        <f>BE256</f>
        <v>-7613</v>
      </c>
      <c r="BG256" s="268">
        <f>BF256+BG123+BG124</f>
        <v>-8441</v>
      </c>
      <c r="BH256" s="268">
        <f>BG256+BH123+BH124</f>
        <v>-10761</v>
      </c>
      <c r="BI256" s="268">
        <f>BH256+BI123+BI124</f>
        <v>-11589</v>
      </c>
      <c r="BJ256" s="268">
        <f>BI256+BJ123+BJ124</f>
        <v>-13909</v>
      </c>
      <c r="BK256" s="268">
        <f>BJ256</f>
        <v>-13909</v>
      </c>
      <c r="BL256" s="268">
        <f>BK256+BL123+BL124</f>
        <v>-16229</v>
      </c>
      <c r="BM256" s="268">
        <f>BL256+BM123+BM124</f>
        <v>-22525</v>
      </c>
      <c r="BN256" s="268">
        <f>BM256+BN123+BN124</f>
        <v>-24845</v>
      </c>
      <c r="BO256" s="268">
        <f>BN256+BO123+BO124</f>
        <v>-31141</v>
      </c>
      <c r="BP256" s="268">
        <f>BO256</f>
        <v>-31141</v>
      </c>
      <c r="BQ256" s="268">
        <f>BP256+BQ123+BQ124</f>
        <v>-37437</v>
      </c>
      <c r="BR256" s="268">
        <f>BQ256+BR123+BR124</f>
        <v>-54669</v>
      </c>
      <c r="BS256" s="268">
        <f>BR256+BS123+BS124</f>
        <v>-60965</v>
      </c>
      <c r="BT256" s="268">
        <f>BS256+BT123+BT124</f>
        <v>-78197</v>
      </c>
      <c r="BU256" s="268">
        <f>BT256</f>
        <v>-78197</v>
      </c>
      <c r="BV256" s="268">
        <f>BU256+BV123+BV124</f>
        <v>-95429</v>
      </c>
      <c r="BW256" s="268">
        <f>BV256+BW123+BW124</f>
        <v>-142485</v>
      </c>
      <c r="BX256" s="268">
        <f>BW256+BX123+BX124</f>
        <v>-159717</v>
      </c>
      <c r="BY256" s="268">
        <f>BX256+BY123+BY124</f>
        <v>-206773</v>
      </c>
      <c r="BZ256" s="268">
        <f>BY256</f>
        <v>-206773</v>
      </c>
      <c r="CA256" s="268">
        <f>BZ256+CA123+CA124</f>
        <v>-253829</v>
      </c>
      <c r="CB256" s="268">
        <f>CA256+CB123+CB124</f>
        <v>-382405</v>
      </c>
      <c r="CC256" s="268">
        <f>CB256+CC123+CC124</f>
        <v>-429461</v>
      </c>
      <c r="CD256" s="268">
        <f>CC256+CD123+CD124</f>
        <v>-558037</v>
      </c>
      <c r="CE256" s="268">
        <f>CD256</f>
        <v>-558037</v>
      </c>
      <c r="CF256" s="268">
        <f>CE256+CF123+CF124</f>
        <v>-686613</v>
      </c>
      <c r="CG256" s="268">
        <f>CF256+CG123+CG124</f>
        <v>-1037877</v>
      </c>
      <c r="CH256" s="268">
        <f>CG256+CH123+CH124</f>
        <v>-1166453</v>
      </c>
      <c r="CI256" s="268">
        <f>CH256+CI123+CI124</f>
        <v>-1517717</v>
      </c>
      <c r="CJ256" s="268">
        <f>CI256</f>
        <v>-1517717</v>
      </c>
      <c r="CK256" s="268">
        <f>CJ256+CK123+CK124</f>
        <v>-1868981</v>
      </c>
      <c r="CL256" s="268">
        <f>CK256+CL123+CL124</f>
        <v>-2828661</v>
      </c>
      <c r="CM256" s="268">
        <f>CL256+CM123+CM124</f>
        <v>-3179925</v>
      </c>
      <c r="CN256" s="268">
        <f>CM256+CN123+CN124</f>
        <v>-4139605</v>
      </c>
      <c r="CO256" s="268">
        <f>CN256</f>
        <v>-4139605</v>
      </c>
      <c r="CP256" s="268">
        <f>CO256+CP123+CP124</f>
        <v>-5099285</v>
      </c>
      <c r="CQ256" s="268">
        <f>CP256+CQ123+CQ124</f>
        <v>-7721173</v>
      </c>
      <c r="CR256" s="268">
        <f>CQ256+CR123+CR124</f>
        <v>-8680853</v>
      </c>
      <c r="CS256" s="268">
        <f>CR256+CS123+CS124</f>
        <v>-11302741</v>
      </c>
      <c r="CT256" s="268">
        <f>CS256</f>
        <v>-11302741</v>
      </c>
      <c r="CU256" s="268">
        <f>CT256+CU123+CU124</f>
        <v>-13924629</v>
      </c>
      <c r="CV256" s="268">
        <f>CU256+CV123+CV124</f>
        <v>-21087765</v>
      </c>
      <c r="CW256" s="268">
        <f>CV256+CW123+CW124</f>
        <v>-23709653</v>
      </c>
      <c r="CX256" s="268">
        <f>CW256+CX123+CX124</f>
        <v>-30872789</v>
      </c>
      <c r="CY256" s="268">
        <f>CX256</f>
        <v>-30872789</v>
      </c>
    </row>
    <row r="257" ht="12.75" customFormat="1" customHeight="1" s="287">
      <c r="A257" s="288" t="inlineStr">
        <is>
          <t xml:space="preserve"> </t>
        </is>
      </c>
      <c r="B257" s="288" t="n"/>
      <c r="C257" s="321" t="inlineStr">
        <is>
          <t>Total Shareholders' Equity</t>
        </is>
      </c>
      <c r="D257" s="276">
        <f>SUM(D234+D239+D240+D253+D254+D255+D256)</f>
        <v>0</v>
      </c>
      <c r="E257" s="276">
        <f>SUM(E234+E239+E240+E253+E254+E255+E256)</f>
        <v>0</v>
      </c>
      <c r="F257" s="276">
        <f>SUM(F234+F239+F240+F253+F254+F255+F256)</f>
        <v>0</v>
      </c>
      <c r="G257" s="276">
        <f>SUM(G234+G239+G240+G253+G254+G255+G256)</f>
        <v>0</v>
      </c>
      <c r="H257" s="276">
        <f>SUM(H234,H239,H240,H253,H254,H255,H256)</f>
        <v>0</v>
      </c>
      <c r="I257" s="276">
        <f>SUM(I234+I239+I240+I253+I254+I255+I256)</f>
        <v>0</v>
      </c>
      <c r="J257" s="276">
        <f>SUM(J234+J239+J240+J253+J254+J255+J256)</f>
        <v>0</v>
      </c>
      <c r="K257" s="276">
        <f>SUM(K234+K239+K240+K253+K254+K255+K256)</f>
        <v>0</v>
      </c>
      <c r="L257" s="276">
        <f>SUM(L234+L239+L240+L253+L254+L255+L256)</f>
        <v>0</v>
      </c>
      <c r="M257" s="276">
        <f>SUM(M234,M239,M240,M253,M254,M255,M256)</f>
        <v>0</v>
      </c>
      <c r="N257" s="276">
        <f>SUM(N234+N239+N240+N253+N254+N255+N256)</f>
        <v>0</v>
      </c>
      <c r="O257" s="276">
        <f>SUM(O234+O239+O240+O253+O254+O255+O256)</f>
        <v>0</v>
      </c>
      <c r="P257" s="276">
        <f>SUM(P234+P239+P240+P253+P254+P255+P256)</f>
        <v>0</v>
      </c>
      <c r="Q257" s="276">
        <f>SUM(Q234+Q239+Q240+Q253+Q254+Q255+Q256)</f>
        <v>0</v>
      </c>
      <c r="R257" s="276">
        <f>SUM(R234,R239,R240,R253,R254,R255,R256)</f>
        <v>0</v>
      </c>
      <c r="S257" s="276">
        <f>SUM(S234+S239+S240+S253+S254+S255+S256)</f>
        <v>0</v>
      </c>
      <c r="T257" s="276">
        <f>SUM(T234+T239+T240+T253+T254+T255+T256)</f>
        <v>0</v>
      </c>
      <c r="U257" s="276">
        <f>SUM(U234+U239+U240+U253+U254+U255+U256)</f>
        <v>0</v>
      </c>
      <c r="V257" s="276">
        <f>SUM(V234+V239+V240+V253+V254+V255+V256)</f>
        <v>0</v>
      </c>
      <c r="W257" s="276">
        <f>SUM(W234,W239,W240,W253,W254,W255,W256)</f>
        <v>0</v>
      </c>
      <c r="X257" s="276">
        <f>SUM(X234+X239+X240+X253+X254+X255+X256)</f>
        <v>0</v>
      </c>
      <c r="Y257" s="276">
        <f>SUM(Y234+Y239+Y240+Y253+Y254+Y255+Y256)</f>
        <v>0</v>
      </c>
      <c r="Z257" s="276">
        <f>SUM(Z234+Z239+Z240+Z253+Z254+Z255+Z256)</f>
        <v>0</v>
      </c>
      <c r="AA257" s="276">
        <f>SUM(AA234+AA239+AA240+AA253+AA254+AA255+AA256)</f>
        <v>1308.513</v>
      </c>
      <c r="AB257" s="276">
        <f>SUM(AB234,AB239,AB240,AB253,AB254,AB255,AB256)</f>
        <v>1308.513</v>
      </c>
      <c r="AC257" s="276">
        <f>SUM(AC234+AC239+AC240+AC253+AC254+AC255+AC256)</f>
        <v>3069.282</v>
      </c>
      <c r="AD257" s="276">
        <f>SUM(AD234+AD239+AD240+AD253+AD254+AD255+AD256)</f>
        <v>3820.806</v>
      </c>
      <c r="AE257" s="276">
        <f>SUM(AE234+AE239+AE240+AE253+AE254+AE255+AE256)</f>
        <v>3878.014</v>
      </c>
      <c r="AF257" s="276">
        <f>SUM(AF234+AF239+AF240+AF253+AF254+AF255+AF256)</f>
        <v>3335</v>
      </c>
      <c r="AG257" s="276">
        <f>SUM(AG234,AG239,AG240,AG253,AG254,AG255,AG256)</f>
        <v>3335</v>
      </c>
      <c r="AH257" s="276">
        <f>SUM(AH234+AH239+AH240+AH253+AH254+AH255+AH256)</f>
        <v>4759</v>
      </c>
      <c r="AI257" s="276">
        <f>SUM(AI234+AI239+AI240+AI253+AI254+AI255+AI256)</f>
        <v>5024</v>
      </c>
      <c r="AJ257" s="276">
        <f>SUM(AJ234+AJ239+AJ240+AJ253+AJ254+AJ255+AJ256)</f>
        <v>4939</v>
      </c>
      <c r="AK257" s="276">
        <f>SUM(AK234+AK239+AK240+AK253+AK254+AK255+AK256)</f>
        <v>4982</v>
      </c>
      <c r="AL257" s="276">
        <f>SUM(AL234,AL239,AL240,AL253,AL254,AL255,AL256)</f>
        <v>4982</v>
      </c>
      <c r="AM257" s="276">
        <f>SUM(AM234+AM239+AM240+AM253+AM254+AM255+AM256)</f>
        <v>5025</v>
      </c>
      <c r="AN257" s="276">
        <f>SUM(AN234+AN239+AN240+AN253+AN254+AN255+AN256)</f>
        <v>4941</v>
      </c>
      <c r="AO257" s="276">
        <f>SUM(AO234+AO239+AO240+AO253+AO254+AO255+AO256)</f>
        <v>4984</v>
      </c>
      <c r="AP257" s="276">
        <f>SUM(AP234+AP239+AP240+AP253+AP254+AP255+AP256)</f>
        <v>4900</v>
      </c>
      <c r="AQ257" s="276">
        <f>SUM(AQ234,AQ239,AQ240,AQ253,AQ254,AQ255,AQ256)</f>
        <v>4900</v>
      </c>
      <c r="AR257" s="276">
        <f>SUM(AR234+AR239+AR240+AR253+AR254+AR255+AR256)</f>
        <v>4816</v>
      </c>
      <c r="AS257" s="276">
        <f>SUM(AS234+AS239+AS240+AS253+AS254+AS255+AS256)</f>
        <v>4734</v>
      </c>
      <c r="AT257" s="276">
        <f>SUM(AT234+AT239+AT240+AT253+AT254+AT255+AT256)</f>
        <v>4650</v>
      </c>
      <c r="AU257" s="276">
        <f>SUM(AU234+AU239+AU240+AU253+AU254+AU255+AU256)</f>
        <v>4568</v>
      </c>
      <c r="AV257" s="276">
        <f>SUM(AV234,AV239,AV240,AV253,AV254,AV255,AV256)</f>
        <v>4568</v>
      </c>
      <c r="AW257" s="276">
        <f>SUM(AW234+AW239+AW240+AW253+AW254+AW255+AW256)</f>
        <v>4486</v>
      </c>
      <c r="AX257" s="276">
        <f>SUM(AX234+AX239+AX240+AX253+AX254+AX255+AX256)</f>
        <v>4154</v>
      </c>
      <c r="AY257" s="276">
        <f>SUM(AY234+AY239+AY240+AY253+AY254+AY255+AY256)</f>
        <v>4072</v>
      </c>
      <c r="AZ257" s="276">
        <f>SUM(AZ234+AZ239+AZ240+AZ253+AZ254+AZ255+AZ256)</f>
        <v>3740</v>
      </c>
      <c r="BA257" s="276">
        <f>SUM(BA234,BA239,BA240,BA253,BA254,BA255,BA256)</f>
        <v>3740</v>
      </c>
      <c r="BB257" s="276">
        <f>SUM(BB234+BB239+BB240+BB253+BB254+BB255+BB256)</f>
        <v>3408</v>
      </c>
      <c r="BC257" s="276">
        <f>SUM(BC234+BC239+BC240+BC253+BC254+BC255+BC256)</f>
        <v>2580</v>
      </c>
      <c r="BD257" s="276">
        <f>SUM(BD234+BD239+BD240+BD253+BD254+BD255+BD256)</f>
        <v>2248</v>
      </c>
      <c r="BE257" s="276">
        <f>SUM(BE234+BE239+BE240+BE253+BE254+BE255+BE256)</f>
        <v>1420</v>
      </c>
      <c r="BF257" s="276">
        <f>SUM(BF234,BF239,BF240,BF253,BF254,BF255,BF256)</f>
        <v>1420</v>
      </c>
      <c r="BG257" s="276">
        <f>SUM(BG234+BG239+BG240+BG253+BG254+BG255+BG256)</f>
        <v>592</v>
      </c>
      <c r="BH257" s="276">
        <f>SUM(BH234+BH239+BH240+BH253+BH254+BH255+BH256)</f>
        <v>-1728</v>
      </c>
      <c r="BI257" s="276">
        <f>SUM(BI234+BI239+BI240+BI253+BI254+BI255+BI256)</f>
        <v>-2556</v>
      </c>
      <c r="BJ257" s="276">
        <f>SUM(BJ234+BJ239+BJ240+BJ253+BJ254+BJ255+BJ256)</f>
        <v>-4876</v>
      </c>
      <c r="BK257" s="276">
        <f>SUM(BK234,BK239,BK240,BK253,BK254,BK255,BK256)</f>
        <v>-4876</v>
      </c>
      <c r="BL257" s="276">
        <f>SUM(BL234+BL239+BL240+BL253+BL254+BL255+BL256)</f>
        <v>-7196</v>
      </c>
      <c r="BM257" s="276">
        <f>SUM(BM234+BM239+BM240+BM253+BM254+BM255+BM256)</f>
        <v>-13492</v>
      </c>
      <c r="BN257" s="276">
        <f>SUM(BN234+BN239+BN240+BN253+BN254+BN255+BN256)</f>
        <v>-15812</v>
      </c>
      <c r="BO257" s="276">
        <f>SUM(BO234+BO239+BO240+BO253+BO254+BO255+BO256)</f>
        <v>-22108</v>
      </c>
      <c r="BP257" s="276">
        <f>SUM(BP234,BP239,BP240,BP253,BP254,BP255,BP256)</f>
        <v>-22108</v>
      </c>
      <c r="BQ257" s="276">
        <f>SUM(BQ234+BQ239+BQ240+BQ253+BQ254+BQ255+BQ256)</f>
        <v>-28404</v>
      </c>
      <c r="BR257" s="276">
        <f>SUM(BR234+BR239+BR240+BR253+BR254+BR255+BR256)</f>
        <v>-45636</v>
      </c>
      <c r="BS257" s="276">
        <f>SUM(BS234+BS239+BS240+BS253+BS254+BS255+BS256)</f>
        <v>-51932</v>
      </c>
      <c r="BT257" s="276">
        <f>SUM(BT234+BT239+BT240+BT253+BT254+BT255+BT256)</f>
        <v>-69164</v>
      </c>
      <c r="BU257" s="276">
        <f>SUM(BU234,BU239,BU240,BU253,BU254,BU255,BU256)</f>
        <v>-69164</v>
      </c>
      <c r="BV257" s="276">
        <f>SUM(BV234+BV239+BV240+BV253+BV254+BV255+BV256)</f>
        <v>-86396</v>
      </c>
      <c r="BW257" s="276">
        <f>SUM(BW234+BW239+BW240+BW253+BW254+BW255+BW256)</f>
        <v>-133452</v>
      </c>
      <c r="BX257" s="276">
        <f>SUM(BX234+BX239+BX240+BX253+BX254+BX255+BX256)</f>
        <v>-150684</v>
      </c>
      <c r="BY257" s="276">
        <f>SUM(BY234+BY239+BY240+BY253+BY254+BY255+BY256)</f>
        <v>-197740</v>
      </c>
      <c r="BZ257" s="276">
        <f>SUM(BZ234,BZ239,BZ240,BZ253,BZ254,BZ255,BZ256)</f>
        <v>-197740</v>
      </c>
      <c r="CA257" s="276">
        <f>SUM(CA234+CA239+CA240+CA253+CA254+CA255+CA256)</f>
        <v>-244796</v>
      </c>
      <c r="CB257" s="276">
        <f>SUM(CB234+CB239+CB240+CB253+CB254+CB255+CB256)</f>
        <v>-373372</v>
      </c>
      <c r="CC257" s="276">
        <f>SUM(CC234+CC239+CC240+CC253+CC254+CC255+CC256)</f>
        <v>-420428</v>
      </c>
      <c r="CD257" s="276">
        <f>SUM(CD234+CD239+CD240+CD253+CD254+CD255+CD256)</f>
        <v>-549004</v>
      </c>
      <c r="CE257" s="276">
        <f>SUM(CE234,CE239,CE240,CE253,CE254,CE255,CE256)</f>
        <v>-549004</v>
      </c>
      <c r="CF257" s="276">
        <f>SUM(CF234+CF239+CF240+CF253+CF254+CF255+CF256)</f>
        <v>-677580</v>
      </c>
      <c r="CG257" s="276">
        <f>SUM(CG234+CG239+CG240+CG253+CG254+CG255+CG256)</f>
        <v>-1028844</v>
      </c>
      <c r="CH257" s="276">
        <f>SUM(CH234+CH239+CH240+CH253+CH254+CH255+CH256)</f>
        <v>-1157420</v>
      </c>
      <c r="CI257" s="276">
        <f>SUM(CI234+CI239+CI240+CI253+CI254+CI255+CI256)</f>
        <v>-1508684</v>
      </c>
      <c r="CJ257" s="276">
        <f>SUM(CJ234,CJ239,CJ240,CJ253,CJ254,CJ255,CJ256)</f>
        <v>-1508684</v>
      </c>
      <c r="CK257" s="276">
        <f>SUM(CK234+CK239+CK240+CK253+CK254+CK255+CK256)</f>
        <v>-1859948</v>
      </c>
      <c r="CL257" s="276">
        <f>SUM(CL234+CL239+CL240+CL253+CL254+CL255+CL256)</f>
        <v>-2819628</v>
      </c>
      <c r="CM257" s="276">
        <f>SUM(CM234+CM239+CM240+CM253+CM254+CM255+CM256)</f>
        <v>-3170892</v>
      </c>
      <c r="CN257" s="276">
        <f>SUM(CN234+CN239+CN240+CN253+CN254+CN255+CN256)</f>
        <v>-4130572</v>
      </c>
      <c r="CO257" s="276">
        <f>SUM(CO234,CO239,CO240,CO253,CO254,CO255,CO256)</f>
        <v>-4130572</v>
      </c>
      <c r="CP257" s="276">
        <f>SUM(CP234+CP239+CP240+CP253+CP254+CP255+CP256)</f>
        <v>-5090252</v>
      </c>
      <c r="CQ257" s="276">
        <f>SUM(CQ234+CQ239+CQ240+CQ253+CQ254+CQ255+CQ256)</f>
        <v>-7712140</v>
      </c>
      <c r="CR257" s="276">
        <f>SUM(CR234+CR239+CR240+CR253+CR254+CR255+CR256)</f>
        <v>-8671820</v>
      </c>
      <c r="CS257" s="276">
        <f>SUM(CS234+CS239+CS240+CS253+CS254+CS255+CS256)</f>
        <v>-11293708</v>
      </c>
      <c r="CT257" s="276">
        <f>SUM(CT234,CT239,CT240,CT253,CT254,CT255,CT256)</f>
        <v>-11293708</v>
      </c>
      <c r="CU257" s="276">
        <f>SUM(CU234+CU239+CU240+CU253+CU254+CU255+CU256)</f>
        <v>-13915596</v>
      </c>
      <c r="CV257" s="276">
        <f>SUM(CV234+CV239+CV240+CV253+CV254+CV255+CV256)</f>
        <v>-21078732</v>
      </c>
      <c r="CW257" s="276">
        <f>SUM(CW234+CW239+CW240+CW253+CW254+CW255+CW256)</f>
        <v>-23700620</v>
      </c>
      <c r="CX257" s="276">
        <f>SUM(CX234+CX239+CX240+CX253+CX254+CX255+CX256)</f>
        <v>-30863756</v>
      </c>
      <c r="CY257" s="276">
        <f>SUM(CY234,CY239,CY240,CY253,CY254,CY255,CY256)</f>
        <v>-30863756</v>
      </c>
    </row>
    <row r="258" ht="12.75" customHeight="1" s="255">
      <c r="C258" s="266" t="n"/>
      <c r="D258" s="268" t="n"/>
      <c r="E258" s="268" t="n"/>
      <c r="F258" s="268" t="n"/>
      <c r="G258" s="268" t="n"/>
      <c r="H258" s="268" t="n"/>
      <c r="I258" s="268" t="n"/>
      <c r="J258" s="268" t="n"/>
      <c r="K258" s="268" t="n"/>
      <c r="L258" s="268" t="n"/>
      <c r="M258" s="268" t="n"/>
      <c r="N258" s="268" t="n"/>
      <c r="O258" s="268" t="n"/>
      <c r="P258" s="268" t="n"/>
      <c r="Q258" s="268" t="n"/>
      <c r="R258" s="268" t="n"/>
      <c r="S258" s="268" t="n"/>
      <c r="T258" s="268" t="n"/>
      <c r="U258" s="268" t="n"/>
      <c r="V258" s="268" t="n"/>
      <c r="W258" s="268" t="n"/>
      <c r="X258" s="268" t="n"/>
      <c r="Y258" s="268" t="n"/>
      <c r="Z258" s="268" t="n"/>
      <c r="AA258" s="268" t="n"/>
      <c r="AB258" s="268" t="n"/>
      <c r="AC258" s="268" t="n"/>
      <c r="AD258" s="268" t="n"/>
      <c r="AE258" s="268" t="n"/>
      <c r="AF258" s="268" t="n"/>
      <c r="AG258" s="268" t="n"/>
      <c r="AH258" s="268" t="n"/>
      <c r="AI258" s="268" t="n"/>
      <c r="AJ258" s="268" t="n"/>
      <c r="AK258" s="268" t="n"/>
      <c r="AL258" s="268" t="n"/>
      <c r="AM258" s="268" t="n"/>
      <c r="AN258" s="268" t="n"/>
      <c r="AO258" s="268" t="n"/>
      <c r="AP258" s="268" t="n"/>
      <c r="AQ258" s="268" t="n"/>
      <c r="AR258" s="268" t="n"/>
      <c r="AS258" s="268" t="n"/>
      <c r="AT258" s="268" t="n"/>
      <c r="AU258" s="268" t="n"/>
      <c r="AV258" s="268" t="n"/>
      <c r="AW258" s="268" t="n"/>
      <c r="AX258" s="268" t="n"/>
      <c r="AY258" s="268" t="n"/>
      <c r="AZ258" s="268" t="n"/>
      <c r="BA258" s="268" t="n"/>
      <c r="BB258" s="268" t="n"/>
      <c r="BC258" s="268" t="n"/>
      <c r="BD258" s="268" t="n"/>
      <c r="BE258" s="268" t="n"/>
      <c r="BF258" s="268" t="n"/>
      <c r="BG258" s="268" t="n"/>
      <c r="BH258" s="268" t="n"/>
      <c r="BI258" s="268" t="n"/>
      <c r="BJ258" s="268" t="n"/>
      <c r="BK258" s="268" t="n"/>
      <c r="BL258" s="268" t="n"/>
      <c r="BM258" s="268" t="n"/>
      <c r="BN258" s="268" t="n"/>
      <c r="BO258" s="268" t="n"/>
      <c r="BP258" s="268" t="n"/>
      <c r="BQ258" s="268" t="n"/>
      <c r="BR258" s="268" t="n"/>
      <c r="BS258" s="268" t="n"/>
      <c r="BT258" s="268" t="n"/>
      <c r="BU258" s="268" t="n"/>
      <c r="BV258" s="268" t="n"/>
      <c r="BW258" s="268" t="n"/>
      <c r="BX258" s="268" t="n"/>
      <c r="BY258" s="268" t="n"/>
      <c r="BZ258" s="268" t="n"/>
      <c r="CA258" s="268" t="n"/>
      <c r="CB258" s="268" t="n"/>
      <c r="CC258" s="268" t="n"/>
      <c r="CD258" s="268" t="n"/>
      <c r="CE258" s="268" t="n"/>
      <c r="CF258" s="268" t="n"/>
      <c r="CG258" s="268" t="n"/>
      <c r="CH258" s="268" t="n"/>
      <c r="CI258" s="268" t="n"/>
      <c r="CJ258" s="268" t="n"/>
      <c r="CK258" s="268" t="n"/>
      <c r="CL258" s="268" t="n"/>
      <c r="CM258" s="268" t="n"/>
      <c r="CN258" s="268" t="n"/>
      <c r="CO258" s="268" t="n"/>
      <c r="CP258" s="268" t="n"/>
      <c r="CQ258" s="268" t="n"/>
      <c r="CR258" s="268" t="n"/>
      <c r="CS258" s="268" t="n"/>
      <c r="CT258" s="268" t="n"/>
      <c r="CU258" s="268" t="n"/>
      <c r="CV258" s="268" t="n"/>
      <c r="CW258" s="268" t="n"/>
      <c r="CX258" s="268" t="n"/>
      <c r="CY258" s="268" t="n"/>
    </row>
    <row r="259" ht="12.75" customFormat="1" customHeight="1" s="287">
      <c r="A259" s="288" t="n"/>
      <c r="B259" s="259" t="n"/>
      <c r="C259" s="275" t="inlineStr">
        <is>
          <t>Total Liabilities + Shareholders' Equity</t>
        </is>
      </c>
      <c r="D259" s="276">
        <f>D257+D233</f>
        <v>0</v>
      </c>
      <c r="E259" s="276">
        <f>E257+E233</f>
        <v>0</v>
      </c>
      <c r="F259" s="276">
        <f>F257+F233</f>
        <v>0</v>
      </c>
      <c r="G259" s="276">
        <f>G257+G233</f>
        <v>0</v>
      </c>
      <c r="H259" s="276">
        <f>H257+H233</f>
        <v>0</v>
      </c>
      <c r="I259" s="276">
        <f>I257+I233</f>
        <v>0</v>
      </c>
      <c r="J259" s="276">
        <f>J257+J233</f>
        <v>0</v>
      </c>
      <c r="K259" s="276">
        <f>K257+K233</f>
        <v>0</v>
      </c>
      <c r="L259" s="276">
        <f>L257+L233</f>
        <v>0</v>
      </c>
      <c r="M259" s="276">
        <f>M257+M233</f>
        <v>0</v>
      </c>
      <c r="N259" s="276">
        <f>N257+N233</f>
        <v>0</v>
      </c>
      <c r="O259" s="276">
        <f>O257+O233</f>
        <v>0</v>
      </c>
      <c r="P259" s="276">
        <f>P257+P233</f>
        <v>0</v>
      </c>
      <c r="Q259" s="276">
        <f>Q257+Q233</f>
        <v>0</v>
      </c>
      <c r="R259" s="276">
        <f>R257+R233</f>
        <v>0</v>
      </c>
      <c r="S259" s="276">
        <f>S257+S233</f>
        <v>0</v>
      </c>
      <c r="T259" s="276">
        <f>T257+T233</f>
        <v>0</v>
      </c>
      <c r="U259" s="276">
        <f>U257+U233</f>
        <v>0</v>
      </c>
      <c r="V259" s="276">
        <f>V257+V233</f>
        <v>0</v>
      </c>
      <c r="W259" s="276">
        <f>W257+W233</f>
        <v>0</v>
      </c>
      <c r="X259" s="276">
        <f>X257+X233</f>
        <v>0</v>
      </c>
      <c r="Y259" s="276">
        <f>Y257+Y233</f>
        <v>0</v>
      </c>
      <c r="Z259" s="276">
        <f>Z257+Z233</f>
        <v>0</v>
      </c>
      <c r="AA259" s="276">
        <f>AA257+AA233</f>
        <v>17832.599</v>
      </c>
      <c r="AB259" s="276">
        <f>AB257+AB233</f>
        <v>17832.599</v>
      </c>
      <c r="AC259" s="276">
        <f>AC257+AC233</f>
        <v>21860.383</v>
      </c>
      <c r="AD259" s="276">
        <f>AD257+AD233</f>
        <v>26241.363</v>
      </c>
      <c r="AE259" s="276">
        <f>AE257+AE233</f>
        <v>32910.498</v>
      </c>
      <c r="AF259" s="276">
        <f>AF257+AF233</f>
        <v>49302</v>
      </c>
      <c r="AG259" s="276">
        <f>AG257+AG233</f>
        <v>49302</v>
      </c>
      <c r="AH259" s="276">
        <f>AH257+AH233</f>
        <v>55573</v>
      </c>
      <c r="AI259" s="276">
        <f>AI257+AI233</f>
        <v>77070</v>
      </c>
      <c r="AJ259" s="276">
        <f>AJ257+AJ233</f>
        <v>66928</v>
      </c>
      <c r="AK259" s="276">
        <f>AK257+AK233</f>
        <v>66971</v>
      </c>
      <c r="AL259" s="276">
        <f>AL257+AL233</f>
        <v>66971</v>
      </c>
      <c r="AM259" s="276" t="e">
        <f>AM257+AM233</f>
        <v>#DIV/0!</v>
      </c>
      <c r="AN259" s="276">
        <f>AN257+AN233</f>
        <v>66930</v>
      </c>
      <c r="AO259" s="276" t="e">
        <f>AO257+AO233</f>
        <v>#DIV/0!</v>
      </c>
      <c r="AP259" s="276" t="e">
        <f>AP257+AP233</f>
        <v>#DIV/0!</v>
      </c>
      <c r="AQ259" s="276" t="e">
        <f>AQ257+AQ233</f>
        <v>#DIV/0!</v>
      </c>
      <c r="AR259" s="276" t="e">
        <f>AR257+AR233</f>
        <v>#DIV/0!</v>
      </c>
      <c r="AS259" s="276" t="e">
        <f>AS257+AS233</f>
        <v>#DIV/0!</v>
      </c>
      <c r="AT259" s="276" t="e">
        <f>AT257+AT233</f>
        <v>#DIV/0!</v>
      </c>
      <c r="AU259" s="276" t="e">
        <f>AU257+AU233</f>
        <v>#DIV/0!</v>
      </c>
      <c r="AV259" s="276" t="e">
        <f>AV257+AV233</f>
        <v>#DIV/0!</v>
      </c>
      <c r="AW259" s="276" t="e">
        <f>AW257+AW233</f>
        <v>#DIV/0!</v>
      </c>
      <c r="AX259" s="276" t="e">
        <f>AX257+AX233</f>
        <v>#DIV/0!</v>
      </c>
      <c r="AY259" s="276" t="e">
        <f>AY257+AY233</f>
        <v>#DIV/0!</v>
      </c>
      <c r="AZ259" s="276" t="e">
        <f>AZ257+AZ233</f>
        <v>#DIV/0!</v>
      </c>
      <c r="BA259" s="276" t="e">
        <f>BA257+BA233</f>
        <v>#DIV/0!</v>
      </c>
      <c r="BB259" s="276" t="e">
        <f>BB257+BB233</f>
        <v>#DIV/0!</v>
      </c>
      <c r="BC259" s="276" t="e">
        <f>BC257+BC233</f>
        <v>#DIV/0!</v>
      </c>
      <c r="BD259" s="276" t="e">
        <f>BD257+BD233</f>
        <v>#DIV/0!</v>
      </c>
      <c r="BE259" s="276" t="e">
        <f>BE257+BE233</f>
        <v>#DIV/0!</v>
      </c>
      <c r="BF259" s="276" t="e">
        <f>BF257+BF233</f>
        <v>#DIV/0!</v>
      </c>
      <c r="BG259" s="276" t="e">
        <f>BG257+BG233</f>
        <v>#DIV/0!</v>
      </c>
      <c r="BH259" s="276" t="e">
        <f>BH257+BH233</f>
        <v>#DIV/0!</v>
      </c>
      <c r="BI259" s="276" t="e">
        <f>BI257+BI233</f>
        <v>#DIV/0!</v>
      </c>
      <c r="BJ259" s="276" t="e">
        <f>BJ257+BJ233</f>
        <v>#DIV/0!</v>
      </c>
      <c r="BK259" s="276" t="e">
        <f>BK257+BK233</f>
        <v>#DIV/0!</v>
      </c>
      <c r="BL259" s="276" t="e">
        <f>BL257+BL233</f>
        <v>#DIV/0!</v>
      </c>
      <c r="BM259" s="276" t="e">
        <f>BM257+BM233</f>
        <v>#DIV/0!</v>
      </c>
      <c r="BN259" s="276" t="e">
        <f>BN257+BN233</f>
        <v>#DIV/0!</v>
      </c>
      <c r="BO259" s="276" t="e">
        <f>BO257+BO233</f>
        <v>#DIV/0!</v>
      </c>
      <c r="BP259" s="276" t="e">
        <f>BP257+BP233</f>
        <v>#DIV/0!</v>
      </c>
      <c r="BQ259" s="276" t="e">
        <f>BQ257+BQ233</f>
        <v>#DIV/0!</v>
      </c>
      <c r="BR259" s="276" t="e">
        <f>BR257+BR233</f>
        <v>#DIV/0!</v>
      </c>
      <c r="BS259" s="276" t="e">
        <f>BS257+BS233</f>
        <v>#DIV/0!</v>
      </c>
      <c r="BT259" s="276" t="e">
        <f>BT257+BT233</f>
        <v>#DIV/0!</v>
      </c>
      <c r="BU259" s="276" t="e">
        <f>BU257+BU233</f>
        <v>#DIV/0!</v>
      </c>
      <c r="BV259" s="276" t="e">
        <f>BV257+BV233</f>
        <v>#DIV/0!</v>
      </c>
      <c r="BW259" s="276" t="e">
        <f>BW257+BW233</f>
        <v>#DIV/0!</v>
      </c>
      <c r="BX259" s="276" t="e">
        <f>BX257+BX233</f>
        <v>#DIV/0!</v>
      </c>
      <c r="BY259" s="276" t="e">
        <f>BY257+BY233</f>
        <v>#DIV/0!</v>
      </c>
      <c r="BZ259" s="276" t="e">
        <f>BZ257+BZ233</f>
        <v>#DIV/0!</v>
      </c>
      <c r="CA259" s="276" t="e">
        <f>CA257+CA233</f>
        <v>#DIV/0!</v>
      </c>
      <c r="CB259" s="276" t="e">
        <f>CB257+CB233</f>
        <v>#DIV/0!</v>
      </c>
      <c r="CC259" s="276" t="e">
        <f>CC257+CC233</f>
        <v>#DIV/0!</v>
      </c>
      <c r="CD259" s="276" t="e">
        <f>CD257+CD233</f>
        <v>#DIV/0!</v>
      </c>
      <c r="CE259" s="276" t="e">
        <f>CE257+CE233</f>
        <v>#DIV/0!</v>
      </c>
      <c r="CF259" s="276" t="e">
        <f>CF257+CF233</f>
        <v>#DIV/0!</v>
      </c>
      <c r="CG259" s="276" t="e">
        <f>CG257+CG233</f>
        <v>#DIV/0!</v>
      </c>
      <c r="CH259" s="276" t="e">
        <f>CH257+CH233</f>
        <v>#DIV/0!</v>
      </c>
      <c r="CI259" s="276" t="e">
        <f>CI257+CI233</f>
        <v>#DIV/0!</v>
      </c>
      <c r="CJ259" s="276" t="e">
        <f>CJ257+CJ233</f>
        <v>#DIV/0!</v>
      </c>
      <c r="CK259" s="276" t="e">
        <f>CK257+CK233</f>
        <v>#DIV/0!</v>
      </c>
      <c r="CL259" s="276" t="e">
        <f>CL257+CL233</f>
        <v>#DIV/0!</v>
      </c>
      <c r="CM259" s="276" t="e">
        <f>CM257+CM233</f>
        <v>#DIV/0!</v>
      </c>
      <c r="CN259" s="276" t="e">
        <f>CN257+CN233</f>
        <v>#DIV/0!</v>
      </c>
      <c r="CO259" s="276" t="e">
        <f>CO257+CO233</f>
        <v>#DIV/0!</v>
      </c>
      <c r="CP259" s="276" t="e">
        <f>CP257+CP233</f>
        <v>#DIV/0!</v>
      </c>
      <c r="CQ259" s="276" t="e">
        <f>CQ257+CQ233</f>
        <v>#DIV/0!</v>
      </c>
      <c r="CR259" s="276" t="e">
        <f>CR257+CR233</f>
        <v>#DIV/0!</v>
      </c>
      <c r="CS259" s="276" t="e">
        <f>CS257+CS233</f>
        <v>#DIV/0!</v>
      </c>
      <c r="CT259" s="276" t="e">
        <f>CT257+CT233</f>
        <v>#DIV/0!</v>
      </c>
      <c r="CU259" s="276" t="e">
        <f>CU257+CU233</f>
        <v>#DIV/0!</v>
      </c>
      <c r="CV259" s="276" t="e">
        <f>CV257+CV233</f>
        <v>#DIV/0!</v>
      </c>
      <c r="CW259" s="276" t="e">
        <f>CW257+CW233</f>
        <v>#DIV/0!</v>
      </c>
      <c r="CX259" s="276" t="e">
        <f>CX257+CX233</f>
        <v>#DIV/0!</v>
      </c>
      <c r="CY259" s="276" t="e">
        <f>CY257+CY233</f>
        <v>#DIV/0!</v>
      </c>
    </row>
    <row r="260" ht="12.75" customHeight="1" s="255">
      <c r="C260" s="274" t="n"/>
      <c r="D260" s="259" t="n"/>
      <c r="E260" s="259" t="n"/>
      <c r="F260" s="259" t="n"/>
      <c r="G260" s="259" t="n"/>
      <c r="H260" s="259" t="n"/>
      <c r="I260" s="259" t="n"/>
      <c r="J260" s="259" t="n"/>
      <c r="K260" s="259" t="n"/>
      <c r="L260" s="259" t="n"/>
      <c r="M260" s="259" t="n"/>
      <c r="N260" s="259" t="n"/>
      <c r="O260" s="259" t="n"/>
      <c r="P260" s="259" t="n"/>
      <c r="Q260" s="259" t="n"/>
      <c r="R260" s="259" t="n"/>
      <c r="S260" s="259" t="n"/>
      <c r="T260" s="259" t="n"/>
      <c r="U260" s="259" t="n"/>
      <c r="V260" s="259" t="n"/>
      <c r="W260" s="259" t="n"/>
      <c r="X260" s="259" t="n"/>
      <c r="Y260" s="259" t="n"/>
      <c r="Z260" s="259" t="n"/>
      <c r="AA260" s="259" t="n"/>
      <c r="AB260" s="259" t="n"/>
      <c r="AC260" s="259" t="n"/>
      <c r="AD260" s="259" t="n"/>
      <c r="AE260" s="259" t="n"/>
      <c r="AF260" s="259" t="n"/>
      <c r="AG260" s="259" t="n"/>
      <c r="AH260" s="259" t="n"/>
      <c r="AI260" s="259" t="n"/>
      <c r="AJ260" s="259" t="n"/>
      <c r="AK260" s="259" t="n"/>
      <c r="AL260" s="259" t="n"/>
      <c r="AM260" s="259" t="n"/>
      <c r="AN260" s="259" t="n"/>
      <c r="AO260" s="259" t="n"/>
      <c r="AP260" s="259" t="n"/>
      <c r="AQ260" s="259" t="n"/>
      <c r="AR260" s="259" t="n"/>
      <c r="AS260" s="259" t="n"/>
      <c r="AT260" s="259" t="n"/>
      <c r="AU260" s="259" t="n"/>
      <c r="AV260" s="259" t="n"/>
      <c r="AW260" s="259" t="n"/>
      <c r="AX260" s="259" t="n"/>
      <c r="AY260" s="259" t="n"/>
      <c r="AZ260" s="259" t="n"/>
      <c r="BA260" s="259" t="n"/>
      <c r="BB260" s="259" t="n"/>
      <c r="BC260" s="259" t="n"/>
      <c r="BD260" s="259" t="n"/>
      <c r="BE260" s="259" t="n"/>
      <c r="BF260" s="259" t="n"/>
      <c r="BG260" s="259" t="n"/>
      <c r="BH260" s="259" t="n"/>
      <c r="BI260" s="259" t="n"/>
      <c r="BJ260" s="259" t="n"/>
      <c r="BK260" s="259" t="n"/>
      <c r="BL260" s="259" t="n"/>
      <c r="BM260" s="259" t="n"/>
      <c r="BN260" s="259" t="n"/>
      <c r="BO260" s="259" t="n"/>
      <c r="BP260" s="259" t="n"/>
      <c r="BQ260" s="259" t="n"/>
      <c r="BR260" s="259" t="n"/>
      <c r="BS260" s="259" t="n"/>
      <c r="BT260" s="259" t="n"/>
      <c r="BU260" s="259" t="n"/>
      <c r="BV260" s="259" t="n"/>
      <c r="BW260" s="259" t="n"/>
      <c r="BX260" s="259" t="n"/>
      <c r="BY260" s="259" t="n"/>
      <c r="BZ260" s="259" t="n"/>
      <c r="CA260" s="259" t="n"/>
      <c r="CB260" s="259" t="n"/>
      <c r="CC260" s="259" t="n"/>
      <c r="CD260" s="259" t="n"/>
      <c r="CE260" s="259" t="n"/>
      <c r="CF260" s="259" t="n"/>
      <c r="CG260" s="259" t="n"/>
      <c r="CH260" s="259" t="n"/>
      <c r="CI260" s="259" t="n"/>
      <c r="CJ260" s="259" t="n"/>
      <c r="CK260" s="259" t="n"/>
      <c r="CL260" s="259" t="n"/>
      <c r="CM260" s="259" t="n"/>
      <c r="CN260" s="259" t="n"/>
      <c r="CO260" s="259" t="n"/>
      <c r="CP260" s="259" t="n"/>
      <c r="CQ260" s="259" t="n"/>
      <c r="CR260" s="259" t="n"/>
      <c r="CS260" s="259" t="n"/>
      <c r="CT260" s="259" t="n"/>
      <c r="CU260" s="259" t="n"/>
      <c r="CV260" s="259" t="n"/>
      <c r="CW260" s="259" t="n"/>
      <c r="CX260" s="259" t="n"/>
      <c r="CY260" s="259" t="n"/>
    </row>
    <row r="261" ht="12.75" customFormat="1" customHeight="1" s="287">
      <c r="A261" s="288" t="n"/>
      <c r="B261" s="288" t="n"/>
      <c r="C261" s="289" t="inlineStr">
        <is>
          <t>Cash Flow Statement</t>
        </is>
      </c>
      <c r="D261" s="327" t="str">
        <f>D128</f>
        <v>1Q20</v>
      </c>
      <c r="E261" s="327" t="str">
        <f>E128</f>
        <v>2Q20</v>
      </c>
      <c r="F261" s="327" t="str">
        <f>F128</f>
        <v>3Q20</v>
      </c>
      <c r="G261" s="327" t="str">
        <f>G128</f>
        <v>4Q20</v>
      </c>
      <c r="H261" s="327">
        <f>H128</f>
        <v>2020</v>
      </c>
      <c r="I261" s="327" t="str">
        <f>I128</f>
        <v>1Q21</v>
      </c>
      <c r="J261" s="327" t="str">
        <f>J128</f>
        <v>2Q21</v>
      </c>
      <c r="K261" s="327" t="str">
        <f>K128</f>
        <v>3Q21</v>
      </c>
      <c r="L261" s="327" t="str">
        <f>L128</f>
        <v>4Q21</v>
      </c>
      <c r="M261" s="327">
        <f>M128</f>
        <v>2021</v>
      </c>
      <c r="N261" s="327" t="str">
        <f>N128</f>
        <v>1Q22</v>
      </c>
      <c r="O261" s="327" t="str">
        <f>O128</f>
        <v>2Q22</v>
      </c>
      <c r="P261" s="327" t="str">
        <f>P128</f>
        <v>3Q22</v>
      </c>
      <c r="Q261" s="327" t="str">
        <f>Q128</f>
        <v>4Q22</v>
      </c>
      <c r="R261" s="327">
        <f>R128</f>
        <v>2022</v>
      </c>
      <c r="S261" s="327" t="str">
        <f>S128</f>
        <v>1Q23</v>
      </c>
      <c r="T261" s="327" t="str">
        <f>T128</f>
        <v>2Q23</v>
      </c>
      <c r="U261" s="327" t="str">
        <f>U128</f>
        <v>3Q23</v>
      </c>
      <c r="V261" s="327" t="str">
        <f>V128</f>
        <v>4Q23</v>
      </c>
      <c r="W261" s="327">
        <f>W128</f>
        <v>2023</v>
      </c>
      <c r="X261" s="327" t="str">
        <f>X128</f>
        <v>1Q24</v>
      </c>
      <c r="Y261" s="327" t="str">
        <f>Y128</f>
        <v>2Q24</v>
      </c>
      <c r="Z261" s="327" t="str">
        <f>Z128</f>
        <v>3Q24</v>
      </c>
      <c r="AA261" s="327" t="str">
        <f>AA128</f>
        <v>4Q24</v>
      </c>
      <c r="AB261" s="327">
        <f>AB128</f>
        <v>2024</v>
      </c>
      <c r="AC261" s="327" t="str">
        <f>AC128</f>
        <v>1Q25</v>
      </c>
      <c r="AD261" s="327" t="str">
        <f>AD128</f>
        <v>2Q25</v>
      </c>
      <c r="AE261" s="327" t="str">
        <f>AE128</f>
        <v>3Q25</v>
      </c>
      <c r="AF261" s="327" t="str">
        <f>AF128</f>
        <v>4Q25</v>
      </c>
      <c r="AG261" s="327">
        <f>AG128</f>
        <v>2025</v>
      </c>
      <c r="AH261" s="327" t="str">
        <f>AH128</f>
        <v>1Q26</v>
      </c>
      <c r="AI261" s="327" t="str">
        <f>AI128</f>
        <v>2Q26</v>
      </c>
      <c r="AJ261" s="327" t="str">
        <f>AJ128</f>
        <v>3Q26</v>
      </c>
      <c r="AK261" s="327" t="str">
        <f>AK128</f>
        <v>4Q26</v>
      </c>
      <c r="AL261" s="327">
        <f>AL128</f>
        <v>2026</v>
      </c>
      <c r="AM261" s="327" t="str">
        <f>AM128</f>
        <v>1Q27</v>
      </c>
      <c r="AN261" s="327" t="str">
        <f>AN128</f>
        <v>2Q27</v>
      </c>
      <c r="AO261" s="327" t="str">
        <f>AO128</f>
        <v>3Q27</v>
      </c>
      <c r="AP261" s="327" t="str">
        <f>AP128</f>
        <v>4Q27</v>
      </c>
      <c r="AQ261" s="327">
        <f>AQ128</f>
        <v>2027</v>
      </c>
      <c r="AR261" s="327" t="str">
        <f>AR128</f>
        <v>1Q28</v>
      </c>
      <c r="AS261" s="327" t="str">
        <f>AS128</f>
        <v>2Q28</v>
      </c>
      <c r="AT261" s="327" t="str">
        <f>AT128</f>
        <v>3Q28</v>
      </c>
      <c r="AU261" s="327" t="str">
        <f>AU128</f>
        <v>4Q28</v>
      </c>
      <c r="AV261" s="327">
        <f>AV128</f>
        <v>2028</v>
      </c>
      <c r="AW261" s="327" t="str">
        <f>AW128</f>
        <v>1Q29</v>
      </c>
      <c r="AX261" s="327" t="str">
        <f>AX128</f>
        <v>2Q29</v>
      </c>
      <c r="AY261" s="327" t="str">
        <f>AY128</f>
        <v>3Q29</v>
      </c>
      <c r="AZ261" s="327" t="str">
        <f>AZ128</f>
        <v>4Q29</v>
      </c>
      <c r="BA261" s="327">
        <f>BA128</f>
        <v>2029</v>
      </c>
      <c r="BB261" s="327" t="str">
        <f>BB128</f>
        <v>1Q30</v>
      </c>
      <c r="BC261" s="327" t="str">
        <f>BC128</f>
        <v>2Q30</v>
      </c>
      <c r="BD261" s="327" t="str">
        <f>BD128</f>
        <v>3Q30</v>
      </c>
      <c r="BE261" s="327" t="str">
        <f>BE128</f>
        <v>4Q30</v>
      </c>
      <c r="BF261" s="327">
        <f>BF128</f>
        <v>2030</v>
      </c>
      <c r="BG261" s="327" t="str">
        <f>BG128</f>
        <v>1Q31</v>
      </c>
      <c r="BH261" s="327" t="str">
        <f>BH128</f>
        <v>2Q31</v>
      </c>
      <c r="BI261" s="327" t="str">
        <f>BI128</f>
        <v>3Q31</v>
      </c>
      <c r="BJ261" s="327" t="str">
        <f>BJ128</f>
        <v>4Q31</v>
      </c>
      <c r="BK261" s="327">
        <f>BK128</f>
        <v>2031</v>
      </c>
      <c r="BL261" s="327" t="str">
        <f>BL128</f>
        <v>1Q32</v>
      </c>
      <c r="BM261" s="327" t="str">
        <f>BM128</f>
        <v>2Q32</v>
      </c>
      <c r="BN261" s="327" t="str">
        <f>BN128</f>
        <v>3Q32</v>
      </c>
      <c r="BO261" s="327" t="str">
        <f>BO128</f>
        <v>4Q32</v>
      </c>
      <c r="BP261" s="327">
        <f>BP128</f>
        <v>2032</v>
      </c>
      <c r="BQ261" s="327" t="str">
        <f>BQ128</f>
        <v>1Q33</v>
      </c>
      <c r="BR261" s="327" t="str">
        <f>BR128</f>
        <v>2Q33</v>
      </c>
      <c r="BS261" s="327" t="str">
        <f>BS128</f>
        <v>3Q33</v>
      </c>
      <c r="BT261" s="327" t="str">
        <f>BT128</f>
        <v>4Q33</v>
      </c>
      <c r="BU261" s="327">
        <f>BU128</f>
        <v>2033</v>
      </c>
      <c r="BV261" s="327" t="str">
        <f>BV128</f>
        <v>1Q34</v>
      </c>
      <c r="BW261" s="327" t="str">
        <f>BW128</f>
        <v>2Q34</v>
      </c>
      <c r="BX261" s="327" t="str">
        <f>BX128</f>
        <v>3Q34</v>
      </c>
      <c r="BY261" s="327" t="str">
        <f>BY128</f>
        <v>4Q34</v>
      </c>
      <c r="BZ261" s="327">
        <f>BZ128</f>
        <v>2034</v>
      </c>
      <c r="CA261" s="327" t="str">
        <f>CA128</f>
        <v>1Q35</v>
      </c>
      <c r="CB261" s="327" t="str">
        <f>CB128</f>
        <v>2Q35</v>
      </c>
      <c r="CC261" s="327" t="str">
        <f>CC128</f>
        <v>3Q35</v>
      </c>
      <c r="CD261" s="327" t="str">
        <f>CD128</f>
        <v>4Q35</v>
      </c>
      <c r="CE261" s="327">
        <f>CE128</f>
        <v>2035</v>
      </c>
      <c r="CF261" s="327" t="str">
        <f>CF128</f>
        <v>1Q36</v>
      </c>
      <c r="CG261" s="327" t="str">
        <f>CG128</f>
        <v>2Q36</v>
      </c>
      <c r="CH261" s="327" t="str">
        <f>CH128</f>
        <v>3Q36</v>
      </c>
      <c r="CI261" s="327" t="str">
        <f>CI128</f>
        <v>4Q36</v>
      </c>
      <c r="CJ261" s="327">
        <f>CJ128</f>
        <v>2036</v>
      </c>
      <c r="CK261" s="327" t="str">
        <f>CK128</f>
        <v>1Q37</v>
      </c>
      <c r="CL261" s="327" t="str">
        <f>CL128</f>
        <v>2Q37</v>
      </c>
      <c r="CM261" s="327" t="str">
        <f>CM128</f>
        <v>3Q37</v>
      </c>
      <c r="CN261" s="327" t="str">
        <f>CN128</f>
        <v>4Q37</v>
      </c>
      <c r="CO261" s="327">
        <f>CO128</f>
        <v>2037</v>
      </c>
      <c r="CP261" s="327" t="str">
        <f>CP128</f>
        <v>1Q38</v>
      </c>
      <c r="CQ261" s="327" t="str">
        <f>CQ128</f>
        <v>2Q38</v>
      </c>
      <c r="CR261" s="327" t="str">
        <f>CR128</f>
        <v>3Q38</v>
      </c>
      <c r="CS261" s="327" t="str">
        <f>CS128</f>
        <v>4Q38</v>
      </c>
      <c r="CT261" s="327">
        <f>CT128</f>
        <v>2038</v>
      </c>
      <c r="CU261" s="327" t="str">
        <f>CU128</f>
        <v>1Q39</v>
      </c>
      <c r="CV261" s="327" t="str">
        <f>CV128</f>
        <v>2Q39</v>
      </c>
      <c r="CW261" s="327" t="str">
        <f>CW128</f>
        <v>3Q39</v>
      </c>
      <c r="CX261" s="327" t="str">
        <f>CX128</f>
        <v>4Q39</v>
      </c>
      <c r="CY261" s="327">
        <f>CY128</f>
        <v>2039</v>
      </c>
    </row>
    <row r="262" ht="12.75" customHeight="1" s="255">
      <c r="C262" s="274" t="n"/>
      <c r="D262" s="259" t="n"/>
      <c r="E262" s="259" t="n"/>
      <c r="F262" s="259" t="n"/>
      <c r="G262" s="259" t="n"/>
      <c r="H262" s="259" t="n"/>
      <c r="I262" s="259" t="n"/>
      <c r="J262" s="259" t="n"/>
      <c r="K262" s="259" t="n"/>
      <c r="L262" s="259" t="n"/>
      <c r="M262" s="259" t="n"/>
      <c r="N262" s="259" t="n"/>
      <c r="O262" s="259" t="n"/>
      <c r="P262" s="259" t="n"/>
      <c r="Q262" s="259" t="n"/>
      <c r="R262" s="259" t="n"/>
      <c r="S262" s="259" t="n"/>
      <c r="T262" s="259" t="n"/>
      <c r="U262" s="259" t="n"/>
      <c r="V262" s="259" t="n"/>
      <c r="W262" s="259" t="n"/>
      <c r="X262" s="259" t="n"/>
      <c r="Y262" s="259" t="n"/>
      <c r="Z262" s="259" t="n"/>
      <c r="AA262" s="259" t="n"/>
      <c r="AB262" s="259" t="n"/>
      <c r="AC262" s="259" t="n"/>
      <c r="AD262" s="259" t="n"/>
      <c r="AE262" s="259" t="n"/>
      <c r="AF262" s="259" t="n"/>
      <c r="AG262" s="259" t="n"/>
      <c r="AH262" s="259" t="n"/>
      <c r="AI262" s="259" t="n"/>
      <c r="AJ262" s="259" t="n"/>
      <c r="AK262" s="259" t="n"/>
      <c r="AL262" s="259" t="n"/>
      <c r="AM262" s="259" t="n"/>
      <c r="AN262" s="259" t="n"/>
      <c r="AO262" s="259" t="n"/>
      <c r="AP262" s="259" t="n"/>
      <c r="AQ262" s="259" t="n"/>
      <c r="AR262" s="259" t="n"/>
      <c r="AS262" s="259" t="n"/>
      <c r="AT262" s="259" t="n"/>
      <c r="AU262" s="259" t="n"/>
      <c r="AV262" s="259" t="n"/>
      <c r="AW262" s="259" t="n"/>
      <c r="AX262" s="259" t="n"/>
      <c r="AY262" s="259" t="n"/>
      <c r="AZ262" s="259" t="n"/>
      <c r="BA262" s="259" t="n"/>
      <c r="BB262" s="259" t="n"/>
      <c r="BC262" s="259" t="n"/>
      <c r="BD262" s="259" t="n"/>
      <c r="BE262" s="259" t="n"/>
      <c r="BF262" s="259" t="n"/>
      <c r="BG262" s="259" t="n"/>
      <c r="BH262" s="259" t="n"/>
      <c r="BI262" s="259" t="n"/>
      <c r="BJ262" s="259" t="n"/>
      <c r="BK262" s="259" t="n"/>
      <c r="BL262" s="259" t="n"/>
      <c r="BM262" s="259" t="n"/>
      <c r="BN262" s="259" t="n"/>
      <c r="BO262" s="259" t="n"/>
      <c r="BP262" s="259" t="n"/>
      <c r="BQ262" s="259" t="n"/>
      <c r="BR262" s="259" t="n"/>
      <c r="BS262" s="259" t="n"/>
      <c r="BT262" s="259" t="n"/>
      <c r="BU262" s="259" t="n"/>
      <c r="BV262" s="259" t="n"/>
      <c r="BW262" s="259" t="n"/>
      <c r="BX262" s="259" t="n"/>
      <c r="BY262" s="259" t="n"/>
      <c r="BZ262" s="259" t="n"/>
      <c r="CA262" s="259" t="n"/>
      <c r="CB262" s="259" t="n"/>
      <c r="CC262" s="259" t="n"/>
      <c r="CD262" s="259" t="n"/>
      <c r="CE262" s="259" t="n"/>
      <c r="CF262" s="259" t="n"/>
      <c r="CG262" s="259" t="n"/>
      <c r="CH262" s="259" t="n"/>
      <c r="CI262" s="259" t="n"/>
      <c r="CJ262" s="259" t="n"/>
      <c r="CK262" s="259" t="n"/>
      <c r="CL262" s="259" t="n"/>
      <c r="CM262" s="259" t="n"/>
      <c r="CN262" s="259" t="n"/>
      <c r="CO262" s="259" t="n"/>
      <c r="CP262" s="259" t="n"/>
      <c r="CQ262" s="259" t="n"/>
      <c r="CR262" s="259" t="n"/>
      <c r="CS262" s="259" t="n"/>
      <c r="CT262" s="259" t="n"/>
      <c r="CU262" s="259" t="n"/>
      <c r="CV262" s="259" t="n"/>
      <c r="CW262" s="259" t="n"/>
      <c r="CX262" s="259" t="n"/>
      <c r="CY262" s="259" t="n"/>
    </row>
    <row r="263" ht="12.75" customHeight="1" s="255">
      <c r="C263" s="266" t="inlineStr">
        <is>
          <t>Net Income</t>
        </is>
      </c>
      <c r="D263" s="268" t="n"/>
      <c r="E263" s="268">
        <f>E123</f>
        <v>0</v>
      </c>
      <c r="F263" s="268">
        <f>F123</f>
        <v>0</v>
      </c>
      <c r="G263" s="268">
        <f>G123</f>
        <v>0</v>
      </c>
      <c r="H263" s="268">
        <f>SUM(D263:G263)</f>
        <v>0</v>
      </c>
      <c r="I263" s="268">
        <f>I123</f>
        <v>0</v>
      </c>
      <c r="J263" s="268">
        <f>J123</f>
        <v>0</v>
      </c>
      <c r="K263" s="268">
        <f>K123</f>
        <v>0</v>
      </c>
      <c r="L263" s="268">
        <f>L123</f>
        <v>0</v>
      </c>
      <c r="M263" s="268">
        <f>SUM(I263:L263)</f>
        <v>0</v>
      </c>
      <c r="N263" s="268">
        <f>N123</f>
        <v>0</v>
      </c>
      <c r="O263" s="268">
        <f>O123</f>
        <v>0</v>
      </c>
      <c r="P263" s="268">
        <f>P123</f>
        <v>0</v>
      </c>
      <c r="Q263" s="268">
        <f>Q123</f>
        <v>0</v>
      </c>
      <c r="R263" s="268">
        <f>SUM(N263:Q263)</f>
        <v>0</v>
      </c>
      <c r="S263" s="268">
        <f>S123</f>
        <v>0</v>
      </c>
      <c r="T263" s="268">
        <f>T123</f>
        <v>0</v>
      </c>
      <c r="U263" s="268">
        <f>U123</f>
        <v>0</v>
      </c>
      <c r="V263" s="268">
        <f>V123</f>
        <v>0</v>
      </c>
      <c r="W263" s="268">
        <f>SUM(S263:V263)</f>
        <v>0</v>
      </c>
      <c r="X263" s="268">
        <f>X123</f>
        <v>-129.248</v>
      </c>
      <c r="Y263" s="268">
        <f>Y123</f>
        <v>-323.021</v>
      </c>
      <c r="Z263" s="268">
        <f>Z123</f>
        <v>-359.807</v>
      </c>
      <c r="AA263" s="268">
        <f>AA123</f>
        <v>-50.924</v>
      </c>
      <c r="AB263" s="268">
        <f>SUM(X263:AA263)</f>
        <v>-863</v>
      </c>
      <c r="AC263" s="268">
        <f>AC123</f>
        <v>-315</v>
      </c>
      <c r="AD263" s="268">
        <f>AD123</f>
        <v>-290</v>
      </c>
      <c r="AE263" s="268">
        <f>AE123</f>
        <v>-110.124</v>
      </c>
      <c r="AF263" s="268">
        <f>AF123</f>
        <v>-451.726</v>
      </c>
      <c r="AG263" s="268">
        <f>SUM(AC263:AF263)</f>
        <v>-1166.85</v>
      </c>
      <c r="AH263" s="268">
        <f>AH123</f>
        <v>-740</v>
      </c>
      <c r="AI263" s="268">
        <f>AI123</f>
        <v>-626</v>
      </c>
      <c r="AJ263" s="268">
        <f>AJ123</f>
        <v>-85</v>
      </c>
      <c r="AK263" s="268">
        <f>AK123</f>
        <v>43</v>
      </c>
      <c r="AL263" s="268">
        <f>SUM(AH263:AK263)</f>
        <v>-1408</v>
      </c>
      <c r="AM263" s="268">
        <f>AM123</f>
        <v>43</v>
      </c>
      <c r="AN263" s="268">
        <f>AN123</f>
        <v>-84</v>
      </c>
      <c r="AO263" s="268">
        <f>AO123</f>
        <v>43</v>
      </c>
      <c r="AP263" s="268">
        <f>AP123</f>
        <v>-84</v>
      </c>
      <c r="AQ263" s="268">
        <f>SUM(AM263:AP263)</f>
        <v>-82</v>
      </c>
      <c r="AR263" s="268">
        <f>AR123</f>
        <v>-84</v>
      </c>
      <c r="AS263" s="268">
        <f>AS123</f>
        <v>-82</v>
      </c>
      <c r="AT263" s="268">
        <f>AT123</f>
        <v>-84</v>
      </c>
      <c r="AU263" s="268">
        <f>AU123</f>
        <v>-82</v>
      </c>
      <c r="AV263" s="268">
        <f>SUM(AR263:AU263)</f>
        <v>-332</v>
      </c>
      <c r="AW263" s="268">
        <f>AW123</f>
        <v>-82</v>
      </c>
      <c r="AX263" s="268">
        <f>AX123</f>
        <v>-332</v>
      </c>
      <c r="AY263" s="268">
        <f>AY123</f>
        <v>-82</v>
      </c>
      <c r="AZ263" s="268">
        <f>AZ123</f>
        <v>-332</v>
      </c>
      <c r="BA263" s="268">
        <f>SUM(AW263:AZ263)</f>
        <v>-828</v>
      </c>
      <c r="BB263" s="268">
        <f>BB123</f>
        <v>-332</v>
      </c>
      <c r="BC263" s="268">
        <f>BC123</f>
        <v>-828</v>
      </c>
      <c r="BD263" s="268">
        <f>BD123</f>
        <v>-332</v>
      </c>
      <c r="BE263" s="268">
        <f>BE123</f>
        <v>-828</v>
      </c>
      <c r="BF263" s="268">
        <f>SUM(BB263:BE263)</f>
        <v>-2320</v>
      </c>
      <c r="BG263" s="268">
        <f>BG123</f>
        <v>-828</v>
      </c>
      <c r="BH263" s="268">
        <f>BH123</f>
        <v>-2320</v>
      </c>
      <c r="BI263" s="268">
        <f>BI123</f>
        <v>-828</v>
      </c>
      <c r="BJ263" s="268">
        <f>BJ123</f>
        <v>-2320</v>
      </c>
      <c r="BK263" s="268">
        <f>SUM(BG263:BJ263)</f>
        <v>-6296</v>
      </c>
      <c r="BL263" s="268">
        <f>BL123</f>
        <v>-2320</v>
      </c>
      <c r="BM263" s="268">
        <f>BM123</f>
        <v>-6296</v>
      </c>
      <c r="BN263" s="268">
        <f>BN123</f>
        <v>-2320</v>
      </c>
      <c r="BO263" s="268">
        <f>BO123</f>
        <v>-6296</v>
      </c>
      <c r="BP263" s="268">
        <f>SUM(BL263:BO263)</f>
        <v>-17232</v>
      </c>
      <c r="BQ263" s="268">
        <f>BQ123</f>
        <v>-6296</v>
      </c>
      <c r="BR263" s="268">
        <f>BR123</f>
        <v>-17232</v>
      </c>
      <c r="BS263" s="268">
        <f>BS123</f>
        <v>-6296</v>
      </c>
      <c r="BT263" s="268">
        <f>BT123</f>
        <v>-17232</v>
      </c>
      <c r="BU263" s="268">
        <f>SUM(BQ263:BT263)</f>
        <v>-47056</v>
      </c>
      <c r="BV263" s="268">
        <f>BV123</f>
        <v>-17232</v>
      </c>
      <c r="BW263" s="268">
        <f>BW123</f>
        <v>-47056</v>
      </c>
      <c r="BX263" s="268">
        <f>BX123</f>
        <v>-17232</v>
      </c>
      <c r="BY263" s="268">
        <f>BY123</f>
        <v>-47056</v>
      </c>
      <c r="BZ263" s="268">
        <f>SUM(BV263:BY263)</f>
        <v>-128576</v>
      </c>
      <c r="CA263" s="268">
        <f>CA123</f>
        <v>-47056</v>
      </c>
      <c r="CB263" s="268">
        <f>CB123</f>
        <v>-128576</v>
      </c>
      <c r="CC263" s="268">
        <f>CC123</f>
        <v>-47056</v>
      </c>
      <c r="CD263" s="268">
        <f>CD123</f>
        <v>-128576</v>
      </c>
      <c r="CE263" s="268">
        <f>SUM(CA263:CD263)</f>
        <v>-351264</v>
      </c>
      <c r="CF263" s="268">
        <f>CF123</f>
        <v>-128576</v>
      </c>
      <c r="CG263" s="268">
        <f>CG123</f>
        <v>-351264</v>
      </c>
      <c r="CH263" s="268">
        <f>CH123</f>
        <v>-128576</v>
      </c>
      <c r="CI263" s="268">
        <f>CI123</f>
        <v>-351264</v>
      </c>
      <c r="CJ263" s="268">
        <f>SUM(CF263:CI263)</f>
        <v>-959680</v>
      </c>
      <c r="CK263" s="268">
        <f>CK123</f>
        <v>-351264</v>
      </c>
      <c r="CL263" s="268">
        <f>CL123</f>
        <v>-959680</v>
      </c>
      <c r="CM263" s="268">
        <f>CM123</f>
        <v>-351264</v>
      </c>
      <c r="CN263" s="268">
        <f>CN123</f>
        <v>-959680</v>
      </c>
      <c r="CO263" s="268">
        <f>SUM(CK263:CN263)</f>
        <v>-2621888</v>
      </c>
      <c r="CP263" s="268">
        <f>CP123</f>
        <v>-959680</v>
      </c>
      <c r="CQ263" s="268">
        <f>CQ123</f>
        <v>-2621888</v>
      </c>
      <c r="CR263" s="268">
        <f>CR123</f>
        <v>-959680</v>
      </c>
      <c r="CS263" s="268">
        <f>CS123</f>
        <v>-2621888</v>
      </c>
      <c r="CT263" s="268">
        <f>SUM(CP263:CS263)</f>
        <v>-7163136</v>
      </c>
      <c r="CU263" s="268">
        <f>CU123</f>
        <v>-2621888</v>
      </c>
      <c r="CV263" s="268">
        <f>CV123</f>
        <v>-7163136</v>
      </c>
      <c r="CW263" s="268">
        <f>CW123</f>
        <v>-2621888</v>
      </c>
      <c r="CX263" s="268">
        <f>CX123</f>
        <v>-7163136</v>
      </c>
      <c r="CY263" s="268">
        <f>SUM(CU263:CX263)</f>
        <v>-19570048</v>
      </c>
    </row>
    <row r="264" ht="12.75" customHeight="1" s="255">
      <c r="C264" s="266" t="inlineStr">
        <is>
          <t>Depreciation &amp; amortization</t>
        </is>
      </c>
      <c r="D264" s="268" t="n"/>
      <c r="E264" s="268">
        <f>-E56</f>
        <v>0</v>
      </c>
      <c r="F264" s="268">
        <f>-F56</f>
        <v>0</v>
      </c>
      <c r="G264" s="268">
        <f>-G56</f>
        <v>0</v>
      </c>
      <c r="H264" s="268">
        <f>SUM(D264:G264)</f>
        <v>0</v>
      </c>
      <c r="I264" s="268">
        <f>-I56</f>
        <v>0</v>
      </c>
      <c r="J264" s="268">
        <f>-J56</f>
        <v>0</v>
      </c>
      <c r="K264" s="268">
        <f>-K56</f>
        <v>0</v>
      </c>
      <c r="L264" s="268">
        <f>-L56</f>
        <v>0</v>
      </c>
      <c r="M264" s="268">
        <f>SUM(I264:L264)</f>
        <v>0</v>
      </c>
      <c r="N264" s="268">
        <f>-N56</f>
        <v>0</v>
      </c>
      <c r="O264" s="268">
        <f>-O56</f>
        <v>0</v>
      </c>
      <c r="P264" s="268">
        <f>-P56</f>
        <v>0</v>
      </c>
      <c r="Q264" s="268">
        <f>-Q56</f>
        <v>0</v>
      </c>
      <c r="R264" s="268">
        <f>SUM(N264:Q264)</f>
        <v>0</v>
      </c>
      <c r="S264" s="268">
        <f>-S56</f>
        <v>0</v>
      </c>
      <c r="T264" s="268">
        <f>-T56</f>
        <v>0</v>
      </c>
      <c r="U264" s="268">
        <f>-U56</f>
        <v>0</v>
      </c>
      <c r="V264" s="268">
        <f>-V56</f>
        <v>0</v>
      </c>
      <c r="W264" s="268">
        <f>SUM(S264:V264)</f>
        <v>0</v>
      </c>
      <c r="X264" s="268">
        <f>-X56</f>
        <v>79.51</v>
      </c>
      <c r="Y264" s="268">
        <f>-Y56</f>
        <v>164.46</v>
      </c>
      <c r="Z264" s="268">
        <f>-Z56</f>
        <v>254.024</v>
      </c>
      <c r="AA264" s="268">
        <f>-AA56</f>
        <v>365.006</v>
      </c>
      <c r="AB264" s="268">
        <f>SUM(X264:AA264)</f>
        <v>863</v>
      </c>
      <c r="AC264" s="268">
        <f>-AC56</f>
        <v>443.497</v>
      </c>
      <c r="AD264" s="268">
        <f>-AD56</f>
        <v>559.481</v>
      </c>
      <c r="AE264" s="268">
        <f>-AE56</f>
        <v>630.479</v>
      </c>
      <c r="AF264" s="268">
        <f>-AF56</f>
        <v>820.543</v>
      </c>
      <c r="AG264" s="268">
        <f>SUM(AC264:AF264)</f>
        <v>2454</v>
      </c>
      <c r="AH264" s="268">
        <f>-AH56</f>
        <v>1147</v>
      </c>
      <c r="AI264" s="268">
        <f>-AI56</f>
        <v>1393</v>
      </c>
      <c r="AJ264" s="268">
        <f>-AJ56</f>
        <v>0</v>
      </c>
      <c r="AK264" s="268">
        <f>-AK56</f>
        <v>0</v>
      </c>
      <c r="AL264" s="268">
        <f>SUM(AH264:AK264)</f>
        <v>2540</v>
      </c>
      <c r="AM264" s="268">
        <f>-AM56</f>
        <v>0</v>
      </c>
      <c r="AN264" s="268">
        <f>-AN56</f>
        <v>0</v>
      </c>
      <c r="AO264" s="268">
        <f>-AO56</f>
        <v>0</v>
      </c>
      <c r="AP264" s="268">
        <f>-AP56</f>
        <v>0</v>
      </c>
      <c r="AQ264" s="268">
        <f>SUM(AM264:AP264)</f>
        <v>0</v>
      </c>
      <c r="AR264" s="268">
        <f>-AR56</f>
        <v>0</v>
      </c>
      <c r="AS264" s="268">
        <f>-AS56</f>
        <v>0</v>
      </c>
      <c r="AT264" s="268">
        <f>-AT56</f>
        <v>0</v>
      </c>
      <c r="AU264" s="268">
        <f>-AU56</f>
        <v>0</v>
      </c>
      <c r="AV264" s="268">
        <f>SUM(AR264:AU264)</f>
        <v>0</v>
      </c>
      <c r="AW264" s="268">
        <f>-AW56</f>
        <v>0</v>
      </c>
      <c r="AX264" s="268">
        <f>-AX56</f>
        <v>0</v>
      </c>
      <c r="AY264" s="268">
        <f>-AY56</f>
        <v>0</v>
      </c>
      <c r="AZ264" s="268">
        <f>-AZ56</f>
        <v>0</v>
      </c>
      <c r="BA264" s="268">
        <f>SUM(AW264:AZ264)</f>
        <v>0</v>
      </c>
      <c r="BB264" s="268">
        <f>-BB56</f>
        <v>0</v>
      </c>
      <c r="BC264" s="268">
        <f>-BC56</f>
        <v>0</v>
      </c>
      <c r="BD264" s="268">
        <f>-BD56</f>
        <v>0</v>
      </c>
      <c r="BE264" s="268">
        <f>-BE56</f>
        <v>0</v>
      </c>
      <c r="BF264" s="268">
        <f>SUM(BB264:BE264)</f>
        <v>0</v>
      </c>
      <c r="BG264" s="268">
        <f>-BG56</f>
        <v>0</v>
      </c>
      <c r="BH264" s="268">
        <f>-BH56</f>
        <v>0</v>
      </c>
      <c r="BI264" s="268">
        <f>-BI56</f>
        <v>0</v>
      </c>
      <c r="BJ264" s="268">
        <f>-BJ56</f>
        <v>0</v>
      </c>
      <c r="BK264" s="268">
        <f>SUM(BG264:BJ264)</f>
        <v>0</v>
      </c>
      <c r="BL264" s="268">
        <f>-BL56</f>
        <v>0</v>
      </c>
      <c r="BM264" s="268">
        <f>-BM56</f>
        <v>0</v>
      </c>
      <c r="BN264" s="268">
        <f>-BN56</f>
        <v>0</v>
      </c>
      <c r="BO264" s="268">
        <f>-BO56</f>
        <v>0</v>
      </c>
      <c r="BP264" s="268">
        <f>SUM(BL264:BO264)</f>
        <v>0</v>
      </c>
      <c r="BQ264" s="268">
        <f>-BQ56</f>
        <v>0</v>
      </c>
      <c r="BR264" s="268">
        <f>-BR56</f>
        <v>0</v>
      </c>
      <c r="BS264" s="268">
        <f>-BS56</f>
        <v>0</v>
      </c>
      <c r="BT264" s="268">
        <f>-BT56</f>
        <v>0</v>
      </c>
      <c r="BU264" s="268">
        <f>SUM(BQ264:BT264)</f>
        <v>0</v>
      </c>
      <c r="BV264" s="268">
        <f>-BV56</f>
        <v>0</v>
      </c>
      <c r="BW264" s="268">
        <f>-BW56</f>
        <v>0</v>
      </c>
      <c r="BX264" s="268">
        <f>-BX56</f>
        <v>0</v>
      </c>
      <c r="BY264" s="268">
        <f>-BY56</f>
        <v>0</v>
      </c>
      <c r="BZ264" s="268">
        <f>SUM(BV264:BY264)</f>
        <v>0</v>
      </c>
      <c r="CA264" s="268">
        <f>-CA56</f>
        <v>0</v>
      </c>
      <c r="CB264" s="268">
        <f>-CB56</f>
        <v>0</v>
      </c>
      <c r="CC264" s="268">
        <f>-CC56</f>
        <v>0</v>
      </c>
      <c r="CD264" s="268">
        <f>-CD56</f>
        <v>0</v>
      </c>
      <c r="CE264" s="268">
        <f>SUM(CA264:CD264)</f>
        <v>0</v>
      </c>
      <c r="CF264" s="268">
        <f>-CF56</f>
        <v>0</v>
      </c>
      <c r="CG264" s="268">
        <f>-CG56</f>
        <v>0</v>
      </c>
      <c r="CH264" s="268">
        <f>-CH56</f>
        <v>0</v>
      </c>
      <c r="CI264" s="268">
        <f>-CI56</f>
        <v>0</v>
      </c>
      <c r="CJ264" s="268">
        <f>SUM(CF264:CI264)</f>
        <v>0</v>
      </c>
      <c r="CK264" s="268">
        <f>-CK56</f>
        <v>0</v>
      </c>
      <c r="CL264" s="268">
        <f>-CL56</f>
        <v>0</v>
      </c>
      <c r="CM264" s="268">
        <f>-CM56</f>
        <v>0</v>
      </c>
      <c r="CN264" s="268">
        <f>-CN56</f>
        <v>0</v>
      </c>
      <c r="CO264" s="268">
        <f>SUM(CK264:CN264)</f>
        <v>0</v>
      </c>
      <c r="CP264" s="268">
        <f>-CP56</f>
        <v>0</v>
      </c>
      <c r="CQ264" s="268">
        <f>-CQ56</f>
        <v>0</v>
      </c>
      <c r="CR264" s="268">
        <f>-CR56</f>
        <v>0</v>
      </c>
      <c r="CS264" s="268">
        <f>-CS56</f>
        <v>0</v>
      </c>
      <c r="CT264" s="268">
        <f>SUM(CP264:CS264)</f>
        <v>0</v>
      </c>
      <c r="CU264" s="268">
        <f>-CU56</f>
        <v>0</v>
      </c>
      <c r="CV264" s="268">
        <f>-CV56</f>
        <v>0</v>
      </c>
      <c r="CW264" s="268">
        <f>-CW56</f>
        <v>0</v>
      </c>
      <c r="CX264" s="268">
        <f>-CX56</f>
        <v>0</v>
      </c>
      <c r="CY264" s="268">
        <f>SUM(CU264:CX264)</f>
        <v>0</v>
      </c>
    </row>
    <row r="265" ht="12.75" customHeight="1" s="255">
      <c r="C265" s="266" t="inlineStr">
        <is>
          <t xml:space="preserve">Changes in working capital </t>
        </is>
      </c>
      <c r="D265" s="268" t="n"/>
      <c r="E265" s="268">
        <f>SUM(E266:E275)</f>
        <v>0</v>
      </c>
      <c r="F265" s="268">
        <f>SUM(F266:F275)</f>
        <v>0</v>
      </c>
      <c r="G265" s="268">
        <f>SUM(G266:G275)</f>
        <v>0</v>
      </c>
      <c r="H265" s="268">
        <f>SUM(D265:G265)</f>
        <v>0</v>
      </c>
      <c r="I265" s="268">
        <f>SUM(I266:I275)</f>
        <v>0</v>
      </c>
      <c r="J265" s="268">
        <f>SUM(J266:J275)</f>
        <v>0</v>
      </c>
      <c r="K265" s="268">
        <f>SUM(K266:K275)</f>
        <v>0</v>
      </c>
      <c r="L265" s="268">
        <f>SUM(L266:L275)</f>
        <v>0</v>
      </c>
      <c r="M265" s="268">
        <f>SUM(I265:L265)</f>
        <v>0</v>
      </c>
      <c r="N265" s="268">
        <f>SUM(N266:N275)</f>
        <v>0</v>
      </c>
      <c r="O265" s="268">
        <f>SUM(O266:O275)</f>
        <v>0</v>
      </c>
      <c r="P265" s="268">
        <f>SUM(P266:P275)</f>
        <v>0</v>
      </c>
      <c r="Q265" s="268">
        <f>SUM(Q266:Q275)</f>
        <v>0</v>
      </c>
      <c r="R265" s="268">
        <f>SUM(N265:Q265)</f>
        <v>0</v>
      </c>
      <c r="S265" s="268">
        <f>SUM(S266:S275)</f>
        <v>0</v>
      </c>
      <c r="T265" s="268">
        <f>SUM(T266:T275)</f>
        <v>0</v>
      </c>
      <c r="U265" s="268">
        <f>SUM(U266:U275)</f>
        <v>0</v>
      </c>
      <c r="V265" s="268">
        <f>SUM(V266:V275)</f>
        <v>0</v>
      </c>
      <c r="W265" s="268">
        <f>SUM(S265:V265)</f>
        <v>0</v>
      </c>
      <c r="X265" s="268">
        <f>SUM(X266:X275)</f>
        <v>0</v>
      </c>
      <c r="Y265" s="268">
        <f>SUM(Y266:Y275)</f>
        <v>0</v>
      </c>
      <c r="Z265" s="268">
        <f>SUM(Z266:Z275)</f>
        <v>0</v>
      </c>
      <c r="AA265" s="268">
        <f>SUM(AA266:AA275)</f>
        <v>1875.118</v>
      </c>
      <c r="AB265" s="268">
        <f>SUM(X265:AA265)</f>
        <v>1875.118</v>
      </c>
      <c r="AC265" s="268">
        <f>SUM(AC266:AC275)</f>
        <v>-392.807</v>
      </c>
      <c r="AD265" s="268">
        <f>SUM(AD266:AD275)</f>
        <v>-380.141</v>
      </c>
      <c r="AE265" s="268">
        <f>SUM(AE266:AE275)</f>
        <v>1883.251</v>
      </c>
      <c r="AF265" s="268">
        <f>SUM(AF266:AF275)</f>
        <v>2107.579</v>
      </c>
      <c r="AG265" s="268">
        <f>SUM(AC265:AF265)</f>
        <v>3217.882</v>
      </c>
      <c r="AH265" s="268">
        <f>SUM(AH266:AH275)</f>
        <v>1542</v>
      </c>
      <c r="AI265" s="268">
        <f>SUM(AI266:AI275)</f>
        <v>9973</v>
      </c>
      <c r="AJ265" s="268">
        <f>SUM(AJ266:AJ275)</f>
        <v>-7516</v>
      </c>
      <c r="AK265" s="268">
        <f>SUM(AK266:AK275)</f>
        <v>0</v>
      </c>
      <c r="AL265" s="268">
        <f>SUM(AH265:AK265)</f>
        <v>3999</v>
      </c>
      <c r="AM265" s="268" t="e">
        <f>SUM(AM266:AM275)</f>
        <v>#DIV/0!</v>
      </c>
      <c r="AN265" s="268" t="e">
        <f>SUM(AN266:AN275)</f>
        <v>#DIV/0!</v>
      </c>
      <c r="AO265" s="268" t="e">
        <f>SUM(AO266:AO275)</f>
        <v>#DIV/0!</v>
      </c>
      <c r="AP265" s="268" t="e">
        <f>SUM(AP266:AP275)</f>
        <v>#DIV/0!</v>
      </c>
      <c r="AQ265" s="268" t="e">
        <f>SUM(AM265:AP265)</f>
        <v>#DIV/0!</v>
      </c>
      <c r="AR265" s="268" t="e">
        <f>SUM(AR266:AR275)</f>
        <v>#DIV/0!</v>
      </c>
      <c r="AS265" s="268" t="e">
        <f>SUM(AS266:AS275)</f>
        <v>#DIV/0!</v>
      </c>
      <c r="AT265" s="268" t="e">
        <f>SUM(AT266:AT275)</f>
        <v>#DIV/0!</v>
      </c>
      <c r="AU265" s="268" t="e">
        <f>SUM(AU266:AU275)</f>
        <v>#DIV/0!</v>
      </c>
      <c r="AV265" s="268" t="e">
        <f>SUM(AR265:AU265)</f>
        <v>#DIV/0!</v>
      </c>
      <c r="AW265" s="268" t="e">
        <f>SUM(AW266:AW275)</f>
        <v>#DIV/0!</v>
      </c>
      <c r="AX265" s="268" t="e">
        <f>SUM(AX266:AX275)</f>
        <v>#DIV/0!</v>
      </c>
      <c r="AY265" s="268" t="e">
        <f>SUM(AY266:AY275)</f>
        <v>#DIV/0!</v>
      </c>
      <c r="AZ265" s="268" t="e">
        <f>SUM(AZ266:AZ275)</f>
        <v>#DIV/0!</v>
      </c>
      <c r="BA265" s="268" t="e">
        <f>SUM(AW265:AZ265)</f>
        <v>#DIV/0!</v>
      </c>
      <c r="BB265" s="268" t="e">
        <f>SUM(BB266:BB275)</f>
        <v>#DIV/0!</v>
      </c>
      <c r="BC265" s="268" t="e">
        <f>SUM(BC266:BC275)</f>
        <v>#DIV/0!</v>
      </c>
      <c r="BD265" s="268" t="e">
        <f>SUM(BD266:BD275)</f>
        <v>#DIV/0!</v>
      </c>
      <c r="BE265" s="268" t="e">
        <f>SUM(BE266:BE275)</f>
        <v>#DIV/0!</v>
      </c>
      <c r="BF265" s="268" t="e">
        <f>SUM(BB265:BE265)</f>
        <v>#DIV/0!</v>
      </c>
      <c r="BG265" s="268" t="e">
        <f>SUM(BG266:BG275)</f>
        <v>#DIV/0!</v>
      </c>
      <c r="BH265" s="268" t="e">
        <f>SUM(BH266:BH275)</f>
        <v>#DIV/0!</v>
      </c>
      <c r="BI265" s="268" t="e">
        <f>SUM(BI266:BI275)</f>
        <v>#DIV/0!</v>
      </c>
      <c r="BJ265" s="268" t="e">
        <f>SUM(BJ266:BJ275)</f>
        <v>#DIV/0!</v>
      </c>
      <c r="BK265" s="268" t="e">
        <f>SUM(BG265:BJ265)</f>
        <v>#DIV/0!</v>
      </c>
      <c r="BL265" s="268" t="e">
        <f>SUM(BL266:BL275)</f>
        <v>#DIV/0!</v>
      </c>
      <c r="BM265" s="268" t="e">
        <f>SUM(BM266:BM275)</f>
        <v>#DIV/0!</v>
      </c>
      <c r="BN265" s="268" t="e">
        <f>SUM(BN266:BN275)</f>
        <v>#DIV/0!</v>
      </c>
      <c r="BO265" s="268" t="e">
        <f>SUM(BO266:BO275)</f>
        <v>#DIV/0!</v>
      </c>
      <c r="BP265" s="268" t="e">
        <f>SUM(BL265:BO265)</f>
        <v>#DIV/0!</v>
      </c>
      <c r="BQ265" s="268" t="e">
        <f>SUM(BQ266:BQ275)</f>
        <v>#DIV/0!</v>
      </c>
      <c r="BR265" s="268" t="e">
        <f>SUM(BR266:BR275)</f>
        <v>#DIV/0!</v>
      </c>
      <c r="BS265" s="268" t="e">
        <f>SUM(BS266:BS275)</f>
        <v>#DIV/0!</v>
      </c>
      <c r="BT265" s="268" t="e">
        <f>SUM(BT266:BT275)</f>
        <v>#DIV/0!</v>
      </c>
      <c r="BU265" s="268" t="e">
        <f>SUM(BQ265:BT265)</f>
        <v>#DIV/0!</v>
      </c>
      <c r="BV265" s="268" t="e">
        <f>SUM(BV266:BV275)</f>
        <v>#DIV/0!</v>
      </c>
      <c r="BW265" s="268" t="e">
        <f>SUM(BW266:BW275)</f>
        <v>#DIV/0!</v>
      </c>
      <c r="BX265" s="268" t="e">
        <f>SUM(BX266:BX275)</f>
        <v>#DIV/0!</v>
      </c>
      <c r="BY265" s="268" t="e">
        <f>SUM(BY266:BY275)</f>
        <v>#DIV/0!</v>
      </c>
      <c r="BZ265" s="268" t="e">
        <f>SUM(BV265:BY265)</f>
        <v>#DIV/0!</v>
      </c>
      <c r="CA265" s="268" t="e">
        <f>SUM(CA266:CA275)</f>
        <v>#DIV/0!</v>
      </c>
      <c r="CB265" s="268" t="e">
        <f>SUM(CB266:CB275)</f>
        <v>#DIV/0!</v>
      </c>
      <c r="CC265" s="268" t="e">
        <f>SUM(CC266:CC275)</f>
        <v>#DIV/0!</v>
      </c>
      <c r="CD265" s="268" t="e">
        <f>SUM(CD266:CD275)</f>
        <v>#DIV/0!</v>
      </c>
      <c r="CE265" s="268" t="e">
        <f>SUM(CA265:CD265)</f>
        <v>#DIV/0!</v>
      </c>
      <c r="CF265" s="268" t="e">
        <f>SUM(CF266:CF275)</f>
        <v>#DIV/0!</v>
      </c>
      <c r="CG265" s="268" t="e">
        <f>SUM(CG266:CG275)</f>
        <v>#DIV/0!</v>
      </c>
      <c r="CH265" s="268" t="e">
        <f>SUM(CH266:CH275)</f>
        <v>#DIV/0!</v>
      </c>
      <c r="CI265" s="268" t="e">
        <f>SUM(CI266:CI275)</f>
        <v>#DIV/0!</v>
      </c>
      <c r="CJ265" s="268" t="e">
        <f>SUM(CF265:CI265)</f>
        <v>#DIV/0!</v>
      </c>
      <c r="CK265" s="268" t="e">
        <f>SUM(CK266:CK275)</f>
        <v>#DIV/0!</v>
      </c>
      <c r="CL265" s="268" t="e">
        <f>SUM(CL266:CL275)</f>
        <v>#DIV/0!</v>
      </c>
      <c r="CM265" s="268" t="e">
        <f>SUM(CM266:CM275)</f>
        <v>#DIV/0!</v>
      </c>
      <c r="CN265" s="268" t="e">
        <f>SUM(CN266:CN275)</f>
        <v>#DIV/0!</v>
      </c>
      <c r="CO265" s="268" t="e">
        <f>SUM(CK265:CN265)</f>
        <v>#DIV/0!</v>
      </c>
      <c r="CP265" s="268" t="e">
        <f>SUM(CP266:CP275)</f>
        <v>#DIV/0!</v>
      </c>
      <c r="CQ265" s="268" t="e">
        <f>SUM(CQ266:CQ275)</f>
        <v>#DIV/0!</v>
      </c>
      <c r="CR265" s="268" t="e">
        <f>SUM(CR266:CR275)</f>
        <v>#DIV/0!</v>
      </c>
      <c r="CS265" s="268" t="e">
        <f>SUM(CS266:CS275)</f>
        <v>#DIV/0!</v>
      </c>
      <c r="CT265" s="268" t="e">
        <f>SUM(CP265:CS265)</f>
        <v>#DIV/0!</v>
      </c>
      <c r="CU265" s="268" t="e">
        <f>SUM(CU266:CU275)</f>
        <v>#DIV/0!</v>
      </c>
      <c r="CV265" s="268" t="e">
        <f>SUM(CV266:CV275)</f>
        <v>#DIV/0!</v>
      </c>
      <c r="CW265" s="268" t="e">
        <f>SUM(CW266:CW275)</f>
        <v>#DIV/0!</v>
      </c>
      <c r="CX265" s="268" t="e">
        <f>SUM(CX266:CX275)</f>
        <v>#DIV/0!</v>
      </c>
      <c r="CY265" s="268" t="e">
        <f>SUM(CU265:CX265)</f>
        <v>#DIV/0!</v>
      </c>
    </row>
    <row r="266" hidden="1" outlineLevel="1" ht="12.75" customHeight="1" s="255">
      <c r="C266" s="266" t="inlineStr">
        <is>
          <t>Accounts receivable</t>
        </is>
      </c>
      <c r="D266" s="268" t="n"/>
      <c r="E266" s="268">
        <f>(E131-D131)*-1</f>
        <v>0</v>
      </c>
      <c r="F266" s="268">
        <f>(F131-E131)*-1</f>
        <v>0</v>
      </c>
      <c r="G266" s="268">
        <f>(G131-F131)*-1</f>
        <v>0</v>
      </c>
      <c r="H266" s="268">
        <f>SUM(D266:G266)</f>
        <v>0</v>
      </c>
      <c r="I266" s="268">
        <f>(I131-H131)*-1</f>
        <v>0</v>
      </c>
      <c r="J266" s="268">
        <f>(J131-I131)*-1</f>
        <v>0</v>
      </c>
      <c r="K266" s="268">
        <f>(K131-J131)*-1</f>
        <v>0</v>
      </c>
      <c r="L266" s="268">
        <f>(L131-K131)*-1</f>
        <v>0</v>
      </c>
      <c r="M266" s="268">
        <f>SUM(I266:L266)</f>
        <v>0</v>
      </c>
      <c r="N266" s="268">
        <f>(N131-M131)*-1</f>
        <v>0</v>
      </c>
      <c r="O266" s="268">
        <f>(O131-N131)*-1</f>
        <v>0</v>
      </c>
      <c r="P266" s="268">
        <f>(P131-O131)*-1</f>
        <v>0</v>
      </c>
      <c r="Q266" s="268">
        <f>(Q131-P131)*-1</f>
        <v>0</v>
      </c>
      <c r="R266" s="268">
        <f>SUM(N266:Q266)</f>
        <v>0</v>
      </c>
      <c r="S266" s="268">
        <f>(S131-R131)*-1</f>
        <v>0</v>
      </c>
      <c r="T266" s="268">
        <f>(T131-S131)*-1</f>
        <v>0</v>
      </c>
      <c r="U266" s="268">
        <f>(U131-T131)*-1</f>
        <v>0</v>
      </c>
      <c r="V266" s="268">
        <f>(V131-U131)*-1</f>
        <v>0</v>
      </c>
      <c r="W266" s="268">
        <f>SUM(S266:V266)</f>
        <v>0</v>
      </c>
      <c r="X266" s="268">
        <f>(X131-W131)*-1</f>
        <v>0</v>
      </c>
      <c r="Y266" s="268">
        <f>(Y131-X131)*-1</f>
        <v>0</v>
      </c>
      <c r="Z266" s="268">
        <f>(Z131-Y131)*-1</f>
        <v>0</v>
      </c>
      <c r="AA266" s="268">
        <f>(AA131-Z131)*-1</f>
        <v>-416.526</v>
      </c>
      <c r="AB266" s="268">
        <f>SUM(X266:AA266)</f>
        <v>-416.526</v>
      </c>
      <c r="AC266" s="268">
        <f>(AC131-AB131)*-1</f>
        <v>-638.682</v>
      </c>
      <c r="AD266" s="268">
        <f>(AD131-AC131)*-1</f>
        <v>-878.49</v>
      </c>
      <c r="AE266" s="268">
        <f>(AE131-AD131)*-1</f>
        <v>274.469</v>
      </c>
      <c r="AF266" s="268">
        <f>(AF131-AE131)*-1</f>
        <v>-1509.771</v>
      </c>
      <c r="AG266" s="268">
        <f>SUM(AC266:AF266)</f>
        <v>-2752.474</v>
      </c>
      <c r="AH266" s="268">
        <f>(AH131-AG131)*-1</f>
        <v>1049</v>
      </c>
      <c r="AI266" s="268">
        <f>(AI131-AH131)*-1</f>
        <v>-421</v>
      </c>
      <c r="AJ266" s="268">
        <f>(AJ131-AI131)*-1</f>
        <v>2541</v>
      </c>
      <c r="AK266" s="268">
        <f>(AK131-AJ131)*-1</f>
        <v>0</v>
      </c>
      <c r="AL266" s="268">
        <f>SUM(AH266:AK266)</f>
        <v>3169</v>
      </c>
      <c r="AM266" s="268">
        <f>(AM131-AL131)*-1</f>
        <v>0</v>
      </c>
      <c r="AN266" s="268">
        <f>(AN131-AM131)*-1</f>
        <v>0</v>
      </c>
      <c r="AO266" s="268">
        <f>(AO131-AN131)*-1</f>
        <v>0</v>
      </c>
      <c r="AP266" s="268">
        <f>(AP131-AO131)*-1</f>
        <v>0</v>
      </c>
      <c r="AQ266" s="268">
        <f>SUM(AM266:AP266)</f>
        <v>0</v>
      </c>
      <c r="AR266" s="268">
        <f>(AR131-AQ131)*-1</f>
        <v>0</v>
      </c>
      <c r="AS266" s="268">
        <f>(AS131-AR131)*-1</f>
        <v>0</v>
      </c>
      <c r="AT266" s="268">
        <f>(AT131-AS131)*-1</f>
        <v>0</v>
      </c>
      <c r="AU266" s="268">
        <f>(AU131-AT131)*-1</f>
        <v>0</v>
      </c>
      <c r="AV266" s="268">
        <f>SUM(AR266:AU266)</f>
        <v>0</v>
      </c>
      <c r="AW266" s="268">
        <f>(AW131-AV131)*-1</f>
        <v>0</v>
      </c>
      <c r="AX266" s="268">
        <f>(AX131-AW131)*-1</f>
        <v>0</v>
      </c>
      <c r="AY266" s="268">
        <f>(AY131-AX131)*-1</f>
        <v>0</v>
      </c>
      <c r="AZ266" s="268">
        <f>(AZ131-AY131)*-1</f>
        <v>0</v>
      </c>
      <c r="BA266" s="268">
        <f>SUM(AW266:AZ266)</f>
        <v>0</v>
      </c>
      <c r="BB266" s="268">
        <f>(BB131-BA131)*-1</f>
        <v>0</v>
      </c>
      <c r="BC266" s="268">
        <f>(BC131-BB131)*-1</f>
        <v>0</v>
      </c>
      <c r="BD266" s="268">
        <f>(BD131-BC131)*-1</f>
        <v>0</v>
      </c>
      <c r="BE266" s="268">
        <f>(BE131-BD131)*-1</f>
        <v>0</v>
      </c>
      <c r="BF266" s="268">
        <f>SUM(BB266:BE266)</f>
        <v>0</v>
      </c>
      <c r="BG266" s="268">
        <f>(BG131-BF131)*-1</f>
        <v>0</v>
      </c>
      <c r="BH266" s="268">
        <f>(BH131-BG131)*-1</f>
        <v>0</v>
      </c>
      <c r="BI266" s="268">
        <f>(BI131-BH131)*-1</f>
        <v>0</v>
      </c>
      <c r="BJ266" s="268">
        <f>(BJ131-BI131)*-1</f>
        <v>0</v>
      </c>
      <c r="BK266" s="268">
        <f>SUM(BG266:BJ266)</f>
        <v>0</v>
      </c>
      <c r="BL266" s="268">
        <f>(BL131-BK131)*-1</f>
        <v>0</v>
      </c>
      <c r="BM266" s="268">
        <f>(BM131-BL131)*-1</f>
        <v>0</v>
      </c>
      <c r="BN266" s="268">
        <f>(BN131-BM131)*-1</f>
        <v>0</v>
      </c>
      <c r="BO266" s="268">
        <f>(BO131-BN131)*-1</f>
        <v>0</v>
      </c>
      <c r="BP266" s="268">
        <f>SUM(BL266:BO266)</f>
        <v>0</v>
      </c>
      <c r="BQ266" s="268">
        <f>(BQ131-BP131)*-1</f>
        <v>0</v>
      </c>
      <c r="BR266" s="268">
        <f>(BR131-BQ131)*-1</f>
        <v>0</v>
      </c>
      <c r="BS266" s="268">
        <f>(BS131-BR131)*-1</f>
        <v>0</v>
      </c>
      <c r="BT266" s="268">
        <f>(BT131-BS131)*-1</f>
        <v>0</v>
      </c>
      <c r="BU266" s="268">
        <f>SUM(BQ266:BT266)</f>
        <v>0</v>
      </c>
      <c r="BV266" s="268">
        <f>(BV131-BU131)*-1</f>
        <v>0</v>
      </c>
      <c r="BW266" s="268">
        <f>(BW131-BV131)*-1</f>
        <v>0</v>
      </c>
      <c r="BX266" s="268">
        <f>(BX131-BW131)*-1</f>
        <v>0</v>
      </c>
      <c r="BY266" s="268">
        <f>(BY131-BX131)*-1</f>
        <v>0</v>
      </c>
      <c r="BZ266" s="268">
        <f>SUM(BV266:BY266)</f>
        <v>0</v>
      </c>
      <c r="CA266" s="268">
        <f>(CA131-BZ131)*-1</f>
        <v>0</v>
      </c>
      <c r="CB266" s="268">
        <f>(CB131-CA131)*-1</f>
        <v>0</v>
      </c>
      <c r="CC266" s="268">
        <f>(CC131-CB131)*-1</f>
        <v>0</v>
      </c>
      <c r="CD266" s="268">
        <f>(CD131-CC131)*-1</f>
        <v>0</v>
      </c>
      <c r="CE266" s="268">
        <f>SUM(CA266:CD266)</f>
        <v>0</v>
      </c>
      <c r="CF266" s="268">
        <f>(CF131-CE131)*-1</f>
        <v>0</v>
      </c>
      <c r="CG266" s="268">
        <f>(CG131-CF131)*-1</f>
        <v>0</v>
      </c>
      <c r="CH266" s="268">
        <f>(CH131-CG131)*-1</f>
        <v>0</v>
      </c>
      <c r="CI266" s="268">
        <f>(CI131-CH131)*-1</f>
        <v>0</v>
      </c>
      <c r="CJ266" s="268">
        <f>SUM(CF266:CI266)</f>
        <v>0</v>
      </c>
      <c r="CK266" s="268">
        <f>(CK131-CJ131)*-1</f>
        <v>0</v>
      </c>
      <c r="CL266" s="268">
        <f>(CL131-CK131)*-1</f>
        <v>0</v>
      </c>
      <c r="CM266" s="268">
        <f>(CM131-CL131)*-1</f>
        <v>0</v>
      </c>
      <c r="CN266" s="268">
        <f>(CN131-CM131)*-1</f>
        <v>0</v>
      </c>
      <c r="CO266" s="268">
        <f>SUM(CK266:CN266)</f>
        <v>0</v>
      </c>
      <c r="CP266" s="268">
        <f>(CP131-CO131)*-1</f>
        <v>0</v>
      </c>
      <c r="CQ266" s="268">
        <f>(CQ131-CP131)*-1</f>
        <v>0</v>
      </c>
      <c r="CR266" s="268">
        <f>(CR131-CQ131)*-1</f>
        <v>0</v>
      </c>
      <c r="CS266" s="268">
        <f>(CS131-CR131)*-1</f>
        <v>0</v>
      </c>
      <c r="CT266" s="268">
        <f>SUM(CP266:CS266)</f>
        <v>0</v>
      </c>
      <c r="CU266" s="268">
        <f>(CU131-CT131)*-1</f>
        <v>0</v>
      </c>
      <c r="CV266" s="268">
        <f>(CV131-CU131)*-1</f>
        <v>0</v>
      </c>
      <c r="CW266" s="268">
        <f>(CW131-CV131)*-1</f>
        <v>0</v>
      </c>
      <c r="CX266" s="268">
        <f>(CX131-CW131)*-1</f>
        <v>0</v>
      </c>
      <c r="CY266" s="268">
        <f>SUM(CU266:CX266)</f>
        <v>0</v>
      </c>
    </row>
    <row r="267" hidden="1" outlineLevel="1" ht="12.75" customHeight="1" s="255">
      <c r="C267" s="266" t="inlineStr">
        <is>
          <t>Inventories</t>
        </is>
      </c>
      <c r="D267" s="268" t="n"/>
      <c r="E267" s="268">
        <f>(E135-D135)*-1</f>
        <v>0</v>
      </c>
      <c r="F267" s="268">
        <f>(F135-E135)*-1</f>
        <v>0</v>
      </c>
      <c r="G267" s="268">
        <f>(G135-F135)*-1</f>
        <v>0</v>
      </c>
      <c r="H267" s="268">
        <f>SUM(D267:G267)</f>
        <v>0</v>
      </c>
      <c r="I267" s="268">
        <f>(I135-H135)*-1</f>
        <v>0</v>
      </c>
      <c r="J267" s="268">
        <f>(J135-I135)*-1</f>
        <v>0</v>
      </c>
      <c r="K267" s="268">
        <f>(K135-J135)*-1</f>
        <v>0</v>
      </c>
      <c r="L267" s="268">
        <f>(L135-K135)*-1</f>
        <v>0</v>
      </c>
      <c r="M267" s="268">
        <f>SUM(I267:L267)</f>
        <v>0</v>
      </c>
      <c r="N267" s="268">
        <f>(N135-M135)*-1</f>
        <v>0</v>
      </c>
      <c r="O267" s="268">
        <f>(O135-N135)*-1</f>
        <v>0</v>
      </c>
      <c r="P267" s="268">
        <f>(P135-O135)*-1</f>
        <v>0</v>
      </c>
      <c r="Q267" s="268">
        <f>(Q135-P135)*-1</f>
        <v>0</v>
      </c>
      <c r="R267" s="268">
        <f>SUM(N267:Q267)</f>
        <v>0</v>
      </c>
      <c r="S267" s="268">
        <f>(S135-R135)*-1</f>
        <v>0</v>
      </c>
      <c r="T267" s="268">
        <f>(T135-S135)*-1</f>
        <v>0</v>
      </c>
      <c r="U267" s="268">
        <f>(U135-T135)*-1</f>
        <v>0</v>
      </c>
      <c r="V267" s="268">
        <f>(V135-U135)*-1</f>
        <v>0</v>
      </c>
      <c r="W267" s="268">
        <f>SUM(S267:V267)</f>
        <v>0</v>
      </c>
      <c r="X267" s="268">
        <f>(X135-W135)*-1</f>
        <v>0</v>
      </c>
      <c r="Y267" s="268">
        <f>(Y135-X135)*-1</f>
        <v>0</v>
      </c>
      <c r="Z267" s="268">
        <f>(Z135-Y135)*-1</f>
        <v>0</v>
      </c>
      <c r="AA267" s="268">
        <f>(AA135-Z135)*-1</f>
        <v>0</v>
      </c>
      <c r="AB267" s="268">
        <f>SUM(X267:AA267)</f>
        <v>0</v>
      </c>
      <c r="AC267" s="268">
        <f>(AC135-AB135)*-1</f>
        <v>0</v>
      </c>
      <c r="AD267" s="268">
        <f>(AD135-AC135)*-1</f>
        <v>0</v>
      </c>
      <c r="AE267" s="268">
        <f>(AE135-AD135)*-1</f>
        <v>0</v>
      </c>
      <c r="AF267" s="268">
        <f>(AF135-AE135)*-1</f>
        <v>0</v>
      </c>
      <c r="AG267" s="268">
        <f>SUM(AC267:AF267)</f>
        <v>0</v>
      </c>
      <c r="AH267" s="268">
        <f>(AH135-AG135)*-1</f>
        <v>0</v>
      </c>
      <c r="AI267" s="268">
        <f>(AI135-AH135)*-1</f>
        <v>0</v>
      </c>
      <c r="AJ267" s="268">
        <f>(AJ135-AI135)*-1</f>
        <v>0</v>
      </c>
      <c r="AK267" s="268">
        <f>(AK135-AJ135)*-1</f>
        <v>0</v>
      </c>
      <c r="AL267" s="268">
        <f>SUM(AH267:AK267)</f>
        <v>0</v>
      </c>
      <c r="AM267" s="268">
        <f>(AM135-AL135)*-1</f>
        <v>0</v>
      </c>
      <c r="AN267" s="268">
        <f>(AN135-AM135)*-1</f>
        <v>0</v>
      </c>
      <c r="AO267" s="268">
        <f>(AO135-AN135)*-1</f>
        <v>0</v>
      </c>
      <c r="AP267" s="268">
        <f>(AP135-AO135)*-1</f>
        <v>0</v>
      </c>
      <c r="AQ267" s="268">
        <f>SUM(AM267:AP267)</f>
        <v>0</v>
      </c>
      <c r="AR267" s="268">
        <f>(AR135-AQ135)*-1</f>
        <v>0</v>
      </c>
      <c r="AS267" s="268">
        <f>(AS135-AR135)*-1</f>
        <v>0</v>
      </c>
      <c r="AT267" s="268">
        <f>(AT135-AS135)*-1</f>
        <v>0</v>
      </c>
      <c r="AU267" s="268">
        <f>(AU135-AT135)*-1</f>
        <v>0</v>
      </c>
      <c r="AV267" s="268">
        <f>SUM(AR267:AU267)</f>
        <v>0</v>
      </c>
      <c r="AW267" s="268">
        <f>(AW135-AV135)*-1</f>
        <v>0</v>
      </c>
      <c r="AX267" s="268">
        <f>(AX135-AW135)*-1</f>
        <v>0</v>
      </c>
      <c r="AY267" s="268">
        <f>(AY135-AX135)*-1</f>
        <v>0</v>
      </c>
      <c r="AZ267" s="268">
        <f>(AZ135-AY135)*-1</f>
        <v>0</v>
      </c>
      <c r="BA267" s="268">
        <f>SUM(AW267:AZ267)</f>
        <v>0</v>
      </c>
      <c r="BB267" s="268">
        <f>(BB135-BA135)*-1</f>
        <v>0</v>
      </c>
      <c r="BC267" s="268">
        <f>(BC135-BB135)*-1</f>
        <v>0</v>
      </c>
      <c r="BD267" s="268">
        <f>(BD135-BC135)*-1</f>
        <v>0</v>
      </c>
      <c r="BE267" s="268">
        <f>(BE135-BD135)*-1</f>
        <v>0</v>
      </c>
      <c r="BF267" s="268">
        <f>SUM(BB267:BE267)</f>
        <v>0</v>
      </c>
      <c r="BG267" s="268">
        <f>(BG135-BF135)*-1</f>
        <v>0</v>
      </c>
      <c r="BH267" s="268">
        <f>(BH135-BG135)*-1</f>
        <v>0</v>
      </c>
      <c r="BI267" s="268">
        <f>(BI135-BH135)*-1</f>
        <v>0</v>
      </c>
      <c r="BJ267" s="268">
        <f>(BJ135-BI135)*-1</f>
        <v>0</v>
      </c>
      <c r="BK267" s="268">
        <f>SUM(BG267:BJ267)</f>
        <v>0</v>
      </c>
      <c r="BL267" s="268">
        <f>(BL135-BK135)*-1</f>
        <v>0</v>
      </c>
      <c r="BM267" s="268">
        <f>(BM135-BL135)*-1</f>
        <v>0</v>
      </c>
      <c r="BN267" s="268">
        <f>(BN135-BM135)*-1</f>
        <v>0</v>
      </c>
      <c r="BO267" s="268">
        <f>(BO135-BN135)*-1</f>
        <v>0</v>
      </c>
      <c r="BP267" s="268">
        <f>SUM(BL267:BO267)</f>
        <v>0</v>
      </c>
      <c r="BQ267" s="268">
        <f>(BQ135-BP135)*-1</f>
        <v>0</v>
      </c>
      <c r="BR267" s="268">
        <f>(BR135-BQ135)*-1</f>
        <v>0</v>
      </c>
      <c r="BS267" s="268">
        <f>(BS135-BR135)*-1</f>
        <v>0</v>
      </c>
      <c r="BT267" s="268">
        <f>(BT135-BS135)*-1</f>
        <v>0</v>
      </c>
      <c r="BU267" s="268">
        <f>SUM(BQ267:BT267)</f>
        <v>0</v>
      </c>
      <c r="BV267" s="268">
        <f>(BV135-BU135)*-1</f>
        <v>0</v>
      </c>
      <c r="BW267" s="268">
        <f>(BW135-BV135)*-1</f>
        <v>0</v>
      </c>
      <c r="BX267" s="268">
        <f>(BX135-BW135)*-1</f>
        <v>0</v>
      </c>
      <c r="BY267" s="268">
        <f>(BY135-BX135)*-1</f>
        <v>0</v>
      </c>
      <c r="BZ267" s="268">
        <f>SUM(BV267:BY267)</f>
        <v>0</v>
      </c>
      <c r="CA267" s="268">
        <f>(CA135-BZ135)*-1</f>
        <v>0</v>
      </c>
      <c r="CB267" s="268">
        <f>(CB135-CA135)*-1</f>
        <v>0</v>
      </c>
      <c r="CC267" s="268">
        <f>(CC135-CB135)*-1</f>
        <v>0</v>
      </c>
      <c r="CD267" s="268">
        <f>(CD135-CC135)*-1</f>
        <v>0</v>
      </c>
      <c r="CE267" s="268">
        <f>SUM(CA267:CD267)</f>
        <v>0</v>
      </c>
      <c r="CF267" s="268">
        <f>(CF135-CE135)*-1</f>
        <v>0</v>
      </c>
      <c r="CG267" s="268">
        <f>(CG135-CF135)*-1</f>
        <v>0</v>
      </c>
      <c r="CH267" s="268">
        <f>(CH135-CG135)*-1</f>
        <v>0</v>
      </c>
      <c r="CI267" s="268">
        <f>(CI135-CH135)*-1</f>
        <v>0</v>
      </c>
      <c r="CJ267" s="268">
        <f>SUM(CF267:CI267)</f>
        <v>0</v>
      </c>
      <c r="CK267" s="268">
        <f>(CK135-CJ135)*-1</f>
        <v>0</v>
      </c>
      <c r="CL267" s="268">
        <f>(CL135-CK135)*-1</f>
        <v>0</v>
      </c>
      <c r="CM267" s="268">
        <f>(CM135-CL135)*-1</f>
        <v>0</v>
      </c>
      <c r="CN267" s="268">
        <f>(CN135-CM135)*-1</f>
        <v>0</v>
      </c>
      <c r="CO267" s="268">
        <f>SUM(CK267:CN267)</f>
        <v>0</v>
      </c>
      <c r="CP267" s="268">
        <f>(CP135-CO135)*-1</f>
        <v>0</v>
      </c>
      <c r="CQ267" s="268">
        <f>(CQ135-CP135)*-1</f>
        <v>0</v>
      </c>
      <c r="CR267" s="268">
        <f>(CR135-CQ135)*-1</f>
        <v>0</v>
      </c>
      <c r="CS267" s="268">
        <f>(CS135-CR135)*-1</f>
        <v>0</v>
      </c>
      <c r="CT267" s="268">
        <f>SUM(CP267:CS267)</f>
        <v>0</v>
      </c>
      <c r="CU267" s="268">
        <f>(CU135-CT135)*-1</f>
        <v>0</v>
      </c>
      <c r="CV267" s="268">
        <f>(CV135-CU135)*-1</f>
        <v>0</v>
      </c>
      <c r="CW267" s="268">
        <f>(CW135-CV135)*-1</f>
        <v>0</v>
      </c>
      <c r="CX267" s="268">
        <f>(CX135-CW135)*-1</f>
        <v>0</v>
      </c>
      <c r="CY267" s="268">
        <f>SUM(CU267:CX267)</f>
        <v>0</v>
      </c>
    </row>
    <row r="268" hidden="1" outlineLevel="1" ht="12.75" customHeight="1" s="255">
      <c r="C268" s="266" t="inlineStr">
        <is>
          <t>Deferred income taxes</t>
        </is>
      </c>
      <c r="D268" s="268" t="n"/>
      <c r="E268" s="268">
        <f>(E139-D139)*-1</f>
        <v>0</v>
      </c>
      <c r="F268" s="268">
        <f>(F139-E139)*-1</f>
        <v>0</v>
      </c>
      <c r="G268" s="268">
        <f>(G139-F139)*-1</f>
        <v>0</v>
      </c>
      <c r="H268" s="268">
        <f>SUM(D268:G268)</f>
        <v>0</v>
      </c>
      <c r="I268" s="268">
        <f>(I139-H139)*-1</f>
        <v>0</v>
      </c>
      <c r="J268" s="268">
        <f>(J139-I139)*-1</f>
        <v>0</v>
      </c>
      <c r="K268" s="268">
        <f>(K139-J139)*-1</f>
        <v>0</v>
      </c>
      <c r="L268" s="268">
        <f>(L139-K139)*-1</f>
        <v>0</v>
      </c>
      <c r="M268" s="268">
        <f>SUM(I268:L268)</f>
        <v>0</v>
      </c>
      <c r="N268" s="268">
        <f>(N139-M139)*-1</f>
        <v>0</v>
      </c>
      <c r="O268" s="268">
        <f>(O139-N139)*-1</f>
        <v>0</v>
      </c>
      <c r="P268" s="268">
        <f>(P139-O139)*-1</f>
        <v>0</v>
      </c>
      <c r="Q268" s="268">
        <f>(Q139-P139)*-1</f>
        <v>0</v>
      </c>
      <c r="R268" s="268">
        <f>SUM(N268:Q268)</f>
        <v>0</v>
      </c>
      <c r="S268" s="268">
        <f>(S139-R139)*-1</f>
        <v>0</v>
      </c>
      <c r="T268" s="268">
        <f>(T139-S139)*-1</f>
        <v>0</v>
      </c>
      <c r="U268" s="268">
        <f>(U139-T139)*-1</f>
        <v>0</v>
      </c>
      <c r="V268" s="268">
        <f>(V139-U139)*-1</f>
        <v>0</v>
      </c>
      <c r="W268" s="268">
        <f>SUM(S268:V268)</f>
        <v>0</v>
      </c>
      <c r="X268" s="268">
        <f>(X139-W139)*-1</f>
        <v>0</v>
      </c>
      <c r="Y268" s="268">
        <f>(Y139-X139)*-1</f>
        <v>0</v>
      </c>
      <c r="Z268" s="268">
        <f>(Z139-Y139)*-1</f>
        <v>0</v>
      </c>
      <c r="AA268" s="268">
        <f>(AA139-Z139)*-1</f>
        <v>0</v>
      </c>
      <c r="AB268" s="268">
        <f>SUM(X268:AA268)</f>
        <v>0</v>
      </c>
      <c r="AC268" s="268">
        <f>(AC139-AB139)*-1</f>
        <v>0</v>
      </c>
      <c r="AD268" s="268">
        <f>(AD139-AC139)*-1</f>
        <v>0</v>
      </c>
      <c r="AE268" s="268">
        <f>(AE139-AD139)*-1</f>
        <v>0</v>
      </c>
      <c r="AF268" s="268">
        <f>(AF139-AE139)*-1</f>
        <v>0</v>
      </c>
      <c r="AG268" s="268">
        <f>SUM(AC268:AF268)</f>
        <v>0</v>
      </c>
      <c r="AH268" s="268">
        <f>(AH139-AG139)*-1</f>
        <v>0</v>
      </c>
      <c r="AI268" s="268">
        <f>(AI139-AH139)*-1</f>
        <v>0</v>
      </c>
      <c r="AJ268" s="268">
        <f>(AJ139-AI139)*-1</f>
        <v>0</v>
      </c>
      <c r="AK268" s="268">
        <f>(AK139-AJ139)*-1</f>
        <v>0</v>
      </c>
      <c r="AL268" s="268">
        <f>SUM(AH268:AK268)</f>
        <v>0</v>
      </c>
      <c r="AM268" s="268">
        <f>(AM139-AL139)*-1</f>
        <v>0</v>
      </c>
      <c r="AN268" s="268">
        <f>(AN139-AM139)*-1</f>
        <v>0</v>
      </c>
      <c r="AO268" s="268">
        <f>(AO139-AN139)*-1</f>
        <v>0</v>
      </c>
      <c r="AP268" s="268">
        <f>(AP139-AO139)*-1</f>
        <v>0</v>
      </c>
      <c r="AQ268" s="268">
        <f>SUM(AM268:AP268)</f>
        <v>0</v>
      </c>
      <c r="AR268" s="268">
        <f>(AR139-AQ139)*-1</f>
        <v>0</v>
      </c>
      <c r="AS268" s="268">
        <f>(AS139-AR139)*-1</f>
        <v>0</v>
      </c>
      <c r="AT268" s="268">
        <f>(AT139-AS139)*-1</f>
        <v>0</v>
      </c>
      <c r="AU268" s="268">
        <f>(AU139-AT139)*-1</f>
        <v>0</v>
      </c>
      <c r="AV268" s="268">
        <f>SUM(AR268:AU268)</f>
        <v>0</v>
      </c>
      <c r="AW268" s="268">
        <f>(AW139-AV139)*-1</f>
        <v>0</v>
      </c>
      <c r="AX268" s="268">
        <f>(AX139-AW139)*-1</f>
        <v>0</v>
      </c>
      <c r="AY268" s="268">
        <f>(AY139-AX139)*-1</f>
        <v>0</v>
      </c>
      <c r="AZ268" s="268">
        <f>(AZ139-AY139)*-1</f>
        <v>0</v>
      </c>
      <c r="BA268" s="268">
        <f>SUM(AW268:AZ268)</f>
        <v>0</v>
      </c>
      <c r="BB268" s="268">
        <f>(BB139-BA139)*-1</f>
        <v>0</v>
      </c>
      <c r="BC268" s="268">
        <f>(BC139-BB139)*-1</f>
        <v>0</v>
      </c>
      <c r="BD268" s="268">
        <f>(BD139-BC139)*-1</f>
        <v>0</v>
      </c>
      <c r="BE268" s="268">
        <f>(BE139-BD139)*-1</f>
        <v>0</v>
      </c>
      <c r="BF268" s="268">
        <f>SUM(BB268:BE268)</f>
        <v>0</v>
      </c>
      <c r="BG268" s="268">
        <f>(BG139-BF139)*-1</f>
        <v>0</v>
      </c>
      <c r="BH268" s="268">
        <f>(BH139-BG139)*-1</f>
        <v>0</v>
      </c>
      <c r="BI268" s="268">
        <f>(BI139-BH139)*-1</f>
        <v>0</v>
      </c>
      <c r="BJ268" s="268">
        <f>(BJ139-BI139)*-1</f>
        <v>0</v>
      </c>
      <c r="BK268" s="268">
        <f>SUM(BG268:BJ268)</f>
        <v>0</v>
      </c>
      <c r="BL268" s="268">
        <f>(BL139-BK139)*-1</f>
        <v>0</v>
      </c>
      <c r="BM268" s="268">
        <f>(BM139-BL139)*-1</f>
        <v>0</v>
      </c>
      <c r="BN268" s="268">
        <f>(BN139-BM139)*-1</f>
        <v>0</v>
      </c>
      <c r="BO268" s="268">
        <f>(BO139-BN139)*-1</f>
        <v>0</v>
      </c>
      <c r="BP268" s="268">
        <f>SUM(BL268:BO268)</f>
        <v>0</v>
      </c>
      <c r="BQ268" s="268">
        <f>(BQ139-BP139)*-1</f>
        <v>0</v>
      </c>
      <c r="BR268" s="268">
        <f>(BR139-BQ139)*-1</f>
        <v>0</v>
      </c>
      <c r="BS268" s="268">
        <f>(BS139-BR139)*-1</f>
        <v>0</v>
      </c>
      <c r="BT268" s="268">
        <f>(BT139-BS139)*-1</f>
        <v>0</v>
      </c>
      <c r="BU268" s="268">
        <f>SUM(BQ268:BT268)</f>
        <v>0</v>
      </c>
      <c r="BV268" s="268">
        <f>(BV139-BU139)*-1</f>
        <v>0</v>
      </c>
      <c r="BW268" s="268">
        <f>(BW139-BV139)*-1</f>
        <v>0</v>
      </c>
      <c r="BX268" s="268">
        <f>(BX139-BW139)*-1</f>
        <v>0</v>
      </c>
      <c r="BY268" s="268">
        <f>(BY139-BX139)*-1</f>
        <v>0</v>
      </c>
      <c r="BZ268" s="268">
        <f>SUM(BV268:BY268)</f>
        <v>0</v>
      </c>
      <c r="CA268" s="268">
        <f>(CA139-BZ139)*-1</f>
        <v>0</v>
      </c>
      <c r="CB268" s="268">
        <f>(CB139-CA139)*-1</f>
        <v>0</v>
      </c>
      <c r="CC268" s="268">
        <f>(CC139-CB139)*-1</f>
        <v>0</v>
      </c>
      <c r="CD268" s="268">
        <f>(CD139-CC139)*-1</f>
        <v>0</v>
      </c>
      <c r="CE268" s="268">
        <f>SUM(CA268:CD268)</f>
        <v>0</v>
      </c>
      <c r="CF268" s="268">
        <f>(CF139-CE139)*-1</f>
        <v>0</v>
      </c>
      <c r="CG268" s="268">
        <f>(CG139-CF139)*-1</f>
        <v>0</v>
      </c>
      <c r="CH268" s="268">
        <f>(CH139-CG139)*-1</f>
        <v>0</v>
      </c>
      <c r="CI268" s="268">
        <f>(CI139-CH139)*-1</f>
        <v>0</v>
      </c>
      <c r="CJ268" s="268">
        <f>SUM(CF268:CI268)</f>
        <v>0</v>
      </c>
      <c r="CK268" s="268">
        <f>(CK139-CJ139)*-1</f>
        <v>0</v>
      </c>
      <c r="CL268" s="268">
        <f>(CL139-CK139)*-1</f>
        <v>0</v>
      </c>
      <c r="CM268" s="268">
        <f>(CM139-CL139)*-1</f>
        <v>0</v>
      </c>
      <c r="CN268" s="268">
        <f>(CN139-CM139)*-1</f>
        <v>0</v>
      </c>
      <c r="CO268" s="268">
        <f>SUM(CK268:CN268)</f>
        <v>0</v>
      </c>
      <c r="CP268" s="268">
        <f>(CP139-CO139)*-1</f>
        <v>0</v>
      </c>
      <c r="CQ268" s="268">
        <f>(CQ139-CP139)*-1</f>
        <v>0</v>
      </c>
      <c r="CR268" s="268">
        <f>(CR139-CQ139)*-1</f>
        <v>0</v>
      </c>
      <c r="CS268" s="268">
        <f>(CS139-CR139)*-1</f>
        <v>0</v>
      </c>
      <c r="CT268" s="268">
        <f>SUM(CP268:CS268)</f>
        <v>0</v>
      </c>
      <c r="CU268" s="268">
        <f>(CU139-CT139)*-1</f>
        <v>0</v>
      </c>
      <c r="CV268" s="268">
        <f>(CV139-CU139)*-1</f>
        <v>0</v>
      </c>
      <c r="CW268" s="268">
        <f>(CW139-CV139)*-1</f>
        <v>0</v>
      </c>
      <c r="CX268" s="268">
        <f>(CX139-CW139)*-1</f>
        <v>0</v>
      </c>
      <c r="CY268" s="268">
        <f>SUM(CU268:CX268)</f>
        <v>0</v>
      </c>
    </row>
    <row r="269" hidden="1" outlineLevel="1" ht="12.75" customHeight="1" s="255">
      <c r="C269" s="266" t="inlineStr">
        <is>
          <t>Prepaid expenses</t>
        </is>
      </c>
      <c r="D269" s="268" t="n"/>
      <c r="E269" s="268">
        <f>(E140-D140)*-1</f>
        <v>0</v>
      </c>
      <c r="F269" s="268">
        <f>(F140-E140)*-1</f>
        <v>0</v>
      </c>
      <c r="G269" s="268">
        <f>(G140-F140)*-1</f>
        <v>0</v>
      </c>
      <c r="H269" s="268">
        <f>SUM(D269:G269)</f>
        <v>0</v>
      </c>
      <c r="I269" s="268">
        <f>(I140-H140)*-1</f>
        <v>0</v>
      </c>
      <c r="J269" s="268">
        <f>(J140-I140)*-1</f>
        <v>0</v>
      </c>
      <c r="K269" s="268">
        <f>(K140-J140)*-1</f>
        <v>0</v>
      </c>
      <c r="L269" s="268">
        <f>(L140-K140)*-1</f>
        <v>0</v>
      </c>
      <c r="M269" s="268">
        <f>SUM(I269:L269)</f>
        <v>0</v>
      </c>
      <c r="N269" s="268">
        <f>(N140-M140)*-1</f>
        <v>0</v>
      </c>
      <c r="O269" s="268">
        <f>(O140-N140)*-1</f>
        <v>0</v>
      </c>
      <c r="P269" s="268">
        <f>(P140-O140)*-1</f>
        <v>0</v>
      </c>
      <c r="Q269" s="268">
        <f>(Q140-P140)*-1</f>
        <v>0</v>
      </c>
      <c r="R269" s="268">
        <f>SUM(N269:Q269)</f>
        <v>0</v>
      </c>
      <c r="S269" s="268">
        <f>(S140-R140)*-1</f>
        <v>0</v>
      </c>
      <c r="T269" s="268">
        <f>(T140-S140)*-1</f>
        <v>0</v>
      </c>
      <c r="U269" s="268">
        <f>(U140-T140)*-1</f>
        <v>0</v>
      </c>
      <c r="V269" s="268">
        <f>(V140-U140)*-1</f>
        <v>0</v>
      </c>
      <c r="W269" s="268">
        <f>SUM(S269:V269)</f>
        <v>0</v>
      </c>
      <c r="X269" s="268">
        <f>(X140-W140)*-1</f>
        <v>0</v>
      </c>
      <c r="Y269" s="268">
        <f>(Y140-X140)*-1</f>
        <v>0</v>
      </c>
      <c r="Z269" s="268">
        <f>(Z140-Y140)*-1</f>
        <v>0</v>
      </c>
      <c r="AA269" s="268">
        <f>(AA140-Z140)*-1</f>
        <v>0</v>
      </c>
      <c r="AB269" s="268">
        <f>SUM(X269:AA269)</f>
        <v>0</v>
      </c>
      <c r="AC269" s="268">
        <f>(AC140-AB140)*-1</f>
        <v>0</v>
      </c>
      <c r="AD269" s="268">
        <f>(AD140-AC140)*-1</f>
        <v>0</v>
      </c>
      <c r="AE269" s="268">
        <f>(AE140-AD140)*-1</f>
        <v>0</v>
      </c>
      <c r="AF269" s="268">
        <f>(AF140-AE140)*-1</f>
        <v>0</v>
      </c>
      <c r="AG269" s="268">
        <f>SUM(AC269:AF269)</f>
        <v>0</v>
      </c>
      <c r="AH269" s="268">
        <f>(AH140-AG140)*-1</f>
        <v>0</v>
      </c>
      <c r="AI269" s="268">
        <f>(AI140-AH140)*-1</f>
        <v>0</v>
      </c>
      <c r="AJ269" s="268">
        <f>(AJ140-AI140)*-1</f>
        <v>0</v>
      </c>
      <c r="AK269" s="268">
        <f>(AK140-AJ140)*-1</f>
        <v>0</v>
      </c>
      <c r="AL269" s="268">
        <f>SUM(AH269:AK269)</f>
        <v>0</v>
      </c>
      <c r="AM269" s="268">
        <f>(AM140-AL140)*-1</f>
        <v>0</v>
      </c>
      <c r="AN269" s="268">
        <f>(AN140-AM140)*-1</f>
        <v>0</v>
      </c>
      <c r="AO269" s="268">
        <f>(AO140-AN140)*-1</f>
        <v>0</v>
      </c>
      <c r="AP269" s="268">
        <f>(AP140-AO140)*-1</f>
        <v>0</v>
      </c>
      <c r="AQ269" s="268">
        <f>SUM(AM269:AP269)</f>
        <v>0</v>
      </c>
      <c r="AR269" s="268">
        <f>(AR140-AQ140)*-1</f>
        <v>0</v>
      </c>
      <c r="AS269" s="268">
        <f>(AS140-AR140)*-1</f>
        <v>0</v>
      </c>
      <c r="AT269" s="268">
        <f>(AT140-AS140)*-1</f>
        <v>0</v>
      </c>
      <c r="AU269" s="268">
        <f>(AU140-AT140)*-1</f>
        <v>0</v>
      </c>
      <c r="AV269" s="268">
        <f>SUM(AR269:AU269)</f>
        <v>0</v>
      </c>
      <c r="AW269" s="268">
        <f>(AW140-AV140)*-1</f>
        <v>0</v>
      </c>
      <c r="AX269" s="268">
        <f>(AX140-AW140)*-1</f>
        <v>0</v>
      </c>
      <c r="AY269" s="268">
        <f>(AY140-AX140)*-1</f>
        <v>0</v>
      </c>
      <c r="AZ269" s="268">
        <f>(AZ140-AY140)*-1</f>
        <v>0</v>
      </c>
      <c r="BA269" s="268">
        <f>SUM(AW269:AZ269)</f>
        <v>0</v>
      </c>
      <c r="BB269" s="268">
        <f>(BB140-BA140)*-1</f>
        <v>0</v>
      </c>
      <c r="BC269" s="268">
        <f>(BC140-BB140)*-1</f>
        <v>0</v>
      </c>
      <c r="BD269" s="268">
        <f>(BD140-BC140)*-1</f>
        <v>0</v>
      </c>
      <c r="BE269" s="268">
        <f>(BE140-BD140)*-1</f>
        <v>0</v>
      </c>
      <c r="BF269" s="268">
        <f>SUM(BB269:BE269)</f>
        <v>0</v>
      </c>
      <c r="BG269" s="268">
        <f>(BG140-BF140)*-1</f>
        <v>0</v>
      </c>
      <c r="BH269" s="268">
        <f>(BH140-BG140)*-1</f>
        <v>0</v>
      </c>
      <c r="BI269" s="268">
        <f>(BI140-BH140)*-1</f>
        <v>0</v>
      </c>
      <c r="BJ269" s="268">
        <f>(BJ140-BI140)*-1</f>
        <v>0</v>
      </c>
      <c r="BK269" s="268">
        <f>SUM(BG269:BJ269)</f>
        <v>0</v>
      </c>
      <c r="BL269" s="268">
        <f>(BL140-BK140)*-1</f>
        <v>0</v>
      </c>
      <c r="BM269" s="268">
        <f>(BM140-BL140)*-1</f>
        <v>0</v>
      </c>
      <c r="BN269" s="268">
        <f>(BN140-BM140)*-1</f>
        <v>0</v>
      </c>
      <c r="BO269" s="268">
        <f>(BO140-BN140)*-1</f>
        <v>0</v>
      </c>
      <c r="BP269" s="268">
        <f>SUM(BL269:BO269)</f>
        <v>0</v>
      </c>
      <c r="BQ269" s="268">
        <f>(BQ140-BP140)*-1</f>
        <v>0</v>
      </c>
      <c r="BR269" s="268">
        <f>(BR140-BQ140)*-1</f>
        <v>0</v>
      </c>
      <c r="BS269" s="268">
        <f>(BS140-BR140)*-1</f>
        <v>0</v>
      </c>
      <c r="BT269" s="268">
        <f>(BT140-BS140)*-1</f>
        <v>0</v>
      </c>
      <c r="BU269" s="268">
        <f>SUM(BQ269:BT269)</f>
        <v>0</v>
      </c>
      <c r="BV269" s="268">
        <f>(BV140-BU140)*-1</f>
        <v>0</v>
      </c>
      <c r="BW269" s="268">
        <f>(BW140-BV140)*-1</f>
        <v>0</v>
      </c>
      <c r="BX269" s="268">
        <f>(BX140-BW140)*-1</f>
        <v>0</v>
      </c>
      <c r="BY269" s="268">
        <f>(BY140-BX140)*-1</f>
        <v>0</v>
      </c>
      <c r="BZ269" s="268">
        <f>SUM(BV269:BY269)</f>
        <v>0</v>
      </c>
      <c r="CA269" s="268">
        <f>(CA140-BZ140)*-1</f>
        <v>0</v>
      </c>
      <c r="CB269" s="268">
        <f>(CB140-CA140)*-1</f>
        <v>0</v>
      </c>
      <c r="CC269" s="268">
        <f>(CC140-CB140)*-1</f>
        <v>0</v>
      </c>
      <c r="CD269" s="268">
        <f>(CD140-CC140)*-1</f>
        <v>0</v>
      </c>
      <c r="CE269" s="268">
        <f>SUM(CA269:CD269)</f>
        <v>0</v>
      </c>
      <c r="CF269" s="268">
        <f>(CF140-CE140)*-1</f>
        <v>0</v>
      </c>
      <c r="CG269" s="268">
        <f>(CG140-CF140)*-1</f>
        <v>0</v>
      </c>
      <c r="CH269" s="268">
        <f>(CH140-CG140)*-1</f>
        <v>0</v>
      </c>
      <c r="CI269" s="268">
        <f>(CI140-CH140)*-1</f>
        <v>0</v>
      </c>
      <c r="CJ269" s="268">
        <f>SUM(CF269:CI269)</f>
        <v>0</v>
      </c>
      <c r="CK269" s="268">
        <f>(CK140-CJ140)*-1</f>
        <v>0</v>
      </c>
      <c r="CL269" s="268">
        <f>(CL140-CK140)*-1</f>
        <v>0</v>
      </c>
      <c r="CM269" s="268">
        <f>(CM140-CL140)*-1</f>
        <v>0</v>
      </c>
      <c r="CN269" s="268">
        <f>(CN140-CM140)*-1</f>
        <v>0</v>
      </c>
      <c r="CO269" s="268">
        <f>SUM(CK269:CN269)</f>
        <v>0</v>
      </c>
      <c r="CP269" s="268">
        <f>(CP140-CO140)*-1</f>
        <v>0</v>
      </c>
      <c r="CQ269" s="268">
        <f>(CQ140-CP140)*-1</f>
        <v>0</v>
      </c>
      <c r="CR269" s="268">
        <f>(CR140-CQ140)*-1</f>
        <v>0</v>
      </c>
      <c r="CS269" s="268">
        <f>(CS140-CR140)*-1</f>
        <v>0</v>
      </c>
      <c r="CT269" s="268">
        <f>SUM(CP269:CS269)</f>
        <v>0</v>
      </c>
      <c r="CU269" s="268">
        <f>(CU140-CT140)*-1</f>
        <v>0</v>
      </c>
      <c r="CV269" s="268">
        <f>(CV140-CU140)*-1</f>
        <v>0</v>
      </c>
      <c r="CW269" s="268">
        <f>(CW140-CV140)*-1</f>
        <v>0</v>
      </c>
      <c r="CX269" s="268">
        <f>(CX140-CW140)*-1</f>
        <v>0</v>
      </c>
      <c r="CY269" s="268">
        <f>SUM(CU269:CX269)</f>
        <v>0</v>
      </c>
    </row>
    <row r="270" hidden="1" outlineLevel="1" ht="12.75" customHeight="1" s="255">
      <c r="C270" s="266" t="inlineStr">
        <is>
          <t>Other current assets</t>
        </is>
      </c>
      <c r="D270" s="268" t="n"/>
      <c r="E270" s="268">
        <f>(E141-D141)*-1</f>
        <v>0</v>
      </c>
      <c r="F270" s="268">
        <f>(F141-E141)*-1</f>
        <v>0</v>
      </c>
      <c r="G270" s="268">
        <f>(G141-F141)*-1</f>
        <v>0</v>
      </c>
      <c r="H270" s="268">
        <f>SUM(D270:G270)</f>
        <v>0</v>
      </c>
      <c r="I270" s="268">
        <f>(I141-H141)*-1</f>
        <v>0</v>
      </c>
      <c r="J270" s="268">
        <f>(J141-I141)*-1</f>
        <v>0</v>
      </c>
      <c r="K270" s="268">
        <f>(K141-J141)*-1</f>
        <v>0</v>
      </c>
      <c r="L270" s="268">
        <f>(L141-K141)*-1</f>
        <v>0</v>
      </c>
      <c r="M270" s="268">
        <f>SUM(I270:L270)</f>
        <v>0</v>
      </c>
      <c r="N270" s="268">
        <f>(N141-M141)*-1</f>
        <v>0</v>
      </c>
      <c r="O270" s="268">
        <f>(O141-N141)*-1</f>
        <v>0</v>
      </c>
      <c r="P270" s="268">
        <f>(P141-O141)*-1</f>
        <v>0</v>
      </c>
      <c r="Q270" s="268">
        <f>(Q141-P141)*-1</f>
        <v>0</v>
      </c>
      <c r="R270" s="268">
        <f>SUM(N270:Q270)</f>
        <v>0</v>
      </c>
      <c r="S270" s="268">
        <f>(S141-R141)*-1</f>
        <v>0</v>
      </c>
      <c r="T270" s="268">
        <f>(T141-S141)*-1</f>
        <v>0</v>
      </c>
      <c r="U270" s="268">
        <f>(U141-T141)*-1</f>
        <v>0</v>
      </c>
      <c r="V270" s="268">
        <f>(V141-U141)*-1</f>
        <v>0</v>
      </c>
      <c r="W270" s="268">
        <f>SUM(S270:V270)</f>
        <v>0</v>
      </c>
      <c r="X270" s="268">
        <f>(X141-W141)*-1</f>
        <v>0</v>
      </c>
      <c r="Y270" s="268">
        <f>(Y141-X141)*-1</f>
        <v>0</v>
      </c>
      <c r="Z270" s="268">
        <f>(Z141-Y141)*-1</f>
        <v>0</v>
      </c>
      <c r="AA270" s="268">
        <f>(AA141-Z141)*-1</f>
        <v>-138.64</v>
      </c>
      <c r="AB270" s="268">
        <f>SUM(X270:AA270)</f>
        <v>-138.64</v>
      </c>
      <c r="AC270" s="268">
        <f>(AC141-AB141)*-1</f>
        <v>-632.343</v>
      </c>
      <c r="AD270" s="268">
        <f>(AD141-AC141)*-1</f>
        <v>-88.4190000000001</v>
      </c>
      <c r="AE270" s="268">
        <f>(AE141-AD141)*-1</f>
        <v>-270.804</v>
      </c>
      <c r="AF270" s="268">
        <f>(AF141-AE141)*-1</f>
        <v>-27.7940000000001</v>
      </c>
      <c r="AG270" s="268">
        <f>SUM(AC270:AF270)</f>
        <v>-1019.36</v>
      </c>
      <c r="AH270" s="268">
        <f>(AH141-AG141)*-1</f>
        <v>-65</v>
      </c>
      <c r="AI270" s="268">
        <f>(AI141-AH141)*-1</f>
        <v>-217</v>
      </c>
      <c r="AJ270" s="268">
        <f>(AJ141-AI141)*-1</f>
        <v>0</v>
      </c>
      <c r="AK270" s="268">
        <f>(AK141-AJ141)*-1</f>
        <v>0</v>
      </c>
      <c r="AL270" s="268">
        <f>SUM(AH270:AK270)</f>
        <v>-282</v>
      </c>
      <c r="AM270" s="268">
        <f>(AM141-AL141)*-1</f>
        <v>0</v>
      </c>
      <c r="AN270" s="268">
        <f>(AN141-AM141)*-1</f>
        <v>0</v>
      </c>
      <c r="AO270" s="268">
        <f>(AO141-AN141)*-1</f>
        <v>0</v>
      </c>
      <c r="AP270" s="268">
        <f>(AP141-AO141)*-1</f>
        <v>0</v>
      </c>
      <c r="AQ270" s="268">
        <f>SUM(AM270:AP270)</f>
        <v>0</v>
      </c>
      <c r="AR270" s="268">
        <f>(AR141-AQ141)*-1</f>
        <v>0</v>
      </c>
      <c r="AS270" s="268">
        <f>(AS141-AR141)*-1</f>
        <v>0</v>
      </c>
      <c r="AT270" s="268">
        <f>(AT141-AS141)*-1</f>
        <v>0</v>
      </c>
      <c r="AU270" s="268">
        <f>(AU141-AT141)*-1</f>
        <v>0</v>
      </c>
      <c r="AV270" s="268">
        <f>SUM(AR270:AU270)</f>
        <v>0</v>
      </c>
      <c r="AW270" s="268">
        <f>(AW141-AV141)*-1</f>
        <v>0</v>
      </c>
      <c r="AX270" s="268">
        <f>(AX141-AW141)*-1</f>
        <v>0</v>
      </c>
      <c r="AY270" s="268">
        <f>(AY141-AX141)*-1</f>
        <v>0</v>
      </c>
      <c r="AZ270" s="268">
        <f>(AZ141-AY141)*-1</f>
        <v>0</v>
      </c>
      <c r="BA270" s="268">
        <f>SUM(AW270:AZ270)</f>
        <v>0</v>
      </c>
      <c r="BB270" s="268">
        <f>(BB141-BA141)*-1</f>
        <v>0</v>
      </c>
      <c r="BC270" s="268">
        <f>(BC141-BB141)*-1</f>
        <v>0</v>
      </c>
      <c r="BD270" s="268">
        <f>(BD141-BC141)*-1</f>
        <v>0</v>
      </c>
      <c r="BE270" s="268">
        <f>(BE141-BD141)*-1</f>
        <v>0</v>
      </c>
      <c r="BF270" s="268">
        <f>SUM(BB270:BE270)</f>
        <v>0</v>
      </c>
      <c r="BG270" s="268">
        <f>(BG141-BF141)*-1</f>
        <v>0</v>
      </c>
      <c r="BH270" s="268">
        <f>(BH141-BG141)*-1</f>
        <v>0</v>
      </c>
      <c r="BI270" s="268">
        <f>(BI141-BH141)*-1</f>
        <v>0</v>
      </c>
      <c r="BJ270" s="268">
        <f>(BJ141-BI141)*-1</f>
        <v>0</v>
      </c>
      <c r="BK270" s="268">
        <f>SUM(BG270:BJ270)</f>
        <v>0</v>
      </c>
      <c r="BL270" s="268">
        <f>(BL141-BK141)*-1</f>
        <v>0</v>
      </c>
      <c r="BM270" s="268">
        <f>(BM141-BL141)*-1</f>
        <v>0</v>
      </c>
      <c r="BN270" s="268">
        <f>(BN141-BM141)*-1</f>
        <v>0</v>
      </c>
      <c r="BO270" s="268">
        <f>(BO141-BN141)*-1</f>
        <v>0</v>
      </c>
      <c r="BP270" s="268">
        <f>SUM(BL270:BO270)</f>
        <v>0</v>
      </c>
      <c r="BQ270" s="268">
        <f>(BQ141-BP141)*-1</f>
        <v>0</v>
      </c>
      <c r="BR270" s="268">
        <f>(BR141-BQ141)*-1</f>
        <v>0</v>
      </c>
      <c r="BS270" s="268">
        <f>(BS141-BR141)*-1</f>
        <v>0</v>
      </c>
      <c r="BT270" s="268">
        <f>(BT141-BS141)*-1</f>
        <v>0</v>
      </c>
      <c r="BU270" s="268">
        <f>SUM(BQ270:BT270)</f>
        <v>0</v>
      </c>
      <c r="BV270" s="268">
        <f>(BV141-BU141)*-1</f>
        <v>0</v>
      </c>
      <c r="BW270" s="268">
        <f>(BW141-BV141)*-1</f>
        <v>0</v>
      </c>
      <c r="BX270" s="268">
        <f>(BX141-BW141)*-1</f>
        <v>0</v>
      </c>
      <c r="BY270" s="268">
        <f>(BY141-BX141)*-1</f>
        <v>0</v>
      </c>
      <c r="BZ270" s="268">
        <f>SUM(BV270:BY270)</f>
        <v>0</v>
      </c>
      <c r="CA270" s="268">
        <f>(CA141-BZ141)*-1</f>
        <v>0</v>
      </c>
      <c r="CB270" s="268">
        <f>(CB141-CA141)*-1</f>
        <v>0</v>
      </c>
      <c r="CC270" s="268">
        <f>(CC141-CB141)*-1</f>
        <v>0</v>
      </c>
      <c r="CD270" s="268">
        <f>(CD141-CC141)*-1</f>
        <v>0</v>
      </c>
      <c r="CE270" s="268">
        <f>SUM(CA270:CD270)</f>
        <v>0</v>
      </c>
      <c r="CF270" s="268">
        <f>(CF141-CE141)*-1</f>
        <v>0</v>
      </c>
      <c r="CG270" s="268">
        <f>(CG141-CF141)*-1</f>
        <v>0</v>
      </c>
      <c r="CH270" s="268">
        <f>(CH141-CG141)*-1</f>
        <v>0</v>
      </c>
      <c r="CI270" s="268">
        <f>(CI141-CH141)*-1</f>
        <v>0</v>
      </c>
      <c r="CJ270" s="268">
        <f>SUM(CF270:CI270)</f>
        <v>0</v>
      </c>
      <c r="CK270" s="268">
        <f>(CK141-CJ141)*-1</f>
        <v>0</v>
      </c>
      <c r="CL270" s="268">
        <f>(CL141-CK141)*-1</f>
        <v>0</v>
      </c>
      <c r="CM270" s="268">
        <f>(CM141-CL141)*-1</f>
        <v>0</v>
      </c>
      <c r="CN270" s="268">
        <f>(CN141-CM141)*-1</f>
        <v>0</v>
      </c>
      <c r="CO270" s="268">
        <f>SUM(CK270:CN270)</f>
        <v>0</v>
      </c>
      <c r="CP270" s="268">
        <f>(CP141-CO141)*-1</f>
        <v>0</v>
      </c>
      <c r="CQ270" s="268">
        <f>(CQ141-CP141)*-1</f>
        <v>0</v>
      </c>
      <c r="CR270" s="268">
        <f>(CR141-CQ141)*-1</f>
        <v>0</v>
      </c>
      <c r="CS270" s="268">
        <f>(CS141-CR141)*-1</f>
        <v>0</v>
      </c>
      <c r="CT270" s="268">
        <f>SUM(CP270:CS270)</f>
        <v>0</v>
      </c>
      <c r="CU270" s="268">
        <f>(CU141-CT141)*-1</f>
        <v>0</v>
      </c>
      <c r="CV270" s="268">
        <f>(CV141-CU141)*-1</f>
        <v>0</v>
      </c>
      <c r="CW270" s="268">
        <f>(CW141-CV141)*-1</f>
        <v>0</v>
      </c>
      <c r="CX270" s="268">
        <f>(CX141-CW141)*-1</f>
        <v>0</v>
      </c>
      <c r="CY270" s="268">
        <f>SUM(CU270:CX270)</f>
        <v>0</v>
      </c>
    </row>
    <row r="271" hidden="1" outlineLevel="1" ht="12.75" customHeight="1" s="255">
      <c r="C271" s="266" t="inlineStr">
        <is>
          <t>Accounts payable</t>
        </is>
      </c>
      <c r="D271" s="268" t="n"/>
      <c r="E271" s="268">
        <f>E184-D184</f>
        <v>0</v>
      </c>
      <c r="F271" s="268">
        <f>F184-E184</f>
        <v>0</v>
      </c>
      <c r="G271" s="268">
        <f>G184-F184</f>
        <v>0</v>
      </c>
      <c r="H271" s="268">
        <f>SUM(D271:G271)</f>
        <v>0</v>
      </c>
      <c r="I271" s="268">
        <f>I184-H184</f>
        <v>0</v>
      </c>
      <c r="J271" s="268">
        <f>J184-I184</f>
        <v>0</v>
      </c>
      <c r="K271" s="268">
        <f>K184-J184</f>
        <v>0</v>
      </c>
      <c r="L271" s="268">
        <f>L184-K184</f>
        <v>0</v>
      </c>
      <c r="M271" s="268">
        <f>SUM(I271:L271)</f>
        <v>0</v>
      </c>
      <c r="N271" s="268">
        <f>N184-M184</f>
        <v>0</v>
      </c>
      <c r="O271" s="268">
        <f>O184-N184</f>
        <v>0</v>
      </c>
      <c r="P271" s="268">
        <f>P184-O184</f>
        <v>0</v>
      </c>
      <c r="Q271" s="268">
        <f>Q184-P184</f>
        <v>0</v>
      </c>
      <c r="R271" s="268">
        <f>SUM(N271:Q271)</f>
        <v>0</v>
      </c>
      <c r="S271" s="268">
        <f>S184-R184</f>
        <v>0</v>
      </c>
      <c r="T271" s="268">
        <f>T184-S184</f>
        <v>0</v>
      </c>
      <c r="U271" s="268">
        <f>U184-T184</f>
        <v>0</v>
      </c>
      <c r="V271" s="268">
        <f>V184-U184</f>
        <v>0</v>
      </c>
      <c r="W271" s="268">
        <f>SUM(S271:V271)</f>
        <v>0</v>
      </c>
      <c r="X271" s="268">
        <f>X184-W184</f>
        <v>0</v>
      </c>
      <c r="Y271" s="268">
        <f>Y184-X184</f>
        <v>0</v>
      </c>
      <c r="Z271" s="268">
        <f>Z184-Y184</f>
        <v>0</v>
      </c>
      <c r="AA271" s="268">
        <f>AA184-Z184</f>
        <v>868.259</v>
      </c>
      <c r="AB271" s="268">
        <f>SUM(X271:AA271)</f>
        <v>868.259</v>
      </c>
      <c r="AC271" s="268">
        <f>AC184-AB184</f>
        <v>373.841</v>
      </c>
      <c r="AD271" s="268">
        <f>AD184-AC184</f>
        <v>-15.521</v>
      </c>
      <c r="AE271" s="268">
        <f>AE184-AD184</f>
        <v>-69.6010000000001</v>
      </c>
      <c r="AF271" s="268">
        <f>AF184-AE184</f>
        <v>466.022</v>
      </c>
      <c r="AG271" s="268">
        <f>SUM(AC271:AF271)</f>
        <v>754.741</v>
      </c>
      <c r="AH271" s="268">
        <f>AH184-AG184</f>
        <v>1748</v>
      </c>
      <c r="AI271" s="268">
        <f>AI184-AH184</f>
        <v>262</v>
      </c>
      <c r="AJ271" s="268">
        <f>AJ184-AI184</f>
        <v>-3633</v>
      </c>
      <c r="AK271" s="268">
        <f>AK184-AJ184</f>
        <v>0</v>
      </c>
      <c r="AL271" s="268">
        <f>SUM(AH271:AK271)</f>
        <v>-1623</v>
      </c>
      <c r="AM271" s="268">
        <f>AM184-AL184</f>
        <v>0</v>
      </c>
      <c r="AN271" s="268">
        <f>AN184-AM184</f>
        <v>0</v>
      </c>
      <c r="AO271" s="268">
        <f>AO184-AN184</f>
        <v>0</v>
      </c>
      <c r="AP271" s="268">
        <f>AP184-AO184</f>
        <v>0</v>
      </c>
      <c r="AQ271" s="268">
        <f>SUM(AM271:AP271)</f>
        <v>0</v>
      </c>
      <c r="AR271" s="268">
        <f>AR184-AQ184</f>
        <v>0</v>
      </c>
      <c r="AS271" s="268">
        <f>AS184-AR184</f>
        <v>0</v>
      </c>
      <c r="AT271" s="268">
        <f>AT184-AS184</f>
        <v>0</v>
      </c>
      <c r="AU271" s="268">
        <f>AU184-AT184</f>
        <v>0</v>
      </c>
      <c r="AV271" s="268">
        <f>SUM(AR271:AU271)</f>
        <v>0</v>
      </c>
      <c r="AW271" s="268">
        <f>AW184-AV184</f>
        <v>0</v>
      </c>
      <c r="AX271" s="268">
        <f>AX184-AW184</f>
        <v>0</v>
      </c>
      <c r="AY271" s="268">
        <f>AY184-AX184</f>
        <v>0</v>
      </c>
      <c r="AZ271" s="268">
        <f>AZ184-AY184</f>
        <v>0</v>
      </c>
      <c r="BA271" s="268">
        <f>SUM(AW271:AZ271)</f>
        <v>0</v>
      </c>
      <c r="BB271" s="268">
        <f>BB184-BA184</f>
        <v>0</v>
      </c>
      <c r="BC271" s="268">
        <f>BC184-BB184</f>
        <v>0</v>
      </c>
      <c r="BD271" s="268">
        <f>BD184-BC184</f>
        <v>0</v>
      </c>
      <c r="BE271" s="268">
        <f>BE184-BD184</f>
        <v>0</v>
      </c>
      <c r="BF271" s="268">
        <f>SUM(BB271:BE271)</f>
        <v>0</v>
      </c>
      <c r="BG271" s="268">
        <f>BG184-BF184</f>
        <v>0</v>
      </c>
      <c r="BH271" s="268">
        <f>BH184-BG184</f>
        <v>0</v>
      </c>
      <c r="BI271" s="268">
        <f>BI184-BH184</f>
        <v>0</v>
      </c>
      <c r="BJ271" s="268">
        <f>BJ184-BI184</f>
        <v>0</v>
      </c>
      <c r="BK271" s="268">
        <f>SUM(BG271:BJ271)</f>
        <v>0</v>
      </c>
      <c r="BL271" s="268">
        <f>BL184-BK184</f>
        <v>0</v>
      </c>
      <c r="BM271" s="268">
        <f>BM184-BL184</f>
        <v>0</v>
      </c>
      <c r="BN271" s="268">
        <f>BN184-BM184</f>
        <v>0</v>
      </c>
      <c r="BO271" s="268">
        <f>BO184-BN184</f>
        <v>0</v>
      </c>
      <c r="BP271" s="268">
        <f>SUM(BL271:BO271)</f>
        <v>0</v>
      </c>
      <c r="BQ271" s="268">
        <f>BQ184-BP184</f>
        <v>0</v>
      </c>
      <c r="BR271" s="268">
        <f>BR184-BQ184</f>
        <v>0</v>
      </c>
      <c r="BS271" s="268">
        <f>BS184-BR184</f>
        <v>0</v>
      </c>
      <c r="BT271" s="268">
        <f>BT184-BS184</f>
        <v>0</v>
      </c>
      <c r="BU271" s="268">
        <f>SUM(BQ271:BT271)</f>
        <v>0</v>
      </c>
      <c r="BV271" s="268">
        <f>BV184-BU184</f>
        <v>0</v>
      </c>
      <c r="BW271" s="268">
        <f>BW184-BV184</f>
        <v>0</v>
      </c>
      <c r="BX271" s="268">
        <f>BX184-BW184</f>
        <v>0</v>
      </c>
      <c r="BY271" s="268">
        <f>BY184-BX184</f>
        <v>0</v>
      </c>
      <c r="BZ271" s="268">
        <f>SUM(BV271:BY271)</f>
        <v>0</v>
      </c>
      <c r="CA271" s="268">
        <f>CA184-BZ184</f>
        <v>0</v>
      </c>
      <c r="CB271" s="268">
        <f>CB184-CA184</f>
        <v>0</v>
      </c>
      <c r="CC271" s="268">
        <f>CC184-CB184</f>
        <v>0</v>
      </c>
      <c r="CD271" s="268">
        <f>CD184-CC184</f>
        <v>0</v>
      </c>
      <c r="CE271" s="268">
        <f>SUM(CA271:CD271)</f>
        <v>0</v>
      </c>
      <c r="CF271" s="268">
        <f>CF184-CE184</f>
        <v>0</v>
      </c>
      <c r="CG271" s="268">
        <f>CG184-CF184</f>
        <v>0</v>
      </c>
      <c r="CH271" s="268">
        <f>CH184-CG184</f>
        <v>0</v>
      </c>
      <c r="CI271" s="268">
        <f>CI184-CH184</f>
        <v>0</v>
      </c>
      <c r="CJ271" s="268">
        <f>SUM(CF271:CI271)</f>
        <v>0</v>
      </c>
      <c r="CK271" s="268">
        <f>CK184-CJ184</f>
        <v>0</v>
      </c>
      <c r="CL271" s="268">
        <f>CL184-CK184</f>
        <v>0</v>
      </c>
      <c r="CM271" s="268">
        <f>CM184-CL184</f>
        <v>0</v>
      </c>
      <c r="CN271" s="268">
        <f>CN184-CM184</f>
        <v>0</v>
      </c>
      <c r="CO271" s="268">
        <f>SUM(CK271:CN271)</f>
        <v>0</v>
      </c>
      <c r="CP271" s="268">
        <f>CP184-CO184</f>
        <v>0</v>
      </c>
      <c r="CQ271" s="268">
        <f>CQ184-CP184</f>
        <v>0</v>
      </c>
      <c r="CR271" s="268">
        <f>CR184-CQ184</f>
        <v>0</v>
      </c>
      <c r="CS271" s="268">
        <f>CS184-CR184</f>
        <v>0</v>
      </c>
      <c r="CT271" s="268">
        <f>SUM(CP271:CS271)</f>
        <v>0</v>
      </c>
      <c r="CU271" s="268">
        <f>CU184-CT184</f>
        <v>0</v>
      </c>
      <c r="CV271" s="268">
        <f>CV184-CU184</f>
        <v>0</v>
      </c>
      <c r="CW271" s="268">
        <f>CW184-CV184</f>
        <v>0</v>
      </c>
      <c r="CX271" s="268">
        <f>CX184-CW184</f>
        <v>0</v>
      </c>
      <c r="CY271" s="268">
        <f>SUM(CU271:CX271)</f>
        <v>0</v>
      </c>
    </row>
    <row r="272" hidden="1" outlineLevel="1" ht="12.75" customHeight="1" s="255">
      <c r="C272" s="266" t="inlineStr">
        <is>
          <t>Accrued expenses</t>
        </is>
      </c>
      <c r="D272" s="268" t="n"/>
      <c r="E272" s="268">
        <f>E188-D188</f>
        <v>0</v>
      </c>
      <c r="F272" s="268">
        <f>F188-E188</f>
        <v>0</v>
      </c>
      <c r="G272" s="268">
        <f>G188-F188</f>
        <v>0</v>
      </c>
      <c r="H272" s="268">
        <f>SUM(D272:G272)</f>
        <v>0</v>
      </c>
      <c r="I272" s="268">
        <f>I188-H188</f>
        <v>0</v>
      </c>
      <c r="J272" s="268">
        <f>J188-I188</f>
        <v>0</v>
      </c>
      <c r="K272" s="268">
        <f>K188-J188</f>
        <v>0</v>
      </c>
      <c r="L272" s="268">
        <f>L188-K188</f>
        <v>0</v>
      </c>
      <c r="M272" s="268">
        <f>SUM(I272:L272)</f>
        <v>0</v>
      </c>
      <c r="N272" s="268">
        <f>N188-M188</f>
        <v>0</v>
      </c>
      <c r="O272" s="268">
        <f>O188-N188</f>
        <v>0</v>
      </c>
      <c r="P272" s="268">
        <f>P188-O188</f>
        <v>0</v>
      </c>
      <c r="Q272" s="268">
        <f>Q188-P188</f>
        <v>0</v>
      </c>
      <c r="R272" s="268">
        <f>SUM(N272:Q272)</f>
        <v>0</v>
      </c>
      <c r="S272" s="268">
        <f>S188-R188</f>
        <v>0</v>
      </c>
      <c r="T272" s="268">
        <f>T188-S188</f>
        <v>0</v>
      </c>
      <c r="U272" s="268">
        <f>U188-T188</f>
        <v>0</v>
      </c>
      <c r="V272" s="268">
        <f>V188-U188</f>
        <v>0</v>
      </c>
      <c r="W272" s="268">
        <f>SUM(S272:V272)</f>
        <v>0</v>
      </c>
      <c r="X272" s="268">
        <f>X188-W188</f>
        <v>0</v>
      </c>
      <c r="Y272" s="268">
        <f>Y188-X188</f>
        <v>0</v>
      </c>
      <c r="Z272" s="268">
        <f>Z188-Y188</f>
        <v>0</v>
      </c>
      <c r="AA272" s="268">
        <f>AA188-Z188</f>
        <v>355.821</v>
      </c>
      <c r="AB272" s="268">
        <f>SUM(X272:AA272)</f>
        <v>355.821</v>
      </c>
      <c r="AC272" s="268">
        <f>AC188-AB188</f>
        <v>1021.192</v>
      </c>
      <c r="AD272" s="268">
        <f>AD188-AC188</f>
        <v>34.2239999999999</v>
      </c>
      <c r="AE272" s="268">
        <f>AE188-AD188</f>
        <v>1761.037</v>
      </c>
      <c r="AF272" s="268">
        <f>AF188-AE188</f>
        <v>2600.726</v>
      </c>
      <c r="AG272" s="268">
        <f>SUM(AC272:AF272)</f>
        <v>5417.179</v>
      </c>
      <c r="AH272" s="268">
        <f>AH188-AG188</f>
        <v>-3047</v>
      </c>
      <c r="AI272" s="268">
        <f>AI188-AH188</f>
        <v>3698</v>
      </c>
      <c r="AJ272" s="268">
        <f>AJ188-AI188</f>
        <v>-6424</v>
      </c>
      <c r="AK272" s="268">
        <f>AK188-AJ188</f>
        <v>0</v>
      </c>
      <c r="AL272" s="268">
        <f>SUM(AH272:AK272)</f>
        <v>-5773</v>
      </c>
      <c r="AM272" s="268" t="e">
        <f>AM188-AL188</f>
        <v>#DIV/0!</v>
      </c>
      <c r="AN272" s="268" t="e">
        <f>AN188-AM188</f>
        <v>#DIV/0!</v>
      </c>
      <c r="AO272" s="268" t="e">
        <f>AO188-AN188</f>
        <v>#DIV/0!</v>
      </c>
      <c r="AP272" s="268" t="e">
        <f>AP188-AO188</f>
        <v>#DIV/0!</v>
      </c>
      <c r="AQ272" s="268" t="e">
        <f>SUM(AM272:AP272)</f>
        <v>#DIV/0!</v>
      </c>
      <c r="AR272" s="268" t="e">
        <f>AR188-AQ188</f>
        <v>#DIV/0!</v>
      </c>
      <c r="AS272" s="268" t="e">
        <f>AS188-AR188</f>
        <v>#DIV/0!</v>
      </c>
      <c r="AT272" s="268" t="e">
        <f>AT188-AS188</f>
        <v>#DIV/0!</v>
      </c>
      <c r="AU272" s="268" t="e">
        <f>AU188-AT188</f>
        <v>#DIV/0!</v>
      </c>
      <c r="AV272" s="268" t="e">
        <f>SUM(AR272:AU272)</f>
        <v>#DIV/0!</v>
      </c>
      <c r="AW272" s="268" t="e">
        <f>AW188-AV188</f>
        <v>#DIV/0!</v>
      </c>
      <c r="AX272" s="268" t="e">
        <f>AX188-AW188</f>
        <v>#DIV/0!</v>
      </c>
      <c r="AY272" s="268" t="e">
        <f>AY188-AX188</f>
        <v>#DIV/0!</v>
      </c>
      <c r="AZ272" s="268" t="e">
        <f>AZ188-AY188</f>
        <v>#DIV/0!</v>
      </c>
      <c r="BA272" s="268" t="e">
        <f>SUM(AW272:AZ272)</f>
        <v>#DIV/0!</v>
      </c>
      <c r="BB272" s="268" t="e">
        <f>BB188-BA188</f>
        <v>#DIV/0!</v>
      </c>
      <c r="BC272" s="268" t="e">
        <f>BC188-BB188</f>
        <v>#DIV/0!</v>
      </c>
      <c r="BD272" s="268" t="e">
        <f>BD188-BC188</f>
        <v>#DIV/0!</v>
      </c>
      <c r="BE272" s="268" t="e">
        <f>BE188-BD188</f>
        <v>#DIV/0!</v>
      </c>
      <c r="BF272" s="268" t="e">
        <f>SUM(BB272:BE272)</f>
        <v>#DIV/0!</v>
      </c>
      <c r="BG272" s="268" t="e">
        <f>BG188-BF188</f>
        <v>#DIV/0!</v>
      </c>
      <c r="BH272" s="268" t="e">
        <f>BH188-BG188</f>
        <v>#DIV/0!</v>
      </c>
      <c r="BI272" s="268" t="e">
        <f>BI188-BH188</f>
        <v>#DIV/0!</v>
      </c>
      <c r="BJ272" s="268" t="e">
        <f>BJ188-BI188</f>
        <v>#DIV/0!</v>
      </c>
      <c r="BK272" s="268" t="e">
        <f>SUM(BG272:BJ272)</f>
        <v>#DIV/0!</v>
      </c>
      <c r="BL272" s="268" t="e">
        <f>BL188-BK188</f>
        <v>#DIV/0!</v>
      </c>
      <c r="BM272" s="268" t="e">
        <f>BM188-BL188</f>
        <v>#DIV/0!</v>
      </c>
      <c r="BN272" s="268" t="e">
        <f>BN188-BM188</f>
        <v>#DIV/0!</v>
      </c>
      <c r="BO272" s="268" t="e">
        <f>BO188-BN188</f>
        <v>#DIV/0!</v>
      </c>
      <c r="BP272" s="268" t="e">
        <f>SUM(BL272:BO272)</f>
        <v>#DIV/0!</v>
      </c>
      <c r="BQ272" s="268" t="e">
        <f>BQ188-BP188</f>
        <v>#DIV/0!</v>
      </c>
      <c r="BR272" s="268" t="e">
        <f>BR188-BQ188</f>
        <v>#DIV/0!</v>
      </c>
      <c r="BS272" s="268" t="e">
        <f>BS188-BR188</f>
        <v>#DIV/0!</v>
      </c>
      <c r="BT272" s="268" t="e">
        <f>BT188-BS188</f>
        <v>#DIV/0!</v>
      </c>
      <c r="BU272" s="268" t="e">
        <f>SUM(BQ272:BT272)</f>
        <v>#DIV/0!</v>
      </c>
      <c r="BV272" s="268" t="e">
        <f>BV188-BU188</f>
        <v>#DIV/0!</v>
      </c>
      <c r="BW272" s="268" t="e">
        <f>BW188-BV188</f>
        <v>#DIV/0!</v>
      </c>
      <c r="BX272" s="268" t="e">
        <f>BX188-BW188</f>
        <v>#DIV/0!</v>
      </c>
      <c r="BY272" s="268" t="e">
        <f>BY188-BX188</f>
        <v>#DIV/0!</v>
      </c>
      <c r="BZ272" s="268" t="e">
        <f>SUM(BV272:BY272)</f>
        <v>#DIV/0!</v>
      </c>
      <c r="CA272" s="268" t="e">
        <f>CA188-BZ188</f>
        <v>#DIV/0!</v>
      </c>
      <c r="CB272" s="268" t="e">
        <f>CB188-CA188</f>
        <v>#DIV/0!</v>
      </c>
      <c r="CC272" s="268" t="e">
        <f>CC188-CB188</f>
        <v>#DIV/0!</v>
      </c>
      <c r="CD272" s="268" t="e">
        <f>CD188-CC188</f>
        <v>#DIV/0!</v>
      </c>
      <c r="CE272" s="268" t="e">
        <f>SUM(CA272:CD272)</f>
        <v>#DIV/0!</v>
      </c>
      <c r="CF272" s="268" t="e">
        <f>CF188-CE188</f>
        <v>#DIV/0!</v>
      </c>
      <c r="CG272" s="268" t="e">
        <f>CG188-CF188</f>
        <v>#DIV/0!</v>
      </c>
      <c r="CH272" s="268" t="e">
        <f>CH188-CG188</f>
        <v>#DIV/0!</v>
      </c>
      <c r="CI272" s="268" t="e">
        <f>CI188-CH188</f>
        <v>#DIV/0!</v>
      </c>
      <c r="CJ272" s="268" t="e">
        <f>SUM(CF272:CI272)</f>
        <v>#DIV/0!</v>
      </c>
      <c r="CK272" s="268" t="e">
        <f>CK188-CJ188</f>
        <v>#DIV/0!</v>
      </c>
      <c r="CL272" s="268" t="e">
        <f>CL188-CK188</f>
        <v>#DIV/0!</v>
      </c>
      <c r="CM272" s="268" t="e">
        <f>CM188-CL188</f>
        <v>#DIV/0!</v>
      </c>
      <c r="CN272" s="268" t="e">
        <f>CN188-CM188</f>
        <v>#DIV/0!</v>
      </c>
      <c r="CO272" s="268" t="e">
        <f>SUM(CK272:CN272)</f>
        <v>#DIV/0!</v>
      </c>
      <c r="CP272" s="268" t="e">
        <f>CP188-CO188</f>
        <v>#DIV/0!</v>
      </c>
      <c r="CQ272" s="268" t="e">
        <f>CQ188-CP188</f>
        <v>#DIV/0!</v>
      </c>
      <c r="CR272" s="268" t="e">
        <f>CR188-CQ188</f>
        <v>#DIV/0!</v>
      </c>
      <c r="CS272" s="268" t="e">
        <f>CS188-CR188</f>
        <v>#DIV/0!</v>
      </c>
      <c r="CT272" s="268" t="e">
        <f>SUM(CP272:CS272)</f>
        <v>#DIV/0!</v>
      </c>
      <c r="CU272" s="268" t="e">
        <f>CU188-CT188</f>
        <v>#DIV/0!</v>
      </c>
      <c r="CV272" s="268" t="e">
        <f>CV188-CU188</f>
        <v>#DIV/0!</v>
      </c>
      <c r="CW272" s="268" t="e">
        <f>CW188-CV188</f>
        <v>#DIV/0!</v>
      </c>
      <c r="CX272" s="268" t="e">
        <f>CX188-CW188</f>
        <v>#DIV/0!</v>
      </c>
      <c r="CY272" s="268" t="e">
        <f>SUM(CU272:CX272)</f>
        <v>#DIV/0!</v>
      </c>
    </row>
    <row r="273" hidden="1" outlineLevel="1" ht="12.75" customHeight="1" s="255">
      <c r="C273" s="266" t="inlineStr">
        <is>
          <t>Taxes payable</t>
        </is>
      </c>
      <c r="D273" s="268" t="n"/>
      <c r="E273" s="268">
        <f>E190-D190</f>
        <v>0</v>
      </c>
      <c r="F273" s="268">
        <f>F190-E190</f>
        <v>0</v>
      </c>
      <c r="G273" s="268">
        <f>G190-F190</f>
        <v>0</v>
      </c>
      <c r="H273" s="268">
        <f>SUM(D273:G273)</f>
        <v>0</v>
      </c>
      <c r="I273" s="268">
        <f>I190-H190</f>
        <v>0</v>
      </c>
      <c r="J273" s="268">
        <f>J190-I190</f>
        <v>0</v>
      </c>
      <c r="K273" s="268">
        <f>K190-J190</f>
        <v>0</v>
      </c>
      <c r="L273" s="268">
        <f>L190-K190</f>
        <v>0</v>
      </c>
      <c r="M273" s="268">
        <f>SUM(I273:L273)</f>
        <v>0</v>
      </c>
      <c r="N273" s="268">
        <f>N190-M190</f>
        <v>0</v>
      </c>
      <c r="O273" s="268">
        <f>O190-N190</f>
        <v>0</v>
      </c>
      <c r="P273" s="268">
        <f>P190-O190</f>
        <v>0</v>
      </c>
      <c r="Q273" s="268">
        <f>Q190-P190</f>
        <v>0</v>
      </c>
      <c r="R273" s="268">
        <f>SUM(N273:Q273)</f>
        <v>0</v>
      </c>
      <c r="S273" s="268">
        <f>S190-R190</f>
        <v>0</v>
      </c>
      <c r="T273" s="268">
        <f>T190-S190</f>
        <v>0</v>
      </c>
      <c r="U273" s="268">
        <f>U190-T190</f>
        <v>0</v>
      </c>
      <c r="V273" s="268">
        <f>V190-U190</f>
        <v>0</v>
      </c>
      <c r="W273" s="268">
        <f>SUM(S273:V273)</f>
        <v>0</v>
      </c>
      <c r="X273" s="268">
        <f>X190-W190</f>
        <v>0</v>
      </c>
      <c r="Y273" s="268">
        <f>Y190-X190</f>
        <v>0</v>
      </c>
      <c r="Z273" s="268">
        <f>Z190-Y190</f>
        <v>0</v>
      </c>
      <c r="AA273" s="268">
        <f>AA190-Z190</f>
        <v>0</v>
      </c>
      <c r="AB273" s="268">
        <f>SUM(X273:AA273)</f>
        <v>0</v>
      </c>
      <c r="AC273" s="268">
        <f>AC190-AB190</f>
        <v>0</v>
      </c>
      <c r="AD273" s="268">
        <f>AD190-AC190</f>
        <v>0</v>
      </c>
      <c r="AE273" s="268">
        <f>AE190-AD190</f>
        <v>0</v>
      </c>
      <c r="AF273" s="268">
        <f>AF190-AE190</f>
        <v>0</v>
      </c>
      <c r="AG273" s="268">
        <f>SUM(AC273:AF273)</f>
        <v>0</v>
      </c>
      <c r="AH273" s="268">
        <f>AH190-AG190</f>
        <v>0</v>
      </c>
      <c r="AI273" s="268">
        <f>AI190-AH190</f>
        <v>0</v>
      </c>
      <c r="AJ273" s="268">
        <f>AJ190-AI190</f>
        <v>0</v>
      </c>
      <c r="AK273" s="268">
        <f>AK190-AJ190</f>
        <v>0</v>
      </c>
      <c r="AL273" s="268">
        <f>SUM(AH273:AK273)</f>
        <v>0</v>
      </c>
      <c r="AM273" s="268" t="e">
        <f>AM190-AL190</f>
        <v>#DIV/0!</v>
      </c>
      <c r="AN273" s="268" t="e">
        <f>AN190-AM190</f>
        <v>#DIV/0!</v>
      </c>
      <c r="AO273" s="268" t="e">
        <f>AO190-AN190</f>
        <v>#DIV/0!</v>
      </c>
      <c r="AP273" s="268" t="e">
        <f>AP190-AO190</f>
        <v>#DIV/0!</v>
      </c>
      <c r="AQ273" s="268" t="e">
        <f>SUM(AM273:AP273)</f>
        <v>#DIV/0!</v>
      </c>
      <c r="AR273" s="268" t="e">
        <f>AR190-AQ190</f>
        <v>#DIV/0!</v>
      </c>
      <c r="AS273" s="268" t="e">
        <f>AS190-AR190</f>
        <v>#DIV/0!</v>
      </c>
      <c r="AT273" s="268" t="e">
        <f>AT190-AS190</f>
        <v>#DIV/0!</v>
      </c>
      <c r="AU273" s="268" t="e">
        <f>AU190-AT190</f>
        <v>#DIV/0!</v>
      </c>
      <c r="AV273" s="268" t="e">
        <f>SUM(AR273:AU273)</f>
        <v>#DIV/0!</v>
      </c>
      <c r="AW273" s="268" t="e">
        <f>AW190-AV190</f>
        <v>#DIV/0!</v>
      </c>
      <c r="AX273" s="268" t="e">
        <f>AX190-AW190</f>
        <v>#DIV/0!</v>
      </c>
      <c r="AY273" s="268" t="e">
        <f>AY190-AX190</f>
        <v>#DIV/0!</v>
      </c>
      <c r="AZ273" s="268" t="e">
        <f>AZ190-AY190</f>
        <v>#DIV/0!</v>
      </c>
      <c r="BA273" s="268" t="e">
        <f>SUM(AW273:AZ273)</f>
        <v>#DIV/0!</v>
      </c>
      <c r="BB273" s="268" t="e">
        <f>BB190-BA190</f>
        <v>#DIV/0!</v>
      </c>
      <c r="BC273" s="268" t="e">
        <f>BC190-BB190</f>
        <v>#DIV/0!</v>
      </c>
      <c r="BD273" s="268" t="e">
        <f>BD190-BC190</f>
        <v>#DIV/0!</v>
      </c>
      <c r="BE273" s="268" t="e">
        <f>BE190-BD190</f>
        <v>#DIV/0!</v>
      </c>
      <c r="BF273" s="268" t="e">
        <f>SUM(BB273:BE273)</f>
        <v>#DIV/0!</v>
      </c>
      <c r="BG273" s="268" t="e">
        <f>BG190-BF190</f>
        <v>#DIV/0!</v>
      </c>
      <c r="BH273" s="268" t="e">
        <f>BH190-BG190</f>
        <v>#DIV/0!</v>
      </c>
      <c r="BI273" s="268" t="e">
        <f>BI190-BH190</f>
        <v>#DIV/0!</v>
      </c>
      <c r="BJ273" s="268" t="e">
        <f>BJ190-BI190</f>
        <v>#DIV/0!</v>
      </c>
      <c r="BK273" s="268" t="e">
        <f>SUM(BG273:BJ273)</f>
        <v>#DIV/0!</v>
      </c>
      <c r="BL273" s="268" t="e">
        <f>BL190-BK190</f>
        <v>#DIV/0!</v>
      </c>
      <c r="BM273" s="268" t="e">
        <f>BM190-BL190</f>
        <v>#DIV/0!</v>
      </c>
      <c r="BN273" s="268" t="e">
        <f>BN190-BM190</f>
        <v>#DIV/0!</v>
      </c>
      <c r="BO273" s="268" t="e">
        <f>BO190-BN190</f>
        <v>#DIV/0!</v>
      </c>
      <c r="BP273" s="268" t="e">
        <f>SUM(BL273:BO273)</f>
        <v>#DIV/0!</v>
      </c>
      <c r="BQ273" s="268" t="e">
        <f>BQ190-BP190</f>
        <v>#DIV/0!</v>
      </c>
      <c r="BR273" s="268" t="e">
        <f>BR190-BQ190</f>
        <v>#DIV/0!</v>
      </c>
      <c r="BS273" s="268" t="e">
        <f>BS190-BR190</f>
        <v>#DIV/0!</v>
      </c>
      <c r="BT273" s="268" t="e">
        <f>BT190-BS190</f>
        <v>#DIV/0!</v>
      </c>
      <c r="BU273" s="268" t="e">
        <f>SUM(BQ273:BT273)</f>
        <v>#DIV/0!</v>
      </c>
      <c r="BV273" s="268" t="e">
        <f>BV190-BU190</f>
        <v>#DIV/0!</v>
      </c>
      <c r="BW273" s="268" t="e">
        <f>BW190-BV190</f>
        <v>#DIV/0!</v>
      </c>
      <c r="BX273" s="268" t="e">
        <f>BX190-BW190</f>
        <v>#DIV/0!</v>
      </c>
      <c r="BY273" s="268" t="e">
        <f>BY190-BX190</f>
        <v>#DIV/0!</v>
      </c>
      <c r="BZ273" s="268" t="e">
        <f>SUM(BV273:BY273)</f>
        <v>#DIV/0!</v>
      </c>
      <c r="CA273" s="268" t="e">
        <f>CA190-BZ190</f>
        <v>#DIV/0!</v>
      </c>
      <c r="CB273" s="268" t="e">
        <f>CB190-CA190</f>
        <v>#DIV/0!</v>
      </c>
      <c r="CC273" s="268" t="e">
        <f>CC190-CB190</f>
        <v>#DIV/0!</v>
      </c>
      <c r="CD273" s="268" t="e">
        <f>CD190-CC190</f>
        <v>#DIV/0!</v>
      </c>
      <c r="CE273" s="268" t="e">
        <f>SUM(CA273:CD273)</f>
        <v>#DIV/0!</v>
      </c>
      <c r="CF273" s="268" t="e">
        <f>CF190-CE190</f>
        <v>#DIV/0!</v>
      </c>
      <c r="CG273" s="268" t="e">
        <f>CG190-CF190</f>
        <v>#DIV/0!</v>
      </c>
      <c r="CH273" s="268" t="e">
        <f>CH190-CG190</f>
        <v>#DIV/0!</v>
      </c>
      <c r="CI273" s="268" t="e">
        <f>CI190-CH190</f>
        <v>#DIV/0!</v>
      </c>
      <c r="CJ273" s="268" t="e">
        <f>SUM(CF273:CI273)</f>
        <v>#DIV/0!</v>
      </c>
      <c r="CK273" s="268" t="e">
        <f>CK190-CJ190</f>
        <v>#DIV/0!</v>
      </c>
      <c r="CL273" s="268" t="e">
        <f>CL190-CK190</f>
        <v>#DIV/0!</v>
      </c>
      <c r="CM273" s="268" t="e">
        <f>CM190-CL190</f>
        <v>#DIV/0!</v>
      </c>
      <c r="CN273" s="268" t="e">
        <f>CN190-CM190</f>
        <v>#DIV/0!</v>
      </c>
      <c r="CO273" s="268" t="e">
        <f>SUM(CK273:CN273)</f>
        <v>#DIV/0!</v>
      </c>
      <c r="CP273" s="268" t="e">
        <f>CP190-CO190</f>
        <v>#DIV/0!</v>
      </c>
      <c r="CQ273" s="268" t="e">
        <f>CQ190-CP190</f>
        <v>#DIV/0!</v>
      </c>
      <c r="CR273" s="268" t="e">
        <f>CR190-CQ190</f>
        <v>#DIV/0!</v>
      </c>
      <c r="CS273" s="268" t="e">
        <f>CS190-CR190</f>
        <v>#DIV/0!</v>
      </c>
      <c r="CT273" s="268" t="e">
        <f>SUM(CP273:CS273)</f>
        <v>#DIV/0!</v>
      </c>
      <c r="CU273" s="268" t="e">
        <f>CU190-CT190</f>
        <v>#DIV/0!</v>
      </c>
      <c r="CV273" s="268" t="e">
        <f>CV190-CU190</f>
        <v>#DIV/0!</v>
      </c>
      <c r="CW273" s="268" t="e">
        <f>CW190-CV190</f>
        <v>#DIV/0!</v>
      </c>
      <c r="CX273" s="268" t="e">
        <f>CX190-CW190</f>
        <v>#DIV/0!</v>
      </c>
      <c r="CY273" s="268" t="e">
        <f>SUM(CU273:CX273)</f>
        <v>#DIV/0!</v>
      </c>
    </row>
    <row r="274" hidden="1" outlineLevel="1" ht="12.75" customHeight="1" s="255">
      <c r="C274" s="266" t="inlineStr">
        <is>
          <t>Other current liabilities (non-debt)</t>
        </is>
      </c>
      <c r="D274" s="268" t="n"/>
      <c r="E274" s="268">
        <f>E191-D191</f>
        <v>0</v>
      </c>
      <c r="F274" s="268">
        <f>F191-E191</f>
        <v>0</v>
      </c>
      <c r="G274" s="268">
        <f>G191-F191</f>
        <v>0</v>
      </c>
      <c r="H274" s="268">
        <f>SUM(D274:G274)</f>
        <v>0</v>
      </c>
      <c r="I274" s="268">
        <f>I191-H191</f>
        <v>0</v>
      </c>
      <c r="J274" s="268">
        <f>J191-I191</f>
        <v>0</v>
      </c>
      <c r="K274" s="268">
        <f>K191-J191</f>
        <v>0</v>
      </c>
      <c r="L274" s="268">
        <f>L191-K191</f>
        <v>0</v>
      </c>
      <c r="M274" s="268">
        <f>SUM(I274:L274)</f>
        <v>0</v>
      </c>
      <c r="N274" s="268">
        <f>N191-M191</f>
        <v>0</v>
      </c>
      <c r="O274" s="268">
        <f>O191-N191</f>
        <v>0</v>
      </c>
      <c r="P274" s="268">
        <f>P191-O191</f>
        <v>0</v>
      </c>
      <c r="Q274" s="268">
        <f>Q191-P191</f>
        <v>0</v>
      </c>
      <c r="R274" s="268">
        <f>SUM(N274:Q274)</f>
        <v>0</v>
      </c>
      <c r="S274" s="268">
        <f>S191-R191</f>
        <v>0</v>
      </c>
      <c r="T274" s="268">
        <f>T191-S191</f>
        <v>0</v>
      </c>
      <c r="U274" s="268">
        <f>U191-T191</f>
        <v>0</v>
      </c>
      <c r="V274" s="268">
        <f>V191-U191</f>
        <v>0</v>
      </c>
      <c r="W274" s="268">
        <f>SUM(S274:V274)</f>
        <v>0</v>
      </c>
      <c r="X274" s="268">
        <f>X191-W191</f>
        <v>0</v>
      </c>
      <c r="Y274" s="268">
        <f>Y191-X191</f>
        <v>0</v>
      </c>
      <c r="Z274" s="268">
        <f>Z191-Y191</f>
        <v>0</v>
      </c>
      <c r="AA274" s="268">
        <f>AA191-Z191</f>
        <v>1056.972</v>
      </c>
      <c r="AB274" s="268">
        <f>SUM(X274:AA274)</f>
        <v>1056.972</v>
      </c>
      <c r="AC274" s="268">
        <f>AC191-AB191</f>
        <v>-561.432</v>
      </c>
      <c r="AD274" s="268">
        <f>AD191-AC191</f>
        <v>516.255</v>
      </c>
      <c r="AE274" s="268">
        <f>AE191-AD191</f>
        <v>316.176</v>
      </c>
      <c r="AF274" s="268">
        <f>AF191-AE191</f>
        <v>581.029</v>
      </c>
      <c r="AG274" s="268">
        <f>SUM(AC274:AF274)</f>
        <v>852.028</v>
      </c>
      <c r="AH274" s="268">
        <f>AH191-AG191</f>
        <v>1778</v>
      </c>
      <c r="AI274" s="268">
        <f>AI191-AH191</f>
        <v>6589</v>
      </c>
      <c r="AJ274" s="268">
        <f>AJ191-AI191</f>
        <v>0</v>
      </c>
      <c r="AK274" s="268">
        <f>AK191-AJ191</f>
        <v>0</v>
      </c>
      <c r="AL274" s="268">
        <f>SUM(AH274:AK274)</f>
        <v>8367</v>
      </c>
      <c r="AM274" s="268">
        <f>AM191-AL191</f>
        <v>0</v>
      </c>
      <c r="AN274" s="268">
        <f>AN191-AM191</f>
        <v>0</v>
      </c>
      <c r="AO274" s="268">
        <f>AO191-AN191</f>
        <v>0</v>
      </c>
      <c r="AP274" s="268">
        <f>AP191-AO191</f>
        <v>0</v>
      </c>
      <c r="AQ274" s="268">
        <f>SUM(AM274:AP274)</f>
        <v>0</v>
      </c>
      <c r="AR274" s="268">
        <f>AR191-AQ191</f>
        <v>0</v>
      </c>
      <c r="AS274" s="268">
        <f>AS191-AR191</f>
        <v>0</v>
      </c>
      <c r="AT274" s="268">
        <f>AT191-AS191</f>
        <v>0</v>
      </c>
      <c r="AU274" s="268">
        <f>AU191-AT191</f>
        <v>0</v>
      </c>
      <c r="AV274" s="268">
        <f>SUM(AR274:AU274)</f>
        <v>0</v>
      </c>
      <c r="AW274" s="268">
        <f>AW191-AV191</f>
        <v>0</v>
      </c>
      <c r="AX274" s="268">
        <f>AX191-AW191</f>
        <v>0</v>
      </c>
      <c r="AY274" s="268">
        <f>AY191-AX191</f>
        <v>0</v>
      </c>
      <c r="AZ274" s="268">
        <f>AZ191-AY191</f>
        <v>0</v>
      </c>
      <c r="BA274" s="268">
        <f>SUM(AW274:AZ274)</f>
        <v>0</v>
      </c>
      <c r="BB274" s="268">
        <f>BB191-BA191</f>
        <v>0</v>
      </c>
      <c r="BC274" s="268">
        <f>BC191-BB191</f>
        <v>0</v>
      </c>
      <c r="BD274" s="268">
        <f>BD191-BC191</f>
        <v>0</v>
      </c>
      <c r="BE274" s="268">
        <f>BE191-BD191</f>
        <v>0</v>
      </c>
      <c r="BF274" s="268">
        <f>SUM(BB274:BE274)</f>
        <v>0</v>
      </c>
      <c r="BG274" s="268">
        <f>BG191-BF191</f>
        <v>0</v>
      </c>
      <c r="BH274" s="268">
        <f>BH191-BG191</f>
        <v>0</v>
      </c>
      <c r="BI274" s="268">
        <f>BI191-BH191</f>
        <v>0</v>
      </c>
      <c r="BJ274" s="268">
        <f>BJ191-BI191</f>
        <v>0</v>
      </c>
      <c r="BK274" s="268">
        <f>SUM(BG274:BJ274)</f>
        <v>0</v>
      </c>
      <c r="BL274" s="268">
        <f>BL191-BK191</f>
        <v>0</v>
      </c>
      <c r="BM274" s="268">
        <f>BM191-BL191</f>
        <v>0</v>
      </c>
      <c r="BN274" s="268">
        <f>BN191-BM191</f>
        <v>0</v>
      </c>
      <c r="BO274" s="268">
        <f>BO191-BN191</f>
        <v>0</v>
      </c>
      <c r="BP274" s="268">
        <f>SUM(BL274:BO274)</f>
        <v>0</v>
      </c>
      <c r="BQ274" s="268">
        <f>BQ191-BP191</f>
        <v>0</v>
      </c>
      <c r="BR274" s="268">
        <f>BR191-BQ191</f>
        <v>0</v>
      </c>
      <c r="BS274" s="268">
        <f>BS191-BR191</f>
        <v>0</v>
      </c>
      <c r="BT274" s="268">
        <f>BT191-BS191</f>
        <v>0</v>
      </c>
      <c r="BU274" s="268">
        <f>SUM(BQ274:BT274)</f>
        <v>0</v>
      </c>
      <c r="BV274" s="268">
        <f>BV191-BU191</f>
        <v>0</v>
      </c>
      <c r="BW274" s="268">
        <f>BW191-BV191</f>
        <v>0</v>
      </c>
      <c r="BX274" s="268">
        <f>BX191-BW191</f>
        <v>0</v>
      </c>
      <c r="BY274" s="268">
        <f>BY191-BX191</f>
        <v>0</v>
      </c>
      <c r="BZ274" s="268">
        <f>SUM(BV274:BY274)</f>
        <v>0</v>
      </c>
      <c r="CA274" s="268">
        <f>CA191-BZ191</f>
        <v>0</v>
      </c>
      <c r="CB274" s="268">
        <f>CB191-CA191</f>
        <v>0</v>
      </c>
      <c r="CC274" s="268">
        <f>CC191-CB191</f>
        <v>0</v>
      </c>
      <c r="CD274" s="268">
        <f>CD191-CC191</f>
        <v>0</v>
      </c>
      <c r="CE274" s="268">
        <f>SUM(CA274:CD274)</f>
        <v>0</v>
      </c>
      <c r="CF274" s="268">
        <f>CF191-CE191</f>
        <v>0</v>
      </c>
      <c r="CG274" s="268">
        <f>CG191-CF191</f>
        <v>0</v>
      </c>
      <c r="CH274" s="268">
        <f>CH191-CG191</f>
        <v>0</v>
      </c>
      <c r="CI274" s="268">
        <f>CI191-CH191</f>
        <v>0</v>
      </c>
      <c r="CJ274" s="268">
        <f>SUM(CF274:CI274)</f>
        <v>0</v>
      </c>
      <c r="CK274" s="268">
        <f>CK191-CJ191</f>
        <v>0</v>
      </c>
      <c r="CL274" s="268">
        <f>CL191-CK191</f>
        <v>0</v>
      </c>
      <c r="CM274" s="268">
        <f>CM191-CL191</f>
        <v>0</v>
      </c>
      <c r="CN274" s="268">
        <f>CN191-CM191</f>
        <v>0</v>
      </c>
      <c r="CO274" s="268">
        <f>SUM(CK274:CN274)</f>
        <v>0</v>
      </c>
      <c r="CP274" s="268">
        <f>CP191-CO191</f>
        <v>0</v>
      </c>
      <c r="CQ274" s="268">
        <f>CQ191-CP191</f>
        <v>0</v>
      </c>
      <c r="CR274" s="268">
        <f>CR191-CQ191</f>
        <v>0</v>
      </c>
      <c r="CS274" s="268">
        <f>CS191-CR191</f>
        <v>0</v>
      </c>
      <c r="CT274" s="268">
        <f>SUM(CP274:CS274)</f>
        <v>0</v>
      </c>
      <c r="CU274" s="268">
        <f>CU191-CT191</f>
        <v>0</v>
      </c>
      <c r="CV274" s="268">
        <f>CV191-CU191</f>
        <v>0</v>
      </c>
      <c r="CW274" s="268">
        <f>CW191-CV191</f>
        <v>0</v>
      </c>
      <c r="CX274" s="268">
        <f>CX191-CW191</f>
        <v>0</v>
      </c>
      <c r="CY274" s="268">
        <f>SUM(CU274:CX274)</f>
        <v>0</v>
      </c>
    </row>
    <row r="275" hidden="1" outlineLevel="1" ht="12.75" customHeight="1" s="255">
      <c r="C275" s="266" t="inlineStr">
        <is>
          <t>Deferred income taxes</t>
        </is>
      </c>
      <c r="D275" s="268" t="n"/>
      <c r="E275" s="268">
        <f>E225-D225</f>
        <v>0</v>
      </c>
      <c r="F275" s="268">
        <f>F225-E225</f>
        <v>0</v>
      </c>
      <c r="G275" s="268">
        <f>G225-F225</f>
        <v>0</v>
      </c>
      <c r="H275" s="268">
        <f>SUM(D275:G275)</f>
        <v>0</v>
      </c>
      <c r="I275" s="268">
        <f>I225-H225</f>
        <v>0</v>
      </c>
      <c r="J275" s="268">
        <f>J225-I225</f>
        <v>0</v>
      </c>
      <c r="K275" s="268">
        <f>K225-J225</f>
        <v>0</v>
      </c>
      <c r="L275" s="268">
        <f>L225-K225</f>
        <v>0</v>
      </c>
      <c r="M275" s="268">
        <f>SUM(I275:L275)</f>
        <v>0</v>
      </c>
      <c r="N275" s="268">
        <f>N225-M225</f>
        <v>0</v>
      </c>
      <c r="O275" s="268">
        <f>O225-N225</f>
        <v>0</v>
      </c>
      <c r="P275" s="268">
        <f>P225-O225</f>
        <v>0</v>
      </c>
      <c r="Q275" s="268">
        <f>Q225-P225</f>
        <v>0</v>
      </c>
      <c r="R275" s="268">
        <f>SUM(N275:Q275)</f>
        <v>0</v>
      </c>
      <c r="S275" s="268">
        <f>S225-R225</f>
        <v>0</v>
      </c>
      <c r="T275" s="268">
        <f>T225-S225</f>
        <v>0</v>
      </c>
      <c r="U275" s="268">
        <f>U225-T225</f>
        <v>0</v>
      </c>
      <c r="V275" s="268">
        <f>V225-U225</f>
        <v>0</v>
      </c>
      <c r="W275" s="268">
        <f>SUM(S275:V275)</f>
        <v>0</v>
      </c>
      <c r="X275" s="268">
        <f>X225-W225</f>
        <v>0</v>
      </c>
      <c r="Y275" s="268">
        <f>Y225-X225</f>
        <v>0</v>
      </c>
      <c r="Z275" s="268">
        <f>Z225-Y225</f>
        <v>0</v>
      </c>
      <c r="AA275" s="268">
        <f>AA225-Z225</f>
        <v>149.232</v>
      </c>
      <c r="AB275" s="268">
        <f>SUM(X275:AA275)</f>
        <v>149.232</v>
      </c>
      <c r="AC275" s="268">
        <f>AC225-AB225</f>
        <v>44.617</v>
      </c>
      <c r="AD275" s="268">
        <f>AD225-AC225</f>
        <v>51.81</v>
      </c>
      <c r="AE275" s="268">
        <f>AE225-AD225</f>
        <v>-128.026</v>
      </c>
      <c r="AF275" s="268">
        <f>AF225-AE225</f>
        <v>-2.633</v>
      </c>
      <c r="AG275" s="268">
        <f>SUM(AC275:AF275)</f>
        <v>-34.232</v>
      </c>
      <c r="AH275" s="268">
        <f>AH225-AG225</f>
        <v>79</v>
      </c>
      <c r="AI275" s="268">
        <f>AI225-AH225</f>
        <v>62</v>
      </c>
      <c r="AJ275" s="268">
        <f>AJ225-AI225</f>
        <v>0</v>
      </c>
      <c r="AK275" s="268">
        <f>AK225-AJ225</f>
        <v>0</v>
      </c>
      <c r="AL275" s="268">
        <f>SUM(AH275:AK275)</f>
        <v>141</v>
      </c>
      <c r="AM275" s="268">
        <f>AM225-AL225</f>
        <v>0</v>
      </c>
      <c r="AN275" s="268">
        <f>AN225-AM225</f>
        <v>0</v>
      </c>
      <c r="AO275" s="268">
        <f>AO225-AN225</f>
        <v>0</v>
      </c>
      <c r="AP275" s="268">
        <f>AP225-AO225</f>
        <v>0</v>
      </c>
      <c r="AQ275" s="268">
        <f>SUM(AM275:AP275)</f>
        <v>0</v>
      </c>
      <c r="AR275" s="268">
        <f>AR225-AQ225</f>
        <v>0</v>
      </c>
      <c r="AS275" s="268">
        <f>AS225-AR225</f>
        <v>0</v>
      </c>
      <c r="AT275" s="268">
        <f>AT225-AS225</f>
        <v>0</v>
      </c>
      <c r="AU275" s="268">
        <f>AU225-AT225</f>
        <v>0</v>
      </c>
      <c r="AV275" s="268">
        <f>SUM(AR275:AU275)</f>
        <v>0</v>
      </c>
      <c r="AW275" s="268">
        <f>AW225-AV225</f>
        <v>0</v>
      </c>
      <c r="AX275" s="268">
        <f>AX225-AW225</f>
        <v>0</v>
      </c>
      <c r="AY275" s="268">
        <f>AY225-AX225</f>
        <v>0</v>
      </c>
      <c r="AZ275" s="268">
        <f>AZ225-AY225</f>
        <v>0</v>
      </c>
      <c r="BA275" s="268">
        <f>SUM(AW275:AZ275)</f>
        <v>0</v>
      </c>
      <c r="BB275" s="268">
        <f>BB225-BA225</f>
        <v>0</v>
      </c>
      <c r="BC275" s="268">
        <f>BC225-BB225</f>
        <v>0</v>
      </c>
      <c r="BD275" s="268">
        <f>BD225-BC225</f>
        <v>0</v>
      </c>
      <c r="BE275" s="268">
        <f>BE225-BD225</f>
        <v>0</v>
      </c>
      <c r="BF275" s="268">
        <f>SUM(BB275:BE275)</f>
        <v>0</v>
      </c>
      <c r="BG275" s="268">
        <f>BG225-BF225</f>
        <v>0</v>
      </c>
      <c r="BH275" s="268">
        <f>BH225-BG225</f>
        <v>0</v>
      </c>
      <c r="BI275" s="268">
        <f>BI225-BH225</f>
        <v>0</v>
      </c>
      <c r="BJ275" s="268">
        <f>BJ225-BI225</f>
        <v>0</v>
      </c>
      <c r="BK275" s="268">
        <f>SUM(BG275:BJ275)</f>
        <v>0</v>
      </c>
      <c r="BL275" s="268">
        <f>BL225-BK225</f>
        <v>0</v>
      </c>
      <c r="BM275" s="268">
        <f>BM225-BL225</f>
        <v>0</v>
      </c>
      <c r="BN275" s="268">
        <f>BN225-BM225</f>
        <v>0</v>
      </c>
      <c r="BO275" s="268">
        <f>BO225-BN225</f>
        <v>0</v>
      </c>
      <c r="BP275" s="268">
        <f>SUM(BL275:BO275)</f>
        <v>0</v>
      </c>
      <c r="BQ275" s="268">
        <f>BQ225-BP225</f>
        <v>0</v>
      </c>
      <c r="BR275" s="268">
        <f>BR225-BQ225</f>
        <v>0</v>
      </c>
      <c r="BS275" s="268">
        <f>BS225-BR225</f>
        <v>0</v>
      </c>
      <c r="BT275" s="268">
        <f>BT225-BS225</f>
        <v>0</v>
      </c>
      <c r="BU275" s="268">
        <f>SUM(BQ275:BT275)</f>
        <v>0</v>
      </c>
      <c r="BV275" s="268">
        <f>BV225-BU225</f>
        <v>0</v>
      </c>
      <c r="BW275" s="268">
        <f>BW225-BV225</f>
        <v>0</v>
      </c>
      <c r="BX275" s="268">
        <f>BX225-BW225</f>
        <v>0</v>
      </c>
      <c r="BY275" s="268">
        <f>BY225-BX225</f>
        <v>0</v>
      </c>
      <c r="BZ275" s="268">
        <f>SUM(BV275:BY275)</f>
        <v>0</v>
      </c>
      <c r="CA275" s="268">
        <f>CA225-BZ225</f>
        <v>0</v>
      </c>
      <c r="CB275" s="268">
        <f>CB225-CA225</f>
        <v>0</v>
      </c>
      <c r="CC275" s="268">
        <f>CC225-CB225</f>
        <v>0</v>
      </c>
      <c r="CD275" s="268">
        <f>CD225-CC225</f>
        <v>0</v>
      </c>
      <c r="CE275" s="268">
        <f>SUM(CA275:CD275)</f>
        <v>0</v>
      </c>
      <c r="CF275" s="268">
        <f>CF225-CE225</f>
        <v>0</v>
      </c>
      <c r="CG275" s="268">
        <f>CG225-CF225</f>
        <v>0</v>
      </c>
      <c r="CH275" s="268">
        <f>CH225-CG225</f>
        <v>0</v>
      </c>
      <c r="CI275" s="268">
        <f>CI225-CH225</f>
        <v>0</v>
      </c>
      <c r="CJ275" s="268">
        <f>SUM(CF275:CI275)</f>
        <v>0</v>
      </c>
      <c r="CK275" s="268">
        <f>CK225-CJ225</f>
        <v>0</v>
      </c>
      <c r="CL275" s="268">
        <f>CL225-CK225</f>
        <v>0</v>
      </c>
      <c r="CM275" s="268">
        <f>CM225-CL225</f>
        <v>0</v>
      </c>
      <c r="CN275" s="268">
        <f>CN225-CM225</f>
        <v>0</v>
      </c>
      <c r="CO275" s="268">
        <f>SUM(CK275:CN275)</f>
        <v>0</v>
      </c>
      <c r="CP275" s="268">
        <f>CP225-CO225</f>
        <v>0</v>
      </c>
      <c r="CQ275" s="268">
        <f>CQ225-CP225</f>
        <v>0</v>
      </c>
      <c r="CR275" s="268">
        <f>CR225-CQ225</f>
        <v>0</v>
      </c>
      <c r="CS275" s="268">
        <f>CS225-CR225</f>
        <v>0</v>
      </c>
      <c r="CT275" s="268">
        <f>SUM(CP275:CS275)</f>
        <v>0</v>
      </c>
      <c r="CU275" s="268">
        <f>CU225-CT225</f>
        <v>0</v>
      </c>
      <c r="CV275" s="268">
        <f>CV225-CU225</f>
        <v>0</v>
      </c>
      <c r="CW275" s="268">
        <f>CW225-CV225</f>
        <v>0</v>
      </c>
      <c r="CX275" s="268">
        <f>CX225-CW225</f>
        <v>0</v>
      </c>
      <c r="CY275" s="268">
        <f>SUM(CU275:CX275)</f>
        <v>0</v>
      </c>
    </row>
    <row r="276" ht="12.75" customHeight="1" s="255">
      <c r="C276" s="266" t="inlineStr">
        <is>
          <t>Equity income in affiliates</t>
        </is>
      </c>
      <c r="D276" s="268" t="n"/>
      <c r="E276" s="268">
        <f>(E147-D147)*-1</f>
        <v>0</v>
      </c>
      <c r="F276" s="268">
        <f>(F147-E147)*-1</f>
        <v>0</v>
      </c>
      <c r="G276" s="268">
        <f>(G147-F147)*-1</f>
        <v>0</v>
      </c>
      <c r="H276" s="268">
        <f>SUM(D276:G276)</f>
        <v>0</v>
      </c>
      <c r="I276" s="268">
        <f>(I147-H147)*-1</f>
        <v>0</v>
      </c>
      <c r="J276" s="268">
        <f>(J147-I147)*-1</f>
        <v>0</v>
      </c>
      <c r="K276" s="268">
        <f>(K147-J147)*-1</f>
        <v>0</v>
      </c>
      <c r="L276" s="268">
        <f>(L147-K147)*-1</f>
        <v>0</v>
      </c>
      <c r="M276" s="268">
        <f>SUM(I276:L276)</f>
        <v>0</v>
      </c>
      <c r="N276" s="268">
        <f>(N147-M147)*-1</f>
        <v>0</v>
      </c>
      <c r="O276" s="268">
        <f>(O147-N147)*-1</f>
        <v>0</v>
      </c>
      <c r="P276" s="268">
        <f>(P147-O147)*-1</f>
        <v>0</v>
      </c>
      <c r="Q276" s="268">
        <f>(Q147-P147)*-1</f>
        <v>0</v>
      </c>
      <c r="R276" s="268">
        <f>SUM(N276:Q276)</f>
        <v>0</v>
      </c>
      <c r="S276" s="268">
        <f>(S147-R147)*-1</f>
        <v>0</v>
      </c>
      <c r="T276" s="268">
        <f>(T147-S147)*-1</f>
        <v>0</v>
      </c>
      <c r="U276" s="268">
        <f>(U147-T147)*-1</f>
        <v>0</v>
      </c>
      <c r="V276" s="268">
        <f>(V147-U147)*-1</f>
        <v>0</v>
      </c>
      <c r="W276" s="268">
        <f>SUM(S276:V276)</f>
        <v>0</v>
      </c>
      <c r="X276" s="268">
        <f>(X147-W147)*-1</f>
        <v>0</v>
      </c>
      <c r="Y276" s="268">
        <f>(Y147-X147)*-1</f>
        <v>0</v>
      </c>
      <c r="Z276" s="268">
        <f>(Z147-Y147)*-1</f>
        <v>0</v>
      </c>
      <c r="AA276" s="268">
        <f>(AA147-Z147)*-1</f>
        <v>0</v>
      </c>
      <c r="AB276" s="268">
        <f>SUM(X276:AA276)</f>
        <v>0</v>
      </c>
      <c r="AC276" s="268">
        <f>(AC147-AB147)*-1</f>
        <v>0</v>
      </c>
      <c r="AD276" s="268">
        <f>(AD147-AC147)*-1</f>
        <v>0</v>
      </c>
      <c r="AE276" s="268">
        <f>(AE147-AD147)*-1</f>
        <v>0</v>
      </c>
      <c r="AF276" s="268">
        <f>(AF147-AE147)*-1</f>
        <v>0</v>
      </c>
      <c r="AG276" s="268">
        <f>SUM(AC276:AF276)</f>
        <v>0</v>
      </c>
      <c r="AH276" s="268">
        <f>(AH147-AG147)*-1</f>
        <v>0</v>
      </c>
      <c r="AI276" s="268">
        <f>(AI147-AH147)*-1</f>
        <v>0</v>
      </c>
      <c r="AJ276" s="268">
        <f>(AJ147-AI147)*-1</f>
        <v>0</v>
      </c>
      <c r="AK276" s="268">
        <f>(AK147-AJ147)*-1</f>
        <v>0</v>
      </c>
      <c r="AL276" s="268">
        <f>SUM(AH276:AK276)</f>
        <v>0</v>
      </c>
      <c r="AM276" s="268">
        <f>(AM147-AL147)*-1</f>
        <v>0</v>
      </c>
      <c r="AN276" s="268">
        <f>(AN147-AM147)*-1</f>
        <v>0</v>
      </c>
      <c r="AO276" s="268">
        <f>(AO147-AN147)*-1</f>
        <v>0</v>
      </c>
      <c r="AP276" s="268">
        <f>(AP147-AO147)*-1</f>
        <v>0</v>
      </c>
      <c r="AQ276" s="268">
        <f>SUM(AM276:AP276)</f>
        <v>0</v>
      </c>
      <c r="AR276" s="268">
        <f>(AR147-AQ147)*-1</f>
        <v>0</v>
      </c>
      <c r="AS276" s="268">
        <f>(AS147-AR147)*-1</f>
        <v>0</v>
      </c>
      <c r="AT276" s="268">
        <f>(AT147-AS147)*-1</f>
        <v>0</v>
      </c>
      <c r="AU276" s="268">
        <f>(AU147-AT147)*-1</f>
        <v>0</v>
      </c>
      <c r="AV276" s="268">
        <f>SUM(AR276:AU276)</f>
        <v>0</v>
      </c>
      <c r="AW276" s="268">
        <f>(AW147-AV147)*-1</f>
        <v>0</v>
      </c>
      <c r="AX276" s="268">
        <f>(AX147-AW147)*-1</f>
        <v>0</v>
      </c>
      <c r="AY276" s="268">
        <f>(AY147-AX147)*-1</f>
        <v>0</v>
      </c>
      <c r="AZ276" s="268">
        <f>(AZ147-AY147)*-1</f>
        <v>0</v>
      </c>
      <c r="BA276" s="268">
        <f>SUM(AW276:AZ276)</f>
        <v>0</v>
      </c>
      <c r="BB276" s="268">
        <f>(BB147-BA147)*-1</f>
        <v>0</v>
      </c>
      <c r="BC276" s="268">
        <f>(BC147-BB147)*-1</f>
        <v>0</v>
      </c>
      <c r="BD276" s="268">
        <f>(BD147-BC147)*-1</f>
        <v>0</v>
      </c>
      <c r="BE276" s="268">
        <f>(BE147-BD147)*-1</f>
        <v>0</v>
      </c>
      <c r="BF276" s="268">
        <f>SUM(BB276:BE276)</f>
        <v>0</v>
      </c>
      <c r="BG276" s="268">
        <f>(BG147-BF147)*-1</f>
        <v>0</v>
      </c>
      <c r="BH276" s="268">
        <f>(BH147-BG147)*-1</f>
        <v>0</v>
      </c>
      <c r="BI276" s="268">
        <f>(BI147-BH147)*-1</f>
        <v>0</v>
      </c>
      <c r="BJ276" s="268">
        <f>(BJ147-BI147)*-1</f>
        <v>0</v>
      </c>
      <c r="BK276" s="268">
        <f>SUM(BG276:BJ276)</f>
        <v>0</v>
      </c>
      <c r="BL276" s="268">
        <f>(BL147-BK147)*-1</f>
        <v>0</v>
      </c>
      <c r="BM276" s="268">
        <f>(BM147-BL147)*-1</f>
        <v>0</v>
      </c>
      <c r="BN276" s="268">
        <f>(BN147-BM147)*-1</f>
        <v>0</v>
      </c>
      <c r="BO276" s="268">
        <f>(BO147-BN147)*-1</f>
        <v>0</v>
      </c>
      <c r="BP276" s="268">
        <f>SUM(BL276:BO276)</f>
        <v>0</v>
      </c>
      <c r="BQ276" s="268">
        <f>(BQ147-BP147)*-1</f>
        <v>0</v>
      </c>
      <c r="BR276" s="268">
        <f>(BR147-BQ147)*-1</f>
        <v>0</v>
      </c>
      <c r="BS276" s="268">
        <f>(BS147-BR147)*-1</f>
        <v>0</v>
      </c>
      <c r="BT276" s="268">
        <f>(BT147-BS147)*-1</f>
        <v>0</v>
      </c>
      <c r="BU276" s="268">
        <f>SUM(BQ276:BT276)</f>
        <v>0</v>
      </c>
      <c r="BV276" s="268">
        <f>(BV147-BU147)*-1</f>
        <v>0</v>
      </c>
      <c r="BW276" s="268">
        <f>(BW147-BV147)*-1</f>
        <v>0</v>
      </c>
      <c r="BX276" s="268">
        <f>(BX147-BW147)*-1</f>
        <v>0</v>
      </c>
      <c r="BY276" s="268">
        <f>(BY147-BX147)*-1</f>
        <v>0</v>
      </c>
      <c r="BZ276" s="268">
        <f>SUM(BV276:BY276)</f>
        <v>0</v>
      </c>
      <c r="CA276" s="268">
        <f>(CA147-BZ147)*-1</f>
        <v>0</v>
      </c>
      <c r="CB276" s="268">
        <f>(CB147-CA147)*-1</f>
        <v>0</v>
      </c>
      <c r="CC276" s="268">
        <f>(CC147-CB147)*-1</f>
        <v>0</v>
      </c>
      <c r="CD276" s="268">
        <f>(CD147-CC147)*-1</f>
        <v>0</v>
      </c>
      <c r="CE276" s="268">
        <f>SUM(CA276:CD276)</f>
        <v>0</v>
      </c>
      <c r="CF276" s="268">
        <f>(CF147-CE147)*-1</f>
        <v>0</v>
      </c>
      <c r="CG276" s="268">
        <f>(CG147-CF147)*-1</f>
        <v>0</v>
      </c>
      <c r="CH276" s="268">
        <f>(CH147-CG147)*-1</f>
        <v>0</v>
      </c>
      <c r="CI276" s="268">
        <f>(CI147-CH147)*-1</f>
        <v>0</v>
      </c>
      <c r="CJ276" s="268">
        <f>SUM(CF276:CI276)</f>
        <v>0</v>
      </c>
      <c r="CK276" s="268">
        <f>(CK147-CJ147)*-1</f>
        <v>0</v>
      </c>
      <c r="CL276" s="268">
        <f>(CL147-CK147)*-1</f>
        <v>0</v>
      </c>
      <c r="CM276" s="268">
        <f>(CM147-CL147)*-1</f>
        <v>0</v>
      </c>
      <c r="CN276" s="268">
        <f>(CN147-CM147)*-1</f>
        <v>0</v>
      </c>
      <c r="CO276" s="268">
        <f>SUM(CK276:CN276)</f>
        <v>0</v>
      </c>
      <c r="CP276" s="268">
        <f>(CP147-CO147)*-1</f>
        <v>0</v>
      </c>
      <c r="CQ276" s="268">
        <f>(CQ147-CP147)*-1</f>
        <v>0</v>
      </c>
      <c r="CR276" s="268">
        <f>(CR147-CQ147)*-1</f>
        <v>0</v>
      </c>
      <c r="CS276" s="268">
        <f>(CS147-CR147)*-1</f>
        <v>0</v>
      </c>
      <c r="CT276" s="268">
        <f>SUM(CP276:CS276)</f>
        <v>0</v>
      </c>
      <c r="CU276" s="268">
        <f>(CU147-CT147)*-1</f>
        <v>0</v>
      </c>
      <c r="CV276" s="268">
        <f>(CV147-CU147)*-1</f>
        <v>0</v>
      </c>
      <c r="CW276" s="268">
        <f>(CW147-CV147)*-1</f>
        <v>0</v>
      </c>
      <c r="CX276" s="268">
        <f>(CX147-CW147)*-1</f>
        <v>0</v>
      </c>
      <c r="CY276" s="268">
        <f>SUM(CU276:CX276)</f>
        <v>0</v>
      </c>
    </row>
    <row r="277" ht="12.75" customHeight="1" s="255">
      <c r="C277" s="266" t="inlineStr">
        <is>
          <t>Dividends received from affiliates</t>
        </is>
      </c>
      <c r="D277" s="268" t="n"/>
      <c r="E277" s="268">
        <f>-E150</f>
        <v>0</v>
      </c>
      <c r="F277" s="268">
        <f>-F150</f>
        <v>0</v>
      </c>
      <c r="G277" s="268">
        <f>-G150</f>
        <v>0</v>
      </c>
      <c r="H277" s="268">
        <f>SUM(D277:G277)</f>
        <v>0</v>
      </c>
      <c r="I277" s="268">
        <f>-I150</f>
        <v>0</v>
      </c>
      <c r="J277" s="268">
        <f>-J150</f>
        <v>0</v>
      </c>
      <c r="K277" s="268">
        <f>-K150</f>
        <v>0</v>
      </c>
      <c r="L277" s="268">
        <f>-L150</f>
        <v>0</v>
      </c>
      <c r="M277" s="268">
        <f>SUM(I277:L277)</f>
        <v>0</v>
      </c>
      <c r="N277" s="268">
        <f>-N150</f>
        <v>0</v>
      </c>
      <c r="O277" s="268">
        <f>-O150</f>
        <v>0</v>
      </c>
      <c r="P277" s="268">
        <f>-P150</f>
        <v>0</v>
      </c>
      <c r="Q277" s="268">
        <f>-Q150</f>
        <v>0</v>
      </c>
      <c r="R277" s="268">
        <f>SUM(N277:Q277)</f>
        <v>0</v>
      </c>
      <c r="S277" s="268">
        <f>-S150</f>
        <v>0</v>
      </c>
      <c r="T277" s="268">
        <f>-T150</f>
        <v>0</v>
      </c>
      <c r="U277" s="268">
        <f>-U150</f>
        <v>0</v>
      </c>
      <c r="V277" s="268">
        <f>-V150</f>
        <v>0</v>
      </c>
      <c r="W277" s="268">
        <f>SUM(S277:V277)</f>
        <v>0</v>
      </c>
      <c r="X277" s="268">
        <f>-X150</f>
        <v>0</v>
      </c>
      <c r="Y277" s="268">
        <f>-Y150</f>
        <v>0</v>
      </c>
      <c r="Z277" s="268">
        <f>-Z150</f>
        <v>0</v>
      </c>
      <c r="AA277" s="268">
        <f>-AA150</f>
        <v>0</v>
      </c>
      <c r="AB277" s="268">
        <f>SUM(X277:AA277)</f>
        <v>0</v>
      </c>
      <c r="AC277" s="268">
        <f>-AC150</f>
        <v>0</v>
      </c>
      <c r="AD277" s="268">
        <f>-AD150</f>
        <v>0</v>
      </c>
      <c r="AE277" s="268">
        <f>-AE150</f>
        <v>0</v>
      </c>
      <c r="AF277" s="268">
        <f>-AF150</f>
        <v>0</v>
      </c>
      <c r="AG277" s="268">
        <f>SUM(AC277:AF277)</f>
        <v>0</v>
      </c>
      <c r="AH277" s="268">
        <f>-AH150</f>
        <v>0</v>
      </c>
      <c r="AI277" s="268">
        <f>-AI150</f>
        <v>0</v>
      </c>
      <c r="AJ277" s="268">
        <f>-AJ150</f>
        <v>0</v>
      </c>
      <c r="AK277" s="268">
        <f>-AK150</f>
        <v>0</v>
      </c>
      <c r="AL277" s="268">
        <f>SUM(AH277:AK277)</f>
        <v>0</v>
      </c>
      <c r="AM277" s="268">
        <f>-AM150</f>
        <v>0</v>
      </c>
      <c r="AN277" s="268">
        <f>-AN150</f>
        <v>0</v>
      </c>
      <c r="AO277" s="268">
        <f>-AO150</f>
        <v>0</v>
      </c>
      <c r="AP277" s="268">
        <f>-AP150</f>
        <v>0</v>
      </c>
      <c r="AQ277" s="268">
        <f>SUM(AM277:AP277)</f>
        <v>0</v>
      </c>
      <c r="AR277" s="268">
        <f>-AR150</f>
        <v>0</v>
      </c>
      <c r="AS277" s="268">
        <f>-AS150</f>
        <v>0</v>
      </c>
      <c r="AT277" s="268">
        <f>-AT150</f>
        <v>0</v>
      </c>
      <c r="AU277" s="268">
        <f>-AU150</f>
        <v>0</v>
      </c>
      <c r="AV277" s="268">
        <f>SUM(AR277:AU277)</f>
        <v>0</v>
      </c>
      <c r="AW277" s="268">
        <f>-AW150</f>
        <v>0</v>
      </c>
      <c r="AX277" s="268">
        <f>-AX150</f>
        <v>0</v>
      </c>
      <c r="AY277" s="268">
        <f>-AY150</f>
        <v>0</v>
      </c>
      <c r="AZ277" s="268">
        <f>-AZ150</f>
        <v>0</v>
      </c>
      <c r="BA277" s="268">
        <f>SUM(AW277:AZ277)</f>
        <v>0</v>
      </c>
      <c r="BB277" s="268">
        <f>-BB150</f>
        <v>0</v>
      </c>
      <c r="BC277" s="268">
        <f>-BC150</f>
        <v>0</v>
      </c>
      <c r="BD277" s="268">
        <f>-BD150</f>
        <v>0</v>
      </c>
      <c r="BE277" s="268">
        <f>-BE150</f>
        <v>0</v>
      </c>
      <c r="BF277" s="268">
        <f>SUM(BB277:BE277)</f>
        <v>0</v>
      </c>
      <c r="BG277" s="268">
        <f>-BG150</f>
        <v>0</v>
      </c>
      <c r="BH277" s="268">
        <f>-BH150</f>
        <v>0</v>
      </c>
      <c r="BI277" s="268">
        <f>-BI150</f>
        <v>0</v>
      </c>
      <c r="BJ277" s="268">
        <f>-BJ150</f>
        <v>0</v>
      </c>
      <c r="BK277" s="268">
        <f>SUM(BG277:BJ277)</f>
        <v>0</v>
      </c>
      <c r="BL277" s="268">
        <f>-BL150</f>
        <v>0</v>
      </c>
      <c r="BM277" s="268">
        <f>-BM150</f>
        <v>0</v>
      </c>
      <c r="BN277" s="268">
        <f>-BN150</f>
        <v>0</v>
      </c>
      <c r="BO277" s="268">
        <f>-BO150</f>
        <v>0</v>
      </c>
      <c r="BP277" s="268">
        <f>SUM(BL277:BO277)</f>
        <v>0</v>
      </c>
      <c r="BQ277" s="268">
        <f>-BQ150</f>
        <v>0</v>
      </c>
      <c r="BR277" s="268">
        <f>-BR150</f>
        <v>0</v>
      </c>
      <c r="BS277" s="268">
        <f>-BS150</f>
        <v>0</v>
      </c>
      <c r="BT277" s="268">
        <f>-BT150</f>
        <v>0</v>
      </c>
      <c r="BU277" s="268">
        <f>SUM(BQ277:BT277)</f>
        <v>0</v>
      </c>
      <c r="BV277" s="268">
        <f>-BV150</f>
        <v>0</v>
      </c>
      <c r="BW277" s="268">
        <f>-BW150</f>
        <v>0</v>
      </c>
      <c r="BX277" s="268">
        <f>-BX150</f>
        <v>0</v>
      </c>
      <c r="BY277" s="268">
        <f>-BY150</f>
        <v>0</v>
      </c>
      <c r="BZ277" s="268">
        <f>SUM(BV277:BY277)</f>
        <v>0</v>
      </c>
      <c r="CA277" s="268">
        <f>-CA150</f>
        <v>0</v>
      </c>
      <c r="CB277" s="268">
        <f>-CB150</f>
        <v>0</v>
      </c>
      <c r="CC277" s="268">
        <f>-CC150</f>
        <v>0</v>
      </c>
      <c r="CD277" s="268">
        <f>-CD150</f>
        <v>0</v>
      </c>
      <c r="CE277" s="268">
        <f>SUM(CA277:CD277)</f>
        <v>0</v>
      </c>
      <c r="CF277" s="268">
        <f>-CF150</f>
        <v>0</v>
      </c>
      <c r="CG277" s="268">
        <f>-CG150</f>
        <v>0</v>
      </c>
      <c r="CH277" s="268">
        <f>-CH150</f>
        <v>0</v>
      </c>
      <c r="CI277" s="268">
        <f>-CI150</f>
        <v>0</v>
      </c>
      <c r="CJ277" s="268">
        <f>SUM(CF277:CI277)</f>
        <v>0</v>
      </c>
      <c r="CK277" s="268">
        <f>-CK150</f>
        <v>0</v>
      </c>
      <c r="CL277" s="268">
        <f>-CL150</f>
        <v>0</v>
      </c>
      <c r="CM277" s="268">
        <f>-CM150</f>
        <v>0</v>
      </c>
      <c r="CN277" s="268">
        <f>-CN150</f>
        <v>0</v>
      </c>
      <c r="CO277" s="268">
        <f>SUM(CK277:CN277)</f>
        <v>0</v>
      </c>
      <c r="CP277" s="268">
        <f>-CP150</f>
        <v>0</v>
      </c>
      <c r="CQ277" s="268">
        <f>-CQ150</f>
        <v>0</v>
      </c>
      <c r="CR277" s="268">
        <f>-CR150</f>
        <v>0</v>
      </c>
      <c r="CS277" s="268">
        <f>-CS150</f>
        <v>0</v>
      </c>
      <c r="CT277" s="268">
        <f>SUM(CP277:CS277)</f>
        <v>0</v>
      </c>
      <c r="CU277" s="268">
        <f>-CU150</f>
        <v>0</v>
      </c>
      <c r="CV277" s="268">
        <f>-CV150</f>
        <v>0</v>
      </c>
      <c r="CW277" s="268">
        <f>-CW150</f>
        <v>0</v>
      </c>
      <c r="CX277" s="268">
        <f>-CX150</f>
        <v>0</v>
      </c>
      <c r="CY277" s="268">
        <f>SUM(CU277:CX277)</f>
        <v>0</v>
      </c>
    </row>
    <row r="278" ht="12.75" customHeight="1" s="255">
      <c r="C278" s="328" t="inlineStr">
        <is>
          <t>Minority interest expense</t>
        </is>
      </c>
      <c r="D278" s="268" t="n"/>
      <c r="E278" s="268">
        <f>-E122</f>
        <v>0</v>
      </c>
      <c r="F278" s="268">
        <f>-F122</f>
        <v>0</v>
      </c>
      <c r="G278" s="268">
        <f>-G122</f>
        <v>0</v>
      </c>
      <c r="H278" s="268">
        <f>SUM(D278:G278)</f>
        <v>0</v>
      </c>
      <c r="I278" s="268">
        <f>-I122</f>
        <v>0</v>
      </c>
      <c r="J278" s="268">
        <f>-J122</f>
        <v>0</v>
      </c>
      <c r="K278" s="268">
        <f>-K122</f>
        <v>0</v>
      </c>
      <c r="L278" s="268">
        <f>-L122</f>
        <v>0</v>
      </c>
      <c r="M278" s="268">
        <f>SUM(I278:L278)</f>
        <v>0</v>
      </c>
      <c r="N278" s="268">
        <f>-N122</f>
        <v>0</v>
      </c>
      <c r="O278" s="268">
        <f>-O122</f>
        <v>0</v>
      </c>
      <c r="P278" s="268">
        <f>-P122</f>
        <v>0</v>
      </c>
      <c r="Q278" s="268">
        <f>-Q122</f>
        <v>0</v>
      </c>
      <c r="R278" s="268">
        <f>SUM(N278:Q278)</f>
        <v>0</v>
      </c>
      <c r="S278" s="268">
        <f>-S122</f>
        <v>0</v>
      </c>
      <c r="T278" s="268">
        <f>-T122</f>
        <v>0</v>
      </c>
      <c r="U278" s="268">
        <f>-U122</f>
        <v>0</v>
      </c>
      <c r="V278" s="268">
        <f>-V122</f>
        <v>0</v>
      </c>
      <c r="W278" s="268">
        <f>SUM(S278:V278)</f>
        <v>0</v>
      </c>
      <c r="X278" s="268">
        <f>-X122</f>
        <v>0</v>
      </c>
      <c r="Y278" s="268">
        <f>-Y122</f>
        <v>0</v>
      </c>
      <c r="Z278" s="268">
        <f>-Z122</f>
        <v>0</v>
      </c>
      <c r="AA278" s="268">
        <f>-AA122</f>
        <v>0</v>
      </c>
      <c r="AB278" s="268">
        <f>SUM(X278:AA278)</f>
        <v>0</v>
      </c>
      <c r="AC278" s="268">
        <f>-AC122</f>
        <v>0</v>
      </c>
      <c r="AD278" s="268">
        <f>-AD122</f>
        <v>0</v>
      </c>
      <c r="AE278" s="268">
        <f>-AE122</f>
        <v>0</v>
      </c>
      <c r="AF278" s="268">
        <f>-AF122</f>
        <v>0</v>
      </c>
      <c r="AG278" s="268">
        <f>SUM(AC278:AF278)</f>
        <v>0</v>
      </c>
      <c r="AH278" s="268">
        <f>-AH122</f>
        <v>0</v>
      </c>
      <c r="AI278" s="268">
        <f>-AI122</f>
        <v>0</v>
      </c>
      <c r="AJ278" s="268">
        <f>-AJ122</f>
        <v>0</v>
      </c>
      <c r="AK278" s="268">
        <f>-AK122</f>
        <v>0</v>
      </c>
      <c r="AL278" s="268">
        <f>SUM(AH278:AK278)</f>
        <v>0</v>
      </c>
      <c r="AM278" s="268">
        <f>-AM122</f>
        <v>0</v>
      </c>
      <c r="AN278" s="268">
        <f>-AN122</f>
        <v>0</v>
      </c>
      <c r="AO278" s="268">
        <f>-AO122</f>
        <v>0</v>
      </c>
      <c r="AP278" s="268">
        <f>-AP122</f>
        <v>0</v>
      </c>
      <c r="AQ278" s="268">
        <f>SUM(AM278:AP278)</f>
        <v>0</v>
      </c>
      <c r="AR278" s="268">
        <f>-AR122</f>
        <v>0</v>
      </c>
      <c r="AS278" s="268">
        <f>-AS122</f>
        <v>0</v>
      </c>
      <c r="AT278" s="268">
        <f>-AT122</f>
        <v>0</v>
      </c>
      <c r="AU278" s="268">
        <f>-AU122</f>
        <v>0</v>
      </c>
      <c r="AV278" s="268">
        <f>SUM(AR278:AU278)</f>
        <v>0</v>
      </c>
      <c r="AW278" s="268">
        <f>-AW122</f>
        <v>0</v>
      </c>
      <c r="AX278" s="268">
        <f>-AX122</f>
        <v>0</v>
      </c>
      <c r="AY278" s="268">
        <f>-AY122</f>
        <v>0</v>
      </c>
      <c r="AZ278" s="268">
        <f>-AZ122</f>
        <v>0</v>
      </c>
      <c r="BA278" s="268">
        <f>SUM(AW278:AZ278)</f>
        <v>0</v>
      </c>
      <c r="BB278" s="268">
        <f>-BB122</f>
        <v>0</v>
      </c>
      <c r="BC278" s="268">
        <f>-BC122</f>
        <v>0</v>
      </c>
      <c r="BD278" s="268">
        <f>-BD122</f>
        <v>0</v>
      </c>
      <c r="BE278" s="268">
        <f>-BE122</f>
        <v>0</v>
      </c>
      <c r="BF278" s="268">
        <f>SUM(BB278:BE278)</f>
        <v>0</v>
      </c>
      <c r="BG278" s="268">
        <f>-BG122</f>
        <v>0</v>
      </c>
      <c r="BH278" s="268">
        <f>-BH122</f>
        <v>0</v>
      </c>
      <c r="BI278" s="268">
        <f>-BI122</f>
        <v>0</v>
      </c>
      <c r="BJ278" s="268">
        <f>-BJ122</f>
        <v>0</v>
      </c>
      <c r="BK278" s="268">
        <f>SUM(BG278:BJ278)</f>
        <v>0</v>
      </c>
      <c r="BL278" s="268">
        <f>-BL122</f>
        <v>0</v>
      </c>
      <c r="BM278" s="268">
        <f>-BM122</f>
        <v>0</v>
      </c>
      <c r="BN278" s="268">
        <f>-BN122</f>
        <v>0</v>
      </c>
      <c r="BO278" s="268">
        <f>-BO122</f>
        <v>0</v>
      </c>
      <c r="BP278" s="268">
        <f>SUM(BL278:BO278)</f>
        <v>0</v>
      </c>
      <c r="BQ278" s="268">
        <f>-BQ122</f>
        <v>0</v>
      </c>
      <c r="BR278" s="268">
        <f>-BR122</f>
        <v>0</v>
      </c>
      <c r="BS278" s="268">
        <f>-BS122</f>
        <v>0</v>
      </c>
      <c r="BT278" s="268">
        <f>-BT122</f>
        <v>0</v>
      </c>
      <c r="BU278" s="268">
        <f>SUM(BQ278:BT278)</f>
        <v>0</v>
      </c>
      <c r="BV278" s="268">
        <f>-BV122</f>
        <v>0</v>
      </c>
      <c r="BW278" s="268">
        <f>-BW122</f>
        <v>0</v>
      </c>
      <c r="BX278" s="268">
        <f>-BX122</f>
        <v>0</v>
      </c>
      <c r="BY278" s="268">
        <f>-BY122</f>
        <v>0</v>
      </c>
      <c r="BZ278" s="268">
        <f>SUM(BV278:BY278)</f>
        <v>0</v>
      </c>
      <c r="CA278" s="268">
        <f>-CA122</f>
        <v>0</v>
      </c>
      <c r="CB278" s="268">
        <f>-CB122</f>
        <v>0</v>
      </c>
      <c r="CC278" s="268">
        <f>-CC122</f>
        <v>0</v>
      </c>
      <c r="CD278" s="268">
        <f>-CD122</f>
        <v>0</v>
      </c>
      <c r="CE278" s="268">
        <f>SUM(CA278:CD278)</f>
        <v>0</v>
      </c>
      <c r="CF278" s="268">
        <f>-CF122</f>
        <v>0</v>
      </c>
      <c r="CG278" s="268">
        <f>-CG122</f>
        <v>0</v>
      </c>
      <c r="CH278" s="268">
        <f>-CH122</f>
        <v>0</v>
      </c>
      <c r="CI278" s="268">
        <f>-CI122</f>
        <v>0</v>
      </c>
      <c r="CJ278" s="268">
        <f>SUM(CF278:CI278)</f>
        <v>0</v>
      </c>
      <c r="CK278" s="268">
        <f>-CK122</f>
        <v>0</v>
      </c>
      <c r="CL278" s="268">
        <f>-CL122</f>
        <v>0</v>
      </c>
      <c r="CM278" s="268">
        <f>-CM122</f>
        <v>0</v>
      </c>
      <c r="CN278" s="268">
        <f>-CN122</f>
        <v>0</v>
      </c>
      <c r="CO278" s="268">
        <f>SUM(CK278:CN278)</f>
        <v>0</v>
      </c>
      <c r="CP278" s="268">
        <f>-CP122</f>
        <v>0</v>
      </c>
      <c r="CQ278" s="268">
        <f>-CQ122</f>
        <v>0</v>
      </c>
      <c r="CR278" s="268">
        <f>-CR122</f>
        <v>0</v>
      </c>
      <c r="CS278" s="268">
        <f>-CS122</f>
        <v>0</v>
      </c>
      <c r="CT278" s="268">
        <f>SUM(CP278:CS278)</f>
        <v>0</v>
      </c>
      <c r="CU278" s="268">
        <f>-CU122</f>
        <v>0</v>
      </c>
      <c r="CV278" s="268">
        <f>-CV122</f>
        <v>0</v>
      </c>
      <c r="CW278" s="268">
        <f>-CW122</f>
        <v>0</v>
      </c>
      <c r="CX278" s="268">
        <f>-CX122</f>
        <v>0</v>
      </c>
      <c r="CY278" s="268">
        <f>SUM(CU278:CX278)</f>
        <v>0</v>
      </c>
    </row>
    <row r="279" ht="12.75" customHeight="1" s="255">
      <c r="C279" s="270" t="inlineStr">
        <is>
          <t>Cash from operations</t>
        </is>
      </c>
      <c r="D279" s="268" t="n"/>
      <c r="E279" s="268">
        <f>SUM(E263,E264,E265,E276,E277,E278)</f>
        <v>0</v>
      </c>
      <c r="F279" s="268">
        <f>SUM(F263,F264,F265,F276,F277,F278)</f>
        <v>0</v>
      </c>
      <c r="G279" s="268">
        <f>SUM(G263,G264,G265,G276,G277,G278)</f>
        <v>0</v>
      </c>
      <c r="H279" s="268">
        <f>SUM(H263,H264,H265,H276,H277,H278)</f>
        <v>0</v>
      </c>
      <c r="I279" s="268">
        <f>SUM(I263,I264,I265,I276,I277,I278)</f>
        <v>0</v>
      </c>
      <c r="J279" s="268">
        <f>SUM(J263,J264,J265,J276,J277,J278)</f>
        <v>0</v>
      </c>
      <c r="K279" s="268">
        <f>SUM(K263,K264,K265,K276,K277,K278)</f>
        <v>0</v>
      </c>
      <c r="L279" s="268">
        <f>SUM(L263,L264,L265,L276,L277,L278)</f>
        <v>0</v>
      </c>
      <c r="M279" s="268">
        <f>SUM(M263,M264,M265,M276,M277,M278)</f>
        <v>0</v>
      </c>
      <c r="N279" s="268">
        <f>SUM(N263,N264,N265,N276,N277,N278)</f>
        <v>0</v>
      </c>
      <c r="O279" s="268">
        <f>SUM(O263,O264,O265,O276,O277,O278)</f>
        <v>0</v>
      </c>
      <c r="P279" s="268">
        <f>SUM(P263,P264,P265,P276,P277,P278)</f>
        <v>0</v>
      </c>
      <c r="Q279" s="268">
        <f>SUM(Q263,Q264,Q265,Q276,Q277,Q278)</f>
        <v>0</v>
      </c>
      <c r="R279" s="268">
        <f>SUM(R263,R264,R265,R276,R277,R278)</f>
        <v>0</v>
      </c>
      <c r="S279" s="268">
        <f>SUM(S263,S264,S265,S276,S277,S278)</f>
        <v>0</v>
      </c>
      <c r="T279" s="268">
        <f>SUM(T263,T264,T265,T276,T277,T278)</f>
        <v>0</v>
      </c>
      <c r="U279" s="268">
        <f>SUM(U263,U264,U265,U276,U277,U278)</f>
        <v>0</v>
      </c>
      <c r="V279" s="268">
        <f>SUM(V263,V264,V265,V276,V277,V278)</f>
        <v>0</v>
      </c>
      <c r="W279" s="268">
        <f>SUM(W263,W264,W265,W276,W277,W278)</f>
        <v>0</v>
      </c>
      <c r="X279" s="268">
        <f>SUM(X263,X264,X265,X276,X277,X278)</f>
        <v>-49.738</v>
      </c>
      <c r="Y279" s="268">
        <f>SUM(Y263,Y264,Y265,Y276,Y277,Y278)</f>
        <v>-158.561</v>
      </c>
      <c r="Z279" s="268">
        <f>SUM(Z263,Z264,Z265,Z276,Z277,Z278)</f>
        <v>-105.783</v>
      </c>
      <c r="AA279" s="268">
        <f>SUM(AA263,AA264,AA265,AA276,AA277,AA278)</f>
        <v>2189.2</v>
      </c>
      <c r="AB279" s="268">
        <f>SUM(AB263,AB264,AB265,AB276,AB277,AB278)</f>
        <v>1875.118</v>
      </c>
      <c r="AC279" s="268">
        <f>SUM(AC263,AC264,AC265,AC276,AC277,AC278)</f>
        <v>-264.31</v>
      </c>
      <c r="AD279" s="268">
        <f>SUM(AD263,AD264,AD265,AD276,AD277,AD278)</f>
        <v>-110.66</v>
      </c>
      <c r="AE279" s="268">
        <f>SUM(AE263,AE264,AE265,AE276,AE277,AE278)</f>
        <v>2403.606</v>
      </c>
      <c r="AF279" s="268">
        <f>SUM(AF263,AF264,AF265,AF276,AF277,AF278)</f>
        <v>2476.396</v>
      </c>
      <c r="AG279" s="268">
        <f>SUM(AG263,AG264,AG265,AG276,AG277,AG278)</f>
        <v>4505.032</v>
      </c>
      <c r="AH279" s="268">
        <f>SUM(AH263,AH264,AH265,AH276,AH277,AH278)</f>
        <v>1949</v>
      </c>
      <c r="AI279" s="268">
        <f>SUM(AI263,AI264,AI265,AI276,AI277,AI278)</f>
        <v>10740</v>
      </c>
      <c r="AJ279" s="268">
        <f>SUM(AJ263,AJ264,AJ265,AJ276,AJ277,AJ278)</f>
        <v>-7601</v>
      </c>
      <c r="AK279" s="268">
        <f>SUM(AK263,AK264,AK265,AK276,AK277,AK278)</f>
        <v>43</v>
      </c>
      <c r="AL279" s="268">
        <f>SUM(AL263,AL264,AL265,AL276,AL277,AL278)</f>
        <v>5131</v>
      </c>
      <c r="AM279" s="268" t="e">
        <f>SUM(AM263,AM264,AM265,AM276,AM277,AM278)</f>
        <v>#DIV/0!</v>
      </c>
      <c r="AN279" s="268" t="e">
        <f>SUM(AN263,AN264,AN265,AN276,AN277,AN278)</f>
        <v>#DIV/0!</v>
      </c>
      <c r="AO279" s="268" t="e">
        <f>SUM(AO263,AO264,AO265,AO276,AO277,AO278)</f>
        <v>#DIV/0!</v>
      </c>
      <c r="AP279" s="268" t="e">
        <f>SUM(AP263,AP264,AP265,AP276,AP277,AP278)</f>
        <v>#DIV/0!</v>
      </c>
      <c r="AQ279" s="268" t="e">
        <f>SUM(AQ263,AQ264,AQ265,AQ276,AQ277,AQ278)</f>
        <v>#DIV/0!</v>
      </c>
      <c r="AR279" s="268" t="e">
        <f>SUM(AR263,AR264,AR265,AR276,AR277,AR278)</f>
        <v>#DIV/0!</v>
      </c>
      <c r="AS279" s="268" t="e">
        <f>SUM(AS263,AS264,AS265,AS276,AS277,AS278)</f>
        <v>#DIV/0!</v>
      </c>
      <c r="AT279" s="268" t="e">
        <f>SUM(AT263,AT264,AT265,AT276,AT277,AT278)</f>
        <v>#DIV/0!</v>
      </c>
      <c r="AU279" s="268" t="e">
        <f>SUM(AU263,AU264,AU265,AU276,AU277,AU278)</f>
        <v>#DIV/0!</v>
      </c>
      <c r="AV279" s="268" t="e">
        <f>SUM(AV263,AV264,AV265,AV276,AV277,AV278)</f>
        <v>#DIV/0!</v>
      </c>
      <c r="AW279" s="268" t="e">
        <f>SUM(AW263,AW264,AW265,AW276,AW277,AW278)</f>
        <v>#DIV/0!</v>
      </c>
      <c r="AX279" s="268" t="e">
        <f>SUM(AX263,AX264,AX265,AX276,AX277,AX278)</f>
        <v>#DIV/0!</v>
      </c>
      <c r="AY279" s="268" t="e">
        <f>SUM(AY263,AY264,AY265,AY276,AY277,AY278)</f>
        <v>#DIV/0!</v>
      </c>
      <c r="AZ279" s="268" t="e">
        <f>SUM(AZ263,AZ264,AZ265,AZ276,AZ277,AZ278)</f>
        <v>#DIV/0!</v>
      </c>
      <c r="BA279" s="268" t="e">
        <f>SUM(BA263,BA264,BA265,BA276,BA277,BA278)</f>
        <v>#DIV/0!</v>
      </c>
      <c r="BB279" s="268" t="e">
        <f>SUM(BB263,BB264,BB265,BB276,BB277,BB278)</f>
        <v>#DIV/0!</v>
      </c>
      <c r="BC279" s="268" t="e">
        <f>SUM(BC263,BC264,BC265,BC276,BC277,BC278)</f>
        <v>#DIV/0!</v>
      </c>
      <c r="BD279" s="268" t="e">
        <f>SUM(BD263,BD264,BD265,BD276,BD277,BD278)</f>
        <v>#DIV/0!</v>
      </c>
      <c r="BE279" s="268" t="e">
        <f>SUM(BE263,BE264,BE265,BE276,BE277,BE278)</f>
        <v>#DIV/0!</v>
      </c>
      <c r="BF279" s="268" t="e">
        <f>SUM(BF263,BF264,BF265,BF276,BF277,BF278)</f>
        <v>#DIV/0!</v>
      </c>
      <c r="BG279" s="268" t="e">
        <f>SUM(BG263,BG264,BG265,BG276,BG277,BG278)</f>
        <v>#DIV/0!</v>
      </c>
      <c r="BH279" s="268" t="e">
        <f>SUM(BH263,BH264,BH265,BH276,BH277,BH278)</f>
        <v>#DIV/0!</v>
      </c>
      <c r="BI279" s="268" t="e">
        <f>SUM(BI263,BI264,BI265,BI276,BI277,BI278)</f>
        <v>#DIV/0!</v>
      </c>
      <c r="BJ279" s="268" t="e">
        <f>SUM(BJ263,BJ264,BJ265,BJ276,BJ277,BJ278)</f>
        <v>#DIV/0!</v>
      </c>
      <c r="BK279" s="268" t="e">
        <f>SUM(BK263,BK264,BK265,BK276,BK277,BK278)</f>
        <v>#DIV/0!</v>
      </c>
      <c r="BL279" s="268" t="e">
        <f>SUM(BL263,BL264,BL265,BL276,BL277,BL278)</f>
        <v>#DIV/0!</v>
      </c>
      <c r="BM279" s="268" t="e">
        <f>SUM(BM263,BM264,BM265,BM276,BM277,BM278)</f>
        <v>#DIV/0!</v>
      </c>
      <c r="BN279" s="268" t="e">
        <f>SUM(BN263,BN264,BN265,BN276,BN277,BN278)</f>
        <v>#DIV/0!</v>
      </c>
      <c r="BO279" s="268" t="e">
        <f>SUM(BO263,BO264,BO265,BO276,BO277,BO278)</f>
        <v>#DIV/0!</v>
      </c>
      <c r="BP279" s="268" t="e">
        <f>SUM(BP263,BP264,BP265,BP276,BP277,BP278)</f>
        <v>#DIV/0!</v>
      </c>
      <c r="BQ279" s="268" t="e">
        <f>SUM(BQ263,BQ264,BQ265,BQ276,BQ277,BQ278)</f>
        <v>#DIV/0!</v>
      </c>
      <c r="BR279" s="268" t="e">
        <f>SUM(BR263,BR264,BR265,BR276,BR277,BR278)</f>
        <v>#DIV/0!</v>
      </c>
      <c r="BS279" s="268" t="e">
        <f>SUM(BS263,BS264,BS265,BS276,BS277,BS278)</f>
        <v>#DIV/0!</v>
      </c>
      <c r="BT279" s="268" t="e">
        <f>SUM(BT263,BT264,BT265,BT276,BT277,BT278)</f>
        <v>#DIV/0!</v>
      </c>
      <c r="BU279" s="268" t="e">
        <f>SUM(BU263,BU264,BU265,BU276,BU277,BU278)</f>
        <v>#DIV/0!</v>
      </c>
      <c r="BV279" s="268" t="e">
        <f>SUM(BV263,BV264,BV265,BV276,BV277,BV278)</f>
        <v>#DIV/0!</v>
      </c>
      <c r="BW279" s="268" t="e">
        <f>SUM(BW263,BW264,BW265,BW276,BW277,BW278)</f>
        <v>#DIV/0!</v>
      </c>
      <c r="BX279" s="268" t="e">
        <f>SUM(BX263,BX264,BX265,BX276,BX277,BX278)</f>
        <v>#DIV/0!</v>
      </c>
      <c r="BY279" s="268" t="e">
        <f>SUM(BY263,BY264,BY265,BY276,BY277,BY278)</f>
        <v>#DIV/0!</v>
      </c>
      <c r="BZ279" s="268" t="e">
        <f>SUM(BZ263,BZ264,BZ265,BZ276,BZ277,BZ278)</f>
        <v>#DIV/0!</v>
      </c>
      <c r="CA279" s="268" t="e">
        <f>SUM(CA263,CA264,CA265,CA276,CA277,CA278)</f>
        <v>#DIV/0!</v>
      </c>
      <c r="CB279" s="268" t="e">
        <f>SUM(CB263,CB264,CB265,CB276,CB277,CB278)</f>
        <v>#DIV/0!</v>
      </c>
      <c r="CC279" s="268" t="e">
        <f>SUM(CC263,CC264,CC265,CC276,CC277,CC278)</f>
        <v>#DIV/0!</v>
      </c>
      <c r="CD279" s="268" t="e">
        <f>SUM(CD263,CD264,CD265,CD276,CD277,CD278)</f>
        <v>#DIV/0!</v>
      </c>
      <c r="CE279" s="268" t="e">
        <f>SUM(CE263,CE264,CE265,CE276,CE277,CE278)</f>
        <v>#DIV/0!</v>
      </c>
      <c r="CF279" s="268" t="e">
        <f>SUM(CF263,CF264,CF265,CF276,CF277,CF278)</f>
        <v>#DIV/0!</v>
      </c>
      <c r="CG279" s="268" t="e">
        <f>SUM(CG263,CG264,CG265,CG276,CG277,CG278)</f>
        <v>#DIV/0!</v>
      </c>
      <c r="CH279" s="268" t="e">
        <f>SUM(CH263,CH264,CH265,CH276,CH277,CH278)</f>
        <v>#DIV/0!</v>
      </c>
      <c r="CI279" s="268" t="e">
        <f>SUM(CI263,CI264,CI265,CI276,CI277,CI278)</f>
        <v>#DIV/0!</v>
      </c>
      <c r="CJ279" s="268" t="e">
        <f>SUM(CJ263,CJ264,CJ265,CJ276,CJ277,CJ278)</f>
        <v>#DIV/0!</v>
      </c>
      <c r="CK279" s="268" t="e">
        <f>SUM(CK263,CK264,CK265,CK276,CK277,CK278)</f>
        <v>#DIV/0!</v>
      </c>
      <c r="CL279" s="268" t="e">
        <f>SUM(CL263,CL264,CL265,CL276,CL277,CL278)</f>
        <v>#DIV/0!</v>
      </c>
      <c r="CM279" s="268" t="e">
        <f>SUM(CM263,CM264,CM265,CM276,CM277,CM278)</f>
        <v>#DIV/0!</v>
      </c>
      <c r="CN279" s="268" t="e">
        <f>SUM(CN263,CN264,CN265,CN276,CN277,CN278)</f>
        <v>#DIV/0!</v>
      </c>
      <c r="CO279" s="268" t="e">
        <f>SUM(CO263,CO264,CO265,CO276,CO277,CO278)</f>
        <v>#DIV/0!</v>
      </c>
      <c r="CP279" s="268" t="e">
        <f>SUM(CP263,CP264,CP265,CP276,CP277,CP278)</f>
        <v>#DIV/0!</v>
      </c>
      <c r="CQ279" s="268" t="e">
        <f>SUM(CQ263,CQ264,CQ265,CQ276,CQ277,CQ278)</f>
        <v>#DIV/0!</v>
      </c>
      <c r="CR279" s="268" t="e">
        <f>SUM(CR263,CR264,CR265,CR276,CR277,CR278)</f>
        <v>#DIV/0!</v>
      </c>
      <c r="CS279" s="268" t="e">
        <f>SUM(CS263,CS264,CS265,CS276,CS277,CS278)</f>
        <v>#DIV/0!</v>
      </c>
      <c r="CT279" s="268" t="e">
        <f>SUM(CT263,CT264,CT265,CT276,CT277,CT278)</f>
        <v>#DIV/0!</v>
      </c>
      <c r="CU279" s="268" t="e">
        <f>SUM(CU263,CU264,CU265,CU276,CU277,CU278)</f>
        <v>#DIV/0!</v>
      </c>
      <c r="CV279" s="268" t="e">
        <f>SUM(CV263,CV264,CV265,CV276,CV277,CV278)</f>
        <v>#DIV/0!</v>
      </c>
      <c r="CW279" s="268" t="e">
        <f>SUM(CW263,CW264,CW265,CW276,CW277,CW278)</f>
        <v>#DIV/0!</v>
      </c>
      <c r="CX279" s="268" t="e">
        <f>SUM(CX263,CX264,CX265,CX276,CX277,CX278)</f>
        <v>#DIV/0!</v>
      </c>
      <c r="CY279" s="268" t="e">
        <f>SUM(CY263,CY264,CY265,CY276,CY277,CY278)</f>
        <v>#DIV/0!</v>
      </c>
    </row>
    <row r="280" ht="12.75" customHeight="1" s="255">
      <c r="C280" s="270" t="n"/>
      <c r="D280" s="268" t="n"/>
      <c r="E280" s="268" t="n"/>
      <c r="F280" s="268" t="n"/>
      <c r="G280" s="268" t="n"/>
      <c r="H280" s="268" t="n"/>
      <c r="I280" s="268" t="n"/>
      <c r="J280" s="268" t="n"/>
      <c r="K280" s="268" t="n"/>
      <c r="L280" s="268" t="n"/>
      <c r="M280" s="268" t="n"/>
      <c r="N280" s="268" t="n"/>
      <c r="O280" s="268" t="n"/>
      <c r="P280" s="268" t="n"/>
      <c r="Q280" s="268" t="n"/>
      <c r="R280" s="268" t="n"/>
      <c r="S280" s="268" t="n"/>
      <c r="T280" s="268" t="n"/>
      <c r="U280" s="268" t="n"/>
      <c r="V280" s="268" t="n"/>
      <c r="W280" s="268" t="n"/>
      <c r="X280" s="268" t="n"/>
      <c r="Y280" s="268" t="n"/>
      <c r="Z280" s="268" t="n"/>
      <c r="AA280" s="268" t="n"/>
      <c r="AB280" s="268" t="n"/>
      <c r="AC280" s="268" t="n"/>
      <c r="AD280" s="268" t="n"/>
      <c r="AE280" s="268" t="n"/>
      <c r="AF280" s="268" t="n"/>
      <c r="AG280" s="268" t="n"/>
      <c r="AH280" s="268" t="n"/>
      <c r="AI280" s="268" t="n"/>
      <c r="AJ280" s="268" t="n"/>
      <c r="AK280" s="268" t="n"/>
      <c r="AL280" s="268" t="n"/>
      <c r="AM280" s="268" t="n"/>
      <c r="AN280" s="268" t="n"/>
      <c r="AO280" s="268" t="n"/>
      <c r="AP280" s="268" t="n"/>
      <c r="AQ280" s="268" t="n"/>
      <c r="AR280" s="268" t="n"/>
      <c r="AS280" s="268" t="n"/>
      <c r="AT280" s="268" t="n"/>
      <c r="AU280" s="268" t="n"/>
      <c r="AV280" s="268" t="n"/>
      <c r="AW280" s="268" t="n"/>
      <c r="AX280" s="268" t="n"/>
      <c r="AY280" s="268" t="n"/>
      <c r="AZ280" s="268" t="n"/>
      <c r="BA280" s="268" t="n"/>
      <c r="BB280" s="268" t="n"/>
      <c r="BC280" s="268" t="n"/>
      <c r="BD280" s="268" t="n"/>
      <c r="BE280" s="268" t="n"/>
      <c r="BF280" s="268" t="n"/>
      <c r="BG280" s="268" t="n"/>
      <c r="BH280" s="268" t="n"/>
      <c r="BI280" s="268" t="n"/>
      <c r="BJ280" s="268" t="n"/>
      <c r="BK280" s="268" t="n"/>
      <c r="BL280" s="268" t="n"/>
      <c r="BM280" s="268" t="n"/>
      <c r="BN280" s="268" t="n"/>
      <c r="BO280" s="268" t="n"/>
      <c r="BP280" s="268" t="n"/>
      <c r="BQ280" s="268" t="n"/>
      <c r="BR280" s="268" t="n"/>
      <c r="BS280" s="268" t="n"/>
      <c r="BT280" s="268" t="n"/>
      <c r="BU280" s="268" t="n"/>
      <c r="BV280" s="268" t="n"/>
      <c r="BW280" s="268" t="n"/>
      <c r="BX280" s="268" t="n"/>
      <c r="BY280" s="268" t="n"/>
      <c r="BZ280" s="268" t="n"/>
      <c r="CA280" s="268" t="n"/>
      <c r="CB280" s="268" t="n"/>
      <c r="CC280" s="268" t="n"/>
      <c r="CD280" s="268" t="n"/>
      <c r="CE280" s="268" t="n"/>
      <c r="CF280" s="268" t="n"/>
      <c r="CG280" s="268" t="n"/>
      <c r="CH280" s="268" t="n"/>
      <c r="CI280" s="268" t="n"/>
      <c r="CJ280" s="268" t="n"/>
      <c r="CK280" s="268" t="n"/>
      <c r="CL280" s="268" t="n"/>
      <c r="CM280" s="268" t="n"/>
      <c r="CN280" s="268" t="n"/>
      <c r="CO280" s="268" t="n"/>
      <c r="CP280" s="268" t="n"/>
      <c r="CQ280" s="268" t="n"/>
      <c r="CR280" s="268" t="n"/>
      <c r="CS280" s="268" t="n"/>
      <c r="CT280" s="268" t="n"/>
      <c r="CU280" s="268" t="n"/>
      <c r="CV280" s="268" t="n"/>
      <c r="CW280" s="268" t="n"/>
      <c r="CX280" s="268" t="n"/>
      <c r="CY280" s="268" t="n"/>
    </row>
    <row r="281" ht="12.75" customHeight="1" s="255">
      <c r="C281" s="266" t="inlineStr">
        <is>
          <t>Purchase of fixed assets (capital expenditures)</t>
        </is>
      </c>
      <c r="D281" s="268" t="n"/>
      <c r="E281" s="268">
        <f>-E154</f>
        <v>0</v>
      </c>
      <c r="F281" s="268">
        <f>-F154</f>
        <v>0</v>
      </c>
      <c r="G281" s="268">
        <f>-G154</f>
        <v>0</v>
      </c>
      <c r="H281" s="268">
        <f>SUM(D281:G281)</f>
        <v>0</v>
      </c>
      <c r="I281" s="268">
        <f>-I154</f>
        <v>0</v>
      </c>
      <c r="J281" s="268">
        <f>-J154</f>
        <v>0</v>
      </c>
      <c r="K281" s="268">
        <f>-K154</f>
        <v>0</v>
      </c>
      <c r="L281" s="268">
        <f>-L154</f>
        <v>0</v>
      </c>
      <c r="M281" s="268">
        <f>SUM(I281:L281)</f>
        <v>0</v>
      </c>
      <c r="N281" s="268">
        <f>-N154</f>
        <v>0</v>
      </c>
      <c r="O281" s="268">
        <f>-O154</f>
        <v>0</v>
      </c>
      <c r="P281" s="268">
        <f>-P154</f>
        <v>0</v>
      </c>
      <c r="Q281" s="268">
        <f>-Q154</f>
        <v>0</v>
      </c>
      <c r="R281" s="268">
        <f>SUM(N281:Q281)</f>
        <v>0</v>
      </c>
      <c r="S281" s="268">
        <f>-S154</f>
        <v>0</v>
      </c>
      <c r="T281" s="268">
        <f>-T154</f>
        <v>0</v>
      </c>
      <c r="U281" s="268">
        <f>-U154</f>
        <v>0</v>
      </c>
      <c r="V281" s="268">
        <f>-V154</f>
        <v>0</v>
      </c>
      <c r="W281" s="268">
        <f>SUM(S281:V281)</f>
        <v>0</v>
      </c>
      <c r="X281" s="268">
        <f>-X154</f>
        <v>-79.51</v>
      </c>
      <c r="Y281" s="268">
        <f>-Y154</f>
        <v>-164.46</v>
      </c>
      <c r="Z281" s="268">
        <f>-Z154</f>
        <v>-254.024</v>
      </c>
      <c r="AA281" s="268">
        <f>-AA154</f>
        <v>-12279.78</v>
      </c>
      <c r="AB281" s="268">
        <f>SUM(X281:AA281)</f>
        <v>-12777.774</v>
      </c>
      <c r="AC281" s="268">
        <f>-AC154</f>
        <v>-2739.715</v>
      </c>
      <c r="AD281" s="268">
        <f>-AD154</f>
        <v>-2979.999</v>
      </c>
      <c r="AE281" s="268">
        <f>-AE154</f>
        <v>-4658.15</v>
      </c>
      <c r="AF281" s="268">
        <f>-AF154</f>
        <v>-10718.362</v>
      </c>
      <c r="AG281" s="268">
        <f>SUM(AC281:AF281)</f>
        <v>-21096.226</v>
      </c>
      <c r="AH281" s="268">
        <f>-AH154</f>
        <v>-7014</v>
      </c>
      <c r="AI281" s="268">
        <f>-AI154</f>
        <v>-11705</v>
      </c>
      <c r="AJ281" s="268">
        <f>-AJ154</f>
        <v>0</v>
      </c>
      <c r="AK281" s="268">
        <f>-AK154</f>
        <v>0</v>
      </c>
      <c r="AL281" s="268">
        <f>SUM(AH281:AK281)</f>
        <v>-18719</v>
      </c>
      <c r="AM281" s="268">
        <f>-AM154</f>
        <v>0</v>
      </c>
      <c r="AN281" s="268">
        <f>-AN154</f>
        <v>0</v>
      </c>
      <c r="AO281" s="268">
        <f>-AO154</f>
        <v>0</v>
      </c>
      <c r="AP281" s="268">
        <f>-AP154</f>
        <v>0</v>
      </c>
      <c r="AQ281" s="268">
        <f>SUM(AM281:AP281)</f>
        <v>0</v>
      </c>
      <c r="AR281" s="268">
        <f>-AR154</f>
        <v>0</v>
      </c>
      <c r="AS281" s="268">
        <f>-AS154</f>
        <v>0</v>
      </c>
      <c r="AT281" s="268">
        <f>-AT154</f>
        <v>0</v>
      </c>
      <c r="AU281" s="268">
        <f>-AU154</f>
        <v>0</v>
      </c>
      <c r="AV281" s="268">
        <f>SUM(AR281:AU281)</f>
        <v>0</v>
      </c>
      <c r="AW281" s="268">
        <f>-AW154</f>
        <v>0</v>
      </c>
      <c r="AX281" s="268">
        <f>-AX154</f>
        <v>0</v>
      </c>
      <c r="AY281" s="268">
        <f>-AY154</f>
        <v>0</v>
      </c>
      <c r="AZ281" s="268">
        <f>-AZ154</f>
        <v>0</v>
      </c>
      <c r="BA281" s="268">
        <f>SUM(AW281:AZ281)</f>
        <v>0</v>
      </c>
      <c r="BB281" s="268">
        <f>-BB154</f>
        <v>0</v>
      </c>
      <c r="BC281" s="268">
        <f>-BC154</f>
        <v>0</v>
      </c>
      <c r="BD281" s="268">
        <f>-BD154</f>
        <v>0</v>
      </c>
      <c r="BE281" s="268">
        <f>-BE154</f>
        <v>0</v>
      </c>
      <c r="BF281" s="268">
        <f>SUM(BB281:BE281)</f>
        <v>0</v>
      </c>
      <c r="BG281" s="268">
        <f>-BG154</f>
        <v>0</v>
      </c>
      <c r="BH281" s="268">
        <f>-BH154</f>
        <v>0</v>
      </c>
      <c r="BI281" s="268">
        <f>-BI154</f>
        <v>0</v>
      </c>
      <c r="BJ281" s="268">
        <f>-BJ154</f>
        <v>0</v>
      </c>
      <c r="BK281" s="268">
        <f>SUM(BG281:BJ281)</f>
        <v>0</v>
      </c>
      <c r="BL281" s="268">
        <f>-BL154</f>
        <v>0</v>
      </c>
      <c r="BM281" s="268">
        <f>-BM154</f>
        <v>0</v>
      </c>
      <c r="BN281" s="268">
        <f>-BN154</f>
        <v>0</v>
      </c>
      <c r="BO281" s="268">
        <f>-BO154</f>
        <v>0</v>
      </c>
      <c r="BP281" s="268">
        <f>SUM(BL281:BO281)</f>
        <v>0</v>
      </c>
      <c r="BQ281" s="268">
        <f>-BQ154</f>
        <v>0</v>
      </c>
      <c r="BR281" s="268">
        <f>-BR154</f>
        <v>0</v>
      </c>
      <c r="BS281" s="268">
        <f>-BS154</f>
        <v>0</v>
      </c>
      <c r="BT281" s="268">
        <f>-BT154</f>
        <v>0</v>
      </c>
      <c r="BU281" s="268">
        <f>SUM(BQ281:BT281)</f>
        <v>0</v>
      </c>
      <c r="BV281" s="268">
        <f>-BV154</f>
        <v>0</v>
      </c>
      <c r="BW281" s="268">
        <f>-BW154</f>
        <v>0</v>
      </c>
      <c r="BX281" s="268">
        <f>-BX154</f>
        <v>0</v>
      </c>
      <c r="BY281" s="268">
        <f>-BY154</f>
        <v>0</v>
      </c>
      <c r="BZ281" s="268">
        <f>SUM(BV281:BY281)</f>
        <v>0</v>
      </c>
      <c r="CA281" s="268">
        <f>-CA154</f>
        <v>0</v>
      </c>
      <c r="CB281" s="268">
        <f>-CB154</f>
        <v>0</v>
      </c>
      <c r="CC281" s="268">
        <f>-CC154</f>
        <v>0</v>
      </c>
      <c r="CD281" s="268">
        <f>-CD154</f>
        <v>0</v>
      </c>
      <c r="CE281" s="268">
        <f>SUM(CA281:CD281)</f>
        <v>0</v>
      </c>
      <c r="CF281" s="268">
        <f>-CF154</f>
        <v>0</v>
      </c>
      <c r="CG281" s="268">
        <f>-CG154</f>
        <v>0</v>
      </c>
      <c r="CH281" s="268">
        <f>-CH154</f>
        <v>0</v>
      </c>
      <c r="CI281" s="268">
        <f>-CI154</f>
        <v>0</v>
      </c>
      <c r="CJ281" s="268">
        <f>SUM(CF281:CI281)</f>
        <v>0</v>
      </c>
      <c r="CK281" s="268">
        <f>-CK154</f>
        <v>0</v>
      </c>
      <c r="CL281" s="268">
        <f>-CL154</f>
        <v>0</v>
      </c>
      <c r="CM281" s="268">
        <f>-CM154</f>
        <v>0</v>
      </c>
      <c r="CN281" s="268">
        <f>-CN154</f>
        <v>0</v>
      </c>
      <c r="CO281" s="268">
        <f>SUM(CK281:CN281)</f>
        <v>0</v>
      </c>
      <c r="CP281" s="268">
        <f>-CP154</f>
        <v>0</v>
      </c>
      <c r="CQ281" s="268">
        <f>-CQ154</f>
        <v>0</v>
      </c>
      <c r="CR281" s="268">
        <f>-CR154</f>
        <v>0</v>
      </c>
      <c r="CS281" s="268">
        <f>-CS154</f>
        <v>0</v>
      </c>
      <c r="CT281" s="268">
        <f>SUM(CP281:CS281)</f>
        <v>0</v>
      </c>
      <c r="CU281" s="268">
        <f>-CU154</f>
        <v>0</v>
      </c>
      <c r="CV281" s="268">
        <f>-CV154</f>
        <v>0</v>
      </c>
      <c r="CW281" s="268">
        <f>-CW154</f>
        <v>0</v>
      </c>
      <c r="CX281" s="268">
        <f>-CX154</f>
        <v>0</v>
      </c>
      <c r="CY281" s="268">
        <f>SUM(CU281:CX281)</f>
        <v>0</v>
      </c>
    </row>
    <row r="282" ht="12.75" customHeight="1" s="255">
      <c r="C282" s="266" t="inlineStr">
        <is>
          <t>Proceeds from sale of fixed assets</t>
        </is>
      </c>
      <c r="D282" s="268" t="n"/>
      <c r="E282" s="268">
        <f>-E155</f>
        <v>0</v>
      </c>
      <c r="F282" s="268">
        <f>-F155</f>
        <v>0</v>
      </c>
      <c r="G282" s="268">
        <f>-G155</f>
        <v>0</v>
      </c>
      <c r="H282" s="268">
        <f>SUM(D282:G282)</f>
        <v>0</v>
      </c>
      <c r="I282" s="268">
        <f>-I155</f>
        <v>0</v>
      </c>
      <c r="J282" s="268">
        <f>-J155</f>
        <v>0</v>
      </c>
      <c r="K282" s="268">
        <f>-K155</f>
        <v>0</v>
      </c>
      <c r="L282" s="268">
        <f>-L155</f>
        <v>0</v>
      </c>
      <c r="M282" s="268">
        <f>SUM(I282:L282)</f>
        <v>0</v>
      </c>
      <c r="N282" s="268">
        <f>-N155</f>
        <v>0</v>
      </c>
      <c r="O282" s="268">
        <f>-O155</f>
        <v>0</v>
      </c>
      <c r="P282" s="268">
        <f>-P155</f>
        <v>0</v>
      </c>
      <c r="Q282" s="268">
        <f>-Q155</f>
        <v>0</v>
      </c>
      <c r="R282" s="268">
        <f>SUM(N282:Q282)</f>
        <v>0</v>
      </c>
      <c r="S282" s="268">
        <f>-S155</f>
        <v>0</v>
      </c>
      <c r="T282" s="268">
        <f>-T155</f>
        <v>0</v>
      </c>
      <c r="U282" s="268">
        <f>-U155</f>
        <v>0</v>
      </c>
      <c r="V282" s="268">
        <f>-V155</f>
        <v>0</v>
      </c>
      <c r="W282" s="268">
        <f>SUM(S282:V282)</f>
        <v>0</v>
      </c>
      <c r="X282" s="268">
        <f>-X155</f>
        <v>0</v>
      </c>
      <c r="Y282" s="268">
        <f>-Y155</f>
        <v>0</v>
      </c>
      <c r="Z282" s="268">
        <f>-Z155</f>
        <v>0</v>
      </c>
      <c r="AA282" s="268">
        <f>-AA155</f>
        <v>0</v>
      </c>
      <c r="AB282" s="268">
        <f>SUM(X282:AA282)</f>
        <v>0</v>
      </c>
      <c r="AC282" s="268">
        <f>-AC155</f>
        <v>0</v>
      </c>
      <c r="AD282" s="268">
        <f>-AD155</f>
        <v>0</v>
      </c>
      <c r="AE282" s="268">
        <f>-AE155</f>
        <v>0</v>
      </c>
      <c r="AF282" s="268">
        <f>-AF155</f>
        <v>0</v>
      </c>
      <c r="AG282" s="268">
        <f>SUM(AC282:AF282)</f>
        <v>0</v>
      </c>
      <c r="AH282" s="268">
        <f>-AH155</f>
        <v>0</v>
      </c>
      <c r="AI282" s="268">
        <f>-AI155</f>
        <v>0</v>
      </c>
      <c r="AJ282" s="268">
        <f>-AJ155</f>
        <v>0</v>
      </c>
      <c r="AK282" s="268">
        <f>-AK155</f>
        <v>0</v>
      </c>
      <c r="AL282" s="268">
        <f>SUM(AH282:AK282)</f>
        <v>0</v>
      </c>
      <c r="AM282" s="268">
        <f>-AM155</f>
        <v>0</v>
      </c>
      <c r="AN282" s="268">
        <f>-AN155</f>
        <v>0</v>
      </c>
      <c r="AO282" s="268">
        <f>-AO155</f>
        <v>0</v>
      </c>
      <c r="AP282" s="268">
        <f>-AP155</f>
        <v>0</v>
      </c>
      <c r="AQ282" s="268">
        <f>SUM(AM282:AP282)</f>
        <v>0</v>
      </c>
      <c r="AR282" s="268">
        <f>-AR155</f>
        <v>0</v>
      </c>
      <c r="AS282" s="268">
        <f>-AS155</f>
        <v>0</v>
      </c>
      <c r="AT282" s="268">
        <f>-AT155</f>
        <v>0</v>
      </c>
      <c r="AU282" s="268">
        <f>-AU155</f>
        <v>0</v>
      </c>
      <c r="AV282" s="268">
        <f>SUM(AR282:AU282)</f>
        <v>0</v>
      </c>
      <c r="AW282" s="268">
        <f>-AW155</f>
        <v>0</v>
      </c>
      <c r="AX282" s="268">
        <f>-AX155</f>
        <v>0</v>
      </c>
      <c r="AY282" s="268">
        <f>-AY155</f>
        <v>0</v>
      </c>
      <c r="AZ282" s="268">
        <f>-AZ155</f>
        <v>0</v>
      </c>
      <c r="BA282" s="268">
        <f>SUM(AW282:AZ282)</f>
        <v>0</v>
      </c>
      <c r="BB282" s="268">
        <f>-BB155</f>
        <v>0</v>
      </c>
      <c r="BC282" s="268">
        <f>-BC155</f>
        <v>0</v>
      </c>
      <c r="BD282" s="268">
        <f>-BD155</f>
        <v>0</v>
      </c>
      <c r="BE282" s="268">
        <f>-BE155</f>
        <v>0</v>
      </c>
      <c r="BF282" s="268">
        <f>SUM(BB282:BE282)</f>
        <v>0</v>
      </c>
      <c r="BG282" s="268">
        <f>-BG155</f>
        <v>0</v>
      </c>
      <c r="BH282" s="268">
        <f>-BH155</f>
        <v>0</v>
      </c>
      <c r="BI282" s="268">
        <f>-BI155</f>
        <v>0</v>
      </c>
      <c r="BJ282" s="268">
        <f>-BJ155</f>
        <v>0</v>
      </c>
      <c r="BK282" s="268">
        <f>SUM(BG282:BJ282)</f>
        <v>0</v>
      </c>
      <c r="BL282" s="268">
        <f>-BL155</f>
        <v>0</v>
      </c>
      <c r="BM282" s="268">
        <f>-BM155</f>
        <v>0</v>
      </c>
      <c r="BN282" s="268">
        <f>-BN155</f>
        <v>0</v>
      </c>
      <c r="BO282" s="268">
        <f>-BO155</f>
        <v>0</v>
      </c>
      <c r="BP282" s="268">
        <f>SUM(BL282:BO282)</f>
        <v>0</v>
      </c>
      <c r="BQ282" s="268">
        <f>-BQ155</f>
        <v>0</v>
      </c>
      <c r="BR282" s="268">
        <f>-BR155</f>
        <v>0</v>
      </c>
      <c r="BS282" s="268">
        <f>-BS155</f>
        <v>0</v>
      </c>
      <c r="BT282" s="268">
        <f>-BT155</f>
        <v>0</v>
      </c>
      <c r="BU282" s="268">
        <f>SUM(BQ282:BT282)</f>
        <v>0</v>
      </c>
      <c r="BV282" s="268">
        <f>-BV155</f>
        <v>0</v>
      </c>
      <c r="BW282" s="268">
        <f>-BW155</f>
        <v>0</v>
      </c>
      <c r="BX282" s="268">
        <f>-BX155</f>
        <v>0</v>
      </c>
      <c r="BY282" s="268">
        <f>-BY155</f>
        <v>0</v>
      </c>
      <c r="BZ282" s="268">
        <f>SUM(BV282:BY282)</f>
        <v>0</v>
      </c>
      <c r="CA282" s="268">
        <f>-CA155</f>
        <v>0</v>
      </c>
      <c r="CB282" s="268">
        <f>-CB155</f>
        <v>0</v>
      </c>
      <c r="CC282" s="268">
        <f>-CC155</f>
        <v>0</v>
      </c>
      <c r="CD282" s="268">
        <f>-CD155</f>
        <v>0</v>
      </c>
      <c r="CE282" s="268">
        <f>SUM(CA282:CD282)</f>
        <v>0</v>
      </c>
      <c r="CF282" s="268">
        <f>-CF155</f>
        <v>0</v>
      </c>
      <c r="CG282" s="268">
        <f>-CG155</f>
        <v>0</v>
      </c>
      <c r="CH282" s="268">
        <f>-CH155</f>
        <v>0</v>
      </c>
      <c r="CI282" s="268">
        <f>-CI155</f>
        <v>0</v>
      </c>
      <c r="CJ282" s="268">
        <f>SUM(CF282:CI282)</f>
        <v>0</v>
      </c>
      <c r="CK282" s="268">
        <f>-CK155</f>
        <v>0</v>
      </c>
      <c r="CL282" s="268">
        <f>-CL155</f>
        <v>0</v>
      </c>
      <c r="CM282" s="268">
        <f>-CM155</f>
        <v>0</v>
      </c>
      <c r="CN282" s="268">
        <f>-CN155</f>
        <v>0</v>
      </c>
      <c r="CO282" s="268">
        <f>SUM(CK282:CN282)</f>
        <v>0</v>
      </c>
      <c r="CP282" s="268">
        <f>-CP155</f>
        <v>0</v>
      </c>
      <c r="CQ282" s="268">
        <f>-CQ155</f>
        <v>0</v>
      </c>
      <c r="CR282" s="268">
        <f>-CR155</f>
        <v>0</v>
      </c>
      <c r="CS282" s="268">
        <f>-CS155</f>
        <v>0</v>
      </c>
      <c r="CT282" s="268">
        <f>SUM(CP282:CS282)</f>
        <v>0</v>
      </c>
      <c r="CU282" s="268">
        <f>-CU155</f>
        <v>0</v>
      </c>
      <c r="CV282" s="268">
        <f>-CV155</f>
        <v>0</v>
      </c>
      <c r="CW282" s="268">
        <f>-CW155</f>
        <v>0</v>
      </c>
      <c r="CX282" s="268">
        <f>-CX155</f>
        <v>0</v>
      </c>
      <c r="CY282" s="268">
        <f>SUM(CU282:CX282)</f>
        <v>0</v>
      </c>
    </row>
    <row r="283" ht="12.75" customHeight="1" s="255">
      <c r="C283" s="266" t="inlineStr">
        <is>
          <t>Var.Right-of-use-assets</t>
        </is>
      </c>
      <c r="D283" s="268" t="n"/>
      <c r="E283" s="268">
        <f>(E162-D162)*-1</f>
        <v>0</v>
      </c>
      <c r="F283" s="268">
        <f>(F162-E162)*-1</f>
        <v>0</v>
      </c>
      <c r="G283" s="268">
        <f>(G162-F162)*-1</f>
        <v>0</v>
      </c>
      <c r="H283" s="268">
        <f>SUM(D283:G283)</f>
        <v>0</v>
      </c>
      <c r="I283" s="268">
        <f>(I162-H162)*-1</f>
        <v>0</v>
      </c>
      <c r="J283" s="268">
        <f>(J162-I162)*-1</f>
        <v>0</v>
      </c>
      <c r="K283" s="268">
        <f>(K162-J162)*-1</f>
        <v>0</v>
      </c>
      <c r="L283" s="268">
        <f>(L162-K162)*-1</f>
        <v>0</v>
      </c>
      <c r="M283" s="268">
        <f>SUM(I283:L283)</f>
        <v>0</v>
      </c>
      <c r="N283" s="268">
        <f>(N162-M162)*-1</f>
        <v>0</v>
      </c>
      <c r="O283" s="268">
        <f>(O162-N162)*-1</f>
        <v>0</v>
      </c>
      <c r="P283" s="268">
        <f>(P162-O162)*-1</f>
        <v>0</v>
      </c>
      <c r="Q283" s="268">
        <f>(Q162-P162)*-1</f>
        <v>0</v>
      </c>
      <c r="R283" s="268">
        <f>SUM(N283:Q283)</f>
        <v>0</v>
      </c>
      <c r="S283" s="268">
        <f>(S162-R162)*-1</f>
        <v>0</v>
      </c>
      <c r="T283" s="268">
        <f>(T162-S162)*-1</f>
        <v>0</v>
      </c>
      <c r="U283" s="268">
        <f>(U162-T162)*-1</f>
        <v>0</v>
      </c>
      <c r="V283" s="268">
        <f>(V162-U162)*-1</f>
        <v>0</v>
      </c>
      <c r="W283" s="268">
        <f>SUM(S283:V283)</f>
        <v>0</v>
      </c>
      <c r="X283" s="268">
        <f>(X162-W162)*-1</f>
        <v>0</v>
      </c>
      <c r="Y283" s="268">
        <f>(Y162-X162)*-1</f>
        <v>0</v>
      </c>
      <c r="Z283" s="268">
        <f>(Z162-Y162)*-1</f>
        <v>0</v>
      </c>
      <c r="AA283" s="268">
        <f>(AA162-Z162)*-1</f>
        <v>-2589.547</v>
      </c>
      <c r="AB283" s="268">
        <f>SUM(X283:AA283)</f>
        <v>-2589.547</v>
      </c>
      <c r="AC283" s="268">
        <f>(AC162-AB162)*-1</f>
        <v>-473.673</v>
      </c>
      <c r="AD283" s="268">
        <f>(AD162-AC162)*-1</f>
        <v>-316.981</v>
      </c>
      <c r="AE283" s="268">
        <f>(AE162-AD162)*-1</f>
        <v>-1296.856</v>
      </c>
      <c r="AF283" s="268">
        <f>(AF162-AE162)*-1</f>
        <v>-3553.943</v>
      </c>
      <c r="AG283" s="268">
        <f>SUM(AC283:AF283)</f>
        <v>-5641.453</v>
      </c>
      <c r="AH283" s="268">
        <f>(AH162-AG162)*-1</f>
        <v>-1951</v>
      </c>
      <c r="AI283" s="268">
        <f>(AI162-AH162)*-1</f>
        <v>-6413</v>
      </c>
      <c r="AJ283" s="268">
        <f>(AJ162-AI162)*-1</f>
        <v>0</v>
      </c>
      <c r="AK283" s="268">
        <f>(AK162-AJ162)*-1</f>
        <v>0</v>
      </c>
      <c r="AL283" s="268">
        <f>SUM(AH283:AK283)</f>
        <v>-8364</v>
      </c>
      <c r="AM283" s="268">
        <f>(AM162-AL162)*-1</f>
        <v>0</v>
      </c>
      <c r="AN283" s="268">
        <f>(AN162-AM162)*-1</f>
        <v>0</v>
      </c>
      <c r="AO283" s="268">
        <f>(AO162-AN162)*-1</f>
        <v>0</v>
      </c>
      <c r="AP283" s="268">
        <f>(AP162-AO162)*-1</f>
        <v>0</v>
      </c>
      <c r="AQ283" s="268">
        <f>SUM(AM283:AP283)</f>
        <v>0</v>
      </c>
      <c r="AR283" s="268">
        <f>(AR162-AQ162)*-1</f>
        <v>0</v>
      </c>
      <c r="AS283" s="268">
        <f>(AS162-AR162)*-1</f>
        <v>0</v>
      </c>
      <c r="AT283" s="268">
        <f>(AT162-AS162)*-1</f>
        <v>0</v>
      </c>
      <c r="AU283" s="268">
        <f>(AU162-AT162)*-1</f>
        <v>0</v>
      </c>
      <c r="AV283" s="268">
        <f>SUM(AR283:AU283)</f>
        <v>0</v>
      </c>
      <c r="AW283" s="268">
        <f>(AW162-AV162)*-1</f>
        <v>0</v>
      </c>
      <c r="AX283" s="268">
        <f>(AX162-AW162)*-1</f>
        <v>0</v>
      </c>
      <c r="AY283" s="268">
        <f>(AY162-AX162)*-1</f>
        <v>0</v>
      </c>
      <c r="AZ283" s="268">
        <f>(AZ162-AY162)*-1</f>
        <v>0</v>
      </c>
      <c r="BA283" s="268">
        <f>SUM(AW283:AZ283)</f>
        <v>0</v>
      </c>
      <c r="BB283" s="268">
        <f>(BB162-BA162)*-1</f>
        <v>0</v>
      </c>
      <c r="BC283" s="268">
        <f>(BC162-BB162)*-1</f>
        <v>0</v>
      </c>
      <c r="BD283" s="268">
        <f>(BD162-BC162)*-1</f>
        <v>0</v>
      </c>
      <c r="BE283" s="268">
        <f>(BE162-BD162)*-1</f>
        <v>0</v>
      </c>
      <c r="BF283" s="268">
        <f>SUM(BB283:BE283)</f>
        <v>0</v>
      </c>
      <c r="BG283" s="268">
        <f>(BG162-BF162)*-1</f>
        <v>0</v>
      </c>
      <c r="BH283" s="268">
        <f>(BH162-BG162)*-1</f>
        <v>0</v>
      </c>
      <c r="BI283" s="268">
        <f>(BI162-BH162)*-1</f>
        <v>0</v>
      </c>
      <c r="BJ283" s="268">
        <f>(BJ162-BI162)*-1</f>
        <v>0</v>
      </c>
      <c r="BK283" s="268">
        <f>SUM(BG283:BJ283)</f>
        <v>0</v>
      </c>
      <c r="BL283" s="268">
        <f>(BL162-BK162)*-1</f>
        <v>0</v>
      </c>
      <c r="BM283" s="268">
        <f>(BM162-BL162)*-1</f>
        <v>0</v>
      </c>
      <c r="BN283" s="268">
        <f>(BN162-BM162)*-1</f>
        <v>0</v>
      </c>
      <c r="BO283" s="268">
        <f>(BO162-BN162)*-1</f>
        <v>0</v>
      </c>
      <c r="BP283" s="268">
        <f>SUM(BL283:BO283)</f>
        <v>0</v>
      </c>
      <c r="BQ283" s="268">
        <f>(BQ162-BP162)*-1</f>
        <v>0</v>
      </c>
      <c r="BR283" s="268">
        <f>(BR162-BQ162)*-1</f>
        <v>0</v>
      </c>
      <c r="BS283" s="268">
        <f>(BS162-BR162)*-1</f>
        <v>0</v>
      </c>
      <c r="BT283" s="268">
        <f>(BT162-BS162)*-1</f>
        <v>0</v>
      </c>
      <c r="BU283" s="268">
        <f>SUM(BQ283:BT283)</f>
        <v>0</v>
      </c>
      <c r="BV283" s="268">
        <f>(BV162-BU162)*-1</f>
        <v>0</v>
      </c>
      <c r="BW283" s="268">
        <f>(BW162-BV162)*-1</f>
        <v>0</v>
      </c>
      <c r="BX283" s="268">
        <f>(BX162-BW162)*-1</f>
        <v>0</v>
      </c>
      <c r="BY283" s="268">
        <f>(BY162-BX162)*-1</f>
        <v>0</v>
      </c>
      <c r="BZ283" s="268">
        <f>SUM(BV283:BY283)</f>
        <v>0</v>
      </c>
      <c r="CA283" s="268">
        <f>(CA162-BZ162)*-1</f>
        <v>0</v>
      </c>
      <c r="CB283" s="268">
        <f>(CB162-CA162)*-1</f>
        <v>0</v>
      </c>
      <c r="CC283" s="268">
        <f>(CC162-CB162)*-1</f>
        <v>0</v>
      </c>
      <c r="CD283" s="268">
        <f>(CD162-CC162)*-1</f>
        <v>0</v>
      </c>
      <c r="CE283" s="268">
        <f>SUM(CA283:CD283)</f>
        <v>0</v>
      </c>
      <c r="CF283" s="268">
        <f>(CF162-CE162)*-1</f>
        <v>0</v>
      </c>
      <c r="CG283" s="268">
        <f>(CG162-CF162)*-1</f>
        <v>0</v>
      </c>
      <c r="CH283" s="268">
        <f>(CH162-CG162)*-1</f>
        <v>0</v>
      </c>
      <c r="CI283" s="268">
        <f>(CI162-CH162)*-1</f>
        <v>0</v>
      </c>
      <c r="CJ283" s="268">
        <f>SUM(CF283:CI283)</f>
        <v>0</v>
      </c>
      <c r="CK283" s="268">
        <f>(CK162-CJ162)*-1</f>
        <v>0</v>
      </c>
      <c r="CL283" s="268">
        <f>(CL162-CK162)*-1</f>
        <v>0</v>
      </c>
      <c r="CM283" s="268">
        <f>(CM162-CL162)*-1</f>
        <v>0</v>
      </c>
      <c r="CN283" s="268">
        <f>(CN162-CM162)*-1</f>
        <v>0</v>
      </c>
      <c r="CO283" s="268">
        <f>SUM(CK283:CN283)</f>
        <v>0</v>
      </c>
      <c r="CP283" s="268">
        <f>(CP162-CO162)*-1</f>
        <v>0</v>
      </c>
      <c r="CQ283" s="268">
        <f>(CQ162-CP162)*-1</f>
        <v>0</v>
      </c>
      <c r="CR283" s="268">
        <f>(CR162-CQ162)*-1</f>
        <v>0</v>
      </c>
      <c r="CS283" s="268">
        <f>(CS162-CR162)*-1</f>
        <v>0</v>
      </c>
      <c r="CT283" s="268">
        <f>SUM(CP283:CS283)</f>
        <v>0</v>
      </c>
      <c r="CU283" s="268">
        <f>(CU162-CT162)*-1</f>
        <v>0</v>
      </c>
      <c r="CV283" s="268">
        <f>(CV162-CU162)*-1</f>
        <v>0</v>
      </c>
      <c r="CW283" s="268">
        <f>(CW162-CV162)*-1</f>
        <v>0</v>
      </c>
      <c r="CX283" s="268">
        <f>(CX162-CW162)*-1</f>
        <v>0</v>
      </c>
      <c r="CY283" s="268">
        <f>SUM(CU283:CX283)</f>
        <v>0</v>
      </c>
      <c r="CZ283" s="268" t="n"/>
      <c r="DA283" s="268" t="n"/>
      <c r="DB283" s="268" t="n"/>
      <c r="DC283" s="268" t="n"/>
    </row>
    <row r="284" ht="12.75" customHeight="1" s="255">
      <c r="C284" s="266" t="inlineStr">
        <is>
          <t>Purchases of intangible assets</t>
        </is>
      </c>
      <c r="D284" s="268" t="n"/>
      <c r="E284" s="268">
        <f>((E166-D166)*-1)+((E165-D165)*-1)</f>
        <v>0</v>
      </c>
      <c r="F284" s="268">
        <f>((F166-E166)*-1)+((F165-E165)*-1)</f>
        <v>0</v>
      </c>
      <c r="G284" s="268">
        <f>((G166-F166)*-1)+((G165-F165)*-1)</f>
        <v>0</v>
      </c>
      <c r="H284" s="268">
        <f>SUM(D284:G284)</f>
        <v>0</v>
      </c>
      <c r="I284" s="268">
        <f>((I166-H166)*-1)+((I165-H165)*-1)</f>
        <v>0</v>
      </c>
      <c r="J284" s="268">
        <f>((J166-I166)*-1)+((J165-I165)*-1)</f>
        <v>0</v>
      </c>
      <c r="K284" s="268">
        <f>((K166-J166)*-1)+((K165-J165)*-1)</f>
        <v>0</v>
      </c>
      <c r="L284" s="268">
        <f>((L166-K166)*-1)+((L165-K165)*-1)</f>
        <v>0</v>
      </c>
      <c r="M284" s="268">
        <f>SUM(I284:L284)</f>
        <v>0</v>
      </c>
      <c r="N284" s="268">
        <f>((N166-M166)*-1)+((N165-M165)*-1)</f>
        <v>0</v>
      </c>
      <c r="O284" s="268">
        <f>((O166-N166)*-1)+((O165-N165)*-1)</f>
        <v>0</v>
      </c>
      <c r="P284" s="268">
        <f>((P166-O166)*-1)+((P165-O165)*-1)</f>
        <v>0</v>
      </c>
      <c r="Q284" s="268">
        <f>((Q166-P166)*-1)+((Q165-P165)*-1)</f>
        <v>0</v>
      </c>
      <c r="R284" s="268">
        <f>SUM(N284:Q284)</f>
        <v>0</v>
      </c>
      <c r="S284" s="268">
        <f>((S166-R166)*-1)+((S165-R165)*-1)</f>
        <v>0</v>
      </c>
      <c r="T284" s="268">
        <f>((T166-S166)*-1)+((T165-S165)*-1)</f>
        <v>0</v>
      </c>
      <c r="U284" s="268">
        <f>((U166-T166)*-1)+((U165-T165)*-1)</f>
        <v>0</v>
      </c>
      <c r="V284" s="268">
        <f>((V166-U166)*-1)+((V165-U165)*-1)</f>
        <v>0</v>
      </c>
      <c r="W284" s="268">
        <f>SUM(S284:V284)</f>
        <v>0</v>
      </c>
      <c r="X284" s="268">
        <f>((X166-W166)*-1)+((X165-W165)*-1)</f>
        <v>0</v>
      </c>
      <c r="Y284" s="268">
        <f>((Y166-X166)*-1)+((Y165-X165)*-1)</f>
        <v>0</v>
      </c>
      <c r="Z284" s="268">
        <f>((Z166-Y166)*-1)+((Z165-Y165)*-1)</f>
        <v>0</v>
      </c>
      <c r="AA284" s="268">
        <f>((AA166-Z166)*-1)+((AA165-Z165)*-1)</f>
        <v>-24.453</v>
      </c>
      <c r="AB284" s="268">
        <f>SUM(X284:AA284)</f>
        <v>-24.453</v>
      </c>
      <c r="AC284" s="268">
        <f>((AC166-AB166)*-1)+((AC165-AB165)*-1)</f>
        <v>0.514</v>
      </c>
      <c r="AD284" s="268">
        <f>((AD166-AC166)*-1)+((AD165-AC165)*-1)</f>
        <v>-994.926</v>
      </c>
      <c r="AE284" s="268">
        <f>((AE166-AD166)*-1)+((AE165-AD165)*-1)</f>
        <v>-11.115</v>
      </c>
      <c r="AF284" s="268">
        <f>((AF166-AE166)*-1)+((AF165-AE165)*-1)</f>
        <v>-306.02</v>
      </c>
      <c r="AG284" s="268">
        <f>SUM(AC284:AF284)</f>
        <v>-1311.547</v>
      </c>
      <c r="AH284" s="268">
        <f>((AH166-AG166)*-1)+((AH165-AG165)*-1)</f>
        <v>11</v>
      </c>
      <c r="AI284" s="268">
        <f>((AI166-AH166)*-1)+((AI165-AH165)*-1)</f>
        <v>-21</v>
      </c>
      <c r="AJ284" s="268">
        <f>((AJ166-AI166)*-1)+((AJ165-AI165)*-1)</f>
        <v>245</v>
      </c>
      <c r="AK284" s="268">
        <f>((AK166-AJ166)*-1)+((AK165-AJ165)*-1)</f>
        <v>0</v>
      </c>
      <c r="AL284" s="268">
        <f>SUM(AH284:AK284)</f>
        <v>235</v>
      </c>
      <c r="AM284" s="268">
        <f>((AM166-AL166)*-1)+((AM165-AL165)*-1)</f>
        <v>0</v>
      </c>
      <c r="AN284" s="268">
        <f>((AN166-AM166)*-1)+((AN165-AM165)*-1)</f>
        <v>0</v>
      </c>
      <c r="AO284" s="268">
        <f>((AO166-AN166)*-1)+((AO165-AN165)*-1)</f>
        <v>0</v>
      </c>
      <c r="AP284" s="268">
        <f>((AP166-AO166)*-1)+((AP165-AO165)*-1)</f>
        <v>0</v>
      </c>
      <c r="AQ284" s="268">
        <f>SUM(AM284:AP284)</f>
        <v>0</v>
      </c>
      <c r="AR284" s="268">
        <f>((AR166-AQ166)*-1)+((AR165-AQ165)*-1)</f>
        <v>0</v>
      </c>
      <c r="AS284" s="268">
        <f>((AS166-AR166)*-1)+((AS165-AR165)*-1)</f>
        <v>0</v>
      </c>
      <c r="AT284" s="268">
        <f>((AT166-AS166)*-1)+((AT165-AS165)*-1)</f>
        <v>0</v>
      </c>
      <c r="AU284" s="268">
        <f>((AU166-AT166)*-1)+((AU165-AT165)*-1)</f>
        <v>0</v>
      </c>
      <c r="AV284" s="268">
        <f>SUM(AR284:AU284)</f>
        <v>0</v>
      </c>
      <c r="AW284" s="268">
        <f>((AW166-AV166)*-1)+((AW165-AV165)*-1)</f>
        <v>0</v>
      </c>
      <c r="AX284" s="268">
        <f>((AX166-AW166)*-1)+((AX165-AW165)*-1)</f>
        <v>0</v>
      </c>
      <c r="AY284" s="268">
        <f>((AY166-AX166)*-1)+((AY165-AX165)*-1)</f>
        <v>0</v>
      </c>
      <c r="AZ284" s="268">
        <f>((AZ166-AY166)*-1)+((AZ165-AY165)*-1)</f>
        <v>0</v>
      </c>
      <c r="BA284" s="268">
        <f>SUM(AW284:AZ284)</f>
        <v>0</v>
      </c>
      <c r="BB284" s="268">
        <f>((BB166-BA166)*-1)+((BB165-BA165)*-1)</f>
        <v>0</v>
      </c>
      <c r="BC284" s="268">
        <f>((BC166-BB166)*-1)+((BC165-BB165)*-1)</f>
        <v>0</v>
      </c>
      <c r="BD284" s="268">
        <f>((BD166-BC166)*-1)+((BD165-BC165)*-1)</f>
        <v>0</v>
      </c>
      <c r="BE284" s="268">
        <f>((BE166-BD166)*-1)+((BE165-BD165)*-1)</f>
        <v>0</v>
      </c>
      <c r="BF284" s="268">
        <f>SUM(BB284:BE284)</f>
        <v>0</v>
      </c>
      <c r="BG284" s="268">
        <f>((BG166-BF166)*-1)+((BG165-BF165)*-1)</f>
        <v>0</v>
      </c>
      <c r="BH284" s="268">
        <f>((BH166-BG166)*-1)+((BH165-BG165)*-1)</f>
        <v>0</v>
      </c>
      <c r="BI284" s="268">
        <f>((BI166-BH166)*-1)+((BI165-BH165)*-1)</f>
        <v>0</v>
      </c>
      <c r="BJ284" s="268">
        <f>((BJ166-BI166)*-1)+((BJ165-BI165)*-1)</f>
        <v>0</v>
      </c>
      <c r="BK284" s="268">
        <f>SUM(BG284:BJ284)</f>
        <v>0</v>
      </c>
      <c r="BL284" s="268">
        <f>((BL166-BK166)*-1)+((BL165-BK165)*-1)</f>
        <v>0</v>
      </c>
      <c r="BM284" s="268">
        <f>((BM166-BL166)*-1)+((BM165-BL165)*-1)</f>
        <v>0</v>
      </c>
      <c r="BN284" s="268">
        <f>((BN166-BM166)*-1)+((BN165-BM165)*-1)</f>
        <v>0</v>
      </c>
      <c r="BO284" s="268">
        <f>((BO166-BN166)*-1)+((BO165-BN165)*-1)</f>
        <v>0</v>
      </c>
      <c r="BP284" s="268">
        <f>SUM(BL284:BO284)</f>
        <v>0</v>
      </c>
      <c r="BQ284" s="268">
        <f>((BQ166-BP166)*-1)+((BQ165-BP165)*-1)</f>
        <v>0</v>
      </c>
      <c r="BR284" s="268">
        <f>((BR166-BQ166)*-1)+((BR165-BQ165)*-1)</f>
        <v>0</v>
      </c>
      <c r="BS284" s="268">
        <f>((BS166-BR166)*-1)+((BS165-BR165)*-1)</f>
        <v>0</v>
      </c>
      <c r="BT284" s="268">
        <f>((BT166-BS166)*-1)+((BT165-BS165)*-1)</f>
        <v>0</v>
      </c>
      <c r="BU284" s="268">
        <f>SUM(BQ284:BT284)</f>
        <v>0</v>
      </c>
      <c r="BV284" s="268">
        <f>((BV166-BU166)*-1)+((BV165-BU165)*-1)</f>
        <v>0</v>
      </c>
      <c r="BW284" s="268">
        <f>((BW166-BV166)*-1)+((BW165-BV165)*-1)</f>
        <v>0</v>
      </c>
      <c r="BX284" s="268">
        <f>((BX166-BW166)*-1)+((BX165-BW165)*-1)</f>
        <v>0</v>
      </c>
      <c r="BY284" s="268">
        <f>((BY166-BX166)*-1)+((BY165-BX165)*-1)</f>
        <v>0</v>
      </c>
      <c r="BZ284" s="268">
        <f>SUM(BV284:BY284)</f>
        <v>0</v>
      </c>
      <c r="CA284" s="268">
        <f>((CA166-BZ166)*-1)+((CA165-BZ165)*-1)</f>
        <v>0</v>
      </c>
      <c r="CB284" s="268">
        <f>((CB166-CA166)*-1)+((CB165-CA165)*-1)</f>
        <v>0</v>
      </c>
      <c r="CC284" s="268">
        <f>((CC166-CB166)*-1)+((CC165-CB165)*-1)</f>
        <v>0</v>
      </c>
      <c r="CD284" s="268">
        <f>((CD166-CC166)*-1)+((CD165-CC165)*-1)</f>
        <v>0</v>
      </c>
      <c r="CE284" s="268">
        <f>SUM(CA284:CD284)</f>
        <v>0</v>
      </c>
      <c r="CF284" s="268">
        <f>((CF166-CE166)*-1)+((CF165-CE165)*-1)</f>
        <v>0</v>
      </c>
      <c r="CG284" s="268">
        <f>((CG166-CF166)*-1)+((CG165-CF165)*-1)</f>
        <v>0</v>
      </c>
      <c r="CH284" s="268">
        <f>((CH166-CG166)*-1)+((CH165-CG165)*-1)</f>
        <v>0</v>
      </c>
      <c r="CI284" s="268">
        <f>((CI166-CH166)*-1)+((CI165-CH165)*-1)</f>
        <v>0</v>
      </c>
      <c r="CJ284" s="268">
        <f>SUM(CF284:CI284)</f>
        <v>0</v>
      </c>
      <c r="CK284" s="268">
        <f>((CK166-CJ166)*-1)+((CK165-CJ165)*-1)</f>
        <v>0</v>
      </c>
      <c r="CL284" s="268">
        <f>((CL166-CK166)*-1)+((CL165-CK165)*-1)</f>
        <v>0</v>
      </c>
      <c r="CM284" s="268">
        <f>((CM166-CL166)*-1)+((CM165-CL165)*-1)</f>
        <v>0</v>
      </c>
      <c r="CN284" s="268">
        <f>((CN166-CM166)*-1)+((CN165-CM165)*-1)</f>
        <v>0</v>
      </c>
      <c r="CO284" s="268">
        <f>SUM(CK284:CN284)</f>
        <v>0</v>
      </c>
      <c r="CP284" s="268">
        <f>((CP166-CO166)*-1)+((CP165-CO165)*-1)</f>
        <v>0</v>
      </c>
      <c r="CQ284" s="268">
        <f>((CQ166-CP166)*-1)+((CQ165-CP165)*-1)</f>
        <v>0</v>
      </c>
      <c r="CR284" s="268">
        <f>((CR166-CQ166)*-1)+((CR165-CQ165)*-1)</f>
        <v>0</v>
      </c>
      <c r="CS284" s="268">
        <f>((CS166-CR166)*-1)+((CS165-CR165)*-1)</f>
        <v>0</v>
      </c>
      <c r="CT284" s="268">
        <f>SUM(CP284:CS284)</f>
        <v>0</v>
      </c>
      <c r="CU284" s="268">
        <f>((CU166-CT166)*-1)+((CU165-CT165)*-1)</f>
        <v>0</v>
      </c>
      <c r="CV284" s="268">
        <f>((CV166-CU166)*-1)+((CV165-CU165)*-1)</f>
        <v>0</v>
      </c>
      <c r="CW284" s="268">
        <f>((CW166-CV166)*-1)+((CW165-CV165)*-1)</f>
        <v>0</v>
      </c>
      <c r="CX284" s="268">
        <f>((CX166-CW166)*-1)+((CX165-CW165)*-1)</f>
        <v>0</v>
      </c>
      <c r="CY284" s="268">
        <f>SUM(CU284:CX284)</f>
        <v>0</v>
      </c>
      <c r="CZ284" s="268" t="n"/>
      <c r="DA284" s="268" t="n"/>
      <c r="DB284" s="268" t="n"/>
      <c r="DC284" s="268" t="n"/>
    </row>
    <row r="285" ht="12.75" customHeight="1" s="255">
      <c r="C285" s="328" t="inlineStr">
        <is>
          <t>Purchases/Proceeds from other long-term assets</t>
        </is>
      </c>
      <c r="D285" s="268" t="n"/>
      <c r="E285" s="268">
        <f>((E175-D175)*-1)+(E226-D226)</f>
        <v>0</v>
      </c>
      <c r="F285" s="268">
        <f>((F175-E175)*-1)+(F226-E226)</f>
        <v>0</v>
      </c>
      <c r="G285" s="268">
        <f>((G175-F175)*-1)+(G226-F226)</f>
        <v>0</v>
      </c>
      <c r="H285" s="268">
        <f>SUM(D285:G285)</f>
        <v>0</v>
      </c>
      <c r="I285" s="268">
        <f>((I175-H175)*-1)+(I226-H226)</f>
        <v>0</v>
      </c>
      <c r="J285" s="268">
        <f>((J175-I175)*-1)+(J226-I226)</f>
        <v>0</v>
      </c>
      <c r="K285" s="268">
        <f>((K175-J175)*-1)+(K226-J226)</f>
        <v>0</v>
      </c>
      <c r="L285" s="268">
        <f>((L175-K175)*-1)+(L226-K226)</f>
        <v>0</v>
      </c>
      <c r="M285" s="268">
        <f>SUM(I285:L285)</f>
        <v>0</v>
      </c>
      <c r="N285" s="268">
        <f>((N175-M175)*-1)+(N226-M226)</f>
        <v>0</v>
      </c>
      <c r="O285" s="268">
        <f>((O175-N175)*-1)+(O226-N226)</f>
        <v>0</v>
      </c>
      <c r="P285" s="268">
        <f>((P175-O175)*-1)+(P226-O226)</f>
        <v>0</v>
      </c>
      <c r="Q285" s="268">
        <f>((Q175-P175)*-1)+(Q226-P226)</f>
        <v>0</v>
      </c>
      <c r="R285" s="268">
        <f>SUM(N285:Q285)</f>
        <v>0</v>
      </c>
      <c r="S285" s="268">
        <f>((S175-R175)*-1)+(S226-R226)</f>
        <v>0</v>
      </c>
      <c r="T285" s="268">
        <f>((T175-S175)*-1)+(T226-S226)</f>
        <v>0</v>
      </c>
      <c r="U285" s="268">
        <f>((U175-T175)*-1)+(U226-T226)</f>
        <v>0</v>
      </c>
      <c r="V285" s="268">
        <f>((V175-U175)*-1)+(V226-U226)</f>
        <v>0</v>
      </c>
      <c r="W285" s="268">
        <f>SUM(S285:V285)</f>
        <v>0</v>
      </c>
      <c r="X285" s="268">
        <f>((X175-W175)*-1)+(X226-W226)</f>
        <v>0</v>
      </c>
      <c r="Y285" s="268">
        <f>((Y175-X175)*-1)+(Y226-X226)</f>
        <v>0</v>
      </c>
      <c r="Z285" s="268">
        <f>((Z175-Y175)*-1)+(Z226-Y226)</f>
        <v>0</v>
      </c>
      <c r="AA285" s="268">
        <f>((AA175-Z175)*-1)+(AA226-Z226)</f>
        <v>2177.87</v>
      </c>
      <c r="AB285" s="268">
        <f>SUM(X285:AA285)</f>
        <v>2177.87</v>
      </c>
      <c r="AC285" s="268">
        <f>((AC175-AB175)*-1)+(AC226-AB226)</f>
        <v>26.0910000000004</v>
      </c>
      <c r="AD285" s="268">
        <f>((AD175-AC175)*-1)+(AD226-AC226)</f>
        <v>557.549</v>
      </c>
      <c r="AE285" s="268">
        <f>((AE175-AD175)*-1)+(AE226-AD226)</f>
        <v>-76.1539999999998</v>
      </c>
      <c r="AF285" s="268">
        <f>((AF175-AE175)*-1)+(AF226-AE226)</f>
        <v>2603.644</v>
      </c>
      <c r="AG285" s="268">
        <f>SUM(AC285:AF285)</f>
        <v>3111.13</v>
      </c>
      <c r="AH285" s="268">
        <f>((AH175-AG175)*-1)+(AH226-AG226)</f>
        <v>-1395</v>
      </c>
      <c r="AI285" s="268">
        <f>((AI175-AH175)*-1)+(AI226-AH226)</f>
        <v>28371</v>
      </c>
      <c r="AJ285" s="268">
        <f>((AJ175-AI175)*-1)+(AJ226-AI226)</f>
        <v>0</v>
      </c>
      <c r="AK285" s="268">
        <f>((AK175-AJ175)*-1)+(AK226-AJ226)</f>
        <v>0</v>
      </c>
      <c r="AL285" s="268">
        <f>SUM(AH285:AK285)</f>
        <v>26976</v>
      </c>
      <c r="AM285" s="268">
        <f>((AM175-AL175)*-1)+(AM226-AL226)</f>
        <v>0</v>
      </c>
      <c r="AN285" s="268">
        <f>((AN175-AM175)*-1)+(AN226-AM226)</f>
        <v>0</v>
      </c>
      <c r="AO285" s="268">
        <f>((AO175-AN175)*-1)+(AO226-AN226)</f>
        <v>0</v>
      </c>
      <c r="AP285" s="268">
        <f>((AP175-AO175)*-1)+(AP226-AO226)</f>
        <v>0</v>
      </c>
      <c r="AQ285" s="268">
        <f>SUM(AM285:AP285)</f>
        <v>0</v>
      </c>
      <c r="AR285" s="268">
        <f>((AR175-AQ175)*-1)+(AR226-AQ226)</f>
        <v>0</v>
      </c>
      <c r="AS285" s="268">
        <f>((AS175-AR175)*-1)+(AS226-AR226)</f>
        <v>0</v>
      </c>
      <c r="AT285" s="268">
        <f>((AT175-AS175)*-1)+(AT226-AS226)</f>
        <v>0</v>
      </c>
      <c r="AU285" s="268">
        <f>((AU175-AT175)*-1)+(AU226-AT226)</f>
        <v>0</v>
      </c>
      <c r="AV285" s="268">
        <f>SUM(AR285:AU285)</f>
        <v>0</v>
      </c>
      <c r="AW285" s="268">
        <f>((AW175-AV175)*-1)+(AW226-AV226)</f>
        <v>0</v>
      </c>
      <c r="AX285" s="268">
        <f>((AX175-AW175)*-1)+(AX226-AW226)</f>
        <v>0</v>
      </c>
      <c r="AY285" s="268">
        <f>((AY175-AX175)*-1)+(AY226-AX226)</f>
        <v>0</v>
      </c>
      <c r="AZ285" s="268">
        <f>((AZ175-AY175)*-1)+(AZ226-AY226)</f>
        <v>0</v>
      </c>
      <c r="BA285" s="268">
        <f>SUM(AW285:AZ285)</f>
        <v>0</v>
      </c>
      <c r="BB285" s="268">
        <f>((BB175-BA175)*-1)+(BB226-BA226)</f>
        <v>0</v>
      </c>
      <c r="BC285" s="268">
        <f>((BC175-BB175)*-1)+(BC226-BB226)</f>
        <v>0</v>
      </c>
      <c r="BD285" s="268">
        <f>((BD175-BC175)*-1)+(BD226-BC226)</f>
        <v>0</v>
      </c>
      <c r="BE285" s="268">
        <f>((BE175-BD175)*-1)+(BE226-BD226)</f>
        <v>0</v>
      </c>
      <c r="BF285" s="268">
        <f>SUM(BB285:BE285)</f>
        <v>0</v>
      </c>
      <c r="BG285" s="268">
        <f>((BG175-BF175)*-1)+(BG226-BF226)</f>
        <v>0</v>
      </c>
      <c r="BH285" s="268">
        <f>((BH175-BG175)*-1)+(BH226-BG226)</f>
        <v>0</v>
      </c>
      <c r="BI285" s="268">
        <f>((BI175-BH175)*-1)+(BI226-BH226)</f>
        <v>0</v>
      </c>
      <c r="BJ285" s="268">
        <f>((BJ175-BI175)*-1)+(BJ226-BI226)</f>
        <v>0</v>
      </c>
      <c r="BK285" s="268">
        <f>SUM(BG285:BJ285)</f>
        <v>0</v>
      </c>
      <c r="BL285" s="268">
        <f>((BL175-BK175)*-1)+(BL226-BK226)</f>
        <v>0</v>
      </c>
      <c r="BM285" s="268">
        <f>((BM175-BL175)*-1)+(BM226-BL226)</f>
        <v>0</v>
      </c>
      <c r="BN285" s="268">
        <f>((BN175-BM175)*-1)+(BN226-BM226)</f>
        <v>0</v>
      </c>
      <c r="BO285" s="268">
        <f>((BO175-BN175)*-1)+(BO226-BN226)</f>
        <v>0</v>
      </c>
      <c r="BP285" s="268">
        <f>SUM(BL285:BO285)</f>
        <v>0</v>
      </c>
      <c r="BQ285" s="268">
        <f>((BQ175-BP175)*-1)+(BQ226-BP226)</f>
        <v>0</v>
      </c>
      <c r="BR285" s="268">
        <f>((BR175-BQ175)*-1)+(BR226-BQ226)</f>
        <v>0</v>
      </c>
      <c r="BS285" s="268">
        <f>((BS175-BR175)*-1)+(BS226-BR226)</f>
        <v>0</v>
      </c>
      <c r="BT285" s="268">
        <f>((BT175-BS175)*-1)+(BT226-BS226)</f>
        <v>0</v>
      </c>
      <c r="BU285" s="268">
        <f>SUM(BQ285:BT285)</f>
        <v>0</v>
      </c>
      <c r="BV285" s="268">
        <f>((BV175-BU175)*-1)+(BV226-BU226)</f>
        <v>0</v>
      </c>
      <c r="BW285" s="268">
        <f>((BW175-BV175)*-1)+(BW226-BV226)</f>
        <v>0</v>
      </c>
      <c r="BX285" s="268">
        <f>((BX175-BW175)*-1)+(BX226-BW226)</f>
        <v>0</v>
      </c>
      <c r="BY285" s="268">
        <f>((BY175-BX175)*-1)+(BY226-BX226)</f>
        <v>0</v>
      </c>
      <c r="BZ285" s="268">
        <f>SUM(BV285:BY285)</f>
        <v>0</v>
      </c>
      <c r="CA285" s="268">
        <f>((CA175-BZ175)*-1)+(CA226-BZ226)</f>
        <v>0</v>
      </c>
      <c r="CB285" s="268">
        <f>((CB175-CA175)*-1)+(CB226-CA226)</f>
        <v>0</v>
      </c>
      <c r="CC285" s="268">
        <f>((CC175-CB175)*-1)+(CC226-CB226)</f>
        <v>0</v>
      </c>
      <c r="CD285" s="268">
        <f>((CD175-CC175)*-1)+(CD226-CC226)</f>
        <v>0</v>
      </c>
      <c r="CE285" s="268">
        <f>SUM(CA285:CD285)</f>
        <v>0</v>
      </c>
      <c r="CF285" s="268">
        <f>((CF175-CE175)*-1)+(CF226-CE226)</f>
        <v>0</v>
      </c>
      <c r="CG285" s="268">
        <f>((CG175-CF175)*-1)+(CG226-CF226)</f>
        <v>0</v>
      </c>
      <c r="CH285" s="268">
        <f>((CH175-CG175)*-1)+(CH226-CG226)</f>
        <v>0</v>
      </c>
      <c r="CI285" s="268">
        <f>((CI175-CH175)*-1)+(CI226-CH226)</f>
        <v>0</v>
      </c>
      <c r="CJ285" s="268">
        <f>SUM(CF285:CI285)</f>
        <v>0</v>
      </c>
      <c r="CK285" s="268">
        <f>((CK175-CJ175)*-1)+(CK226-CJ226)</f>
        <v>0</v>
      </c>
      <c r="CL285" s="268">
        <f>((CL175-CK175)*-1)+(CL226-CK226)</f>
        <v>0</v>
      </c>
      <c r="CM285" s="268">
        <f>((CM175-CL175)*-1)+(CM226-CL226)</f>
        <v>0</v>
      </c>
      <c r="CN285" s="268">
        <f>((CN175-CM175)*-1)+(CN226-CM226)</f>
        <v>0</v>
      </c>
      <c r="CO285" s="268">
        <f>SUM(CK285:CN285)</f>
        <v>0</v>
      </c>
      <c r="CP285" s="268">
        <f>((CP175-CO175)*-1)+(CP226-CO226)</f>
        <v>0</v>
      </c>
      <c r="CQ285" s="268">
        <f>((CQ175-CP175)*-1)+(CQ226-CP226)</f>
        <v>0</v>
      </c>
      <c r="CR285" s="268">
        <f>((CR175-CQ175)*-1)+(CR226-CQ226)</f>
        <v>0</v>
      </c>
      <c r="CS285" s="268">
        <f>((CS175-CR175)*-1)+(CS226-CR226)</f>
        <v>0</v>
      </c>
      <c r="CT285" s="268">
        <f>SUM(CP285:CS285)</f>
        <v>0</v>
      </c>
      <c r="CU285" s="268">
        <f>((CU175-CT175)*-1)+(CU226-CT226)</f>
        <v>0</v>
      </c>
      <c r="CV285" s="268">
        <f>((CV175-CU175)*-1)+(CV226-CU226)</f>
        <v>0</v>
      </c>
      <c r="CW285" s="268">
        <f>((CW175-CV175)*-1)+(CW226-CV226)</f>
        <v>0</v>
      </c>
      <c r="CX285" s="268">
        <f>((CX175-CW175)*-1)+(CX226-CW226)</f>
        <v>0</v>
      </c>
      <c r="CY285" s="268">
        <f>SUM(CU285:CX285)</f>
        <v>0</v>
      </c>
    </row>
    <row r="286" ht="12.75" customHeight="1" s="255">
      <c r="C286" s="270" t="inlineStr">
        <is>
          <t>Cash from investing</t>
        </is>
      </c>
      <c r="D286" s="268" t="n"/>
      <c r="E286" s="268">
        <f>SUM(E281,E282,E284,E285,E283)</f>
        <v>0</v>
      </c>
      <c r="F286" s="268">
        <f>SUM(F281,F282,F284,F285,F283)</f>
        <v>0</v>
      </c>
      <c r="G286" s="268">
        <f>SUM(G281,G282,G284,G285,G283)</f>
        <v>0</v>
      </c>
      <c r="H286" s="268">
        <f>SUM(H281,H282,H284,H285)</f>
        <v>0</v>
      </c>
      <c r="I286" s="268">
        <f>SUM(I281,I282,I284,I285,I283)</f>
        <v>0</v>
      </c>
      <c r="J286" s="268">
        <f>SUM(J281,J282,J284,J285,J283)</f>
        <v>0</v>
      </c>
      <c r="K286" s="268">
        <f>SUM(K281,K282,K284,K285,K283)</f>
        <v>0</v>
      </c>
      <c r="L286" s="268">
        <f>SUM(L281,L282,L284,L285,L283)</f>
        <v>0</v>
      </c>
      <c r="M286" s="268">
        <f>SUM(M281,M282,M284,M285)</f>
        <v>0</v>
      </c>
      <c r="N286" s="268">
        <f>SUM(N281,N282,N284,N285,N283)</f>
        <v>0</v>
      </c>
      <c r="O286" s="268">
        <f>SUM(O281,O282,O284,O285,O283)</f>
        <v>0</v>
      </c>
      <c r="P286" s="268">
        <f>SUM(P281,P282,P284,P285,P283)</f>
        <v>0</v>
      </c>
      <c r="Q286" s="268">
        <f>SUM(Q281,Q282,Q284,Q285,Q283)</f>
        <v>0</v>
      </c>
      <c r="R286" s="268">
        <f>SUM(R281,R282,R284,R285)</f>
        <v>0</v>
      </c>
      <c r="S286" s="268">
        <f>SUM(S281,S282,S284,S285,S283)</f>
        <v>0</v>
      </c>
      <c r="T286" s="268">
        <f>SUM(T281,T282,T284,T285,T283)</f>
        <v>0</v>
      </c>
      <c r="U286" s="268">
        <f>SUM(U281,U282,U284,U285,U283)</f>
        <v>0</v>
      </c>
      <c r="V286" s="268">
        <f>SUM(V281,V282,V284,V285,V283)</f>
        <v>0</v>
      </c>
      <c r="W286" s="268">
        <f>SUM(W281,W282,W284,W285)</f>
        <v>0</v>
      </c>
      <c r="X286" s="268">
        <f>SUM(X281,X282,X284,X285,X283)</f>
        <v>-79.51</v>
      </c>
      <c r="Y286" s="268">
        <f>SUM(Y281,Y282,Y284,Y285,Y283)</f>
        <v>-164.46</v>
      </c>
      <c r="Z286" s="268">
        <f>SUM(Z281,Z282,Z284,Z285,Z283)</f>
        <v>-254.024</v>
      </c>
      <c r="AA286" s="268">
        <f>SUM(AA281,AA282,AA284,AA285,AA283)</f>
        <v>-12715.91</v>
      </c>
      <c r="AB286" s="268">
        <f>SUM(AB281,AB282,AB284,AB285)</f>
        <v>-10624.357</v>
      </c>
      <c r="AC286" s="268">
        <f>SUM(AC281,AC282,AC284,AC285,AC283)</f>
        <v>-3186.783</v>
      </c>
      <c r="AD286" s="268">
        <f>SUM(AD281,AD282,AD284,AD285,AD283)</f>
        <v>-3734.357</v>
      </c>
      <c r="AE286" s="268">
        <f>SUM(AE281,AE282,AE284,AE285,AE283)</f>
        <v>-6042.275</v>
      </c>
      <c r="AF286" s="268">
        <f>SUM(AF281,AF282,AF284,AF285,AF283)</f>
        <v>-11974.681</v>
      </c>
      <c r="AG286" s="268">
        <f>SUM(AG281,AG282,AG284,AG285)</f>
        <v>-19296.643</v>
      </c>
      <c r="AH286" s="268">
        <f>SUM(AH281,AH282,AH284,AH285,AH283)</f>
        <v>-10349</v>
      </c>
      <c r="AI286" s="268">
        <f>SUM(AI281,AI282,AI284,AI285,AI283)</f>
        <v>10232</v>
      </c>
      <c r="AJ286" s="268">
        <f>SUM(AJ281,AJ282,AJ284,AJ285,AJ283)</f>
        <v>245</v>
      </c>
      <c r="AK286" s="268">
        <f>SUM(AK281,AK282,AK284,AK285,AK283)</f>
        <v>0</v>
      </c>
      <c r="AL286" s="268">
        <f>SUM(AL281,AL282,AL284,AL285)</f>
        <v>8492</v>
      </c>
      <c r="AM286" s="268">
        <f>SUM(AM281,AM282,AM284,AM285,AM283)</f>
        <v>0</v>
      </c>
      <c r="AN286" s="268">
        <f>SUM(AN281,AN282,AN284,AN285,AN283)</f>
        <v>0</v>
      </c>
      <c r="AO286" s="268">
        <f>SUM(AO281,AO282,AO284,AO285,AO283)</f>
        <v>0</v>
      </c>
      <c r="AP286" s="268">
        <f>SUM(AP281,AP282,AP284,AP285,AP283)</f>
        <v>0</v>
      </c>
      <c r="AQ286" s="268">
        <f>SUM(AQ281,AQ282,AQ284,AQ285)</f>
        <v>0</v>
      </c>
      <c r="AR286" s="268">
        <f>SUM(AR281,AR282,AR284,AR285,AR283)</f>
        <v>0</v>
      </c>
      <c r="AS286" s="268">
        <f>SUM(AS281,AS282,AS284,AS285,AS283)</f>
        <v>0</v>
      </c>
      <c r="AT286" s="268">
        <f>SUM(AT281,AT282,AT284,AT285,AT283)</f>
        <v>0</v>
      </c>
      <c r="AU286" s="268">
        <f>SUM(AU281,AU282,AU284,AU285,AU283)</f>
        <v>0</v>
      </c>
      <c r="AV286" s="268">
        <f>SUM(AV281,AV282,AV284,AV285)</f>
        <v>0</v>
      </c>
      <c r="AW286" s="268">
        <f>SUM(AW281,AW282,AW284,AW285,AW283)</f>
        <v>0</v>
      </c>
      <c r="AX286" s="268">
        <f>SUM(AX281,AX282,AX284,AX285,AX283)</f>
        <v>0</v>
      </c>
      <c r="AY286" s="268">
        <f>SUM(AY281,AY282,AY284,AY285,AY283)</f>
        <v>0</v>
      </c>
      <c r="AZ286" s="268">
        <f>SUM(AZ281,AZ282,AZ284,AZ285,AZ283)</f>
        <v>0</v>
      </c>
      <c r="BA286" s="268">
        <f>SUM(BA281,BA282,BA284,BA285)</f>
        <v>0</v>
      </c>
      <c r="BB286" s="268">
        <f>SUM(BB281,BB282,BB284,BB285,BB283)</f>
        <v>0</v>
      </c>
      <c r="BC286" s="268">
        <f>SUM(BC281,BC282,BC284,BC285,BC283)</f>
        <v>0</v>
      </c>
      <c r="BD286" s="268">
        <f>SUM(BD281,BD282,BD284,BD285,BD283)</f>
        <v>0</v>
      </c>
      <c r="BE286" s="268">
        <f>SUM(BE281,BE282,BE284,BE285,BE283)</f>
        <v>0</v>
      </c>
      <c r="BF286" s="268">
        <f>SUM(BF281,BF282,BF284,BF285)</f>
        <v>0</v>
      </c>
      <c r="BG286" s="268">
        <f>SUM(BG281,BG282,BG284,BG285,BG283)</f>
        <v>0</v>
      </c>
      <c r="BH286" s="268">
        <f>SUM(BH281,BH282,BH284,BH285,BH283)</f>
        <v>0</v>
      </c>
      <c r="BI286" s="268">
        <f>SUM(BI281,BI282,BI284,BI285,BI283)</f>
        <v>0</v>
      </c>
      <c r="BJ286" s="268">
        <f>SUM(BJ281,BJ282,BJ284,BJ285,BJ283)</f>
        <v>0</v>
      </c>
      <c r="BK286" s="268">
        <f>SUM(BK281,BK282,BK284,BK285)</f>
        <v>0</v>
      </c>
      <c r="BL286" s="268">
        <f>SUM(BL281,BL282,BL284,BL285,BL283)</f>
        <v>0</v>
      </c>
      <c r="BM286" s="268">
        <f>SUM(BM281,BM282,BM284,BM285,BM283)</f>
        <v>0</v>
      </c>
      <c r="BN286" s="268">
        <f>SUM(BN281,BN282,BN284,BN285,BN283)</f>
        <v>0</v>
      </c>
      <c r="BO286" s="268">
        <f>SUM(BO281,BO282,BO284,BO285,BO283)</f>
        <v>0</v>
      </c>
      <c r="BP286" s="268">
        <f>SUM(BP281,BP282,BP284,BP285)</f>
        <v>0</v>
      </c>
      <c r="BQ286" s="268">
        <f>SUM(BQ281,BQ282,BQ284,BQ285,BQ283)</f>
        <v>0</v>
      </c>
      <c r="BR286" s="268">
        <f>SUM(BR281,BR282,BR284,BR285,BR283)</f>
        <v>0</v>
      </c>
      <c r="BS286" s="268">
        <f>SUM(BS281,BS282,BS284,BS285,BS283)</f>
        <v>0</v>
      </c>
      <c r="BT286" s="268">
        <f>SUM(BT281,BT282,BT284,BT285,BT283)</f>
        <v>0</v>
      </c>
      <c r="BU286" s="268">
        <f>SUM(BU281,BU282,BU284,BU285)</f>
        <v>0</v>
      </c>
      <c r="BV286" s="268">
        <f>SUM(BV281,BV282,BV284,BV285,BV283)</f>
        <v>0</v>
      </c>
      <c r="BW286" s="268">
        <f>SUM(BW281,BW282,BW284,BW285,BW283)</f>
        <v>0</v>
      </c>
      <c r="BX286" s="268">
        <f>SUM(BX281,BX282,BX284,BX285,BX283)</f>
        <v>0</v>
      </c>
      <c r="BY286" s="268">
        <f>SUM(BY281,BY282,BY284,BY285,BY283)</f>
        <v>0</v>
      </c>
      <c r="BZ286" s="268">
        <f>SUM(BZ281,BZ282,BZ284,BZ285)</f>
        <v>0</v>
      </c>
      <c r="CA286" s="268">
        <f>SUM(CA281,CA282,CA284,CA285,CA283)</f>
        <v>0</v>
      </c>
      <c r="CB286" s="268">
        <f>SUM(CB281,CB282,CB284,CB285,CB283)</f>
        <v>0</v>
      </c>
      <c r="CC286" s="268">
        <f>SUM(CC281,CC282,CC284,CC285,CC283)</f>
        <v>0</v>
      </c>
      <c r="CD286" s="268">
        <f>SUM(CD281,CD282,CD284,CD285,CD283)</f>
        <v>0</v>
      </c>
      <c r="CE286" s="268">
        <f>SUM(CE281,CE282,CE284,CE285)</f>
        <v>0</v>
      </c>
      <c r="CF286" s="268">
        <f>SUM(CF281,CF282,CF284,CF285,CF283)</f>
        <v>0</v>
      </c>
      <c r="CG286" s="268">
        <f>SUM(CG281,CG282,CG284,CG285,CG283)</f>
        <v>0</v>
      </c>
      <c r="CH286" s="268">
        <f>SUM(CH281,CH282,CH284,CH285,CH283)</f>
        <v>0</v>
      </c>
      <c r="CI286" s="268">
        <f>SUM(CI281,CI282,CI284,CI285,CI283)</f>
        <v>0</v>
      </c>
      <c r="CJ286" s="268">
        <f>SUM(CJ281,CJ282,CJ284,CJ285)</f>
        <v>0</v>
      </c>
      <c r="CK286" s="268">
        <f>SUM(CK281,CK282,CK284,CK285,CK283)</f>
        <v>0</v>
      </c>
      <c r="CL286" s="268">
        <f>SUM(CL281,CL282,CL284,CL285,CL283)</f>
        <v>0</v>
      </c>
      <c r="CM286" s="268">
        <f>SUM(CM281,CM282,CM284,CM285,CM283)</f>
        <v>0</v>
      </c>
      <c r="CN286" s="268">
        <f>SUM(CN281,CN282,CN284,CN285,CN283)</f>
        <v>0</v>
      </c>
      <c r="CO286" s="268">
        <f>SUM(CO281,CO282,CO284,CO285)</f>
        <v>0</v>
      </c>
      <c r="CP286" s="268">
        <f>SUM(CP281,CP282,CP284,CP285,CP283)</f>
        <v>0</v>
      </c>
      <c r="CQ286" s="268">
        <f>SUM(CQ281,CQ282,CQ284,CQ285,CQ283)</f>
        <v>0</v>
      </c>
      <c r="CR286" s="268">
        <f>SUM(CR281,CR282,CR284,CR285,CR283)</f>
        <v>0</v>
      </c>
      <c r="CS286" s="268">
        <f>SUM(CS281,CS282,CS284,CS285,CS283)</f>
        <v>0</v>
      </c>
      <c r="CT286" s="268">
        <f>SUM(CT281,CT282,CT284,CT285)</f>
        <v>0</v>
      </c>
      <c r="CU286" s="268">
        <f>SUM(CU281,CU282,CU284,CU285,CU283)</f>
        <v>0</v>
      </c>
      <c r="CV286" s="268">
        <f>SUM(CV281,CV282,CV284,CV285,CV283)</f>
        <v>0</v>
      </c>
      <c r="CW286" s="268">
        <f>SUM(CW281,CW282,CW284,CW285,CW283)</f>
        <v>0</v>
      </c>
      <c r="CX286" s="268">
        <f>SUM(CX281,CX282,CX284,CX285,CX283)</f>
        <v>0</v>
      </c>
      <c r="CY286" s="268">
        <f>SUM(CY281,CY282,CY284,CY285)</f>
        <v>0</v>
      </c>
    </row>
    <row r="287" ht="12.75" customHeight="1" s="255">
      <c r="C287" s="270" t="n"/>
      <c r="D287" s="268" t="n"/>
      <c r="E287" s="268" t="n"/>
      <c r="F287" s="268" t="n"/>
      <c r="G287" s="268" t="n"/>
      <c r="H287" s="268" t="n"/>
      <c r="I287" s="268" t="n"/>
      <c r="J287" s="268" t="n"/>
      <c r="K287" s="268" t="n"/>
      <c r="L287" s="268" t="n"/>
      <c r="M287" s="268" t="n"/>
      <c r="N287" s="268" t="n"/>
      <c r="O287" s="268" t="n"/>
      <c r="P287" s="268" t="n"/>
      <c r="Q287" s="268" t="n"/>
      <c r="R287" s="268" t="n"/>
      <c r="S287" s="268" t="n"/>
      <c r="T287" s="268" t="n"/>
      <c r="U287" s="268" t="n"/>
      <c r="V287" s="268" t="n"/>
      <c r="W287" s="268" t="n"/>
      <c r="X287" s="268" t="n"/>
      <c r="Y287" s="268" t="n"/>
      <c r="Z287" s="268" t="n"/>
      <c r="AA287" s="268" t="n"/>
      <c r="AB287" s="268" t="n"/>
      <c r="AC287" s="268" t="n"/>
      <c r="AD287" s="268" t="n"/>
      <c r="AE287" s="268" t="n"/>
      <c r="AF287" s="268" t="n"/>
      <c r="AG287" s="268" t="n"/>
      <c r="AH287" s="268" t="n"/>
      <c r="AI287" s="268" t="n"/>
      <c r="AJ287" s="268" t="n"/>
      <c r="AK287" s="268" t="n"/>
      <c r="AL287" s="268" t="n"/>
      <c r="AM287" s="268" t="n"/>
      <c r="AN287" s="268" t="n"/>
      <c r="AO287" s="268" t="n"/>
      <c r="AP287" s="268" t="n"/>
      <c r="AQ287" s="268" t="n"/>
      <c r="AR287" s="268" t="n"/>
      <c r="AS287" s="268" t="n"/>
      <c r="AT287" s="268" t="n"/>
      <c r="AU287" s="268" t="n"/>
      <c r="AV287" s="268" t="n"/>
      <c r="AW287" s="268" t="n"/>
      <c r="AX287" s="268" t="n"/>
      <c r="AY287" s="268" t="n"/>
      <c r="AZ287" s="268" t="n"/>
      <c r="BA287" s="268" t="n"/>
      <c r="BB287" s="268" t="n"/>
      <c r="BC287" s="268" t="n"/>
      <c r="BD287" s="268" t="n"/>
      <c r="BE287" s="268" t="n"/>
      <c r="BF287" s="268" t="n"/>
      <c r="BG287" s="268" t="n"/>
      <c r="BH287" s="268" t="n"/>
      <c r="BI287" s="268" t="n"/>
      <c r="BJ287" s="268" t="n"/>
      <c r="BK287" s="268" t="n"/>
      <c r="BL287" s="268" t="n"/>
      <c r="BM287" s="268" t="n"/>
      <c r="BN287" s="268" t="n"/>
      <c r="BO287" s="268" t="n"/>
      <c r="BP287" s="268" t="n"/>
      <c r="BQ287" s="268" t="n"/>
      <c r="BR287" s="268" t="n"/>
      <c r="BS287" s="268" t="n"/>
      <c r="BT287" s="268" t="n"/>
      <c r="BU287" s="268" t="n"/>
      <c r="BV287" s="268" t="n"/>
      <c r="BW287" s="268" t="n"/>
      <c r="BX287" s="268" t="n"/>
      <c r="BY287" s="268" t="n"/>
      <c r="BZ287" s="268" t="n"/>
      <c r="CA287" s="268" t="n"/>
      <c r="CB287" s="268" t="n"/>
      <c r="CC287" s="268" t="n"/>
      <c r="CD287" s="268" t="n"/>
      <c r="CE287" s="268" t="n"/>
      <c r="CF287" s="268" t="n"/>
      <c r="CG287" s="268" t="n"/>
      <c r="CH287" s="268" t="n"/>
      <c r="CI287" s="268" t="n"/>
      <c r="CJ287" s="268" t="n"/>
      <c r="CK287" s="268" t="n"/>
      <c r="CL287" s="268" t="n"/>
      <c r="CM287" s="268" t="n"/>
      <c r="CN287" s="268" t="n"/>
      <c r="CO287" s="268" t="n"/>
      <c r="CP287" s="268" t="n"/>
      <c r="CQ287" s="268" t="n"/>
      <c r="CR287" s="268" t="n"/>
      <c r="CS287" s="268" t="n"/>
      <c r="CT287" s="268" t="n"/>
      <c r="CU287" s="268" t="n"/>
      <c r="CV287" s="268" t="n"/>
      <c r="CW287" s="268" t="n"/>
      <c r="CX287" s="268" t="n"/>
      <c r="CY287" s="268" t="n"/>
    </row>
    <row r="288" ht="12.75" customHeight="1" s="255">
      <c r="C288" s="270" t="inlineStr">
        <is>
          <t>Convertible preferred stock</t>
        </is>
      </c>
      <c r="D288" s="268" t="n"/>
      <c r="E288" s="268">
        <f>E239-D239</f>
        <v>0</v>
      </c>
      <c r="F288" s="268">
        <f>F239-E239</f>
        <v>0</v>
      </c>
      <c r="G288" s="268">
        <f>G239-F239</f>
        <v>0</v>
      </c>
      <c r="H288" s="268">
        <f>SUM(D288:G288)</f>
        <v>0</v>
      </c>
      <c r="I288" s="268">
        <f>I239-H239</f>
        <v>0</v>
      </c>
      <c r="J288" s="268">
        <f>J239-I239</f>
        <v>0</v>
      </c>
      <c r="K288" s="268">
        <f>K239-J239</f>
        <v>0</v>
      </c>
      <c r="L288" s="268">
        <f>L239-K239</f>
        <v>0</v>
      </c>
      <c r="M288" s="268">
        <f>SUM(I288:L288)</f>
        <v>0</v>
      </c>
      <c r="N288" s="268">
        <f>N239-M239</f>
        <v>0</v>
      </c>
      <c r="O288" s="268">
        <f>O239-N239</f>
        <v>0</v>
      </c>
      <c r="P288" s="268">
        <f>P239-O239</f>
        <v>0</v>
      </c>
      <c r="Q288" s="268">
        <f>Q239-P239</f>
        <v>0</v>
      </c>
      <c r="R288" s="268">
        <f>SUM(N288:Q288)</f>
        <v>0</v>
      </c>
      <c r="S288" s="268">
        <f>S239-R239</f>
        <v>0</v>
      </c>
      <c r="T288" s="268">
        <f>T239-S239</f>
        <v>0</v>
      </c>
      <c r="U288" s="268">
        <f>U239-T239</f>
        <v>0</v>
      </c>
      <c r="V288" s="268">
        <f>V239-U239</f>
        <v>0</v>
      </c>
      <c r="W288" s="268">
        <f>SUM(S288:V288)</f>
        <v>0</v>
      </c>
      <c r="X288" s="268">
        <f>X239-W239</f>
        <v>0</v>
      </c>
      <c r="Y288" s="268">
        <f>Y239-X239</f>
        <v>0</v>
      </c>
      <c r="Z288" s="268">
        <f>Z239-Y239</f>
        <v>0</v>
      </c>
      <c r="AA288" s="268">
        <f>AA239-Z239</f>
        <v>0</v>
      </c>
      <c r="AB288" s="268">
        <f>SUM(X288:AA288)</f>
        <v>0</v>
      </c>
      <c r="AC288" s="268">
        <f>AC239-AB239</f>
        <v>0</v>
      </c>
      <c r="AD288" s="268">
        <f>AD239-AC239</f>
        <v>0</v>
      </c>
      <c r="AE288" s="268">
        <f>AE239-AD239</f>
        <v>0</v>
      </c>
      <c r="AF288" s="268">
        <f>AF239-AE239</f>
        <v>0</v>
      </c>
      <c r="AG288" s="268">
        <f>SUM(AC288:AF288)</f>
        <v>0</v>
      </c>
      <c r="AH288" s="268">
        <f>AH239-AG239</f>
        <v>0</v>
      </c>
      <c r="AI288" s="268">
        <f>AI239-AH239</f>
        <v>0</v>
      </c>
      <c r="AJ288" s="268">
        <f>AJ239-AI239</f>
        <v>0</v>
      </c>
      <c r="AK288" s="268">
        <f>AK239-AJ239</f>
        <v>0</v>
      </c>
      <c r="AL288" s="268">
        <f>SUM(AH288:AK288)</f>
        <v>0</v>
      </c>
      <c r="AM288" s="268">
        <f>AM239-AL239</f>
        <v>0</v>
      </c>
      <c r="AN288" s="268">
        <f>AN239-AM239</f>
        <v>0</v>
      </c>
      <c r="AO288" s="268">
        <f>AO239-AN239</f>
        <v>0</v>
      </c>
      <c r="AP288" s="268">
        <f>AP239-AO239</f>
        <v>0</v>
      </c>
      <c r="AQ288" s="268">
        <f>SUM(AM288:AP288)</f>
        <v>0</v>
      </c>
      <c r="AR288" s="268">
        <f>AR239-AQ239</f>
        <v>0</v>
      </c>
      <c r="AS288" s="268">
        <f>AS239-AR239</f>
        <v>0</v>
      </c>
      <c r="AT288" s="268">
        <f>AT239-AS239</f>
        <v>0</v>
      </c>
      <c r="AU288" s="268">
        <f>AU239-AT239</f>
        <v>0</v>
      </c>
      <c r="AV288" s="268">
        <f>SUM(AR288:AU288)</f>
        <v>0</v>
      </c>
      <c r="AW288" s="268">
        <f>AW239-AV239</f>
        <v>0</v>
      </c>
      <c r="AX288" s="268">
        <f>AX239-AW239</f>
        <v>0</v>
      </c>
      <c r="AY288" s="268">
        <f>AY239-AX239</f>
        <v>0</v>
      </c>
      <c r="AZ288" s="268">
        <f>AZ239-AY239</f>
        <v>0</v>
      </c>
      <c r="BA288" s="268">
        <f>SUM(AW288:AZ288)</f>
        <v>0</v>
      </c>
      <c r="BB288" s="268">
        <f>BB239-BA239</f>
        <v>0</v>
      </c>
      <c r="BC288" s="268">
        <f>BC239-BB239</f>
        <v>0</v>
      </c>
      <c r="BD288" s="268">
        <f>BD239-BC239</f>
        <v>0</v>
      </c>
      <c r="BE288" s="268">
        <f>BE239-BD239</f>
        <v>0</v>
      </c>
      <c r="BF288" s="268">
        <f>SUM(BB288:BE288)</f>
        <v>0</v>
      </c>
      <c r="BG288" s="268">
        <f>BG239-BF239</f>
        <v>0</v>
      </c>
      <c r="BH288" s="268">
        <f>BH239-BG239</f>
        <v>0</v>
      </c>
      <c r="BI288" s="268">
        <f>BI239-BH239</f>
        <v>0</v>
      </c>
      <c r="BJ288" s="268">
        <f>BJ239-BI239</f>
        <v>0</v>
      </c>
      <c r="BK288" s="268">
        <f>SUM(BG288:BJ288)</f>
        <v>0</v>
      </c>
      <c r="BL288" s="268">
        <f>BL239-BK239</f>
        <v>0</v>
      </c>
      <c r="BM288" s="268">
        <f>BM239-BL239</f>
        <v>0</v>
      </c>
      <c r="BN288" s="268">
        <f>BN239-BM239</f>
        <v>0</v>
      </c>
      <c r="BO288" s="268">
        <f>BO239-BN239</f>
        <v>0</v>
      </c>
      <c r="BP288" s="268">
        <f>SUM(BL288:BO288)</f>
        <v>0</v>
      </c>
      <c r="BQ288" s="268">
        <f>BQ239-BP239</f>
        <v>0</v>
      </c>
      <c r="BR288" s="268">
        <f>BR239-BQ239</f>
        <v>0</v>
      </c>
      <c r="BS288" s="268">
        <f>BS239-BR239</f>
        <v>0</v>
      </c>
      <c r="BT288" s="268">
        <f>BT239-BS239</f>
        <v>0</v>
      </c>
      <c r="BU288" s="268">
        <f>SUM(BQ288:BT288)</f>
        <v>0</v>
      </c>
      <c r="BV288" s="268">
        <f>BV239-BU239</f>
        <v>0</v>
      </c>
      <c r="BW288" s="268">
        <f>BW239-BV239</f>
        <v>0</v>
      </c>
      <c r="BX288" s="268">
        <f>BX239-BW239</f>
        <v>0</v>
      </c>
      <c r="BY288" s="268">
        <f>BY239-BX239</f>
        <v>0</v>
      </c>
      <c r="BZ288" s="268">
        <f>SUM(BV288:BY288)</f>
        <v>0</v>
      </c>
      <c r="CA288" s="268">
        <f>CA239-BZ239</f>
        <v>0</v>
      </c>
      <c r="CB288" s="268">
        <f>CB239-CA239</f>
        <v>0</v>
      </c>
      <c r="CC288" s="268">
        <f>CC239-CB239</f>
        <v>0</v>
      </c>
      <c r="CD288" s="268">
        <f>CD239-CC239</f>
        <v>0</v>
      </c>
      <c r="CE288" s="268">
        <f>SUM(CA288:CD288)</f>
        <v>0</v>
      </c>
      <c r="CF288" s="268">
        <f>CF239-CE239</f>
        <v>0</v>
      </c>
      <c r="CG288" s="268">
        <f>CG239-CF239</f>
        <v>0</v>
      </c>
      <c r="CH288" s="268">
        <f>CH239-CG239</f>
        <v>0</v>
      </c>
      <c r="CI288" s="268">
        <f>CI239-CH239</f>
        <v>0</v>
      </c>
      <c r="CJ288" s="268">
        <f>SUM(CF288:CI288)</f>
        <v>0</v>
      </c>
      <c r="CK288" s="268">
        <f>CK239-CJ239</f>
        <v>0</v>
      </c>
      <c r="CL288" s="268">
        <f>CL239-CK239</f>
        <v>0</v>
      </c>
      <c r="CM288" s="268">
        <f>CM239-CL239</f>
        <v>0</v>
      </c>
      <c r="CN288" s="268">
        <f>CN239-CM239</f>
        <v>0</v>
      </c>
      <c r="CO288" s="268">
        <f>SUM(CK288:CN288)</f>
        <v>0</v>
      </c>
      <c r="CP288" s="268">
        <f>CP239-CO239</f>
        <v>0</v>
      </c>
      <c r="CQ288" s="268">
        <f>CQ239-CP239</f>
        <v>0</v>
      </c>
      <c r="CR288" s="268">
        <f>CR239-CQ239</f>
        <v>0</v>
      </c>
      <c r="CS288" s="268">
        <f>CS239-CR239</f>
        <v>0</v>
      </c>
      <c r="CT288" s="268">
        <f>SUM(CP288:CS288)</f>
        <v>0</v>
      </c>
      <c r="CU288" s="268">
        <f>CU239-CT239</f>
        <v>0</v>
      </c>
      <c r="CV288" s="268">
        <f>CV239-CU239</f>
        <v>0</v>
      </c>
      <c r="CW288" s="268">
        <f>CW239-CV239</f>
        <v>0</v>
      </c>
      <c r="CX288" s="268">
        <f>CX239-CW239</f>
        <v>0</v>
      </c>
      <c r="CY288" s="268">
        <f>SUM(CU288:CX288)</f>
        <v>0</v>
      </c>
    </row>
    <row r="289" ht="12.75" customHeight="1" s="255">
      <c r="C289" s="270" t="inlineStr">
        <is>
          <t>Common stock and APIC</t>
        </is>
      </c>
      <c r="D289" s="268" t="n"/>
      <c r="E289" s="268">
        <f>E240-D240</f>
        <v>0</v>
      </c>
      <c r="F289" s="268">
        <f>F240-E240</f>
        <v>0</v>
      </c>
      <c r="G289" s="268">
        <f>G240-F240</f>
        <v>0</v>
      </c>
      <c r="H289" s="268">
        <f>SUM(D289:G289)</f>
        <v>0</v>
      </c>
      <c r="I289" s="268">
        <f>I240-H240</f>
        <v>0</v>
      </c>
      <c r="J289" s="268">
        <f>J240-I240</f>
        <v>0</v>
      </c>
      <c r="K289" s="268">
        <f>K240-J240</f>
        <v>0</v>
      </c>
      <c r="L289" s="268">
        <f>L240-K240</f>
        <v>0</v>
      </c>
      <c r="M289" s="268">
        <f>SUM(I289:L289)</f>
        <v>0</v>
      </c>
      <c r="N289" s="268">
        <f>N240-M240</f>
        <v>0</v>
      </c>
      <c r="O289" s="268">
        <f>O240-N240</f>
        <v>0</v>
      </c>
      <c r="P289" s="268">
        <f>P240-O240</f>
        <v>0</v>
      </c>
      <c r="Q289" s="268">
        <f>Q240-P240</f>
        <v>0</v>
      </c>
      <c r="R289" s="268">
        <f>SUM(N289:Q289)</f>
        <v>0</v>
      </c>
      <c r="S289" s="268">
        <f>S240-R240</f>
        <v>0</v>
      </c>
      <c r="T289" s="268">
        <f>T240-S240</f>
        <v>0</v>
      </c>
      <c r="U289" s="268">
        <f>U240-T240</f>
        <v>0</v>
      </c>
      <c r="V289" s="268">
        <f>V240-U240</f>
        <v>0</v>
      </c>
      <c r="W289" s="268">
        <f>SUM(S289:V289)</f>
        <v>0</v>
      </c>
      <c r="X289" s="268">
        <f>X240-W240</f>
        <v>0</v>
      </c>
      <c r="Y289" s="268">
        <f>Y240-X240</f>
        <v>0</v>
      </c>
      <c r="Z289" s="268">
        <f>Z240-Y240</f>
        <v>0</v>
      </c>
      <c r="AA289" s="268">
        <f>AA240-Z240</f>
        <v>1096.16</v>
      </c>
      <c r="AB289" s="268">
        <f>SUM(X289:AA289)</f>
        <v>1096.16</v>
      </c>
      <c r="AC289" s="268">
        <f>AC240-AB240</f>
        <v>2634.361</v>
      </c>
      <c r="AD289" s="268">
        <f>AD240-AC240</f>
        <v>1042.304</v>
      </c>
      <c r="AE289" s="268">
        <f>AE240-AD240</f>
        <v>1331.504</v>
      </c>
      <c r="AF289" s="268">
        <f>AF240-AE240</f>
        <v>-92.3289999999997</v>
      </c>
      <c r="AG289" s="268">
        <f>SUM(AC289:AF289)</f>
        <v>4915.84</v>
      </c>
      <c r="AH289" s="268">
        <f>AH240-AG240</f>
        <v>2159</v>
      </c>
      <c r="AI289" s="268">
        <f>AI240-AH240</f>
        <v>914</v>
      </c>
      <c r="AJ289" s="268">
        <f>AJ240-AI240</f>
        <v>0</v>
      </c>
      <c r="AK289" s="268">
        <f>AK240-AJ240</f>
        <v>0</v>
      </c>
      <c r="AL289" s="268">
        <f>SUM(AH289:AK289)</f>
        <v>3073</v>
      </c>
      <c r="AM289" s="268">
        <f>AM240-AL240</f>
        <v>0</v>
      </c>
      <c r="AN289" s="268">
        <f>AN240-AM240</f>
        <v>0</v>
      </c>
      <c r="AO289" s="268">
        <f>AO240-AN240</f>
        <v>0</v>
      </c>
      <c r="AP289" s="268">
        <f>AP240-AO240</f>
        <v>0</v>
      </c>
      <c r="AQ289" s="268">
        <f>SUM(AM289:AP289)</f>
        <v>0</v>
      </c>
      <c r="AR289" s="268">
        <f>AR240-AQ240</f>
        <v>0</v>
      </c>
      <c r="AS289" s="268">
        <f>AS240-AR240</f>
        <v>0</v>
      </c>
      <c r="AT289" s="268">
        <f>AT240-AS240</f>
        <v>0</v>
      </c>
      <c r="AU289" s="268">
        <f>AU240-AT240</f>
        <v>0</v>
      </c>
      <c r="AV289" s="268">
        <f>SUM(AR289:AU289)</f>
        <v>0</v>
      </c>
      <c r="AW289" s="268">
        <f>AW240-AV240</f>
        <v>0</v>
      </c>
      <c r="AX289" s="268">
        <f>AX240-AW240</f>
        <v>0</v>
      </c>
      <c r="AY289" s="268">
        <f>AY240-AX240</f>
        <v>0</v>
      </c>
      <c r="AZ289" s="268">
        <f>AZ240-AY240</f>
        <v>0</v>
      </c>
      <c r="BA289" s="268">
        <f>SUM(AW289:AZ289)</f>
        <v>0</v>
      </c>
      <c r="BB289" s="268">
        <f>BB240-BA240</f>
        <v>0</v>
      </c>
      <c r="BC289" s="268">
        <f>BC240-BB240</f>
        <v>0</v>
      </c>
      <c r="BD289" s="268">
        <f>BD240-BC240</f>
        <v>0</v>
      </c>
      <c r="BE289" s="268">
        <f>BE240-BD240</f>
        <v>0</v>
      </c>
      <c r="BF289" s="268">
        <f>SUM(BB289:BE289)</f>
        <v>0</v>
      </c>
      <c r="BG289" s="268">
        <f>BG240-BF240</f>
        <v>0</v>
      </c>
      <c r="BH289" s="268">
        <f>BH240-BG240</f>
        <v>0</v>
      </c>
      <c r="BI289" s="268">
        <f>BI240-BH240</f>
        <v>0</v>
      </c>
      <c r="BJ289" s="268">
        <f>BJ240-BI240</f>
        <v>0</v>
      </c>
      <c r="BK289" s="268">
        <f>SUM(BG289:BJ289)</f>
        <v>0</v>
      </c>
      <c r="BL289" s="268">
        <f>BL240-BK240</f>
        <v>0</v>
      </c>
      <c r="BM289" s="268">
        <f>BM240-BL240</f>
        <v>0</v>
      </c>
      <c r="BN289" s="268">
        <f>BN240-BM240</f>
        <v>0</v>
      </c>
      <c r="BO289" s="268">
        <f>BO240-BN240</f>
        <v>0</v>
      </c>
      <c r="BP289" s="268">
        <f>SUM(BL289:BO289)</f>
        <v>0</v>
      </c>
      <c r="BQ289" s="268">
        <f>BQ240-BP240</f>
        <v>0</v>
      </c>
      <c r="BR289" s="268">
        <f>BR240-BQ240</f>
        <v>0</v>
      </c>
      <c r="BS289" s="268">
        <f>BS240-BR240</f>
        <v>0</v>
      </c>
      <c r="BT289" s="268">
        <f>BT240-BS240</f>
        <v>0</v>
      </c>
      <c r="BU289" s="268">
        <f>SUM(BQ289:BT289)</f>
        <v>0</v>
      </c>
      <c r="BV289" s="268">
        <f>BV240-BU240</f>
        <v>0</v>
      </c>
      <c r="BW289" s="268">
        <f>BW240-BV240</f>
        <v>0</v>
      </c>
      <c r="BX289" s="268">
        <f>BX240-BW240</f>
        <v>0</v>
      </c>
      <c r="BY289" s="268">
        <f>BY240-BX240</f>
        <v>0</v>
      </c>
      <c r="BZ289" s="268">
        <f>SUM(BV289:BY289)</f>
        <v>0</v>
      </c>
      <c r="CA289" s="268">
        <f>CA240-BZ240</f>
        <v>0</v>
      </c>
      <c r="CB289" s="268">
        <f>CB240-CA240</f>
        <v>0</v>
      </c>
      <c r="CC289" s="268">
        <f>CC240-CB240</f>
        <v>0</v>
      </c>
      <c r="CD289" s="268">
        <f>CD240-CC240</f>
        <v>0</v>
      </c>
      <c r="CE289" s="268">
        <f>SUM(CA289:CD289)</f>
        <v>0</v>
      </c>
      <c r="CF289" s="268">
        <f>CF240-CE240</f>
        <v>0</v>
      </c>
      <c r="CG289" s="268">
        <f>CG240-CF240</f>
        <v>0</v>
      </c>
      <c r="CH289" s="268">
        <f>CH240-CG240</f>
        <v>0</v>
      </c>
      <c r="CI289" s="268">
        <f>CI240-CH240</f>
        <v>0</v>
      </c>
      <c r="CJ289" s="268">
        <f>SUM(CF289:CI289)</f>
        <v>0</v>
      </c>
      <c r="CK289" s="268">
        <f>CK240-CJ240</f>
        <v>0</v>
      </c>
      <c r="CL289" s="268">
        <f>CL240-CK240</f>
        <v>0</v>
      </c>
      <c r="CM289" s="268">
        <f>CM240-CL240</f>
        <v>0</v>
      </c>
      <c r="CN289" s="268">
        <f>CN240-CM240</f>
        <v>0</v>
      </c>
      <c r="CO289" s="268">
        <f>SUM(CK289:CN289)</f>
        <v>0</v>
      </c>
      <c r="CP289" s="268">
        <f>CP240-CO240</f>
        <v>0</v>
      </c>
      <c r="CQ289" s="268">
        <f>CQ240-CP240</f>
        <v>0</v>
      </c>
      <c r="CR289" s="268">
        <f>CR240-CQ240</f>
        <v>0</v>
      </c>
      <c r="CS289" s="268">
        <f>CS240-CR240</f>
        <v>0</v>
      </c>
      <c r="CT289" s="268">
        <f>SUM(CP289:CS289)</f>
        <v>0</v>
      </c>
      <c r="CU289" s="268">
        <f>CU240-CT240</f>
        <v>0</v>
      </c>
      <c r="CV289" s="268">
        <f>CV240-CU240</f>
        <v>0</v>
      </c>
      <c r="CW289" s="268">
        <f>CW240-CV240</f>
        <v>0</v>
      </c>
      <c r="CX289" s="268">
        <f>CX240-CW240</f>
        <v>0</v>
      </c>
      <c r="CY289" s="268">
        <f>SUM(CU289:CX289)</f>
        <v>0</v>
      </c>
    </row>
    <row r="290" ht="12.75" customHeight="1" s="255">
      <c r="C290" s="270" t="inlineStr">
        <is>
          <t>Treasury stock repurchases</t>
        </is>
      </c>
      <c r="D290" s="268" t="n"/>
      <c r="E290" s="268">
        <f>E253-D253</f>
        <v>0</v>
      </c>
      <c r="F290" s="268">
        <f>F253-E253</f>
        <v>0</v>
      </c>
      <c r="G290" s="268">
        <f>G253-F253</f>
        <v>0</v>
      </c>
      <c r="H290" s="268">
        <f>SUM(D290:G290)</f>
        <v>0</v>
      </c>
      <c r="I290" s="268">
        <f>I253-H253</f>
        <v>0</v>
      </c>
      <c r="J290" s="268">
        <f>J253-I253</f>
        <v>0</v>
      </c>
      <c r="K290" s="268">
        <f>K253-J253</f>
        <v>0</v>
      </c>
      <c r="L290" s="268">
        <f>L253-K253</f>
        <v>0</v>
      </c>
      <c r="M290" s="268">
        <f>SUM(I290:L290)</f>
        <v>0</v>
      </c>
      <c r="N290" s="268">
        <f>N253-M253</f>
        <v>0</v>
      </c>
      <c r="O290" s="268">
        <f>O253-N253</f>
        <v>0</v>
      </c>
      <c r="P290" s="268">
        <f>P253-O253</f>
        <v>0</v>
      </c>
      <c r="Q290" s="268">
        <f>Q253-P253</f>
        <v>0</v>
      </c>
      <c r="R290" s="268">
        <f>SUM(N290:Q290)</f>
        <v>0</v>
      </c>
      <c r="S290" s="268">
        <f>S253-R253</f>
        <v>0</v>
      </c>
      <c r="T290" s="268">
        <f>T253-S253</f>
        <v>0</v>
      </c>
      <c r="U290" s="268">
        <f>U253-T253</f>
        <v>0</v>
      </c>
      <c r="V290" s="268">
        <f>V253-U253</f>
        <v>0</v>
      </c>
      <c r="W290" s="268">
        <f>SUM(S290:V290)</f>
        <v>0</v>
      </c>
      <c r="X290" s="268">
        <f>X253-W253</f>
        <v>0</v>
      </c>
      <c r="Y290" s="268">
        <f>Y253-X253</f>
        <v>0</v>
      </c>
      <c r="Z290" s="268">
        <f>Z253-Y253</f>
        <v>0</v>
      </c>
      <c r="AA290" s="268">
        <f>AA253-Z253</f>
        <v>-33.524</v>
      </c>
      <c r="AB290" s="268">
        <f>SUM(X290:AA290)</f>
        <v>-33.524</v>
      </c>
      <c r="AC290" s="268">
        <f>AC253-AB253</f>
        <v>0</v>
      </c>
      <c r="AD290" s="268">
        <f>AD253-AC253</f>
        <v>0</v>
      </c>
      <c r="AE290" s="268">
        <f>AE253-AD253</f>
        <v>0</v>
      </c>
      <c r="AF290" s="268">
        <f>AF253-AE253</f>
        <v>-0.475999999999999</v>
      </c>
      <c r="AG290" s="268">
        <f>SUM(AC290:AF290)</f>
        <v>-0.475999999999999</v>
      </c>
      <c r="AH290" s="268">
        <f>AH253-AG253</f>
        <v>0</v>
      </c>
      <c r="AI290" s="268">
        <f>AI253-AH253</f>
        <v>0</v>
      </c>
      <c r="AJ290" s="268">
        <f>AJ253-AI253</f>
        <v>0</v>
      </c>
      <c r="AK290" s="268">
        <f>AK253-AJ253</f>
        <v>0</v>
      </c>
      <c r="AL290" s="268">
        <f>SUM(AH290:AK290)</f>
        <v>0</v>
      </c>
      <c r="AM290" s="268">
        <f>AM253-AL253</f>
        <v>0</v>
      </c>
      <c r="AN290" s="268">
        <f>AN253-AM253</f>
        <v>0</v>
      </c>
      <c r="AO290" s="268">
        <f>AO253-AN253</f>
        <v>0</v>
      </c>
      <c r="AP290" s="268">
        <f>AP253-AO253</f>
        <v>0</v>
      </c>
      <c r="AQ290" s="268">
        <f>SUM(AM290:AP290)</f>
        <v>0</v>
      </c>
      <c r="AR290" s="268">
        <f>AR253-AQ253</f>
        <v>0</v>
      </c>
      <c r="AS290" s="268">
        <f>AS253-AR253</f>
        <v>0</v>
      </c>
      <c r="AT290" s="268">
        <f>AT253-AS253</f>
        <v>0</v>
      </c>
      <c r="AU290" s="268">
        <f>AU253-AT253</f>
        <v>0</v>
      </c>
      <c r="AV290" s="268">
        <f>SUM(AR290:AU290)</f>
        <v>0</v>
      </c>
      <c r="AW290" s="268">
        <f>AW253-AV253</f>
        <v>0</v>
      </c>
      <c r="AX290" s="268">
        <f>AX253-AW253</f>
        <v>0</v>
      </c>
      <c r="AY290" s="268">
        <f>AY253-AX253</f>
        <v>0</v>
      </c>
      <c r="AZ290" s="268">
        <f>AZ253-AY253</f>
        <v>0</v>
      </c>
      <c r="BA290" s="268">
        <f>SUM(AW290:AZ290)</f>
        <v>0</v>
      </c>
      <c r="BB290" s="268">
        <f>BB253-BA253</f>
        <v>0</v>
      </c>
      <c r="BC290" s="268">
        <f>BC253-BB253</f>
        <v>0</v>
      </c>
      <c r="BD290" s="268">
        <f>BD253-BC253</f>
        <v>0</v>
      </c>
      <c r="BE290" s="268">
        <f>BE253-BD253</f>
        <v>0</v>
      </c>
      <c r="BF290" s="268">
        <f>SUM(BB290:BE290)</f>
        <v>0</v>
      </c>
      <c r="BG290" s="268">
        <f>BG253-BF253</f>
        <v>0</v>
      </c>
      <c r="BH290" s="268">
        <f>BH253-BG253</f>
        <v>0</v>
      </c>
      <c r="BI290" s="268">
        <f>BI253-BH253</f>
        <v>0</v>
      </c>
      <c r="BJ290" s="268">
        <f>BJ253-BI253</f>
        <v>0</v>
      </c>
      <c r="BK290" s="268">
        <f>SUM(BG290:BJ290)</f>
        <v>0</v>
      </c>
      <c r="BL290" s="268">
        <f>BL253-BK253</f>
        <v>0</v>
      </c>
      <c r="BM290" s="268">
        <f>BM253-BL253</f>
        <v>0</v>
      </c>
      <c r="BN290" s="268">
        <f>BN253-BM253</f>
        <v>0</v>
      </c>
      <c r="BO290" s="268">
        <f>BO253-BN253</f>
        <v>0</v>
      </c>
      <c r="BP290" s="268">
        <f>SUM(BL290:BO290)</f>
        <v>0</v>
      </c>
      <c r="BQ290" s="268">
        <f>BQ253-BP253</f>
        <v>0</v>
      </c>
      <c r="BR290" s="268">
        <f>BR253-BQ253</f>
        <v>0</v>
      </c>
      <c r="BS290" s="268">
        <f>BS253-BR253</f>
        <v>0</v>
      </c>
      <c r="BT290" s="268">
        <f>BT253-BS253</f>
        <v>0</v>
      </c>
      <c r="BU290" s="268">
        <f>SUM(BQ290:BT290)</f>
        <v>0</v>
      </c>
      <c r="BV290" s="268">
        <f>BV253-BU253</f>
        <v>0</v>
      </c>
      <c r="BW290" s="268">
        <f>BW253-BV253</f>
        <v>0</v>
      </c>
      <c r="BX290" s="268">
        <f>BX253-BW253</f>
        <v>0</v>
      </c>
      <c r="BY290" s="268">
        <f>BY253-BX253</f>
        <v>0</v>
      </c>
      <c r="BZ290" s="268">
        <f>SUM(BV290:BY290)</f>
        <v>0</v>
      </c>
      <c r="CA290" s="268">
        <f>CA253-BZ253</f>
        <v>0</v>
      </c>
      <c r="CB290" s="268">
        <f>CB253-CA253</f>
        <v>0</v>
      </c>
      <c r="CC290" s="268">
        <f>CC253-CB253</f>
        <v>0</v>
      </c>
      <c r="CD290" s="268">
        <f>CD253-CC253</f>
        <v>0</v>
      </c>
      <c r="CE290" s="268">
        <f>SUM(CA290:CD290)</f>
        <v>0</v>
      </c>
      <c r="CF290" s="268">
        <f>CF253-CE253</f>
        <v>0</v>
      </c>
      <c r="CG290" s="268">
        <f>CG253-CF253</f>
        <v>0</v>
      </c>
      <c r="CH290" s="268">
        <f>CH253-CG253</f>
        <v>0</v>
      </c>
      <c r="CI290" s="268">
        <f>CI253-CH253</f>
        <v>0</v>
      </c>
      <c r="CJ290" s="268">
        <f>SUM(CF290:CI290)</f>
        <v>0</v>
      </c>
      <c r="CK290" s="268">
        <f>CK253-CJ253</f>
        <v>0</v>
      </c>
      <c r="CL290" s="268">
        <f>CL253-CK253</f>
        <v>0</v>
      </c>
      <c r="CM290" s="268">
        <f>CM253-CL253</f>
        <v>0</v>
      </c>
      <c r="CN290" s="268">
        <f>CN253-CM253</f>
        <v>0</v>
      </c>
      <c r="CO290" s="268">
        <f>SUM(CK290:CN290)</f>
        <v>0</v>
      </c>
      <c r="CP290" s="268">
        <f>CP253-CO253</f>
        <v>0</v>
      </c>
      <c r="CQ290" s="268">
        <f>CQ253-CP253</f>
        <v>0</v>
      </c>
      <c r="CR290" s="268">
        <f>CR253-CQ253</f>
        <v>0</v>
      </c>
      <c r="CS290" s="268">
        <f>CS253-CR253</f>
        <v>0</v>
      </c>
      <c r="CT290" s="268">
        <f>SUM(CP290:CS290)</f>
        <v>0</v>
      </c>
      <c r="CU290" s="268">
        <f>CU253-CT253</f>
        <v>0</v>
      </c>
      <c r="CV290" s="268">
        <f>CV253-CU253</f>
        <v>0</v>
      </c>
      <c r="CW290" s="268">
        <f>CW253-CV253</f>
        <v>0</v>
      </c>
      <c r="CX290" s="268">
        <f>CX253-CW253</f>
        <v>0</v>
      </c>
      <c r="CY290" s="268">
        <f>SUM(CU290:CX290)</f>
        <v>0</v>
      </c>
    </row>
    <row r="291" ht="12.75" customHeight="1" s="255">
      <c r="C291" s="270" t="inlineStr">
        <is>
          <t>Comprehensive accumulated loss</t>
        </is>
      </c>
      <c r="D291" s="268" t="n"/>
      <c r="E291" s="268">
        <f>E254-D254</f>
        <v>0</v>
      </c>
      <c r="F291" s="268">
        <f>F254-E254</f>
        <v>0</v>
      </c>
      <c r="G291" s="268">
        <f>G254-F254</f>
        <v>0</v>
      </c>
      <c r="H291" s="268">
        <f>SUM(D291:G291)</f>
        <v>0</v>
      </c>
      <c r="I291" s="268">
        <f>I254-H254</f>
        <v>0</v>
      </c>
      <c r="J291" s="268">
        <f>J254-I254</f>
        <v>0</v>
      </c>
      <c r="K291" s="268">
        <f>K254-J254</f>
        <v>0</v>
      </c>
      <c r="L291" s="268">
        <f>L254-K254</f>
        <v>0</v>
      </c>
      <c r="M291" s="268">
        <f>SUM(I291:L291)</f>
        <v>0</v>
      </c>
      <c r="N291" s="268">
        <f>N254-M254</f>
        <v>0</v>
      </c>
      <c r="O291" s="268">
        <f>O254-N254</f>
        <v>0</v>
      </c>
      <c r="P291" s="268">
        <f>P254-O254</f>
        <v>0</v>
      </c>
      <c r="Q291" s="268">
        <f>Q254-P254</f>
        <v>0</v>
      </c>
      <c r="R291" s="268">
        <f>SUM(N291:Q291)</f>
        <v>0</v>
      </c>
      <c r="S291" s="268">
        <f>S254-R254</f>
        <v>0</v>
      </c>
      <c r="T291" s="268">
        <f>T254-S254</f>
        <v>0</v>
      </c>
      <c r="U291" s="268">
        <f>U254-T254</f>
        <v>0</v>
      </c>
      <c r="V291" s="268">
        <f>V254-U254</f>
        <v>0</v>
      </c>
      <c r="W291" s="268">
        <f>SUM(S291:V291)</f>
        <v>0</v>
      </c>
      <c r="X291" s="268">
        <f>X254-W254</f>
        <v>0</v>
      </c>
      <c r="Y291" s="268">
        <f>Y254-X254</f>
        <v>0</v>
      </c>
      <c r="Z291" s="268">
        <f>Z254-Y254</f>
        <v>0</v>
      </c>
      <c r="AA291" s="268">
        <f>AA254-Z254</f>
        <v>0</v>
      </c>
      <c r="AB291" s="268">
        <f>SUM(X291:AA291)</f>
        <v>0</v>
      </c>
      <c r="AC291" s="268">
        <f>AC254-AB254</f>
        <v>0</v>
      </c>
      <c r="AD291" s="268">
        <f>AD254-AC254</f>
        <v>-0.271</v>
      </c>
      <c r="AE291" s="268">
        <f>AE254-AD254</f>
        <v>-1.013</v>
      </c>
      <c r="AF291" s="268">
        <f>AF254-AE254</f>
        <v>1.284</v>
      </c>
      <c r="AG291" s="268">
        <f>SUM(AC291:AF291)</f>
        <v>0</v>
      </c>
      <c r="AH291" s="268">
        <f>AH254-AG254</f>
        <v>5</v>
      </c>
      <c r="AI291" s="268">
        <f>AI254-AH254</f>
        <v>-23</v>
      </c>
      <c r="AJ291" s="268">
        <f>AJ254-AI254</f>
        <v>0</v>
      </c>
      <c r="AK291" s="268">
        <f>AK254-AJ254</f>
        <v>0</v>
      </c>
      <c r="AL291" s="268">
        <f>SUM(AH291:AK291)</f>
        <v>-18</v>
      </c>
      <c r="AM291" s="268">
        <f>AM254-AL254</f>
        <v>0</v>
      </c>
      <c r="AN291" s="268">
        <f>AN254-AM254</f>
        <v>0</v>
      </c>
      <c r="AO291" s="268">
        <f>AO254-AN254</f>
        <v>0</v>
      </c>
      <c r="AP291" s="268">
        <f>AP254-AO254</f>
        <v>0</v>
      </c>
      <c r="AQ291" s="268">
        <f>SUM(AM291:AP291)</f>
        <v>0</v>
      </c>
      <c r="AR291" s="268">
        <f>AR254-AQ254</f>
        <v>0</v>
      </c>
      <c r="AS291" s="268">
        <f>AS254-AR254</f>
        <v>0</v>
      </c>
      <c r="AT291" s="268">
        <f>AT254-AS254</f>
        <v>0</v>
      </c>
      <c r="AU291" s="268">
        <f>AU254-AT254</f>
        <v>0</v>
      </c>
      <c r="AV291" s="268">
        <f>SUM(AR291:AU291)</f>
        <v>0</v>
      </c>
      <c r="AW291" s="268">
        <f>AW254-AV254</f>
        <v>0</v>
      </c>
      <c r="AX291" s="268">
        <f>AX254-AW254</f>
        <v>0</v>
      </c>
      <c r="AY291" s="268">
        <f>AY254-AX254</f>
        <v>0</v>
      </c>
      <c r="AZ291" s="268">
        <f>AZ254-AY254</f>
        <v>0</v>
      </c>
      <c r="BA291" s="268">
        <f>SUM(AW291:AZ291)</f>
        <v>0</v>
      </c>
      <c r="BB291" s="268">
        <f>BB254-BA254</f>
        <v>0</v>
      </c>
      <c r="BC291" s="268">
        <f>BC254-BB254</f>
        <v>0</v>
      </c>
      <c r="BD291" s="268">
        <f>BD254-BC254</f>
        <v>0</v>
      </c>
      <c r="BE291" s="268">
        <f>BE254-BD254</f>
        <v>0</v>
      </c>
      <c r="BF291" s="268">
        <f>SUM(BB291:BE291)</f>
        <v>0</v>
      </c>
      <c r="BG291" s="268">
        <f>BG254-BF254</f>
        <v>0</v>
      </c>
      <c r="BH291" s="268">
        <f>BH254-BG254</f>
        <v>0</v>
      </c>
      <c r="BI291" s="268">
        <f>BI254-BH254</f>
        <v>0</v>
      </c>
      <c r="BJ291" s="268">
        <f>BJ254-BI254</f>
        <v>0</v>
      </c>
      <c r="BK291" s="268">
        <f>SUM(BG291:BJ291)</f>
        <v>0</v>
      </c>
      <c r="BL291" s="268">
        <f>BL254-BK254</f>
        <v>0</v>
      </c>
      <c r="BM291" s="268">
        <f>BM254-BL254</f>
        <v>0</v>
      </c>
      <c r="BN291" s="268">
        <f>BN254-BM254</f>
        <v>0</v>
      </c>
      <c r="BO291" s="268">
        <f>BO254-BN254</f>
        <v>0</v>
      </c>
      <c r="BP291" s="268">
        <f>SUM(BL291:BO291)</f>
        <v>0</v>
      </c>
      <c r="BQ291" s="268">
        <f>BQ254-BP254</f>
        <v>0</v>
      </c>
      <c r="BR291" s="268">
        <f>BR254-BQ254</f>
        <v>0</v>
      </c>
      <c r="BS291" s="268">
        <f>BS254-BR254</f>
        <v>0</v>
      </c>
      <c r="BT291" s="268">
        <f>BT254-BS254</f>
        <v>0</v>
      </c>
      <c r="BU291" s="268">
        <f>SUM(BQ291:BT291)</f>
        <v>0</v>
      </c>
      <c r="BV291" s="268">
        <f>BV254-BU254</f>
        <v>0</v>
      </c>
      <c r="BW291" s="268">
        <f>BW254-BV254</f>
        <v>0</v>
      </c>
      <c r="BX291" s="268">
        <f>BX254-BW254</f>
        <v>0</v>
      </c>
      <c r="BY291" s="268">
        <f>BY254-BX254</f>
        <v>0</v>
      </c>
      <c r="BZ291" s="268">
        <f>SUM(BV291:BY291)</f>
        <v>0</v>
      </c>
      <c r="CA291" s="268">
        <f>CA254-BZ254</f>
        <v>0</v>
      </c>
      <c r="CB291" s="268">
        <f>CB254-CA254</f>
        <v>0</v>
      </c>
      <c r="CC291" s="268">
        <f>CC254-CB254</f>
        <v>0</v>
      </c>
      <c r="CD291" s="268">
        <f>CD254-CC254</f>
        <v>0</v>
      </c>
      <c r="CE291" s="268">
        <f>SUM(CA291:CD291)</f>
        <v>0</v>
      </c>
      <c r="CF291" s="268">
        <f>CF254-CE254</f>
        <v>0</v>
      </c>
      <c r="CG291" s="268">
        <f>CG254-CF254</f>
        <v>0</v>
      </c>
      <c r="CH291" s="268">
        <f>CH254-CG254</f>
        <v>0</v>
      </c>
      <c r="CI291" s="268">
        <f>CI254-CH254</f>
        <v>0</v>
      </c>
      <c r="CJ291" s="268">
        <f>SUM(CF291:CI291)</f>
        <v>0</v>
      </c>
      <c r="CK291" s="268">
        <f>CK254-CJ254</f>
        <v>0</v>
      </c>
      <c r="CL291" s="268">
        <f>CL254-CK254</f>
        <v>0</v>
      </c>
      <c r="CM291" s="268">
        <f>CM254-CL254</f>
        <v>0</v>
      </c>
      <c r="CN291" s="268">
        <f>CN254-CM254</f>
        <v>0</v>
      </c>
      <c r="CO291" s="268">
        <f>SUM(CK291:CN291)</f>
        <v>0</v>
      </c>
      <c r="CP291" s="268">
        <f>CP254-CO254</f>
        <v>0</v>
      </c>
      <c r="CQ291" s="268">
        <f>CQ254-CP254</f>
        <v>0</v>
      </c>
      <c r="CR291" s="268">
        <f>CR254-CQ254</f>
        <v>0</v>
      </c>
      <c r="CS291" s="268">
        <f>CS254-CR254</f>
        <v>0</v>
      </c>
      <c r="CT291" s="268">
        <f>SUM(CP291:CS291)</f>
        <v>0</v>
      </c>
      <c r="CU291" s="268">
        <f>CU254-CT254</f>
        <v>0</v>
      </c>
      <c r="CV291" s="268">
        <f>CV254-CU254</f>
        <v>0</v>
      </c>
      <c r="CW291" s="268">
        <f>CW254-CV254</f>
        <v>0</v>
      </c>
      <c r="CX291" s="268">
        <f>CX254-CW254</f>
        <v>0</v>
      </c>
      <c r="CY291" s="268">
        <f>SUM(CU291:CX291)</f>
        <v>0</v>
      </c>
    </row>
    <row r="292" ht="12.75" customHeight="1" s="255">
      <c r="C292" s="270" t="inlineStr">
        <is>
          <t>Other equity account</t>
        </is>
      </c>
      <c r="D292" s="268" t="n"/>
      <c r="E292" s="268">
        <f>E255-D255</f>
        <v>0</v>
      </c>
      <c r="F292" s="268">
        <f>F255-E255</f>
        <v>0</v>
      </c>
      <c r="G292" s="268">
        <f>G255-F255</f>
        <v>0</v>
      </c>
      <c r="H292" s="268">
        <f>SUM(D292:G292)</f>
        <v>0</v>
      </c>
      <c r="I292" s="268">
        <f>I255-H255</f>
        <v>0</v>
      </c>
      <c r="J292" s="268">
        <f>J255-I255</f>
        <v>0</v>
      </c>
      <c r="K292" s="268">
        <f>K255-J255</f>
        <v>0</v>
      </c>
      <c r="L292" s="268">
        <f>L255-K255</f>
        <v>0</v>
      </c>
      <c r="M292" s="268">
        <f>SUM(I292:L292)</f>
        <v>0</v>
      </c>
      <c r="N292" s="268">
        <f>N255-M255</f>
        <v>0</v>
      </c>
      <c r="O292" s="268">
        <f>O255-N255</f>
        <v>0</v>
      </c>
      <c r="P292" s="268">
        <f>P255-O255</f>
        <v>0</v>
      </c>
      <c r="Q292" s="268">
        <f>Q255-P255</f>
        <v>0</v>
      </c>
      <c r="R292" s="268">
        <f>SUM(N292:Q292)</f>
        <v>0</v>
      </c>
      <c r="S292" s="268">
        <f>S255-R255</f>
        <v>0</v>
      </c>
      <c r="T292" s="268">
        <f>T255-S255</f>
        <v>0</v>
      </c>
      <c r="U292" s="268">
        <f>U255-T255</f>
        <v>0</v>
      </c>
      <c r="V292" s="268">
        <f>V255-U255</f>
        <v>0</v>
      </c>
      <c r="W292" s="268">
        <f>SUM(S292:V292)</f>
        <v>0</v>
      </c>
      <c r="X292" s="268">
        <f>X255-W255</f>
        <v>0</v>
      </c>
      <c r="Y292" s="268">
        <f>Y255-X255</f>
        <v>0</v>
      </c>
      <c r="Z292" s="268">
        <f>Z255-Y255</f>
        <v>0</v>
      </c>
      <c r="AA292" s="268">
        <f>AA255-Z255</f>
        <v>1722.112</v>
      </c>
      <c r="AB292" s="268">
        <f>SUM(X292:AA292)</f>
        <v>1722.112</v>
      </c>
      <c r="AC292" s="268">
        <f>AC255-AB255</f>
        <v>-558.951</v>
      </c>
      <c r="AD292" s="268">
        <f>AD255-AC255</f>
        <v>0</v>
      </c>
      <c r="AE292" s="268">
        <f>AE255-AD255</f>
        <v>-1163.159</v>
      </c>
      <c r="AF292" s="268">
        <f>AF255-AE255</f>
        <v>-0.002</v>
      </c>
      <c r="AG292" s="268">
        <f>SUM(AC292:AF292)</f>
        <v>-1722.112</v>
      </c>
      <c r="AH292" s="268">
        <f>AH255-AG255</f>
        <v>0</v>
      </c>
      <c r="AI292" s="268">
        <f>AI255-AH255</f>
        <v>0</v>
      </c>
      <c r="AJ292" s="268">
        <f>AJ255-AI255</f>
        <v>0</v>
      </c>
      <c r="AK292" s="268">
        <f>AK255-AJ255</f>
        <v>0</v>
      </c>
      <c r="AL292" s="268">
        <f>SUM(AH292:AK292)</f>
        <v>0</v>
      </c>
      <c r="AM292" s="268">
        <f>AM255-AL255</f>
        <v>0</v>
      </c>
      <c r="AN292" s="268">
        <f>AN255-AM255</f>
        <v>0</v>
      </c>
      <c r="AO292" s="268">
        <f>AO255-AN255</f>
        <v>0</v>
      </c>
      <c r="AP292" s="268">
        <f>AP255-AO255</f>
        <v>0</v>
      </c>
      <c r="AQ292" s="268">
        <f>SUM(AM292:AP292)</f>
        <v>0</v>
      </c>
      <c r="AR292" s="268">
        <f>AR255-AQ255</f>
        <v>0</v>
      </c>
      <c r="AS292" s="268">
        <f>AS255-AR255</f>
        <v>0</v>
      </c>
      <c r="AT292" s="268">
        <f>AT255-AS255</f>
        <v>0</v>
      </c>
      <c r="AU292" s="268">
        <f>AU255-AT255</f>
        <v>0</v>
      </c>
      <c r="AV292" s="268">
        <f>SUM(AR292:AU292)</f>
        <v>0</v>
      </c>
      <c r="AW292" s="268">
        <f>AW255-AV255</f>
        <v>0</v>
      </c>
      <c r="AX292" s="268">
        <f>AX255-AW255</f>
        <v>0</v>
      </c>
      <c r="AY292" s="268">
        <f>AY255-AX255</f>
        <v>0</v>
      </c>
      <c r="AZ292" s="268">
        <f>AZ255-AY255</f>
        <v>0</v>
      </c>
      <c r="BA292" s="268">
        <f>SUM(AW292:AZ292)</f>
        <v>0</v>
      </c>
      <c r="BB292" s="268">
        <f>BB255-BA255</f>
        <v>0</v>
      </c>
      <c r="BC292" s="268">
        <f>BC255-BB255</f>
        <v>0</v>
      </c>
      <c r="BD292" s="268">
        <f>BD255-BC255</f>
        <v>0</v>
      </c>
      <c r="BE292" s="268">
        <f>BE255-BD255</f>
        <v>0</v>
      </c>
      <c r="BF292" s="268">
        <f>SUM(BB292:BE292)</f>
        <v>0</v>
      </c>
      <c r="BG292" s="268">
        <f>BG255-BF255</f>
        <v>0</v>
      </c>
      <c r="BH292" s="268">
        <f>BH255-BG255</f>
        <v>0</v>
      </c>
      <c r="BI292" s="268">
        <f>BI255-BH255</f>
        <v>0</v>
      </c>
      <c r="BJ292" s="268">
        <f>BJ255-BI255</f>
        <v>0</v>
      </c>
      <c r="BK292" s="268">
        <f>SUM(BG292:BJ292)</f>
        <v>0</v>
      </c>
      <c r="BL292" s="268">
        <f>BL255-BK255</f>
        <v>0</v>
      </c>
      <c r="BM292" s="268">
        <f>BM255-BL255</f>
        <v>0</v>
      </c>
      <c r="BN292" s="268">
        <f>BN255-BM255</f>
        <v>0</v>
      </c>
      <c r="BO292" s="268">
        <f>BO255-BN255</f>
        <v>0</v>
      </c>
      <c r="BP292" s="268">
        <f>SUM(BL292:BO292)</f>
        <v>0</v>
      </c>
      <c r="BQ292" s="268">
        <f>BQ255-BP255</f>
        <v>0</v>
      </c>
      <c r="BR292" s="268">
        <f>BR255-BQ255</f>
        <v>0</v>
      </c>
      <c r="BS292" s="268">
        <f>BS255-BR255</f>
        <v>0</v>
      </c>
      <c r="BT292" s="268">
        <f>BT255-BS255</f>
        <v>0</v>
      </c>
      <c r="BU292" s="268">
        <f>SUM(BQ292:BT292)</f>
        <v>0</v>
      </c>
      <c r="BV292" s="268">
        <f>BV255-BU255</f>
        <v>0</v>
      </c>
      <c r="BW292" s="268">
        <f>BW255-BV255</f>
        <v>0</v>
      </c>
      <c r="BX292" s="268">
        <f>BX255-BW255</f>
        <v>0</v>
      </c>
      <c r="BY292" s="268">
        <f>BY255-BX255</f>
        <v>0</v>
      </c>
      <c r="BZ292" s="268">
        <f>SUM(BV292:BY292)</f>
        <v>0</v>
      </c>
      <c r="CA292" s="268">
        <f>CA255-BZ255</f>
        <v>0</v>
      </c>
      <c r="CB292" s="268">
        <f>CB255-CA255</f>
        <v>0</v>
      </c>
      <c r="CC292" s="268">
        <f>CC255-CB255</f>
        <v>0</v>
      </c>
      <c r="CD292" s="268">
        <f>CD255-CC255</f>
        <v>0</v>
      </c>
      <c r="CE292" s="268">
        <f>SUM(CA292:CD292)</f>
        <v>0</v>
      </c>
      <c r="CF292" s="268">
        <f>CF255-CE255</f>
        <v>0</v>
      </c>
      <c r="CG292" s="268">
        <f>CG255-CF255</f>
        <v>0</v>
      </c>
      <c r="CH292" s="268">
        <f>CH255-CG255</f>
        <v>0</v>
      </c>
      <c r="CI292" s="268">
        <f>CI255-CH255</f>
        <v>0</v>
      </c>
      <c r="CJ292" s="268">
        <f>SUM(CF292:CI292)</f>
        <v>0</v>
      </c>
      <c r="CK292" s="268">
        <f>CK255-CJ255</f>
        <v>0</v>
      </c>
      <c r="CL292" s="268">
        <f>CL255-CK255</f>
        <v>0</v>
      </c>
      <c r="CM292" s="268">
        <f>CM255-CL255</f>
        <v>0</v>
      </c>
      <c r="CN292" s="268">
        <f>CN255-CM255</f>
        <v>0</v>
      </c>
      <c r="CO292" s="268">
        <f>SUM(CK292:CN292)</f>
        <v>0</v>
      </c>
      <c r="CP292" s="268">
        <f>CP255-CO255</f>
        <v>0</v>
      </c>
      <c r="CQ292" s="268">
        <f>CQ255-CP255</f>
        <v>0</v>
      </c>
      <c r="CR292" s="268">
        <f>CR255-CQ255</f>
        <v>0</v>
      </c>
      <c r="CS292" s="268">
        <f>CS255-CR255</f>
        <v>0</v>
      </c>
      <c r="CT292" s="268">
        <f>SUM(CP292:CS292)</f>
        <v>0</v>
      </c>
      <c r="CU292" s="268">
        <f>CU255-CT255</f>
        <v>0</v>
      </c>
      <c r="CV292" s="268">
        <f>CV255-CU255</f>
        <v>0</v>
      </c>
      <c r="CW292" s="268">
        <f>CW255-CV255</f>
        <v>0</v>
      </c>
      <c r="CX292" s="268">
        <f>CX255-CW255</f>
        <v>0</v>
      </c>
      <c r="CY292" s="268">
        <f>SUM(CU292:CX292)</f>
        <v>0</v>
      </c>
    </row>
    <row r="293" ht="12.75" customHeight="1" s="255">
      <c r="C293" s="266" t="inlineStr">
        <is>
          <t>Common and preferred dividends</t>
        </is>
      </c>
      <c r="D293" s="268" t="n"/>
      <c r="E293" s="268">
        <f>(E256-D256)-E263</f>
        <v>0</v>
      </c>
      <c r="F293" s="268">
        <f>(F256-E256)-F263</f>
        <v>0</v>
      </c>
      <c r="G293" s="268">
        <f>(G256-F256)-G263</f>
        <v>0</v>
      </c>
      <c r="H293" s="268">
        <f>SUM(D293:G293)</f>
        <v>0</v>
      </c>
      <c r="I293" s="268">
        <f>(I256-H256)-I263</f>
        <v>0</v>
      </c>
      <c r="J293" s="268">
        <f>(J256-I256)-J263</f>
        <v>0</v>
      </c>
      <c r="K293" s="268">
        <f>(K256-J256)-K263</f>
        <v>0</v>
      </c>
      <c r="L293" s="268">
        <f>(L256-K256)-L263</f>
        <v>0</v>
      </c>
      <c r="M293" s="268">
        <f>SUM(I293:L293)</f>
        <v>0</v>
      </c>
      <c r="N293" s="268">
        <f>(N256-M256)-N263</f>
        <v>0</v>
      </c>
      <c r="O293" s="268">
        <f>(O256-N256)-O263</f>
        <v>0</v>
      </c>
      <c r="P293" s="268">
        <f>(P256-O256)-P263</f>
        <v>0</v>
      </c>
      <c r="Q293" s="268">
        <f>(Q256-P256)-Q263</f>
        <v>0</v>
      </c>
      <c r="R293" s="268">
        <f>SUM(N293:Q293)</f>
        <v>0</v>
      </c>
      <c r="S293" s="268">
        <f>(S256-R256)-S263</f>
        <v>0</v>
      </c>
      <c r="T293" s="268">
        <f>(T256-S256)-T263</f>
        <v>0</v>
      </c>
      <c r="U293" s="268">
        <f>(U256-T256)-U263</f>
        <v>0</v>
      </c>
      <c r="V293" s="268">
        <f>(V256-U256)-V263</f>
        <v>0</v>
      </c>
      <c r="W293" s="268">
        <f>SUM(S293:V293)</f>
        <v>0</v>
      </c>
      <c r="X293" s="268">
        <f>(X256-W256)-X263</f>
        <v>129.248</v>
      </c>
      <c r="Y293" s="268">
        <f>(Y256-X256)-Y263</f>
        <v>323.021</v>
      </c>
      <c r="Z293" s="268">
        <f>(Z256-Y256)-Z263</f>
        <v>359.807</v>
      </c>
      <c r="AA293" s="268">
        <f>(AA256-Z256)-AA263</f>
        <v>-1425.311</v>
      </c>
      <c r="AB293" s="268">
        <f>SUM(X293:AA293)</f>
        <v>-613.235</v>
      </c>
      <c r="AC293" s="268">
        <f>(AC256-AB256)-AC263</f>
        <v>0.358999999999924</v>
      </c>
      <c r="AD293" s="268">
        <f>(AD256-AC256)-AD263</f>
        <v>-0.508999999999787</v>
      </c>
      <c r="AE293" s="268">
        <f>(AE256-AD256)-AE263</f>
        <v>0</v>
      </c>
      <c r="AF293" s="268">
        <f>(AF256-AE256)-AF263</f>
        <v>0.234999999999843</v>
      </c>
      <c r="AG293" s="268">
        <f>SUM(AC293:AF293)</f>
        <v>0.0849999999999795</v>
      </c>
      <c r="AH293" s="268">
        <f>(AH256-AG256)-AH263</f>
        <v>0</v>
      </c>
      <c r="AI293" s="268">
        <f>(AI256-AH256)-AI263</f>
        <v>0</v>
      </c>
      <c r="AJ293" s="268">
        <f>(AJ256-AI256)-AJ263</f>
        <v>0</v>
      </c>
      <c r="AK293" s="268">
        <f>(AK256-AJ256)-AK263</f>
        <v>0</v>
      </c>
      <c r="AL293" s="268">
        <f>SUM(AH293:AK293)</f>
        <v>0</v>
      </c>
      <c r="AM293" s="268">
        <f>(AM256-AL256)-AM263</f>
        <v>0</v>
      </c>
      <c r="AN293" s="268">
        <f>(AN256-AM256)-AN263</f>
        <v>0</v>
      </c>
      <c r="AO293" s="268">
        <f>(AO256-AN256)-AO263</f>
        <v>0</v>
      </c>
      <c r="AP293" s="268">
        <f>(AP256-AO256)-AP263</f>
        <v>0</v>
      </c>
      <c r="AQ293" s="268">
        <f>SUM(AM293:AP293)</f>
        <v>0</v>
      </c>
      <c r="AR293" s="268">
        <f>(AR256-AQ256)-AR263</f>
        <v>0</v>
      </c>
      <c r="AS293" s="268">
        <f>(AS256-AR256)-AS263</f>
        <v>0</v>
      </c>
      <c r="AT293" s="268">
        <f>(AT256-AS256)-AT263</f>
        <v>0</v>
      </c>
      <c r="AU293" s="268">
        <f>(AU256-AT256)-AU263</f>
        <v>0</v>
      </c>
      <c r="AV293" s="268">
        <f>SUM(AR293:AU293)</f>
        <v>0</v>
      </c>
      <c r="AW293" s="268">
        <f>(AW256-AV256)-AW263</f>
        <v>0</v>
      </c>
      <c r="AX293" s="268">
        <f>(AX256-AW256)-AX263</f>
        <v>0</v>
      </c>
      <c r="AY293" s="268">
        <f>(AY256-AX256)-AY263</f>
        <v>0</v>
      </c>
      <c r="AZ293" s="268">
        <f>(AZ256-AY256)-AZ263</f>
        <v>0</v>
      </c>
      <c r="BA293" s="268">
        <f>SUM(AW293:AZ293)</f>
        <v>0</v>
      </c>
      <c r="BB293" s="268">
        <f>(BB256-BA256)-BB263</f>
        <v>0</v>
      </c>
      <c r="BC293" s="268">
        <f>(BC256-BB256)-BC263</f>
        <v>0</v>
      </c>
      <c r="BD293" s="268">
        <f>(BD256-BC256)-BD263</f>
        <v>0</v>
      </c>
      <c r="BE293" s="268">
        <f>(BE256-BD256)-BE263</f>
        <v>0</v>
      </c>
      <c r="BF293" s="268">
        <f>SUM(BB293:BE293)</f>
        <v>0</v>
      </c>
      <c r="BG293" s="268">
        <f>(BG256-BF256)-BG263</f>
        <v>0</v>
      </c>
      <c r="BH293" s="268">
        <f>(BH256-BG256)-BH263</f>
        <v>0</v>
      </c>
      <c r="BI293" s="268">
        <f>(BI256-BH256)-BI263</f>
        <v>0</v>
      </c>
      <c r="BJ293" s="268">
        <f>(BJ256-BI256)-BJ263</f>
        <v>0</v>
      </c>
      <c r="BK293" s="268">
        <f>SUM(BG293:BJ293)</f>
        <v>0</v>
      </c>
      <c r="BL293" s="268">
        <f>(BL256-BK256)-BL263</f>
        <v>0</v>
      </c>
      <c r="BM293" s="268">
        <f>(BM256-BL256)-BM263</f>
        <v>0</v>
      </c>
      <c r="BN293" s="268">
        <f>(BN256-BM256)-BN263</f>
        <v>0</v>
      </c>
      <c r="BO293" s="268">
        <f>(BO256-BN256)-BO263</f>
        <v>0</v>
      </c>
      <c r="BP293" s="268">
        <f>SUM(BL293:BO293)</f>
        <v>0</v>
      </c>
      <c r="BQ293" s="268">
        <f>(BQ256-BP256)-BQ263</f>
        <v>0</v>
      </c>
      <c r="BR293" s="268">
        <f>(BR256-BQ256)-BR263</f>
        <v>0</v>
      </c>
      <c r="BS293" s="268">
        <f>(BS256-BR256)-BS263</f>
        <v>0</v>
      </c>
      <c r="BT293" s="268">
        <f>(BT256-BS256)-BT263</f>
        <v>0</v>
      </c>
      <c r="BU293" s="268">
        <f>SUM(BQ293:BT293)</f>
        <v>0</v>
      </c>
      <c r="BV293" s="268">
        <f>(BV256-BU256)-BV263</f>
        <v>0</v>
      </c>
      <c r="BW293" s="268">
        <f>(BW256-BV256)-BW263</f>
        <v>0</v>
      </c>
      <c r="BX293" s="268">
        <f>(BX256-BW256)-BX263</f>
        <v>0</v>
      </c>
      <c r="BY293" s="268">
        <f>(BY256-BX256)-BY263</f>
        <v>0</v>
      </c>
      <c r="BZ293" s="268">
        <f>SUM(BV293:BY293)</f>
        <v>0</v>
      </c>
      <c r="CA293" s="268">
        <f>(CA256-BZ256)-CA263</f>
        <v>0</v>
      </c>
      <c r="CB293" s="268">
        <f>(CB256-CA256)-CB263</f>
        <v>0</v>
      </c>
      <c r="CC293" s="268">
        <f>(CC256-CB256)-CC263</f>
        <v>0</v>
      </c>
      <c r="CD293" s="268">
        <f>(CD256-CC256)-CD263</f>
        <v>0</v>
      </c>
      <c r="CE293" s="268">
        <f>SUM(CA293:CD293)</f>
        <v>0</v>
      </c>
      <c r="CF293" s="268">
        <f>(CF256-CE256)-CF263</f>
        <v>0</v>
      </c>
      <c r="CG293" s="268">
        <f>(CG256-CF256)-CG263</f>
        <v>0</v>
      </c>
      <c r="CH293" s="268">
        <f>(CH256-CG256)-CH263</f>
        <v>0</v>
      </c>
      <c r="CI293" s="268">
        <f>(CI256-CH256)-CI263</f>
        <v>0</v>
      </c>
      <c r="CJ293" s="268">
        <f>SUM(CF293:CI293)</f>
        <v>0</v>
      </c>
      <c r="CK293" s="268">
        <f>(CK256-CJ256)-CK263</f>
        <v>0</v>
      </c>
      <c r="CL293" s="268">
        <f>(CL256-CK256)-CL263</f>
        <v>0</v>
      </c>
      <c r="CM293" s="268">
        <f>(CM256-CL256)-CM263</f>
        <v>0</v>
      </c>
      <c r="CN293" s="268">
        <f>(CN256-CM256)-CN263</f>
        <v>0</v>
      </c>
      <c r="CO293" s="268">
        <f>SUM(CK293:CN293)</f>
        <v>0</v>
      </c>
      <c r="CP293" s="268">
        <f>(CP256-CO256)-CP263</f>
        <v>0</v>
      </c>
      <c r="CQ293" s="268">
        <f>(CQ256-CP256)-CQ263</f>
        <v>0</v>
      </c>
      <c r="CR293" s="268">
        <f>(CR256-CQ256)-CR263</f>
        <v>0</v>
      </c>
      <c r="CS293" s="268">
        <f>(CS256-CR256)-CS263</f>
        <v>0</v>
      </c>
      <c r="CT293" s="268">
        <f>SUM(CP293:CS293)</f>
        <v>0</v>
      </c>
      <c r="CU293" s="268">
        <f>(CU256-CT256)-CU263</f>
        <v>0</v>
      </c>
      <c r="CV293" s="268">
        <f>(CV256-CU256)-CV263</f>
        <v>0</v>
      </c>
      <c r="CW293" s="268">
        <f>(CW256-CV256)-CW263</f>
        <v>0</v>
      </c>
      <c r="CX293" s="268">
        <f>(CX256-CW256)-CX263</f>
        <v>0</v>
      </c>
      <c r="CY293" s="268">
        <f>SUM(CU293:CX293)</f>
        <v>0</v>
      </c>
    </row>
    <row r="294" ht="12.75" customHeight="1" s="255">
      <c r="C294" s="270" t="inlineStr">
        <is>
          <t>Dividends to minority interests</t>
        </is>
      </c>
      <c r="D294" s="268" t="n"/>
      <c r="E294" s="268">
        <f>(E234-D234)+E122</f>
        <v>0</v>
      </c>
      <c r="F294" s="268">
        <f>(F234-E234)+F122</f>
        <v>0</v>
      </c>
      <c r="G294" s="268">
        <f>(G234-F234)+G122</f>
        <v>0</v>
      </c>
      <c r="H294" s="268">
        <f>SUM(D294:G294)</f>
        <v>0</v>
      </c>
      <c r="I294" s="268">
        <f>(I234-H234)+I122</f>
        <v>0</v>
      </c>
      <c r="J294" s="268">
        <f>(J234-I234)+J122</f>
        <v>0</v>
      </c>
      <c r="K294" s="268">
        <f>(K234-J234)+K122</f>
        <v>0</v>
      </c>
      <c r="L294" s="268">
        <f>(L234-K234)+L122</f>
        <v>0</v>
      </c>
      <c r="M294" s="268">
        <f>SUM(I294:L294)</f>
        <v>0</v>
      </c>
      <c r="N294" s="268">
        <f>(N234-M234)+N122</f>
        <v>0</v>
      </c>
      <c r="O294" s="268">
        <f>(O234-N234)+O122</f>
        <v>0</v>
      </c>
      <c r="P294" s="268">
        <f>(P234-O234)+P122</f>
        <v>0</v>
      </c>
      <c r="Q294" s="268">
        <f>(Q234-P234)+Q122</f>
        <v>0</v>
      </c>
      <c r="R294" s="268">
        <f>SUM(N294:Q294)</f>
        <v>0</v>
      </c>
      <c r="S294" s="268">
        <f>(S234-R234)+S122</f>
        <v>0</v>
      </c>
      <c r="T294" s="268">
        <f>(T234-S234)+T122</f>
        <v>0</v>
      </c>
      <c r="U294" s="268">
        <f>(U234-T234)+U122</f>
        <v>0</v>
      </c>
      <c r="V294" s="268">
        <f>(V234-U234)+V122</f>
        <v>0</v>
      </c>
      <c r="W294" s="268">
        <f>SUM(S294:V294)</f>
        <v>0</v>
      </c>
      <c r="X294" s="268">
        <f>(X234-W234)+X122</f>
        <v>0</v>
      </c>
      <c r="Y294" s="268">
        <f>(Y234-X234)+Y122</f>
        <v>0</v>
      </c>
      <c r="Z294" s="268">
        <f>(Z234-Y234)+Z122</f>
        <v>0</v>
      </c>
      <c r="AA294" s="268">
        <f>(AA234-Z234)+AA122</f>
        <v>0</v>
      </c>
      <c r="AB294" s="268">
        <f>SUM(X294:AA294)</f>
        <v>0</v>
      </c>
      <c r="AC294" s="268">
        <f>(AC234-AB234)+AC122</f>
        <v>0</v>
      </c>
      <c r="AD294" s="268">
        <f>(AD234-AC234)+AD122</f>
        <v>0</v>
      </c>
      <c r="AE294" s="268">
        <f>(AE234-AD234)+AE122</f>
        <v>0</v>
      </c>
      <c r="AF294" s="268">
        <f>(AF234-AE234)+AF122</f>
        <v>0</v>
      </c>
      <c r="AG294" s="268">
        <f>SUM(AC294:AF294)</f>
        <v>0</v>
      </c>
      <c r="AH294" s="268">
        <f>(AH234-AG234)+AH122</f>
        <v>0</v>
      </c>
      <c r="AI294" s="268">
        <f>(AI234-AH234)+AI122</f>
        <v>0</v>
      </c>
      <c r="AJ294" s="268">
        <f>(AJ234-AI234)+AJ122</f>
        <v>0</v>
      </c>
      <c r="AK294" s="268">
        <f>(AK234-AJ234)+AK122</f>
        <v>0</v>
      </c>
      <c r="AL294" s="268">
        <f>SUM(AH294:AK294)</f>
        <v>0</v>
      </c>
      <c r="AM294" s="268">
        <f>(AM234-AL234)+AM122</f>
        <v>0</v>
      </c>
      <c r="AN294" s="268">
        <f>(AN234-AM234)+AN122</f>
        <v>0</v>
      </c>
      <c r="AO294" s="268">
        <f>(AO234-AN234)+AO122</f>
        <v>0</v>
      </c>
      <c r="AP294" s="268">
        <f>(AP234-AO234)+AP122</f>
        <v>0</v>
      </c>
      <c r="AQ294" s="268">
        <f>SUM(AM294:AP294)</f>
        <v>0</v>
      </c>
      <c r="AR294" s="268">
        <f>(AR234-AQ234)+AR122</f>
        <v>0</v>
      </c>
      <c r="AS294" s="268">
        <f>(AS234-AR234)+AS122</f>
        <v>0</v>
      </c>
      <c r="AT294" s="268">
        <f>(AT234-AS234)+AT122</f>
        <v>0</v>
      </c>
      <c r="AU294" s="268">
        <f>(AU234-AT234)+AU122</f>
        <v>0</v>
      </c>
      <c r="AV294" s="268">
        <f>SUM(AR294:AU294)</f>
        <v>0</v>
      </c>
      <c r="AW294" s="268">
        <f>(AW234-AV234)+AW122</f>
        <v>0</v>
      </c>
      <c r="AX294" s="268">
        <f>(AX234-AW234)+AX122</f>
        <v>0</v>
      </c>
      <c r="AY294" s="268">
        <f>(AY234-AX234)+AY122</f>
        <v>0</v>
      </c>
      <c r="AZ294" s="268">
        <f>(AZ234-AY234)+AZ122</f>
        <v>0</v>
      </c>
      <c r="BA294" s="268">
        <f>SUM(AW294:AZ294)</f>
        <v>0</v>
      </c>
      <c r="BB294" s="268">
        <f>(BB234-BA234)+BB122</f>
        <v>0</v>
      </c>
      <c r="BC294" s="268">
        <f>(BC234-BB234)+BC122</f>
        <v>0</v>
      </c>
      <c r="BD294" s="268">
        <f>(BD234-BC234)+BD122</f>
        <v>0</v>
      </c>
      <c r="BE294" s="268">
        <f>(BE234-BD234)+BE122</f>
        <v>0</v>
      </c>
      <c r="BF294" s="268">
        <f>SUM(BB294:BE294)</f>
        <v>0</v>
      </c>
      <c r="BG294" s="268">
        <f>(BG234-BF234)+BG122</f>
        <v>0</v>
      </c>
      <c r="BH294" s="268">
        <f>(BH234-BG234)+BH122</f>
        <v>0</v>
      </c>
      <c r="BI294" s="268">
        <f>(BI234-BH234)+BI122</f>
        <v>0</v>
      </c>
      <c r="BJ294" s="268">
        <f>(BJ234-BI234)+BJ122</f>
        <v>0</v>
      </c>
      <c r="BK294" s="268">
        <f>SUM(BG294:BJ294)</f>
        <v>0</v>
      </c>
      <c r="BL294" s="268">
        <f>(BL234-BK234)+BL122</f>
        <v>0</v>
      </c>
      <c r="BM294" s="268">
        <f>(BM234-BL234)+BM122</f>
        <v>0</v>
      </c>
      <c r="BN294" s="268">
        <f>(BN234-BM234)+BN122</f>
        <v>0</v>
      </c>
      <c r="BO294" s="268">
        <f>(BO234-BN234)+BO122</f>
        <v>0</v>
      </c>
      <c r="BP294" s="268">
        <f>SUM(BL294:BO294)</f>
        <v>0</v>
      </c>
      <c r="BQ294" s="268">
        <f>(BQ234-BP234)+BQ122</f>
        <v>0</v>
      </c>
      <c r="BR294" s="268">
        <f>(BR234-BQ234)+BR122</f>
        <v>0</v>
      </c>
      <c r="BS294" s="268">
        <f>(BS234-BR234)+BS122</f>
        <v>0</v>
      </c>
      <c r="BT294" s="268">
        <f>(BT234-BS234)+BT122</f>
        <v>0</v>
      </c>
      <c r="BU294" s="268">
        <f>SUM(BQ294:BT294)</f>
        <v>0</v>
      </c>
      <c r="BV294" s="268">
        <f>(BV234-BU234)+BV122</f>
        <v>0</v>
      </c>
      <c r="BW294" s="268">
        <f>(BW234-BV234)+BW122</f>
        <v>0</v>
      </c>
      <c r="BX294" s="268">
        <f>(BX234-BW234)+BX122</f>
        <v>0</v>
      </c>
      <c r="BY294" s="268">
        <f>(BY234-BX234)+BY122</f>
        <v>0</v>
      </c>
      <c r="BZ294" s="268">
        <f>SUM(BV294:BY294)</f>
        <v>0</v>
      </c>
      <c r="CA294" s="268">
        <f>(CA234-BZ234)+CA122</f>
        <v>0</v>
      </c>
      <c r="CB294" s="268">
        <f>(CB234-CA234)+CB122</f>
        <v>0</v>
      </c>
      <c r="CC294" s="268">
        <f>(CC234-CB234)+CC122</f>
        <v>0</v>
      </c>
      <c r="CD294" s="268">
        <f>(CD234-CC234)+CD122</f>
        <v>0</v>
      </c>
      <c r="CE294" s="268">
        <f>SUM(CA294:CD294)</f>
        <v>0</v>
      </c>
      <c r="CF294" s="268">
        <f>(CF234-CE234)+CF122</f>
        <v>0</v>
      </c>
      <c r="CG294" s="268">
        <f>(CG234-CF234)+CG122</f>
        <v>0</v>
      </c>
      <c r="CH294" s="268">
        <f>(CH234-CG234)+CH122</f>
        <v>0</v>
      </c>
      <c r="CI294" s="268">
        <f>(CI234-CH234)+CI122</f>
        <v>0</v>
      </c>
      <c r="CJ294" s="268">
        <f>SUM(CF294:CI294)</f>
        <v>0</v>
      </c>
      <c r="CK294" s="268">
        <f>(CK234-CJ234)+CK122</f>
        <v>0</v>
      </c>
      <c r="CL294" s="268">
        <f>(CL234-CK234)+CL122</f>
        <v>0</v>
      </c>
      <c r="CM294" s="268">
        <f>(CM234-CL234)+CM122</f>
        <v>0</v>
      </c>
      <c r="CN294" s="268">
        <f>(CN234-CM234)+CN122</f>
        <v>0</v>
      </c>
      <c r="CO294" s="268">
        <f>SUM(CK294:CN294)</f>
        <v>0</v>
      </c>
      <c r="CP294" s="268">
        <f>(CP234-CO234)+CP122</f>
        <v>0</v>
      </c>
      <c r="CQ294" s="268">
        <f>(CQ234-CP234)+CQ122</f>
        <v>0</v>
      </c>
      <c r="CR294" s="268">
        <f>(CR234-CQ234)+CR122</f>
        <v>0</v>
      </c>
      <c r="CS294" s="268">
        <f>(CS234-CR234)+CS122</f>
        <v>0</v>
      </c>
      <c r="CT294" s="268">
        <f>SUM(CP294:CS294)</f>
        <v>0</v>
      </c>
      <c r="CU294" s="268">
        <f>(CU234-CT234)+CU122</f>
        <v>0</v>
      </c>
      <c r="CV294" s="268">
        <f>(CV234-CU234)+CV122</f>
        <v>0</v>
      </c>
      <c r="CW294" s="268">
        <f>(CW234-CV234)+CW122</f>
        <v>0</v>
      </c>
      <c r="CX294" s="268">
        <f>(CX234-CW234)+CX122</f>
        <v>0</v>
      </c>
      <c r="CY294" s="268">
        <f>SUM(CU294:CX294)</f>
        <v>0</v>
      </c>
    </row>
    <row r="295" ht="12.75" customHeight="1" s="255">
      <c r="C295" s="271" t="inlineStr">
        <is>
          <t>Increases / (decreases) in debt</t>
        </is>
      </c>
      <c r="D295" s="268" t="n"/>
      <c r="E295" s="268">
        <f>SUM(E198:E200,E203,E224,E221)-SUM(D198:D200,D203,D224,D221)</f>
        <v>0</v>
      </c>
      <c r="F295" s="268">
        <f>SUM(F198:F200,F203,F224,F221)-SUM(E198:E200,E203,E224,E221)</f>
        <v>0</v>
      </c>
      <c r="G295" s="268">
        <f>SUM(G198:G200,G203,G224,G221)-SUM(F198:F200,F203,F224,F221)</f>
        <v>0</v>
      </c>
      <c r="H295" s="268">
        <f>SUM(D295:G295)</f>
        <v>0</v>
      </c>
      <c r="I295" s="268">
        <f>SUM(I198:I200,I203,I224,I221)-SUM(H198:H200,H203,H224,H221)</f>
        <v>0</v>
      </c>
      <c r="J295" s="268">
        <f>SUM(J198:J200,J203,J224,J221)-SUM(I198:I200,I203,I224,I221)</f>
        <v>0</v>
      </c>
      <c r="K295" s="268">
        <f>SUM(K198:K200,K203,K224,K221)-SUM(J198:J200,J203,J224,J221)</f>
        <v>0</v>
      </c>
      <c r="L295" s="268">
        <f>SUM(L198:L200,L203,L224,L221)-SUM(K198:K200,K203,K224,K221)</f>
        <v>0</v>
      </c>
      <c r="M295" s="268">
        <f>SUM(I295:L295)</f>
        <v>0</v>
      </c>
      <c r="N295" s="268">
        <f>SUM(N198:N200,N203,N224,N221)-SUM(M198:M200,M203,M224,M221)</f>
        <v>0</v>
      </c>
      <c r="O295" s="268">
        <f>SUM(O198:O200,O203,O224,O221)-SUM(N198:N200,N203,N224,N221)</f>
        <v>0</v>
      </c>
      <c r="P295" s="268">
        <f>SUM(P198:P200,P203,P224,P221)-SUM(O198:O200,O203,O224,O221)</f>
        <v>0</v>
      </c>
      <c r="Q295" s="268">
        <f>SUM(Q198:Q200,Q203,Q224,Q221)-SUM(P198:P200,P203,P224,P221)</f>
        <v>0</v>
      </c>
      <c r="R295" s="268">
        <f>SUM(N295:Q295)</f>
        <v>0</v>
      </c>
      <c r="S295" s="268">
        <f>SUM(S198:S200,S203,S224,S221)-SUM(R198:R200,R203,R224,R221)</f>
        <v>0</v>
      </c>
      <c r="T295" s="268">
        <f>SUM(T198:T200,T203,T224,T221)-SUM(S198:S200,S203,S224,S221)</f>
        <v>0</v>
      </c>
      <c r="U295" s="268">
        <f>SUM(U198:U200,U203,U224,U221)-SUM(T198:T200,T203,T224,T221)</f>
        <v>0</v>
      </c>
      <c r="V295" s="268">
        <f>SUM(V198:V200,V203,V224,V221)-SUM(U198:U200,U203,U224,U221)</f>
        <v>0</v>
      </c>
      <c r="W295" s="268">
        <f>SUM(S295:V295)</f>
        <v>0</v>
      </c>
      <c r="X295" s="268">
        <f>SUM(X198:X200,X203,X224,X221)-SUM(W198:W200,W203,W224,W221)</f>
        <v>0</v>
      </c>
      <c r="Y295" s="268">
        <f>SUM(Y198:Y200,Y203,Y224,Y221)-SUM(X198:X200,X203,X224,X221)</f>
        <v>0</v>
      </c>
      <c r="Z295" s="268">
        <f>SUM(Z198:Z200,Z203,Z224,Z221)-SUM(Y198:Y200,Y203,Y224,Y221)</f>
        <v>0</v>
      </c>
      <c r="AA295" s="268">
        <f>SUM(AA198:AA200,AA203,AA224,AA221)-SUM(Z198:Z200,Z203,Z224,Z221)</f>
        <v>10528.356</v>
      </c>
      <c r="AB295" s="268">
        <f>SUM(X295:AA295)</f>
        <v>10528.356</v>
      </c>
      <c r="AC295" s="268">
        <f>SUM(AC198:AC200,AC203,AC224,AC221)-SUM(AB198:AB200,AB203,AB224,AB221)</f>
        <v>1290.697</v>
      </c>
      <c r="AD295" s="268">
        <f>SUM(AD198:AD200,AD203,AD224,AD221)-SUM(AC198:AC200,AC203,AC224,AC221)</f>
        <v>2679.92</v>
      </c>
      <c r="AE295" s="268">
        <f>SUM(AE198:AE200,AE203,AE224,AE221)-SUM(AD198:AD200,AD203,AD224,AD221)</f>
        <v>4260.302</v>
      </c>
      <c r="AF295" s="268">
        <f>SUM(AF198:AF200,AF203,AF224,AF221)-SUM(AE198:AE200,AE203,AE224,AE221)</f>
        <v>10808.725</v>
      </c>
      <c r="AG295" s="268">
        <f>SUM(AC295:AF295)</f>
        <v>19039.644</v>
      </c>
      <c r="AH295" s="268">
        <f>SUM(AH198:AH200,AH203,AH224,AH221)-SUM(AG198:AG200,AG203,AG224,AG221)</f>
        <v>5341</v>
      </c>
      <c r="AI295" s="268">
        <f>SUM(AI198:AI200,AI203,AI224,AI221)-SUM(AH198:AH200,AH203,AH224,AH221)</f>
        <v>-18590</v>
      </c>
      <c r="AJ295" s="268">
        <f>SUM(AJ198:AJ200,AJ203,AJ224,AJ221)-SUM(AI198:AI200,AI203,AI224,AI221)</f>
        <v>0</v>
      </c>
      <c r="AK295" s="268">
        <f>SUM(AK198:AK200,AK203,AK224,AK221)-SUM(AJ198:AJ200,AJ203,AJ224,AJ221)</f>
        <v>0</v>
      </c>
      <c r="AL295" s="268">
        <f>SUM(AH295:AK295)</f>
        <v>-13249</v>
      </c>
      <c r="AM295" s="268">
        <f>SUM(AM198:AM200,AM203,AM224,AM221)-SUM(AL198:AL200,AL203,AL224,AL221)</f>
        <v>0</v>
      </c>
      <c r="AN295" s="268">
        <f>SUM(AN198:AN200,AN203,AN224,AN221)-SUM(AM198:AM200,AM203,AM224,AM221)</f>
        <v>0</v>
      </c>
      <c r="AO295" s="268">
        <f>SUM(AO198:AO200,AO203,AO224,AO221)-SUM(AN198:AN200,AN203,AN224,AN221)</f>
        <v>0</v>
      </c>
      <c r="AP295" s="268">
        <f>SUM(AP198:AP200,AP203,AP224,AP221)-SUM(AO198:AO200,AO203,AO224,AO221)</f>
        <v>0</v>
      </c>
      <c r="AQ295" s="268">
        <f>SUM(AM295:AP295)</f>
        <v>0</v>
      </c>
      <c r="AR295" s="268">
        <f>SUM(AR198:AR200,AR203,AR224,AR221)-SUM(AQ198:AQ200,AQ203,AQ224,AQ221)</f>
        <v>0</v>
      </c>
      <c r="AS295" s="268">
        <f>SUM(AS198:AS200,AS203,AS224,AS221)-SUM(AR198:AR200,AR203,AR224,AR221)</f>
        <v>0</v>
      </c>
      <c r="AT295" s="268">
        <f>SUM(AT198:AT200,AT203,AT224,AT221)-SUM(AS198:AS200,AS203,AS224,AS221)</f>
        <v>0</v>
      </c>
      <c r="AU295" s="268">
        <f>SUM(AU198:AU200,AU203,AU224,AU221)-SUM(AT198:AT200,AT203,AT224,AT221)</f>
        <v>0</v>
      </c>
      <c r="AV295" s="268">
        <f>SUM(AR295:AU295)</f>
        <v>0</v>
      </c>
      <c r="AW295" s="268">
        <f>SUM(AW198:AW200,AW203,AW224,AW221)-SUM(AV198:AV200,AV203,AV224,AV221)</f>
        <v>0</v>
      </c>
      <c r="AX295" s="268">
        <f>SUM(AX198:AX200,AX203,AX224,AX221)-SUM(AW198:AW200,AW203,AW224,AW221)</f>
        <v>0</v>
      </c>
      <c r="AY295" s="268">
        <f>SUM(AY198:AY200,AY203,AY224,AY221)-SUM(AX198:AX200,AX203,AX224,AX221)</f>
        <v>0</v>
      </c>
      <c r="AZ295" s="268">
        <f>SUM(AZ198:AZ200,AZ203,AZ224,AZ221)-SUM(AY198:AY200,AY203,AY224,AY221)</f>
        <v>0</v>
      </c>
      <c r="BA295" s="268">
        <f>SUM(AW295:AZ295)</f>
        <v>0</v>
      </c>
      <c r="BB295" s="268">
        <f>SUM(BB198:BB200,BB203,BB224,BB221)-SUM(BA198:BA200,BA203,BA224,BA221)</f>
        <v>0</v>
      </c>
      <c r="BC295" s="268">
        <f>SUM(BC198:BC200,BC203,BC224,BC221)-SUM(BB198:BB200,BB203,BB224,BB221)</f>
        <v>0</v>
      </c>
      <c r="BD295" s="268">
        <f>SUM(BD198:BD200,BD203,BD224,BD221)-SUM(BC198:BC200,BC203,BC224,BC221)</f>
        <v>0</v>
      </c>
      <c r="BE295" s="268">
        <f>SUM(BE198:BE200,BE203,BE224,BE221)-SUM(BD198:BD200,BD203,BD224,BD221)</f>
        <v>0</v>
      </c>
      <c r="BF295" s="268">
        <f>SUM(BB295:BE295)</f>
        <v>0</v>
      </c>
      <c r="BG295" s="268">
        <f>SUM(BG198:BG200,BG203,BG224,BG221)-SUM(BF198:BF200,BF203,BF224,BF221)</f>
        <v>0</v>
      </c>
      <c r="BH295" s="268">
        <f>SUM(BH198:BH200,BH203,BH224,BH221)-SUM(BG198:BG200,BG203,BG224,BG221)</f>
        <v>0</v>
      </c>
      <c r="BI295" s="268">
        <f>SUM(BI198:BI200,BI203,BI224,BI221)-SUM(BH198:BH200,BH203,BH224,BH221)</f>
        <v>0</v>
      </c>
      <c r="BJ295" s="268">
        <f>SUM(BJ198:BJ200,BJ203,BJ224,BJ221)-SUM(BI198:BI200,BI203,BI224,BI221)</f>
        <v>0</v>
      </c>
      <c r="BK295" s="268">
        <f>SUM(BG295:BJ295)</f>
        <v>0</v>
      </c>
      <c r="BL295" s="268">
        <f>SUM(BL198:BL200,BL203,BL224,BL221)-SUM(BK198:BK200,BK203,BK224,BK221)</f>
        <v>0</v>
      </c>
      <c r="BM295" s="268">
        <f>SUM(BM198:BM200,BM203,BM224,BM221)-SUM(BL198:BL200,BL203,BL224,BL221)</f>
        <v>0</v>
      </c>
      <c r="BN295" s="268">
        <f>SUM(BN198:BN200,BN203,BN224,BN221)-SUM(BM198:BM200,BM203,BM224,BM221)</f>
        <v>0</v>
      </c>
      <c r="BO295" s="268">
        <f>SUM(BO198:BO200,BO203,BO224,BO221)-SUM(BN198:BN200,BN203,BN224,BN221)</f>
        <v>0</v>
      </c>
      <c r="BP295" s="268">
        <f>SUM(BL295:BO295)</f>
        <v>0</v>
      </c>
      <c r="BQ295" s="268">
        <f>SUM(BQ198:BQ200,BQ203,BQ224,BQ221)-SUM(BP198:BP200,BP203,BP224,BP221)</f>
        <v>0</v>
      </c>
      <c r="BR295" s="268">
        <f>SUM(BR198:BR200,BR203,BR224,BR221)-SUM(BQ198:BQ200,BQ203,BQ224,BQ221)</f>
        <v>0</v>
      </c>
      <c r="BS295" s="268">
        <f>SUM(BS198:BS200,BS203,BS224,BS221)-SUM(BR198:BR200,BR203,BR224,BR221)</f>
        <v>0</v>
      </c>
      <c r="BT295" s="268">
        <f>SUM(BT198:BT200,BT203,BT224,BT221)-SUM(BS198:BS200,BS203,BS224,BS221)</f>
        <v>0</v>
      </c>
      <c r="BU295" s="268">
        <f>SUM(BQ295:BT295)</f>
        <v>0</v>
      </c>
      <c r="BV295" s="268">
        <f>SUM(BV198:BV200,BV203,BV224,BV221)-SUM(BU198:BU200,BU203,BU224,BU221)</f>
        <v>0</v>
      </c>
      <c r="BW295" s="268">
        <f>SUM(BW198:BW200,BW203,BW224,BW221)-SUM(BV198:BV200,BV203,BV224,BV221)</f>
        <v>0</v>
      </c>
      <c r="BX295" s="268">
        <f>SUM(BX198:BX200,BX203,BX224,BX221)-SUM(BW198:BW200,BW203,BW224,BW221)</f>
        <v>0</v>
      </c>
      <c r="BY295" s="268">
        <f>SUM(BY198:BY200,BY203,BY224,BY221)-SUM(BX198:BX200,BX203,BX224,BX221)</f>
        <v>0</v>
      </c>
      <c r="BZ295" s="268">
        <f>SUM(BV295:BY295)</f>
        <v>0</v>
      </c>
      <c r="CA295" s="268">
        <f>SUM(CA198:CA200,CA203,CA224,CA221)-SUM(BZ198:BZ200,BZ203,BZ224,BZ221)</f>
        <v>0</v>
      </c>
      <c r="CB295" s="268">
        <f>SUM(CB198:CB200,CB203,CB224,CB221)-SUM(CA198:CA200,CA203,CA224,CA221)</f>
        <v>0</v>
      </c>
      <c r="CC295" s="268">
        <f>SUM(CC198:CC200,CC203,CC224,CC221)-SUM(CB198:CB200,CB203,CB224,CB221)</f>
        <v>0</v>
      </c>
      <c r="CD295" s="268">
        <f>SUM(CD198:CD200,CD203,CD224,CD221)-SUM(CC198:CC200,CC203,CC224,CC221)</f>
        <v>0</v>
      </c>
      <c r="CE295" s="268">
        <f>SUM(CA295:CD295)</f>
        <v>0</v>
      </c>
      <c r="CF295" s="268">
        <f>SUM(CF198:CF200,CF203,CF224,CF221)-SUM(CE198:CE200,CE203,CE224,CE221)</f>
        <v>0</v>
      </c>
      <c r="CG295" s="268">
        <f>SUM(CG198:CG200,CG203,CG224,CG221)-SUM(CF198:CF200,CF203,CF224,CF221)</f>
        <v>0</v>
      </c>
      <c r="CH295" s="268">
        <f>SUM(CH198:CH200,CH203,CH224,CH221)-SUM(CG198:CG200,CG203,CG224,CG221)</f>
        <v>0</v>
      </c>
      <c r="CI295" s="268">
        <f>SUM(CI198:CI200,CI203,CI224,CI221)-SUM(CH198:CH200,CH203,CH224,CH221)</f>
        <v>0</v>
      </c>
      <c r="CJ295" s="268">
        <f>SUM(CF295:CI295)</f>
        <v>0</v>
      </c>
      <c r="CK295" s="268">
        <f>SUM(CK198:CK200,CK203,CK224,CK221)-SUM(CJ198:CJ200,CJ203,CJ224,CJ221)</f>
        <v>0</v>
      </c>
      <c r="CL295" s="268">
        <f>SUM(CL198:CL200,CL203,CL224,CL221)-SUM(CK198:CK200,CK203,CK224,CK221)</f>
        <v>0</v>
      </c>
      <c r="CM295" s="268">
        <f>SUM(CM198:CM200,CM203,CM224,CM221)-SUM(CL198:CL200,CL203,CL224,CL221)</f>
        <v>0</v>
      </c>
      <c r="CN295" s="268">
        <f>SUM(CN198:CN200,CN203,CN224,CN221)-SUM(CM198:CM200,CM203,CM224,CM221)</f>
        <v>0</v>
      </c>
      <c r="CO295" s="268">
        <f>SUM(CK295:CN295)</f>
        <v>0</v>
      </c>
      <c r="CP295" s="268">
        <f>SUM(CP198:CP200,CP203,CP224,CP221)-SUM(CO198:CO200,CO203,CO224,CO221)</f>
        <v>0</v>
      </c>
      <c r="CQ295" s="268">
        <f>SUM(CQ198:CQ200,CQ203,CQ224,CQ221)-SUM(CP198:CP200,CP203,CP224,CP221)</f>
        <v>0</v>
      </c>
      <c r="CR295" s="268">
        <f>SUM(CR198:CR200,CR203,CR224,CR221)-SUM(CQ198:CQ200,CQ203,CQ224,CQ221)</f>
        <v>0</v>
      </c>
      <c r="CS295" s="268">
        <f>SUM(CS198:CS200,CS203,CS224,CS221)-SUM(CR198:CR200,CR203,CR224,CR221)</f>
        <v>0</v>
      </c>
      <c r="CT295" s="268">
        <f>SUM(CP295:CS295)</f>
        <v>0</v>
      </c>
      <c r="CU295" s="268">
        <f>SUM(CU198:CU200,CU203,CU224,CU221)-SUM(CT198:CT200,CT203,CT224,CT221)</f>
        <v>0</v>
      </c>
      <c r="CV295" s="268">
        <f>SUM(CV198:CV200,CV203,CV224,CV221)-SUM(CU198:CU200,CU203,CU224,CU221)</f>
        <v>0</v>
      </c>
      <c r="CW295" s="268">
        <f>SUM(CW198:CW200,CW203,CW224,CW221)-SUM(CV198:CV200,CV203,CV224,CV221)</f>
        <v>0</v>
      </c>
      <c r="CX295" s="268">
        <f>SUM(CX198:CX200,CX203,CX224,CX221)-SUM(CW198:CW200,CW203,CW224,CW221)</f>
        <v>0</v>
      </c>
      <c r="CY295" s="268">
        <f>SUM(CU295:CX295)</f>
        <v>0</v>
      </c>
      <c r="CZ295" s="268" t="n"/>
      <c r="DA295" s="268" t="n"/>
      <c r="DB295" s="268" t="n"/>
      <c r="DC295" s="268" t="n"/>
    </row>
    <row r="296" ht="12.75" customHeight="1" s="255">
      <c r="C296" s="270" t="inlineStr">
        <is>
          <t>Cash from financing</t>
        </is>
      </c>
      <c r="D296" s="268" t="n"/>
      <c r="E296" s="268">
        <f>SUM(E288,E289,E290,E291,E292,E293,E294,E295)</f>
        <v>0</v>
      </c>
      <c r="F296" s="268">
        <f>SUM(F288,F289,F290,F291,F292,F293,F294,F295)</f>
        <v>0</v>
      </c>
      <c r="G296" s="268">
        <f>SUM(G288,G289,G290,G291,G292,G293,G294,G295)</f>
        <v>0</v>
      </c>
      <c r="H296" s="268">
        <f>SUM(H288,H289,H290,H291,H292,H293,H294,H295)</f>
        <v>0</v>
      </c>
      <c r="I296" s="268">
        <f>SUM(I288,I289,I290,I291,I292,I293,I294,I295)</f>
        <v>0</v>
      </c>
      <c r="J296" s="268">
        <f>SUM(J288,J289,J290,J291,J292,J293,J294,J295)</f>
        <v>0</v>
      </c>
      <c r="K296" s="268">
        <f>SUM(K288,K289,K290,K291,K292,K293,K294,K295)</f>
        <v>0</v>
      </c>
      <c r="L296" s="268">
        <f>SUM(L288,L289,L290,L291,L292,L293,L294,L295)</f>
        <v>0</v>
      </c>
      <c r="M296" s="268">
        <f>SUM(M288,M289,M290,M291,M292,M293,M294,M295)</f>
        <v>0</v>
      </c>
      <c r="N296" s="268">
        <f>SUM(N288,N289,N290,N291,N292,N293,N294,N295)</f>
        <v>0</v>
      </c>
      <c r="O296" s="268">
        <f>SUM(O288,O289,O290,O291,O292,O293,O294,O295)</f>
        <v>0</v>
      </c>
      <c r="P296" s="268">
        <f>SUM(P288,P289,P290,P291,P292,P293,P294,P295)</f>
        <v>0</v>
      </c>
      <c r="Q296" s="268">
        <f>SUM(Q288,Q289,Q290,Q291,Q292,Q293,Q294,Q295)</f>
        <v>0</v>
      </c>
      <c r="R296" s="268">
        <f>SUM(R288,R289,R290,R291,R292,R293,R294,R295)</f>
        <v>0</v>
      </c>
      <c r="S296" s="268">
        <f>SUM(S288,S289,S290,S291,S292,S293,S294,S295)</f>
        <v>0</v>
      </c>
      <c r="T296" s="268">
        <f>SUM(T288,T289,T290,T291,T292,T293,T294,T295)</f>
        <v>0</v>
      </c>
      <c r="U296" s="268">
        <f>SUM(U288,U289,U290,U291,U292,U293,U294,U295)</f>
        <v>0</v>
      </c>
      <c r="V296" s="268">
        <f>SUM(V288,V289,V290,V291,V292,V293,V294,V295)</f>
        <v>0</v>
      </c>
      <c r="W296" s="268">
        <f>SUM(W288,W289,W290,W291,W292,W293,W294,W295)</f>
        <v>0</v>
      </c>
      <c r="X296" s="268">
        <f>SUM(X288,X289,X290,X291,X292,X293,X294,X295)</f>
        <v>129.248</v>
      </c>
      <c r="Y296" s="268">
        <f>SUM(Y288,Y289,Y290,Y291,Y292,Y293,Y294,Y295)</f>
        <v>323.021</v>
      </c>
      <c r="Z296" s="268">
        <f>SUM(Z288,Z289,Z290,Z291,Z292,Z293,Z294,Z295)</f>
        <v>359.807</v>
      </c>
      <c r="AA296" s="268">
        <f>SUM(AA288,AA289,AA290,AA291,AA292,AA293,AA294,AA295)</f>
        <v>11887.793</v>
      </c>
      <c r="AB296" s="268">
        <f>SUM(AB288,AB289,AB290,AB291,AB292,AB293,AB294,AB295)</f>
        <v>12699.869</v>
      </c>
      <c r="AC296" s="268">
        <f>SUM(AC288,AC289,AC290,AC291,AC292,AC293,AC294,AC295)</f>
        <v>3366.466</v>
      </c>
      <c r="AD296" s="268">
        <f>SUM(AD288,AD289,AD290,AD291,AD292,AD293,AD294,AD295)</f>
        <v>3721.444</v>
      </c>
      <c r="AE296" s="268">
        <f>SUM(AE288,AE289,AE290,AE291,AE292,AE293,AE294,AE295)</f>
        <v>4427.634</v>
      </c>
      <c r="AF296" s="268">
        <f>SUM(AF288,AF289,AF290,AF291,AF292,AF293,AF294,AF295)</f>
        <v>10717.437</v>
      </c>
      <c r="AG296" s="268">
        <f>SUM(AG288,AG289,AG290,AG291,AG292,AG293,AG294,AG295)</f>
        <v>22232.981</v>
      </c>
      <c r="AH296" s="268">
        <f>SUM(AH288,AH289,AH290,AH291,AH292,AH293,AH294,AH295)</f>
        <v>7505</v>
      </c>
      <c r="AI296" s="268">
        <f>SUM(AI288,AI289,AI290,AI291,AI292,AI293,AI294,AI295)</f>
        <v>-17699</v>
      </c>
      <c r="AJ296" s="268">
        <f>SUM(AJ288,AJ289,AJ290,AJ291,AJ292,AJ293,AJ294,AJ295)</f>
        <v>0</v>
      </c>
      <c r="AK296" s="268">
        <f>SUM(AK288,AK289,AK290,AK291,AK292,AK293,AK294,AK295)</f>
        <v>0</v>
      </c>
      <c r="AL296" s="268">
        <f>SUM(AL288,AL289,AL290,AL291,AL292,AL293,AL294,AL295)</f>
        <v>-10194</v>
      </c>
      <c r="AM296" s="268">
        <f>SUM(AM288,AM289,AM290,AM291,AM292,AM293,AM294,AM295)</f>
        <v>0</v>
      </c>
      <c r="AN296" s="268">
        <f>SUM(AN288,AN289,AN290,AN291,AN292,AN293,AN294,AN295)</f>
        <v>0</v>
      </c>
      <c r="AO296" s="268">
        <f>SUM(AO288,AO289,AO290,AO291,AO292,AO293,AO294,AO295)</f>
        <v>0</v>
      </c>
      <c r="AP296" s="268">
        <f>SUM(AP288,AP289,AP290,AP291,AP292,AP293,AP294,AP295)</f>
        <v>0</v>
      </c>
      <c r="AQ296" s="268">
        <f>SUM(AQ288,AQ289,AQ290,AQ291,AQ292,AQ293,AQ294,AQ295)</f>
        <v>0</v>
      </c>
      <c r="AR296" s="268">
        <f>SUM(AR288,AR289,AR290,AR291,AR292,AR293,AR294,AR295)</f>
        <v>0</v>
      </c>
      <c r="AS296" s="268">
        <f>SUM(AS288,AS289,AS290,AS291,AS292,AS293,AS294,AS295)</f>
        <v>0</v>
      </c>
      <c r="AT296" s="268">
        <f>SUM(AT288,AT289,AT290,AT291,AT292,AT293,AT294,AT295)</f>
        <v>0</v>
      </c>
      <c r="AU296" s="268">
        <f>SUM(AU288,AU289,AU290,AU291,AU292,AU293,AU294,AU295)</f>
        <v>0</v>
      </c>
      <c r="AV296" s="268">
        <f>SUM(AV288,AV289,AV290,AV291,AV292,AV293,AV294,AV295)</f>
        <v>0</v>
      </c>
      <c r="AW296" s="268">
        <f>SUM(AW288,AW289,AW290,AW291,AW292,AW293,AW294,AW295)</f>
        <v>0</v>
      </c>
      <c r="AX296" s="268">
        <f>SUM(AX288,AX289,AX290,AX291,AX292,AX293,AX294,AX295)</f>
        <v>0</v>
      </c>
      <c r="AY296" s="268">
        <f>SUM(AY288,AY289,AY290,AY291,AY292,AY293,AY294,AY295)</f>
        <v>0</v>
      </c>
      <c r="AZ296" s="268">
        <f>SUM(AZ288,AZ289,AZ290,AZ291,AZ292,AZ293,AZ294,AZ295)</f>
        <v>0</v>
      </c>
      <c r="BA296" s="268">
        <f>SUM(BA288,BA289,BA290,BA291,BA292,BA293,BA294,BA295)</f>
        <v>0</v>
      </c>
      <c r="BB296" s="268">
        <f>SUM(BB288,BB289,BB290,BB291,BB292,BB293,BB294,BB295)</f>
        <v>0</v>
      </c>
      <c r="BC296" s="268">
        <f>SUM(BC288,BC289,BC290,BC291,BC292,BC293,BC294,BC295)</f>
        <v>0</v>
      </c>
      <c r="BD296" s="268">
        <f>SUM(BD288,BD289,BD290,BD291,BD292,BD293,BD294,BD295)</f>
        <v>0</v>
      </c>
      <c r="BE296" s="268">
        <f>SUM(BE288,BE289,BE290,BE291,BE292,BE293,BE294,BE295)</f>
        <v>0</v>
      </c>
      <c r="BF296" s="268">
        <f>SUM(BF288,BF289,BF290,BF291,BF292,BF293,BF294,BF295)</f>
        <v>0</v>
      </c>
      <c r="BG296" s="268">
        <f>SUM(BG288,BG289,BG290,BG291,BG292,BG293,BG294,BG295)</f>
        <v>0</v>
      </c>
      <c r="BH296" s="268">
        <f>SUM(BH288,BH289,BH290,BH291,BH292,BH293,BH294,BH295)</f>
        <v>0</v>
      </c>
      <c r="BI296" s="268">
        <f>SUM(BI288,BI289,BI290,BI291,BI292,BI293,BI294,BI295)</f>
        <v>0</v>
      </c>
      <c r="BJ296" s="268">
        <f>SUM(BJ288,BJ289,BJ290,BJ291,BJ292,BJ293,BJ294,BJ295)</f>
        <v>0</v>
      </c>
      <c r="BK296" s="268">
        <f>SUM(BK288,BK289,BK290,BK291,BK292,BK293,BK294,BK295)</f>
        <v>0</v>
      </c>
      <c r="BL296" s="268">
        <f>SUM(BL288,BL289,BL290,BL291,BL292,BL293,BL294,BL295)</f>
        <v>0</v>
      </c>
      <c r="BM296" s="268">
        <f>SUM(BM288,BM289,BM290,BM291,BM292,BM293,BM294,BM295)</f>
        <v>0</v>
      </c>
      <c r="BN296" s="268">
        <f>SUM(BN288,BN289,BN290,BN291,BN292,BN293,BN294,BN295)</f>
        <v>0</v>
      </c>
      <c r="BO296" s="268">
        <f>SUM(BO288,BO289,BO290,BO291,BO292,BO293,BO294,BO295)</f>
        <v>0</v>
      </c>
      <c r="BP296" s="268">
        <f>SUM(BP288,BP289,BP290,BP291,BP292,BP293,BP294,BP295)</f>
        <v>0</v>
      </c>
      <c r="BQ296" s="268">
        <f>SUM(BQ288,BQ289,BQ290,BQ291,BQ292,BQ293,BQ294,BQ295)</f>
        <v>0</v>
      </c>
      <c r="BR296" s="268">
        <f>SUM(BR288,BR289,BR290,BR291,BR292,BR293,BR294,BR295)</f>
        <v>0</v>
      </c>
      <c r="BS296" s="268">
        <f>SUM(BS288,BS289,BS290,BS291,BS292,BS293,BS294,BS295)</f>
        <v>0</v>
      </c>
      <c r="BT296" s="268">
        <f>SUM(BT288,BT289,BT290,BT291,BT292,BT293,BT294,BT295)</f>
        <v>0</v>
      </c>
      <c r="BU296" s="268">
        <f>SUM(BU288,BU289,BU290,BU291,BU292,BU293,BU294,BU295)</f>
        <v>0</v>
      </c>
      <c r="BV296" s="268">
        <f>SUM(BV288,BV289,BV290,BV291,BV292,BV293,BV294,BV295)</f>
        <v>0</v>
      </c>
      <c r="BW296" s="268">
        <f>SUM(BW288,BW289,BW290,BW291,BW292,BW293,BW294,BW295)</f>
        <v>0</v>
      </c>
      <c r="BX296" s="268">
        <f>SUM(BX288,BX289,BX290,BX291,BX292,BX293,BX294,BX295)</f>
        <v>0</v>
      </c>
      <c r="BY296" s="268">
        <f>SUM(BY288,BY289,BY290,BY291,BY292,BY293,BY294,BY295)</f>
        <v>0</v>
      </c>
      <c r="BZ296" s="268">
        <f>SUM(BZ288,BZ289,BZ290,BZ291,BZ292,BZ293,BZ294,BZ295)</f>
        <v>0</v>
      </c>
      <c r="CA296" s="268">
        <f>SUM(CA288,CA289,CA290,CA291,CA292,CA293,CA294,CA295)</f>
        <v>0</v>
      </c>
      <c r="CB296" s="268">
        <f>SUM(CB288,CB289,CB290,CB291,CB292,CB293,CB294,CB295)</f>
        <v>0</v>
      </c>
      <c r="CC296" s="268">
        <f>SUM(CC288,CC289,CC290,CC291,CC292,CC293,CC294,CC295)</f>
        <v>0</v>
      </c>
      <c r="CD296" s="268">
        <f>SUM(CD288,CD289,CD290,CD291,CD292,CD293,CD294,CD295)</f>
        <v>0</v>
      </c>
      <c r="CE296" s="268">
        <f>SUM(CE288,CE289,CE290,CE291,CE292,CE293,CE294,CE295)</f>
        <v>0</v>
      </c>
      <c r="CF296" s="268">
        <f>SUM(CF288,CF289,CF290,CF291,CF292,CF293,CF294,CF295)</f>
        <v>0</v>
      </c>
      <c r="CG296" s="268">
        <f>SUM(CG288,CG289,CG290,CG291,CG292,CG293,CG294,CG295)</f>
        <v>0</v>
      </c>
      <c r="CH296" s="268">
        <f>SUM(CH288,CH289,CH290,CH291,CH292,CH293,CH294,CH295)</f>
        <v>0</v>
      </c>
      <c r="CI296" s="268">
        <f>SUM(CI288,CI289,CI290,CI291,CI292,CI293,CI294,CI295)</f>
        <v>0</v>
      </c>
      <c r="CJ296" s="268">
        <f>SUM(CJ288,CJ289,CJ290,CJ291,CJ292,CJ293,CJ294,CJ295)</f>
        <v>0</v>
      </c>
      <c r="CK296" s="268">
        <f>SUM(CK288,CK289,CK290,CK291,CK292,CK293,CK294,CK295)</f>
        <v>0</v>
      </c>
      <c r="CL296" s="268">
        <f>SUM(CL288,CL289,CL290,CL291,CL292,CL293,CL294,CL295)</f>
        <v>0</v>
      </c>
      <c r="CM296" s="268">
        <f>SUM(CM288,CM289,CM290,CM291,CM292,CM293,CM294,CM295)</f>
        <v>0</v>
      </c>
      <c r="CN296" s="268">
        <f>SUM(CN288,CN289,CN290,CN291,CN292,CN293,CN294,CN295)</f>
        <v>0</v>
      </c>
      <c r="CO296" s="268">
        <f>SUM(CO288,CO289,CO290,CO291,CO292,CO293,CO294,CO295)</f>
        <v>0</v>
      </c>
      <c r="CP296" s="268">
        <f>SUM(CP288,CP289,CP290,CP291,CP292,CP293,CP294,CP295)</f>
        <v>0</v>
      </c>
      <c r="CQ296" s="268">
        <f>SUM(CQ288,CQ289,CQ290,CQ291,CQ292,CQ293,CQ294,CQ295)</f>
        <v>0</v>
      </c>
      <c r="CR296" s="268">
        <f>SUM(CR288,CR289,CR290,CR291,CR292,CR293,CR294,CR295)</f>
        <v>0</v>
      </c>
      <c r="CS296" s="268">
        <f>SUM(CS288,CS289,CS290,CS291,CS292,CS293,CS294,CS295)</f>
        <v>0</v>
      </c>
      <c r="CT296" s="268">
        <f>SUM(CT288,CT289,CT290,CT291,CT292,CT293,CT294,CT295)</f>
        <v>0</v>
      </c>
      <c r="CU296" s="268">
        <f>SUM(CU288,CU289,CU290,CU291,CU292,CU293,CU294,CU295)</f>
        <v>0</v>
      </c>
      <c r="CV296" s="268">
        <f>SUM(CV288,CV289,CV290,CV291,CV292,CV293,CV294,CV295)</f>
        <v>0</v>
      </c>
      <c r="CW296" s="268">
        <f>SUM(CW288,CW289,CW290,CW291,CW292,CW293,CW294,CW295)</f>
        <v>0</v>
      </c>
      <c r="CX296" s="268">
        <f>SUM(CX288,CX289,CX290,CX291,CX292,CX293,CX294,CX295)</f>
        <v>0</v>
      </c>
      <c r="CY296" s="268">
        <f>SUM(CY288,CY289,CY290,CY291,CY292,CY293,CY294,CY295)</f>
        <v>0</v>
      </c>
    </row>
    <row r="297" ht="12.75" customHeight="1" s="255">
      <c r="C297" s="270" t="n"/>
      <c r="D297" s="268" t="n"/>
      <c r="E297" s="268" t="n"/>
      <c r="F297" s="268" t="n"/>
      <c r="G297" s="268" t="n"/>
      <c r="H297" s="268" t="n"/>
      <c r="I297" s="268" t="n"/>
      <c r="J297" s="268" t="n"/>
      <c r="K297" s="268" t="n"/>
      <c r="L297" s="268" t="n"/>
      <c r="M297" s="268" t="n"/>
      <c r="N297" s="268" t="n"/>
      <c r="O297" s="268" t="n"/>
      <c r="P297" s="268" t="n"/>
      <c r="Q297" s="268" t="n"/>
      <c r="R297" s="268" t="n"/>
      <c r="S297" s="268" t="n"/>
      <c r="T297" s="268" t="n"/>
      <c r="U297" s="268" t="n"/>
      <c r="V297" s="268" t="n"/>
      <c r="W297" s="268" t="n"/>
      <c r="X297" s="268" t="n"/>
      <c r="Y297" s="268" t="n"/>
      <c r="Z297" s="268" t="n"/>
      <c r="AA297" s="268" t="n"/>
      <c r="AB297" s="268" t="n"/>
      <c r="AC297" s="268" t="n"/>
      <c r="AD297" s="268" t="n"/>
      <c r="AE297" s="268" t="n"/>
      <c r="AF297" s="268" t="n"/>
      <c r="AG297" s="268" t="n"/>
      <c r="AH297" s="268" t="n"/>
      <c r="AI297" s="268" t="n"/>
      <c r="AJ297" s="268" t="n"/>
      <c r="AK297" s="268" t="n"/>
      <c r="AL297" s="268" t="n"/>
      <c r="AM297" s="268" t="n"/>
      <c r="AN297" s="268" t="n"/>
      <c r="AO297" s="268" t="n"/>
      <c r="AP297" s="268" t="n"/>
      <c r="AQ297" s="268" t="n"/>
      <c r="AR297" s="268" t="n"/>
      <c r="AS297" s="268" t="n"/>
      <c r="AT297" s="268" t="n"/>
      <c r="AU297" s="268" t="n"/>
      <c r="AV297" s="268" t="n"/>
      <c r="AW297" s="268" t="n"/>
      <c r="AX297" s="268" t="n"/>
      <c r="AY297" s="268" t="n"/>
      <c r="AZ297" s="268" t="n"/>
      <c r="BA297" s="268" t="n"/>
      <c r="BB297" s="268" t="n"/>
      <c r="BC297" s="268" t="n"/>
      <c r="BD297" s="268" t="n"/>
      <c r="BE297" s="268" t="n"/>
      <c r="BF297" s="268" t="n"/>
      <c r="BG297" s="268" t="n"/>
      <c r="BH297" s="268" t="n"/>
      <c r="BI297" s="268" t="n"/>
      <c r="BJ297" s="268" t="n"/>
      <c r="BK297" s="268" t="n"/>
      <c r="BL297" s="268" t="n"/>
      <c r="BM297" s="268" t="n"/>
      <c r="BN297" s="268" t="n"/>
      <c r="BO297" s="268" t="n"/>
      <c r="BP297" s="268" t="n"/>
      <c r="BQ297" s="268" t="n"/>
      <c r="BR297" s="268" t="n"/>
      <c r="BS297" s="268" t="n"/>
      <c r="BT297" s="268" t="n"/>
      <c r="BU297" s="268" t="n"/>
      <c r="BV297" s="268" t="n"/>
      <c r="BW297" s="268" t="n"/>
      <c r="BX297" s="268" t="n"/>
      <c r="BY297" s="268" t="n"/>
      <c r="BZ297" s="268" t="n"/>
      <c r="CA297" s="268" t="n"/>
      <c r="CB297" s="268" t="n"/>
      <c r="CC297" s="268" t="n"/>
      <c r="CD297" s="268" t="n"/>
      <c r="CE297" s="268" t="n"/>
      <c r="CF297" s="268" t="n"/>
      <c r="CG297" s="268" t="n"/>
      <c r="CH297" s="268" t="n"/>
      <c r="CI297" s="268" t="n"/>
      <c r="CJ297" s="268" t="n"/>
      <c r="CK297" s="268" t="n"/>
      <c r="CL297" s="268" t="n"/>
      <c r="CM297" s="268" t="n"/>
      <c r="CN297" s="268" t="n"/>
      <c r="CO297" s="268" t="n"/>
      <c r="CP297" s="268" t="n"/>
      <c r="CQ297" s="268" t="n"/>
      <c r="CR297" s="268" t="n"/>
      <c r="CS297" s="268" t="n"/>
      <c r="CT297" s="268" t="n"/>
      <c r="CU297" s="268" t="n"/>
      <c r="CV297" s="268" t="n"/>
      <c r="CW297" s="268" t="n"/>
      <c r="CX297" s="268" t="n"/>
      <c r="CY297" s="268" t="n"/>
    </row>
    <row r="298" ht="12.75" customHeight="1" s="255">
      <c r="C298" s="270" t="inlineStr">
        <is>
          <t>Others</t>
        </is>
      </c>
      <c r="D298" s="268" t="n"/>
      <c r="E298" s="268" t="n"/>
      <c r="F298" s="268" t="n"/>
      <c r="G298" s="268" t="n"/>
      <c r="H298" s="268">
        <f>SUM(D298:G298)</f>
        <v>0</v>
      </c>
      <c r="I298" s="268" t="n"/>
      <c r="J298" s="268" t="n"/>
      <c r="K298" s="268" t="n"/>
      <c r="L298" s="268" t="n"/>
      <c r="M298" s="268">
        <f>SUM(I298:L298)</f>
        <v>0</v>
      </c>
      <c r="N298" s="268" t="n"/>
      <c r="O298" s="268" t="n"/>
      <c r="P298" s="268" t="n"/>
      <c r="Q298" s="268" t="n"/>
      <c r="R298" s="268">
        <f>SUM(N298:Q298)</f>
        <v>0</v>
      </c>
      <c r="S298" s="268" t="n"/>
      <c r="T298" s="268" t="n"/>
      <c r="U298" s="268" t="n"/>
      <c r="V298" s="268" t="n"/>
      <c r="W298" s="268">
        <f>SUM(S298:V298)</f>
        <v>0</v>
      </c>
      <c r="X298" s="268" t="n"/>
      <c r="Y298" s="268" t="n"/>
      <c r="Z298" s="268" t="n"/>
      <c r="AA298" s="268" t="n"/>
      <c r="AB298" s="268">
        <f>SUM(X298:AA298)</f>
        <v>0</v>
      </c>
      <c r="AC298" s="268" t="n"/>
      <c r="AD298" s="268" t="n"/>
      <c r="AE298" s="268" t="n"/>
      <c r="AF298" s="268" t="n"/>
      <c r="AG298" s="268">
        <f>SUM(AC298:AF298)</f>
        <v>0</v>
      </c>
      <c r="AH298" s="268" t="n"/>
      <c r="AI298" s="268" t="n"/>
      <c r="AJ298" s="268" t="n"/>
      <c r="AK298" s="268" t="n"/>
      <c r="AL298" s="268">
        <f>SUM(AH298:AK298)</f>
        <v>0</v>
      </c>
      <c r="AM298" s="268" t="n"/>
      <c r="AN298" s="268" t="n"/>
      <c r="AO298" s="268" t="n"/>
      <c r="AP298" s="268" t="n"/>
      <c r="AQ298" s="268">
        <f>SUM(AM298:AP298)</f>
        <v>0</v>
      </c>
      <c r="AR298" s="268" t="n"/>
      <c r="AS298" s="268" t="n"/>
      <c r="AT298" s="268" t="n"/>
      <c r="AU298" s="268" t="n"/>
      <c r="AV298" s="268">
        <f>SUM(AR298:AU298)</f>
        <v>0</v>
      </c>
      <c r="AW298" s="268" t="n"/>
      <c r="AX298" s="268" t="n"/>
      <c r="AY298" s="268" t="n"/>
      <c r="AZ298" s="268" t="n"/>
      <c r="BA298" s="268">
        <f>SUM(AW298:AZ298)</f>
        <v>0</v>
      </c>
      <c r="BB298" s="268" t="n"/>
      <c r="BC298" s="268" t="n"/>
      <c r="BD298" s="268" t="n"/>
      <c r="BE298" s="268" t="n"/>
      <c r="BF298" s="268">
        <f>SUM(BB298:BE298)</f>
        <v>0</v>
      </c>
      <c r="BG298" s="268" t="n"/>
      <c r="BH298" s="268" t="n"/>
      <c r="BI298" s="268" t="n"/>
      <c r="BJ298" s="268" t="n"/>
      <c r="BK298" s="268">
        <f>SUM(BG298:BJ298)</f>
        <v>0</v>
      </c>
      <c r="BL298" s="268" t="n"/>
      <c r="BM298" s="268" t="n"/>
      <c r="BN298" s="268" t="n"/>
      <c r="BO298" s="268" t="n"/>
      <c r="BP298" s="268">
        <f>SUM(BL298:BO298)</f>
        <v>0</v>
      </c>
      <c r="BQ298" s="268" t="n"/>
      <c r="BR298" s="268" t="n"/>
      <c r="BS298" s="268" t="n"/>
      <c r="BT298" s="268" t="n"/>
      <c r="BU298" s="268">
        <f>SUM(BQ298:BT298)</f>
        <v>0</v>
      </c>
      <c r="BV298" s="268" t="n"/>
      <c r="BW298" s="268" t="n"/>
      <c r="BX298" s="268" t="n"/>
      <c r="BY298" s="268" t="n"/>
      <c r="BZ298" s="268">
        <f>SUM(BV298:BY298)</f>
        <v>0</v>
      </c>
      <c r="CA298" s="268" t="n"/>
      <c r="CB298" s="268" t="n"/>
      <c r="CC298" s="268" t="n"/>
      <c r="CD298" s="268" t="n"/>
      <c r="CE298" s="268">
        <f>SUM(CA298:CD298)</f>
        <v>0</v>
      </c>
      <c r="CF298" s="268" t="n"/>
      <c r="CG298" s="268" t="n"/>
      <c r="CH298" s="268" t="n"/>
      <c r="CI298" s="268" t="n"/>
      <c r="CJ298" s="268">
        <f>SUM(CF298:CI298)</f>
        <v>0</v>
      </c>
      <c r="CK298" s="268" t="n"/>
      <c r="CL298" s="268" t="n"/>
      <c r="CM298" s="268" t="n"/>
      <c r="CN298" s="268" t="n"/>
      <c r="CO298" s="268">
        <f>SUM(CK298:CN298)</f>
        <v>0</v>
      </c>
      <c r="CP298" s="268" t="n"/>
      <c r="CQ298" s="268" t="n"/>
      <c r="CR298" s="268" t="n"/>
      <c r="CS298" s="268" t="n"/>
      <c r="CT298" s="268">
        <f>SUM(CP298:CS298)</f>
        <v>0</v>
      </c>
      <c r="CU298" s="268" t="n"/>
      <c r="CV298" s="268" t="n"/>
      <c r="CW298" s="268" t="n"/>
      <c r="CX298" s="268" t="n"/>
      <c r="CY298" s="268">
        <f>SUM(CU298:CX298)</f>
        <v>0</v>
      </c>
    </row>
    <row r="299" ht="12.75" customHeight="1" s="255">
      <c r="C299" s="270" t="n"/>
      <c r="D299" s="268" t="n"/>
      <c r="E299" s="268" t="n"/>
      <c r="F299" s="268" t="n"/>
      <c r="G299" s="268" t="n"/>
      <c r="H299" s="268" t="n"/>
      <c r="I299" s="268" t="n"/>
      <c r="J299" s="268" t="n"/>
      <c r="K299" s="268" t="n"/>
      <c r="L299" s="268" t="n"/>
      <c r="M299" s="268" t="n"/>
      <c r="N299" s="268" t="n"/>
      <c r="O299" s="268" t="n"/>
      <c r="P299" s="268" t="n"/>
      <c r="Q299" s="268" t="n"/>
      <c r="R299" s="268" t="n"/>
      <c r="S299" s="268" t="n"/>
      <c r="T299" s="268" t="n"/>
      <c r="U299" s="268" t="n"/>
      <c r="V299" s="268" t="n"/>
      <c r="W299" s="268" t="n"/>
      <c r="X299" s="268" t="n"/>
      <c r="Y299" s="268" t="n"/>
      <c r="Z299" s="268" t="n"/>
      <c r="AA299" s="268" t="n"/>
      <c r="AB299" s="268" t="n"/>
      <c r="AC299" s="268" t="n"/>
      <c r="AD299" s="268" t="n"/>
      <c r="AE299" s="268" t="n"/>
      <c r="AF299" s="268" t="n"/>
      <c r="AG299" s="268" t="n"/>
      <c r="AH299" s="268" t="n"/>
      <c r="AI299" s="268" t="n"/>
      <c r="AJ299" s="268" t="n"/>
      <c r="AK299" s="268" t="n"/>
      <c r="AL299" s="268" t="n"/>
      <c r="AM299" s="268" t="n"/>
      <c r="AN299" s="268" t="n"/>
      <c r="AO299" s="268" t="n"/>
      <c r="AP299" s="268" t="n"/>
      <c r="AQ299" s="268" t="n"/>
      <c r="AR299" s="268" t="n"/>
      <c r="AS299" s="268" t="n"/>
      <c r="AT299" s="268" t="n"/>
      <c r="AU299" s="268" t="n"/>
      <c r="AV299" s="268" t="n"/>
      <c r="AW299" s="268" t="n"/>
      <c r="AX299" s="268" t="n"/>
      <c r="AY299" s="268" t="n"/>
      <c r="AZ299" s="268" t="n"/>
      <c r="BA299" s="268" t="n"/>
      <c r="BB299" s="268" t="n"/>
      <c r="BC299" s="268" t="n"/>
      <c r="BD299" s="268" t="n"/>
      <c r="BE299" s="268" t="n"/>
      <c r="BF299" s="268" t="n"/>
      <c r="BG299" s="268" t="n"/>
      <c r="BH299" s="268" t="n"/>
      <c r="BI299" s="268" t="n"/>
      <c r="BJ299" s="268" t="n"/>
      <c r="BK299" s="268" t="n"/>
      <c r="BL299" s="268" t="n"/>
      <c r="BM299" s="268" t="n"/>
      <c r="BN299" s="268" t="n"/>
      <c r="BO299" s="268" t="n"/>
      <c r="BP299" s="268" t="n"/>
      <c r="BQ299" s="268" t="n"/>
      <c r="BR299" s="268" t="n"/>
      <c r="BS299" s="268" t="n"/>
      <c r="BT299" s="268" t="n"/>
      <c r="BU299" s="268" t="n"/>
      <c r="BV299" s="268" t="n"/>
      <c r="BW299" s="268" t="n"/>
      <c r="BX299" s="268" t="n"/>
      <c r="BY299" s="268" t="n"/>
      <c r="BZ299" s="268" t="n"/>
      <c r="CA299" s="268" t="n"/>
      <c r="CB299" s="268" t="n"/>
      <c r="CC299" s="268" t="n"/>
      <c r="CD299" s="268" t="n"/>
      <c r="CE299" s="268" t="n"/>
      <c r="CF299" s="268" t="n"/>
      <c r="CG299" s="268" t="n"/>
      <c r="CH299" s="268" t="n"/>
      <c r="CI299" s="268" t="n"/>
      <c r="CJ299" s="268" t="n"/>
      <c r="CK299" s="268" t="n"/>
      <c r="CL299" s="268" t="n"/>
      <c r="CM299" s="268" t="n"/>
      <c r="CN299" s="268" t="n"/>
      <c r="CO299" s="268" t="n"/>
      <c r="CP299" s="268" t="n"/>
      <c r="CQ299" s="268" t="n"/>
      <c r="CR299" s="268" t="n"/>
      <c r="CS299" s="268" t="n"/>
      <c r="CT299" s="268" t="n"/>
      <c r="CU299" s="268" t="n"/>
      <c r="CV299" s="268" t="n"/>
      <c r="CW299" s="268" t="n"/>
      <c r="CX299" s="268" t="n"/>
      <c r="CY299" s="268" t="n"/>
    </row>
    <row r="300" ht="12.75" customHeight="1" s="255">
      <c r="C300" s="270" t="inlineStr">
        <is>
          <t>Total increase/decrease of cash</t>
        </is>
      </c>
      <c r="D300" s="268" t="n"/>
      <c r="E300" s="268">
        <f>SUM(E279,E286,E296,E298)</f>
        <v>0</v>
      </c>
      <c r="F300" s="268">
        <f>SUM(F279,F286,F296,F298)</f>
        <v>0</v>
      </c>
      <c r="G300" s="268">
        <f>SUM(G279,G286,G296,G298)</f>
        <v>0</v>
      </c>
      <c r="H300" s="268">
        <f>SUM(D300:G300)</f>
        <v>0</v>
      </c>
      <c r="I300" s="268">
        <f>SUM(I279,I286,I296,I298)</f>
        <v>0</v>
      </c>
      <c r="J300" s="268">
        <f>SUM(J279,J286,J296,J298)</f>
        <v>0</v>
      </c>
      <c r="K300" s="268">
        <f>SUM(K279,K286,K296,K298)</f>
        <v>0</v>
      </c>
      <c r="L300" s="268">
        <f>SUM(L279,L286,L296,L298)</f>
        <v>0</v>
      </c>
      <c r="M300" s="268">
        <f>SUM(I300:L300)</f>
        <v>0</v>
      </c>
      <c r="N300" s="268">
        <f>SUM(N279,N286,N296,N298)</f>
        <v>0</v>
      </c>
      <c r="O300" s="268">
        <f>SUM(O279,O286,O296,O298)</f>
        <v>0</v>
      </c>
      <c r="P300" s="268">
        <f>SUM(P279,P286,P296,P298)</f>
        <v>0</v>
      </c>
      <c r="Q300" s="268">
        <f>SUM(Q279,Q286,Q296,Q298)</f>
        <v>0</v>
      </c>
      <c r="R300" s="268">
        <f>SUM(N300:Q300)</f>
        <v>0</v>
      </c>
      <c r="S300" s="268">
        <f>SUM(S279,S286,S296,S298)</f>
        <v>0</v>
      </c>
      <c r="T300" s="268">
        <f>SUM(T279,T286,T296,T298)</f>
        <v>0</v>
      </c>
      <c r="U300" s="268">
        <f>SUM(U279,U286,U296,U298)</f>
        <v>0</v>
      </c>
      <c r="V300" s="268">
        <f>SUM(V279,V286,V296,V298)</f>
        <v>0</v>
      </c>
      <c r="W300" s="268">
        <f>SUM(S300:V300)</f>
        <v>0</v>
      </c>
      <c r="X300" s="268">
        <f>SUM(X279,X286,X296,X298)</f>
        <v>0</v>
      </c>
      <c r="Y300" s="268">
        <f>SUM(Y279,Y286,Y296,Y298)</f>
        <v>0</v>
      </c>
      <c r="Z300" s="268">
        <f>SUM(Z279,Z286,Z296,Z298)</f>
        <v>0</v>
      </c>
      <c r="AA300" s="268">
        <f>SUM(AA279,AA286,AA296,AA298)</f>
        <v>1361.083</v>
      </c>
      <c r="AB300" s="268">
        <f>SUM(X300:AA300)</f>
        <v>1361.083</v>
      </c>
      <c r="AC300" s="268">
        <f>SUM(AC279,AC286,AC296,AC298)</f>
        <v>-84.6269999999996</v>
      </c>
      <c r="AD300" s="268">
        <f>SUM(AD279,AD286,AD296,AD298)</f>
        <v>-123.572999999998</v>
      </c>
      <c r="AE300" s="268">
        <f>SUM(AE279,AE286,AE296,AE298)</f>
        <v>788.964999999995</v>
      </c>
      <c r="AF300" s="268">
        <f>SUM(AF279,AF286,AF296,AF298)</f>
        <v>1219.152</v>
      </c>
      <c r="AG300" s="268">
        <f>SUM(AC300:AF300)</f>
        <v>1799.917</v>
      </c>
      <c r="AH300" s="268">
        <f>SUM(AH279,AH286,AH296,AH298)</f>
        <v>-895</v>
      </c>
      <c r="AI300" s="268">
        <f>SUM(AI279,AI286,AI296,AI298)</f>
        <v>3273</v>
      </c>
      <c r="AJ300" s="268">
        <f>SUM(AJ279,AJ286,AJ296,AJ298)</f>
        <v>-7356</v>
      </c>
      <c r="AK300" s="268">
        <f>SUM(AK279,AK286,AK296,AK298)</f>
        <v>43</v>
      </c>
      <c r="AL300" s="268">
        <f>SUM(AH300:AK300)</f>
        <v>-4935</v>
      </c>
      <c r="AM300" s="268" t="e">
        <f>SUM(AM279,AM286,AM296,AM298)</f>
        <v>#DIV/0!</v>
      </c>
      <c r="AN300" s="268" t="e">
        <f>SUM(AN279,AN286,AN296,AN298)</f>
        <v>#DIV/0!</v>
      </c>
      <c r="AO300" s="268" t="e">
        <f>SUM(AO279,AO286,AO296,AO298)</f>
        <v>#DIV/0!</v>
      </c>
      <c r="AP300" s="268" t="e">
        <f>SUM(AP279,AP286,AP296,AP298)</f>
        <v>#DIV/0!</v>
      </c>
      <c r="AQ300" s="268" t="e">
        <f>SUM(AM300:AP300)</f>
        <v>#DIV/0!</v>
      </c>
      <c r="AR300" s="268" t="e">
        <f>SUM(AR279,AR286,AR296,AR298)</f>
        <v>#DIV/0!</v>
      </c>
      <c r="AS300" s="268" t="e">
        <f>SUM(AS279,AS286,AS296,AS298)</f>
        <v>#DIV/0!</v>
      </c>
      <c r="AT300" s="268" t="e">
        <f>SUM(AT279,AT286,AT296,AT298)</f>
        <v>#DIV/0!</v>
      </c>
      <c r="AU300" s="268" t="e">
        <f>SUM(AU279,AU286,AU296,AU298)</f>
        <v>#DIV/0!</v>
      </c>
      <c r="AV300" s="268" t="e">
        <f>SUM(AR300:AU300)</f>
        <v>#DIV/0!</v>
      </c>
      <c r="AW300" s="268" t="e">
        <f>SUM(AW279,AW286,AW296,AW298)</f>
        <v>#DIV/0!</v>
      </c>
      <c r="AX300" s="268" t="e">
        <f>SUM(AX279,AX286,AX296,AX298)</f>
        <v>#DIV/0!</v>
      </c>
      <c r="AY300" s="268" t="e">
        <f>SUM(AY279,AY286,AY296,AY298)</f>
        <v>#DIV/0!</v>
      </c>
      <c r="AZ300" s="268" t="e">
        <f>SUM(AZ279,AZ286,AZ296,AZ298)</f>
        <v>#DIV/0!</v>
      </c>
      <c r="BA300" s="268" t="e">
        <f>SUM(AW300:AZ300)</f>
        <v>#DIV/0!</v>
      </c>
      <c r="BB300" s="268" t="e">
        <f>SUM(BB279,BB286,BB296,BB298)</f>
        <v>#DIV/0!</v>
      </c>
      <c r="BC300" s="268" t="e">
        <f>SUM(BC279,BC286,BC296,BC298)</f>
        <v>#DIV/0!</v>
      </c>
      <c r="BD300" s="268" t="e">
        <f>SUM(BD279,BD286,BD296,BD298)</f>
        <v>#DIV/0!</v>
      </c>
      <c r="BE300" s="268" t="e">
        <f>SUM(BE279,BE286,BE296,BE298)</f>
        <v>#DIV/0!</v>
      </c>
      <c r="BF300" s="268" t="e">
        <f>SUM(BB300:BE300)</f>
        <v>#DIV/0!</v>
      </c>
      <c r="BG300" s="268" t="e">
        <f>SUM(BG279,BG286,BG296,BG298)</f>
        <v>#DIV/0!</v>
      </c>
      <c r="BH300" s="268" t="e">
        <f>SUM(BH279,BH286,BH296,BH298)</f>
        <v>#DIV/0!</v>
      </c>
      <c r="BI300" s="268" t="e">
        <f>SUM(BI279,BI286,BI296,BI298)</f>
        <v>#DIV/0!</v>
      </c>
      <c r="BJ300" s="268" t="e">
        <f>SUM(BJ279,BJ286,BJ296,BJ298)</f>
        <v>#DIV/0!</v>
      </c>
      <c r="BK300" s="268" t="e">
        <f>SUM(BG300:BJ300)</f>
        <v>#DIV/0!</v>
      </c>
      <c r="BL300" s="268" t="e">
        <f>SUM(BL279,BL286,BL296,BL298)</f>
        <v>#DIV/0!</v>
      </c>
      <c r="BM300" s="268" t="e">
        <f>SUM(BM279,BM286,BM296,BM298)</f>
        <v>#DIV/0!</v>
      </c>
      <c r="BN300" s="268" t="e">
        <f>SUM(BN279,BN286,BN296,BN298)</f>
        <v>#DIV/0!</v>
      </c>
      <c r="BO300" s="268" t="e">
        <f>SUM(BO279,BO286,BO296,BO298)</f>
        <v>#DIV/0!</v>
      </c>
      <c r="BP300" s="268" t="e">
        <f>SUM(BL300:BO300)</f>
        <v>#DIV/0!</v>
      </c>
      <c r="BQ300" s="268" t="e">
        <f>SUM(BQ279,BQ286,BQ296,BQ298)</f>
        <v>#DIV/0!</v>
      </c>
      <c r="BR300" s="268" t="e">
        <f>SUM(BR279,BR286,BR296,BR298)</f>
        <v>#DIV/0!</v>
      </c>
      <c r="BS300" s="268" t="e">
        <f>SUM(BS279,BS286,BS296,BS298)</f>
        <v>#DIV/0!</v>
      </c>
      <c r="BT300" s="268" t="e">
        <f>SUM(BT279,BT286,BT296,BT298)</f>
        <v>#DIV/0!</v>
      </c>
      <c r="BU300" s="268" t="e">
        <f>SUM(BQ300:BT300)</f>
        <v>#DIV/0!</v>
      </c>
      <c r="BV300" s="268" t="e">
        <f>SUM(BV279,BV286,BV296,BV298)</f>
        <v>#DIV/0!</v>
      </c>
      <c r="BW300" s="268" t="e">
        <f>SUM(BW279,BW286,BW296,BW298)</f>
        <v>#DIV/0!</v>
      </c>
      <c r="BX300" s="268" t="e">
        <f>SUM(BX279,BX286,BX296,BX298)</f>
        <v>#DIV/0!</v>
      </c>
      <c r="BY300" s="268" t="e">
        <f>SUM(BY279,BY286,BY296,BY298)</f>
        <v>#DIV/0!</v>
      </c>
      <c r="BZ300" s="268" t="e">
        <f>SUM(BV300:BY300)</f>
        <v>#DIV/0!</v>
      </c>
      <c r="CA300" s="268" t="e">
        <f>SUM(CA279,CA286,CA296,CA298)</f>
        <v>#DIV/0!</v>
      </c>
      <c r="CB300" s="268" t="e">
        <f>SUM(CB279,CB286,CB296,CB298)</f>
        <v>#DIV/0!</v>
      </c>
      <c r="CC300" s="268" t="e">
        <f>SUM(CC279,CC286,CC296,CC298)</f>
        <v>#DIV/0!</v>
      </c>
      <c r="CD300" s="268" t="e">
        <f>SUM(CD279,CD286,CD296,CD298)</f>
        <v>#DIV/0!</v>
      </c>
      <c r="CE300" s="268" t="e">
        <f>SUM(CA300:CD300)</f>
        <v>#DIV/0!</v>
      </c>
      <c r="CF300" s="268" t="e">
        <f>SUM(CF279,CF286,CF296,CF298)</f>
        <v>#DIV/0!</v>
      </c>
      <c r="CG300" s="268" t="e">
        <f>SUM(CG279,CG286,CG296,CG298)</f>
        <v>#DIV/0!</v>
      </c>
      <c r="CH300" s="268" t="e">
        <f>SUM(CH279,CH286,CH296,CH298)</f>
        <v>#DIV/0!</v>
      </c>
      <c r="CI300" s="268" t="e">
        <f>SUM(CI279,CI286,CI296,CI298)</f>
        <v>#DIV/0!</v>
      </c>
      <c r="CJ300" s="268" t="e">
        <f>SUM(CF300:CI300)</f>
        <v>#DIV/0!</v>
      </c>
      <c r="CK300" s="268" t="e">
        <f>SUM(CK279,CK286,CK296,CK298)</f>
        <v>#DIV/0!</v>
      </c>
      <c r="CL300" s="268" t="e">
        <f>SUM(CL279,CL286,CL296,CL298)</f>
        <v>#DIV/0!</v>
      </c>
      <c r="CM300" s="268" t="e">
        <f>SUM(CM279,CM286,CM296,CM298)</f>
        <v>#DIV/0!</v>
      </c>
      <c r="CN300" s="268" t="e">
        <f>SUM(CN279,CN286,CN296,CN298)</f>
        <v>#DIV/0!</v>
      </c>
      <c r="CO300" s="268" t="e">
        <f>SUM(CK300:CN300)</f>
        <v>#DIV/0!</v>
      </c>
      <c r="CP300" s="268" t="e">
        <f>SUM(CP279,CP286,CP296,CP298)</f>
        <v>#DIV/0!</v>
      </c>
      <c r="CQ300" s="268" t="e">
        <f>SUM(CQ279,CQ286,CQ296,CQ298)</f>
        <v>#DIV/0!</v>
      </c>
      <c r="CR300" s="268" t="e">
        <f>SUM(CR279,CR286,CR296,CR298)</f>
        <v>#DIV/0!</v>
      </c>
      <c r="CS300" s="268" t="e">
        <f>SUM(CS279,CS286,CS296,CS298)</f>
        <v>#DIV/0!</v>
      </c>
      <c r="CT300" s="268" t="e">
        <f>SUM(CP300:CS300)</f>
        <v>#DIV/0!</v>
      </c>
      <c r="CU300" s="268" t="e">
        <f>SUM(CU279,CU286,CU296,CU298)</f>
        <v>#DIV/0!</v>
      </c>
      <c r="CV300" s="268" t="e">
        <f>SUM(CV279,CV286,CV296,CV298)</f>
        <v>#DIV/0!</v>
      </c>
      <c r="CW300" s="268" t="e">
        <f>SUM(CW279,CW286,CW296,CW298)</f>
        <v>#DIV/0!</v>
      </c>
      <c r="CX300" s="268" t="e">
        <f>SUM(CX279,CX286,CX296,CX298)</f>
        <v>#DIV/0!</v>
      </c>
      <c r="CY300" s="268" t="e">
        <f>SUM(CU300:CX300)</f>
        <v>#DIV/0!</v>
      </c>
    </row>
    <row r="301" ht="12.75" customHeight="1" s="255">
      <c r="C301" s="260" t="inlineStr">
        <is>
          <t>Check</t>
        </is>
      </c>
      <c r="E301" s="329">
        <f>(E300)-(E130-D130)</f>
        <v>0</v>
      </c>
      <c r="F301" s="329">
        <f>(F300)-(F130-E130)</f>
        <v>0</v>
      </c>
      <c r="G301" s="329">
        <f>(G300)-(G130-F130)</f>
        <v>0</v>
      </c>
      <c r="I301" s="329">
        <f>(I300)-(I130-H130)</f>
        <v>0</v>
      </c>
      <c r="J301" s="329">
        <f>(J300)-(J130-I130)</f>
        <v>0</v>
      </c>
      <c r="K301" s="329">
        <f>(K300)-(K130-J130)</f>
        <v>0</v>
      </c>
      <c r="L301" s="329">
        <f>(L300)-(L130-K130)</f>
        <v>0</v>
      </c>
      <c r="N301" s="329">
        <f>(N300)-(N130-M130)</f>
        <v>0</v>
      </c>
      <c r="O301" s="329">
        <f>(O300)-(O130-N130)</f>
        <v>0</v>
      </c>
      <c r="P301" s="329">
        <f>(P300)-(P130-O130)</f>
        <v>0</v>
      </c>
      <c r="Q301" s="329">
        <f>(Q300)-(Q130-P130)</f>
        <v>0</v>
      </c>
      <c r="S301" s="329">
        <f>(S300)-(S130-R130)</f>
        <v>0</v>
      </c>
      <c r="T301" s="329">
        <f>(T300)-(T130-S130)</f>
        <v>0</v>
      </c>
      <c r="U301" s="329">
        <f>(U300)-(U130-T130)</f>
        <v>0</v>
      </c>
      <c r="V301" s="329">
        <f>(V300)-(V130-U130)</f>
        <v>0</v>
      </c>
      <c r="X301" s="329">
        <f>(X300)-(X130-W130)</f>
        <v>0</v>
      </c>
      <c r="Y301" s="329">
        <f>(Y300)-(Y130-X130)</f>
        <v>0</v>
      </c>
      <c r="Z301" s="329">
        <f>(Z300)-(Z130-Y130)</f>
        <v>0</v>
      </c>
      <c r="AA301" s="329">
        <f>(AA300)-(AA130-Z130)</f>
        <v>0</v>
      </c>
      <c r="AC301" s="329">
        <f>(AC300)-(AC130-AB130)</f>
        <v>3.41060513164848e-13</v>
      </c>
      <c r="AD301" s="329">
        <f>(AD300)-(AD130-AC130)</f>
        <v>1.98951966012828e-12</v>
      </c>
      <c r="AE301" s="329">
        <f>(AE300)-(AE130-AD130)</f>
        <v>-5.22959453519434e-12</v>
      </c>
      <c r="AF301" s="329">
        <f>(AF300)-(AF130-AE130)</f>
        <v>0</v>
      </c>
      <c r="AH301" s="329">
        <f>(AH300)-(AH130-AG130)</f>
        <v>0</v>
      </c>
      <c r="AI301" s="329">
        <f>(AI300)-(AI130-AH130)</f>
        <v>0</v>
      </c>
      <c r="AJ301" s="329">
        <f>(AJ300)-(AJ130-AI130)</f>
        <v>0</v>
      </c>
      <c r="AK301" s="329">
        <f>(AK300)-(AK130-AJ130)</f>
        <v>0</v>
      </c>
      <c r="AM301" s="329" t="e">
        <f>(AM300)-(AM130-AL130)</f>
        <v>#DIV/0!</v>
      </c>
      <c r="AN301" s="329" t="e">
        <f>(AN300)-(AN130-AM130)</f>
        <v>#DIV/0!</v>
      </c>
      <c r="AO301" s="329" t="e">
        <f>(AO300)-(AO130-AN130)</f>
        <v>#DIV/0!</v>
      </c>
      <c r="AP301" s="329" t="e">
        <f>(AP300)-(AP130-AO130)</f>
        <v>#DIV/0!</v>
      </c>
      <c r="AR301" s="329" t="e">
        <f>(AR300)-(AR130-AQ130)</f>
        <v>#DIV/0!</v>
      </c>
      <c r="AS301" s="329" t="e">
        <f>(AS300)-(AS130-AR130)</f>
        <v>#DIV/0!</v>
      </c>
      <c r="AT301" s="329" t="e">
        <f>(AT300)-(AT130-AS130)</f>
        <v>#DIV/0!</v>
      </c>
      <c r="AU301" s="329" t="e">
        <f>(AU300)-(AU130-AT130)</f>
        <v>#DIV/0!</v>
      </c>
      <c r="AW301" s="329" t="e">
        <f>(AW300)-(AW130-AV130)</f>
        <v>#DIV/0!</v>
      </c>
      <c r="AX301" s="329" t="e">
        <f>(AX300)-(AX130-AW130)</f>
        <v>#DIV/0!</v>
      </c>
      <c r="AY301" s="329" t="e">
        <f>(AY300)-(AY130-AX130)</f>
        <v>#DIV/0!</v>
      </c>
      <c r="AZ301" s="329" t="e">
        <f>(AZ300)-(AZ130-AY130)</f>
        <v>#DIV/0!</v>
      </c>
      <c r="BB301" s="329" t="e">
        <f>(BB300)-(BB130-BA130)</f>
        <v>#DIV/0!</v>
      </c>
      <c r="BC301" s="329" t="e">
        <f>(BC300)-(BC130-BB130)</f>
        <v>#DIV/0!</v>
      </c>
      <c r="BD301" s="329" t="e">
        <f>(BD300)-(BD130-BC130)</f>
        <v>#DIV/0!</v>
      </c>
      <c r="BE301" s="329" t="e">
        <f>(BE300)-(BE130-BD130)</f>
        <v>#DIV/0!</v>
      </c>
      <c r="BG301" s="329" t="e">
        <f>(BG300)-(BG130-BF130)</f>
        <v>#DIV/0!</v>
      </c>
      <c r="BH301" s="329" t="e">
        <f>(BH300)-(BH130-BG130)</f>
        <v>#DIV/0!</v>
      </c>
      <c r="BI301" s="329" t="e">
        <f>(BI300)-(BI130-BH130)</f>
        <v>#DIV/0!</v>
      </c>
      <c r="BJ301" s="329" t="e">
        <f>(BJ300)-(BJ130-BI130)</f>
        <v>#DIV/0!</v>
      </c>
      <c r="BL301" s="329" t="e">
        <f>(BL300)-(BL130-BK130)</f>
        <v>#DIV/0!</v>
      </c>
      <c r="BM301" s="329" t="e">
        <f>(BM300)-(BM130-BL130)</f>
        <v>#DIV/0!</v>
      </c>
      <c r="BN301" s="329" t="e">
        <f>(BN300)-(BN130-BM130)</f>
        <v>#DIV/0!</v>
      </c>
      <c r="BO301" s="329" t="e">
        <f>(BO300)-(BO130-BN130)</f>
        <v>#DIV/0!</v>
      </c>
      <c r="BQ301" s="329" t="e">
        <f>(BQ300)-(BQ130-BP130)</f>
        <v>#DIV/0!</v>
      </c>
      <c r="BR301" s="329" t="e">
        <f>(BR300)-(BR130-BQ130)</f>
        <v>#DIV/0!</v>
      </c>
      <c r="BS301" s="329" t="e">
        <f>(BS300)-(BS130-BR130)</f>
        <v>#DIV/0!</v>
      </c>
      <c r="BT301" s="329" t="e">
        <f>(BT300)-(BT130-BS130)</f>
        <v>#DIV/0!</v>
      </c>
      <c r="BV301" s="329" t="e">
        <f>(BV300)-(BV130-BU130)</f>
        <v>#DIV/0!</v>
      </c>
      <c r="BW301" s="329" t="e">
        <f>(BW300)-(BW130-BV130)</f>
        <v>#DIV/0!</v>
      </c>
      <c r="BX301" s="329" t="e">
        <f>(BX300)-(BX130-BW130)</f>
        <v>#DIV/0!</v>
      </c>
      <c r="BY301" s="329" t="e">
        <f>(BY300)-(BY130-BX130)</f>
        <v>#DIV/0!</v>
      </c>
      <c r="CA301" s="329" t="e">
        <f>(CA300)-(CA130-BZ130)</f>
        <v>#DIV/0!</v>
      </c>
      <c r="CB301" s="329" t="e">
        <f>(CB300)-(CB130-CA130)</f>
        <v>#DIV/0!</v>
      </c>
      <c r="CC301" s="329" t="e">
        <f>(CC300)-(CC130-CB130)</f>
        <v>#DIV/0!</v>
      </c>
      <c r="CD301" s="329" t="e">
        <f>(CD300)-(CD130-CC130)</f>
        <v>#DIV/0!</v>
      </c>
      <c r="CF301" s="329" t="e">
        <f>(CF300)-(CF130-CE130)</f>
        <v>#DIV/0!</v>
      </c>
      <c r="CG301" s="329" t="e">
        <f>(CG300)-(CG130-CF130)</f>
        <v>#DIV/0!</v>
      </c>
      <c r="CH301" s="329" t="e">
        <f>(CH300)-(CH130-CG130)</f>
        <v>#DIV/0!</v>
      </c>
      <c r="CI301" s="329" t="e">
        <f>(CI300)-(CI130-CH130)</f>
        <v>#DIV/0!</v>
      </c>
      <c r="CK301" s="329" t="e">
        <f>(CK300)-(CK130-CJ130)</f>
        <v>#DIV/0!</v>
      </c>
      <c r="CL301" s="329" t="e">
        <f>(CL300)-(CL130-CK130)</f>
        <v>#DIV/0!</v>
      </c>
      <c r="CM301" s="329" t="e">
        <f>(CM300)-(CM130-CL130)</f>
        <v>#DIV/0!</v>
      </c>
      <c r="CN301" s="329" t="e">
        <f>(CN300)-(CN130-CM130)</f>
        <v>#DIV/0!</v>
      </c>
      <c r="CP301" s="329" t="e">
        <f>(CP300)-(CP130-CO130)</f>
        <v>#DIV/0!</v>
      </c>
      <c r="CQ301" s="329" t="e">
        <f>(CQ300)-(CQ130-CP130)</f>
        <v>#DIV/0!</v>
      </c>
      <c r="CR301" s="329" t="e">
        <f>(CR300)-(CR130-CQ130)</f>
        <v>#DIV/0!</v>
      </c>
      <c r="CS301" s="329" t="e">
        <f>(CS300)-(CS130-CR130)</f>
        <v>#DIV/0!</v>
      </c>
      <c r="CU301" s="329" t="e">
        <f>(CU300)-(CU130-CT130)</f>
        <v>#DIV/0!</v>
      </c>
      <c r="CV301" s="329" t="e">
        <f>(CV300)-(CV130-CU130)</f>
        <v>#DIV/0!</v>
      </c>
      <c r="CW301" s="329" t="e">
        <f>(CW300)-(CW130-CV130)</f>
        <v>#DIV/0!</v>
      </c>
      <c r="CX301" s="329" t="e">
        <f>(CX300)-(CX130-CW130)</f>
        <v>#DIV/0!</v>
      </c>
    </row>
    <row r="303" ht="12.75" customHeight="1" s="255">
      <c r="C303" s="330" t="inlineStr">
        <is>
          <t>Ratio Analysis</t>
        </is>
      </c>
      <c r="D303" s="330" t="n"/>
      <c r="E303" s="330" t="n"/>
      <c r="F303" s="330" t="n"/>
      <c r="G303" s="330" t="n"/>
      <c r="H303" s="330" t="n"/>
      <c r="I303" s="330" t="n"/>
      <c r="J303" s="330" t="n"/>
      <c r="K303" s="330" t="n"/>
      <c r="L303" s="330" t="n"/>
      <c r="M303" s="330" t="n"/>
      <c r="N303" s="330" t="n"/>
      <c r="O303" s="330" t="n"/>
      <c r="P303" s="330" t="n"/>
      <c r="Q303" s="330" t="n"/>
      <c r="R303" s="330" t="n"/>
      <c r="S303" s="330" t="n"/>
      <c r="T303" s="330" t="n"/>
      <c r="U303" s="330" t="n"/>
      <c r="V303" s="330" t="n"/>
      <c r="W303" s="330" t="n"/>
      <c r="X303" s="330" t="n"/>
      <c r="Y303" s="330" t="n"/>
      <c r="Z303" s="330" t="n"/>
      <c r="AA303" s="330" t="n"/>
      <c r="AB303" s="330" t="n"/>
      <c r="AC303" s="330" t="n"/>
      <c r="AD303" s="330" t="n"/>
      <c r="AE303" s="330" t="n"/>
      <c r="AF303" s="330" t="n"/>
      <c r="AG303" s="330" t="n"/>
      <c r="AH303" s="330" t="n"/>
      <c r="AI303" s="330" t="n"/>
      <c r="AJ303" s="330" t="n"/>
      <c r="AK303" s="330" t="n"/>
      <c r="AL303" s="330" t="n"/>
      <c r="AM303" s="330" t="n"/>
      <c r="AN303" s="330" t="n"/>
      <c r="AO303" s="330" t="n"/>
      <c r="AP303" s="330" t="n"/>
      <c r="AQ303" s="330" t="n"/>
      <c r="AR303" s="330" t="n"/>
      <c r="AS303" s="330" t="n"/>
      <c r="AT303" s="330" t="n"/>
      <c r="AU303" s="330" t="n"/>
      <c r="AV303" s="330" t="n"/>
      <c r="AW303" s="330" t="n"/>
      <c r="AX303" s="330" t="n"/>
      <c r="AY303" s="330" t="n"/>
      <c r="AZ303" s="330" t="n"/>
      <c r="BA303" s="330" t="n"/>
      <c r="BB303" s="330" t="n"/>
      <c r="BC303" s="330" t="n"/>
      <c r="BD303" s="330" t="n"/>
      <c r="BE303" s="330" t="n"/>
      <c r="BF303" s="330" t="n"/>
      <c r="BG303" s="330" t="n"/>
      <c r="BH303" s="330" t="n"/>
      <c r="BI303" s="330" t="n"/>
      <c r="BJ303" s="330" t="n"/>
      <c r="BK303" s="330" t="n"/>
      <c r="BL303" s="330" t="n"/>
      <c r="BM303" s="330" t="n"/>
      <c r="BN303" s="330" t="n"/>
      <c r="BO303" s="330" t="n"/>
      <c r="BP303" s="330" t="n"/>
      <c r="BQ303" s="330" t="n"/>
      <c r="BR303" s="330" t="n"/>
      <c r="BS303" s="330" t="n"/>
      <c r="BT303" s="330" t="n"/>
      <c r="BU303" s="330" t="n"/>
      <c r="BV303" s="330" t="n"/>
      <c r="BW303" s="330" t="n"/>
      <c r="BX303" s="330" t="n"/>
      <c r="BY303" s="330" t="n"/>
      <c r="BZ303" s="330" t="n"/>
      <c r="CA303" s="330" t="n"/>
      <c r="CB303" s="330" t="n"/>
      <c r="CC303" s="330" t="n"/>
      <c r="CD303" s="330" t="n"/>
      <c r="CE303" s="330" t="n"/>
      <c r="CF303" s="330" t="n"/>
      <c r="CG303" s="330" t="n"/>
      <c r="CH303" s="330" t="n"/>
      <c r="CI303" s="330" t="n"/>
      <c r="CJ303" s="330" t="n"/>
      <c r="CK303" s="330" t="n"/>
      <c r="CL303" s="330" t="n"/>
      <c r="CM303" s="330" t="n"/>
      <c r="CN303" s="330" t="n"/>
      <c r="CO303" s="330" t="n"/>
      <c r="CP303" s="330" t="n"/>
      <c r="CQ303" s="330" t="n"/>
      <c r="CR303" s="330" t="n"/>
      <c r="CS303" s="330" t="n"/>
      <c r="CT303" s="330" t="n"/>
      <c r="CU303" s="330" t="n"/>
      <c r="CV303" s="330" t="n"/>
      <c r="CW303" s="330" t="n"/>
      <c r="CX303" s="330" t="n"/>
      <c r="CY303" s="330" t="n"/>
    </row>
    <row r="305" ht="12.75" customFormat="1" customHeight="1" s="331">
      <c r="C305" s="331" t="inlineStr">
        <is>
          <t>YEAR</t>
        </is>
      </c>
      <c r="D305" s="331" t="str">
        <f>D261</f>
        <v>1Q20</v>
      </c>
      <c r="E305" s="332" t="str">
        <f>E261</f>
        <v>2Q20</v>
      </c>
      <c r="F305" s="332" t="str">
        <f>F261</f>
        <v>3Q20</v>
      </c>
      <c r="G305" s="332" t="str">
        <f>G261</f>
        <v>4Q20</v>
      </c>
      <c r="H305" s="332">
        <f>H261</f>
        <v>2020</v>
      </c>
      <c r="I305" s="332" t="str">
        <f>I261</f>
        <v>1Q21</v>
      </c>
      <c r="J305" s="332" t="str">
        <f>J261</f>
        <v>2Q21</v>
      </c>
      <c r="K305" s="332" t="str">
        <f>K261</f>
        <v>3Q21</v>
      </c>
      <c r="L305" s="332" t="str">
        <f>L261</f>
        <v>4Q21</v>
      </c>
      <c r="M305" s="332">
        <f>M261</f>
        <v>2021</v>
      </c>
      <c r="N305" s="332" t="str">
        <f>N261</f>
        <v>1Q22</v>
      </c>
      <c r="O305" s="332" t="str">
        <f>O261</f>
        <v>2Q22</v>
      </c>
      <c r="P305" s="332" t="str">
        <f>P261</f>
        <v>3Q22</v>
      </c>
      <c r="Q305" s="332" t="str">
        <f>Q261</f>
        <v>4Q22</v>
      </c>
      <c r="R305" s="332">
        <f>R261</f>
        <v>2022</v>
      </c>
      <c r="S305" s="332" t="str">
        <f>S261</f>
        <v>1Q23</v>
      </c>
      <c r="T305" s="332" t="str">
        <f>T261</f>
        <v>2Q23</v>
      </c>
      <c r="U305" s="332" t="str">
        <f>U261</f>
        <v>3Q23</v>
      </c>
      <c r="V305" s="332" t="str">
        <f>V261</f>
        <v>4Q23</v>
      </c>
      <c r="W305" s="332">
        <f>W261</f>
        <v>2023</v>
      </c>
      <c r="X305" s="332" t="str">
        <f>X261</f>
        <v>1Q24</v>
      </c>
      <c r="Y305" s="332" t="str">
        <f>Y261</f>
        <v>2Q24</v>
      </c>
      <c r="Z305" s="332" t="str">
        <f>Z261</f>
        <v>3Q24</v>
      </c>
      <c r="AA305" s="332" t="str">
        <f>AA261</f>
        <v>4Q24</v>
      </c>
      <c r="AB305" s="332">
        <f>AB261</f>
        <v>2024</v>
      </c>
      <c r="AC305" s="332" t="str">
        <f>AC261</f>
        <v>1Q25</v>
      </c>
      <c r="AD305" s="332" t="str">
        <f>AD261</f>
        <v>2Q25</v>
      </c>
      <c r="AE305" s="332" t="str">
        <f>AE261</f>
        <v>3Q25</v>
      </c>
      <c r="AF305" s="332" t="str">
        <f>AF261</f>
        <v>4Q25</v>
      </c>
      <c r="AG305" s="332">
        <f>AG261</f>
        <v>2025</v>
      </c>
      <c r="AH305" s="332" t="str">
        <f>AH261</f>
        <v>1Q26</v>
      </c>
      <c r="AI305" s="332" t="str">
        <f>AI261</f>
        <v>2Q26</v>
      </c>
      <c r="AJ305" s="332" t="str">
        <f>AJ261</f>
        <v>3Q26</v>
      </c>
      <c r="AK305" s="332" t="str">
        <f>AK261</f>
        <v>4Q26</v>
      </c>
      <c r="AL305" s="332">
        <f>AL261</f>
        <v>2026</v>
      </c>
      <c r="AM305" s="332" t="str">
        <f>AM261</f>
        <v>1Q27</v>
      </c>
      <c r="AN305" s="332" t="str">
        <f>AN261</f>
        <v>2Q27</v>
      </c>
      <c r="AO305" s="332" t="str">
        <f>AO261</f>
        <v>3Q27</v>
      </c>
      <c r="AP305" s="332" t="str">
        <f>AP261</f>
        <v>4Q27</v>
      </c>
      <c r="AQ305" s="332">
        <f>AQ261</f>
        <v>2027</v>
      </c>
      <c r="AR305" s="332" t="str">
        <f>AR261</f>
        <v>1Q28</v>
      </c>
      <c r="AS305" s="332" t="str">
        <f>AS261</f>
        <v>2Q28</v>
      </c>
      <c r="AT305" s="332" t="str">
        <f>AT261</f>
        <v>3Q28</v>
      </c>
      <c r="AU305" s="332" t="str">
        <f>AU261</f>
        <v>4Q28</v>
      </c>
      <c r="AV305" s="332">
        <f>AV261</f>
        <v>2028</v>
      </c>
      <c r="AW305" s="332" t="str">
        <f>AW261</f>
        <v>1Q29</v>
      </c>
      <c r="AX305" s="332" t="str">
        <f>AX261</f>
        <v>2Q29</v>
      </c>
      <c r="AY305" s="332" t="str">
        <f>AY261</f>
        <v>3Q29</v>
      </c>
      <c r="AZ305" s="332" t="str">
        <f>AZ261</f>
        <v>4Q29</v>
      </c>
      <c r="BA305" s="332">
        <f>BA261</f>
        <v>2029</v>
      </c>
      <c r="BB305" s="332" t="str">
        <f>BB261</f>
        <v>1Q30</v>
      </c>
      <c r="BC305" s="332" t="str">
        <f>BC261</f>
        <v>2Q30</v>
      </c>
      <c r="BD305" s="332" t="str">
        <f>BD261</f>
        <v>3Q30</v>
      </c>
      <c r="BE305" s="332" t="str">
        <f>BE261</f>
        <v>4Q30</v>
      </c>
      <c r="BF305" s="332">
        <f>BF261</f>
        <v>2030</v>
      </c>
      <c r="BG305" s="332" t="str">
        <f>BG261</f>
        <v>1Q31</v>
      </c>
      <c r="BH305" s="332" t="str">
        <f>BH261</f>
        <v>2Q31</v>
      </c>
      <c r="BI305" s="332" t="str">
        <f>BI261</f>
        <v>3Q31</v>
      </c>
      <c r="BJ305" s="332" t="str">
        <f>BJ261</f>
        <v>4Q31</v>
      </c>
      <c r="BK305" s="332">
        <f>BK261</f>
        <v>2031</v>
      </c>
      <c r="BL305" s="332" t="str">
        <f>BL261</f>
        <v>1Q32</v>
      </c>
      <c r="BM305" s="332" t="str">
        <f>BM261</f>
        <v>2Q32</v>
      </c>
      <c r="BN305" s="332" t="str">
        <f>BN261</f>
        <v>3Q32</v>
      </c>
      <c r="BO305" s="332" t="str">
        <f>BO261</f>
        <v>4Q32</v>
      </c>
      <c r="BP305" s="332">
        <f>BP261</f>
        <v>2032</v>
      </c>
      <c r="BQ305" s="332" t="str">
        <f>BQ261</f>
        <v>1Q33</v>
      </c>
      <c r="BR305" s="332" t="str">
        <f>BR261</f>
        <v>2Q33</v>
      </c>
      <c r="BS305" s="332" t="str">
        <f>BS261</f>
        <v>3Q33</v>
      </c>
      <c r="BT305" s="332" t="str">
        <f>BT261</f>
        <v>4Q33</v>
      </c>
      <c r="BU305" s="332">
        <f>BU261</f>
        <v>2033</v>
      </c>
      <c r="BV305" s="332" t="str">
        <f>BV261</f>
        <v>1Q34</v>
      </c>
      <c r="BW305" s="332" t="str">
        <f>BW261</f>
        <v>2Q34</v>
      </c>
      <c r="BX305" s="332" t="str">
        <f>BX261</f>
        <v>3Q34</v>
      </c>
      <c r="BY305" s="332" t="str">
        <f>BY261</f>
        <v>4Q34</v>
      </c>
      <c r="BZ305" s="332">
        <f>BZ261</f>
        <v>2034</v>
      </c>
      <c r="CA305" s="332" t="str">
        <f>CA261</f>
        <v>1Q35</v>
      </c>
      <c r="CB305" s="332" t="str">
        <f>CB261</f>
        <v>2Q35</v>
      </c>
      <c r="CC305" s="332" t="str">
        <f>CC261</f>
        <v>3Q35</v>
      </c>
      <c r="CD305" s="332" t="str">
        <f>CD261</f>
        <v>4Q35</v>
      </c>
      <c r="CE305" s="332">
        <f>CE261</f>
        <v>2035</v>
      </c>
      <c r="CF305" s="332" t="str">
        <f>CF261</f>
        <v>1Q36</v>
      </c>
      <c r="CG305" s="332" t="str">
        <f>CG261</f>
        <v>2Q36</v>
      </c>
      <c r="CH305" s="332" t="str">
        <f>CH261</f>
        <v>3Q36</v>
      </c>
      <c r="CI305" s="332" t="str">
        <f>CI261</f>
        <v>4Q36</v>
      </c>
      <c r="CJ305" s="332">
        <f>CJ261</f>
        <v>2036</v>
      </c>
      <c r="CK305" s="332" t="str">
        <f>CK261</f>
        <v>1Q37</v>
      </c>
      <c r="CL305" s="332" t="str">
        <f>CL261</f>
        <v>2Q37</v>
      </c>
      <c r="CM305" s="332" t="str">
        <f>CM261</f>
        <v>3Q37</v>
      </c>
      <c r="CN305" s="332" t="str">
        <f>CN261</f>
        <v>4Q37</v>
      </c>
      <c r="CO305" s="332">
        <f>CO261</f>
        <v>2037</v>
      </c>
      <c r="CP305" s="332" t="str">
        <f>CP261</f>
        <v>1Q38</v>
      </c>
      <c r="CQ305" s="332" t="str">
        <f>CQ261</f>
        <v>2Q38</v>
      </c>
      <c r="CR305" s="332" t="str">
        <f>CR261</f>
        <v>3Q38</v>
      </c>
      <c r="CS305" s="332" t="str">
        <f>CS261</f>
        <v>4Q38</v>
      </c>
      <c r="CT305" s="332">
        <f>CT261</f>
        <v>2038</v>
      </c>
      <c r="CU305" s="332" t="str">
        <f>CU261</f>
        <v>1Q39</v>
      </c>
      <c r="CV305" s="332" t="str">
        <f>CV261</f>
        <v>2Q39</v>
      </c>
      <c r="CW305" s="332" t="str">
        <f>CW261</f>
        <v>3Q39</v>
      </c>
      <c r="CX305" s="332" t="str">
        <f>CX261</f>
        <v>4Q39</v>
      </c>
      <c r="CY305" s="332">
        <f>CY261</f>
        <v>2039</v>
      </c>
    </row>
    <row r="306" ht="12.75" customFormat="1" customHeight="1" s="333">
      <c r="A306" s="334" t="n"/>
      <c r="B306" s="334" t="n"/>
      <c r="C306" s="331" t="inlineStr">
        <is>
          <t>GROWTH &amp; MARGINS</t>
        </is>
      </c>
    </row>
    <row r="307" ht="12.75" customFormat="1" customHeight="1" s="333">
      <c r="A307" s="334" t="n"/>
      <c r="B307" s="334" t="n"/>
      <c r="C307" s="333" t="inlineStr">
        <is>
          <t>NET REVENUE GROWTH</t>
        </is>
      </c>
      <c r="E307" s="335" t="str">
        <f>IFERROR(E15/D15-1,"")</f>
        <v/>
      </c>
      <c r="F307" s="335" t="str">
        <f>IFERROR(F15/E15-1,"")</f>
        <v/>
      </c>
      <c r="G307" s="335" t="str">
        <f>IFERROR(G15/F15-1,"")</f>
        <v/>
      </c>
      <c r="H307" s="335" t="n"/>
      <c r="I307" s="336" t="str">
        <f>IFERROR(I15/H15-1,"")</f>
        <v/>
      </c>
      <c r="J307" s="336" t="str">
        <f>IFERROR(J15/I15-1,"")</f>
        <v/>
      </c>
      <c r="K307" s="336" t="str">
        <f>IFERROR(K15/J15-1,"")</f>
        <v/>
      </c>
      <c r="L307" s="336" t="str">
        <f>IFERROR(L15/K15-1,"")</f>
        <v/>
      </c>
      <c r="M307" s="335" t="n"/>
      <c r="N307" s="336" t="str">
        <f>IFERROR(N15/M15-1,"")</f>
        <v/>
      </c>
      <c r="O307" s="336" t="str">
        <f>IFERROR(O15/N15-1,"")</f>
        <v/>
      </c>
      <c r="P307" s="336" t="str">
        <f>IFERROR(P15/O15-1,"")</f>
        <v/>
      </c>
      <c r="Q307" s="336" t="str">
        <f>IFERROR(Q15/P15-1,"")</f>
        <v/>
      </c>
      <c r="R307" s="335" t="n"/>
      <c r="S307" s="336" t="str">
        <f>IFERROR(S15/R15-1,"")</f>
        <v/>
      </c>
      <c r="T307" s="336" t="str">
        <f>IFERROR(T15/S15-1,"")</f>
        <v/>
      </c>
      <c r="U307" s="336" t="str">
        <f>IFERROR(U15/T15-1,"")</f>
        <v/>
      </c>
      <c r="V307" s="336" t="str">
        <f>IFERROR(V15/U15-1,"")</f>
        <v/>
      </c>
      <c r="W307" s="335" t="n"/>
      <c r="X307" s="336" t="str">
        <f>IFERROR(X15/W15-1,"")</f>
        <v/>
      </c>
      <c r="Y307" s="336">
        <f>IFERROR(Y15/X15-1,"")</f>
        <v>1.09541349557991</v>
      </c>
      <c r="Z307" s="336">
        <f>IFERROR(Z15/Y15-1,"")</f>
        <v>0.476944439526419</v>
      </c>
      <c r="AA307" s="336">
        <f>IFERROR(AA15/Z15-1,"")</f>
        <v>0.27924567721739</v>
      </c>
      <c r="AB307" s="335" t="n"/>
      <c r="AC307" s="336">
        <f>IFERROR(AC15/AB15-1,"")</f>
        <v>-0.487206266318538</v>
      </c>
      <c r="AD307" s="336">
        <f>IFERROR(AD15/AC15-1,"")</f>
        <v>0.234215885947047</v>
      </c>
      <c r="AE307" s="336">
        <f>IFERROR(AE15/AD15-1,"")</f>
        <v>0.125970297029703</v>
      </c>
      <c r="AF307" s="336">
        <f>IFERROR(AF15/AE15-1,"")</f>
        <v>0.151851428470934</v>
      </c>
      <c r="AG307" s="335" t="n"/>
      <c r="AH307" s="336">
        <f>IFERROR(AH15/AG15-1,"")</f>
        <v>-0.594977565889237</v>
      </c>
      <c r="AI307" s="336">
        <f>IFERROR(AI15/AH15-1,"")</f>
        <v>0.239172281039461</v>
      </c>
      <c r="AJ307" s="336">
        <f>IFERROR(AJ15/AI15-1,"")</f>
        <v>-0.470028737864078</v>
      </c>
      <c r="AK307" s="336">
        <f>IFERROR(AK15/AJ15-1,"")</f>
        <v>0.151851428470934</v>
      </c>
      <c r="AL307" s="335" t="n"/>
      <c r="AM307" s="336">
        <f>IFERROR(AM15/AL15-1,"")</f>
        <v>-0.72620355803615</v>
      </c>
      <c r="AN307" s="336">
        <f>IFERROR(AN15/AM15-1,"")</f>
        <v>0.239172281039461</v>
      </c>
      <c r="AO307" s="336">
        <f>IFERROR(AO15/AN15-1,"")</f>
        <v>-0.470028737864078</v>
      </c>
      <c r="AP307" s="336">
        <f>IFERROR(AP15/AO15-1,"")</f>
        <v>0.151851428470934</v>
      </c>
      <c r="AQ307" s="335" t="n"/>
      <c r="AR307" s="336">
        <f>IFERROR(AR15/AQ15-1,"")</f>
        <v>-0.72620355803615</v>
      </c>
      <c r="AS307" s="336">
        <f>IFERROR(AS15/AR15-1,"")</f>
        <v>0.239172281039461</v>
      </c>
      <c r="AT307" s="336">
        <f>IFERROR(AT15/AS15-1,"")</f>
        <v>-0.470028737864078</v>
      </c>
      <c r="AU307" s="336">
        <f>IFERROR(AU15/AT15-1,"")</f>
        <v>0.151851428470934</v>
      </c>
      <c r="AV307" s="335" t="n"/>
      <c r="AW307" s="336">
        <f>IFERROR(AW15/AV15-1,"")</f>
        <v>-0.72620355803615</v>
      </c>
      <c r="AX307" s="336">
        <f>IFERROR(AX15/AW15-1,"")</f>
        <v>0.239172281039461</v>
      </c>
      <c r="AY307" s="336">
        <f>IFERROR(AY15/AX15-1,"")</f>
        <v>-0.470028737864078</v>
      </c>
      <c r="AZ307" s="336">
        <f>IFERROR(AZ15/AY15-1,"")</f>
        <v>0.151851428470934</v>
      </c>
      <c r="BA307" s="335" t="n"/>
      <c r="BB307" s="336">
        <f>IFERROR(BB15/BA15-1,"")</f>
        <v>-0.72620355803615</v>
      </c>
      <c r="BC307" s="336">
        <f>IFERROR(BC15/BB15-1,"")</f>
        <v>0.239172281039461</v>
      </c>
      <c r="BD307" s="336">
        <f>IFERROR(BD15/BC15-1,"")</f>
        <v>-0.470028737864078</v>
      </c>
      <c r="BE307" s="336">
        <f>IFERROR(BE15/BD15-1,"")</f>
        <v>0.151851428470934</v>
      </c>
      <c r="BF307" s="335" t="n"/>
      <c r="BG307" s="336">
        <f>IFERROR(BG15/BF15-1,"")</f>
        <v>-0.72620355803615</v>
      </c>
      <c r="BH307" s="336">
        <f>IFERROR(BH15/BG15-1,"")</f>
        <v>0.239172281039461</v>
      </c>
      <c r="BI307" s="336">
        <f>IFERROR(BI15/BH15-1,"")</f>
        <v>-0.470028737864078</v>
      </c>
      <c r="BJ307" s="336">
        <f>IFERROR(BJ15/BI15-1,"")</f>
        <v>0.151851428470934</v>
      </c>
      <c r="BK307" s="335" t="n"/>
      <c r="BL307" s="336">
        <f>IFERROR(BL15/BK15-1,"")</f>
        <v>-0.72620355803615</v>
      </c>
      <c r="BM307" s="336">
        <f>IFERROR(BM15/BL15-1,"")</f>
        <v>0.239172281039461</v>
      </c>
      <c r="BN307" s="336">
        <f>IFERROR(BN15/BM15-1,"")</f>
        <v>-0.470028737864078</v>
      </c>
      <c r="BO307" s="336">
        <f>IFERROR(BO15/BN15-1,"")</f>
        <v>0.151851428470934</v>
      </c>
      <c r="BP307" s="335" t="n"/>
      <c r="BQ307" s="336">
        <f>IFERROR(BQ15/BP15-1,"")</f>
        <v>-0.72620355803615</v>
      </c>
      <c r="BR307" s="336">
        <f>IFERROR(BR15/BQ15-1,"")</f>
        <v>0.239172281039461</v>
      </c>
      <c r="BS307" s="336">
        <f>IFERROR(BS15/BR15-1,"")</f>
        <v>-0.470028737864078</v>
      </c>
      <c r="BT307" s="336">
        <f>IFERROR(BT15/BS15-1,"")</f>
        <v>0.151851428470934</v>
      </c>
      <c r="BU307" s="335" t="n"/>
      <c r="BV307" s="336">
        <f>IFERROR(BV15/BU15-1,"")</f>
        <v>-0.72620355803615</v>
      </c>
      <c r="BW307" s="336">
        <f>IFERROR(BW15/BV15-1,"")</f>
        <v>0.239172281039461</v>
      </c>
      <c r="BX307" s="336">
        <f>IFERROR(BX15/BW15-1,"")</f>
        <v>-0.470028737864078</v>
      </c>
      <c r="BY307" s="336">
        <f>IFERROR(BY15/BX15-1,"")</f>
        <v>0.151851428470934</v>
      </c>
      <c r="BZ307" s="335" t="n"/>
      <c r="CA307" s="336">
        <f>IFERROR(CA15/BZ15-1,"")</f>
        <v>-0.72620355803615</v>
      </c>
      <c r="CB307" s="336">
        <f>IFERROR(CB15/CA15-1,"")</f>
        <v>0.239172281039461</v>
      </c>
      <c r="CC307" s="336">
        <f>IFERROR(CC15/CB15-1,"")</f>
        <v>-0.470028737864078</v>
      </c>
      <c r="CD307" s="336">
        <f>IFERROR(CD15/CC15-1,"")</f>
        <v>0.151851428470934</v>
      </c>
      <c r="CE307" s="335" t="n"/>
      <c r="CF307" s="336">
        <f>IFERROR(CF15/CE15-1,"")</f>
        <v>-0.72620355803615</v>
      </c>
      <c r="CG307" s="336">
        <f>IFERROR(CG15/CF15-1,"")</f>
        <v>0.239172281039461</v>
      </c>
      <c r="CH307" s="336">
        <f>IFERROR(CH15/CG15-1,"")</f>
        <v>-0.470028737864078</v>
      </c>
      <c r="CI307" s="336">
        <f>IFERROR(CI15/CH15-1,"")</f>
        <v>0.151851428470934</v>
      </c>
      <c r="CJ307" s="335" t="n"/>
      <c r="CK307" s="336">
        <f>IFERROR(CK15/CJ15-1,"")</f>
        <v>-0.72620355803615</v>
      </c>
      <c r="CL307" s="336">
        <f>IFERROR(CL15/CK15-1,"")</f>
        <v>0.239172281039461</v>
      </c>
      <c r="CM307" s="336">
        <f>IFERROR(CM15/CL15-1,"")</f>
        <v>-0.470028737864078</v>
      </c>
      <c r="CN307" s="336">
        <f>IFERROR(CN15/CM15-1,"")</f>
        <v>0.151851428470934</v>
      </c>
      <c r="CO307" s="335" t="n"/>
      <c r="CP307" s="336">
        <f>IFERROR(CP15/CO15-1,"")</f>
        <v>-0.72620355803615</v>
      </c>
      <c r="CQ307" s="336">
        <f>IFERROR(CQ15/CP15-1,"")</f>
        <v>0.239172281039461</v>
      </c>
      <c r="CR307" s="336">
        <f>IFERROR(CR15/CQ15-1,"")</f>
        <v>-0.470028737864078</v>
      </c>
      <c r="CS307" s="336">
        <f>IFERROR(CS15/CR15-1,"")</f>
        <v>0.151851428470934</v>
      </c>
      <c r="CT307" s="335" t="n"/>
      <c r="CU307" s="336">
        <f>IFERROR(CU15/CT15-1,"")</f>
        <v>-0.72620355803615</v>
      </c>
      <c r="CV307" s="336">
        <f>IFERROR(CV15/CU15-1,"")</f>
        <v>0.239172281039461</v>
      </c>
      <c r="CW307" s="336">
        <f>IFERROR(CW15/CV15-1,"")</f>
        <v>-0.470028737864078</v>
      </c>
      <c r="CX307" s="336">
        <f>IFERROR(CX15/CW15-1,"")</f>
        <v>0.151851428470934</v>
      </c>
      <c r="CY307" s="335" t="n"/>
    </row>
    <row r="308" ht="12.75" customFormat="1" customHeight="1" s="333">
      <c r="A308" s="334" t="n"/>
      <c r="B308" s="334" t="n"/>
      <c r="C308" s="333" t="inlineStr">
        <is>
          <t>GROSS MARGIN</t>
        </is>
      </c>
      <c r="D308" s="336" t="str">
        <f>IFERROR(SUM(D15,D40)/D15,"")</f>
        <v/>
      </c>
      <c r="E308" s="336" t="str">
        <f>IFERROR(SUM(E15,E40)/E15,"")</f>
        <v/>
      </c>
      <c r="F308" s="336" t="str">
        <f>IFERROR(SUM(F15,F40)/F15,"")</f>
        <v/>
      </c>
      <c r="G308" s="336" t="str">
        <f>IFERROR(SUM(G15,G40)/G15,"")</f>
        <v/>
      </c>
      <c r="I308" s="337" t="str">
        <f>IFERROR(SUM(I15,I40)/I15,"")</f>
        <v/>
      </c>
      <c r="J308" s="337" t="str">
        <f>IFERROR(SUM(J15,J40)/J15,"")</f>
        <v/>
      </c>
      <c r="K308" s="337" t="str">
        <f>IFERROR(SUM(K15,K40)/K15,"")</f>
        <v/>
      </c>
      <c r="L308" s="337" t="str">
        <f>IFERROR(SUM(L15,L40)/L15,"")</f>
        <v/>
      </c>
      <c r="N308" s="337" t="str">
        <f>IFERROR(SUM(N15,N40)/N15,"")</f>
        <v/>
      </c>
      <c r="O308" s="337" t="str">
        <f>IFERROR(SUM(O15,O40)/O15,"")</f>
        <v/>
      </c>
      <c r="P308" s="337" t="str">
        <f>IFERROR(SUM(P15,P40)/P15,"")</f>
        <v/>
      </c>
      <c r="Q308" s="337" t="str">
        <f>IFERROR(SUM(Q15,Q40)/Q15,"")</f>
        <v/>
      </c>
      <c r="S308" s="337" t="str">
        <f>IFERROR(SUM(S15,S40)/S15,"")</f>
        <v/>
      </c>
      <c r="T308" s="337" t="str">
        <f>IFERROR(SUM(T15,T40)/T15,"")</f>
        <v/>
      </c>
      <c r="U308" s="337" t="str">
        <f>IFERROR(SUM(U15,U40)/U15,"")</f>
        <v/>
      </c>
      <c r="V308" s="337" t="str">
        <f>IFERROR(SUM(V15,V40)/V15,"")</f>
        <v/>
      </c>
      <c r="X308" s="337">
        <f>IFERROR(SUM(X15,X40)/X15,"")</f>
        <v>0.686141909223888</v>
      </c>
      <c r="Y308" s="337">
        <f>IFERROR(SUM(Y15,Y40)/Y15,"")</f>
        <v>0.724719314264324</v>
      </c>
      <c r="Z308" s="337">
        <f>IFERROR(SUM(Z15,Z40)/Z15,"")</f>
        <v>0.754882770690875</v>
      </c>
      <c r="AA308" s="337">
        <f>IFERROR(SUM(AA15,AA40)/AA15,"")</f>
        <v>0.756617099774566</v>
      </c>
      <c r="AC308" s="337">
        <f>IFERROR(SUM(AC15,AC40)/AC15,"")</f>
        <v>0.733197556008147</v>
      </c>
      <c r="AD308" s="337">
        <f>IFERROR(SUM(AD15,AD40)/AD15,"")</f>
        <v>0.741749174917492</v>
      </c>
      <c r="AE308" s="337">
        <f>IFERROR(SUM(AE15,AE40)/AE15,"")</f>
        <v>0.72973511661376</v>
      </c>
      <c r="AF308" s="337">
        <f>IFERROR(SUM(AF15,AF40)/AF15,"")</f>
        <v>0.676115716990351</v>
      </c>
      <c r="AH308" s="337">
        <f>IFERROR(SUM(AH15,AH40)/AH15,"")</f>
        <v>0.65543792107796</v>
      </c>
      <c r="AI308" s="337">
        <f>IFERROR(SUM(AI15,AI40)/AI15,"")</f>
        <v>0.658640776699029</v>
      </c>
      <c r="AJ308" s="337">
        <f>IFERROR(SUM(AJ15,AJ40)/AJ15,"")</f>
        <v>0</v>
      </c>
      <c r="AK308" s="337">
        <f>IFERROR(SUM(AK15,AK40)/AK15,"")</f>
        <v>0</v>
      </c>
      <c r="AM308" s="337">
        <f>IFERROR(SUM(AM15,AM40)/AM15,"")</f>
        <v>0</v>
      </c>
      <c r="AN308" s="337">
        <f>IFERROR(SUM(AN15,AN40)/AN15,"")</f>
        <v>0</v>
      </c>
      <c r="AO308" s="337">
        <f>IFERROR(SUM(AO15,AO40)/AO15,"")</f>
        <v>0</v>
      </c>
      <c r="AP308" s="337">
        <f>IFERROR(SUM(AP15,AP40)/AP15,"")</f>
        <v>0</v>
      </c>
      <c r="AR308" s="337">
        <f>IFERROR(SUM(AR15,AR40)/AR15,"")</f>
        <v>0</v>
      </c>
      <c r="AS308" s="337">
        <f>IFERROR(SUM(AS15,AS40)/AS15,"")</f>
        <v>0</v>
      </c>
      <c r="AT308" s="337">
        <f>IFERROR(SUM(AT15,AT40)/AT15,"")</f>
        <v>0</v>
      </c>
      <c r="AU308" s="337">
        <f>IFERROR(SUM(AU15,AU40)/AU15,"")</f>
        <v>0</v>
      </c>
      <c r="AW308" s="337">
        <f>IFERROR(SUM(AW15,AW40)/AW15,"")</f>
        <v>0</v>
      </c>
      <c r="AX308" s="337">
        <f>IFERROR(SUM(AX15,AX40)/AX15,"")</f>
        <v>0</v>
      </c>
      <c r="AY308" s="337">
        <f>IFERROR(SUM(AY15,AY40)/AY15,"")</f>
        <v>0</v>
      </c>
      <c r="AZ308" s="337">
        <f>IFERROR(SUM(AZ15,AZ40)/AZ15,"")</f>
        <v>0</v>
      </c>
      <c r="BB308" s="337">
        <f>IFERROR(SUM(BB15,BB40)/BB15,"")</f>
        <v>0</v>
      </c>
      <c r="BC308" s="337">
        <f>IFERROR(SUM(BC15,BC40)/BC15,"")</f>
        <v>0</v>
      </c>
      <c r="BD308" s="337">
        <f>IFERROR(SUM(BD15,BD40)/BD15,"")</f>
        <v>0</v>
      </c>
      <c r="BE308" s="337">
        <f>IFERROR(SUM(BE15,BE40)/BE15,"")</f>
        <v>0</v>
      </c>
      <c r="BG308" s="337">
        <f>IFERROR(SUM(BG15,BG40)/BG15,"")</f>
        <v>0</v>
      </c>
      <c r="BH308" s="337">
        <f>IFERROR(SUM(BH15,BH40)/BH15,"")</f>
        <v>0</v>
      </c>
      <c r="BI308" s="337">
        <f>IFERROR(SUM(BI15,BI40)/BI15,"")</f>
        <v>0</v>
      </c>
      <c r="BJ308" s="337">
        <f>IFERROR(SUM(BJ15,BJ40)/BJ15,"")</f>
        <v>0</v>
      </c>
      <c r="BL308" s="337">
        <f>IFERROR(SUM(BL15,BL40)/BL15,"")</f>
        <v>0</v>
      </c>
      <c r="BM308" s="337">
        <f>IFERROR(SUM(BM15,BM40)/BM15,"")</f>
        <v>0</v>
      </c>
      <c r="BN308" s="337">
        <f>IFERROR(SUM(BN15,BN40)/BN15,"")</f>
        <v>0</v>
      </c>
      <c r="BO308" s="337">
        <f>IFERROR(SUM(BO15,BO40)/BO15,"")</f>
        <v>0</v>
      </c>
      <c r="BQ308" s="337">
        <f>IFERROR(SUM(BQ15,BQ40)/BQ15,"")</f>
        <v>0</v>
      </c>
      <c r="BR308" s="337">
        <f>IFERROR(SUM(BR15,BR40)/BR15,"")</f>
        <v>0</v>
      </c>
      <c r="BS308" s="337">
        <f>IFERROR(SUM(BS15,BS40)/BS15,"")</f>
        <v>0</v>
      </c>
      <c r="BT308" s="337">
        <f>IFERROR(SUM(BT15,BT40)/BT15,"")</f>
        <v>0</v>
      </c>
      <c r="BV308" s="337">
        <f>IFERROR(SUM(BV15,BV40)/BV15,"")</f>
        <v>0</v>
      </c>
      <c r="BW308" s="337">
        <f>IFERROR(SUM(BW15,BW40)/BW15,"")</f>
        <v>0</v>
      </c>
      <c r="BX308" s="337">
        <f>IFERROR(SUM(BX15,BX40)/BX15,"")</f>
        <v>0</v>
      </c>
      <c r="BY308" s="337">
        <f>IFERROR(SUM(BY15,BY40)/BY15,"")</f>
        <v>0</v>
      </c>
      <c r="CA308" s="337">
        <f>IFERROR(SUM(CA15,CA40)/CA15,"")</f>
        <v>0</v>
      </c>
      <c r="CB308" s="337">
        <f>IFERROR(SUM(CB15,CB40)/CB15,"")</f>
        <v>0</v>
      </c>
      <c r="CC308" s="337">
        <f>IFERROR(SUM(CC15,CC40)/CC15,"")</f>
        <v>0</v>
      </c>
      <c r="CD308" s="337">
        <f>IFERROR(SUM(CD15,CD40)/CD15,"")</f>
        <v>0</v>
      </c>
      <c r="CF308" s="337">
        <f>IFERROR(SUM(CF15,CF40)/CF15,"")</f>
        <v>0</v>
      </c>
      <c r="CG308" s="337">
        <f>IFERROR(SUM(CG15,CG40)/CG15,"")</f>
        <v>0</v>
      </c>
      <c r="CH308" s="337">
        <f>IFERROR(SUM(CH15,CH40)/CH15,"")</f>
        <v>0</v>
      </c>
      <c r="CI308" s="337">
        <f>IFERROR(SUM(CI15,CI40)/CI15,"")</f>
        <v>0</v>
      </c>
      <c r="CK308" s="337">
        <f>IFERROR(SUM(CK15,CK40)/CK15,"")</f>
        <v>0</v>
      </c>
      <c r="CL308" s="337">
        <f>IFERROR(SUM(CL15,CL40)/CL15,"")</f>
        <v>0</v>
      </c>
      <c r="CM308" s="337">
        <f>IFERROR(SUM(CM15,CM40)/CM15,"")</f>
        <v>0</v>
      </c>
      <c r="CN308" s="337">
        <f>IFERROR(SUM(CN15,CN40)/CN15,"")</f>
        <v>0</v>
      </c>
      <c r="CP308" s="337">
        <f>IFERROR(SUM(CP15,CP40)/CP15,"")</f>
        <v>0</v>
      </c>
      <c r="CQ308" s="337">
        <f>IFERROR(SUM(CQ15,CQ40)/CQ15,"")</f>
        <v>0</v>
      </c>
      <c r="CR308" s="337">
        <f>IFERROR(SUM(CR15,CR40)/CR15,"")</f>
        <v>0</v>
      </c>
      <c r="CS308" s="337">
        <f>IFERROR(SUM(CS15,CS40)/CS15,"")</f>
        <v>0</v>
      </c>
      <c r="CU308" s="337">
        <f>IFERROR(SUM(CU15,CU40)/CU15,"")</f>
        <v>0</v>
      </c>
      <c r="CV308" s="337">
        <f>IFERROR(SUM(CV15,CV40)/CV15,"")</f>
        <v>0</v>
      </c>
      <c r="CW308" s="337">
        <f>IFERROR(SUM(CW15,CW40)/CW15,"")</f>
        <v>0</v>
      </c>
      <c r="CX308" s="337">
        <f>IFERROR(SUM(CX15,CX40)/CX15,"")</f>
        <v>0</v>
      </c>
    </row>
    <row r="309" ht="12.75" customFormat="1" customHeight="1" s="333">
      <c r="A309" s="334" t="n"/>
      <c r="B309" s="334" t="n"/>
      <c r="C309" s="333" t="inlineStr">
        <is>
          <t>EBIT MARGIN</t>
        </is>
      </c>
      <c r="D309" s="335" t="str">
        <f>IFERROR((D59/D15),"")</f>
        <v/>
      </c>
      <c r="E309" s="335" t="str">
        <f>IFERROR((E59/E15),"")</f>
        <v/>
      </c>
      <c r="F309" s="335" t="str">
        <f>IFERROR((F59/F15),"")</f>
        <v/>
      </c>
      <c r="G309" s="335" t="str">
        <f>IFERROR((G59/G15),"")</f>
        <v/>
      </c>
      <c r="I309" s="338" t="str">
        <f>IFERROR((I59/I15),"")</f>
        <v/>
      </c>
      <c r="J309" s="338" t="str">
        <f>IFERROR((J59/J15),"")</f>
        <v/>
      </c>
      <c r="K309" s="338" t="str">
        <f>IFERROR((K59/K15),"")</f>
        <v/>
      </c>
      <c r="L309" s="338" t="str">
        <f>IFERROR((L59/L15),"")</f>
        <v/>
      </c>
      <c r="N309" s="338" t="str">
        <f>IFERROR((N59/N15),"")</f>
        <v/>
      </c>
      <c r="O309" s="338" t="str">
        <f>IFERROR((O59/O15),"")</f>
        <v/>
      </c>
      <c r="P309" s="338" t="str">
        <f>IFERROR((P59/P15),"")</f>
        <v/>
      </c>
      <c r="Q309" s="338" t="str">
        <f>IFERROR((Q59/Q15),"")</f>
        <v/>
      </c>
      <c r="S309" s="338" t="str">
        <f>IFERROR((S59/S15),"")</f>
        <v/>
      </c>
      <c r="T309" s="338" t="str">
        <f>IFERROR((T59/T15),"")</f>
        <v/>
      </c>
      <c r="U309" s="338" t="str">
        <f>IFERROR((U59/U15),"")</f>
        <v/>
      </c>
      <c r="V309" s="338" t="str">
        <f>IFERROR((V59/V15),"")</f>
        <v/>
      </c>
      <c r="X309" s="338">
        <f>IFERROR((X59/X15),"")</f>
        <v>0.0892868499713808</v>
      </c>
      <c r="Y309" s="338">
        <f>IFERROR((Y59/Y15),"")</f>
        <v>0.196577391867385</v>
      </c>
      <c r="Z309" s="338">
        <f>IFERROR((Z59/Z15),"")</f>
        <v>0.200561358082409</v>
      </c>
      <c r="AA309" s="338">
        <f>IFERROR((AA59/AA15),"")</f>
        <v>0.15035528591547</v>
      </c>
      <c r="AC309" s="338">
        <f>IFERROR((AC59/AC15),"")</f>
        <v>-0.0274949083503055</v>
      </c>
      <c r="AD309" s="338">
        <f>IFERROR((AD59/AD15),"")</f>
        <v>0.0156765676567657</v>
      </c>
      <c r="AE309" s="338">
        <f>IFERROR((AE59/AE15),"")</f>
        <v>0.0379943664283684</v>
      </c>
      <c r="AF309" s="338">
        <f>IFERROR((AF59/AF15),"")</f>
        <v>-0.0569939385611334</v>
      </c>
      <c r="AH309" s="338">
        <f>IFERROR((AH59/AH15),"")</f>
        <v>-0.0692974013474495</v>
      </c>
      <c r="AI309" s="338">
        <f>IFERROR((AI59/AI15),"")</f>
        <v>-0.0190291262135922</v>
      </c>
      <c r="AJ309" s="338">
        <f>IFERROR((AJ59/AJ15),"")</f>
        <v>0</v>
      </c>
      <c r="AK309" s="338">
        <f>IFERROR((AK59/AK15),"")</f>
        <v>0</v>
      </c>
      <c r="AM309" s="338">
        <f>IFERROR((AM59/AM15),"")</f>
        <v>0</v>
      </c>
      <c r="AN309" s="338">
        <f>IFERROR((AN59/AN15),"")</f>
        <v>0</v>
      </c>
      <c r="AO309" s="338">
        <f>IFERROR((AO59/AO15),"")</f>
        <v>0</v>
      </c>
      <c r="AP309" s="338">
        <f>IFERROR((AP59/AP15),"")</f>
        <v>0</v>
      </c>
      <c r="AR309" s="338">
        <f>IFERROR((AR59/AR15),"")</f>
        <v>0</v>
      </c>
      <c r="AS309" s="338">
        <f>IFERROR((AS59/AS15),"")</f>
        <v>0</v>
      </c>
      <c r="AT309" s="338">
        <f>IFERROR((AT59/AT15),"")</f>
        <v>0</v>
      </c>
      <c r="AU309" s="338">
        <f>IFERROR((AU59/AU15),"")</f>
        <v>0</v>
      </c>
      <c r="AW309" s="338">
        <f>IFERROR((AW59/AW15),"")</f>
        <v>0</v>
      </c>
      <c r="AX309" s="338">
        <f>IFERROR((AX59/AX15),"")</f>
        <v>0</v>
      </c>
      <c r="AY309" s="338">
        <f>IFERROR((AY59/AY15),"")</f>
        <v>0</v>
      </c>
      <c r="AZ309" s="338">
        <f>IFERROR((AZ59/AZ15),"")</f>
        <v>0</v>
      </c>
      <c r="BB309" s="338">
        <f>IFERROR((BB59/BB15),"")</f>
        <v>0</v>
      </c>
      <c r="BC309" s="338">
        <f>IFERROR((BC59/BC15),"")</f>
        <v>0</v>
      </c>
      <c r="BD309" s="338">
        <f>IFERROR((BD59/BD15),"")</f>
        <v>0</v>
      </c>
      <c r="BE309" s="338">
        <f>IFERROR((BE59/BE15),"")</f>
        <v>0</v>
      </c>
      <c r="BG309" s="338">
        <f>IFERROR((BG59/BG15),"")</f>
        <v>0</v>
      </c>
      <c r="BH309" s="338">
        <f>IFERROR((BH59/BH15),"")</f>
        <v>0</v>
      </c>
      <c r="BI309" s="338">
        <f>IFERROR((BI59/BI15),"")</f>
        <v>0</v>
      </c>
      <c r="BJ309" s="338">
        <f>IFERROR((BJ59/BJ15),"")</f>
        <v>0</v>
      </c>
      <c r="BL309" s="338">
        <f>IFERROR((BL59/BL15),"")</f>
        <v>0</v>
      </c>
      <c r="BM309" s="338">
        <f>IFERROR((BM59/BM15),"")</f>
        <v>0</v>
      </c>
      <c r="BN309" s="338">
        <f>IFERROR((BN59/BN15),"")</f>
        <v>0</v>
      </c>
      <c r="BO309" s="338">
        <f>IFERROR((BO59/BO15),"")</f>
        <v>0</v>
      </c>
      <c r="BQ309" s="338">
        <f>IFERROR((BQ59/BQ15),"")</f>
        <v>0</v>
      </c>
      <c r="BR309" s="338">
        <f>IFERROR((BR59/BR15),"")</f>
        <v>0</v>
      </c>
      <c r="BS309" s="338">
        <f>IFERROR((BS59/BS15),"")</f>
        <v>0</v>
      </c>
      <c r="BT309" s="338">
        <f>IFERROR((BT59/BT15),"")</f>
        <v>0</v>
      </c>
      <c r="BV309" s="338">
        <f>IFERROR((BV59/BV15),"")</f>
        <v>0</v>
      </c>
      <c r="BW309" s="338">
        <f>IFERROR((BW59/BW15),"")</f>
        <v>0</v>
      </c>
      <c r="BX309" s="338">
        <f>IFERROR((BX59/BX15),"")</f>
        <v>0</v>
      </c>
      <c r="BY309" s="338">
        <f>IFERROR((BY59/BY15),"")</f>
        <v>0</v>
      </c>
      <c r="CA309" s="338">
        <f>IFERROR((CA59/CA15),"")</f>
        <v>0</v>
      </c>
      <c r="CB309" s="338">
        <f>IFERROR((CB59/CB15),"")</f>
        <v>0</v>
      </c>
      <c r="CC309" s="338">
        <f>IFERROR((CC59/CC15),"")</f>
        <v>0</v>
      </c>
      <c r="CD309" s="338">
        <f>IFERROR((CD59/CD15),"")</f>
        <v>0</v>
      </c>
      <c r="CF309" s="338">
        <f>IFERROR((CF59/CF15),"")</f>
        <v>0</v>
      </c>
      <c r="CG309" s="338">
        <f>IFERROR((CG59/CG15),"")</f>
        <v>0</v>
      </c>
      <c r="CH309" s="338">
        <f>IFERROR((CH59/CH15),"")</f>
        <v>0</v>
      </c>
      <c r="CI309" s="338">
        <f>IFERROR((CI59/CI15),"")</f>
        <v>0</v>
      </c>
      <c r="CK309" s="338">
        <f>IFERROR((CK59/CK15),"")</f>
        <v>0</v>
      </c>
      <c r="CL309" s="338">
        <f>IFERROR((CL59/CL15),"")</f>
        <v>0</v>
      </c>
      <c r="CM309" s="338">
        <f>IFERROR((CM59/CM15),"")</f>
        <v>0</v>
      </c>
      <c r="CN309" s="338">
        <f>IFERROR((CN59/CN15),"")</f>
        <v>0</v>
      </c>
      <c r="CP309" s="338">
        <f>IFERROR((CP59/CP15),"")</f>
        <v>0</v>
      </c>
      <c r="CQ309" s="338">
        <f>IFERROR((CQ59/CQ15),"")</f>
        <v>0</v>
      </c>
      <c r="CR309" s="338">
        <f>IFERROR((CR59/CR15),"")</f>
        <v>0</v>
      </c>
      <c r="CS309" s="338">
        <f>IFERROR((CS59/CS15),"")</f>
        <v>0</v>
      </c>
      <c r="CU309" s="338">
        <f>IFERROR((CU59/CU15),"")</f>
        <v>0</v>
      </c>
      <c r="CV309" s="338">
        <f>IFERROR((CV59/CV15),"")</f>
        <v>0</v>
      </c>
      <c r="CW309" s="338">
        <f>IFERROR((CW59/CW15),"")</f>
        <v>0</v>
      </c>
      <c r="CX309" s="338">
        <f>IFERROR((CX59/CX15),"")</f>
        <v>0</v>
      </c>
    </row>
    <row r="310" ht="12.75" customFormat="1" customHeight="1" s="333">
      <c r="A310" s="334" t="n"/>
      <c r="B310" s="334" t="n"/>
      <c r="C310" s="333" t="inlineStr">
        <is>
          <t>EBITDA MARTGIN</t>
        </is>
      </c>
      <c r="D310" s="335" t="str">
        <f>IFERROR(D55/D15,"")</f>
        <v/>
      </c>
      <c r="E310" s="335" t="str">
        <f>IFERROR(E55/E15,"")</f>
        <v/>
      </c>
      <c r="F310" s="335" t="str">
        <f>IFERROR(F55/F15,"")</f>
        <v/>
      </c>
      <c r="G310" s="335" t="str">
        <f>IFERROR(G55/G15,"")</f>
        <v/>
      </c>
      <c r="I310" s="338" t="str">
        <f>IFERROR(I55/I15,"")</f>
        <v/>
      </c>
      <c r="J310" s="338" t="str">
        <f>IFERROR(J55/J15,"")</f>
        <v/>
      </c>
      <c r="K310" s="338" t="str">
        <f>IFERROR(K55/K15,"")</f>
        <v/>
      </c>
      <c r="L310" s="338" t="str">
        <f>IFERROR(L55/L15,"")</f>
        <v/>
      </c>
      <c r="N310" s="338" t="str">
        <f>IFERROR(N55/N15,"")</f>
        <v/>
      </c>
      <c r="O310" s="338" t="str">
        <f>IFERROR(O55/O15,"")</f>
        <v/>
      </c>
      <c r="P310" s="338" t="str">
        <f>IFERROR(P55/P15,"")</f>
        <v/>
      </c>
      <c r="Q310" s="338" t="str">
        <f>IFERROR(Q55/Q15,"")</f>
        <v/>
      </c>
      <c r="S310" s="338" t="str">
        <f>IFERROR(S55/S15,"")</f>
        <v/>
      </c>
      <c r="T310" s="338" t="str">
        <f>IFERROR(T55/T15,"")</f>
        <v/>
      </c>
      <c r="U310" s="338" t="str">
        <f>IFERROR(U55/U15,"")</f>
        <v/>
      </c>
      <c r="V310" s="338" t="str">
        <f>IFERROR(V55/V15,"")</f>
        <v/>
      </c>
      <c r="X310" s="338">
        <f>IFERROR(X55/X15,"")</f>
        <v>0.510679230883382</v>
      </c>
      <c r="Y310" s="338">
        <f>IFERROR(Y55/Y15,"")</f>
        <v>0.612541132252998</v>
      </c>
      <c r="Z310" s="338">
        <f>IFERROR(Z55/Z15,"")</f>
        <v>0.635577909412081</v>
      </c>
      <c r="AA310" s="338">
        <f>IFERROR(AA55/AA15,"")</f>
        <v>0.638981852841484</v>
      </c>
      <c r="AC310" s="338">
        <f>IFERROR(AC55/AC15,"")</f>
        <v>0.424131364562118</v>
      </c>
      <c r="AD310" s="338">
        <f>IFERROR(AD55/AD15,"")</f>
        <v>0.477294554455446</v>
      </c>
      <c r="AE310" s="338">
        <f>IFERROR(AE55/AE15,"")</f>
        <v>0.499993405028007</v>
      </c>
      <c r="AF310" s="338">
        <f>IFERROR(AF55/AF15,"")</f>
        <v>0.465011858230528</v>
      </c>
      <c r="AH310" s="338">
        <f>IFERROR(AH55/AH15,"")</f>
        <v>0.482675649663138</v>
      </c>
      <c r="AI310" s="338">
        <f>IFERROR(AI55/AI15,"")</f>
        <v>0.521941747572816</v>
      </c>
      <c r="AJ310" s="338">
        <f>IFERROR(AJ55/AJ15,"")</f>
        <v>0</v>
      </c>
      <c r="AK310" s="338">
        <f>IFERROR(AK55/AK15,"")</f>
        <v>0</v>
      </c>
      <c r="AM310" s="338">
        <f>IFERROR(AM55/AM15,"")</f>
        <v>0</v>
      </c>
      <c r="AN310" s="338">
        <f>IFERROR(AN55/AN15,"")</f>
        <v>0</v>
      </c>
      <c r="AO310" s="338">
        <f>IFERROR(AO55/AO15,"")</f>
        <v>0</v>
      </c>
      <c r="AP310" s="338">
        <f>IFERROR(AP55/AP15,"")</f>
        <v>0</v>
      </c>
      <c r="AR310" s="338">
        <f>IFERROR(AR55/AR15,"")</f>
        <v>0</v>
      </c>
      <c r="AS310" s="338">
        <f>IFERROR(AS55/AS15,"")</f>
        <v>0</v>
      </c>
      <c r="AT310" s="338">
        <f>IFERROR(AT55/AT15,"")</f>
        <v>0</v>
      </c>
      <c r="AU310" s="338">
        <f>IFERROR(AU55/AU15,"")</f>
        <v>0</v>
      </c>
      <c r="AW310" s="338">
        <f>IFERROR(AW55/AW15,"")</f>
        <v>0</v>
      </c>
      <c r="AX310" s="338">
        <f>IFERROR(AX55/AX15,"")</f>
        <v>0</v>
      </c>
      <c r="AY310" s="338">
        <f>IFERROR(AY55/AY15,"")</f>
        <v>0</v>
      </c>
      <c r="AZ310" s="338">
        <f>IFERROR(AZ55/AZ15,"")</f>
        <v>0</v>
      </c>
      <c r="BB310" s="338">
        <f>IFERROR(BB55/BB15,"")</f>
        <v>0</v>
      </c>
      <c r="BC310" s="338">
        <f>IFERROR(BC55/BC15,"")</f>
        <v>0</v>
      </c>
      <c r="BD310" s="338">
        <f>IFERROR(BD55/BD15,"")</f>
        <v>0</v>
      </c>
      <c r="BE310" s="338">
        <f>IFERROR(BE55/BE15,"")</f>
        <v>0</v>
      </c>
      <c r="BG310" s="338">
        <f>IFERROR(BG55/BG15,"")</f>
        <v>0</v>
      </c>
      <c r="BH310" s="338">
        <f>IFERROR(BH55/BH15,"")</f>
        <v>0</v>
      </c>
      <c r="BI310" s="338">
        <f>IFERROR(BI55/BI15,"")</f>
        <v>0</v>
      </c>
      <c r="BJ310" s="338">
        <f>IFERROR(BJ55/BJ15,"")</f>
        <v>0</v>
      </c>
      <c r="BL310" s="338">
        <f>IFERROR(BL55/BL15,"")</f>
        <v>0</v>
      </c>
      <c r="BM310" s="338">
        <f>IFERROR(BM55/BM15,"")</f>
        <v>0</v>
      </c>
      <c r="BN310" s="338">
        <f>IFERROR(BN55/BN15,"")</f>
        <v>0</v>
      </c>
      <c r="BO310" s="338">
        <f>IFERROR(BO55/BO15,"")</f>
        <v>0</v>
      </c>
      <c r="BQ310" s="338">
        <f>IFERROR(BQ55/BQ15,"")</f>
        <v>0</v>
      </c>
      <c r="BR310" s="338">
        <f>IFERROR(BR55/BR15,"")</f>
        <v>0</v>
      </c>
      <c r="BS310" s="338">
        <f>IFERROR(BS55/BS15,"")</f>
        <v>0</v>
      </c>
      <c r="BT310" s="338">
        <f>IFERROR(BT55/BT15,"")</f>
        <v>0</v>
      </c>
      <c r="BV310" s="338">
        <f>IFERROR(BV55/BV15,"")</f>
        <v>0</v>
      </c>
      <c r="BW310" s="338">
        <f>IFERROR(BW55/BW15,"")</f>
        <v>0</v>
      </c>
      <c r="BX310" s="338">
        <f>IFERROR(BX55/BX15,"")</f>
        <v>0</v>
      </c>
      <c r="BY310" s="338">
        <f>IFERROR(BY55/BY15,"")</f>
        <v>0</v>
      </c>
      <c r="CA310" s="338">
        <f>IFERROR(CA55/CA15,"")</f>
        <v>0</v>
      </c>
      <c r="CB310" s="338">
        <f>IFERROR(CB55/CB15,"")</f>
        <v>0</v>
      </c>
      <c r="CC310" s="338">
        <f>IFERROR(CC55/CC15,"")</f>
        <v>0</v>
      </c>
      <c r="CD310" s="338">
        <f>IFERROR(CD55/CD15,"")</f>
        <v>0</v>
      </c>
      <c r="CF310" s="338">
        <f>IFERROR(CF55/CF15,"")</f>
        <v>0</v>
      </c>
      <c r="CG310" s="338">
        <f>IFERROR(CG55/CG15,"")</f>
        <v>0</v>
      </c>
      <c r="CH310" s="338">
        <f>IFERROR(CH55/CH15,"")</f>
        <v>0</v>
      </c>
      <c r="CI310" s="338">
        <f>IFERROR(CI55/CI15,"")</f>
        <v>0</v>
      </c>
      <c r="CK310" s="338">
        <f>IFERROR(CK55/CK15,"")</f>
        <v>0</v>
      </c>
      <c r="CL310" s="338">
        <f>IFERROR(CL55/CL15,"")</f>
        <v>0</v>
      </c>
      <c r="CM310" s="338">
        <f>IFERROR(CM55/CM15,"")</f>
        <v>0</v>
      </c>
      <c r="CN310" s="338">
        <f>IFERROR(CN55/CN15,"")</f>
        <v>0</v>
      </c>
      <c r="CP310" s="338">
        <f>IFERROR(CP55/CP15,"")</f>
        <v>0</v>
      </c>
      <c r="CQ310" s="338">
        <f>IFERROR(CQ55/CQ15,"")</f>
        <v>0</v>
      </c>
      <c r="CR310" s="338">
        <f>IFERROR(CR55/CR15,"")</f>
        <v>0</v>
      </c>
      <c r="CS310" s="338">
        <f>IFERROR(CS55/CS15,"")</f>
        <v>0</v>
      </c>
      <c r="CU310" s="338">
        <f>IFERROR(CU55/CU15,"")</f>
        <v>0</v>
      </c>
      <c r="CV310" s="338">
        <f>IFERROR(CV55/CV15,"")</f>
        <v>0</v>
      </c>
      <c r="CW310" s="338">
        <f>IFERROR(CW55/CW15,"")</f>
        <v>0</v>
      </c>
      <c r="CX310" s="338">
        <f>IFERROR(CX55/CX15,"")</f>
        <v>0</v>
      </c>
    </row>
    <row r="311" ht="12.75" customFormat="1" customHeight="1" s="333">
      <c r="A311" s="334" t="n"/>
      <c r="B311" s="334" t="n"/>
      <c r="C311" s="333" t="inlineStr">
        <is>
          <t>ETR</t>
        </is>
      </c>
      <c r="D311" s="335" t="str">
        <f>IFERROR(-D117/D116,"")</f>
        <v/>
      </c>
      <c r="E311" s="335" t="str">
        <f>IFERROR(-E117/E116,"")</f>
        <v/>
      </c>
      <c r="F311" s="335" t="str">
        <f>IFERROR(-F117/F116,"")</f>
        <v/>
      </c>
      <c r="G311" s="335" t="str">
        <f>IFERROR(-G117/G116,"")</f>
        <v/>
      </c>
      <c r="I311" s="338" t="str">
        <f>IFERROR(-I117/I116,"")</f>
        <v/>
      </c>
      <c r="J311" s="338" t="str">
        <f>IFERROR(-J117/J116,"")</f>
        <v/>
      </c>
      <c r="K311" s="338" t="str">
        <f>IFERROR(-K117/K116,"")</f>
        <v/>
      </c>
      <c r="L311" s="338" t="str">
        <f>IFERROR(-L117/L116,"")</f>
        <v/>
      </c>
      <c r="N311" s="338" t="str">
        <f>IFERROR(-N117/N116,"")</f>
        <v/>
      </c>
      <c r="O311" s="338" t="str">
        <f>IFERROR(-O117/O116,"")</f>
        <v/>
      </c>
      <c r="P311" s="338" t="str">
        <f>IFERROR(-P117/P116,"")</f>
        <v/>
      </c>
      <c r="Q311" s="338" t="str">
        <f>IFERROR(-Q117/Q116,"")</f>
        <v/>
      </c>
      <c r="S311" s="338" t="str">
        <f>IFERROR(-S117/S116,"")</f>
        <v/>
      </c>
      <c r="T311" s="338" t="str">
        <f>IFERROR(-T117/T116,"")</f>
        <v/>
      </c>
      <c r="U311" s="338" t="str">
        <f>IFERROR(-U117/U116,"")</f>
        <v/>
      </c>
      <c r="V311" s="338" t="str">
        <f>IFERROR(-V117/V116,"")</f>
        <v/>
      </c>
      <c r="X311" s="338">
        <f>IFERROR(-X117/X116,"")</f>
        <v>-0.135258105033861</v>
      </c>
      <c r="Y311" s="338">
        <f>IFERROR(-Y117/Y116,"")</f>
        <v>-0.141941527910348</v>
      </c>
      <c r="Z311" s="338">
        <f>IFERROR(-Z117/Z116,"")</f>
        <v>-0.130942202999862</v>
      </c>
      <c r="AA311" s="338">
        <f>IFERROR(-AA117/AA116,"")</f>
        <v>-0.747983386537605</v>
      </c>
      <c r="AC311" s="338">
        <f>IFERROR(-AC117/AC116,"")</f>
        <v>-0.171003717472119</v>
      </c>
      <c r="AD311" s="338">
        <f>IFERROR(-AD117/AD116,"")</f>
        <v>-0.198347107438017</v>
      </c>
      <c r="AE311" s="338">
        <f>IFERROR(-AE117/AE116,"")</f>
        <v>0.534957179777369</v>
      </c>
      <c r="AF311" s="338">
        <f>IFERROR(-AF117/AF116,"")</f>
        <v>0.0324103526347468</v>
      </c>
      <c r="AH311" s="338">
        <f>IFERROR(-AH117/AH116,"")</f>
        <v>-0.128048780487805</v>
      </c>
      <c r="AI311" s="338">
        <f>IFERROR(-AI117/AI116,"")</f>
        <v>-0.109929078014184</v>
      </c>
      <c r="AJ311" s="338">
        <f>IFERROR(-AJ117/AJ116,"")</f>
        <v>0</v>
      </c>
      <c r="AK311" s="338">
        <f>IFERROR(-AK117/AK116,"")</f>
        <v>0</v>
      </c>
      <c r="AM311" s="338">
        <f>IFERROR(-AM117/AM116,"")</f>
        <v>0</v>
      </c>
      <c r="AN311" s="338">
        <f>IFERROR(-AN117/AN116,"")</f>
        <v>0</v>
      </c>
      <c r="AO311" s="338">
        <f>IFERROR(-AO117/AO116,"")</f>
        <v>0</v>
      </c>
      <c r="AP311" s="338">
        <f>IFERROR(-AP117/AP116,"")</f>
        <v>0</v>
      </c>
      <c r="AR311" s="338">
        <f>IFERROR(-AR117/AR116,"")</f>
        <v>0</v>
      </c>
      <c r="AS311" s="338">
        <f>IFERROR(-AS117/AS116,"")</f>
        <v>0</v>
      </c>
      <c r="AT311" s="338">
        <f>IFERROR(-AT117/AT116,"")</f>
        <v>0</v>
      </c>
      <c r="AU311" s="338">
        <f>IFERROR(-AU117/AU116,"")</f>
        <v>0</v>
      </c>
      <c r="AW311" s="338">
        <f>IFERROR(-AW117/AW116,"")</f>
        <v>0</v>
      </c>
      <c r="AX311" s="338">
        <f>IFERROR(-AX117/AX116,"")</f>
        <v>0</v>
      </c>
      <c r="AY311" s="338">
        <f>IFERROR(-AY117/AY116,"")</f>
        <v>0</v>
      </c>
      <c r="AZ311" s="338">
        <f>IFERROR(-AZ117/AZ116,"")</f>
        <v>0</v>
      </c>
      <c r="BB311" s="338">
        <f>IFERROR(-BB117/BB116,"")</f>
        <v>0</v>
      </c>
      <c r="BC311" s="338">
        <f>IFERROR(-BC117/BC116,"")</f>
        <v>0</v>
      </c>
      <c r="BD311" s="338">
        <f>IFERROR(-BD117/BD116,"")</f>
        <v>0</v>
      </c>
      <c r="BE311" s="338">
        <f>IFERROR(-BE117/BE116,"")</f>
        <v>0</v>
      </c>
      <c r="BG311" s="338">
        <f>IFERROR(-BG117/BG116,"")</f>
        <v>0</v>
      </c>
      <c r="BH311" s="338">
        <f>IFERROR(-BH117/BH116,"")</f>
        <v>0</v>
      </c>
      <c r="BI311" s="338">
        <f>IFERROR(-BI117/BI116,"")</f>
        <v>0</v>
      </c>
      <c r="BJ311" s="338">
        <f>IFERROR(-BJ117/BJ116,"")</f>
        <v>0</v>
      </c>
      <c r="BL311" s="338">
        <f>IFERROR(-BL117/BL116,"")</f>
        <v>0</v>
      </c>
      <c r="BM311" s="338">
        <f>IFERROR(-BM117/BM116,"")</f>
        <v>0</v>
      </c>
      <c r="BN311" s="338">
        <f>IFERROR(-BN117/BN116,"")</f>
        <v>0</v>
      </c>
      <c r="BO311" s="338">
        <f>IFERROR(-BO117/BO116,"")</f>
        <v>0</v>
      </c>
      <c r="BQ311" s="338">
        <f>IFERROR(-BQ117/BQ116,"")</f>
        <v>0</v>
      </c>
      <c r="BR311" s="338">
        <f>IFERROR(-BR117/BR116,"")</f>
        <v>0</v>
      </c>
      <c r="BS311" s="338">
        <f>IFERROR(-BS117/BS116,"")</f>
        <v>0</v>
      </c>
      <c r="BT311" s="338">
        <f>IFERROR(-BT117/BT116,"")</f>
        <v>0</v>
      </c>
      <c r="BV311" s="338">
        <f>IFERROR(-BV117/BV116,"")</f>
        <v>0</v>
      </c>
      <c r="BW311" s="338">
        <f>IFERROR(-BW117/BW116,"")</f>
        <v>0</v>
      </c>
      <c r="BX311" s="338">
        <f>IFERROR(-BX117/BX116,"")</f>
        <v>0</v>
      </c>
      <c r="BY311" s="338">
        <f>IFERROR(-BY117/BY116,"")</f>
        <v>0</v>
      </c>
      <c r="CA311" s="338">
        <f>IFERROR(-CA117/CA116,"")</f>
        <v>0</v>
      </c>
      <c r="CB311" s="338">
        <f>IFERROR(-CB117/CB116,"")</f>
        <v>0</v>
      </c>
      <c r="CC311" s="338">
        <f>IFERROR(-CC117/CC116,"")</f>
        <v>0</v>
      </c>
      <c r="CD311" s="338">
        <f>IFERROR(-CD117/CD116,"")</f>
        <v>0</v>
      </c>
      <c r="CF311" s="338">
        <f>IFERROR(-CF117/CF116,"")</f>
        <v>0</v>
      </c>
      <c r="CG311" s="338">
        <f>IFERROR(-CG117/CG116,"")</f>
        <v>0</v>
      </c>
      <c r="CH311" s="338">
        <f>IFERROR(-CH117/CH116,"")</f>
        <v>0</v>
      </c>
      <c r="CI311" s="338">
        <f>IFERROR(-CI117/CI116,"")</f>
        <v>0</v>
      </c>
      <c r="CK311" s="338">
        <f>IFERROR(-CK117/CK116,"")</f>
        <v>0</v>
      </c>
      <c r="CL311" s="338">
        <f>IFERROR(-CL117/CL116,"")</f>
        <v>0</v>
      </c>
      <c r="CM311" s="338">
        <f>IFERROR(-CM117/CM116,"")</f>
        <v>0</v>
      </c>
      <c r="CN311" s="338">
        <f>IFERROR(-CN117/CN116,"")</f>
        <v>0</v>
      </c>
      <c r="CP311" s="338">
        <f>IFERROR(-CP117/CP116,"")</f>
        <v>0</v>
      </c>
      <c r="CQ311" s="338">
        <f>IFERROR(-CQ117/CQ116,"")</f>
        <v>0</v>
      </c>
      <c r="CR311" s="338">
        <f>IFERROR(-CR117/CR116,"")</f>
        <v>0</v>
      </c>
      <c r="CS311" s="338">
        <f>IFERROR(-CS117/CS116,"")</f>
        <v>0</v>
      </c>
      <c r="CU311" s="338">
        <f>IFERROR(-CU117/CU116,"")</f>
        <v>0</v>
      </c>
      <c r="CV311" s="338">
        <f>IFERROR(-CV117/CV116,"")</f>
        <v>0</v>
      </c>
      <c r="CW311" s="338">
        <f>IFERROR(-CW117/CW116,"")</f>
        <v>0</v>
      </c>
      <c r="CX311" s="338">
        <f>IFERROR(-CX117/CX116,"")</f>
        <v>0</v>
      </c>
    </row>
    <row r="312" ht="12.75" customFormat="1" customHeight="1" s="333">
      <c r="A312" s="334" t="n"/>
      <c r="B312" s="334" t="n"/>
    </row>
    <row r="313" ht="12.75" customFormat="1" customHeight="1" s="333">
      <c r="A313" s="334" t="n"/>
      <c r="B313" s="334" t="n"/>
      <c r="C313" s="331" t="inlineStr">
        <is>
          <t>CAPITAL STRUCTURE</t>
        </is>
      </c>
    </row>
    <row r="314" ht="12.75" customFormat="1" customHeight="1" s="333">
      <c r="A314" s="334" t="n"/>
      <c r="B314" s="334" t="n"/>
      <c r="C314" s="333" t="inlineStr">
        <is>
          <t>MARKET DEBT / EQUITY</t>
        </is>
      </c>
    </row>
    <row r="315" ht="12.75" customFormat="1" customHeight="1" s="333">
      <c r="A315" s="334" t="n"/>
      <c r="B315" s="334" t="n"/>
      <c r="C315" s="333" t="inlineStr">
        <is>
          <t>NET DEBT / (NET DEBT + MARKET CAP)</t>
        </is>
      </c>
    </row>
    <row r="316" ht="12.75" customFormat="1" customHeight="1" s="333">
      <c r="A316" s="334" t="n"/>
      <c r="B316" s="334" t="n"/>
    </row>
    <row r="317" ht="12.75" customFormat="1" customHeight="1" s="333">
      <c r="A317" s="334" t="n"/>
      <c r="B317" s="334" t="n"/>
      <c r="C317" s="331" t="inlineStr">
        <is>
          <t>FINANCIAL RISK RATIOS</t>
        </is>
      </c>
    </row>
    <row r="318" ht="12.75" customFormat="1" customHeight="1" s="333">
      <c r="A318" s="334" t="n"/>
      <c r="B318" s="334" t="n"/>
      <c r="C318" s="333" t="inlineStr">
        <is>
          <t>EBITDA / TOTAL INTEREST</t>
        </is>
      </c>
      <c r="D318" s="339" t="str">
        <f>IFERROR(D55/-D60,"")</f>
        <v/>
      </c>
      <c r="E318" s="339" t="str">
        <f>IFERROR(E55/-E60,"")</f>
        <v/>
      </c>
      <c r="F318" s="339" t="str">
        <f>IFERROR(F55/-F60,"")</f>
        <v/>
      </c>
      <c r="G318" s="339" t="str">
        <f>IFERROR(G55/-G60,"")</f>
        <v/>
      </c>
      <c r="I318" s="339" t="str">
        <f>IFERROR(I55/-I60,"")</f>
        <v/>
      </c>
      <c r="J318" s="339" t="str">
        <f>IFERROR(J55/-J60,"")</f>
        <v/>
      </c>
      <c r="K318" s="339" t="str">
        <f>IFERROR(K55/-K60,"")</f>
        <v/>
      </c>
      <c r="L318" s="339" t="str">
        <f>IFERROR(L55/-L60,"")</f>
        <v/>
      </c>
      <c r="N318" s="339" t="str">
        <f>IFERROR(N55/-N60,"")</f>
        <v/>
      </c>
      <c r="O318" s="339" t="str">
        <f>IFERROR(O55/-O60,"")</f>
        <v/>
      </c>
      <c r="P318" s="339" t="str">
        <f>IFERROR(P55/-P60,"")</f>
        <v/>
      </c>
      <c r="Q318" s="339" t="str">
        <f>IFERROR(Q55/-Q60,"")</f>
        <v/>
      </c>
      <c r="S318" s="339" t="str">
        <f>IFERROR(S55/-S60,"")</f>
        <v/>
      </c>
      <c r="T318" s="339" t="str">
        <f>IFERROR(T55/-T60,"")</f>
        <v/>
      </c>
      <c r="U318" s="339" t="str">
        <f>IFERROR(U55/-U60,"")</f>
        <v/>
      </c>
      <c r="V318" s="339" t="str">
        <f>IFERROR(V55/-V60,"")</f>
        <v/>
      </c>
      <c r="X318" s="339">
        <f>IFERROR(X55/-X60,"")</f>
        <v>2.37900896229909</v>
      </c>
      <c r="Y318" s="339">
        <f>IFERROR(Y55/-Y60,"")</f>
        <v>3.6094162183108</v>
      </c>
      <c r="Z318" s="339">
        <f>IFERROR(Z55/-Z60,"")</f>
        <v>3.62696427175358</v>
      </c>
      <c r="AA318" s="339">
        <f>IFERROR(AA55/-AA60,"")</f>
        <v>3.43219339622642</v>
      </c>
      <c r="AC318" s="339">
        <f>IFERROR(AC55/-AC60,"")</f>
        <v>1.62061089494163</v>
      </c>
      <c r="AD318" s="339">
        <f>IFERROR(AD55/-AD60,"")</f>
        <v>2.25969140625</v>
      </c>
      <c r="AE318" s="339">
        <f>IFERROR(AE55/-AE60,"")</f>
        <v>2.40751757134389</v>
      </c>
      <c r="AF318" s="339">
        <f>IFERROR(AF55/-AF60,"")</f>
        <v>2.08218748842761</v>
      </c>
      <c r="AH318" s="339">
        <f>IFERROR(AH55/-AH60,"")</f>
        <v>2.34894613583138</v>
      </c>
      <c r="AI318" s="339">
        <f>IFERROR(AI55/-AI60,"")</f>
        <v>2.40860215053763</v>
      </c>
      <c r="AJ318" s="339" t="str">
        <f>IFERROR(AJ55/-AJ60,"")</f>
        <v/>
      </c>
      <c r="AK318" s="339" t="str">
        <f>IFERROR(AK55/-AK60,"")</f>
        <v/>
      </c>
      <c r="AM318" s="339" t="str">
        <f>IFERROR(AM55/-AM60,"")</f>
        <v/>
      </c>
      <c r="AN318" s="339" t="str">
        <f>IFERROR(AN55/-AN60,"")</f>
        <v/>
      </c>
      <c r="AO318" s="339" t="str">
        <f>IFERROR(AO55/-AO60,"")</f>
        <v/>
      </c>
      <c r="AP318" s="339" t="str">
        <f>IFERROR(AP55/-AP60,"")</f>
        <v/>
      </c>
      <c r="AR318" s="339" t="str">
        <f>IFERROR(AR55/-AR60,"")</f>
        <v/>
      </c>
      <c r="AS318" s="339" t="str">
        <f>IFERROR(AS55/-AS60,"")</f>
        <v/>
      </c>
      <c r="AT318" s="339" t="str">
        <f>IFERROR(AT55/-AT60,"")</f>
        <v/>
      </c>
      <c r="AU318" s="339" t="str">
        <f>IFERROR(AU55/-AU60,"")</f>
        <v/>
      </c>
      <c r="AW318" s="339" t="str">
        <f>IFERROR(AW55/-AW60,"")</f>
        <v/>
      </c>
      <c r="AX318" s="339" t="str">
        <f>IFERROR(AX55/-AX60,"")</f>
        <v/>
      </c>
      <c r="AY318" s="339" t="str">
        <f>IFERROR(AY55/-AY60,"")</f>
        <v/>
      </c>
      <c r="AZ318" s="339" t="str">
        <f>IFERROR(AZ55/-AZ60,"")</f>
        <v/>
      </c>
      <c r="BB318" s="339" t="str">
        <f>IFERROR(BB55/-BB60,"")</f>
        <v/>
      </c>
      <c r="BC318" s="339" t="str">
        <f>IFERROR(BC55/-BC60,"")</f>
        <v/>
      </c>
      <c r="BD318" s="339" t="str">
        <f>IFERROR(BD55/-BD60,"")</f>
        <v/>
      </c>
      <c r="BE318" s="339" t="str">
        <f>IFERROR(BE55/-BE60,"")</f>
        <v/>
      </c>
      <c r="BG318" s="339" t="str">
        <f>IFERROR(BG55/-BG60,"")</f>
        <v/>
      </c>
      <c r="BH318" s="339" t="str">
        <f>IFERROR(BH55/-BH60,"")</f>
        <v/>
      </c>
      <c r="BI318" s="339" t="str">
        <f>IFERROR(BI55/-BI60,"")</f>
        <v/>
      </c>
      <c r="BJ318" s="339" t="str">
        <f>IFERROR(BJ55/-BJ60,"")</f>
        <v/>
      </c>
      <c r="BL318" s="339" t="str">
        <f>IFERROR(BL55/-BL60,"")</f>
        <v/>
      </c>
      <c r="BM318" s="339" t="str">
        <f>IFERROR(BM55/-BM60,"")</f>
        <v/>
      </c>
      <c r="BN318" s="339" t="str">
        <f>IFERROR(BN55/-BN60,"")</f>
        <v/>
      </c>
      <c r="BO318" s="339" t="str">
        <f>IFERROR(BO55/-BO60,"")</f>
        <v/>
      </c>
      <c r="BQ318" s="339" t="str">
        <f>IFERROR(BQ55/-BQ60,"")</f>
        <v/>
      </c>
      <c r="BR318" s="339" t="str">
        <f>IFERROR(BR55/-BR60,"")</f>
        <v/>
      </c>
      <c r="BS318" s="339" t="str">
        <f>IFERROR(BS55/-BS60,"")</f>
        <v/>
      </c>
      <c r="BT318" s="339" t="str">
        <f>IFERROR(BT55/-BT60,"")</f>
        <v/>
      </c>
      <c r="BV318" s="339" t="str">
        <f>IFERROR(BV55/-BV60,"")</f>
        <v/>
      </c>
      <c r="BW318" s="339" t="str">
        <f>IFERROR(BW55/-BW60,"")</f>
        <v/>
      </c>
      <c r="BX318" s="339" t="str">
        <f>IFERROR(BX55/-BX60,"")</f>
        <v/>
      </c>
      <c r="BY318" s="339" t="str">
        <f>IFERROR(BY55/-BY60,"")</f>
        <v/>
      </c>
      <c r="CA318" s="339" t="str">
        <f>IFERROR(CA55/-CA60,"")</f>
        <v/>
      </c>
      <c r="CB318" s="339" t="str">
        <f>IFERROR(CB55/-CB60,"")</f>
        <v/>
      </c>
      <c r="CC318" s="339" t="str">
        <f>IFERROR(CC55/-CC60,"")</f>
        <v/>
      </c>
      <c r="CD318" s="339" t="str">
        <f>IFERROR(CD55/-CD60,"")</f>
        <v/>
      </c>
      <c r="CF318" s="339" t="str">
        <f>IFERROR(CF55/-CF60,"")</f>
        <v/>
      </c>
      <c r="CG318" s="339" t="str">
        <f>IFERROR(CG55/-CG60,"")</f>
        <v/>
      </c>
      <c r="CH318" s="339" t="str">
        <f>IFERROR(CH55/-CH60,"")</f>
        <v/>
      </c>
      <c r="CI318" s="339" t="str">
        <f>IFERROR(CI55/-CI60,"")</f>
        <v/>
      </c>
      <c r="CK318" s="339" t="str">
        <f>IFERROR(CK55/-CK60,"")</f>
        <v/>
      </c>
      <c r="CL318" s="339" t="str">
        <f>IFERROR(CL55/-CL60,"")</f>
        <v/>
      </c>
      <c r="CM318" s="339" t="str">
        <f>IFERROR(CM55/-CM60,"")</f>
        <v/>
      </c>
      <c r="CN318" s="339" t="str">
        <f>IFERROR(CN55/-CN60,"")</f>
        <v/>
      </c>
      <c r="CP318" s="339" t="str">
        <f>IFERROR(CP55/-CP60,"")</f>
        <v/>
      </c>
      <c r="CQ318" s="339" t="str">
        <f>IFERROR(CQ55/-CQ60,"")</f>
        <v/>
      </c>
      <c r="CR318" s="339" t="str">
        <f>IFERROR(CR55/-CR60,"")</f>
        <v/>
      </c>
      <c r="CS318" s="339" t="str">
        <f>IFERROR(CS55/-CS60,"")</f>
        <v/>
      </c>
      <c r="CU318" s="339" t="str">
        <f>IFERROR(CU55/-CU60,"")</f>
        <v/>
      </c>
      <c r="CV318" s="339" t="str">
        <f>IFERROR(CV55/-CV60,"")</f>
        <v/>
      </c>
      <c r="CW318" s="339" t="str">
        <f>IFERROR(CW55/-CW60,"")</f>
        <v/>
      </c>
      <c r="CX318" s="339" t="str">
        <f>IFERROR(CX55/-CX60,"")</f>
        <v/>
      </c>
    </row>
    <row r="319" ht="12.75" customFormat="1" customHeight="1" s="333">
      <c r="A319" s="334" t="n"/>
      <c r="B319" s="334" t="n"/>
      <c r="C319" s="333" t="inlineStr">
        <is>
          <t>(EBITDA - CAPEX) / TOTAL INTEREST</t>
        </is>
      </c>
      <c r="D319" s="339" t="str">
        <f>IFERROR((D55-D154)/-D60,"")</f>
        <v/>
      </c>
      <c r="E319" s="339" t="str">
        <f>IFERROR((E55-E154)/-E60,"")</f>
        <v/>
      </c>
      <c r="F319" s="339" t="str">
        <f>IFERROR((F55-F154)/-F60,"")</f>
        <v/>
      </c>
      <c r="G319" s="339" t="str">
        <f>IFERROR((G55-G154)/-G60,"")</f>
        <v/>
      </c>
      <c r="I319" s="339" t="str">
        <f>IFERROR((I55-I154)/-I60,"")</f>
        <v/>
      </c>
      <c r="J319" s="339" t="str">
        <f>IFERROR((J55-J154)/-J60,"")</f>
        <v/>
      </c>
      <c r="K319" s="339" t="str">
        <f>IFERROR((K55-K154)/-K60,"")</f>
        <v/>
      </c>
      <c r="L319" s="339" t="str">
        <f>IFERROR((L55-L154)/-L60,"")</f>
        <v/>
      </c>
      <c r="N319" s="339" t="str">
        <f>IFERROR((N55-N154)/-N60,"")</f>
        <v/>
      </c>
      <c r="O319" s="339" t="str">
        <f>IFERROR((O55-O154)/-O60,"")</f>
        <v/>
      </c>
      <c r="P319" s="339" t="str">
        <f>IFERROR((P55-P154)/-P60,"")</f>
        <v/>
      </c>
      <c r="Q319" s="339" t="str">
        <f>IFERROR((Q55-Q154)/-Q60,"")</f>
        <v/>
      </c>
      <c r="S319" s="339" t="str">
        <f>IFERROR((S55-S154)/-S60,"")</f>
        <v/>
      </c>
      <c r="T319" s="339" t="str">
        <f>IFERROR((T55-T154)/-T60,"")</f>
        <v/>
      </c>
      <c r="U319" s="339" t="str">
        <f>IFERROR((U55-U154)/-U60,"")</f>
        <v/>
      </c>
      <c r="V319" s="339" t="str">
        <f>IFERROR((V55-V154)/-V60,"")</f>
        <v/>
      </c>
      <c r="X319" s="339">
        <f>IFERROR((X55-X154)/-X60,"")</f>
        <v>0.415944497938425</v>
      </c>
      <c r="Y319" s="339">
        <f>IFERROR((Y55-Y154)/-Y60,"")</f>
        <v>1.15833792867043</v>
      </c>
      <c r="Z319" s="339">
        <f>IFERROR((Z55-Z154)/-Z60,"")</f>
        <v>1.14451567508404</v>
      </c>
      <c r="AA319" s="339">
        <f>IFERROR((AA55-AA154)/-AA60,"")</f>
        <v>-84.8658105154165</v>
      </c>
      <c r="AC319" s="339">
        <f>IFERROR((AC55-AC154)/-AC60,"")</f>
        <v>-9.03975875486382</v>
      </c>
      <c r="AD319" s="339">
        <f>IFERROR((AD55-AD154)/-AD60,"")</f>
        <v>-9.38092968749999</v>
      </c>
      <c r="AE319" s="339">
        <f>IFERROR((AE55-AE154)/-AE60,"")</f>
        <v>-14.0282164733113</v>
      </c>
      <c r="AF319" s="339">
        <f>IFERROR((AF55-AF154)/-AF60,"")</f>
        <v>-28.4500200825521</v>
      </c>
      <c r="AH319" s="339">
        <f>IFERROR((AH55-AH154)/-AH60,"")</f>
        <v>-14.0772833723653</v>
      </c>
      <c r="AI319" s="339">
        <f>IFERROR((AI55-AI154)/-AI60,"")</f>
        <v>-18.5681003584229</v>
      </c>
      <c r="AJ319" s="339" t="str">
        <f>IFERROR((AJ55-AJ154)/-AJ60,"")</f>
        <v/>
      </c>
      <c r="AK319" s="339" t="str">
        <f>IFERROR((AK55-AK154)/-AK60,"")</f>
        <v/>
      </c>
      <c r="AM319" s="339" t="str">
        <f>IFERROR((AM55-AM154)/-AM60,"")</f>
        <v/>
      </c>
      <c r="AN319" s="339" t="str">
        <f>IFERROR((AN55-AN154)/-AN60,"")</f>
        <v/>
      </c>
      <c r="AO319" s="339" t="str">
        <f>IFERROR((AO55-AO154)/-AO60,"")</f>
        <v/>
      </c>
      <c r="AP319" s="339" t="str">
        <f>IFERROR((AP55-AP154)/-AP60,"")</f>
        <v/>
      </c>
      <c r="AR319" s="339" t="str">
        <f>IFERROR((AR55-AR154)/-AR60,"")</f>
        <v/>
      </c>
      <c r="AS319" s="339" t="str">
        <f>IFERROR((AS55-AS154)/-AS60,"")</f>
        <v/>
      </c>
      <c r="AT319" s="339" t="str">
        <f>IFERROR((AT55-AT154)/-AT60,"")</f>
        <v/>
      </c>
      <c r="AU319" s="339" t="str">
        <f>IFERROR((AU55-AU154)/-AU60,"")</f>
        <v/>
      </c>
      <c r="AW319" s="339" t="str">
        <f>IFERROR((AW55-AW154)/-AW60,"")</f>
        <v/>
      </c>
      <c r="AX319" s="339" t="str">
        <f>IFERROR((AX55-AX154)/-AX60,"")</f>
        <v/>
      </c>
      <c r="AY319" s="339" t="str">
        <f>IFERROR((AY55-AY154)/-AY60,"")</f>
        <v/>
      </c>
      <c r="AZ319" s="339" t="str">
        <f>IFERROR((AZ55-AZ154)/-AZ60,"")</f>
        <v/>
      </c>
      <c r="BB319" s="339" t="str">
        <f>IFERROR((BB55-BB154)/-BB60,"")</f>
        <v/>
      </c>
      <c r="BC319" s="339" t="str">
        <f>IFERROR((BC55-BC154)/-BC60,"")</f>
        <v/>
      </c>
      <c r="BD319" s="339" t="str">
        <f>IFERROR((BD55-BD154)/-BD60,"")</f>
        <v/>
      </c>
      <c r="BE319" s="339" t="str">
        <f>IFERROR((BE55-BE154)/-BE60,"")</f>
        <v/>
      </c>
      <c r="BG319" s="339" t="str">
        <f>IFERROR((BG55-BG154)/-BG60,"")</f>
        <v/>
      </c>
      <c r="BH319" s="339" t="str">
        <f>IFERROR((BH55-BH154)/-BH60,"")</f>
        <v/>
      </c>
      <c r="BI319" s="339" t="str">
        <f>IFERROR((BI55-BI154)/-BI60,"")</f>
        <v/>
      </c>
      <c r="BJ319" s="339" t="str">
        <f>IFERROR((BJ55-BJ154)/-BJ60,"")</f>
        <v/>
      </c>
      <c r="BL319" s="339" t="str">
        <f>IFERROR((BL55-BL154)/-BL60,"")</f>
        <v/>
      </c>
      <c r="BM319" s="339" t="str">
        <f>IFERROR((BM55-BM154)/-BM60,"")</f>
        <v/>
      </c>
      <c r="BN319" s="339" t="str">
        <f>IFERROR((BN55-BN154)/-BN60,"")</f>
        <v/>
      </c>
      <c r="BO319" s="339" t="str">
        <f>IFERROR((BO55-BO154)/-BO60,"")</f>
        <v/>
      </c>
      <c r="BQ319" s="339" t="str">
        <f>IFERROR((BQ55-BQ154)/-BQ60,"")</f>
        <v/>
      </c>
      <c r="BR319" s="339" t="str">
        <f>IFERROR((BR55-BR154)/-BR60,"")</f>
        <v/>
      </c>
      <c r="BS319" s="339" t="str">
        <f>IFERROR((BS55-BS154)/-BS60,"")</f>
        <v/>
      </c>
      <c r="BT319" s="339" t="str">
        <f>IFERROR((BT55-BT154)/-BT60,"")</f>
        <v/>
      </c>
      <c r="BV319" s="339" t="str">
        <f>IFERROR((BV55-BV154)/-BV60,"")</f>
        <v/>
      </c>
      <c r="BW319" s="339" t="str">
        <f>IFERROR((BW55-BW154)/-BW60,"")</f>
        <v/>
      </c>
      <c r="BX319" s="339" t="str">
        <f>IFERROR((BX55-BX154)/-BX60,"")</f>
        <v/>
      </c>
      <c r="BY319" s="339" t="str">
        <f>IFERROR((BY55-BY154)/-BY60,"")</f>
        <v/>
      </c>
      <c r="CA319" s="339" t="str">
        <f>IFERROR((CA55-CA154)/-CA60,"")</f>
        <v/>
      </c>
      <c r="CB319" s="339" t="str">
        <f>IFERROR((CB55-CB154)/-CB60,"")</f>
        <v/>
      </c>
      <c r="CC319" s="339" t="str">
        <f>IFERROR((CC55-CC154)/-CC60,"")</f>
        <v/>
      </c>
      <c r="CD319" s="339" t="str">
        <f>IFERROR((CD55-CD154)/-CD60,"")</f>
        <v/>
      </c>
      <c r="CF319" s="339" t="str">
        <f>IFERROR((CF55-CF154)/-CF60,"")</f>
        <v/>
      </c>
      <c r="CG319" s="339" t="str">
        <f>IFERROR((CG55-CG154)/-CG60,"")</f>
        <v/>
      </c>
      <c r="CH319" s="339" t="str">
        <f>IFERROR((CH55-CH154)/-CH60,"")</f>
        <v/>
      </c>
      <c r="CI319" s="339" t="str">
        <f>IFERROR((CI55-CI154)/-CI60,"")</f>
        <v/>
      </c>
      <c r="CK319" s="339" t="str">
        <f>IFERROR((CK55-CK154)/-CK60,"")</f>
        <v/>
      </c>
      <c r="CL319" s="339" t="str">
        <f>IFERROR((CL55-CL154)/-CL60,"")</f>
        <v/>
      </c>
      <c r="CM319" s="339" t="str">
        <f>IFERROR((CM55-CM154)/-CM60,"")</f>
        <v/>
      </c>
      <c r="CN319" s="339" t="str">
        <f>IFERROR((CN55-CN154)/-CN60,"")</f>
        <v/>
      </c>
      <c r="CP319" s="339" t="str">
        <f>IFERROR((CP55-CP154)/-CP60,"")</f>
        <v/>
      </c>
      <c r="CQ319" s="339" t="str">
        <f>IFERROR((CQ55-CQ154)/-CQ60,"")</f>
        <v/>
      </c>
      <c r="CR319" s="339" t="str">
        <f>IFERROR((CR55-CR154)/-CR60,"")</f>
        <v/>
      </c>
      <c r="CS319" s="339" t="str">
        <f>IFERROR((CS55-CS154)/-CS60,"")</f>
        <v/>
      </c>
      <c r="CU319" s="339" t="str">
        <f>IFERROR((CU55-CU154)/-CU60,"")</f>
        <v/>
      </c>
      <c r="CV319" s="339" t="str">
        <f>IFERROR((CV55-CV154)/-CV60,"")</f>
        <v/>
      </c>
      <c r="CW319" s="339" t="str">
        <f>IFERROR((CW55-CW154)/-CW60,"")</f>
        <v/>
      </c>
      <c r="CX319" s="339" t="str">
        <f>IFERROR((CX55-CX154)/-CX60,"")</f>
        <v/>
      </c>
    </row>
    <row r="320" ht="12.75" customFormat="1" customHeight="1" s="333">
      <c r="A320" s="334" t="n"/>
      <c r="B320" s="334" t="n"/>
      <c r="C320" s="333" t="inlineStr">
        <is>
          <t>TOTAL DEBT / EBITDA LTM</t>
        </is>
      </c>
      <c r="D320" s="339" t="str">
        <f>""</f>
        <v/>
      </c>
      <c r="E320" s="339" t="str">
        <f>""</f>
        <v/>
      </c>
      <c r="F320" s="339" t="str">
        <f>""</f>
        <v/>
      </c>
      <c r="G320" s="339" t="str">
        <f>IFERROR(SUM(G198,G199,G200,G203,G221,G224)/(G55+F55+E55+D55),"")</f>
        <v/>
      </c>
      <c r="I320" s="339" t="str">
        <f>IFERROR(SUM(I198,I199,I200,I203,I221,I224)/(I55+G55+F55+E55),"")</f>
        <v/>
      </c>
      <c r="J320" s="339" t="str">
        <f>IFERROR(SUM(J198,J199,J200,J203,J221,J224)/(J55+I55+G55+F55),"")</f>
        <v/>
      </c>
      <c r="K320" s="339" t="str">
        <f>IFERROR(SUM(K198,K199,K200,K203,K221,K224)/(K55+J55+I55+G55),"")</f>
        <v/>
      </c>
      <c r="L320" s="339" t="str">
        <f>IFERROR(SUM(L198,L199,L200,L203,L221,L224)/(L55+K55+J55+I55),"")</f>
        <v/>
      </c>
      <c r="N320" s="339" t="str">
        <f>IFERROR(SUM(N198,N199,N200,N203,N221,N224)/(N55+L55+K55+J55),"")</f>
        <v/>
      </c>
      <c r="O320" s="339" t="str">
        <f>IFERROR(SUM(O198,O199,O200,O203,O221,O224)/(O55+N55+L55+K55),"")</f>
        <v/>
      </c>
      <c r="P320" s="339" t="str">
        <f>IFERROR(SUM(P198,P199,P200,P203,P221,P224)/(P55+O55+N55+L55),"")</f>
        <v/>
      </c>
      <c r="Q320" s="339" t="str">
        <f>IFERROR(SUM(Q198,Q199,Q200,Q203,Q221,Q224)/(Q55+P55+O55+N55),"")</f>
        <v/>
      </c>
      <c r="S320" s="339" t="str">
        <f>IFERROR(SUM(S198,S199,S200,S203,S221,S224)/(S55+Q55+P55+O55),"")</f>
        <v/>
      </c>
      <c r="T320" s="339" t="str">
        <f>IFERROR(SUM(T198,T199,T200,T203,T221,T224)/(T55+S55+Q55+P55),"")</f>
        <v/>
      </c>
      <c r="U320" s="339" t="str">
        <f>IFERROR(SUM(U198,U199,U200,U203,U221,U224)/(U55+T55+S55+Q55),"")</f>
        <v/>
      </c>
      <c r="V320" s="339" t="str">
        <f>IFERROR(SUM(V198,V199,V200,V203,V221,V224)/(V55+U55+T55+S55),"")</f>
        <v/>
      </c>
      <c r="X320" s="339">
        <f>IFERROR(SUM(X198,X199,X200,X203,X221,X224)/(X55+V55+U55+T55),"")</f>
        <v>0</v>
      </c>
      <c r="Y320" s="339">
        <f>IFERROR(SUM(Y198,Y199,Y200,Y203,Y221,Y224)/(Y55+X55+V55+U55),"")</f>
        <v>0</v>
      </c>
      <c r="Z320" s="339">
        <f>IFERROR(SUM(Z198,Z199,Z200,Z203,Z221,Z224)/(Z55+Y55+X55+V55),"")</f>
        <v>0</v>
      </c>
      <c r="AA320" s="339">
        <f>IFERROR(SUM(AA198,AA199,AA200,AA203,AA221,AA224)/(AA55+Z55+Y55+X55),"")</f>
        <v>8.86971861836563</v>
      </c>
      <c r="AC320" s="339">
        <f>IFERROR(SUM(AC198,AC199,AC200,AC203,AC221,AC224)/(AC55+AA55+Z55+Y55),"")</f>
        <v>7.84204055363138</v>
      </c>
      <c r="AD320" s="339">
        <f>IFERROR(SUM(AD198,AD199,AD200,AD203,AD221,AD224)/(AD55+AC55+AA55+Z55),"")</f>
        <v>7.86517217810181</v>
      </c>
      <c r="AE320" s="339">
        <f>IFERROR(SUM(AE198,AE199,AE200,AE203,AE221,AE224)/(AE55+AD55+AC55+AA55),"")</f>
        <v>8.70649889145649</v>
      </c>
      <c r="AF320" s="339">
        <f>IFERROR(SUM(AF198,AF199,AF200,AF203,AF221,AF224)/(AF55+AE55+AD55+AC55),"")</f>
        <v>12.2777389992198</v>
      </c>
      <c r="AH320" s="339">
        <f>IFERROR(SUM(AH198,AH199,AH200,AH203,AH221,AH224)/(AH55+AF55+AE55+AD55),"")</f>
        <v>11.656678122216</v>
      </c>
      <c r="AI320" s="339">
        <f>IFERROR(SUM(AI198,AI199,AI200,AI203,AI221,AI224)/(AI55+AH55+AF55+AE55),"")</f>
        <v>4.33983293278724</v>
      </c>
      <c r="AJ320" s="339">
        <f>IFERROR(SUM(AJ198,AJ199,AJ200,AJ203,AJ221,AJ224)/(AJ55+AI55+AH55+AF55),"")</f>
        <v>5.30189859887445</v>
      </c>
      <c r="AK320" s="339">
        <f>IFERROR(SUM(AK198,AK199,AK200,AK203,AK221,AK224)/(AK55+AJ55+AI55+AH55),"")</f>
        <v>6.95313165743502</v>
      </c>
      <c r="AM320" s="339">
        <f>IFERROR(SUM(AM198,AM199,AM200,AM203,AM221,AM224)/(AM55+AK55+AJ55+AI55),"")</f>
        <v>12.1421130952381</v>
      </c>
      <c r="AN320" s="339" t="str">
        <f>IFERROR(SUM(AN198,AN199,AN200,AN203,AN221,AN224)/(AN55+AM55+AK55+AJ55),"")</f>
        <v/>
      </c>
      <c r="AO320" s="339" t="str">
        <f>IFERROR(SUM(AO198,AO199,AO200,AO203,AO221,AO224)/(AO55+AN55+AM55+AK55),"")</f>
        <v/>
      </c>
      <c r="AP320" s="339" t="str">
        <f>IFERROR(SUM(AP198,AP199,AP200,AP203,AP221,AP224)/(AP55+AO55+AN55+AM55),"")</f>
        <v/>
      </c>
      <c r="AR320" s="339" t="str">
        <f>IFERROR(SUM(AR198,AR199,AR200,AR203,AR221,AR224)/(AR55+AP55+AO55+AN55),"")</f>
        <v/>
      </c>
      <c r="AS320" s="339" t="str">
        <f>IFERROR(SUM(AS198,AS199,AS200,AS203,AS221,AS224)/(AS55+AR55+AP55+AO55),"")</f>
        <v/>
      </c>
      <c r="AT320" s="339" t="str">
        <f>IFERROR(SUM(AT198,AT199,AT200,AT203,AT221,AT224)/(AT55+AS55+AR55+AP55),"")</f>
        <v/>
      </c>
      <c r="AU320" s="339" t="str">
        <f>IFERROR(SUM(AU198,AU199,AU200,AU203,AU221,AU224)/(AU55+AT55+AS55+AR55),"")</f>
        <v/>
      </c>
      <c r="AW320" s="339" t="str">
        <f>IFERROR(SUM(AW198,AW199,AW200,AW203,AW221,AW224)/(AW55+AU55+AT55+AS55),"")</f>
        <v/>
      </c>
      <c r="AX320" s="339" t="str">
        <f>IFERROR(SUM(AX198,AX199,AX200,AX203,AX221,AX224)/(AX55+AW55+AU55+AT55),"")</f>
        <v/>
      </c>
      <c r="AY320" s="339" t="str">
        <f>IFERROR(SUM(AY198,AY199,AY200,AY203,AY221,AY224)/(AY55+AX55+AW55+AU55),"")</f>
        <v/>
      </c>
      <c r="AZ320" s="339" t="str">
        <f>IFERROR(SUM(AZ198,AZ199,AZ200,AZ203,AZ221,AZ224)/(AZ55+AY55+AX55+AW55),"")</f>
        <v/>
      </c>
      <c r="BB320" s="339" t="str">
        <f>IFERROR(SUM(BB198,BB199,BB200,BB203,BB221,BB224)/(BB55+AZ55+AY55+AX55),"")</f>
        <v/>
      </c>
      <c r="BC320" s="339" t="str">
        <f>IFERROR(SUM(BC198,BC199,BC200,BC203,BC221,BC224)/(BC55+BB55+AZ55+AY55),"")</f>
        <v/>
      </c>
      <c r="BD320" s="339" t="str">
        <f>IFERROR(SUM(BD198,BD199,BD200,BD203,BD221,BD224)/(BD55+BC55+BB55+AZ55),"")</f>
        <v/>
      </c>
      <c r="BE320" s="339" t="str">
        <f>IFERROR(SUM(BE198,BE199,BE200,BE203,BE221,BE224)/(BE55+BD55+BC55+BB55),"")</f>
        <v/>
      </c>
      <c r="BG320" s="339" t="str">
        <f>IFERROR(SUM(BG198,BG199,BG200,BG203,BG221,BG224)/(BG55+BE55+BD55+BC55),"")</f>
        <v/>
      </c>
      <c r="BH320" s="339" t="str">
        <f>IFERROR(SUM(BH198,BH199,BH200,BH203,BH221,BH224)/(BH55+BG55+BE55+BD55),"")</f>
        <v/>
      </c>
      <c r="BI320" s="339" t="str">
        <f>IFERROR(SUM(BI198,BI199,BI200,BI203,BI221,BI224)/(BI55+BH55+BG55+BE55),"")</f>
        <v/>
      </c>
      <c r="BJ320" s="339" t="str">
        <f>IFERROR(SUM(BJ198,BJ199,BJ200,BJ203,BJ221,BJ224)/(BJ55+BI55+BH55+BG55),"")</f>
        <v/>
      </c>
      <c r="BL320" s="339" t="str">
        <f>IFERROR(SUM(BL198,BL199,BL200,BL203,BL221,BL224)/(BL55+BJ55+BI55+BH55),"")</f>
        <v/>
      </c>
      <c r="BM320" s="339" t="str">
        <f>IFERROR(SUM(BM198,BM199,BM200,BM203,BM221,BM224)/(BM55+BL55+BJ55+BI55),"")</f>
        <v/>
      </c>
      <c r="BN320" s="339" t="str">
        <f>IFERROR(SUM(BN198,BN199,BN200,BN203,BN221,BN224)/(BN55+BM55+BL55+BJ55),"")</f>
        <v/>
      </c>
      <c r="BO320" s="339" t="str">
        <f>IFERROR(SUM(BO198,BO199,BO200,BO203,BO221,BO224)/(BO55+BN55+BM55+BL55),"")</f>
        <v/>
      </c>
      <c r="BQ320" s="339" t="str">
        <f>IFERROR(SUM(BQ198,BQ199,BQ200,BQ203,BQ221,BQ224)/(BQ55+BO55+BN55+BM55),"")</f>
        <v/>
      </c>
      <c r="BR320" s="339" t="str">
        <f>IFERROR(SUM(BR198,BR199,BR200,BR203,BR221,BR224)/(BR55+BQ55+BO55+BN55),"")</f>
        <v/>
      </c>
      <c r="BS320" s="339" t="str">
        <f>IFERROR(SUM(BS198,BS199,BS200,BS203,BS221,BS224)/(BS55+BR55+BQ55+BO55),"")</f>
        <v/>
      </c>
      <c r="BT320" s="339" t="str">
        <f>IFERROR(SUM(BT198,BT199,BT200,BT203,BT221,BT224)/(BT55+BS55+BR55+BQ55),"")</f>
        <v/>
      </c>
      <c r="BV320" s="339" t="str">
        <f>IFERROR(SUM(BV198,BV199,BV200,BV203,BV221,BV224)/(BV55+BT55+BS55+BR55),"")</f>
        <v/>
      </c>
      <c r="BW320" s="339" t="str">
        <f>IFERROR(SUM(BW198,BW199,BW200,BW203,BW221,BW224)/(BW55+BV55+BT55+BS55),"")</f>
        <v/>
      </c>
      <c r="BX320" s="339" t="str">
        <f>IFERROR(SUM(BX198,BX199,BX200,BX203,BX221,BX224)/(BX55+BW55+BV55+BT55),"")</f>
        <v/>
      </c>
      <c r="BY320" s="339" t="str">
        <f>IFERROR(SUM(BY198,BY199,BY200,BY203,BY221,BY224)/(BY55+BX55+BW55+BV55),"")</f>
        <v/>
      </c>
      <c r="CA320" s="339" t="str">
        <f>IFERROR(SUM(CA198,CA199,CA200,CA203,CA221,CA224)/(CA55+BY55+BX55+BW55),"")</f>
        <v/>
      </c>
      <c r="CB320" s="339" t="str">
        <f>IFERROR(SUM(CB198,CB199,CB200,CB203,CB221,CB224)/(CB55+CA55+BY55+BX55),"")</f>
        <v/>
      </c>
      <c r="CC320" s="339" t="str">
        <f>IFERROR(SUM(CC198,CC199,CC200,CC203,CC221,CC224)/(CC55+CB55+CA55+BY55),"")</f>
        <v/>
      </c>
      <c r="CD320" s="339" t="str">
        <f>IFERROR(SUM(CD198,CD199,CD200,CD203,CD221,CD224)/(CD55+CC55+CB55+CA55),"")</f>
        <v/>
      </c>
      <c r="CF320" s="339" t="str">
        <f>IFERROR(SUM(CF198,CF199,CF200,CF203,CF221,CF224)/(CF55+CD55+CC55+CB55),"")</f>
        <v/>
      </c>
      <c r="CG320" s="339" t="str">
        <f>IFERROR(SUM(CG198,CG199,CG200,CG203,CG221,CG224)/(CG55+CF55+CD55+CC55),"")</f>
        <v/>
      </c>
      <c r="CH320" s="339" t="str">
        <f>IFERROR(SUM(CH198,CH199,CH200,CH203,CH221,CH224)/(CH55+CG55+CF55+CD55),"")</f>
        <v/>
      </c>
      <c r="CI320" s="339" t="str">
        <f>IFERROR(SUM(CI198,CI199,CI200,CI203,CI221,CI224)/(CI55+CH55+CG55+CF55),"")</f>
        <v/>
      </c>
      <c r="CK320" s="339" t="str">
        <f>IFERROR(SUM(CK198,CK199,CK200,CK203,CK221,CK224)/(CK55+CI55+CH55+CG55),"")</f>
        <v/>
      </c>
      <c r="CL320" s="339" t="str">
        <f>IFERROR(SUM(CL198,CL199,CL200,CL203,CL221,CL224)/(CL55+CK55+CI55+CH55),"")</f>
        <v/>
      </c>
      <c r="CM320" s="339" t="str">
        <f>IFERROR(SUM(CM198,CM199,CM200,CM203,CM221,CM224)/(CM55+CL55+CK55+CI55),"")</f>
        <v/>
      </c>
      <c r="CN320" s="339" t="str">
        <f>IFERROR(SUM(CN198,CN199,CN200,CN203,CN221,CN224)/(CN55+CM55+CL55+CK55),"")</f>
        <v/>
      </c>
      <c r="CP320" s="339" t="str">
        <f>IFERROR(SUM(CP198,CP199,CP200,CP203,CP221,CP224)/(CP55+CN55+CM55+CL55),"")</f>
        <v/>
      </c>
      <c r="CQ320" s="339" t="str">
        <f>IFERROR(SUM(CQ198,CQ199,CQ200,CQ203,CQ221,CQ224)/(CQ55+CP55+CN55+CM55),"")</f>
        <v/>
      </c>
      <c r="CR320" s="339" t="str">
        <f>IFERROR(SUM(CR198,CR199,CR200,CR203,CR221,CR224)/(CR55+CQ55+CP55+CN55),"")</f>
        <v/>
      </c>
      <c r="CS320" s="339" t="str">
        <f>IFERROR(SUM(CS198,CS199,CS200,CS203,CS221,CS224)/(CS55+CR55+CQ55+CP55),"")</f>
        <v/>
      </c>
      <c r="CU320" s="339" t="str">
        <f>IFERROR(SUM(CU198,CU199,CU200,CU203,CU221,CU224)/(CU55+CS55+CR55+CQ55),"")</f>
        <v/>
      </c>
      <c r="CV320" s="339" t="str">
        <f>IFERROR(SUM(CV198,CV199,CV200,CV203,CV221,CV224)/(CV55+CU55+CS55+CR55),"")</f>
        <v/>
      </c>
      <c r="CW320" s="339" t="str">
        <f>IFERROR(SUM(CW198,CW199,CW200,CW203,CW221,CW224)/(CW55+CV55+CU55+CS55),"")</f>
        <v/>
      </c>
      <c r="CX320" s="339" t="str">
        <f>IFERROR(SUM(CX198,CX199,CX200,CX203,CX221,CX224)/(CX55+CW55+CV55+CU55),"")</f>
        <v/>
      </c>
    </row>
    <row r="321" ht="12.75" customFormat="1" customHeight="1" s="333">
      <c r="A321" s="334" t="n"/>
      <c r="B321" s="334" t="n"/>
      <c r="C321" s="333" t="inlineStr">
        <is>
          <t>TOTAL DEBT / TOTAL CAPITALIZATION</t>
        </is>
      </c>
      <c r="D321" s="337" t="str">
        <f>IFERROR(SUM(D198+D199+D200+D203+D221+D224)/(SUM(D198+D199+D200+D203+D221+D224)+D257),"")</f>
        <v/>
      </c>
      <c r="E321" s="337" t="str">
        <f>IFERROR(SUM(E198+E199+E200+E203+E221+E224)/(SUM(E198+E199+E200+E203+E221+E224)+E257),"")</f>
        <v/>
      </c>
      <c r="F321" s="337" t="str">
        <f>IFERROR(SUM(F198+F199+F200+F203+F221+F224)/(SUM(F198+F199+F200+F203+F221+F224)+F257),"")</f>
        <v/>
      </c>
      <c r="G321" s="337" t="str">
        <f>IFERROR(SUM(G198+G199+G200+G203+G221+G224)/(SUM(G198+G199+G200+G203+G221+G224)+G257),"")</f>
        <v/>
      </c>
      <c r="I321" s="337" t="str">
        <f>IFERROR(SUM(I198+I199+I200+I203+I221+I224)/(SUM(I198+I199+I200+I203+I221+I224)+I257),"")</f>
        <v/>
      </c>
      <c r="J321" s="337" t="str">
        <f>IFERROR(SUM(J198+J199+J200+J203+J221+J224)/(SUM(J198+J199+J200+J203+J221+J224)+J257),"")</f>
        <v/>
      </c>
      <c r="K321" s="337" t="str">
        <f>IFERROR(SUM(K198+K199+K200+K203+K221+K224)/(SUM(K198+K199+K200+K203+K221+K224)+K257),"")</f>
        <v/>
      </c>
      <c r="L321" s="337" t="str">
        <f>IFERROR(SUM(L198+L199+L200+L203+L221+L224)/(SUM(L198+L199+L200+L203+L221+L224)+L257),"")</f>
        <v/>
      </c>
      <c r="N321" s="337" t="str">
        <f>IFERROR(SUM(N198+N199+N200+N203+N221+N224)/(SUM(N198+N199+N200+N203+N221+N224)+N257),"")</f>
        <v/>
      </c>
      <c r="O321" s="337" t="str">
        <f>IFERROR(SUM(O198+O199+O200+O203+O221+O224)/(SUM(O198+O199+O200+O203+O221+O224)+O257),"")</f>
        <v/>
      </c>
      <c r="P321" s="337" t="str">
        <f>IFERROR(SUM(P198+P199+P200+P203+P221+P224)/(SUM(P198+P199+P200+P203+P221+P224)+P257),"")</f>
        <v/>
      </c>
      <c r="Q321" s="337" t="str">
        <f>IFERROR(SUM(Q198+Q199+Q200+Q203+Q221+Q224)/(SUM(Q198+Q199+Q200+Q203+Q221+Q224)+Q257),"")</f>
        <v/>
      </c>
      <c r="S321" s="337" t="str">
        <f>IFERROR(SUM(S198+S199+S200+S203+S221+S224)/(SUM(S198+S199+S200+S203+S221+S224)+S257),"")</f>
        <v/>
      </c>
      <c r="T321" s="337" t="str">
        <f>IFERROR(SUM(T198+T199+T200+T203+T221+T224)/(SUM(T198+T199+T200+T203+T221+T224)+T257),"")</f>
        <v/>
      </c>
      <c r="U321" s="337" t="str">
        <f>IFERROR(SUM(U198+U199+U200+U203+U221+U224)/(SUM(U198+U199+U200+U203+U221+U224)+U257),"")</f>
        <v/>
      </c>
      <c r="V321" s="337" t="str">
        <f>IFERROR(SUM(V198+V199+V200+V203+V221+V224)/(SUM(V198+V199+V200+V203+V221+V224)+V257),"")</f>
        <v/>
      </c>
      <c r="X321" s="337" t="str">
        <f>IFERROR(SUM(X198+X199+X200+X203+X221+X224)/(SUM(X198+X199+X200+X203+X221+X224)+X257),"")</f>
        <v/>
      </c>
      <c r="Y321" s="337" t="str">
        <f>IFERROR(SUM(Y198+Y199+Y200+Y203+Y221+Y224)/(SUM(Y198+Y199+Y200+Y203+Y221+Y224)+Y257),"")</f>
        <v/>
      </c>
      <c r="Z321" s="337" t="str">
        <f>IFERROR(SUM(Z198+Z199+Z200+Z203+Z221+Z224)/(SUM(Z198+Z199+Z200+Z203+Z221+Z224)+Z257),"")</f>
        <v/>
      </c>
      <c r="AA321" s="337">
        <f>IFERROR(SUM(AA198+AA199+AA200+AA203+AA221+AA224)/(SUM(AA198+AA199+AA200+AA203+AA221+AA224)+AA257),"")</f>
        <v>0.889454466379581</v>
      </c>
      <c r="AC321" s="337">
        <f>IFERROR(SUM(AC198+AC199+AC200+AC203+AC221+AC224)/(SUM(AC198+AC199+AC200+AC203+AC221+AC224)+AC257),"")</f>
        <v>0.793846524812882</v>
      </c>
      <c r="AD321" s="337">
        <f>IFERROR(SUM(AD198+AD199+AD200+AD203+AD221+AD224)/(SUM(AD198+AD199+AD200+AD203+AD221+AD224)+AD257),"")</f>
        <v>0.791438204576594</v>
      </c>
      <c r="AE321" s="337">
        <f>IFERROR(SUM(AE198+AE199+AE200+AE203+AE221+AE224)/(SUM(AE198+AE199+AE200+AE203+AE221+AE224)+AE257),"")</f>
        <v>0.828689115556196</v>
      </c>
      <c r="AF321" s="337">
        <f>IFERROR(SUM(AF198+AF199+AF200+AF203+AF221+AF224)/(SUM(AF198+AF199+AF200+AF203+AF221+AF224)+AF257),"")</f>
        <v>0.89864146126493</v>
      </c>
      <c r="AH321" s="337">
        <f>IFERROR(SUM(AH198+AH199+AH200+AH203+AH221+AH224)/(SUM(AH198+AH199+AH200+AH203+AH221+AH224)+AH257),"")</f>
        <v>0.880029242714531</v>
      </c>
      <c r="AI321" s="337">
        <f>IFERROR(SUM(AI198+AI199+AI200+AI203+AI221+AI224)/(SUM(AI198+AI199+AI200+AI203+AI221+AI224)+AI257),"")</f>
        <v>0.764606662606007</v>
      </c>
      <c r="AJ321" s="337">
        <f>IFERROR(SUM(AJ198+AJ199+AJ200+AJ203+AJ221+AJ224)/(SUM(AJ198+AJ199+AJ200+AJ203+AJ221+AJ224)+AJ257),"")</f>
        <v>0.767663938282059</v>
      </c>
      <c r="AK321" s="337">
        <f>IFERROR(SUM(AK198+AK199+AK200+AK203+AK221+AK224)/(SUM(AK198+AK199+AK200+AK203+AK221+AK224)+AK257),"")</f>
        <v>0.766114266935825</v>
      </c>
      <c r="AM321" s="337">
        <f>IFERROR(SUM(AM198+AM199+AM200+AM203+AM221+AM224)/(SUM(AM198+AM199+AM200+AM203+AM221+AM224)+AM257),"")</f>
        <v>0.76457083958021</v>
      </c>
      <c r="AN321" s="337">
        <f>IFERROR(SUM(AN198+AN199+AN200+AN203+AN221+AN224)/(SUM(AN198+AN199+AN200+AN203+AN221+AN224)+AN257),"")</f>
        <v>0.767591721542803</v>
      </c>
      <c r="AO321" s="337">
        <f>IFERROR(SUM(AO198+AO199+AO200+AO203+AO221+AO224)/(SUM(AO198+AO199+AO200+AO203+AO221+AO224)+AO257),"")</f>
        <v>0.766042341454255</v>
      </c>
      <c r="AP321" s="337">
        <f>IFERROR(SUM(AP198+AP199+AP200+AP203+AP221+AP224)/(SUM(AP198+AP199+AP200+AP203+AP221+AP224)+AP257),"")</f>
        <v>0.769074885715632</v>
      </c>
      <c r="AR321" s="337">
        <f>IFERROR(SUM(AR198+AR199+AR200+AR203+AR221+AR224)/(SUM(AR198+AR199+AR200+AR203+AR221+AR224)+AR257),"")</f>
        <v>0.772131535367873</v>
      </c>
      <c r="AS321" s="337">
        <f>IFERROR(SUM(AS198+AS199+AS200+AS203+AS221+AS224)/(SUM(AS198+AS199+AS200+AS203+AS221+AS224)+AS257),"")</f>
        <v>0.775138935068636</v>
      </c>
      <c r="AT321" s="337">
        <f>IFERROR(SUM(AT198+AT199+AT200+AT203+AT221+AT224)/(SUM(AT198+AT199+AT200+AT203+AT221+AT224)+AT257),"")</f>
        <v>0.778244074586294</v>
      </c>
      <c r="AU321" s="337">
        <f>IFERROR(SUM(AU198+AU199+AU200+AU203+AU221+AU224)/(SUM(AU198+AU199+AU200+AU203+AU221+AU224)+AU257),"")</f>
        <v>0.781299372815627</v>
      </c>
      <c r="AW321" s="337">
        <f>IFERROR(SUM(AW198+AW199+AW200+AW203+AW221+AW224)/(SUM(AW198+AW199+AW200+AW203+AW221+AW224)+AW257),"")</f>
        <v>0.784378755106945</v>
      </c>
      <c r="AX321" s="337">
        <f>IFERROR(SUM(AX198+AX199+AX200+AX203+AX221+AX224)/(SUM(AX198+AX199+AX200+AX203+AX221+AX224)+AX257),"")</f>
        <v>0.797098617691594</v>
      </c>
      <c r="AY321" s="337">
        <f>IFERROR(SUM(AY198+AY199+AY200+AY203+AY221+AY224)/(SUM(AY198+AY199+AY200+AY203+AY221+AY224)+AY257),"")</f>
        <v>0.800304055710853</v>
      </c>
      <c r="AZ321" s="337">
        <f>IFERROR(SUM(AZ198+AZ199+AZ200+AZ203+AZ221+AZ224)/(SUM(AZ198+AZ199+AZ200+AZ203+AZ221+AZ224)+AZ257),"")</f>
        <v>0.813550027419114</v>
      </c>
      <c r="BB321" s="337">
        <f>IFERROR(SUM(BB198+BB199+BB200+BB203+BB221+BB224)/(SUM(BB198+BB199+BB200+BB203+BB221+BB224)+BB257),"")</f>
        <v>0.827241851269833</v>
      </c>
      <c r="BC321" s="337">
        <f>IFERROR(SUM(BC198+BC199+BC200+BC203+BC221+BC224)/(SUM(BC198+BC199+BC200+BC203+BC221+BC224)+BC257),"")</f>
        <v>0.86348484046775</v>
      </c>
      <c r="BD321" s="337">
        <f>IFERROR(SUM(BD198+BD199+BD200+BD203+BD221+BD224)/(SUM(BD198+BD199+BD200+BD203+BD221+BD224)+BD257),"")</f>
        <v>0.878924974416976</v>
      </c>
      <c r="BE321" s="337">
        <f>IFERROR(SUM(BE198+BE199+BE200+BE203+BE221+BE224)/(SUM(BE198+BE199+BE200+BE203+BE221+BE224)+BE257),"")</f>
        <v>0.919950391792097</v>
      </c>
      <c r="BG321" s="337">
        <f>IFERROR(SUM(BG198+BG199+BG200+BG203+BG221+BG224)/(SUM(BG198+BG199+BG200+BG203+BG221+BG224)+BG257),"")</f>
        <v>0.964993199692508</v>
      </c>
      <c r="BH321" s="337">
        <f>IFERROR(SUM(BH198+BH199+BH200+BH203+BH221+BH224)/(SUM(BH198+BH199+BH200+BH203+BH221+BH224)+BH257),"")</f>
        <v>1.11842916866562</v>
      </c>
      <c r="BI321" s="337">
        <f>IFERROR(SUM(BI198+BI199+BI200+BI203+BI221+BI224)/(SUM(BI198+BI199+BI200+BI203+BI221+BI224)+BI257),"")</f>
        <v>1.18571532369396</v>
      </c>
      <c r="BJ321" s="337">
        <f>IFERROR(SUM(BJ198+BJ199+BJ200+BJ203+BJ221+BJ224)/(SUM(BJ198+BJ199+BJ200+BJ203+BJ221+BJ224)+BJ257),"")</f>
        <v>1.42611203355763</v>
      </c>
      <c r="BL321" s="337">
        <f>IFERROR(SUM(BL198+BL199+BL200+BL203+BL221+BL224)/(SUM(BL198+BL199+BL200+BL203+BL221+BL224)+BL257),"")</f>
        <v>1.78877562205415</v>
      </c>
      <c r="BM321" s="337">
        <f>IFERROR(SUM(BM198+BM199+BM200+BM203+BM221+BM224)/(SUM(BM198+BM199+BM200+BM203+BM221+BM224)+BM257),"")</f>
        <v>5.77255040679165</v>
      </c>
      <c r="BN321" s="337">
        <f>IFERROR(SUM(BN198+BN199+BN200+BN203+BN221+BN224)/(SUM(BN198+BN199+BN200+BN203+BN221+BN224)+BN257),"")</f>
        <v>32.1873767258383</v>
      </c>
      <c r="BO321" s="337">
        <f>IFERROR(SUM(BO198+BO199+BO200+BO203+BO221+BO224)/(SUM(BO198+BO199+BO200+BO203+BO221+BO224)+BO257),"")</f>
        <v>-2.81896700639143</v>
      </c>
      <c r="BQ321" s="337">
        <f>IFERROR(SUM(BQ198+BQ199+BQ200+BQ203+BQ221+BQ224)/(SUM(BQ198+BQ199+BQ200+BQ203+BQ221+BQ224)+BQ257),"")</f>
        <v>-1.35035167563095</v>
      </c>
      <c r="BR321" s="337">
        <f>IFERROR(SUM(BR198+BR199+BR200+BR203+BR221+BR224)/(SUM(BR198+BR199+BR200+BR203+BR221+BR224)+BR257),"")</f>
        <v>-0.556639492444657</v>
      </c>
      <c r="BS321" s="337">
        <f>IFERROR(SUM(BS198+BS199+BS200+BS203+BS221+BS224)/(SUM(BS198+BS199+BS200+BS203+BS221+BS224)+BS257),"")</f>
        <v>-0.458231544660658</v>
      </c>
      <c r="BT321" s="337">
        <f>IFERROR(SUM(BT198+BT199+BT200+BT203+BT221+BT224)/(SUM(BT198+BT199+BT200+BT203+BT221+BT224)+BT257),"")</f>
        <v>-0.308808780395496</v>
      </c>
      <c r="BV321" s="337">
        <f>IFERROR(SUM(BV198+BV199+BV200+BV203+BV221+BV224)/(SUM(BV198+BV199+BV200+BV203+BV221+BV224)+BV257),"")</f>
        <v>-0.232872411775618</v>
      </c>
      <c r="BW321" s="337">
        <f>IFERROR(SUM(BW198+BW199+BW200+BW203+BW221+BW224)/(SUM(BW198+BW199+BW200+BW203+BW221+BW224)+BW257),"")</f>
        <v>-0.139320259875526</v>
      </c>
      <c r="BX321" s="337">
        <f>IFERROR(SUM(BX198+BX199+BX200+BX203+BX221+BX224)/(SUM(BX198+BX199+BX200+BX203+BX221+BX224)+BX257),"")</f>
        <v>-0.121452759275109</v>
      </c>
      <c r="BY321" s="337">
        <f>IFERROR(SUM(BY198+BY199+BY200+BY203+BY221+BY224)/(SUM(BY198+BY199+BY200+BY203+BY221+BY224)+BY257),"")</f>
        <v>-0.0899509979550328</v>
      </c>
      <c r="CA321" s="337">
        <f>IFERROR(SUM(CA198+CA199+CA200+CA203+CA221+CA224)/(SUM(CA198+CA199+CA200+CA203+CA221+CA224)+CA257),"")</f>
        <v>-0.0714251325078673</v>
      </c>
      <c r="CB321" s="337">
        <f>IFERROR(SUM(CB198+CB199+CB200+CB203+CB221+CB224)/(SUM(CB198+CB199+CB200+CB203+CB221+CB224)+CB257),"")</f>
        <v>-0.0457046993023445</v>
      </c>
      <c r="CC321" s="337">
        <f>IFERROR(SUM(CC198+CC199+CC200+CC203+CC221+CC224)/(SUM(CC198+CC199+CC200+CC203+CC221+CC224)+CC257),"")</f>
        <v>-0.040382669032365</v>
      </c>
      <c r="CD321" s="337">
        <f>IFERROR(SUM(CD198+CD199+CD200+CD203+CD221+CD224)/(SUM(CD198+CD199+CD200+CD203+CD221+CD224)+CD257),"")</f>
        <v>-0.0306353661169359</v>
      </c>
      <c r="CF321" s="337">
        <f>IFERROR(SUM(CF198+CF199+CF200+CF203+CF221+CF224)/(SUM(CF198+CF199+CF200+CF203+CF221+CF224)+CF257),"")</f>
        <v>-0.0246786064806483</v>
      </c>
      <c r="CG321" s="337">
        <f>IFERROR(SUM(CG198+CG199+CG200+CG203+CG221+CG224)/(SUM(CG198+CG199+CG200+CG203+CG221+CG224)+CG257),"")</f>
        <v>-0.0161171329102985</v>
      </c>
      <c r="CH321" s="337">
        <f>IFERROR(SUM(CH198+CH199+CH200+CH203+CH221+CH224)/(SUM(CH198+CH199+CH200+CH203+CH221+CH224)+CH257),"")</f>
        <v>-0.0143011004284459</v>
      </c>
      <c r="CI321" s="337">
        <f>IFERROR(SUM(CI198+CI199+CI200+CI203+CI221+CI224)/(SUM(CI198+CI199+CI200+CI203+CI221+CI224)+CI257),"")</f>
        <v>-0.0109349924448778</v>
      </c>
      <c r="CK321" s="337">
        <f>IFERROR(SUM(CK198+CK199+CK200+CK203+CK221+CK224)/(SUM(CK198+CK199+CK200+CK203+CK221+CK224)+CK257),"")</f>
        <v>-0.00885156395348522</v>
      </c>
      <c r="CL321" s="337">
        <f>IFERROR(SUM(CL198+CL199+CL200+CL203+CL221+CL224)/(SUM(CL198+CL199+CL200+CL203+CL221+CL224)+CL257),"")</f>
        <v>-0.00582133471550942</v>
      </c>
      <c r="CM321" s="337">
        <f>IFERROR(SUM(CM198+CM199+CM200+CM203+CM221+CM224)/(SUM(CM198+CM199+CM200+CM203+CM221+CM224)+CM257),"")</f>
        <v>-0.00517312485715182</v>
      </c>
      <c r="CN321" s="337">
        <f>IFERROR(SUM(CN198+CN199+CN200+CN203+CN221+CN224)/(SUM(CN198+CN199+CN200+CN203+CN221+CN224)+CN257),"")</f>
        <v>-0.00396645514993852</v>
      </c>
      <c r="CP321" s="337">
        <f>IFERROR(SUM(CP198+CP199+CP200+CP203+CP221+CP224)/(SUM(CP198+CP199+CP200+CP203+CP221+CP224)+CP257),"")</f>
        <v>-0.00321624270560924</v>
      </c>
      <c r="CQ321" s="337">
        <f>IFERROR(SUM(CQ198+CQ199+CQ200+CQ203+CQ221+CQ224)/(SUM(CQ198+CQ199+CQ200+CQ203+CQ221+CQ224)+CQ257),"")</f>
        <v>-0.00212050150334838</v>
      </c>
      <c r="CR321" s="337">
        <f>IFERROR(SUM(CR198+CR199+CR200+CR203+CR221+CR224)/(SUM(CR198+CR199+CR200+CR203+CR221+CR224)+CR257),"")</f>
        <v>-0.00188539057415625</v>
      </c>
      <c r="CS321" s="337">
        <f>IFERROR(SUM(CS198+CS199+CS200+CS203+CS221+CS224)/(SUM(CS198+CS199+CS200+CS203+CS221+CS224)+CS257),"")</f>
        <v>-0.00144705481029341</v>
      </c>
      <c r="CU321" s="337">
        <f>IFERROR(SUM(CU198+CU199+CU200+CU203+CU221+CU224)/(SUM(CU198+CU199+CU200+CU203+CU221+CU224)+CU257),"")</f>
        <v>-0.00117408984654382</v>
      </c>
      <c r="CV321" s="337">
        <f>IFERROR(SUM(CV198+CV199+CV200+CV203+CV221+CV224)/(SUM(CV198+CV199+CV200+CV203+CV221+CV224)+CV257),"")</f>
        <v>-0.000774792517837344</v>
      </c>
      <c r="CW321" s="337">
        <f>IFERROR(SUM(CW198+CW199+CW200+CW203+CW221+CW224)/(SUM(CW198+CW199+CW200+CW203+CW221+CW224)+CW257),"")</f>
        <v>-0.000689021812381121</v>
      </c>
      <c r="CX321" s="337">
        <f>IFERROR(SUM(CX198+CX199+CX200+CX203+CX221+CX224)/(SUM(CX198+CX199+CX200+CX203+CX221+CX224)+CX257),"")</f>
        <v>-0.000529022881220245</v>
      </c>
    </row>
    <row r="322" ht="12.75" customFormat="1" customHeight="1" s="333">
      <c r="A322" s="334" t="n"/>
      <c r="B322" s="334" t="n"/>
      <c r="C322" s="333" t="inlineStr">
        <is>
          <t>NET DEBT / EBITDA LTM (com arrendamentos)</t>
        </is>
      </c>
      <c r="D322" s="339" t="str">
        <f>""</f>
        <v/>
      </c>
      <c r="E322" s="339" t="str">
        <f>""</f>
        <v/>
      </c>
      <c r="F322" s="339" t="str">
        <f>""</f>
        <v/>
      </c>
      <c r="G322" s="339" t="str">
        <f>IFERROR((SUM(G198,G199,G200,G203,G221,G224)-G130)/(G55+F55+E55+D55),"")</f>
        <v/>
      </c>
      <c r="I322" s="339" t="str">
        <f>IFERROR((SUM(I198,I199,I200,I203,I221,I224)-I130)/(I55+G55+F55+E55),"")</f>
        <v/>
      </c>
      <c r="J322" s="339" t="str">
        <f>IFERROR((SUM(J198,J199,J200,J203,J221,J224)-J130)/(J55+I55+G55+F55),"")</f>
        <v/>
      </c>
      <c r="K322" s="339" t="str">
        <f>IFERROR((SUM(K198,K199,K200,K203,K221,K224)-K130)/(K55+J55+I55+G55),"")</f>
        <v/>
      </c>
      <c r="L322" s="339" t="str">
        <f>IFERROR((SUM(L198,L199,L200,L203,L221,L224)-L130)/(L55+K55+J55+I55),"")</f>
        <v/>
      </c>
      <c r="N322" s="339" t="str">
        <f>IFERROR((SUM(N198,N199,N200,N203,N221,N224)-N130)/(N55+L55+K55+J55),"")</f>
        <v/>
      </c>
      <c r="O322" s="339" t="str">
        <f>IFERROR((SUM(O198,O199,O200,O203,O221,O224)-O130)/(O55+N55+L55+K55),"")</f>
        <v/>
      </c>
      <c r="P322" s="339" t="str">
        <f>IFERROR((SUM(P198,P199,P200,P203,P221,P224)-P130)/(P55+O55+N55+L55),"")</f>
        <v/>
      </c>
      <c r="Q322" s="339" t="str">
        <f>IFERROR((SUM(Q198,Q199,Q200,Q203,Q221,Q224)-Q130)/(Q55+P55+O55+N55),"")</f>
        <v/>
      </c>
      <c r="S322" s="339" t="str">
        <f>IFERROR((SUM(S198,S199,S200,S203,S221,S224)-S130)/(S55+Q55+P55+O55),"")</f>
        <v/>
      </c>
      <c r="T322" s="339" t="str">
        <f>IFERROR((SUM(T198,T199,T200,T203,T221,T224)-T130)/(T55+S55+Q55+P55),"")</f>
        <v/>
      </c>
      <c r="U322" s="339" t="str">
        <f>IFERROR((SUM(U198,U199,U200,U203,U221,U224)-U130)/(U55+T55+S55+Q55),"")</f>
        <v/>
      </c>
      <c r="V322" s="339" t="str">
        <f>IFERROR((SUM(V198,V199,V200,V203,V221,V224)-V130)/(V55+U55+T55+S55),"")</f>
        <v/>
      </c>
      <c r="X322" s="339">
        <f>IFERROR((SUM(X198,X199,X200,X203,X221,X224)-X130)/(X55+V55+U55+T55),"")</f>
        <v>0</v>
      </c>
      <c r="Y322" s="339">
        <f>IFERROR((SUM(Y198,Y199,Y200,Y203,Y221,Y224)-Y130)/(Y55+X55+V55+U55),"")</f>
        <v>0</v>
      </c>
      <c r="Z322" s="339">
        <f>IFERROR((SUM(Z198,Z199,Z200,Z203,Z221,Z224)-Z130)/(Z55+Y55+X55+V55),"")</f>
        <v>0</v>
      </c>
      <c r="AA322" s="339">
        <f>IFERROR((SUM(AA198,AA199,AA200,AA203,AA221,AA224)-AA130)/(AA55+Z55+Y55+X55),"")</f>
        <v>7.72306065711879</v>
      </c>
      <c r="AC322" s="339">
        <f>IFERROR((SUM(AC198,AC199,AC200,AC203,AC221,AC224)-AC130)/(AC55+AA55+Z55+Y55),"")</f>
        <v>6.99510131772762</v>
      </c>
      <c r="AD322" s="339">
        <f>IFERROR((SUM(AD198,AD199,AD200,AD203,AD221,AD224)-AD130)/(AD55+AC55+AA55+Z55),"")</f>
        <v>7.23977455192466</v>
      </c>
      <c r="AE322" s="339">
        <f>IFERROR((SUM(AE198,AE199,AE200,AE203,AE221,AE224)-AE130)/(AE55+AD55+AC55+AA55),"")</f>
        <v>7.80525417600895</v>
      </c>
      <c r="AF322" s="339">
        <f>IFERROR((SUM(AF198,AF199,AF200,AF203,AF221,AF224)-AF130)/(AF55+AE55+AD55+AC55),"")</f>
        <v>10.965173625284</v>
      </c>
      <c r="AH322" s="339">
        <f>IFERROR((SUM(AH198,AH199,AH200,AH203,AH221,AH224)-AH130)/(AH55+AF55+AE55+AD55),"")</f>
        <v>10.9000241755277</v>
      </c>
      <c r="AI322" s="339">
        <f>IFERROR((SUM(AI198,AI199,AI200,AI203,AI221,AI224)-AI130)/(AI55+AH55+AF55+AE55),"")</f>
        <v>2.86680550373469</v>
      </c>
      <c r="AJ322" s="339">
        <f>IFERROR((SUM(AJ198,AJ199,AJ200,AJ203,AJ221,AJ224)-AJ130)/(AJ55+AI55+AH55+AF55),"")</f>
        <v>5.89222580974245</v>
      </c>
      <c r="AK322" s="339">
        <f>IFERROR((SUM(AK198,AK199,AK200,AK203,AK221,AK224)-AK130)/(AK55+AJ55+AI55+AH55),"")</f>
        <v>7.70899020025565</v>
      </c>
      <c r="AM322" s="339" t="str">
        <f>IFERROR((SUM(AM198,AM199,AM200,AM203,AM221,AM224)-AM130)/(AM55+AK55+AJ55+AI55),"")</f>
        <v/>
      </c>
      <c r="AN322" s="339" t="str">
        <f>IFERROR((SUM(AN198,AN199,AN200,AN203,AN221,AN224)-AN130)/(AN55+AM55+AK55+AJ55),"")</f>
        <v/>
      </c>
      <c r="AO322" s="339" t="str">
        <f>IFERROR((SUM(AO198,AO199,AO200,AO203,AO221,AO224)-AO130)/(AO55+AN55+AM55+AK55),"")</f>
        <v/>
      </c>
      <c r="AP322" s="339" t="str">
        <f>IFERROR((SUM(AP198,AP199,AP200,AP203,AP221,AP224)-AP130)/(AP55+AO55+AN55+AM55),"")</f>
        <v/>
      </c>
      <c r="AR322" s="339" t="str">
        <f>IFERROR((SUM(AR198,AR199,AR200,AR203,AR221,AR224)-AR130)/(AR55+AP55+AO55+AN55),"")</f>
        <v/>
      </c>
      <c r="AS322" s="339" t="str">
        <f>IFERROR((SUM(AS198,AS199,AS200,AS203,AS221,AS224)-AS130)/(AS55+AR55+AP55+AO55),"")</f>
        <v/>
      </c>
      <c r="AT322" s="339" t="str">
        <f>IFERROR((SUM(AT198,AT199,AT200,AT203,AT221,AT224)-AT130)/(AT55+AS55+AR55+AP55),"")</f>
        <v/>
      </c>
      <c r="AU322" s="339" t="str">
        <f>IFERROR((SUM(AU198,AU199,AU200,AU203,AU221,AU224)-AU130)/(AU55+AT55+AS55+AR55),"")</f>
        <v/>
      </c>
      <c r="AW322" s="339" t="str">
        <f>IFERROR((SUM(AW198,AW199,AW200,AW203,AW221,AW224)-AW130)/(AW55+AU55+AT55+AS55),"")</f>
        <v/>
      </c>
      <c r="AX322" s="339" t="str">
        <f>IFERROR((SUM(AX198,AX199,AX200,AX203,AX221,AX224)-AX130)/(AX55+AW55+AU55+AT55),"")</f>
        <v/>
      </c>
      <c r="AY322" s="339" t="str">
        <f>IFERROR((SUM(AY198,AY199,AY200,AY203,AY221,AY224)-AY130)/(AY55+AX55+AW55+AU55),"")</f>
        <v/>
      </c>
      <c r="AZ322" s="339" t="str">
        <f>IFERROR((SUM(AZ198,AZ199,AZ200,AZ203,AZ221,AZ224)-AZ130)/(AZ55+AY55+AX55+AW55),"")</f>
        <v/>
      </c>
      <c r="BB322" s="339" t="str">
        <f>IFERROR((SUM(BB198,BB199,BB200,BB203,BB221,BB224)-BB130)/(BB55+AZ55+AY55+AX55),"")</f>
        <v/>
      </c>
      <c r="BC322" s="339" t="str">
        <f>IFERROR((SUM(BC198,BC199,BC200,BC203,BC221,BC224)-BC130)/(BC55+BB55+AZ55+AY55),"")</f>
        <v/>
      </c>
      <c r="BD322" s="339" t="str">
        <f>IFERROR((SUM(BD198,BD199,BD200,BD203,BD221,BD224)-BD130)/(BD55+BC55+BB55+AZ55),"")</f>
        <v/>
      </c>
      <c r="BE322" s="339" t="str">
        <f>IFERROR((SUM(BE198,BE199,BE200,BE203,BE221,BE224)-BE130)/(BE55+BD55+BC55+BB55),"")</f>
        <v/>
      </c>
      <c r="BG322" s="339" t="str">
        <f>IFERROR((SUM(BG198,BG199,BG200,BG203,BG221,BG224)-BG130)/(BG55+BE55+BD55+BC55),"")</f>
        <v/>
      </c>
      <c r="BH322" s="339" t="str">
        <f>IFERROR((SUM(BH198,BH199,BH200,BH203,BH221,BH224)-BH130)/(BH55+BG55+BE55+BD55),"")</f>
        <v/>
      </c>
      <c r="BI322" s="339" t="str">
        <f>IFERROR((SUM(BI198,BI199,BI200,BI203,BI221,BI224)-BI130)/(BI55+BH55+BG55+BE55),"")</f>
        <v/>
      </c>
      <c r="BJ322" s="339" t="str">
        <f>IFERROR((SUM(BJ198,BJ199,BJ200,BJ203,BJ221,BJ224)-BJ130)/(BJ55+BI55+BH55+BG55),"")</f>
        <v/>
      </c>
      <c r="BL322" s="339" t="str">
        <f>IFERROR((SUM(BL198,BL199,BL200,BL203,BL221,BL224)-BL130)/(BL55+BJ55+BI55+BH55),"")</f>
        <v/>
      </c>
      <c r="BM322" s="339" t="str">
        <f>IFERROR((SUM(BM198,BM199,BM200,BM203,BM221,BM224)-BM130)/(BM55+BL55+BJ55+BI55),"")</f>
        <v/>
      </c>
      <c r="BN322" s="339" t="str">
        <f>IFERROR((SUM(BN198,BN199,BN200,BN203,BN221,BN224)-BN130)/(BN55+BM55+BL55+BJ55),"")</f>
        <v/>
      </c>
      <c r="BO322" s="339" t="str">
        <f>IFERROR((SUM(BO198,BO199,BO200,BO203,BO221,BO224)-BO130)/(BO55+BN55+BM55+BL55),"")</f>
        <v/>
      </c>
      <c r="BQ322" s="339" t="str">
        <f>IFERROR((SUM(BQ198,BQ199,BQ200,BQ203,BQ221,BQ224)-BQ130)/(BQ55+BO55+BN55+BM55),"")</f>
        <v/>
      </c>
      <c r="BR322" s="339" t="str">
        <f>IFERROR((SUM(BR198,BR199,BR200,BR203,BR221,BR224)-BR130)/(BR55+BQ55+BO55+BN55),"")</f>
        <v/>
      </c>
      <c r="BS322" s="339" t="str">
        <f>IFERROR((SUM(BS198,BS199,BS200,BS203,BS221,BS224)-BS130)/(BS55+BR55+BQ55+BO55),"")</f>
        <v/>
      </c>
      <c r="BT322" s="339" t="str">
        <f>IFERROR((SUM(BT198,BT199,BT200,BT203,BT221,BT224)-BT130)/(BT55+BS55+BR55+BQ55),"")</f>
        <v/>
      </c>
      <c r="BV322" s="339" t="str">
        <f>IFERROR((SUM(BV198,BV199,BV200,BV203,BV221,BV224)-BV130)/(BV55+BT55+BS55+BR55),"")</f>
        <v/>
      </c>
      <c r="BW322" s="339" t="str">
        <f>IFERROR((SUM(BW198,BW199,BW200,BW203,BW221,BW224)-BW130)/(BW55+BV55+BT55+BS55),"")</f>
        <v/>
      </c>
      <c r="BX322" s="339" t="str">
        <f>IFERROR((SUM(BX198,BX199,BX200,BX203,BX221,BX224)-BX130)/(BX55+BW55+BV55+BT55),"")</f>
        <v/>
      </c>
      <c r="BY322" s="339" t="str">
        <f>IFERROR((SUM(BY198,BY199,BY200,BY203,BY221,BY224)-BY130)/(BY55+BX55+BW55+BV55),"")</f>
        <v/>
      </c>
      <c r="CA322" s="339" t="str">
        <f>IFERROR((SUM(CA198,CA199,CA200,CA203,CA221,CA224)-CA130)/(CA55+BY55+BX55+BW55),"")</f>
        <v/>
      </c>
      <c r="CB322" s="339" t="str">
        <f>IFERROR((SUM(CB198,CB199,CB200,CB203,CB221,CB224)-CB130)/(CB55+CA55+BY55+BX55),"")</f>
        <v/>
      </c>
      <c r="CC322" s="339" t="str">
        <f>IFERROR((SUM(CC198,CC199,CC200,CC203,CC221,CC224)-CC130)/(CC55+CB55+CA55+BY55),"")</f>
        <v/>
      </c>
      <c r="CD322" s="339" t="str">
        <f>IFERROR((SUM(CD198,CD199,CD200,CD203,CD221,CD224)-CD130)/(CD55+CC55+CB55+CA55),"")</f>
        <v/>
      </c>
      <c r="CF322" s="339" t="str">
        <f>IFERROR((SUM(CF198,CF199,CF200,CF203,CF221,CF224)-CF130)/(CF55+CD55+CC55+CB55),"")</f>
        <v/>
      </c>
      <c r="CG322" s="339" t="str">
        <f>IFERROR((SUM(CG198,CG199,CG200,CG203,CG221,CG224)-CG130)/(CG55+CF55+CD55+CC55),"")</f>
        <v/>
      </c>
      <c r="CH322" s="339" t="str">
        <f>IFERROR((SUM(CH198,CH199,CH200,CH203,CH221,CH224)-CH130)/(CH55+CG55+CF55+CD55),"")</f>
        <v/>
      </c>
      <c r="CI322" s="339" t="str">
        <f>IFERROR((SUM(CI198,CI199,CI200,CI203,CI221,CI224)-CI130)/(CI55+CH55+CG55+CF55),"")</f>
        <v/>
      </c>
      <c r="CK322" s="339" t="str">
        <f>IFERROR((SUM(CK198,CK199,CK200,CK203,CK221,CK224)-CK130)/(CK55+CI55+CH55+CG55),"")</f>
        <v/>
      </c>
      <c r="CL322" s="339" t="str">
        <f>IFERROR((SUM(CL198,CL199,CL200,CL203,CL221,CL224)-CL130)/(CL55+CK55+CI55+CH55),"")</f>
        <v/>
      </c>
      <c r="CM322" s="339" t="str">
        <f>IFERROR((SUM(CM198,CM199,CM200,CM203,CM221,CM224)-CM130)/(CM55+CL55+CK55+CI55),"")</f>
        <v/>
      </c>
      <c r="CN322" s="339" t="str">
        <f>IFERROR((SUM(CN198,CN199,CN200,CN203,CN221,CN224)-CN130)/(CN55+CM55+CL55+CK55),"")</f>
        <v/>
      </c>
      <c r="CP322" s="339" t="str">
        <f>IFERROR((SUM(CP198,CP199,CP200,CP203,CP221,CP224)-CP130)/(CP55+CN55+CM55+CL55),"")</f>
        <v/>
      </c>
      <c r="CQ322" s="339" t="str">
        <f>IFERROR((SUM(CQ198,CQ199,CQ200,CQ203,CQ221,CQ224)-CQ130)/(CQ55+CP55+CN55+CM55),"")</f>
        <v/>
      </c>
      <c r="CR322" s="339" t="str">
        <f>IFERROR((SUM(CR198,CR199,CR200,CR203,CR221,CR224)-CR130)/(CR55+CQ55+CP55+CN55),"")</f>
        <v/>
      </c>
      <c r="CS322" s="339" t="str">
        <f>IFERROR((SUM(CS198,CS199,CS200,CS203,CS221,CS224)-CS130)/(CS55+CR55+CQ55+CP55),"")</f>
        <v/>
      </c>
      <c r="CU322" s="339" t="str">
        <f>IFERROR((SUM(CU198,CU199,CU200,CU203,CU221,CU224)-CU130)/(CU55+CS55+CR55+CQ55),"")</f>
        <v/>
      </c>
      <c r="CV322" s="339" t="str">
        <f>IFERROR((SUM(CV198,CV199,CV200,CV203,CV221,CV224)-CV130)/(CV55+CU55+CS55+CR55),"")</f>
        <v/>
      </c>
      <c r="CW322" s="339" t="str">
        <f>IFERROR((SUM(CW198,CW199,CW200,CW203,CW221,CW224)-CW130)/(CW55+CV55+CU55+CS55),"")</f>
        <v/>
      </c>
      <c r="CX322" s="339" t="str">
        <f>IFERROR((SUM(CX198,CX199,CX200,CX203,CX221,CX224)-CX130)/(CX55+CW55+CV55+CU55),"")</f>
        <v/>
      </c>
    </row>
    <row r="323" ht="12.75" customFormat="1" customHeight="1" s="333">
      <c r="A323" s="334" t="n"/>
      <c r="B323" s="334" t="n"/>
      <c r="C323" s="340" t="inlineStr">
        <is>
          <t>NET DEBT (EX IFRS 16) / EBITDA LTM</t>
        </is>
      </c>
      <c r="D323" s="339" t="str">
        <f>""</f>
        <v/>
      </c>
      <c r="E323" s="339" t="str">
        <f>""</f>
        <v/>
      </c>
      <c r="F323" s="339" t="str">
        <f>""</f>
        <v/>
      </c>
      <c r="G323" s="339" t="str">
        <f>IFERROR((SUM(G198,G199,G203,G224)-G130)/(G55+F55+E55+D55),"")</f>
        <v/>
      </c>
      <c r="I323" s="339" t="str">
        <f>IFERROR((SUM(I198,I199,I203,I224)-I130)/(I55+G55+F55+E55),"")</f>
        <v/>
      </c>
      <c r="J323" s="339" t="str">
        <f>IFERROR((SUM(J198,J199,J203,J224)-J130)/(J55+I55+G55+F55),"")</f>
        <v/>
      </c>
      <c r="K323" s="339" t="str">
        <f>IFERROR((SUM(K198,K199,K203,K224)-K130)/(K55+J55+I55+G55),"")</f>
        <v/>
      </c>
      <c r="L323" s="339" t="str">
        <f>IFERROR((SUM(L198,L199,L203,L224)-L130)/(L55+K55+J55+I55),"")</f>
        <v/>
      </c>
      <c r="N323" s="339" t="str">
        <f>IFERROR((SUM(N198,N199,N203,N224)-N130)/(N55+L55+K55+J55),"")</f>
        <v/>
      </c>
      <c r="O323" s="339" t="str">
        <f>IFERROR((SUM(O198,O199,O203,O224)-O130)/(O55+N55+L55+K55),"")</f>
        <v/>
      </c>
      <c r="P323" s="339" t="str">
        <f>IFERROR((SUM(P198,P199,P203,P224)-P130)/(P55+O55+N55+L55),"")</f>
        <v/>
      </c>
      <c r="Q323" s="339" t="str">
        <f>IFERROR((SUM(Q198,Q199,Q203,Q224)-Q130)/(Q55+P55+O55+N55),"")</f>
        <v/>
      </c>
      <c r="S323" s="339" t="str">
        <f>IFERROR((SUM(S198,S199,S203,S224)-S130)/(S55+Q55+P55+O55),"")</f>
        <v/>
      </c>
      <c r="T323" s="339" t="str">
        <f>IFERROR((SUM(T198,T199,T203,T224)-T130)/(T55+S55+Q55+P55),"")</f>
        <v/>
      </c>
      <c r="U323" s="339" t="str">
        <f>IFERROR((SUM(U198,U199,U203,U224)-U130)/(U55+T55+S55+Q55),"")</f>
        <v/>
      </c>
      <c r="V323" s="339" t="str">
        <f>IFERROR((SUM(V198,V199,V203,V224)-V130)/(V55+U55+T55+S55),"")</f>
        <v/>
      </c>
      <c r="X323" s="339">
        <f>IFERROR((SUM(X198,X199,X203,X224)-X130)/(X55+V55+U55+T55),"")</f>
        <v>0</v>
      </c>
      <c r="Y323" s="339">
        <f>IFERROR((SUM(Y198,Y199,Y203,Y224)-Y130)/(Y55+X55+V55+U55),"")</f>
        <v>0</v>
      </c>
      <c r="Z323" s="339">
        <f>IFERROR((SUM(Z198,Z199,Z203,Z224)-Z130)/(Z55+Y55+X55+V55),"")</f>
        <v>0</v>
      </c>
      <c r="AA323" s="339">
        <f>IFERROR((SUM(AA198,AA199,AA203,AA224)-AA130)/(AA55+Z55+Y55+X55),"")</f>
        <v>5.53096630160067</v>
      </c>
      <c r="AC323" s="339">
        <f>IFERROR((SUM(AC198,AC199,AC203,AC224)-AC130)/(AC55+AA55+Z55+Y55),"")</f>
        <v>4.9333240442162</v>
      </c>
      <c r="AD323" s="339">
        <f>IFERROR((SUM(AD198,AD199,AD203,AD224)-AD130)/(AD55+AC55+AA55+Z55),"")</f>
        <v>5.3696447945146</v>
      </c>
      <c r="AE323" s="339">
        <f>IFERROR((SUM(AE198,AE199,AE203,AE224)-AE130)/(AE55+AD55+AC55+AA55),"")</f>
        <v>5.6126070892019</v>
      </c>
      <c r="AF323" s="339">
        <f>IFERROR((SUM(AF198,AF199,AF203,AF224)-AF130)/(AF55+AE55+AD55+AC55),"")</f>
        <v>7.56230325533653</v>
      </c>
      <c r="AH323" s="339">
        <f>IFERROR((SUM(AH198,AH199,AH203,AH224)-AH130)/(AH55+AF55+AE55+AD55),"")</f>
        <v>7.54416708628793</v>
      </c>
      <c r="AI323" s="339">
        <f>IFERROR((SUM(AI198,AI199,AI203,AI224)-AI130)/(AI55+AH55+AF55+AE55),"")</f>
        <v>-1.47302742905255</v>
      </c>
      <c r="AJ323" s="339">
        <f>IFERROR((SUM(AJ198,AJ199,AJ203,AJ224)-AJ130)/(AJ55+AI55+AH55+AF55),"")</f>
        <v>0.590327210867999</v>
      </c>
      <c r="AK323" s="339">
        <f>IFERROR((SUM(AK198,AK199,AK203,AK224)-AK130)/(AK55+AJ55+AI55+AH55),"")</f>
        <v>0.755858542820622</v>
      </c>
      <c r="AM323" s="339" t="str">
        <f>IFERROR((SUM(AM198,AM199,AM203,AM224)-AM130)/(AM55+AK55+AJ55+AI55),"")</f>
        <v/>
      </c>
      <c r="AN323" s="339" t="str">
        <f>IFERROR((SUM(AN198,AN199,AN203,AN224)-AN130)/(AN55+AM55+AK55+AJ55),"")</f>
        <v/>
      </c>
      <c r="AO323" s="339" t="str">
        <f>IFERROR((SUM(AO198,AO199,AO203,AO224)-AO130)/(AO55+AN55+AM55+AK55),"")</f>
        <v/>
      </c>
      <c r="AP323" s="339" t="str">
        <f>IFERROR((SUM(AP198,AP199,AP203,AP224)-AP130)/(AP55+AO55+AN55+AM55),"")</f>
        <v/>
      </c>
      <c r="AR323" s="339" t="str">
        <f>IFERROR((SUM(AR198,AR199,AR203,AR224)-AR130)/(AR55+AP55+AO55+AN55),"")</f>
        <v/>
      </c>
      <c r="AS323" s="339" t="str">
        <f>IFERROR((SUM(AS198,AS199,AS203,AS224)-AS130)/(AS55+AR55+AP55+AO55),"")</f>
        <v/>
      </c>
      <c r="AT323" s="339" t="str">
        <f>IFERROR((SUM(AT198,AT199,AT203,AT224)-AT130)/(AT55+AS55+AR55+AP55),"")</f>
        <v/>
      </c>
      <c r="AU323" s="339" t="str">
        <f>IFERROR((SUM(AU198,AU199,AU203,AU224)-AU130)/(AU55+AT55+AS55+AR55),"")</f>
        <v/>
      </c>
      <c r="AW323" s="339" t="str">
        <f>IFERROR((SUM(AW198,AW199,AW203,AW224)-AW130)/(AW55+AU55+AT55+AS55),"")</f>
        <v/>
      </c>
      <c r="AX323" s="339" t="str">
        <f>IFERROR((SUM(AX198,AX199,AX203,AX224)-AX130)/(AX55+AW55+AU55+AT55),"")</f>
        <v/>
      </c>
      <c r="AY323" s="339" t="str">
        <f>IFERROR((SUM(AY198,AY199,AY203,AY224)-AY130)/(AY55+AX55+AW55+AU55),"")</f>
        <v/>
      </c>
      <c r="AZ323" s="339" t="str">
        <f>IFERROR((SUM(AZ198,AZ199,AZ203,AZ224)-AZ130)/(AZ55+AY55+AX55+AW55),"")</f>
        <v/>
      </c>
      <c r="BB323" s="339" t="str">
        <f>IFERROR((SUM(BB198,BB199,BB203,BB224)-BB130)/(BB55+AZ55+AY55+AX55),"")</f>
        <v/>
      </c>
      <c r="BC323" s="339" t="str">
        <f>IFERROR((SUM(BC198,BC199,BC203,BC224)-BC130)/(BC55+BB55+AZ55+AY55),"")</f>
        <v/>
      </c>
      <c r="BD323" s="339" t="str">
        <f>IFERROR((SUM(BD198,BD199,BD203,BD224)-BD130)/(BD55+BC55+BB55+AZ55),"")</f>
        <v/>
      </c>
      <c r="BE323" s="339" t="str">
        <f>IFERROR((SUM(BE198,BE199,BE203,BE224)-BE130)/(BE55+BD55+BC55+BB55),"")</f>
        <v/>
      </c>
      <c r="BG323" s="339" t="str">
        <f>IFERROR((SUM(BG198,BG199,BG203,BG224)-BG130)/(BG55+BE55+BD55+BC55),"")</f>
        <v/>
      </c>
      <c r="BH323" s="339" t="str">
        <f>IFERROR((SUM(BH198,BH199,BH203,BH224)-BH130)/(BH55+BG55+BE55+BD55),"")</f>
        <v/>
      </c>
      <c r="BI323" s="339" t="str">
        <f>IFERROR((SUM(BI198,BI199,BI203,BI224)-BI130)/(BI55+BH55+BG55+BE55),"")</f>
        <v/>
      </c>
      <c r="BJ323" s="339" t="str">
        <f>IFERROR((SUM(BJ198,BJ199,BJ203,BJ224)-BJ130)/(BJ55+BI55+BH55+BG55),"")</f>
        <v/>
      </c>
      <c r="BL323" s="339" t="str">
        <f>IFERROR((SUM(BL198,BL199,BL203,BL224)-BL130)/(BL55+BJ55+BI55+BH55),"")</f>
        <v/>
      </c>
      <c r="BM323" s="339" t="str">
        <f>IFERROR((SUM(BM198,BM199,BM203,BM224)-BM130)/(BM55+BL55+BJ55+BI55),"")</f>
        <v/>
      </c>
      <c r="BN323" s="339" t="str">
        <f>IFERROR((SUM(BN198,BN199,BN203,BN224)-BN130)/(BN55+BM55+BL55+BJ55),"")</f>
        <v/>
      </c>
      <c r="BO323" s="339" t="str">
        <f>IFERROR((SUM(BO198,BO199,BO203,BO224)-BO130)/(BO55+BN55+BM55+BL55),"")</f>
        <v/>
      </c>
      <c r="BQ323" s="339" t="str">
        <f>IFERROR((SUM(BQ198,BQ199,BQ203,BQ224)-BQ130)/(BQ55+BO55+BN55+BM55),"")</f>
        <v/>
      </c>
      <c r="BR323" s="339" t="str">
        <f>IFERROR((SUM(BR198,BR199,BR203,BR224)-BR130)/(BR55+BQ55+BO55+BN55),"")</f>
        <v/>
      </c>
      <c r="BS323" s="339" t="str">
        <f>IFERROR((SUM(BS198,BS199,BS203,BS224)-BS130)/(BS55+BR55+BQ55+BO55),"")</f>
        <v/>
      </c>
      <c r="BT323" s="339" t="str">
        <f>IFERROR((SUM(BT198,BT199,BT203,BT224)-BT130)/(BT55+BS55+BR55+BQ55),"")</f>
        <v/>
      </c>
      <c r="BV323" s="339" t="str">
        <f>IFERROR((SUM(BV198,BV199,BV203,BV224)-BV130)/(BV55+BT55+BS55+BR55),"")</f>
        <v/>
      </c>
      <c r="BW323" s="339" t="str">
        <f>IFERROR((SUM(BW198,BW199,BW203,BW224)-BW130)/(BW55+BV55+BT55+BS55),"")</f>
        <v/>
      </c>
      <c r="BX323" s="339" t="str">
        <f>IFERROR((SUM(BX198,BX199,BX203,BX224)-BX130)/(BX55+BW55+BV55+BT55),"")</f>
        <v/>
      </c>
      <c r="BY323" s="339" t="str">
        <f>IFERROR((SUM(BY198,BY199,BY203,BY224)-BY130)/(BY55+BX55+BW55+BV55),"")</f>
        <v/>
      </c>
      <c r="CA323" s="339" t="str">
        <f>IFERROR((SUM(CA198,CA199,CA203,CA224)-CA130)/(CA55+BY55+BX55+BW55),"")</f>
        <v/>
      </c>
      <c r="CB323" s="339" t="str">
        <f>IFERROR((SUM(CB198,CB199,CB203,CB224)-CB130)/(CB55+CA55+BY55+BX55),"")</f>
        <v/>
      </c>
      <c r="CC323" s="339" t="str">
        <f>IFERROR((SUM(CC198,CC199,CC203,CC224)-CC130)/(CC55+CB55+CA55+BY55),"")</f>
        <v/>
      </c>
      <c r="CD323" s="339" t="str">
        <f>IFERROR((SUM(CD198,CD199,CD203,CD224)-CD130)/(CD55+CC55+CB55+CA55),"")</f>
        <v/>
      </c>
      <c r="CF323" s="339" t="str">
        <f>IFERROR((SUM(CF198,CF199,CF203,CF224)-CF130)/(CF55+CD55+CC55+CB55),"")</f>
        <v/>
      </c>
      <c r="CG323" s="339" t="str">
        <f>IFERROR((SUM(CG198,CG199,CG203,CG224)-CG130)/(CG55+CF55+CD55+CC55),"")</f>
        <v/>
      </c>
      <c r="CH323" s="339" t="str">
        <f>IFERROR((SUM(CH198,CH199,CH203,CH224)-CH130)/(CH55+CG55+CF55+CD55),"")</f>
        <v/>
      </c>
      <c r="CI323" s="339" t="str">
        <f>IFERROR((SUM(CI198,CI199,CI203,CI224)-CI130)/(CI55+CH55+CG55+CF55),"")</f>
        <v/>
      </c>
      <c r="CK323" s="339" t="str">
        <f>IFERROR((SUM(CK198,CK199,CK203,CK224)-CK130)/(CK55+CI55+CH55+CG55),"")</f>
        <v/>
      </c>
      <c r="CL323" s="339" t="str">
        <f>IFERROR((SUM(CL198,CL199,CL203,CL224)-CL130)/(CL55+CK55+CI55+CH55),"")</f>
        <v/>
      </c>
      <c r="CM323" s="339" t="str">
        <f>IFERROR((SUM(CM198,CM199,CM203,CM224)-CM130)/(CM55+CL55+CK55+CI55),"")</f>
        <v/>
      </c>
      <c r="CN323" s="339" t="str">
        <f>IFERROR((SUM(CN198,CN199,CN203,CN224)-CN130)/(CN55+CM55+CL55+CK55),"")</f>
        <v/>
      </c>
      <c r="CP323" s="339" t="str">
        <f>IFERROR((SUM(CP198,CP199,CP203,CP224)-CP130)/(CP55+CN55+CM55+CL55),"")</f>
        <v/>
      </c>
      <c r="CQ323" s="339" t="str">
        <f>IFERROR((SUM(CQ198,CQ199,CQ203,CQ224)-CQ130)/(CQ55+CP55+CN55+CM55),"")</f>
        <v/>
      </c>
      <c r="CR323" s="339" t="str">
        <f>IFERROR((SUM(CR198,CR199,CR203,CR224)-CR130)/(CR55+CQ55+CP55+CN55),"")</f>
        <v/>
      </c>
      <c r="CS323" s="339" t="str">
        <f>IFERROR((SUM(CS198,CS199,CS203,CS224)-CS130)/(CS55+CR55+CQ55+CP55),"")</f>
        <v/>
      </c>
      <c r="CU323" s="339" t="str">
        <f>IFERROR((SUM(CU198,CU199,CU203,CU224)-CU130)/(CU55+CS55+CR55+CQ55),"")</f>
        <v/>
      </c>
      <c r="CV323" s="339" t="str">
        <f>IFERROR((SUM(CV198,CV199,CV203,CV224)-CV130)/(CV55+CU55+CS55+CR55),"")</f>
        <v/>
      </c>
      <c r="CW323" s="339" t="str">
        <f>IFERROR((SUM(CW198,CW199,CW203,CW224)-CW130)/(CW55+CV55+CU55+CS55),"")</f>
        <v/>
      </c>
      <c r="CX323" s="339" t="str">
        <f>IFERROR((SUM(CX198,CX199,CX203,CX224)-CX130)/(CX55+CW55+CV55+CU55),"")</f>
        <v/>
      </c>
    </row>
    <row r="324" ht="12.75" customFormat="1" customHeight="1" s="333">
      <c r="A324" s="334" t="n"/>
      <c r="B324" s="334" t="n"/>
      <c r="C324" s="333" t="inlineStr">
        <is>
          <t>INTEREST COVERAGE</t>
        </is>
      </c>
      <c r="D324" s="339" t="str">
        <f>IFERROR(D59/-D60,"")</f>
        <v/>
      </c>
      <c r="E324" s="339" t="str">
        <f>IFERROR(E59/-E60,"")</f>
        <v/>
      </c>
      <c r="F324" s="339" t="str">
        <f>IFERROR(F59/-F60,"")</f>
        <v/>
      </c>
      <c r="G324" s="339" t="str">
        <f>IFERROR(G59/-G60,"")</f>
        <v/>
      </c>
      <c r="I324" s="339" t="str">
        <f>IFERROR(I59/-I60,"")</f>
        <v/>
      </c>
      <c r="J324" s="339" t="str">
        <f>IFERROR(J59/-J60,"")</f>
        <v/>
      </c>
      <c r="K324" s="339" t="str">
        <f>IFERROR(K59/-K60,"")</f>
        <v/>
      </c>
      <c r="L324" s="339" t="str">
        <f>IFERROR(L59/-L60,"")</f>
        <v/>
      </c>
      <c r="N324" s="339" t="str">
        <f>IFERROR(N59/-N60,"")</f>
        <v/>
      </c>
      <c r="O324" s="339" t="str">
        <f>IFERROR(O59/-O60,"")</f>
        <v/>
      </c>
      <c r="P324" s="339" t="str">
        <f>IFERROR(P59/-P60,"")</f>
        <v/>
      </c>
      <c r="Q324" s="339" t="str">
        <f>IFERROR(Q59/-Q60,"")</f>
        <v/>
      </c>
      <c r="S324" s="339" t="str">
        <f>IFERROR(S59/-S60,"")</f>
        <v/>
      </c>
      <c r="T324" s="339" t="str">
        <f>IFERROR(T59/-T60,"")</f>
        <v/>
      </c>
      <c r="U324" s="339" t="str">
        <f>IFERROR(U59/-U60,"")</f>
        <v/>
      </c>
      <c r="V324" s="339" t="str">
        <f>IFERROR(V59/-V60,"")</f>
        <v/>
      </c>
      <c r="X324" s="339">
        <f>IFERROR(X59/-X60,"")</f>
        <v>0.415944497938425</v>
      </c>
      <c r="Y324" s="339">
        <f>IFERROR(Y59/-Y60,"")</f>
        <v>1.15833792867043</v>
      </c>
      <c r="Z324" s="339">
        <f>IFERROR(Z59/-Z60,"")</f>
        <v>1.14451567508404</v>
      </c>
      <c r="AA324" s="339">
        <f>IFERROR(AA59/-AA60,"")</f>
        <v>0.807610446387483</v>
      </c>
      <c r="AC324" s="339">
        <f>IFERROR(AC59/-AC60,"")</f>
        <v>-0.105058365758755</v>
      </c>
      <c r="AD324" s="339">
        <f>IFERROR(AD59/-AD60,"")</f>
        <v>0.07421875</v>
      </c>
      <c r="AE324" s="339">
        <f>IFERROR(AE59/-AE60,"")</f>
        <v>0.182946622632456</v>
      </c>
      <c r="AF324" s="339">
        <f>IFERROR(AF59/-AF60,"")</f>
        <v>-0.255202235572609</v>
      </c>
      <c r="AH324" s="339">
        <f>IFERROR(AH59/-AH60,"")</f>
        <v>-0.337236533957845</v>
      </c>
      <c r="AI324" s="339">
        <f>IFERROR(AI59/-AI60,"")</f>
        <v>-0.0878136200716846</v>
      </c>
      <c r="AJ324" s="339" t="str">
        <f>IFERROR(AJ59/-AJ60,"")</f>
        <v/>
      </c>
      <c r="AK324" s="339" t="str">
        <f>IFERROR(AK59/-AK60,"")</f>
        <v/>
      </c>
      <c r="AM324" s="339" t="str">
        <f>IFERROR(AM59/-AM60,"")</f>
        <v/>
      </c>
      <c r="AN324" s="339" t="str">
        <f>IFERROR(AN59/-AN60,"")</f>
        <v/>
      </c>
      <c r="AO324" s="339" t="str">
        <f>IFERROR(AO59/-AO60,"")</f>
        <v/>
      </c>
      <c r="AP324" s="339" t="str">
        <f>IFERROR(AP59/-AP60,"")</f>
        <v/>
      </c>
      <c r="AR324" s="339" t="str">
        <f>IFERROR(AR59/-AR60,"")</f>
        <v/>
      </c>
      <c r="AS324" s="339" t="str">
        <f>IFERROR(AS59/-AS60,"")</f>
        <v/>
      </c>
      <c r="AT324" s="339" t="str">
        <f>IFERROR(AT59/-AT60,"")</f>
        <v/>
      </c>
      <c r="AU324" s="339" t="str">
        <f>IFERROR(AU59/-AU60,"")</f>
        <v/>
      </c>
      <c r="AW324" s="339" t="str">
        <f>IFERROR(AW59/-AW60,"")</f>
        <v/>
      </c>
      <c r="AX324" s="339" t="str">
        <f>IFERROR(AX59/-AX60,"")</f>
        <v/>
      </c>
      <c r="AY324" s="339" t="str">
        <f>IFERROR(AY59/-AY60,"")</f>
        <v/>
      </c>
      <c r="AZ324" s="339" t="str">
        <f>IFERROR(AZ59/-AZ60,"")</f>
        <v/>
      </c>
      <c r="BB324" s="339" t="str">
        <f>IFERROR(BB59/-BB60,"")</f>
        <v/>
      </c>
      <c r="BC324" s="339" t="str">
        <f>IFERROR(BC59/-BC60,"")</f>
        <v/>
      </c>
      <c r="BD324" s="339" t="str">
        <f>IFERROR(BD59/-BD60,"")</f>
        <v/>
      </c>
      <c r="BE324" s="339" t="str">
        <f>IFERROR(BE59/-BE60,"")</f>
        <v/>
      </c>
      <c r="BG324" s="339" t="str">
        <f>IFERROR(BG59/-BG60,"")</f>
        <v/>
      </c>
      <c r="BH324" s="339" t="str">
        <f>IFERROR(BH59/-BH60,"")</f>
        <v/>
      </c>
      <c r="BI324" s="339" t="str">
        <f>IFERROR(BI59/-BI60,"")</f>
        <v/>
      </c>
      <c r="BJ324" s="339" t="str">
        <f>IFERROR(BJ59/-BJ60,"")</f>
        <v/>
      </c>
      <c r="BL324" s="339" t="str">
        <f>IFERROR(BL59/-BL60,"")</f>
        <v/>
      </c>
      <c r="BM324" s="339" t="str">
        <f>IFERROR(BM59/-BM60,"")</f>
        <v/>
      </c>
      <c r="BN324" s="339" t="str">
        <f>IFERROR(BN59/-BN60,"")</f>
        <v/>
      </c>
      <c r="BO324" s="339" t="str">
        <f>IFERROR(BO59/-BO60,"")</f>
        <v/>
      </c>
      <c r="BQ324" s="339" t="str">
        <f>IFERROR(BQ59/-BQ60,"")</f>
        <v/>
      </c>
      <c r="BR324" s="339" t="str">
        <f>IFERROR(BR59/-BR60,"")</f>
        <v/>
      </c>
      <c r="BS324" s="339" t="str">
        <f>IFERROR(BS59/-BS60,"")</f>
        <v/>
      </c>
      <c r="BT324" s="339" t="str">
        <f>IFERROR(BT59/-BT60,"")</f>
        <v/>
      </c>
      <c r="BV324" s="339" t="str">
        <f>IFERROR(BV59/-BV60,"")</f>
        <v/>
      </c>
      <c r="BW324" s="339" t="str">
        <f>IFERROR(BW59/-BW60,"")</f>
        <v/>
      </c>
      <c r="BX324" s="339" t="str">
        <f>IFERROR(BX59/-BX60,"")</f>
        <v/>
      </c>
      <c r="BY324" s="339" t="str">
        <f>IFERROR(BY59/-BY60,"")</f>
        <v/>
      </c>
      <c r="CA324" s="339" t="str">
        <f>IFERROR(CA59/-CA60,"")</f>
        <v/>
      </c>
      <c r="CB324" s="339" t="str">
        <f>IFERROR(CB59/-CB60,"")</f>
        <v/>
      </c>
      <c r="CC324" s="339" t="str">
        <f>IFERROR(CC59/-CC60,"")</f>
        <v/>
      </c>
      <c r="CD324" s="339" t="str">
        <f>IFERROR(CD59/-CD60,"")</f>
        <v/>
      </c>
      <c r="CF324" s="339" t="str">
        <f>IFERROR(CF59/-CF60,"")</f>
        <v/>
      </c>
      <c r="CG324" s="339" t="str">
        <f>IFERROR(CG59/-CG60,"")</f>
        <v/>
      </c>
      <c r="CH324" s="339" t="str">
        <f>IFERROR(CH59/-CH60,"")</f>
        <v/>
      </c>
      <c r="CI324" s="339" t="str">
        <f>IFERROR(CI59/-CI60,"")</f>
        <v/>
      </c>
      <c r="CK324" s="339" t="str">
        <f>IFERROR(CK59/-CK60,"")</f>
        <v/>
      </c>
      <c r="CL324" s="339" t="str">
        <f>IFERROR(CL59/-CL60,"")</f>
        <v/>
      </c>
      <c r="CM324" s="339" t="str">
        <f>IFERROR(CM59/-CM60,"")</f>
        <v/>
      </c>
      <c r="CN324" s="339" t="str">
        <f>IFERROR(CN59/-CN60,"")</f>
        <v/>
      </c>
      <c r="CP324" s="339" t="str">
        <f>IFERROR(CP59/-CP60,"")</f>
        <v/>
      </c>
      <c r="CQ324" s="339" t="str">
        <f>IFERROR(CQ59/-CQ60,"")</f>
        <v/>
      </c>
      <c r="CR324" s="339" t="str">
        <f>IFERROR(CR59/-CR60,"")</f>
        <v/>
      </c>
      <c r="CS324" s="339" t="str">
        <f>IFERROR(CS59/-CS60,"")</f>
        <v/>
      </c>
      <c r="CU324" s="339" t="str">
        <f>IFERROR(CU59/-CU60,"")</f>
        <v/>
      </c>
      <c r="CV324" s="339" t="str">
        <f>IFERROR(CV59/-CV60,"")</f>
        <v/>
      </c>
      <c r="CW324" s="339" t="str">
        <f>IFERROR(CW59/-CW60,"")</f>
        <v/>
      </c>
      <c r="CX324" s="339" t="str">
        <f>IFERROR(CX59/-CX60,"")</f>
        <v/>
      </c>
    </row>
    <row r="325" ht="12.75" customFormat="1" customHeight="1" s="333">
      <c r="A325" s="334" t="n"/>
      <c r="B325" s="334" t="n"/>
    </row>
    <row r="326" ht="12.75" customFormat="1" customHeight="1" s="333">
      <c r="A326" s="334" t="n"/>
      <c r="B326" s="334" t="n"/>
      <c r="C326" s="331" t="inlineStr">
        <is>
          <t>INTERNAL LIQUIDITY</t>
        </is>
      </c>
    </row>
    <row r="327" ht="12.75" customFormat="1" customHeight="1" s="333">
      <c r="A327" s="334" t="n"/>
      <c r="B327" s="334" t="n"/>
      <c r="C327" s="333" t="inlineStr">
        <is>
          <t>CURRENT RATIO</t>
        </is>
      </c>
      <c r="D327" s="339" t="str">
        <f>IFERROR(SUM(D130,D131,D135,D139,D140,D141)/SUM(D184,D188,D190,D191),"")</f>
        <v/>
      </c>
      <c r="E327" s="339" t="str">
        <f>IFERROR(SUM(E130,E131,E135,E139,E140,E141)/SUM(E184,E188,E190,E191),"")</f>
        <v/>
      </c>
      <c r="F327" s="339" t="str">
        <f>IFERROR(SUM(F130,F131,F135,F139,F140,F141)/SUM(F184,F188,F190,F191),"")</f>
        <v/>
      </c>
      <c r="G327" s="339" t="str">
        <f>IFERROR(SUM(G130,G131,G135,G139,G140,G141)/SUM(G184,G188,G190,G191),"")</f>
        <v/>
      </c>
      <c r="I327" s="339" t="str">
        <f>IFERROR(SUM(I130,I131,I135,I139,I140,I141)/SUM(I184,I188,I190,I191),"")</f>
        <v/>
      </c>
      <c r="J327" s="339" t="str">
        <f>IFERROR(SUM(J130,J131,J135,J139,J140,J141)/SUM(J184,J188,J190,J191),"")</f>
        <v/>
      </c>
      <c r="K327" s="339" t="str">
        <f>IFERROR(SUM(K130,K131,K135,K139,K140,K141)/SUM(K184,K188,K190,K191),"")</f>
        <v/>
      </c>
      <c r="L327" s="339" t="str">
        <f>IFERROR(SUM(L130,L131,L135,L139,L140,L141)/SUM(L184,L188,L190,L191),"")</f>
        <v/>
      </c>
      <c r="N327" s="339" t="str">
        <f>IFERROR(SUM(N130,N131,N135,N139,N140,N141)/SUM(N184,N188,N190,N191),"")</f>
        <v/>
      </c>
      <c r="O327" s="339" t="str">
        <f>IFERROR(SUM(O130,O131,O135,O139,O140,O141)/SUM(O184,O188,O190,O191),"")</f>
        <v/>
      </c>
      <c r="P327" s="339" t="str">
        <f>IFERROR(SUM(P130,P131,P135,P139,P140,P141)/SUM(P184,P188,P190,P191),"")</f>
        <v/>
      </c>
      <c r="Q327" s="339" t="str">
        <f>IFERROR(SUM(Q130,Q131,Q135,Q139,Q140,Q141)/SUM(Q184,Q188,Q190,Q191),"")</f>
        <v/>
      </c>
      <c r="S327" s="339" t="str">
        <f>IFERROR(SUM(S130,S131,S135,S139,S140,S141)/SUM(S184,S188,S190,S191),"")</f>
        <v/>
      </c>
      <c r="T327" s="339" t="str">
        <f>IFERROR(SUM(T130,T131,T135,T139,T140,T141)/SUM(T184,T188,T190,T191),"")</f>
        <v/>
      </c>
      <c r="U327" s="339" t="str">
        <f>IFERROR(SUM(U130,U131,U135,U139,U140,U141)/SUM(U184,U188,U190,U191),"")</f>
        <v/>
      </c>
      <c r="V327" s="339" t="str">
        <f>IFERROR(SUM(V130,V131,V135,V139,V140,V141)/SUM(V184,V188,V190,V191),"")</f>
        <v/>
      </c>
      <c r="X327" s="339" t="str">
        <f>IFERROR(SUM(X130,X131,X135,X139,X140,X141)/SUM(X184,X188,X190,X191),"")</f>
        <v/>
      </c>
      <c r="Y327" s="339" t="str">
        <f>IFERROR(SUM(Y130,Y131,Y135,Y139,Y140,Y141)/SUM(Y184,Y188,Y190,Y191),"")</f>
        <v/>
      </c>
      <c r="Z327" s="339" t="str">
        <f>IFERROR(SUM(Z130,Z131,Z135,Z139,Z140,Z141)/SUM(Z184,Z188,Z190,Z191),"")</f>
        <v/>
      </c>
      <c r="AA327" s="339">
        <f>IFERROR(SUM(AA130,AA131,AA135,AA139,AA140,AA141)/SUM(AA184,AA188,AA190,AA191),"")</f>
        <v>0.840072475331557</v>
      </c>
      <c r="AC327" s="339">
        <f>IFERROR(SUM(AC130,AC131,AC135,AC139,AC140,AC141)/SUM(AC184,AC188,AC190,AC191),"")</f>
        <v>0.996145316990368</v>
      </c>
      <c r="AD327" s="339">
        <f>IFERROR(SUM(AD130,AD131,AD135,AD139,AD140,AD141)/SUM(AD184,AD188,AD190,AD191),"")</f>
        <v>1.08120646282576</v>
      </c>
      <c r="AE327" s="339">
        <f>IFERROR(SUM(AE130,AE131,AE135,AE139,AE140,AE141)/SUM(AE184,AE188,AE190,AE191),"")</f>
        <v>0.836326056087943</v>
      </c>
      <c r="AF327" s="339">
        <f>IFERROR(SUM(AF130,AF131,AF135,AF139,AF140,AF141)/SUM(AF184,AF188,AF190,AF191),"")</f>
        <v>0.804728640515852</v>
      </c>
      <c r="AH327" s="339">
        <f>IFERROR(SUM(AH130,AH131,AH135,AH139,AH140,AH141)/SUM(AH184,AH188,AH190,AH191),"")</f>
        <v>0.573282910874898</v>
      </c>
      <c r="AI327" s="339">
        <f>IFERROR(SUM(AI130,AI131,AI135,AI139,AI140,AI141)/SUM(AI184,AI188,AI190,AI191),"")</f>
        <v>0.46820439679339</v>
      </c>
      <c r="AJ327" s="339">
        <f>IFERROR(SUM(AJ130,AJ131,AJ135,AJ139,AJ140,AJ141)/SUM(AJ184,AJ188,AJ190,AJ191),"")</f>
        <v>-0.0366874270144025</v>
      </c>
      <c r="AK327" s="339">
        <f>IFERROR(SUM(AK130,AK131,AK135,AK139,AK140,AK141)/SUM(AK184,AK188,AK190,AK191),"")</f>
        <v>-0.0325029194239004</v>
      </c>
      <c r="AM327" s="339" t="str">
        <f>IFERROR(SUM(AM130,AM131,AM135,AM139,AM140,AM141)/SUM(AM184,AM188,AM190,AM191),"")</f>
        <v/>
      </c>
      <c r="AN327" s="339" t="str">
        <f>IFERROR(SUM(AN130,AN131,AN135,AN139,AN140,AN141)/SUM(AN184,AN188,AN190,AN191),"")</f>
        <v/>
      </c>
      <c r="AO327" s="339" t="str">
        <f>IFERROR(SUM(AO130,AO131,AO135,AO139,AO140,AO141)/SUM(AO184,AO188,AO190,AO191),"")</f>
        <v/>
      </c>
      <c r="AP327" s="339" t="str">
        <f>IFERROR(SUM(AP130,AP131,AP135,AP139,AP140,AP141)/SUM(AP184,AP188,AP190,AP191),"")</f>
        <v/>
      </c>
      <c r="AR327" s="339" t="str">
        <f>IFERROR(SUM(AR130,AR131,AR135,AR139,AR140,AR141)/SUM(AR184,AR188,AR190,AR191),"")</f>
        <v/>
      </c>
      <c r="AS327" s="339" t="str">
        <f>IFERROR(SUM(AS130,AS131,AS135,AS139,AS140,AS141)/SUM(AS184,AS188,AS190,AS191),"")</f>
        <v/>
      </c>
      <c r="AT327" s="339" t="str">
        <f>IFERROR(SUM(AT130,AT131,AT135,AT139,AT140,AT141)/SUM(AT184,AT188,AT190,AT191),"")</f>
        <v/>
      </c>
      <c r="AU327" s="339" t="str">
        <f>IFERROR(SUM(AU130,AU131,AU135,AU139,AU140,AU141)/SUM(AU184,AU188,AU190,AU191),"")</f>
        <v/>
      </c>
      <c r="AW327" s="339" t="str">
        <f>IFERROR(SUM(AW130,AW131,AW135,AW139,AW140,AW141)/SUM(AW184,AW188,AW190,AW191),"")</f>
        <v/>
      </c>
      <c r="AX327" s="339" t="str">
        <f>IFERROR(SUM(AX130,AX131,AX135,AX139,AX140,AX141)/SUM(AX184,AX188,AX190,AX191),"")</f>
        <v/>
      </c>
      <c r="AY327" s="339" t="str">
        <f>IFERROR(SUM(AY130,AY131,AY135,AY139,AY140,AY141)/SUM(AY184,AY188,AY190,AY191),"")</f>
        <v/>
      </c>
      <c r="AZ327" s="339" t="str">
        <f>IFERROR(SUM(AZ130,AZ131,AZ135,AZ139,AZ140,AZ141)/SUM(AZ184,AZ188,AZ190,AZ191),"")</f>
        <v/>
      </c>
      <c r="BB327" s="339" t="str">
        <f>IFERROR(SUM(BB130,BB131,BB135,BB139,BB140,BB141)/SUM(BB184,BB188,BB190,BB191),"")</f>
        <v/>
      </c>
      <c r="BC327" s="339" t="str">
        <f>IFERROR(SUM(BC130,BC131,BC135,BC139,BC140,BC141)/SUM(BC184,BC188,BC190,BC191),"")</f>
        <v/>
      </c>
      <c r="BD327" s="339" t="str">
        <f>IFERROR(SUM(BD130,BD131,BD135,BD139,BD140,BD141)/SUM(BD184,BD188,BD190,BD191),"")</f>
        <v/>
      </c>
      <c r="BE327" s="339" t="str">
        <f>IFERROR(SUM(BE130,BE131,BE135,BE139,BE140,BE141)/SUM(BE184,BE188,BE190,BE191),"")</f>
        <v/>
      </c>
      <c r="BG327" s="339" t="str">
        <f>IFERROR(SUM(BG130,BG131,BG135,BG139,BG140,BG141)/SUM(BG184,BG188,BG190,BG191),"")</f>
        <v/>
      </c>
      <c r="BH327" s="339" t="str">
        <f>IFERROR(SUM(BH130,BH131,BH135,BH139,BH140,BH141)/SUM(BH184,BH188,BH190,BH191),"")</f>
        <v/>
      </c>
      <c r="BI327" s="339" t="str">
        <f>IFERROR(SUM(BI130,BI131,BI135,BI139,BI140,BI141)/SUM(BI184,BI188,BI190,BI191),"")</f>
        <v/>
      </c>
      <c r="BJ327" s="339" t="str">
        <f>IFERROR(SUM(BJ130,BJ131,BJ135,BJ139,BJ140,BJ141)/SUM(BJ184,BJ188,BJ190,BJ191),"")</f>
        <v/>
      </c>
      <c r="BL327" s="339" t="str">
        <f>IFERROR(SUM(BL130,BL131,BL135,BL139,BL140,BL141)/SUM(BL184,BL188,BL190,BL191),"")</f>
        <v/>
      </c>
      <c r="BM327" s="339" t="str">
        <f>IFERROR(SUM(BM130,BM131,BM135,BM139,BM140,BM141)/SUM(BM184,BM188,BM190,BM191),"")</f>
        <v/>
      </c>
      <c r="BN327" s="339" t="str">
        <f>IFERROR(SUM(BN130,BN131,BN135,BN139,BN140,BN141)/SUM(BN184,BN188,BN190,BN191),"")</f>
        <v/>
      </c>
      <c r="BO327" s="339" t="str">
        <f>IFERROR(SUM(BO130,BO131,BO135,BO139,BO140,BO141)/SUM(BO184,BO188,BO190,BO191),"")</f>
        <v/>
      </c>
      <c r="BQ327" s="339" t="str">
        <f>IFERROR(SUM(BQ130,BQ131,BQ135,BQ139,BQ140,BQ141)/SUM(BQ184,BQ188,BQ190,BQ191),"")</f>
        <v/>
      </c>
      <c r="BR327" s="339" t="str">
        <f>IFERROR(SUM(BR130,BR131,BR135,BR139,BR140,BR141)/SUM(BR184,BR188,BR190,BR191),"")</f>
        <v/>
      </c>
      <c r="BS327" s="339" t="str">
        <f>IFERROR(SUM(BS130,BS131,BS135,BS139,BS140,BS141)/SUM(BS184,BS188,BS190,BS191),"")</f>
        <v/>
      </c>
      <c r="BT327" s="339" t="str">
        <f>IFERROR(SUM(BT130,BT131,BT135,BT139,BT140,BT141)/SUM(BT184,BT188,BT190,BT191),"")</f>
        <v/>
      </c>
      <c r="BV327" s="339" t="str">
        <f>IFERROR(SUM(BV130,BV131,BV135,BV139,BV140,BV141)/SUM(BV184,BV188,BV190,BV191),"")</f>
        <v/>
      </c>
      <c r="BW327" s="339" t="str">
        <f>IFERROR(SUM(BW130,BW131,BW135,BW139,BW140,BW141)/SUM(BW184,BW188,BW190,BW191),"")</f>
        <v/>
      </c>
      <c r="BX327" s="339" t="str">
        <f>IFERROR(SUM(BX130,BX131,BX135,BX139,BX140,BX141)/SUM(BX184,BX188,BX190,BX191),"")</f>
        <v/>
      </c>
      <c r="BY327" s="339" t="str">
        <f>IFERROR(SUM(BY130,BY131,BY135,BY139,BY140,BY141)/SUM(BY184,BY188,BY190,BY191),"")</f>
        <v/>
      </c>
      <c r="CA327" s="339" t="str">
        <f>IFERROR(SUM(CA130,CA131,CA135,CA139,CA140,CA141)/SUM(CA184,CA188,CA190,CA191),"")</f>
        <v/>
      </c>
      <c r="CB327" s="339" t="str">
        <f>IFERROR(SUM(CB130,CB131,CB135,CB139,CB140,CB141)/SUM(CB184,CB188,CB190,CB191),"")</f>
        <v/>
      </c>
      <c r="CC327" s="339" t="str">
        <f>IFERROR(SUM(CC130,CC131,CC135,CC139,CC140,CC141)/SUM(CC184,CC188,CC190,CC191),"")</f>
        <v/>
      </c>
      <c r="CD327" s="339" t="str">
        <f>IFERROR(SUM(CD130,CD131,CD135,CD139,CD140,CD141)/SUM(CD184,CD188,CD190,CD191),"")</f>
        <v/>
      </c>
      <c r="CF327" s="339" t="str">
        <f>IFERROR(SUM(CF130,CF131,CF135,CF139,CF140,CF141)/SUM(CF184,CF188,CF190,CF191),"")</f>
        <v/>
      </c>
      <c r="CG327" s="339" t="str">
        <f>IFERROR(SUM(CG130,CG131,CG135,CG139,CG140,CG141)/SUM(CG184,CG188,CG190,CG191),"")</f>
        <v/>
      </c>
      <c r="CH327" s="339" t="str">
        <f>IFERROR(SUM(CH130,CH131,CH135,CH139,CH140,CH141)/SUM(CH184,CH188,CH190,CH191),"")</f>
        <v/>
      </c>
      <c r="CI327" s="339" t="str">
        <f>IFERROR(SUM(CI130,CI131,CI135,CI139,CI140,CI141)/SUM(CI184,CI188,CI190,CI191),"")</f>
        <v/>
      </c>
      <c r="CK327" s="339" t="str">
        <f>IFERROR(SUM(CK130,CK131,CK135,CK139,CK140,CK141)/SUM(CK184,CK188,CK190,CK191),"")</f>
        <v/>
      </c>
      <c r="CL327" s="339" t="str">
        <f>IFERROR(SUM(CL130,CL131,CL135,CL139,CL140,CL141)/SUM(CL184,CL188,CL190,CL191),"")</f>
        <v/>
      </c>
      <c r="CM327" s="339" t="str">
        <f>IFERROR(SUM(CM130,CM131,CM135,CM139,CM140,CM141)/SUM(CM184,CM188,CM190,CM191),"")</f>
        <v/>
      </c>
      <c r="CN327" s="339" t="str">
        <f>IFERROR(SUM(CN130,CN131,CN135,CN139,CN140,CN141)/SUM(CN184,CN188,CN190,CN191),"")</f>
        <v/>
      </c>
      <c r="CP327" s="339" t="str">
        <f>IFERROR(SUM(CP130,CP131,CP135,CP139,CP140,CP141)/SUM(CP184,CP188,CP190,CP191),"")</f>
        <v/>
      </c>
      <c r="CQ327" s="339" t="str">
        <f>IFERROR(SUM(CQ130,CQ131,CQ135,CQ139,CQ140,CQ141)/SUM(CQ184,CQ188,CQ190,CQ191),"")</f>
        <v/>
      </c>
      <c r="CR327" s="339" t="str">
        <f>IFERROR(SUM(CR130,CR131,CR135,CR139,CR140,CR141)/SUM(CR184,CR188,CR190,CR191),"")</f>
        <v/>
      </c>
      <c r="CS327" s="339" t="str">
        <f>IFERROR(SUM(CS130,CS131,CS135,CS139,CS140,CS141)/SUM(CS184,CS188,CS190,CS191),"")</f>
        <v/>
      </c>
      <c r="CU327" s="339" t="str">
        <f>IFERROR(SUM(CU130,CU131,CU135,CU139,CU140,CU141)/SUM(CU184,CU188,CU190,CU191),"")</f>
        <v/>
      </c>
      <c r="CV327" s="339" t="str">
        <f>IFERROR(SUM(CV130,CV131,CV135,CV139,CV140,CV141)/SUM(CV184,CV188,CV190,CV191),"")</f>
        <v/>
      </c>
      <c r="CW327" s="339" t="str">
        <f>IFERROR(SUM(CW130,CW131,CW135,CW139,CW140,CW141)/SUM(CW184,CW188,CW190,CW191),"")</f>
        <v/>
      </c>
      <c r="CX327" s="339" t="str">
        <f>IFERROR(SUM(CX130,CX131,CX135,CX139,CX140,CX141)/SUM(CX184,CX188,CX190,CX191),"")</f>
        <v/>
      </c>
    </row>
    <row r="328" ht="12.75" customFormat="1" customHeight="1" s="333">
      <c r="A328" s="334" t="n"/>
      <c r="B328" s="334" t="n"/>
      <c r="C328" s="333" t="inlineStr">
        <is>
          <t>CASH RATIO</t>
        </is>
      </c>
      <c r="D328" s="339" t="str">
        <f>IFERROR(SUM(D130)/SUM(D184,D188,D190,D191),"")</f>
        <v/>
      </c>
      <c r="E328" s="339" t="str">
        <f>IFERROR(SUM(E130)/SUM(E184,E188,E190,E191),"")</f>
        <v/>
      </c>
      <c r="F328" s="339" t="str">
        <f>IFERROR(SUM(F130)/SUM(F184,F188,F190,F191),"")</f>
        <v/>
      </c>
      <c r="G328" s="339" t="str">
        <f>IFERROR(SUM(G130)/SUM(G184,G188,G190,G191),"")</f>
        <v/>
      </c>
      <c r="I328" s="339" t="str">
        <f>IFERROR(SUM(I130)/SUM(I184,I188,I190,I191),"")</f>
        <v/>
      </c>
      <c r="J328" s="339" t="str">
        <f>IFERROR(SUM(J130)/SUM(J184,J188,J190,J191),"")</f>
        <v/>
      </c>
      <c r="K328" s="339" t="str">
        <f>IFERROR(SUM(K130)/SUM(K184,K188,K190,K191),"")</f>
        <v/>
      </c>
      <c r="L328" s="339" t="str">
        <f>IFERROR(SUM(L130)/SUM(L184,L188,L190,L191),"")</f>
        <v/>
      </c>
      <c r="N328" s="339" t="str">
        <f>IFERROR(SUM(N130)/SUM(N184,N188,N190,N191),"")</f>
        <v/>
      </c>
      <c r="O328" s="339" t="str">
        <f>IFERROR(SUM(O130)/SUM(O184,O188,O190,O191),"")</f>
        <v/>
      </c>
      <c r="P328" s="339" t="str">
        <f>IFERROR(SUM(P130)/SUM(P184,P188,P190,P191),"")</f>
        <v/>
      </c>
      <c r="Q328" s="339" t="str">
        <f>IFERROR(SUM(Q130)/SUM(Q184,Q188,Q190,Q191),"")</f>
        <v/>
      </c>
      <c r="S328" s="339" t="str">
        <f>IFERROR(SUM(S130)/SUM(S184,S188,S190,S191),"")</f>
        <v/>
      </c>
      <c r="T328" s="339" t="str">
        <f>IFERROR(SUM(T130)/SUM(T184,T188,T190,T191),"")</f>
        <v/>
      </c>
      <c r="U328" s="339" t="str">
        <f>IFERROR(SUM(U130)/SUM(U184,U188,U190,U191),"")</f>
        <v/>
      </c>
      <c r="V328" s="339" t="str">
        <f>IFERROR(SUM(V130)/SUM(V184,V188,V190,V191),"")</f>
        <v/>
      </c>
      <c r="X328" s="339" t="str">
        <f>IFERROR(SUM(X130)/SUM(X184,X188,X190,X191),"")</f>
        <v/>
      </c>
      <c r="Y328" s="339" t="str">
        <f>IFERROR(SUM(Y130)/SUM(Y184,Y188,Y190,Y191),"")</f>
        <v/>
      </c>
      <c r="Z328" s="339" t="str">
        <f>IFERROR(SUM(Z130)/SUM(Z184,Z188,Z190,Z191),"")</f>
        <v/>
      </c>
      <c r="AA328" s="339">
        <f>IFERROR(SUM(AA130)/SUM(AA184,AA188,AA190,AA191),"")</f>
        <v>0.596690912789362</v>
      </c>
      <c r="AC328" s="339">
        <f>IFERROR(SUM(AC130)/SUM(AC184,AC188,AC190,AC191),"")</f>
        <v>0.409822859881984</v>
      </c>
      <c r="AD328" s="339">
        <f>IFERROR(SUM(AD130)/SUM(AD184,AD188,AD190,AD191),"")</f>
        <v>0.31589202246486</v>
      </c>
      <c r="AE328" s="339">
        <f>IFERROR(SUM(AE130)/SUM(AE184,AE188,AE190,AE191),"")</f>
        <v>0.343251096872087</v>
      </c>
      <c r="AF328" s="339">
        <f>IFERROR(SUM(AF130)/SUM(AF184,AF188,AF190,AF191),"")</f>
        <v>0.339709833422891</v>
      </c>
      <c r="AH328" s="339">
        <f>IFERROR(SUM(AH130)/SUM(AH184,AH188,AH190,AH191),"")</f>
        <v>0.231602616516762</v>
      </c>
      <c r="AI328" s="339">
        <f>IFERROR(SUM(AI130)/SUM(AI184,AI188,AI190,AI191),"")</f>
        <v>0.272414301873801</v>
      </c>
      <c r="AJ328" s="339">
        <f>IFERROR(SUM(AJ130)/SUM(AJ184,AJ188,AJ190,AJ191),"")</f>
        <v>-0.176819774231218</v>
      </c>
      <c r="AK328" s="339">
        <f>IFERROR(SUM(AK130)/SUM(AK184,AK188,AK190,AK191),"")</f>
        <v>-0.172635266640716</v>
      </c>
      <c r="AM328" s="339" t="str">
        <f>IFERROR(SUM(AM130)/SUM(AM184,AM188,AM190,AM191),"")</f>
        <v/>
      </c>
      <c r="AN328" s="339" t="str">
        <f>IFERROR(SUM(AN130)/SUM(AN184,AN188,AN190,AN191),"")</f>
        <v/>
      </c>
      <c r="AO328" s="339" t="str">
        <f>IFERROR(SUM(AO130)/SUM(AO184,AO188,AO190,AO191),"")</f>
        <v/>
      </c>
      <c r="AP328" s="339" t="str">
        <f>IFERROR(SUM(AP130)/SUM(AP184,AP188,AP190,AP191),"")</f>
        <v/>
      </c>
      <c r="AR328" s="339" t="str">
        <f>IFERROR(SUM(AR130)/SUM(AR184,AR188,AR190,AR191),"")</f>
        <v/>
      </c>
      <c r="AS328" s="339" t="str">
        <f>IFERROR(SUM(AS130)/SUM(AS184,AS188,AS190,AS191),"")</f>
        <v/>
      </c>
      <c r="AT328" s="339" t="str">
        <f>IFERROR(SUM(AT130)/SUM(AT184,AT188,AT190,AT191),"")</f>
        <v/>
      </c>
      <c r="AU328" s="339" t="str">
        <f>IFERROR(SUM(AU130)/SUM(AU184,AU188,AU190,AU191),"")</f>
        <v/>
      </c>
      <c r="AW328" s="339" t="str">
        <f>IFERROR(SUM(AW130)/SUM(AW184,AW188,AW190,AW191),"")</f>
        <v/>
      </c>
      <c r="AX328" s="339" t="str">
        <f>IFERROR(SUM(AX130)/SUM(AX184,AX188,AX190,AX191),"")</f>
        <v/>
      </c>
      <c r="AY328" s="339" t="str">
        <f>IFERROR(SUM(AY130)/SUM(AY184,AY188,AY190,AY191),"")</f>
        <v/>
      </c>
      <c r="AZ328" s="339" t="str">
        <f>IFERROR(SUM(AZ130)/SUM(AZ184,AZ188,AZ190,AZ191),"")</f>
        <v/>
      </c>
      <c r="BB328" s="339" t="str">
        <f>IFERROR(SUM(BB130)/SUM(BB184,BB188,BB190,BB191),"")</f>
        <v/>
      </c>
      <c r="BC328" s="339" t="str">
        <f>IFERROR(SUM(BC130)/SUM(BC184,BC188,BC190,BC191),"")</f>
        <v/>
      </c>
      <c r="BD328" s="339" t="str">
        <f>IFERROR(SUM(BD130)/SUM(BD184,BD188,BD190,BD191),"")</f>
        <v/>
      </c>
      <c r="BE328" s="339" t="str">
        <f>IFERROR(SUM(BE130)/SUM(BE184,BE188,BE190,BE191),"")</f>
        <v/>
      </c>
      <c r="BG328" s="339" t="str">
        <f>IFERROR(SUM(BG130)/SUM(BG184,BG188,BG190,BG191),"")</f>
        <v/>
      </c>
      <c r="BH328" s="339" t="str">
        <f>IFERROR(SUM(BH130)/SUM(BH184,BH188,BH190,BH191),"")</f>
        <v/>
      </c>
      <c r="BI328" s="339" t="str">
        <f>IFERROR(SUM(BI130)/SUM(BI184,BI188,BI190,BI191),"")</f>
        <v/>
      </c>
      <c r="BJ328" s="339" t="str">
        <f>IFERROR(SUM(BJ130)/SUM(BJ184,BJ188,BJ190,BJ191),"")</f>
        <v/>
      </c>
      <c r="BL328" s="339" t="str">
        <f>IFERROR(SUM(BL130)/SUM(BL184,BL188,BL190,BL191),"")</f>
        <v/>
      </c>
      <c r="BM328" s="339" t="str">
        <f>IFERROR(SUM(BM130)/SUM(BM184,BM188,BM190,BM191),"")</f>
        <v/>
      </c>
      <c r="BN328" s="339" t="str">
        <f>IFERROR(SUM(BN130)/SUM(BN184,BN188,BN190,BN191),"")</f>
        <v/>
      </c>
      <c r="BO328" s="339" t="str">
        <f>IFERROR(SUM(BO130)/SUM(BO184,BO188,BO190,BO191),"")</f>
        <v/>
      </c>
      <c r="BQ328" s="339" t="str">
        <f>IFERROR(SUM(BQ130)/SUM(BQ184,BQ188,BQ190,BQ191),"")</f>
        <v/>
      </c>
      <c r="BR328" s="339" t="str">
        <f>IFERROR(SUM(BR130)/SUM(BR184,BR188,BR190,BR191),"")</f>
        <v/>
      </c>
      <c r="BS328" s="339" t="str">
        <f>IFERROR(SUM(BS130)/SUM(BS184,BS188,BS190,BS191),"")</f>
        <v/>
      </c>
      <c r="BT328" s="339" t="str">
        <f>IFERROR(SUM(BT130)/SUM(BT184,BT188,BT190,BT191),"")</f>
        <v/>
      </c>
      <c r="BV328" s="339" t="str">
        <f>IFERROR(SUM(BV130)/SUM(BV184,BV188,BV190,BV191),"")</f>
        <v/>
      </c>
      <c r="BW328" s="339" t="str">
        <f>IFERROR(SUM(BW130)/SUM(BW184,BW188,BW190,BW191),"")</f>
        <v/>
      </c>
      <c r="BX328" s="339" t="str">
        <f>IFERROR(SUM(BX130)/SUM(BX184,BX188,BX190,BX191),"")</f>
        <v/>
      </c>
      <c r="BY328" s="339" t="str">
        <f>IFERROR(SUM(BY130)/SUM(BY184,BY188,BY190,BY191),"")</f>
        <v/>
      </c>
      <c r="CA328" s="339" t="str">
        <f>IFERROR(SUM(CA130)/SUM(CA184,CA188,CA190,CA191),"")</f>
        <v/>
      </c>
      <c r="CB328" s="339" t="str">
        <f>IFERROR(SUM(CB130)/SUM(CB184,CB188,CB190,CB191),"")</f>
        <v/>
      </c>
      <c r="CC328" s="339" t="str">
        <f>IFERROR(SUM(CC130)/SUM(CC184,CC188,CC190,CC191),"")</f>
        <v/>
      </c>
      <c r="CD328" s="339" t="str">
        <f>IFERROR(SUM(CD130)/SUM(CD184,CD188,CD190,CD191),"")</f>
        <v/>
      </c>
      <c r="CF328" s="339" t="str">
        <f>IFERROR(SUM(CF130)/SUM(CF184,CF188,CF190,CF191),"")</f>
        <v/>
      </c>
      <c r="CG328" s="339" t="str">
        <f>IFERROR(SUM(CG130)/SUM(CG184,CG188,CG190,CG191),"")</f>
        <v/>
      </c>
      <c r="CH328" s="339" t="str">
        <f>IFERROR(SUM(CH130)/SUM(CH184,CH188,CH190,CH191),"")</f>
        <v/>
      </c>
      <c r="CI328" s="339" t="str">
        <f>IFERROR(SUM(CI130)/SUM(CI184,CI188,CI190,CI191),"")</f>
        <v/>
      </c>
      <c r="CK328" s="339" t="str">
        <f>IFERROR(SUM(CK130)/SUM(CK184,CK188,CK190,CK191),"")</f>
        <v/>
      </c>
      <c r="CL328" s="339" t="str">
        <f>IFERROR(SUM(CL130)/SUM(CL184,CL188,CL190,CL191),"")</f>
        <v/>
      </c>
      <c r="CM328" s="339" t="str">
        <f>IFERROR(SUM(CM130)/SUM(CM184,CM188,CM190,CM191),"")</f>
        <v/>
      </c>
      <c r="CN328" s="339" t="str">
        <f>IFERROR(SUM(CN130)/SUM(CN184,CN188,CN190,CN191),"")</f>
        <v/>
      </c>
      <c r="CP328" s="339" t="str">
        <f>IFERROR(SUM(CP130)/SUM(CP184,CP188,CP190,CP191),"")</f>
        <v/>
      </c>
      <c r="CQ328" s="339" t="str">
        <f>IFERROR(SUM(CQ130)/SUM(CQ184,CQ188,CQ190,CQ191),"")</f>
        <v/>
      </c>
      <c r="CR328" s="339" t="str">
        <f>IFERROR(SUM(CR130)/SUM(CR184,CR188,CR190,CR191),"")</f>
        <v/>
      </c>
      <c r="CS328" s="339" t="str">
        <f>IFERROR(SUM(CS130)/SUM(CS184,CS188,CS190,CS191),"")</f>
        <v/>
      </c>
      <c r="CU328" s="339" t="str">
        <f>IFERROR(SUM(CU130)/SUM(CU184,CU188,CU190,CU191),"")</f>
        <v/>
      </c>
      <c r="CV328" s="339" t="str">
        <f>IFERROR(SUM(CV130)/SUM(CV184,CV188,CV190,CV191),"")</f>
        <v/>
      </c>
      <c r="CW328" s="339" t="str">
        <f>IFERROR(SUM(CW130)/SUM(CW184,CW188,CW190,CW191),"")</f>
        <v/>
      </c>
      <c r="CX328" s="339" t="str">
        <f>IFERROR(SUM(CX130)/SUM(CX184,CX188,CX190,CX191),"")</f>
        <v/>
      </c>
    </row>
    <row r="329" ht="12.75" customFormat="1" customHeight="1" s="333">
      <c r="A329" s="334" t="n"/>
      <c r="B329" s="334" t="n"/>
    </row>
    <row r="330" ht="12.75" customFormat="1" customHeight="1" s="333">
      <c r="A330" s="334" t="n"/>
      <c r="B330" s="334" t="n"/>
      <c r="C330" s="331" t="inlineStr">
        <is>
          <t>OPERATING EFFICIENCY</t>
        </is>
      </c>
    </row>
    <row r="331" ht="12.75" customFormat="1" customHeight="1" s="341">
      <c r="A331" s="338" t="n"/>
      <c r="B331" s="338" t="n"/>
      <c r="C331" s="341" t="inlineStr">
        <is>
          <t>RETURN ON CAPITAL (ROIC)</t>
        </is>
      </c>
      <c r="D331" s="341" t="str">
        <f>IFERROR(D333/D336,"")</f>
        <v/>
      </c>
      <c r="E331" s="341" t="str">
        <f>IFERROR(E333/E336,"")</f>
        <v/>
      </c>
      <c r="F331" s="341" t="str">
        <f>IFERROR(F333/F336,"")</f>
        <v/>
      </c>
      <c r="G331" s="341" t="str">
        <f>IFERROR(G333/G336,"")</f>
        <v/>
      </c>
      <c r="H331" s="341" t="str">
        <f>IFERROR(H333/H336,"")</f>
        <v/>
      </c>
      <c r="I331" s="338" t="str">
        <f>IFERROR(I333/I336,"")</f>
        <v/>
      </c>
      <c r="J331" s="338" t="str">
        <f>IFERROR(J333/J336,"")</f>
        <v/>
      </c>
      <c r="K331" s="338" t="str">
        <f>IFERROR(K333/K336,"")</f>
        <v/>
      </c>
      <c r="L331" s="338" t="str">
        <f>IFERROR(L333/L336,"")</f>
        <v/>
      </c>
      <c r="M331" s="338" t="str">
        <f>IFERROR(M333/M336,"")</f>
        <v/>
      </c>
      <c r="N331" s="338" t="str">
        <f>IFERROR(N333/N336,"")</f>
        <v/>
      </c>
      <c r="O331" s="338" t="str">
        <f>IFERROR(O333/O336,"")</f>
        <v/>
      </c>
      <c r="P331" s="338" t="str">
        <f>IFERROR(P333/P336,"")</f>
        <v/>
      </c>
      <c r="Q331" s="338" t="str">
        <f>IFERROR(Q333/Q336,"")</f>
        <v/>
      </c>
      <c r="R331" s="338" t="str">
        <f>IFERROR(R333/R336,"")</f>
        <v/>
      </c>
      <c r="S331" s="338" t="str">
        <f>IFERROR(S333/S336,"")</f>
        <v/>
      </c>
      <c r="T331" s="338" t="str">
        <f>IFERROR(T333/T336,"")</f>
        <v/>
      </c>
      <c r="U331" s="338" t="str">
        <f>IFERROR(U333/U336,"")</f>
        <v/>
      </c>
      <c r="V331" s="338" t="str">
        <f>IFERROR(V333/V336,"")</f>
        <v/>
      </c>
      <c r="W331" s="338" t="str">
        <f>IFERROR(W333/W336,"")</f>
        <v/>
      </c>
      <c r="X331" s="338" t="str">
        <f>IFERROR(X333/X336,"")</f>
        <v/>
      </c>
      <c r="Y331" s="338" t="str">
        <f>IFERROR(Y333/Y336,"")</f>
        <v/>
      </c>
      <c r="Z331" s="338" t="str">
        <f>IFERROR(Z333/Z336,"")</f>
        <v/>
      </c>
      <c r="AA331" s="338">
        <f>IFERROR(AA333/AA336,"")</f>
        <v>0.0184777571240216</v>
      </c>
      <c r="AB331" s="338">
        <f>IFERROR(AB333/AB336,"")</f>
        <v>0.035371477078454</v>
      </c>
      <c r="AC331" s="338">
        <f>IFERROR(AC333/AC336,"")</f>
        <v>-0.00229014365426779</v>
      </c>
      <c r="AD331" s="338">
        <f>IFERROR(AD333/AD336,"")</f>
        <v>0.00130759644643318</v>
      </c>
      <c r="AE331" s="338">
        <f>IFERROR(AE333/AE336,"")</f>
        <v>0.00115852517646088</v>
      </c>
      <c r="AF331" s="338">
        <f>IFERROR(AF333/AF336,"")</f>
        <v>-0.00290335227644457</v>
      </c>
      <c r="AG331" s="338">
        <f>IFERROR(AG333/AG336,"")</f>
        <v>-0.00147163612530813</v>
      </c>
      <c r="AH331" s="338">
        <f>IFERROR(AH333/AH336,"")</f>
        <v>-0.00432064646213012</v>
      </c>
      <c r="AI331" s="338">
        <f>IFERROR(AI333/AI336,"")</f>
        <v>-0.00338645858173693</v>
      </c>
      <c r="AJ331" s="338">
        <f>IFERROR(AJ333/AJ336,"")</f>
        <v>0</v>
      </c>
      <c r="AK331" s="338">
        <f>IFERROR(AK333/AK336,"")</f>
        <v>0</v>
      </c>
      <c r="AL331" s="338">
        <f>IFERROR(AL333/AL336,"")</f>
        <v>-0.00922926795735947</v>
      </c>
      <c r="AM331" s="338" t="str">
        <f>IFERROR(AM333/AM336,"")</f>
        <v/>
      </c>
      <c r="AN331" s="338">
        <f>IFERROR(AN333/AN336,"")</f>
        <v>0</v>
      </c>
      <c r="AO331" s="338" t="str">
        <f>IFERROR(AO333/AO336,"")</f>
        <v/>
      </c>
      <c r="AP331" s="338" t="str">
        <f>IFERROR(AP333/AP336,"")</f>
        <v/>
      </c>
      <c r="AQ331" s="338" t="str">
        <f>IFERROR(AQ333/AQ336,"")</f>
        <v/>
      </c>
      <c r="AR331" s="338" t="str">
        <f>IFERROR(AR333/AR336,"")</f>
        <v/>
      </c>
      <c r="AS331" s="338" t="str">
        <f>IFERROR(AS333/AS336,"")</f>
        <v/>
      </c>
      <c r="AT331" s="338" t="str">
        <f>IFERROR(AT333/AT336,"")</f>
        <v/>
      </c>
      <c r="AU331" s="338" t="str">
        <f>IFERROR(AU333/AU336,"")</f>
        <v/>
      </c>
      <c r="AV331" s="338" t="str">
        <f>IFERROR(AV333/AV336,"")</f>
        <v/>
      </c>
      <c r="AW331" s="338" t="str">
        <f>IFERROR(AW333/AW336,"")</f>
        <v/>
      </c>
      <c r="AX331" s="338" t="str">
        <f>IFERROR(AX333/AX336,"")</f>
        <v/>
      </c>
      <c r="AY331" s="338" t="str">
        <f>IFERROR(AY333/AY336,"")</f>
        <v/>
      </c>
      <c r="AZ331" s="338" t="str">
        <f>IFERROR(AZ333/AZ336,"")</f>
        <v/>
      </c>
      <c r="BA331" s="338" t="str">
        <f>IFERROR(BA333/BA336,"")</f>
        <v/>
      </c>
      <c r="BB331" s="338" t="str">
        <f>IFERROR(BB333/BB336,"")</f>
        <v/>
      </c>
      <c r="BC331" s="338" t="str">
        <f>IFERROR(BC333/BC336,"")</f>
        <v/>
      </c>
      <c r="BD331" s="338" t="str">
        <f>IFERROR(BD333/BD336,"")</f>
        <v/>
      </c>
      <c r="BE331" s="338" t="str">
        <f>IFERROR(BE333/BE336,"")</f>
        <v/>
      </c>
      <c r="BF331" s="338" t="str">
        <f>IFERROR(BF333/BF336,"")</f>
        <v/>
      </c>
      <c r="BG331" s="338" t="str">
        <f>IFERROR(BG333/BG336,"")</f>
        <v/>
      </c>
      <c r="BH331" s="338" t="str">
        <f>IFERROR(BH333/BH336,"")</f>
        <v/>
      </c>
      <c r="BI331" s="338" t="str">
        <f>IFERROR(BI333/BI336,"")</f>
        <v/>
      </c>
      <c r="BJ331" s="338" t="str">
        <f>IFERROR(BJ333/BJ336,"")</f>
        <v/>
      </c>
      <c r="BK331" s="338" t="str">
        <f>IFERROR(BK333/BK336,"")</f>
        <v/>
      </c>
      <c r="BL331" s="338" t="str">
        <f>IFERROR(BL333/BL336,"")</f>
        <v/>
      </c>
      <c r="BM331" s="338" t="str">
        <f>IFERROR(BM333/BM336,"")</f>
        <v/>
      </c>
      <c r="BN331" s="338" t="str">
        <f>IFERROR(BN333/BN336,"")</f>
        <v/>
      </c>
      <c r="BO331" s="338" t="str">
        <f>IFERROR(BO333/BO336,"")</f>
        <v/>
      </c>
      <c r="BP331" s="338" t="str">
        <f>IFERROR(BP333/BP336,"")</f>
        <v/>
      </c>
      <c r="BQ331" s="338" t="str">
        <f>IFERROR(BQ333/BQ336,"")</f>
        <v/>
      </c>
      <c r="BR331" s="338" t="str">
        <f>IFERROR(BR333/BR336,"")</f>
        <v/>
      </c>
      <c r="BS331" s="338" t="str">
        <f>IFERROR(BS333/BS336,"")</f>
        <v/>
      </c>
      <c r="BT331" s="338" t="str">
        <f>IFERROR(BT333/BT336,"")</f>
        <v/>
      </c>
      <c r="BU331" s="338" t="str">
        <f>IFERROR(BU333/BU336,"")</f>
        <v/>
      </c>
      <c r="BV331" s="338" t="str">
        <f>IFERROR(BV333/BV336,"")</f>
        <v/>
      </c>
      <c r="BW331" s="338" t="str">
        <f>IFERROR(BW333/BW336,"")</f>
        <v/>
      </c>
      <c r="BX331" s="338" t="str">
        <f>IFERROR(BX333/BX336,"")</f>
        <v/>
      </c>
      <c r="BY331" s="338" t="str">
        <f>IFERROR(BY333/BY336,"")</f>
        <v/>
      </c>
      <c r="BZ331" s="338" t="str">
        <f>IFERROR(BZ333/BZ336,"")</f>
        <v/>
      </c>
      <c r="CA331" s="338" t="str">
        <f>IFERROR(CA333/CA336,"")</f>
        <v/>
      </c>
      <c r="CB331" s="338" t="str">
        <f>IFERROR(CB333/CB336,"")</f>
        <v/>
      </c>
      <c r="CC331" s="338" t="str">
        <f>IFERROR(CC333/CC336,"")</f>
        <v/>
      </c>
      <c r="CD331" s="338" t="str">
        <f>IFERROR(CD333/CD336,"")</f>
        <v/>
      </c>
      <c r="CE331" s="338" t="str">
        <f>IFERROR(CE333/CE336,"")</f>
        <v/>
      </c>
      <c r="CF331" s="338" t="str">
        <f>IFERROR(CF333/CF336,"")</f>
        <v/>
      </c>
      <c r="CG331" s="338" t="str">
        <f>IFERROR(CG333/CG336,"")</f>
        <v/>
      </c>
      <c r="CH331" s="338" t="str">
        <f>IFERROR(CH333/CH336,"")</f>
        <v/>
      </c>
      <c r="CI331" s="338" t="str">
        <f>IFERROR(CI333/CI336,"")</f>
        <v/>
      </c>
      <c r="CJ331" s="338" t="str">
        <f>IFERROR(CJ333/CJ336,"")</f>
        <v/>
      </c>
      <c r="CK331" s="338" t="str">
        <f>IFERROR(CK333/CK336,"")</f>
        <v/>
      </c>
      <c r="CL331" s="338" t="str">
        <f>IFERROR(CL333/CL336,"")</f>
        <v/>
      </c>
      <c r="CM331" s="338" t="str">
        <f>IFERROR(CM333/CM336,"")</f>
        <v/>
      </c>
      <c r="CN331" s="338" t="str">
        <f>IFERROR(CN333/CN336,"")</f>
        <v/>
      </c>
      <c r="CO331" s="338" t="str">
        <f>IFERROR(CO333/CO336,"")</f>
        <v/>
      </c>
      <c r="CP331" s="338" t="str">
        <f>IFERROR(CP333/CP336,"")</f>
        <v/>
      </c>
      <c r="CQ331" s="338" t="str">
        <f>IFERROR(CQ333/CQ336,"")</f>
        <v/>
      </c>
      <c r="CR331" s="338" t="str">
        <f>IFERROR(CR333/CR336,"")</f>
        <v/>
      </c>
      <c r="CS331" s="338" t="str">
        <f>IFERROR(CS333/CS336,"")</f>
        <v/>
      </c>
      <c r="CT331" s="338" t="str">
        <f>IFERROR(CT333/CT336,"")</f>
        <v/>
      </c>
      <c r="CU331" s="338" t="str">
        <f>IFERROR(CU333/CU336,"")</f>
        <v/>
      </c>
      <c r="CV331" s="338" t="str">
        <f>IFERROR(CV333/CV336,"")</f>
        <v/>
      </c>
      <c r="CW331" s="338" t="str">
        <f>IFERROR(CW333/CW336,"")</f>
        <v/>
      </c>
      <c r="CX331" s="338" t="str">
        <f>IFERROR(CX333/CX336,"")</f>
        <v/>
      </c>
      <c r="CY331" s="338" t="str">
        <f>IFERROR(CY333/CY336,"")</f>
        <v/>
      </c>
    </row>
    <row r="332" ht="12.75" customFormat="1" customHeight="1" s="341">
      <c r="A332" s="338" t="n"/>
      <c r="B332" s="338" t="n"/>
      <c r="C332" s="341" t="inlineStr">
        <is>
          <t>RETURN ON CAPITAL (ROIC) - EX GOODWILL</t>
        </is>
      </c>
      <c r="D332" s="341" t="str">
        <f>IFERROR(D333/D337,"")</f>
        <v/>
      </c>
      <c r="E332" s="341" t="str">
        <f>IFERROR(E333/E337,"")</f>
        <v/>
      </c>
      <c r="F332" s="341" t="str">
        <f>IFERROR(F333/F337,"")</f>
        <v/>
      </c>
      <c r="G332" s="341" t="str">
        <f>IFERROR(G333/G337,"")</f>
        <v/>
      </c>
      <c r="H332" s="341" t="str">
        <f>IFERROR(H333/H337,"")</f>
        <v/>
      </c>
      <c r="I332" s="338" t="str">
        <f>IFERROR(I333/I337,"")</f>
        <v/>
      </c>
      <c r="J332" s="338" t="str">
        <f>IFERROR(J333/J337,"")</f>
        <v/>
      </c>
      <c r="K332" s="338" t="str">
        <f>IFERROR(K333/K337,"")</f>
        <v/>
      </c>
      <c r="L332" s="338" t="str">
        <f>IFERROR(L333/L337,"")</f>
        <v/>
      </c>
      <c r="M332" s="338" t="str">
        <f>IFERROR(M333/M337,"")</f>
        <v/>
      </c>
      <c r="N332" s="338" t="str">
        <f>IFERROR(N333/N337,"")</f>
        <v/>
      </c>
      <c r="O332" s="338" t="str">
        <f>IFERROR(O333/O337,"")</f>
        <v/>
      </c>
      <c r="P332" s="338" t="str">
        <f>IFERROR(P333/P337,"")</f>
        <v/>
      </c>
      <c r="Q332" s="338" t="str">
        <f>IFERROR(Q333/Q337,"")</f>
        <v/>
      </c>
      <c r="R332" s="338" t="str">
        <f>IFERROR(R333/R337,"")</f>
        <v/>
      </c>
      <c r="S332" s="338" t="str">
        <f>IFERROR(S333/S337,"")</f>
        <v/>
      </c>
      <c r="T332" s="338" t="str">
        <f>IFERROR(T333/T337,"")</f>
        <v/>
      </c>
      <c r="U332" s="338" t="str">
        <f>IFERROR(U333/U337,"")</f>
        <v/>
      </c>
      <c r="V332" s="338" t="str">
        <f>IFERROR(V333/V337,"")</f>
        <v/>
      </c>
      <c r="W332" s="338" t="str">
        <f>IFERROR(W333/W337,"")</f>
        <v/>
      </c>
      <c r="X332" s="338" t="str">
        <f>IFERROR(X333/X337,"")</f>
        <v/>
      </c>
      <c r="Y332" s="338" t="str">
        <f>IFERROR(Y333/Y337,"")</f>
        <v/>
      </c>
      <c r="Z332" s="338" t="str">
        <f>IFERROR(Z333/Z337,"")</f>
        <v/>
      </c>
      <c r="AA332" s="338">
        <f>IFERROR(AA333/AA337,"")</f>
        <v>0.0185118083399533</v>
      </c>
      <c r="AB332" s="338">
        <f>IFERROR(AB333/AB337,"")</f>
        <v>0.0354366604118931</v>
      </c>
      <c r="AC332" s="338">
        <f>IFERROR(AC333/AC337,"")</f>
        <v>-0.0022933902791191</v>
      </c>
      <c r="AD332" s="338">
        <f>IFERROR(AD333/AD337,"")</f>
        <v>0.00137163640183308</v>
      </c>
      <c r="AE332" s="338">
        <f>IFERROR(AE333/AE337,"")</f>
        <v>0.00120664342678366</v>
      </c>
      <c r="AF332" s="338">
        <f>IFERROR(AF333/AF337,"")</f>
        <v>-0.00301451484621663</v>
      </c>
      <c r="AG332" s="338">
        <f>IFERROR(AG333/AG337,"")</f>
        <v>-0.00152798163142735</v>
      </c>
      <c r="AH332" s="338">
        <f>IFERROR(AH333/AH337,"")</f>
        <v>-0.00445099395506902</v>
      </c>
      <c r="AI332" s="338">
        <f>IFERROR(AI333/AI337,"")</f>
        <v>-0.00363570591768802</v>
      </c>
      <c r="AJ332" s="338">
        <f>IFERROR(AJ333/AJ337,"")</f>
        <v>0</v>
      </c>
      <c r="AK332" s="338">
        <f>IFERROR(AK333/AK337,"")</f>
        <v>0</v>
      </c>
      <c r="AL332" s="338">
        <f>IFERROR(AL333/AL337,"")</f>
        <v>-0.00968637205187376</v>
      </c>
      <c r="AM332" s="338" t="str">
        <f>IFERROR(AM333/AM337,"")</f>
        <v/>
      </c>
      <c r="AN332" s="338">
        <f>IFERROR(AN333/AN337,"")</f>
        <v>0</v>
      </c>
      <c r="AO332" s="338" t="str">
        <f>IFERROR(AO333/AO337,"")</f>
        <v/>
      </c>
      <c r="AP332" s="338" t="str">
        <f>IFERROR(AP333/AP337,"")</f>
        <v/>
      </c>
      <c r="AQ332" s="338" t="str">
        <f>IFERROR(AQ333/AQ337,"")</f>
        <v/>
      </c>
      <c r="AR332" s="338" t="str">
        <f>IFERROR(AR333/AR337,"")</f>
        <v/>
      </c>
      <c r="AS332" s="338" t="str">
        <f>IFERROR(AS333/AS337,"")</f>
        <v/>
      </c>
      <c r="AT332" s="338" t="str">
        <f>IFERROR(AT333/AT337,"")</f>
        <v/>
      </c>
      <c r="AU332" s="338" t="str">
        <f>IFERROR(AU333/AU337,"")</f>
        <v/>
      </c>
      <c r="AV332" s="338" t="str">
        <f>IFERROR(AV333/AV337,"")</f>
        <v/>
      </c>
      <c r="AW332" s="338" t="str">
        <f>IFERROR(AW333/AW337,"")</f>
        <v/>
      </c>
      <c r="AX332" s="338" t="str">
        <f>IFERROR(AX333/AX337,"")</f>
        <v/>
      </c>
      <c r="AY332" s="338" t="str">
        <f>IFERROR(AY333/AY337,"")</f>
        <v/>
      </c>
      <c r="AZ332" s="338" t="str">
        <f>IFERROR(AZ333/AZ337,"")</f>
        <v/>
      </c>
      <c r="BA332" s="338" t="str">
        <f>IFERROR(BA333/BA337,"")</f>
        <v/>
      </c>
      <c r="BB332" s="338" t="str">
        <f>IFERROR(BB333/BB337,"")</f>
        <v/>
      </c>
      <c r="BC332" s="338" t="str">
        <f>IFERROR(BC333/BC337,"")</f>
        <v/>
      </c>
      <c r="BD332" s="338" t="str">
        <f>IFERROR(BD333/BD337,"")</f>
        <v/>
      </c>
      <c r="BE332" s="338" t="str">
        <f>IFERROR(BE333/BE337,"")</f>
        <v/>
      </c>
      <c r="BF332" s="338" t="str">
        <f>IFERROR(BF333/BF337,"")</f>
        <v/>
      </c>
      <c r="BG332" s="338" t="str">
        <f>IFERROR(BG333/BG337,"")</f>
        <v/>
      </c>
      <c r="BH332" s="338" t="str">
        <f>IFERROR(BH333/BH337,"")</f>
        <v/>
      </c>
      <c r="BI332" s="338" t="str">
        <f>IFERROR(BI333/BI337,"")</f>
        <v/>
      </c>
      <c r="BJ332" s="338" t="str">
        <f>IFERROR(BJ333/BJ337,"")</f>
        <v/>
      </c>
      <c r="BK332" s="338" t="str">
        <f>IFERROR(BK333/BK337,"")</f>
        <v/>
      </c>
      <c r="BL332" s="338" t="str">
        <f>IFERROR(BL333/BL337,"")</f>
        <v/>
      </c>
      <c r="BM332" s="338" t="str">
        <f>IFERROR(BM333/BM337,"")</f>
        <v/>
      </c>
      <c r="BN332" s="338" t="str">
        <f>IFERROR(BN333/BN337,"")</f>
        <v/>
      </c>
      <c r="BO332" s="338" t="str">
        <f>IFERROR(BO333/BO337,"")</f>
        <v/>
      </c>
      <c r="BP332" s="338" t="str">
        <f>IFERROR(BP333/BP337,"")</f>
        <v/>
      </c>
      <c r="BQ332" s="338" t="str">
        <f>IFERROR(BQ333/BQ337,"")</f>
        <v/>
      </c>
      <c r="BR332" s="338" t="str">
        <f>IFERROR(BR333/BR337,"")</f>
        <v/>
      </c>
      <c r="BS332" s="338" t="str">
        <f>IFERROR(BS333/BS337,"")</f>
        <v/>
      </c>
      <c r="BT332" s="338" t="str">
        <f>IFERROR(BT333/BT337,"")</f>
        <v/>
      </c>
      <c r="BU332" s="338" t="str">
        <f>IFERROR(BU333/BU337,"")</f>
        <v/>
      </c>
      <c r="BV332" s="338" t="str">
        <f>IFERROR(BV333/BV337,"")</f>
        <v/>
      </c>
      <c r="BW332" s="338" t="str">
        <f>IFERROR(BW333/BW337,"")</f>
        <v/>
      </c>
      <c r="BX332" s="338" t="str">
        <f>IFERROR(BX333/BX337,"")</f>
        <v/>
      </c>
      <c r="BY332" s="338" t="str">
        <f>IFERROR(BY333/BY337,"")</f>
        <v/>
      </c>
      <c r="BZ332" s="338" t="str">
        <f>IFERROR(BZ333/BZ337,"")</f>
        <v/>
      </c>
      <c r="CA332" s="338" t="str">
        <f>IFERROR(CA333/CA337,"")</f>
        <v/>
      </c>
      <c r="CB332" s="338" t="str">
        <f>IFERROR(CB333/CB337,"")</f>
        <v/>
      </c>
      <c r="CC332" s="338" t="str">
        <f>IFERROR(CC333/CC337,"")</f>
        <v/>
      </c>
      <c r="CD332" s="338" t="str">
        <f>IFERROR(CD333/CD337,"")</f>
        <v/>
      </c>
      <c r="CE332" s="338" t="str">
        <f>IFERROR(CE333/CE337,"")</f>
        <v/>
      </c>
      <c r="CF332" s="338" t="str">
        <f>IFERROR(CF333/CF337,"")</f>
        <v/>
      </c>
      <c r="CG332" s="338" t="str">
        <f>IFERROR(CG333/CG337,"")</f>
        <v/>
      </c>
      <c r="CH332" s="338" t="str">
        <f>IFERROR(CH333/CH337,"")</f>
        <v/>
      </c>
      <c r="CI332" s="338" t="str">
        <f>IFERROR(CI333/CI337,"")</f>
        <v/>
      </c>
      <c r="CJ332" s="338" t="str">
        <f>IFERROR(CJ333/CJ337,"")</f>
        <v/>
      </c>
      <c r="CK332" s="338" t="str">
        <f>IFERROR(CK333/CK337,"")</f>
        <v/>
      </c>
      <c r="CL332" s="338" t="str">
        <f>IFERROR(CL333/CL337,"")</f>
        <v/>
      </c>
      <c r="CM332" s="338" t="str">
        <f>IFERROR(CM333/CM337,"")</f>
        <v/>
      </c>
      <c r="CN332" s="338" t="str">
        <f>IFERROR(CN333/CN337,"")</f>
        <v/>
      </c>
      <c r="CO332" s="338" t="str">
        <f>IFERROR(CO333/CO337,"")</f>
        <v/>
      </c>
      <c r="CP332" s="338" t="str">
        <f>IFERROR(CP333/CP337,"")</f>
        <v/>
      </c>
      <c r="CQ332" s="338" t="str">
        <f>IFERROR(CQ333/CQ337,"")</f>
        <v/>
      </c>
      <c r="CR332" s="338" t="str">
        <f>IFERROR(CR333/CR337,"")</f>
        <v/>
      </c>
      <c r="CS332" s="338" t="str">
        <f>IFERROR(CS333/CS337,"")</f>
        <v/>
      </c>
      <c r="CT332" s="338" t="str">
        <f>IFERROR(CT333/CT337,"")</f>
        <v/>
      </c>
      <c r="CU332" s="338" t="str">
        <f>IFERROR(CU333/CU337,"")</f>
        <v/>
      </c>
      <c r="CV332" s="338" t="str">
        <f>IFERROR(CV333/CV337,"")</f>
        <v/>
      </c>
      <c r="CW332" s="338" t="str">
        <f>IFERROR(CW333/CW337,"")</f>
        <v/>
      </c>
      <c r="CX332" s="338" t="str">
        <f>IFERROR(CX333/CX337,"")</f>
        <v/>
      </c>
      <c r="CY332" s="338" t="str">
        <f>IFERROR(CY333/CY337,"")</f>
        <v/>
      </c>
    </row>
    <row r="333" ht="12.75" customFormat="1" customHeight="1" s="333">
      <c r="A333" s="334" t="n"/>
      <c r="B333" s="334" t="n"/>
      <c r="C333" s="333" t="inlineStr">
        <is>
          <t>NOPLAT</t>
        </is>
      </c>
      <c r="D333" s="333" t="str">
        <f>IFERROR(D334*(1-D335),"")</f>
        <v/>
      </c>
      <c r="E333" s="333" t="str">
        <f>IFERROR(E334*(1-E335),"")</f>
        <v/>
      </c>
      <c r="F333" s="333" t="str">
        <f>IFERROR(F334*(1-F335),"")</f>
        <v/>
      </c>
      <c r="G333" s="333" t="str">
        <f>IFERROR(G334*(1-G335),"")</f>
        <v/>
      </c>
      <c r="H333" s="333" t="str">
        <f>IFERROR(H334*(1-H335),"")</f>
        <v/>
      </c>
      <c r="I333" s="342" t="str">
        <f>IFERROR(I334*(1-I335),"")</f>
        <v/>
      </c>
      <c r="J333" s="334" t="str">
        <f>IFERROR(J334*(1-J335),"")</f>
        <v/>
      </c>
      <c r="K333" s="334" t="str">
        <f>IFERROR(K334*(1-K335),"")</f>
        <v/>
      </c>
      <c r="L333" s="334" t="str">
        <f>IFERROR(L334*(1-L335),"")</f>
        <v/>
      </c>
      <c r="M333" s="334" t="str">
        <f>IFERROR(M334*(1-M335),"")</f>
        <v/>
      </c>
      <c r="N333" s="342" t="str">
        <f>IFERROR(N334*(1-N335),"")</f>
        <v/>
      </c>
      <c r="O333" s="334" t="str">
        <f>IFERROR(O334*(1-O335),"")</f>
        <v/>
      </c>
      <c r="P333" s="334" t="str">
        <f>IFERROR(P334*(1-P335),"")</f>
        <v/>
      </c>
      <c r="Q333" s="334" t="str">
        <f>IFERROR(Q334*(1-Q335),"")</f>
        <v/>
      </c>
      <c r="R333" s="334" t="str">
        <f>IFERROR(R334*(1-R335),"")</f>
        <v/>
      </c>
      <c r="S333" s="342" t="str">
        <f>IFERROR(S334*(1-S335),"")</f>
        <v/>
      </c>
      <c r="T333" s="334" t="str">
        <f>IFERROR(T334*(1-T335),"")</f>
        <v/>
      </c>
      <c r="U333" s="334" t="str">
        <f>IFERROR(U334*(1-U335),"")</f>
        <v/>
      </c>
      <c r="V333" s="334" t="str">
        <f>IFERROR(V334*(1-V335),"")</f>
        <v/>
      </c>
      <c r="W333" s="334" t="str">
        <f>IFERROR(W334*(1-W335),"")</f>
        <v/>
      </c>
      <c r="X333" s="342">
        <f>IFERROR(X334*(1-X335),"")</f>
        <v>19.1256932955055</v>
      </c>
      <c r="Y333" s="334">
        <f>IFERROR(Y334*(1-Y335),"")</f>
        <v>88.7528374907201</v>
      </c>
      <c r="Z333" s="334">
        <f>IFERROR(Z334*(1-Z335),"")</f>
        <v>132.451427046532</v>
      </c>
      <c r="AA333" s="334">
        <f>IFERROR(AA334*(1-AA335),"")</f>
        <v>196.326502042358</v>
      </c>
      <c r="AB333" s="334">
        <f>IFERROR(AB334*(1-AB335),"")</f>
        <v>375.822580645161</v>
      </c>
      <c r="AC333" s="342">
        <f>IFERROR(AC334*(1-AC335),"")</f>
        <v>-31.6171003717472</v>
      </c>
      <c r="AD333" s="334">
        <f>IFERROR(AD334*(1-AD335),"")</f>
        <v>22.7685950413223</v>
      </c>
      <c r="AE333" s="334">
        <f>IFERROR(AE334*(1-AE335),"")</f>
        <v>24.1124702285434</v>
      </c>
      <c r="AF333" s="334">
        <f>IFERROR(AF334*(1-AF335),"")</f>
        <v>-86.6853889178055</v>
      </c>
      <c r="AG333" s="334">
        <f>IFERROR(AG334*(1-AG335),"")</f>
        <v>-43.9386397933249</v>
      </c>
      <c r="AH333" s="342">
        <f>IFERROR(AH334*(1-AH335),"")</f>
        <v>-162.439024390244</v>
      </c>
      <c r="AI333" s="334">
        <f>IFERROR(AI334*(1-AI335),"")</f>
        <v>-54.386524822695</v>
      </c>
      <c r="AJ333" s="334">
        <f>IFERROR(AJ334*(1-AJ335),"")</f>
        <v>0</v>
      </c>
      <c r="AK333" s="334">
        <f>IFERROR(AK334*(1-AK335),"")</f>
        <v>0</v>
      </c>
      <c r="AL333" s="334">
        <f>IFERROR(AL334*(1-AL335),"")</f>
        <v>-215.328050713154</v>
      </c>
      <c r="AM333" s="342">
        <f>IFERROR(AM334*(1-AM335),"")</f>
        <v>0</v>
      </c>
      <c r="AN333" s="334">
        <f>IFERROR(AN334*(1-AN335),"")</f>
        <v>0</v>
      </c>
      <c r="AO333" s="334">
        <f>IFERROR(AO334*(1-AO335),"")</f>
        <v>0</v>
      </c>
      <c r="AP333" s="334">
        <f>IFERROR(AP334*(1-AP335),"")</f>
        <v>0</v>
      </c>
      <c r="AQ333" s="334">
        <f>IFERROR(AQ334*(1-AQ335),"")</f>
        <v>0</v>
      </c>
      <c r="AR333" s="342">
        <f>IFERROR(AR334*(1-AR335),"")</f>
        <v>0</v>
      </c>
      <c r="AS333" s="334">
        <f>IFERROR(AS334*(1-AS335),"")</f>
        <v>0</v>
      </c>
      <c r="AT333" s="334">
        <f>IFERROR(AT334*(1-AT335),"")</f>
        <v>0</v>
      </c>
      <c r="AU333" s="334">
        <f>IFERROR(AU334*(1-AU335),"")</f>
        <v>0</v>
      </c>
      <c r="AV333" s="334">
        <f>IFERROR(AV334*(1-AV335),"")</f>
        <v>0</v>
      </c>
      <c r="AW333" s="342">
        <f>IFERROR(AW334*(1-AW335),"")</f>
        <v>0</v>
      </c>
      <c r="AX333" s="334">
        <f>IFERROR(AX334*(1-AX335),"")</f>
        <v>0</v>
      </c>
      <c r="AY333" s="334">
        <f>IFERROR(AY334*(1-AY335),"")</f>
        <v>0</v>
      </c>
      <c r="AZ333" s="334">
        <f>IFERROR(AZ334*(1-AZ335),"")</f>
        <v>0</v>
      </c>
      <c r="BA333" s="334">
        <f>IFERROR(BA334*(1-BA335),"")</f>
        <v>0</v>
      </c>
      <c r="BB333" s="342">
        <f>IFERROR(BB334*(1-BB335),"")</f>
        <v>0</v>
      </c>
      <c r="BC333" s="334">
        <f>IFERROR(BC334*(1-BC335),"")</f>
        <v>0</v>
      </c>
      <c r="BD333" s="334">
        <f>IFERROR(BD334*(1-BD335),"")</f>
        <v>0</v>
      </c>
      <c r="BE333" s="334">
        <f>IFERROR(BE334*(1-BE335),"")</f>
        <v>0</v>
      </c>
      <c r="BF333" s="334">
        <f>IFERROR(BF334*(1-BF335),"")</f>
        <v>0</v>
      </c>
      <c r="BG333" s="342">
        <f>IFERROR(BG334*(1-BG335),"")</f>
        <v>0</v>
      </c>
      <c r="BH333" s="334">
        <f>IFERROR(BH334*(1-BH335),"")</f>
        <v>0</v>
      </c>
      <c r="BI333" s="334">
        <f>IFERROR(BI334*(1-BI335),"")</f>
        <v>0</v>
      </c>
      <c r="BJ333" s="334">
        <f>IFERROR(BJ334*(1-BJ335),"")</f>
        <v>0</v>
      </c>
      <c r="BK333" s="334">
        <f>IFERROR(BK334*(1-BK335),"")</f>
        <v>0</v>
      </c>
      <c r="BL333" s="342">
        <f>IFERROR(BL334*(1-BL335),"")</f>
        <v>0</v>
      </c>
      <c r="BM333" s="334">
        <f>IFERROR(BM334*(1-BM335),"")</f>
        <v>0</v>
      </c>
      <c r="BN333" s="334">
        <f>IFERROR(BN334*(1-BN335),"")</f>
        <v>0</v>
      </c>
      <c r="BO333" s="334">
        <f>IFERROR(BO334*(1-BO335),"")</f>
        <v>0</v>
      </c>
      <c r="BP333" s="334">
        <f>IFERROR(BP334*(1-BP335),"")</f>
        <v>0</v>
      </c>
      <c r="BQ333" s="342">
        <f>IFERROR(BQ334*(1-BQ335),"")</f>
        <v>0</v>
      </c>
      <c r="BR333" s="334">
        <f>IFERROR(BR334*(1-BR335),"")</f>
        <v>0</v>
      </c>
      <c r="BS333" s="334">
        <f>IFERROR(BS334*(1-BS335),"")</f>
        <v>0</v>
      </c>
      <c r="BT333" s="334">
        <f>IFERROR(BT334*(1-BT335),"")</f>
        <v>0</v>
      </c>
      <c r="BU333" s="334">
        <f>IFERROR(BU334*(1-BU335),"")</f>
        <v>0</v>
      </c>
      <c r="BV333" s="342">
        <f>IFERROR(BV334*(1-BV335),"")</f>
        <v>0</v>
      </c>
      <c r="BW333" s="334">
        <f>IFERROR(BW334*(1-BW335),"")</f>
        <v>0</v>
      </c>
      <c r="BX333" s="334">
        <f>IFERROR(BX334*(1-BX335),"")</f>
        <v>0</v>
      </c>
      <c r="BY333" s="334">
        <f>IFERROR(BY334*(1-BY335),"")</f>
        <v>0</v>
      </c>
      <c r="BZ333" s="334">
        <f>IFERROR(BZ334*(1-BZ335),"")</f>
        <v>0</v>
      </c>
      <c r="CA333" s="342">
        <f>IFERROR(CA334*(1-CA335),"")</f>
        <v>0</v>
      </c>
      <c r="CB333" s="334">
        <f>IFERROR(CB334*(1-CB335),"")</f>
        <v>0</v>
      </c>
      <c r="CC333" s="334">
        <f>IFERROR(CC334*(1-CC335),"")</f>
        <v>0</v>
      </c>
      <c r="CD333" s="334">
        <f>IFERROR(CD334*(1-CD335),"")</f>
        <v>0</v>
      </c>
      <c r="CE333" s="334">
        <f>IFERROR(CE334*(1-CE335),"")</f>
        <v>0</v>
      </c>
      <c r="CF333" s="342">
        <f>IFERROR(CF334*(1-CF335),"")</f>
        <v>0</v>
      </c>
      <c r="CG333" s="334">
        <f>IFERROR(CG334*(1-CG335),"")</f>
        <v>0</v>
      </c>
      <c r="CH333" s="334">
        <f>IFERROR(CH334*(1-CH335),"")</f>
        <v>0</v>
      </c>
      <c r="CI333" s="334">
        <f>IFERROR(CI334*(1-CI335),"")</f>
        <v>0</v>
      </c>
      <c r="CJ333" s="334">
        <f>IFERROR(CJ334*(1-CJ335),"")</f>
        <v>0</v>
      </c>
      <c r="CK333" s="342">
        <f>IFERROR(CK334*(1-CK335),"")</f>
        <v>0</v>
      </c>
      <c r="CL333" s="334">
        <f>IFERROR(CL334*(1-CL335),"")</f>
        <v>0</v>
      </c>
      <c r="CM333" s="334">
        <f>IFERROR(CM334*(1-CM335),"")</f>
        <v>0</v>
      </c>
      <c r="CN333" s="334">
        <f>IFERROR(CN334*(1-CN335),"")</f>
        <v>0</v>
      </c>
      <c r="CO333" s="334">
        <f>IFERROR(CO334*(1-CO335),"")</f>
        <v>0</v>
      </c>
      <c r="CP333" s="342">
        <f>IFERROR(CP334*(1-CP335),"")</f>
        <v>0</v>
      </c>
      <c r="CQ333" s="334">
        <f>IFERROR(CQ334*(1-CQ335),"")</f>
        <v>0</v>
      </c>
      <c r="CR333" s="334">
        <f>IFERROR(CR334*(1-CR335),"")</f>
        <v>0</v>
      </c>
      <c r="CS333" s="334">
        <f>IFERROR(CS334*(1-CS335),"")</f>
        <v>0</v>
      </c>
      <c r="CT333" s="334">
        <f>IFERROR(CT334*(1-CT335),"")</f>
        <v>0</v>
      </c>
      <c r="CU333" s="342">
        <f>IFERROR(CU334*(1-CU335),"")</f>
        <v>0</v>
      </c>
      <c r="CV333" s="334">
        <f>IFERROR(CV334*(1-CV335),"")</f>
        <v>0</v>
      </c>
      <c r="CW333" s="334">
        <f>IFERROR(CW334*(1-CW335),"")</f>
        <v>0</v>
      </c>
      <c r="CX333" s="334">
        <f>IFERROR(CX334*(1-CX335),"")</f>
        <v>0</v>
      </c>
      <c r="CY333" s="334">
        <f>IFERROR(CY334*(1-CY335),"")</f>
        <v>0</v>
      </c>
    </row>
    <row r="334" ht="12.75" customFormat="1" customHeight="1" s="333">
      <c r="A334" s="334" t="n"/>
      <c r="B334" s="334" t="n"/>
      <c r="C334" s="333" t="inlineStr">
        <is>
          <t>EBIT</t>
        </is>
      </c>
      <c r="D334" s="343">
        <f>D59</f>
        <v>0</v>
      </c>
      <c r="E334" s="343">
        <f>E59</f>
        <v>0</v>
      </c>
      <c r="F334" s="343">
        <f>F59</f>
        <v>0</v>
      </c>
      <c r="G334" s="343">
        <f>G59</f>
        <v>0</v>
      </c>
      <c r="H334" s="343">
        <f>H59</f>
        <v>0</v>
      </c>
      <c r="I334" s="318">
        <f>I59</f>
        <v>0</v>
      </c>
      <c r="J334" s="318">
        <f>J59</f>
        <v>0</v>
      </c>
      <c r="K334" s="318">
        <f>K59</f>
        <v>0</v>
      </c>
      <c r="L334" s="318">
        <f>L59</f>
        <v>0</v>
      </c>
      <c r="M334" s="318">
        <f>M59</f>
        <v>0</v>
      </c>
      <c r="N334" s="318">
        <f>N59</f>
        <v>0</v>
      </c>
      <c r="O334" s="318">
        <f>O59</f>
        <v>0</v>
      </c>
      <c r="P334" s="318">
        <f>P59</f>
        <v>0</v>
      </c>
      <c r="Q334" s="318">
        <f>Q59</f>
        <v>0</v>
      </c>
      <c r="R334" s="318">
        <f>R59</f>
        <v>0</v>
      </c>
      <c r="S334" s="318">
        <f>S59</f>
        <v>0</v>
      </c>
      <c r="T334" s="318">
        <f>T59</f>
        <v>0</v>
      </c>
      <c r="U334" s="318">
        <f>U59</f>
        <v>0</v>
      </c>
      <c r="V334" s="318">
        <f>V59</f>
        <v>0</v>
      </c>
      <c r="W334" s="318">
        <f>W59</f>
        <v>0</v>
      </c>
      <c r="X334" s="318">
        <f>X59</f>
        <v>16.847</v>
      </c>
      <c r="Y334" s="318">
        <f>Y59</f>
        <v>77.721</v>
      </c>
      <c r="Z334" s="318">
        <f>Z59</f>
        <v>117.116</v>
      </c>
      <c r="AA334" s="318">
        <f>AA59</f>
        <v>112.316</v>
      </c>
      <c r="AB334" s="318">
        <f>AB59</f>
        <v>324</v>
      </c>
      <c r="AC334" s="318">
        <f>AC59</f>
        <v>-27</v>
      </c>
      <c r="AD334" s="318">
        <f>AD59</f>
        <v>19</v>
      </c>
      <c r="AE334" s="318">
        <f>AE59</f>
        <v>51.85</v>
      </c>
      <c r="AF334" s="318">
        <f>AF59</f>
        <v>-89.5889999999998</v>
      </c>
      <c r="AG334" s="318">
        <f>AG59</f>
        <v>-45.7389999999998</v>
      </c>
      <c r="AH334" s="318">
        <f>AH59</f>
        <v>-144</v>
      </c>
      <c r="AI334" s="318">
        <f>AI59</f>
        <v>-49</v>
      </c>
      <c r="AJ334" s="318">
        <f>AJ59</f>
        <v>0</v>
      </c>
      <c r="AK334" s="318">
        <f>AK59</f>
        <v>0</v>
      </c>
      <c r="AL334" s="318">
        <f>AL59</f>
        <v>-193</v>
      </c>
      <c r="AM334" s="318">
        <f>AM59</f>
        <v>0</v>
      </c>
      <c r="AN334" s="318">
        <f>AN59</f>
        <v>0</v>
      </c>
      <c r="AO334" s="318">
        <f>AO59</f>
        <v>0</v>
      </c>
      <c r="AP334" s="318">
        <f>AP59</f>
        <v>0</v>
      </c>
      <c r="AQ334" s="318">
        <f>AQ59</f>
        <v>0</v>
      </c>
      <c r="AR334" s="318">
        <f>AR59</f>
        <v>0</v>
      </c>
      <c r="AS334" s="318">
        <f>AS59</f>
        <v>0</v>
      </c>
      <c r="AT334" s="318">
        <f>AT59</f>
        <v>0</v>
      </c>
      <c r="AU334" s="318">
        <f>AU59</f>
        <v>0</v>
      </c>
      <c r="AV334" s="318">
        <f>AV59</f>
        <v>0</v>
      </c>
      <c r="AW334" s="318">
        <f>AW59</f>
        <v>0</v>
      </c>
      <c r="AX334" s="318">
        <f>AX59</f>
        <v>0</v>
      </c>
      <c r="AY334" s="318">
        <f>AY59</f>
        <v>0</v>
      </c>
      <c r="AZ334" s="318">
        <f>AZ59</f>
        <v>0</v>
      </c>
      <c r="BA334" s="318">
        <f>BA59</f>
        <v>0</v>
      </c>
      <c r="BB334" s="318">
        <f>BB59</f>
        <v>0</v>
      </c>
      <c r="BC334" s="318">
        <f>BC59</f>
        <v>0</v>
      </c>
      <c r="BD334" s="318">
        <f>BD59</f>
        <v>0</v>
      </c>
      <c r="BE334" s="318">
        <f>BE59</f>
        <v>0</v>
      </c>
      <c r="BF334" s="318">
        <f>BF59</f>
        <v>0</v>
      </c>
      <c r="BG334" s="318">
        <f>BG59</f>
        <v>0</v>
      </c>
      <c r="BH334" s="318">
        <f>BH59</f>
        <v>0</v>
      </c>
      <c r="BI334" s="318">
        <f>BI59</f>
        <v>0</v>
      </c>
      <c r="BJ334" s="318">
        <f>BJ59</f>
        <v>0</v>
      </c>
      <c r="BK334" s="318">
        <f>BK59</f>
        <v>0</v>
      </c>
      <c r="BL334" s="318">
        <f>BL59</f>
        <v>0</v>
      </c>
      <c r="BM334" s="318">
        <f>BM59</f>
        <v>0</v>
      </c>
      <c r="BN334" s="318">
        <f>BN59</f>
        <v>0</v>
      </c>
      <c r="BO334" s="318">
        <f>BO59</f>
        <v>0</v>
      </c>
      <c r="BP334" s="318">
        <f>BP59</f>
        <v>0</v>
      </c>
      <c r="BQ334" s="318">
        <f>BQ59</f>
        <v>0</v>
      </c>
      <c r="BR334" s="318">
        <f>BR59</f>
        <v>0</v>
      </c>
      <c r="BS334" s="318">
        <f>BS59</f>
        <v>0</v>
      </c>
      <c r="BT334" s="318">
        <f>BT59</f>
        <v>0</v>
      </c>
      <c r="BU334" s="318">
        <f>BU59</f>
        <v>0</v>
      </c>
      <c r="BV334" s="318">
        <f>BV59</f>
        <v>0</v>
      </c>
      <c r="BW334" s="318">
        <f>BW59</f>
        <v>0</v>
      </c>
      <c r="BX334" s="318">
        <f>BX59</f>
        <v>0</v>
      </c>
      <c r="BY334" s="318">
        <f>BY59</f>
        <v>0</v>
      </c>
      <c r="BZ334" s="318">
        <f>BZ59</f>
        <v>0</v>
      </c>
      <c r="CA334" s="318">
        <f>CA59</f>
        <v>0</v>
      </c>
      <c r="CB334" s="318">
        <f>CB59</f>
        <v>0</v>
      </c>
      <c r="CC334" s="318">
        <f>CC59</f>
        <v>0</v>
      </c>
      <c r="CD334" s="318">
        <f>CD59</f>
        <v>0</v>
      </c>
      <c r="CE334" s="318">
        <f>CE59</f>
        <v>0</v>
      </c>
      <c r="CF334" s="318">
        <f>CF59</f>
        <v>0</v>
      </c>
      <c r="CG334" s="318">
        <f>CG59</f>
        <v>0</v>
      </c>
      <c r="CH334" s="318">
        <f>CH59</f>
        <v>0</v>
      </c>
      <c r="CI334" s="318">
        <f>CI59</f>
        <v>0</v>
      </c>
      <c r="CJ334" s="318">
        <f>CJ59</f>
        <v>0</v>
      </c>
      <c r="CK334" s="318">
        <f>CK59</f>
        <v>0</v>
      </c>
      <c r="CL334" s="318">
        <f>CL59</f>
        <v>0</v>
      </c>
      <c r="CM334" s="318">
        <f>CM59</f>
        <v>0</v>
      </c>
      <c r="CN334" s="318">
        <f>CN59</f>
        <v>0</v>
      </c>
      <c r="CO334" s="318">
        <f>CO59</f>
        <v>0</v>
      </c>
      <c r="CP334" s="318">
        <f>CP59</f>
        <v>0</v>
      </c>
      <c r="CQ334" s="318">
        <f>CQ59</f>
        <v>0</v>
      </c>
      <c r="CR334" s="318">
        <f>CR59</f>
        <v>0</v>
      </c>
      <c r="CS334" s="318">
        <f>CS59</f>
        <v>0</v>
      </c>
      <c r="CT334" s="318">
        <f>CT59</f>
        <v>0</v>
      </c>
      <c r="CU334" s="318">
        <f>CU59</f>
        <v>0</v>
      </c>
      <c r="CV334" s="318">
        <f>CV59</f>
        <v>0</v>
      </c>
      <c r="CW334" s="318">
        <f>CW59</f>
        <v>0</v>
      </c>
      <c r="CX334" s="318">
        <f>CX59</f>
        <v>0</v>
      </c>
      <c r="CY334" s="318">
        <f>CY59</f>
        <v>0</v>
      </c>
    </row>
    <row r="335" ht="12.75" customFormat="1" customHeight="1" s="333">
      <c r="A335" s="334" t="n"/>
      <c r="B335" s="334" t="n"/>
      <c r="C335" s="333" t="inlineStr">
        <is>
          <t>ETR</t>
        </is>
      </c>
      <c r="D335" s="344" t="str">
        <f>IFERROR(D118,"")</f>
        <v/>
      </c>
      <c r="E335" s="344" t="str">
        <f>IFERROR(E118,"")</f>
        <v/>
      </c>
      <c r="F335" s="344" t="str">
        <f>IFERROR(F118,"")</f>
        <v/>
      </c>
      <c r="G335" s="344" t="str">
        <f>IFERROR(G118,"")</f>
        <v/>
      </c>
      <c r="H335" s="344" t="str">
        <f>IFERROR(H118,"")</f>
        <v/>
      </c>
      <c r="I335" s="345" t="str">
        <f>IFERROR(I118,"")</f>
        <v/>
      </c>
      <c r="J335" s="345" t="str">
        <f>IFERROR(J118,"")</f>
        <v/>
      </c>
      <c r="K335" s="345" t="str">
        <f>IFERROR(K118,"")</f>
        <v/>
      </c>
      <c r="L335" s="345" t="str">
        <f>IFERROR(L118,"")</f>
        <v/>
      </c>
      <c r="M335" s="345" t="str">
        <f>IFERROR(M118,"")</f>
        <v/>
      </c>
      <c r="N335" s="345" t="str">
        <f>IFERROR(N118,"")</f>
        <v/>
      </c>
      <c r="O335" s="345" t="str">
        <f>IFERROR(O118,"")</f>
        <v/>
      </c>
      <c r="P335" s="345" t="str">
        <f>IFERROR(P118,"")</f>
        <v/>
      </c>
      <c r="Q335" s="345" t="str">
        <f>IFERROR(Q118,"")</f>
        <v/>
      </c>
      <c r="R335" s="345" t="str">
        <f>IFERROR(R118,"")</f>
        <v/>
      </c>
      <c r="S335" s="345" t="str">
        <f>IFERROR(S118,"")</f>
        <v/>
      </c>
      <c r="T335" s="345" t="str">
        <f>IFERROR(T118,"")</f>
        <v/>
      </c>
      <c r="U335" s="345" t="str">
        <f>IFERROR(U118,"")</f>
        <v/>
      </c>
      <c r="V335" s="345" t="str">
        <f>IFERROR(V118,"")</f>
        <v/>
      </c>
      <c r="W335" s="345" t="str">
        <f>IFERROR(W118,"")</f>
        <v/>
      </c>
      <c r="X335" s="345">
        <f>IFERROR(X118,"")</f>
        <v>-0.135258105033861</v>
      </c>
      <c r="Y335" s="345">
        <f>IFERROR(Y118,"")</f>
        <v>-0.141941527910348</v>
      </c>
      <c r="Z335" s="345">
        <f>IFERROR(Z118,"")</f>
        <v>-0.130942202999862</v>
      </c>
      <c r="AA335" s="345">
        <f>IFERROR(AA118,"")</f>
        <v>-0.747983386537605</v>
      </c>
      <c r="AB335" s="345">
        <f>IFERROR(AB118,"")</f>
        <v>-0.15994623655914</v>
      </c>
      <c r="AC335" s="345">
        <f>IFERROR(AC118,"")</f>
        <v>-0.171003717472119</v>
      </c>
      <c r="AD335" s="345">
        <f>IFERROR(AD118,"")</f>
        <v>-0.198347107438017</v>
      </c>
      <c r="AE335" s="345">
        <f>IFERROR(AE118,"")</f>
        <v>0.534957179777369</v>
      </c>
      <c r="AF335" s="345">
        <f>IFERROR(AF118,"")</f>
        <v>0.0324103526347468</v>
      </c>
      <c r="AG335" s="345">
        <f>IFERROR(AG118,"")</f>
        <v>0.0393615996562004</v>
      </c>
      <c r="AH335" s="345">
        <f>IFERROR(AH118,"")</f>
        <v>-0.128048780487805</v>
      </c>
      <c r="AI335" s="345">
        <f>IFERROR(AI118,"")</f>
        <v>-0.109929078014184</v>
      </c>
      <c r="AJ335" s="345">
        <f>IFERROR(AJ118,"")</f>
        <v>0</v>
      </c>
      <c r="AK335" s="345">
        <f>IFERROR(AK118,"")</f>
        <v>0</v>
      </c>
      <c r="AL335" s="345">
        <f>IFERROR(AL118,"")</f>
        <v>-0.115689381933439</v>
      </c>
      <c r="AM335" s="345">
        <f>IFERROR(AM118,"")</f>
        <v>0</v>
      </c>
      <c r="AN335" s="345">
        <f>IFERROR(AN118,"")</f>
        <v>0</v>
      </c>
      <c r="AO335" s="345">
        <f>IFERROR(AO118,"")</f>
        <v>0</v>
      </c>
      <c r="AP335" s="345">
        <f>IFERROR(AP118,"")</f>
        <v>0</v>
      </c>
      <c r="AQ335" s="345">
        <f>IFERROR(AQ118,"")</f>
        <v>0</v>
      </c>
      <c r="AR335" s="345">
        <f>IFERROR(AR118,"")</f>
        <v>0</v>
      </c>
      <c r="AS335" s="345">
        <f>IFERROR(AS118,"")</f>
        <v>0</v>
      </c>
      <c r="AT335" s="345">
        <f>IFERROR(AT118,"")</f>
        <v>0</v>
      </c>
      <c r="AU335" s="345">
        <f>IFERROR(AU118,"")</f>
        <v>0</v>
      </c>
      <c r="AV335" s="345">
        <f>IFERROR(AV118,"")</f>
        <v>0</v>
      </c>
      <c r="AW335" s="345">
        <f>IFERROR(AW118,"")</f>
        <v>0</v>
      </c>
      <c r="AX335" s="345">
        <f>IFERROR(AX118,"")</f>
        <v>0</v>
      </c>
      <c r="AY335" s="345">
        <f>IFERROR(AY118,"")</f>
        <v>0</v>
      </c>
      <c r="AZ335" s="345">
        <f>IFERROR(AZ118,"")</f>
        <v>0</v>
      </c>
      <c r="BA335" s="345">
        <f>IFERROR(BA118,"")</f>
        <v>0</v>
      </c>
      <c r="BB335" s="345">
        <f>IFERROR(BB118,"")</f>
        <v>0</v>
      </c>
      <c r="BC335" s="345">
        <f>IFERROR(BC118,"")</f>
        <v>0</v>
      </c>
      <c r="BD335" s="345">
        <f>IFERROR(BD118,"")</f>
        <v>0</v>
      </c>
      <c r="BE335" s="345">
        <f>IFERROR(BE118,"")</f>
        <v>0</v>
      </c>
      <c r="BF335" s="345">
        <f>IFERROR(BF118,"")</f>
        <v>0</v>
      </c>
      <c r="BG335" s="345">
        <f>IFERROR(BG118,"")</f>
        <v>0</v>
      </c>
      <c r="BH335" s="345">
        <f>IFERROR(BH118,"")</f>
        <v>0</v>
      </c>
      <c r="BI335" s="345">
        <f>IFERROR(BI118,"")</f>
        <v>0</v>
      </c>
      <c r="BJ335" s="345">
        <f>IFERROR(BJ118,"")</f>
        <v>0</v>
      </c>
      <c r="BK335" s="345">
        <f>IFERROR(BK118,"")</f>
        <v>0</v>
      </c>
      <c r="BL335" s="345">
        <f>IFERROR(BL118,"")</f>
        <v>0</v>
      </c>
      <c r="BM335" s="345">
        <f>IFERROR(BM118,"")</f>
        <v>0</v>
      </c>
      <c r="BN335" s="345">
        <f>IFERROR(BN118,"")</f>
        <v>0</v>
      </c>
      <c r="BO335" s="345">
        <f>IFERROR(BO118,"")</f>
        <v>0</v>
      </c>
      <c r="BP335" s="345">
        <f>IFERROR(BP118,"")</f>
        <v>0</v>
      </c>
      <c r="BQ335" s="345">
        <f>IFERROR(BQ118,"")</f>
        <v>0</v>
      </c>
      <c r="BR335" s="345">
        <f>IFERROR(BR118,"")</f>
        <v>0</v>
      </c>
      <c r="BS335" s="345">
        <f>IFERROR(BS118,"")</f>
        <v>0</v>
      </c>
      <c r="BT335" s="345">
        <f>IFERROR(BT118,"")</f>
        <v>0</v>
      </c>
      <c r="BU335" s="345">
        <f>IFERROR(BU118,"")</f>
        <v>0</v>
      </c>
      <c r="BV335" s="345">
        <f>IFERROR(BV118,"")</f>
        <v>0</v>
      </c>
      <c r="BW335" s="345">
        <f>IFERROR(BW118,"")</f>
        <v>0</v>
      </c>
      <c r="BX335" s="345">
        <f>IFERROR(BX118,"")</f>
        <v>0</v>
      </c>
      <c r="BY335" s="345">
        <f>IFERROR(BY118,"")</f>
        <v>0</v>
      </c>
      <c r="BZ335" s="345">
        <f>IFERROR(BZ118,"")</f>
        <v>0</v>
      </c>
      <c r="CA335" s="345">
        <f>IFERROR(CA118,"")</f>
        <v>0</v>
      </c>
      <c r="CB335" s="345">
        <f>IFERROR(CB118,"")</f>
        <v>0</v>
      </c>
      <c r="CC335" s="345">
        <f>IFERROR(CC118,"")</f>
        <v>0</v>
      </c>
      <c r="CD335" s="345">
        <f>IFERROR(CD118,"")</f>
        <v>0</v>
      </c>
      <c r="CE335" s="345">
        <f>IFERROR(CE118,"")</f>
        <v>0</v>
      </c>
      <c r="CF335" s="345">
        <f>IFERROR(CF118,"")</f>
        <v>0</v>
      </c>
      <c r="CG335" s="345">
        <f>IFERROR(CG118,"")</f>
        <v>0</v>
      </c>
      <c r="CH335" s="345">
        <f>IFERROR(CH118,"")</f>
        <v>0</v>
      </c>
      <c r="CI335" s="345">
        <f>IFERROR(CI118,"")</f>
        <v>0</v>
      </c>
      <c r="CJ335" s="345">
        <f>IFERROR(CJ118,"")</f>
        <v>0</v>
      </c>
      <c r="CK335" s="345">
        <f>IFERROR(CK118,"")</f>
        <v>0</v>
      </c>
      <c r="CL335" s="345">
        <f>IFERROR(CL118,"")</f>
        <v>0</v>
      </c>
      <c r="CM335" s="345">
        <f>IFERROR(CM118,"")</f>
        <v>0</v>
      </c>
      <c r="CN335" s="345">
        <f>IFERROR(CN118,"")</f>
        <v>0</v>
      </c>
      <c r="CO335" s="345">
        <f>IFERROR(CO118,"")</f>
        <v>0</v>
      </c>
      <c r="CP335" s="345">
        <f>IFERROR(CP118,"")</f>
        <v>0</v>
      </c>
      <c r="CQ335" s="345">
        <f>IFERROR(CQ118,"")</f>
        <v>0</v>
      </c>
      <c r="CR335" s="345">
        <f>IFERROR(CR118,"")</f>
        <v>0</v>
      </c>
      <c r="CS335" s="345">
        <f>IFERROR(CS118,"")</f>
        <v>0</v>
      </c>
      <c r="CT335" s="345">
        <f>IFERROR(CT118,"")</f>
        <v>0</v>
      </c>
      <c r="CU335" s="345">
        <f>IFERROR(CU118,"")</f>
        <v>0</v>
      </c>
      <c r="CV335" s="345">
        <f>IFERROR(CV118,"")</f>
        <v>0</v>
      </c>
      <c r="CW335" s="345">
        <f>IFERROR(CW118,"")</f>
        <v>0</v>
      </c>
      <c r="CX335" s="345">
        <f>IFERROR(CX118,"")</f>
        <v>0</v>
      </c>
      <c r="CY335" s="345">
        <f>IFERROR(CY118,"")</f>
        <v>0</v>
      </c>
    </row>
    <row r="336" ht="12.75" customFormat="1" customHeight="1" s="333">
      <c r="A336" s="334" t="n"/>
      <c r="B336" s="334" t="n"/>
      <c r="C336" s="333" t="inlineStr">
        <is>
          <t>INVESTED CAPITAL</t>
        </is>
      </c>
      <c r="D336" s="343">
        <f>D339-D340+D341</f>
        <v>0</v>
      </c>
      <c r="E336" s="343">
        <f>E339-E340+E341</f>
        <v>0</v>
      </c>
      <c r="F336" s="343">
        <f>F339-F340+F341</f>
        <v>0</v>
      </c>
      <c r="G336" s="343">
        <f>G339-G340+G341</f>
        <v>0</v>
      </c>
      <c r="H336" s="343">
        <f>H339-H340+H341</f>
        <v>0</v>
      </c>
      <c r="I336" s="318">
        <f>I339-I340+I341</f>
        <v>0</v>
      </c>
      <c r="J336" s="318">
        <f>J339-J340+J341</f>
        <v>0</v>
      </c>
      <c r="K336" s="318">
        <f>K339-K340+K341</f>
        <v>0</v>
      </c>
      <c r="L336" s="318">
        <f>L339-L340+L341</f>
        <v>0</v>
      </c>
      <c r="M336" s="318">
        <f>M339-M340+M341</f>
        <v>0</v>
      </c>
      <c r="N336" s="318">
        <f>N339-N340+N341</f>
        <v>0</v>
      </c>
      <c r="O336" s="318">
        <f>O339-O340+O341</f>
        <v>0</v>
      </c>
      <c r="P336" s="318">
        <f>P339-P340+P341</f>
        <v>0</v>
      </c>
      <c r="Q336" s="318">
        <f>Q339-Q340+Q341</f>
        <v>0</v>
      </c>
      <c r="R336" s="318">
        <f>R339-R340+R341</f>
        <v>0</v>
      </c>
      <c r="S336" s="318">
        <f>S339-S340+S341</f>
        <v>0</v>
      </c>
      <c r="T336" s="318">
        <f>T339-T340+T341</f>
        <v>0</v>
      </c>
      <c r="U336" s="318">
        <f>U339-U340+U341</f>
        <v>0</v>
      </c>
      <c r="V336" s="318">
        <f>V339-V340+V341</f>
        <v>0</v>
      </c>
      <c r="W336" s="318">
        <f>W339-W340+W341</f>
        <v>0</v>
      </c>
      <c r="X336" s="318">
        <f>X339-X340+X341</f>
        <v>0</v>
      </c>
      <c r="Y336" s="318">
        <f>Y339-Y340+Y341</f>
        <v>0</v>
      </c>
      <c r="Z336" s="318">
        <f>Z339-Z340+Z341</f>
        <v>0</v>
      </c>
      <c r="AA336" s="318">
        <f>AA339-AA340+AA341</f>
        <v>10625.018</v>
      </c>
      <c r="AB336" s="318">
        <f>AB339-AB340+AB341</f>
        <v>10625.018</v>
      </c>
      <c r="AC336" s="318">
        <f>AC339-AC340+AC341</f>
        <v>13805.728</v>
      </c>
      <c r="AD336" s="318">
        <f>AD339-AD340+AD341</f>
        <v>17412.555</v>
      </c>
      <c r="AE336" s="318">
        <f>AE339-AE340+AE341</f>
        <v>20813.074</v>
      </c>
      <c r="AF336" s="318">
        <f>AF339-AF340+AF341</f>
        <v>29857</v>
      </c>
      <c r="AG336" s="318">
        <f>AG339-AG340+AG341</f>
        <v>29857</v>
      </c>
      <c r="AH336" s="318">
        <f>AH339-AH340+AH341</f>
        <v>37596</v>
      </c>
      <c r="AI336" s="318">
        <f>AI339-AI340+AI341</f>
        <v>16060</v>
      </c>
      <c r="AJ336" s="318">
        <f>AJ339-AJ340+AJ341</f>
        <v>23331</v>
      </c>
      <c r="AK336" s="318">
        <f>AK339-AK340+AK341</f>
        <v>23331</v>
      </c>
      <c r="AL336" s="318">
        <f>AL339-AL340+AL341</f>
        <v>23331</v>
      </c>
      <c r="AM336" s="318" t="e">
        <f>AM339-AM340+AM341</f>
        <v>#DIV/0!</v>
      </c>
      <c r="AN336" s="318">
        <f>AN339-AN340+AN341</f>
        <v>23331</v>
      </c>
      <c r="AO336" s="318" t="e">
        <f>AO339-AO340+AO341</f>
        <v>#DIV/0!</v>
      </c>
      <c r="AP336" s="318" t="e">
        <f>AP339-AP340+AP341</f>
        <v>#DIV/0!</v>
      </c>
      <c r="AQ336" s="318" t="e">
        <f>AQ339-AQ340+AQ341</f>
        <v>#DIV/0!</v>
      </c>
      <c r="AR336" s="318" t="e">
        <f>AR339-AR340+AR341</f>
        <v>#DIV/0!</v>
      </c>
      <c r="AS336" s="318" t="e">
        <f>AS339-AS340+AS341</f>
        <v>#DIV/0!</v>
      </c>
      <c r="AT336" s="318" t="e">
        <f>AT339-AT340+AT341</f>
        <v>#DIV/0!</v>
      </c>
      <c r="AU336" s="318" t="e">
        <f>AU339-AU340+AU341</f>
        <v>#DIV/0!</v>
      </c>
      <c r="AV336" s="318" t="e">
        <f>AV339-AV340+AV341</f>
        <v>#DIV/0!</v>
      </c>
      <c r="AW336" s="318" t="e">
        <f>AW339-AW340+AW341</f>
        <v>#DIV/0!</v>
      </c>
      <c r="AX336" s="318" t="e">
        <f>AX339-AX340+AX341</f>
        <v>#DIV/0!</v>
      </c>
      <c r="AY336" s="318" t="e">
        <f>AY339-AY340+AY341</f>
        <v>#DIV/0!</v>
      </c>
      <c r="AZ336" s="318" t="e">
        <f>AZ339-AZ340+AZ341</f>
        <v>#DIV/0!</v>
      </c>
      <c r="BA336" s="318" t="e">
        <f>BA339-BA340+BA341</f>
        <v>#DIV/0!</v>
      </c>
      <c r="BB336" s="318" t="e">
        <f>BB339-BB340+BB341</f>
        <v>#DIV/0!</v>
      </c>
      <c r="BC336" s="318" t="e">
        <f>BC339-BC340+BC341</f>
        <v>#DIV/0!</v>
      </c>
      <c r="BD336" s="318" t="e">
        <f>BD339-BD340+BD341</f>
        <v>#DIV/0!</v>
      </c>
      <c r="BE336" s="318" t="e">
        <f>BE339-BE340+BE341</f>
        <v>#DIV/0!</v>
      </c>
      <c r="BF336" s="318" t="e">
        <f>BF339-BF340+BF341</f>
        <v>#DIV/0!</v>
      </c>
      <c r="BG336" s="318" t="e">
        <f>BG339-BG340+BG341</f>
        <v>#DIV/0!</v>
      </c>
      <c r="BH336" s="318" t="e">
        <f>BH339-BH340+BH341</f>
        <v>#DIV/0!</v>
      </c>
      <c r="BI336" s="318" t="e">
        <f>BI339-BI340+BI341</f>
        <v>#DIV/0!</v>
      </c>
      <c r="BJ336" s="318" t="e">
        <f>BJ339-BJ340+BJ341</f>
        <v>#DIV/0!</v>
      </c>
      <c r="BK336" s="318" t="e">
        <f>BK339-BK340+BK341</f>
        <v>#DIV/0!</v>
      </c>
      <c r="BL336" s="318" t="e">
        <f>BL339-BL340+BL341</f>
        <v>#DIV/0!</v>
      </c>
      <c r="BM336" s="318" t="e">
        <f>BM339-BM340+BM341</f>
        <v>#DIV/0!</v>
      </c>
      <c r="BN336" s="318" t="e">
        <f>BN339-BN340+BN341</f>
        <v>#DIV/0!</v>
      </c>
      <c r="BO336" s="318" t="e">
        <f>BO339-BO340+BO341</f>
        <v>#DIV/0!</v>
      </c>
      <c r="BP336" s="318" t="e">
        <f>BP339-BP340+BP341</f>
        <v>#DIV/0!</v>
      </c>
      <c r="BQ336" s="318" t="e">
        <f>BQ339-BQ340+BQ341</f>
        <v>#DIV/0!</v>
      </c>
      <c r="BR336" s="318" t="e">
        <f>BR339-BR340+BR341</f>
        <v>#DIV/0!</v>
      </c>
      <c r="BS336" s="318" t="e">
        <f>BS339-BS340+BS341</f>
        <v>#DIV/0!</v>
      </c>
      <c r="BT336" s="318" t="e">
        <f>BT339-BT340+BT341</f>
        <v>#DIV/0!</v>
      </c>
      <c r="BU336" s="318" t="e">
        <f>BU339-BU340+BU341</f>
        <v>#DIV/0!</v>
      </c>
      <c r="BV336" s="318" t="e">
        <f>BV339-BV340+BV341</f>
        <v>#DIV/0!</v>
      </c>
      <c r="BW336" s="318" t="e">
        <f>BW339-BW340+BW341</f>
        <v>#DIV/0!</v>
      </c>
      <c r="BX336" s="318" t="e">
        <f>BX339-BX340+BX341</f>
        <v>#DIV/0!</v>
      </c>
      <c r="BY336" s="318" t="e">
        <f>BY339-BY340+BY341</f>
        <v>#DIV/0!</v>
      </c>
      <c r="BZ336" s="318" t="e">
        <f>BZ339-BZ340+BZ341</f>
        <v>#DIV/0!</v>
      </c>
      <c r="CA336" s="318" t="e">
        <f>CA339-CA340+CA341</f>
        <v>#DIV/0!</v>
      </c>
      <c r="CB336" s="318" t="e">
        <f>CB339-CB340+CB341</f>
        <v>#DIV/0!</v>
      </c>
      <c r="CC336" s="318" t="e">
        <f>CC339-CC340+CC341</f>
        <v>#DIV/0!</v>
      </c>
      <c r="CD336" s="318" t="e">
        <f>CD339-CD340+CD341</f>
        <v>#DIV/0!</v>
      </c>
      <c r="CE336" s="318" t="e">
        <f>CE339-CE340+CE341</f>
        <v>#DIV/0!</v>
      </c>
      <c r="CF336" s="318" t="e">
        <f>CF339-CF340+CF341</f>
        <v>#DIV/0!</v>
      </c>
      <c r="CG336" s="318" t="e">
        <f>CG339-CG340+CG341</f>
        <v>#DIV/0!</v>
      </c>
      <c r="CH336" s="318" t="e">
        <f>CH339-CH340+CH341</f>
        <v>#DIV/0!</v>
      </c>
      <c r="CI336" s="318" t="e">
        <f>CI339-CI340+CI341</f>
        <v>#DIV/0!</v>
      </c>
      <c r="CJ336" s="318" t="e">
        <f>CJ339-CJ340+CJ341</f>
        <v>#DIV/0!</v>
      </c>
      <c r="CK336" s="318" t="e">
        <f>CK339-CK340+CK341</f>
        <v>#DIV/0!</v>
      </c>
      <c r="CL336" s="318" t="e">
        <f>CL339-CL340+CL341</f>
        <v>#DIV/0!</v>
      </c>
      <c r="CM336" s="318" t="e">
        <f>CM339-CM340+CM341</f>
        <v>#DIV/0!</v>
      </c>
      <c r="CN336" s="318" t="e">
        <f>CN339-CN340+CN341</f>
        <v>#DIV/0!</v>
      </c>
      <c r="CO336" s="318" t="e">
        <f>CO339-CO340+CO341</f>
        <v>#DIV/0!</v>
      </c>
      <c r="CP336" s="318" t="e">
        <f>CP339-CP340+CP341</f>
        <v>#DIV/0!</v>
      </c>
      <c r="CQ336" s="318" t="e">
        <f>CQ339-CQ340+CQ341</f>
        <v>#DIV/0!</v>
      </c>
      <c r="CR336" s="318" t="e">
        <f>CR339-CR340+CR341</f>
        <v>#DIV/0!</v>
      </c>
      <c r="CS336" s="318" t="e">
        <f>CS339-CS340+CS341</f>
        <v>#DIV/0!</v>
      </c>
      <c r="CT336" s="318" t="e">
        <f>CT339-CT340+CT341</f>
        <v>#DIV/0!</v>
      </c>
      <c r="CU336" s="318" t="e">
        <f>CU339-CU340+CU341</f>
        <v>#DIV/0!</v>
      </c>
      <c r="CV336" s="318" t="e">
        <f>CV339-CV340+CV341</f>
        <v>#DIV/0!</v>
      </c>
      <c r="CW336" s="318" t="e">
        <f>CW339-CW340+CW341</f>
        <v>#DIV/0!</v>
      </c>
      <c r="CX336" s="318" t="e">
        <f>CX339-CX340+CX341</f>
        <v>#DIV/0!</v>
      </c>
      <c r="CY336" s="318" t="e">
        <f>CY339-CY340+CY341</f>
        <v>#DIV/0!</v>
      </c>
    </row>
    <row r="337" ht="12.75" customFormat="1" customHeight="1" s="333">
      <c r="A337" s="334" t="n"/>
      <c r="B337" s="334" t="n"/>
      <c r="C337" s="333" t="inlineStr">
        <is>
          <t>INVESTED CAPITAL - EX GOODWILL</t>
        </is>
      </c>
      <c r="D337" s="346">
        <f>D336-D165</f>
        <v>0</v>
      </c>
      <c r="E337" s="346">
        <f>E336-E165</f>
        <v>0</v>
      </c>
      <c r="F337" s="346">
        <f>F336-F165</f>
        <v>0</v>
      </c>
      <c r="G337" s="346">
        <f>G336-G165</f>
        <v>0</v>
      </c>
      <c r="H337" s="346">
        <f>H336-H165</f>
        <v>0</v>
      </c>
      <c r="I337" s="347">
        <f>I336-I165</f>
        <v>0</v>
      </c>
      <c r="J337" s="347">
        <f>J336-J165</f>
        <v>0</v>
      </c>
      <c r="K337" s="347">
        <f>K336-K165</f>
        <v>0</v>
      </c>
      <c r="L337" s="347">
        <f>L336-L165</f>
        <v>0</v>
      </c>
      <c r="M337" s="347">
        <f>M336-M165</f>
        <v>0</v>
      </c>
      <c r="N337" s="347">
        <f>N336-N165</f>
        <v>0</v>
      </c>
      <c r="O337" s="347">
        <f>O336-O165</f>
        <v>0</v>
      </c>
      <c r="P337" s="347">
        <f>P336-P165</f>
        <v>0</v>
      </c>
      <c r="Q337" s="347">
        <f>Q336-Q165</f>
        <v>0</v>
      </c>
      <c r="R337" s="347">
        <f>R336-R165</f>
        <v>0</v>
      </c>
      <c r="S337" s="347">
        <f>S336-S165</f>
        <v>0</v>
      </c>
      <c r="T337" s="347">
        <f>T336-T165</f>
        <v>0</v>
      </c>
      <c r="U337" s="347">
        <f>U336-U165</f>
        <v>0</v>
      </c>
      <c r="V337" s="347">
        <f>V336-V165</f>
        <v>0</v>
      </c>
      <c r="W337" s="347">
        <f>W336-W165</f>
        <v>0</v>
      </c>
      <c r="X337" s="347">
        <f>X336-X165</f>
        <v>0</v>
      </c>
      <c r="Y337" s="347">
        <f>Y336-Y165</f>
        <v>0</v>
      </c>
      <c r="Z337" s="347">
        <f>Z336-Z165</f>
        <v>0</v>
      </c>
      <c r="AA337" s="347">
        <f>AA336-AA165</f>
        <v>10605.474</v>
      </c>
      <c r="AB337" s="347">
        <f>AB336-AB165</f>
        <v>10605.474</v>
      </c>
      <c r="AC337" s="347">
        <f>AC336-AC165</f>
        <v>13786.184</v>
      </c>
      <c r="AD337" s="347">
        <f>AD336-AD165</f>
        <v>16599.585</v>
      </c>
      <c r="AE337" s="347">
        <f>AE336-AE165</f>
        <v>19983.095</v>
      </c>
      <c r="AF337" s="347">
        <f>AF336-AF165</f>
        <v>28756</v>
      </c>
      <c r="AG337" s="347">
        <f>AG336-AG165</f>
        <v>28756</v>
      </c>
      <c r="AH337" s="347">
        <f>AH336-AH165</f>
        <v>36495</v>
      </c>
      <c r="AI337" s="347">
        <f>AI336-AI165</f>
        <v>14959</v>
      </c>
      <c r="AJ337" s="347">
        <f>AJ336-AJ165</f>
        <v>22230</v>
      </c>
      <c r="AK337" s="347">
        <f>AK336-AK165</f>
        <v>22230</v>
      </c>
      <c r="AL337" s="347">
        <f>AL336-AL165</f>
        <v>22230</v>
      </c>
      <c r="AM337" s="347" t="e">
        <f>AM336-AM165</f>
        <v>#DIV/0!</v>
      </c>
      <c r="AN337" s="347">
        <f>AN336-AN165</f>
        <v>22230</v>
      </c>
      <c r="AO337" s="347" t="e">
        <f>AO336-AO165</f>
        <v>#DIV/0!</v>
      </c>
      <c r="AP337" s="347" t="e">
        <f>AP336-AP165</f>
        <v>#DIV/0!</v>
      </c>
      <c r="AQ337" s="347" t="e">
        <f>AQ336-AQ165</f>
        <v>#DIV/0!</v>
      </c>
      <c r="AR337" s="347" t="e">
        <f>AR336-AR165</f>
        <v>#DIV/0!</v>
      </c>
      <c r="AS337" s="347" t="e">
        <f>AS336-AS165</f>
        <v>#DIV/0!</v>
      </c>
      <c r="AT337" s="347" t="e">
        <f>AT336-AT165</f>
        <v>#DIV/0!</v>
      </c>
      <c r="AU337" s="347" t="e">
        <f>AU336-AU165</f>
        <v>#DIV/0!</v>
      </c>
      <c r="AV337" s="347" t="e">
        <f>AV336-AV165</f>
        <v>#DIV/0!</v>
      </c>
      <c r="AW337" s="347" t="e">
        <f>AW336-AW165</f>
        <v>#DIV/0!</v>
      </c>
      <c r="AX337" s="347" t="e">
        <f>AX336-AX165</f>
        <v>#DIV/0!</v>
      </c>
      <c r="AY337" s="347" t="e">
        <f>AY336-AY165</f>
        <v>#DIV/0!</v>
      </c>
      <c r="AZ337" s="347" t="e">
        <f>AZ336-AZ165</f>
        <v>#DIV/0!</v>
      </c>
      <c r="BA337" s="347" t="e">
        <f>BA336-BA165</f>
        <v>#DIV/0!</v>
      </c>
      <c r="BB337" s="347" t="e">
        <f>BB336-BB165</f>
        <v>#DIV/0!</v>
      </c>
      <c r="BC337" s="347" t="e">
        <f>BC336-BC165</f>
        <v>#DIV/0!</v>
      </c>
      <c r="BD337" s="347" t="e">
        <f>BD336-BD165</f>
        <v>#DIV/0!</v>
      </c>
      <c r="BE337" s="347" t="e">
        <f>BE336-BE165</f>
        <v>#DIV/0!</v>
      </c>
      <c r="BF337" s="347" t="e">
        <f>BF336-BF165</f>
        <v>#DIV/0!</v>
      </c>
      <c r="BG337" s="347" t="e">
        <f>BG336-BG165</f>
        <v>#DIV/0!</v>
      </c>
      <c r="BH337" s="347" t="e">
        <f>BH336-BH165</f>
        <v>#DIV/0!</v>
      </c>
      <c r="BI337" s="347" t="e">
        <f>BI336-BI165</f>
        <v>#DIV/0!</v>
      </c>
      <c r="BJ337" s="347" t="e">
        <f>BJ336-BJ165</f>
        <v>#DIV/0!</v>
      </c>
      <c r="BK337" s="347" t="e">
        <f>BK336-BK165</f>
        <v>#DIV/0!</v>
      </c>
      <c r="BL337" s="347" t="e">
        <f>BL336-BL165</f>
        <v>#DIV/0!</v>
      </c>
      <c r="BM337" s="347" t="e">
        <f>BM336-BM165</f>
        <v>#DIV/0!</v>
      </c>
      <c r="BN337" s="347" t="e">
        <f>BN336-BN165</f>
        <v>#DIV/0!</v>
      </c>
      <c r="BO337" s="347" t="e">
        <f>BO336-BO165</f>
        <v>#DIV/0!</v>
      </c>
      <c r="BP337" s="347" t="e">
        <f>BP336-BP165</f>
        <v>#DIV/0!</v>
      </c>
      <c r="BQ337" s="347" t="e">
        <f>BQ336-BQ165</f>
        <v>#DIV/0!</v>
      </c>
      <c r="BR337" s="347" t="e">
        <f>BR336-BR165</f>
        <v>#DIV/0!</v>
      </c>
      <c r="BS337" s="347" t="e">
        <f>BS336-BS165</f>
        <v>#DIV/0!</v>
      </c>
      <c r="BT337" s="347" t="e">
        <f>BT336-BT165</f>
        <v>#DIV/0!</v>
      </c>
      <c r="BU337" s="347" t="e">
        <f>BU336-BU165</f>
        <v>#DIV/0!</v>
      </c>
      <c r="BV337" s="347" t="e">
        <f>BV336-BV165</f>
        <v>#DIV/0!</v>
      </c>
      <c r="BW337" s="347" t="e">
        <f>BW336-BW165</f>
        <v>#DIV/0!</v>
      </c>
      <c r="BX337" s="347" t="e">
        <f>BX336-BX165</f>
        <v>#DIV/0!</v>
      </c>
      <c r="BY337" s="347" t="e">
        <f>BY336-BY165</f>
        <v>#DIV/0!</v>
      </c>
      <c r="BZ337" s="347" t="e">
        <f>BZ336-BZ165</f>
        <v>#DIV/0!</v>
      </c>
      <c r="CA337" s="347" t="e">
        <f>CA336-CA165</f>
        <v>#DIV/0!</v>
      </c>
      <c r="CB337" s="347" t="e">
        <f>CB336-CB165</f>
        <v>#DIV/0!</v>
      </c>
      <c r="CC337" s="347" t="e">
        <f>CC336-CC165</f>
        <v>#DIV/0!</v>
      </c>
      <c r="CD337" s="347" t="e">
        <f>CD336-CD165</f>
        <v>#DIV/0!</v>
      </c>
      <c r="CE337" s="347" t="e">
        <f>CE336-CE165</f>
        <v>#DIV/0!</v>
      </c>
      <c r="CF337" s="347" t="e">
        <f>CF336-CF165</f>
        <v>#DIV/0!</v>
      </c>
      <c r="CG337" s="347" t="e">
        <f>CG336-CG165</f>
        <v>#DIV/0!</v>
      </c>
      <c r="CH337" s="347" t="e">
        <f>CH336-CH165</f>
        <v>#DIV/0!</v>
      </c>
      <c r="CI337" s="347" t="e">
        <f>CI336-CI165</f>
        <v>#DIV/0!</v>
      </c>
      <c r="CJ337" s="347" t="e">
        <f>CJ336-CJ165</f>
        <v>#DIV/0!</v>
      </c>
      <c r="CK337" s="347" t="e">
        <f>CK336-CK165</f>
        <v>#DIV/0!</v>
      </c>
      <c r="CL337" s="347" t="e">
        <f>CL336-CL165</f>
        <v>#DIV/0!</v>
      </c>
      <c r="CM337" s="347" t="e">
        <f>CM336-CM165</f>
        <v>#DIV/0!</v>
      </c>
      <c r="CN337" s="347" t="e">
        <f>CN336-CN165</f>
        <v>#DIV/0!</v>
      </c>
      <c r="CO337" s="347" t="e">
        <f>CO336-CO165</f>
        <v>#DIV/0!</v>
      </c>
      <c r="CP337" s="347" t="e">
        <f>CP336-CP165</f>
        <v>#DIV/0!</v>
      </c>
      <c r="CQ337" s="347" t="e">
        <f>CQ336-CQ165</f>
        <v>#DIV/0!</v>
      </c>
      <c r="CR337" s="347" t="e">
        <f>CR336-CR165</f>
        <v>#DIV/0!</v>
      </c>
      <c r="CS337" s="347" t="e">
        <f>CS336-CS165</f>
        <v>#DIV/0!</v>
      </c>
      <c r="CT337" s="347" t="e">
        <f>CT336-CT165</f>
        <v>#DIV/0!</v>
      </c>
      <c r="CU337" s="347" t="e">
        <f>CU336-CU165</f>
        <v>#DIV/0!</v>
      </c>
      <c r="CV337" s="347" t="e">
        <f>CV336-CV165</f>
        <v>#DIV/0!</v>
      </c>
      <c r="CW337" s="347" t="e">
        <f>CW336-CW165</f>
        <v>#DIV/0!</v>
      </c>
      <c r="CX337" s="347" t="e">
        <f>CX336-CX165</f>
        <v>#DIV/0!</v>
      </c>
      <c r="CY337" s="347" t="e">
        <f>CY336-CY165</f>
        <v>#DIV/0!</v>
      </c>
    </row>
    <row r="338" ht="12.75" customFormat="1" customHeight="1" s="333">
      <c r="A338" s="334" t="n"/>
      <c r="B338" s="334" t="n"/>
      <c r="C338" s="333" t="inlineStr">
        <is>
          <t>OPERATING WORKING CAPITAL</t>
        </is>
      </c>
      <c r="D338" s="348">
        <f>D339-D340</f>
        <v>0</v>
      </c>
      <c r="E338" s="348">
        <f>E339-E340</f>
        <v>0</v>
      </c>
      <c r="F338" s="348">
        <f>F339-F340</f>
        <v>0</v>
      </c>
      <c r="G338" s="348">
        <f>G339-G340</f>
        <v>0</v>
      </c>
      <c r="H338" s="348">
        <f>H339-H340</f>
        <v>0</v>
      </c>
      <c r="I338" s="318">
        <f>I339-I340</f>
        <v>0</v>
      </c>
      <c r="J338" s="318">
        <f>J339-J340</f>
        <v>0</v>
      </c>
      <c r="K338" s="318">
        <f>K339-K340</f>
        <v>0</v>
      </c>
      <c r="L338" s="318">
        <f>L339-L340</f>
        <v>0</v>
      </c>
      <c r="M338" s="318">
        <f>M339-M340</f>
        <v>0</v>
      </c>
      <c r="N338" s="318">
        <f>N339-N340</f>
        <v>0</v>
      </c>
      <c r="O338" s="318">
        <f>O339-O340</f>
        <v>0</v>
      </c>
      <c r="P338" s="318">
        <f>P339-P340</f>
        <v>0</v>
      </c>
      <c r="Q338" s="318">
        <f>Q339-Q340</f>
        <v>0</v>
      </c>
      <c r="R338" s="318">
        <f>R339-R340</f>
        <v>0</v>
      </c>
      <c r="S338" s="318">
        <f>S339-S340</f>
        <v>0</v>
      </c>
      <c r="T338" s="318">
        <f>T339-T340</f>
        <v>0</v>
      </c>
      <c r="U338" s="318">
        <f>U339-U340</f>
        <v>0</v>
      </c>
      <c r="V338" s="318">
        <f>V339-V340</f>
        <v>0</v>
      </c>
      <c r="W338" s="318">
        <f>W339-W340</f>
        <v>0</v>
      </c>
      <c r="X338" s="318">
        <f>X339-X340</f>
        <v>0</v>
      </c>
      <c r="Y338" s="318">
        <f>Y339-Y340</f>
        <v>0</v>
      </c>
      <c r="Z338" s="318">
        <f>Z339-Z340</f>
        <v>0</v>
      </c>
      <c r="AA338" s="318">
        <f>AA339-AA340</f>
        <v>-1725.886</v>
      </c>
      <c r="AB338" s="318">
        <f>AB339-AB340</f>
        <v>-1725.886</v>
      </c>
      <c r="AC338" s="318">
        <f>AC339-AC340</f>
        <v>-1288.462</v>
      </c>
      <c r="AD338" s="318">
        <f>AD339-AD340</f>
        <v>-856.511</v>
      </c>
      <c r="AE338" s="318">
        <f>AE339-AE340</f>
        <v>-2867.788</v>
      </c>
      <c r="AF338" s="318">
        <f>AF339-AF340</f>
        <v>-4978</v>
      </c>
      <c r="AG338" s="318">
        <f>AG339-AG340</f>
        <v>-4978</v>
      </c>
      <c r="AH338" s="318">
        <f>AH339-AH340</f>
        <v>-6441</v>
      </c>
      <c r="AI338" s="318">
        <f>AI339-AI340</f>
        <v>-16352</v>
      </c>
      <c r="AJ338" s="318">
        <f>AJ339-AJ340</f>
        <v>-8836</v>
      </c>
      <c r="AK338" s="318">
        <f>AK339-AK340</f>
        <v>-8836</v>
      </c>
      <c r="AL338" s="318">
        <f>AL339-AL340</f>
        <v>-8836</v>
      </c>
      <c r="AM338" s="318" t="e">
        <f>AM339-AM340</f>
        <v>#DIV/0!</v>
      </c>
      <c r="AN338" s="318">
        <f>AN339-AN340</f>
        <v>-8836</v>
      </c>
      <c r="AO338" s="318" t="e">
        <f>AO339-AO340</f>
        <v>#DIV/0!</v>
      </c>
      <c r="AP338" s="318" t="e">
        <f>AP339-AP340</f>
        <v>#DIV/0!</v>
      </c>
      <c r="AQ338" s="318" t="e">
        <f>AQ339-AQ340</f>
        <v>#DIV/0!</v>
      </c>
      <c r="AR338" s="318" t="e">
        <f>AR339-AR340</f>
        <v>#DIV/0!</v>
      </c>
      <c r="AS338" s="318" t="e">
        <f>AS339-AS340</f>
        <v>#DIV/0!</v>
      </c>
      <c r="AT338" s="318" t="e">
        <f>AT339-AT340</f>
        <v>#DIV/0!</v>
      </c>
      <c r="AU338" s="318" t="e">
        <f>AU339-AU340</f>
        <v>#DIV/0!</v>
      </c>
      <c r="AV338" s="318" t="e">
        <f>AV339-AV340</f>
        <v>#DIV/0!</v>
      </c>
      <c r="AW338" s="318" t="e">
        <f>AW339-AW340</f>
        <v>#DIV/0!</v>
      </c>
      <c r="AX338" s="318" t="e">
        <f>AX339-AX340</f>
        <v>#DIV/0!</v>
      </c>
      <c r="AY338" s="318" t="e">
        <f>AY339-AY340</f>
        <v>#DIV/0!</v>
      </c>
      <c r="AZ338" s="318" t="e">
        <f>AZ339-AZ340</f>
        <v>#DIV/0!</v>
      </c>
      <c r="BA338" s="318" t="e">
        <f>BA339-BA340</f>
        <v>#DIV/0!</v>
      </c>
      <c r="BB338" s="318" t="e">
        <f>BB339-BB340</f>
        <v>#DIV/0!</v>
      </c>
      <c r="BC338" s="318" t="e">
        <f>BC339-BC340</f>
        <v>#DIV/0!</v>
      </c>
      <c r="BD338" s="318" t="e">
        <f>BD339-BD340</f>
        <v>#DIV/0!</v>
      </c>
      <c r="BE338" s="318" t="e">
        <f>BE339-BE340</f>
        <v>#DIV/0!</v>
      </c>
      <c r="BF338" s="318" t="e">
        <f>BF339-BF340</f>
        <v>#DIV/0!</v>
      </c>
      <c r="BG338" s="318" t="e">
        <f>BG339-BG340</f>
        <v>#DIV/0!</v>
      </c>
      <c r="BH338" s="318" t="e">
        <f>BH339-BH340</f>
        <v>#DIV/0!</v>
      </c>
      <c r="BI338" s="318" t="e">
        <f>BI339-BI340</f>
        <v>#DIV/0!</v>
      </c>
      <c r="BJ338" s="318" t="e">
        <f>BJ339-BJ340</f>
        <v>#DIV/0!</v>
      </c>
      <c r="BK338" s="318" t="e">
        <f>BK339-BK340</f>
        <v>#DIV/0!</v>
      </c>
      <c r="BL338" s="318" t="e">
        <f>BL339-BL340</f>
        <v>#DIV/0!</v>
      </c>
      <c r="BM338" s="318" t="e">
        <f>BM339-BM340</f>
        <v>#DIV/0!</v>
      </c>
      <c r="BN338" s="318" t="e">
        <f>BN339-BN340</f>
        <v>#DIV/0!</v>
      </c>
      <c r="BO338" s="318" t="e">
        <f>BO339-BO340</f>
        <v>#DIV/0!</v>
      </c>
      <c r="BP338" s="318" t="e">
        <f>BP339-BP340</f>
        <v>#DIV/0!</v>
      </c>
      <c r="BQ338" s="318" t="e">
        <f>BQ339-BQ340</f>
        <v>#DIV/0!</v>
      </c>
      <c r="BR338" s="318" t="e">
        <f>BR339-BR340</f>
        <v>#DIV/0!</v>
      </c>
      <c r="BS338" s="318" t="e">
        <f>BS339-BS340</f>
        <v>#DIV/0!</v>
      </c>
      <c r="BT338" s="318" t="e">
        <f>BT339-BT340</f>
        <v>#DIV/0!</v>
      </c>
      <c r="BU338" s="318" t="e">
        <f>BU339-BU340</f>
        <v>#DIV/0!</v>
      </c>
      <c r="BV338" s="318" t="e">
        <f>BV339-BV340</f>
        <v>#DIV/0!</v>
      </c>
      <c r="BW338" s="318" t="e">
        <f>BW339-BW340</f>
        <v>#DIV/0!</v>
      </c>
      <c r="BX338" s="318" t="e">
        <f>BX339-BX340</f>
        <v>#DIV/0!</v>
      </c>
      <c r="BY338" s="318" t="e">
        <f>BY339-BY340</f>
        <v>#DIV/0!</v>
      </c>
      <c r="BZ338" s="318" t="e">
        <f>BZ339-BZ340</f>
        <v>#DIV/0!</v>
      </c>
      <c r="CA338" s="318" t="e">
        <f>CA339-CA340</f>
        <v>#DIV/0!</v>
      </c>
      <c r="CB338" s="318" t="e">
        <f>CB339-CB340</f>
        <v>#DIV/0!</v>
      </c>
      <c r="CC338" s="318" t="e">
        <f>CC339-CC340</f>
        <v>#DIV/0!</v>
      </c>
      <c r="CD338" s="318" t="e">
        <f>CD339-CD340</f>
        <v>#DIV/0!</v>
      </c>
      <c r="CE338" s="318" t="e">
        <f>CE339-CE340</f>
        <v>#DIV/0!</v>
      </c>
      <c r="CF338" s="318" t="e">
        <f>CF339-CF340</f>
        <v>#DIV/0!</v>
      </c>
      <c r="CG338" s="318" t="e">
        <f>CG339-CG340</f>
        <v>#DIV/0!</v>
      </c>
      <c r="CH338" s="318" t="e">
        <f>CH339-CH340</f>
        <v>#DIV/0!</v>
      </c>
      <c r="CI338" s="318" t="e">
        <f>CI339-CI340</f>
        <v>#DIV/0!</v>
      </c>
      <c r="CJ338" s="318" t="e">
        <f>CJ339-CJ340</f>
        <v>#DIV/0!</v>
      </c>
      <c r="CK338" s="318" t="e">
        <f>CK339-CK340</f>
        <v>#DIV/0!</v>
      </c>
      <c r="CL338" s="318" t="e">
        <f>CL339-CL340</f>
        <v>#DIV/0!</v>
      </c>
      <c r="CM338" s="318" t="e">
        <f>CM339-CM340</f>
        <v>#DIV/0!</v>
      </c>
      <c r="CN338" s="318" t="e">
        <f>CN339-CN340</f>
        <v>#DIV/0!</v>
      </c>
      <c r="CO338" s="318" t="e">
        <f>CO339-CO340</f>
        <v>#DIV/0!</v>
      </c>
      <c r="CP338" s="318" t="e">
        <f>CP339-CP340</f>
        <v>#DIV/0!</v>
      </c>
      <c r="CQ338" s="318" t="e">
        <f>CQ339-CQ340</f>
        <v>#DIV/0!</v>
      </c>
      <c r="CR338" s="318" t="e">
        <f>CR339-CR340</f>
        <v>#DIV/0!</v>
      </c>
      <c r="CS338" s="318" t="e">
        <f>CS339-CS340</f>
        <v>#DIV/0!</v>
      </c>
      <c r="CT338" s="318" t="e">
        <f>CT339-CT340</f>
        <v>#DIV/0!</v>
      </c>
      <c r="CU338" s="318" t="e">
        <f>CU339-CU340</f>
        <v>#DIV/0!</v>
      </c>
      <c r="CV338" s="318" t="e">
        <f>CV339-CV340</f>
        <v>#DIV/0!</v>
      </c>
      <c r="CW338" s="318" t="e">
        <f>CW339-CW340</f>
        <v>#DIV/0!</v>
      </c>
      <c r="CX338" s="318" t="e">
        <f>CX339-CX340</f>
        <v>#DIV/0!</v>
      </c>
      <c r="CY338" s="318" t="e">
        <f>CY339-CY340</f>
        <v>#DIV/0!</v>
      </c>
    </row>
    <row r="339" ht="12.75" customFormat="1" customHeight="1" s="333">
      <c r="A339" s="334" t="n"/>
      <c r="B339" s="334" t="n"/>
      <c r="C339" s="333" t="inlineStr">
        <is>
          <t>CURRENT ASSETS</t>
        </is>
      </c>
      <c r="D339" s="346">
        <f>D131+D135+D139+D140+D141</f>
        <v>0</v>
      </c>
      <c r="E339" s="346">
        <f>E131+E135+E139+E140+E141</f>
        <v>0</v>
      </c>
      <c r="F339" s="346">
        <f>F131+F135+F139+F140+F141</f>
        <v>0</v>
      </c>
      <c r="G339" s="346">
        <f>G131+G135+G139+G140+G141</f>
        <v>0</v>
      </c>
      <c r="H339" s="346">
        <f>H131+H135+H139+H140+H141</f>
        <v>0</v>
      </c>
      <c r="I339" s="347">
        <f>I131+I135+I139+I140+I141</f>
        <v>0</v>
      </c>
      <c r="J339" s="347">
        <f>J131+J135+J139+J140+J141</f>
        <v>0</v>
      </c>
      <c r="K339" s="347">
        <f>K131+K135+K139+K140+K141</f>
        <v>0</v>
      </c>
      <c r="L339" s="347">
        <f>L131+L135+L139+L140+L141</f>
        <v>0</v>
      </c>
      <c r="M339" s="347">
        <f>M131+M135+M139+M140+M141</f>
        <v>0</v>
      </c>
      <c r="N339" s="347">
        <f>N131+N135+N139+N140+N141</f>
        <v>0</v>
      </c>
      <c r="O339" s="347">
        <f>O131+O135+O139+O140+O141</f>
        <v>0</v>
      </c>
      <c r="P339" s="347">
        <f>P131+P135+P139+P140+P141</f>
        <v>0</v>
      </c>
      <c r="Q339" s="347">
        <f>Q131+Q135+Q139+Q140+Q141</f>
        <v>0</v>
      </c>
      <c r="R339" s="347">
        <f>R131+R135+R139+R140+R141</f>
        <v>0</v>
      </c>
      <c r="S339" s="347">
        <f>S131+S135+S139+S140+S141</f>
        <v>0</v>
      </c>
      <c r="T339" s="347">
        <f>T131+T135+T139+T140+T141</f>
        <v>0</v>
      </c>
      <c r="U339" s="347">
        <f>U131+U135+U139+U140+U141</f>
        <v>0</v>
      </c>
      <c r="V339" s="347">
        <f>V131+V135+V139+V140+V141</f>
        <v>0</v>
      </c>
      <c r="W339" s="347">
        <f>W131+W135+W139+W140+W141</f>
        <v>0</v>
      </c>
      <c r="X339" s="347">
        <f>X131+X135+X139+X140+X141</f>
        <v>0</v>
      </c>
      <c r="Y339" s="347">
        <f>Y131+Y135+Y139+Y140+Y141</f>
        <v>0</v>
      </c>
      <c r="Z339" s="347">
        <f>Z131+Z135+Z139+Z140+Z141</f>
        <v>0</v>
      </c>
      <c r="AA339" s="347">
        <f>AA131+AA135+AA139+AA140+AA141</f>
        <v>555.166</v>
      </c>
      <c r="AB339" s="347">
        <f>AB131+AB135+AB139+AB140+AB141</f>
        <v>555.166</v>
      </c>
      <c r="AC339" s="347">
        <f>AC131+AC135+AC139+AC140+AC141</f>
        <v>1826.191</v>
      </c>
      <c r="AD339" s="347">
        <f>AD131+AD135+AD139+AD140+AD141</f>
        <v>2793.1</v>
      </c>
      <c r="AE339" s="347">
        <f>AE131+AE135+AE139+AE140+AE141</f>
        <v>2789.435</v>
      </c>
      <c r="AF339" s="347">
        <f>AF131+AF135+AF139+AF140+AF141</f>
        <v>4327</v>
      </c>
      <c r="AG339" s="347">
        <f>AG131+AG135+AG139+AG140+AG141</f>
        <v>4327</v>
      </c>
      <c r="AH339" s="347">
        <f>AH131+AH135+AH139+AH140+AH141</f>
        <v>3343</v>
      </c>
      <c r="AI339" s="347">
        <f>AI131+AI135+AI139+AI140+AI141</f>
        <v>3981</v>
      </c>
      <c r="AJ339" s="347">
        <f>AJ131+AJ135+AJ139+AJ140+AJ141</f>
        <v>1440</v>
      </c>
      <c r="AK339" s="347">
        <f>AK131+AK135+AK139+AK140+AK141</f>
        <v>1440</v>
      </c>
      <c r="AL339" s="347">
        <f>AL131+AL135+AL139+AL140+AL141</f>
        <v>1440</v>
      </c>
      <c r="AM339" s="347">
        <f>AM131+AM135+AM139+AM140+AM141</f>
        <v>1440</v>
      </c>
      <c r="AN339" s="347">
        <f>AN131+AN135+AN139+AN140+AN141</f>
        <v>1440</v>
      </c>
      <c r="AO339" s="347">
        <f>AO131+AO135+AO139+AO140+AO141</f>
        <v>1440</v>
      </c>
      <c r="AP339" s="347">
        <f>AP131+AP135+AP139+AP140+AP141</f>
        <v>1440</v>
      </c>
      <c r="AQ339" s="347">
        <f>AQ131+AQ135+AQ139+AQ140+AQ141</f>
        <v>1440</v>
      </c>
      <c r="AR339" s="347">
        <f>AR131+AR135+AR139+AR140+AR141</f>
        <v>1440</v>
      </c>
      <c r="AS339" s="347">
        <f>AS131+AS135+AS139+AS140+AS141</f>
        <v>1440</v>
      </c>
      <c r="AT339" s="347">
        <f>AT131+AT135+AT139+AT140+AT141</f>
        <v>1440</v>
      </c>
      <c r="AU339" s="347">
        <f>AU131+AU135+AU139+AU140+AU141</f>
        <v>1440</v>
      </c>
      <c r="AV339" s="347">
        <f>AV131+AV135+AV139+AV140+AV141</f>
        <v>1440</v>
      </c>
      <c r="AW339" s="347">
        <f>AW131+AW135+AW139+AW140+AW141</f>
        <v>1440</v>
      </c>
      <c r="AX339" s="347">
        <f>AX131+AX135+AX139+AX140+AX141</f>
        <v>1440</v>
      </c>
      <c r="AY339" s="347">
        <f>AY131+AY135+AY139+AY140+AY141</f>
        <v>1440</v>
      </c>
      <c r="AZ339" s="347">
        <f>AZ131+AZ135+AZ139+AZ140+AZ141</f>
        <v>1440</v>
      </c>
      <c r="BA339" s="347">
        <f>BA131+BA135+BA139+BA140+BA141</f>
        <v>1440</v>
      </c>
      <c r="BB339" s="347">
        <f>BB131+BB135+BB139+BB140+BB141</f>
        <v>1440</v>
      </c>
      <c r="BC339" s="347">
        <f>BC131+BC135+BC139+BC140+BC141</f>
        <v>1440</v>
      </c>
      <c r="BD339" s="347">
        <f>BD131+BD135+BD139+BD140+BD141</f>
        <v>1440</v>
      </c>
      <c r="BE339" s="347">
        <f>BE131+BE135+BE139+BE140+BE141</f>
        <v>1440</v>
      </c>
      <c r="BF339" s="347">
        <f>BF131+BF135+BF139+BF140+BF141</f>
        <v>1440</v>
      </c>
      <c r="BG339" s="347">
        <f>BG131+BG135+BG139+BG140+BG141</f>
        <v>1440</v>
      </c>
      <c r="BH339" s="347">
        <f>BH131+BH135+BH139+BH140+BH141</f>
        <v>1440</v>
      </c>
      <c r="BI339" s="347">
        <f>BI131+BI135+BI139+BI140+BI141</f>
        <v>1440</v>
      </c>
      <c r="BJ339" s="347">
        <f>BJ131+BJ135+BJ139+BJ140+BJ141</f>
        <v>1440</v>
      </c>
      <c r="BK339" s="347">
        <f>BK131+BK135+BK139+BK140+BK141</f>
        <v>1440</v>
      </c>
      <c r="BL339" s="347">
        <f>BL131+BL135+BL139+BL140+BL141</f>
        <v>1440</v>
      </c>
      <c r="BM339" s="347">
        <f>BM131+BM135+BM139+BM140+BM141</f>
        <v>1440</v>
      </c>
      <c r="BN339" s="347">
        <f>BN131+BN135+BN139+BN140+BN141</f>
        <v>1440</v>
      </c>
      <c r="BO339" s="347">
        <f>BO131+BO135+BO139+BO140+BO141</f>
        <v>1440</v>
      </c>
      <c r="BP339" s="347">
        <f>BP131+BP135+BP139+BP140+BP141</f>
        <v>1440</v>
      </c>
      <c r="BQ339" s="347">
        <f>BQ131+BQ135+BQ139+BQ140+BQ141</f>
        <v>1440</v>
      </c>
      <c r="BR339" s="347">
        <f>BR131+BR135+BR139+BR140+BR141</f>
        <v>1440</v>
      </c>
      <c r="BS339" s="347">
        <f>BS131+BS135+BS139+BS140+BS141</f>
        <v>1440</v>
      </c>
      <c r="BT339" s="347">
        <f>BT131+BT135+BT139+BT140+BT141</f>
        <v>1440</v>
      </c>
      <c r="BU339" s="347">
        <f>BU131+BU135+BU139+BU140+BU141</f>
        <v>1440</v>
      </c>
      <c r="BV339" s="347">
        <f>BV131+BV135+BV139+BV140+BV141</f>
        <v>1440</v>
      </c>
      <c r="BW339" s="347">
        <f>BW131+BW135+BW139+BW140+BW141</f>
        <v>1440</v>
      </c>
      <c r="BX339" s="347">
        <f>BX131+BX135+BX139+BX140+BX141</f>
        <v>1440</v>
      </c>
      <c r="BY339" s="347">
        <f>BY131+BY135+BY139+BY140+BY141</f>
        <v>1440</v>
      </c>
      <c r="BZ339" s="347">
        <f>BZ131+BZ135+BZ139+BZ140+BZ141</f>
        <v>1440</v>
      </c>
      <c r="CA339" s="347">
        <f>CA131+CA135+CA139+CA140+CA141</f>
        <v>1440</v>
      </c>
      <c r="CB339" s="347">
        <f>CB131+CB135+CB139+CB140+CB141</f>
        <v>1440</v>
      </c>
      <c r="CC339" s="347">
        <f>CC131+CC135+CC139+CC140+CC141</f>
        <v>1440</v>
      </c>
      <c r="CD339" s="347">
        <f>CD131+CD135+CD139+CD140+CD141</f>
        <v>1440</v>
      </c>
      <c r="CE339" s="347">
        <f>CE131+CE135+CE139+CE140+CE141</f>
        <v>1440</v>
      </c>
      <c r="CF339" s="347">
        <f>CF131+CF135+CF139+CF140+CF141</f>
        <v>1440</v>
      </c>
      <c r="CG339" s="347">
        <f>CG131+CG135+CG139+CG140+CG141</f>
        <v>1440</v>
      </c>
      <c r="CH339" s="347">
        <f>CH131+CH135+CH139+CH140+CH141</f>
        <v>1440</v>
      </c>
      <c r="CI339" s="347">
        <f>CI131+CI135+CI139+CI140+CI141</f>
        <v>1440</v>
      </c>
      <c r="CJ339" s="347">
        <f>CJ131+CJ135+CJ139+CJ140+CJ141</f>
        <v>1440</v>
      </c>
      <c r="CK339" s="347">
        <f>CK131+CK135+CK139+CK140+CK141</f>
        <v>1440</v>
      </c>
      <c r="CL339" s="347">
        <f>CL131+CL135+CL139+CL140+CL141</f>
        <v>1440</v>
      </c>
      <c r="CM339" s="347">
        <f>CM131+CM135+CM139+CM140+CM141</f>
        <v>1440</v>
      </c>
      <c r="CN339" s="347">
        <f>CN131+CN135+CN139+CN140+CN141</f>
        <v>1440</v>
      </c>
      <c r="CO339" s="347">
        <f>CO131+CO135+CO139+CO140+CO141</f>
        <v>1440</v>
      </c>
      <c r="CP339" s="347">
        <f>CP131+CP135+CP139+CP140+CP141</f>
        <v>1440</v>
      </c>
      <c r="CQ339" s="347">
        <f>CQ131+CQ135+CQ139+CQ140+CQ141</f>
        <v>1440</v>
      </c>
      <c r="CR339" s="347">
        <f>CR131+CR135+CR139+CR140+CR141</f>
        <v>1440</v>
      </c>
      <c r="CS339" s="347">
        <f>CS131+CS135+CS139+CS140+CS141</f>
        <v>1440</v>
      </c>
      <c r="CT339" s="347">
        <f>CT131+CT135+CT139+CT140+CT141</f>
        <v>1440</v>
      </c>
      <c r="CU339" s="347">
        <f>CU131+CU135+CU139+CU140+CU141</f>
        <v>1440</v>
      </c>
      <c r="CV339" s="347">
        <f>CV131+CV135+CV139+CV140+CV141</f>
        <v>1440</v>
      </c>
      <c r="CW339" s="347">
        <f>CW131+CW135+CW139+CW140+CW141</f>
        <v>1440</v>
      </c>
      <c r="CX339" s="347">
        <f>CX131+CX135+CX139+CX140+CX141</f>
        <v>1440</v>
      </c>
      <c r="CY339" s="347">
        <f>CY131+CY135+CY139+CY140+CY141</f>
        <v>1440</v>
      </c>
    </row>
    <row r="340" ht="12.75" customFormat="1" customHeight="1" s="333">
      <c r="A340" s="334" t="n"/>
      <c r="B340" s="334" t="n"/>
      <c r="C340" s="333" t="inlineStr">
        <is>
          <t>CURRENT LIABILITIES</t>
        </is>
      </c>
      <c r="D340" s="346">
        <f>D184+D188+D190+D191</f>
        <v>0</v>
      </c>
      <c r="E340" s="346">
        <f>E184+E188+E190+E191</f>
        <v>0</v>
      </c>
      <c r="F340" s="346">
        <f>F184+F188+F190+F191</f>
        <v>0</v>
      </c>
      <c r="G340" s="346">
        <f>G184+G188+G190+G191</f>
        <v>0</v>
      </c>
      <c r="H340" s="346">
        <f>H184+H188+H190+H191</f>
        <v>0</v>
      </c>
      <c r="I340" s="347">
        <f>I184+I188+I190+I191</f>
        <v>0</v>
      </c>
      <c r="J340" s="347">
        <f>J184+J188+J190+J191</f>
        <v>0</v>
      </c>
      <c r="K340" s="347">
        <f>K184+K188+K190+K191</f>
        <v>0</v>
      </c>
      <c r="L340" s="347">
        <f>L184+L188+L190+L191</f>
        <v>0</v>
      </c>
      <c r="M340" s="347">
        <f>M184+M188+M190+M191</f>
        <v>0</v>
      </c>
      <c r="N340" s="347">
        <f>N184+N188+N190+N191</f>
        <v>0</v>
      </c>
      <c r="O340" s="347">
        <f>O184+O188+O190+O191</f>
        <v>0</v>
      </c>
      <c r="P340" s="347">
        <f>P184+P188+P190+P191</f>
        <v>0</v>
      </c>
      <c r="Q340" s="347">
        <f>Q184+Q188+Q190+Q191</f>
        <v>0</v>
      </c>
      <c r="R340" s="347">
        <f>R184+R188+R190+R191</f>
        <v>0</v>
      </c>
      <c r="S340" s="347">
        <f>S184+S188+S190+S191</f>
        <v>0</v>
      </c>
      <c r="T340" s="347">
        <f>T184+T188+T190+T191</f>
        <v>0</v>
      </c>
      <c r="U340" s="347">
        <f>U184+U188+U190+U191</f>
        <v>0</v>
      </c>
      <c r="V340" s="347">
        <f>V184+V188+V190+V191</f>
        <v>0</v>
      </c>
      <c r="W340" s="347">
        <f>W184+W188+W190+W191</f>
        <v>0</v>
      </c>
      <c r="X340" s="347">
        <f>X184+X188+X190+X191</f>
        <v>0</v>
      </c>
      <c r="Y340" s="347">
        <f>Y184+Y188+Y190+Y191</f>
        <v>0</v>
      </c>
      <c r="Z340" s="347">
        <f>Z184+Z188+Z190+Z191</f>
        <v>0</v>
      </c>
      <c r="AA340" s="347">
        <f>AA184+AA188+AA190+AA191</f>
        <v>2281.052</v>
      </c>
      <c r="AB340" s="347">
        <f>AB184+AB188+AB190+AB191</f>
        <v>2281.052</v>
      </c>
      <c r="AC340" s="347">
        <f>AC184+AC188+AC190+AC191</f>
        <v>3114.653</v>
      </c>
      <c r="AD340" s="347">
        <f>AD184+AD188+AD190+AD191</f>
        <v>3649.611</v>
      </c>
      <c r="AE340" s="347">
        <f>AE184+AE188+AE190+AE191</f>
        <v>5657.223</v>
      </c>
      <c r="AF340" s="347">
        <f>AF184+AF188+AF190+AF191</f>
        <v>9305</v>
      </c>
      <c r="AG340" s="347">
        <f>AG184+AG188+AG190+AG191</f>
        <v>9305</v>
      </c>
      <c r="AH340" s="347">
        <f>AH184+AH188+AH190+AH191</f>
        <v>9784</v>
      </c>
      <c r="AI340" s="347">
        <f>AI184+AI188+AI190+AI191</f>
        <v>20333</v>
      </c>
      <c r="AJ340" s="347">
        <f>AJ184+AJ188+AJ190+AJ191</f>
        <v>10276</v>
      </c>
      <c r="AK340" s="347">
        <f>AK184+AK188+AK190+AK191</f>
        <v>10276</v>
      </c>
      <c r="AL340" s="347">
        <f>AL184+AL188+AL190+AL191</f>
        <v>10276</v>
      </c>
      <c r="AM340" s="347" t="e">
        <f>AM184+AM188+AM190+AM191</f>
        <v>#DIV/0!</v>
      </c>
      <c r="AN340" s="347">
        <f>AN184+AN188+AN190+AN191</f>
        <v>10276</v>
      </c>
      <c r="AO340" s="347" t="e">
        <f>AO184+AO188+AO190+AO191</f>
        <v>#DIV/0!</v>
      </c>
      <c r="AP340" s="347" t="e">
        <f>AP184+AP188+AP190+AP191</f>
        <v>#DIV/0!</v>
      </c>
      <c r="AQ340" s="347" t="e">
        <f>AQ184+AQ188+AQ190+AQ191</f>
        <v>#DIV/0!</v>
      </c>
      <c r="AR340" s="347" t="e">
        <f>AR184+AR188+AR190+AR191</f>
        <v>#DIV/0!</v>
      </c>
      <c r="AS340" s="347" t="e">
        <f>AS184+AS188+AS190+AS191</f>
        <v>#DIV/0!</v>
      </c>
      <c r="AT340" s="347" t="e">
        <f>AT184+AT188+AT190+AT191</f>
        <v>#DIV/0!</v>
      </c>
      <c r="AU340" s="347" t="e">
        <f>AU184+AU188+AU190+AU191</f>
        <v>#DIV/0!</v>
      </c>
      <c r="AV340" s="347" t="e">
        <f>AV184+AV188+AV190+AV191</f>
        <v>#DIV/0!</v>
      </c>
      <c r="AW340" s="347" t="e">
        <f>AW184+AW188+AW190+AW191</f>
        <v>#DIV/0!</v>
      </c>
      <c r="AX340" s="347" t="e">
        <f>AX184+AX188+AX190+AX191</f>
        <v>#DIV/0!</v>
      </c>
      <c r="AY340" s="347" t="e">
        <f>AY184+AY188+AY190+AY191</f>
        <v>#DIV/0!</v>
      </c>
      <c r="AZ340" s="347" t="e">
        <f>AZ184+AZ188+AZ190+AZ191</f>
        <v>#DIV/0!</v>
      </c>
      <c r="BA340" s="347" t="e">
        <f>BA184+BA188+BA190+BA191</f>
        <v>#DIV/0!</v>
      </c>
      <c r="BB340" s="347" t="e">
        <f>BB184+BB188+BB190+BB191</f>
        <v>#DIV/0!</v>
      </c>
      <c r="BC340" s="347" t="e">
        <f>BC184+BC188+BC190+BC191</f>
        <v>#DIV/0!</v>
      </c>
      <c r="BD340" s="347" t="e">
        <f>BD184+BD188+BD190+BD191</f>
        <v>#DIV/0!</v>
      </c>
      <c r="BE340" s="347" t="e">
        <f>BE184+BE188+BE190+BE191</f>
        <v>#DIV/0!</v>
      </c>
      <c r="BF340" s="347" t="e">
        <f>BF184+BF188+BF190+BF191</f>
        <v>#DIV/0!</v>
      </c>
      <c r="BG340" s="347" t="e">
        <f>BG184+BG188+BG190+BG191</f>
        <v>#DIV/0!</v>
      </c>
      <c r="BH340" s="347" t="e">
        <f>BH184+BH188+BH190+BH191</f>
        <v>#DIV/0!</v>
      </c>
      <c r="BI340" s="347" t="e">
        <f>BI184+BI188+BI190+BI191</f>
        <v>#DIV/0!</v>
      </c>
      <c r="BJ340" s="347" t="e">
        <f>BJ184+BJ188+BJ190+BJ191</f>
        <v>#DIV/0!</v>
      </c>
      <c r="BK340" s="347" t="e">
        <f>BK184+BK188+BK190+BK191</f>
        <v>#DIV/0!</v>
      </c>
      <c r="BL340" s="347" t="e">
        <f>BL184+BL188+BL190+BL191</f>
        <v>#DIV/0!</v>
      </c>
      <c r="BM340" s="347" t="e">
        <f>BM184+BM188+BM190+BM191</f>
        <v>#DIV/0!</v>
      </c>
      <c r="BN340" s="347" t="e">
        <f>BN184+BN188+BN190+BN191</f>
        <v>#DIV/0!</v>
      </c>
      <c r="BO340" s="347" t="e">
        <f>BO184+BO188+BO190+BO191</f>
        <v>#DIV/0!</v>
      </c>
      <c r="BP340" s="347" t="e">
        <f>BP184+BP188+BP190+BP191</f>
        <v>#DIV/0!</v>
      </c>
      <c r="BQ340" s="347" t="e">
        <f>BQ184+BQ188+BQ190+BQ191</f>
        <v>#DIV/0!</v>
      </c>
      <c r="BR340" s="347" t="e">
        <f>BR184+BR188+BR190+BR191</f>
        <v>#DIV/0!</v>
      </c>
      <c r="BS340" s="347" t="e">
        <f>BS184+BS188+BS190+BS191</f>
        <v>#DIV/0!</v>
      </c>
      <c r="BT340" s="347" t="e">
        <f>BT184+BT188+BT190+BT191</f>
        <v>#DIV/0!</v>
      </c>
      <c r="BU340" s="347" t="e">
        <f>BU184+BU188+BU190+BU191</f>
        <v>#DIV/0!</v>
      </c>
      <c r="BV340" s="347" t="e">
        <f>BV184+BV188+BV190+BV191</f>
        <v>#DIV/0!</v>
      </c>
      <c r="BW340" s="347" t="e">
        <f>BW184+BW188+BW190+BW191</f>
        <v>#DIV/0!</v>
      </c>
      <c r="BX340" s="347" t="e">
        <f>BX184+BX188+BX190+BX191</f>
        <v>#DIV/0!</v>
      </c>
      <c r="BY340" s="347" t="e">
        <f>BY184+BY188+BY190+BY191</f>
        <v>#DIV/0!</v>
      </c>
      <c r="BZ340" s="347" t="e">
        <f>BZ184+BZ188+BZ190+BZ191</f>
        <v>#DIV/0!</v>
      </c>
      <c r="CA340" s="347" t="e">
        <f>CA184+CA188+CA190+CA191</f>
        <v>#DIV/0!</v>
      </c>
      <c r="CB340" s="347" t="e">
        <f>CB184+CB188+CB190+CB191</f>
        <v>#DIV/0!</v>
      </c>
      <c r="CC340" s="347" t="e">
        <f>CC184+CC188+CC190+CC191</f>
        <v>#DIV/0!</v>
      </c>
      <c r="CD340" s="347" t="e">
        <f>CD184+CD188+CD190+CD191</f>
        <v>#DIV/0!</v>
      </c>
      <c r="CE340" s="347" t="e">
        <f>CE184+CE188+CE190+CE191</f>
        <v>#DIV/0!</v>
      </c>
      <c r="CF340" s="347" t="e">
        <f>CF184+CF188+CF190+CF191</f>
        <v>#DIV/0!</v>
      </c>
      <c r="CG340" s="347" t="e">
        <f>CG184+CG188+CG190+CG191</f>
        <v>#DIV/0!</v>
      </c>
      <c r="CH340" s="347" t="e">
        <f>CH184+CH188+CH190+CH191</f>
        <v>#DIV/0!</v>
      </c>
      <c r="CI340" s="347" t="e">
        <f>CI184+CI188+CI190+CI191</f>
        <v>#DIV/0!</v>
      </c>
      <c r="CJ340" s="347" t="e">
        <f>CJ184+CJ188+CJ190+CJ191</f>
        <v>#DIV/0!</v>
      </c>
      <c r="CK340" s="347" t="e">
        <f>CK184+CK188+CK190+CK191</f>
        <v>#DIV/0!</v>
      </c>
      <c r="CL340" s="347" t="e">
        <f>CL184+CL188+CL190+CL191</f>
        <v>#DIV/0!</v>
      </c>
      <c r="CM340" s="347" t="e">
        <f>CM184+CM188+CM190+CM191</f>
        <v>#DIV/0!</v>
      </c>
      <c r="CN340" s="347" t="e">
        <f>CN184+CN188+CN190+CN191</f>
        <v>#DIV/0!</v>
      </c>
      <c r="CO340" s="347" t="e">
        <f>CO184+CO188+CO190+CO191</f>
        <v>#DIV/0!</v>
      </c>
      <c r="CP340" s="347" t="e">
        <f>CP184+CP188+CP190+CP191</f>
        <v>#DIV/0!</v>
      </c>
      <c r="CQ340" s="347" t="e">
        <f>CQ184+CQ188+CQ190+CQ191</f>
        <v>#DIV/0!</v>
      </c>
      <c r="CR340" s="347" t="e">
        <f>CR184+CR188+CR190+CR191</f>
        <v>#DIV/0!</v>
      </c>
      <c r="CS340" s="347" t="e">
        <f>CS184+CS188+CS190+CS191</f>
        <v>#DIV/0!</v>
      </c>
      <c r="CT340" s="347" t="e">
        <f>CT184+CT188+CT190+CT191</f>
        <v>#DIV/0!</v>
      </c>
      <c r="CU340" s="347" t="e">
        <f>CU184+CU188+CU190+CU191</f>
        <v>#DIV/0!</v>
      </c>
      <c r="CV340" s="347" t="e">
        <f>CV184+CV188+CV190+CV191</f>
        <v>#DIV/0!</v>
      </c>
      <c r="CW340" s="347" t="e">
        <f>CW184+CW188+CW190+CW191</f>
        <v>#DIV/0!</v>
      </c>
      <c r="CX340" s="347" t="e">
        <f>CX184+CX188+CX190+CX191</f>
        <v>#DIV/0!</v>
      </c>
      <c r="CY340" s="347" t="e">
        <f>CY184+CY188+CY190+CY191</f>
        <v>#DIV/0!</v>
      </c>
    </row>
    <row r="341" ht="12.75" customFormat="1" customHeight="1" s="333">
      <c r="A341" s="334" t="n"/>
      <c r="B341" s="334" t="n"/>
      <c r="C341" s="333" t="inlineStr">
        <is>
          <t>FIXED ASSETS</t>
        </is>
      </c>
      <c r="D341" s="346">
        <f>D152+D162+D165+D166+D175-D226</f>
        <v>0</v>
      </c>
      <c r="E341" s="346">
        <f>E152+E162+E165+E166+E175-E226</f>
        <v>0</v>
      </c>
      <c r="F341" s="346">
        <f>F152+F162+F165+F166+F175-F226</f>
        <v>0</v>
      </c>
      <c r="G341" s="346">
        <f>G152+G162+G165+G166+G175-G226</f>
        <v>0</v>
      </c>
      <c r="H341" s="346">
        <f>H152+H162+H165+H166+H175-H226</f>
        <v>0</v>
      </c>
      <c r="I341" s="347">
        <f>I152+I162+I165+I166+I175-I226</f>
        <v>0</v>
      </c>
      <c r="J341" s="347">
        <f>J152+J162+J165+J166+J175-J226</f>
        <v>0</v>
      </c>
      <c r="K341" s="347">
        <f>K152+K162+K165+K166+K175-K226</f>
        <v>0</v>
      </c>
      <c r="L341" s="347">
        <f>L152+L162+L165+L166+L175-L226</f>
        <v>0</v>
      </c>
      <c r="M341" s="347">
        <f>M152+M162+M165+M166+M175-M226</f>
        <v>0</v>
      </c>
      <c r="N341" s="347">
        <f>N152+N162+N165+N166+N175-N226</f>
        <v>0</v>
      </c>
      <c r="O341" s="347">
        <f>O152+O162+O165+O166+O175-O226</f>
        <v>0</v>
      </c>
      <c r="P341" s="347">
        <f>P152+P162+P165+P166+P175-P226</f>
        <v>0</v>
      </c>
      <c r="Q341" s="347">
        <f>Q152+Q162+Q165+Q166+Q175-Q226</f>
        <v>0</v>
      </c>
      <c r="R341" s="347">
        <f>R152+R162+R165+R166+R175-R226</f>
        <v>0</v>
      </c>
      <c r="S341" s="347">
        <f>S152+S162+S165+S166+S175-S226</f>
        <v>0</v>
      </c>
      <c r="T341" s="347">
        <f>T152+T162+T165+T166+T175-T226</f>
        <v>0</v>
      </c>
      <c r="U341" s="347">
        <f>U152+U162+U165+U166+U175-U226</f>
        <v>0</v>
      </c>
      <c r="V341" s="347">
        <f>V152+V162+V165+V166+V175-V226</f>
        <v>0</v>
      </c>
      <c r="W341" s="347">
        <f>W152+W162+W165+W166+W175-W226</f>
        <v>0</v>
      </c>
      <c r="X341" s="347">
        <f>X152+X162+X165+X166+X175-X226</f>
        <v>0</v>
      </c>
      <c r="Y341" s="347">
        <f>Y152+Y162+Y165+Y166+Y175-Y226</f>
        <v>0</v>
      </c>
      <c r="Z341" s="347">
        <f>Z152+Z162+Z165+Z166+Z175-Z226</f>
        <v>0</v>
      </c>
      <c r="AA341" s="347">
        <f>AA152+AA162+AA165+AA166+AA175-AA226</f>
        <v>12350.904</v>
      </c>
      <c r="AB341" s="347">
        <f>AB152+AB162+AB165+AB166+AB175-AB226</f>
        <v>12350.904</v>
      </c>
      <c r="AC341" s="347">
        <f>AC152+AC162+AC165+AC166+AC175-AC226</f>
        <v>15094.19</v>
      </c>
      <c r="AD341" s="347">
        <f>AD152+AD162+AD165+AD166+AD175-AD226</f>
        <v>18269.066</v>
      </c>
      <c r="AE341" s="347">
        <f>AE152+AE162+AE165+AE166+AE175-AE226</f>
        <v>23680.862</v>
      </c>
      <c r="AF341" s="347">
        <f>AF152+AF162+AF165+AF166+AF175-AF226</f>
        <v>34835</v>
      </c>
      <c r="AG341" s="347">
        <f>AG152+AG162+AG165+AG166+AG175-AG226</f>
        <v>34835</v>
      </c>
      <c r="AH341" s="347">
        <f>AH152+AH162+AH165+AH166+AH175-AH226</f>
        <v>44037</v>
      </c>
      <c r="AI341" s="347">
        <f>AI152+AI162+AI165+AI166+AI175-AI226</f>
        <v>32412</v>
      </c>
      <c r="AJ341" s="347">
        <f>AJ152+AJ162+AJ165+AJ166+AJ175-AJ226</f>
        <v>32167</v>
      </c>
      <c r="AK341" s="347">
        <f>AK152+AK162+AK165+AK166+AK175-AK226</f>
        <v>32167</v>
      </c>
      <c r="AL341" s="347">
        <f>AL152+AL162+AL165+AL166+AL175-AL226</f>
        <v>32167</v>
      </c>
      <c r="AM341" s="347">
        <f>AM152+AM162+AM165+AM166+AM175-AM226</f>
        <v>32167</v>
      </c>
      <c r="AN341" s="347">
        <f>AN152+AN162+AN165+AN166+AN175-AN226</f>
        <v>32167</v>
      </c>
      <c r="AO341" s="347">
        <f>AO152+AO162+AO165+AO166+AO175-AO226</f>
        <v>32167</v>
      </c>
      <c r="AP341" s="347">
        <f>AP152+AP162+AP165+AP166+AP175-AP226</f>
        <v>32167</v>
      </c>
      <c r="AQ341" s="347">
        <f>AQ152+AQ162+AQ165+AQ166+AQ175-AQ226</f>
        <v>32167</v>
      </c>
      <c r="AR341" s="347">
        <f>AR152+AR162+AR165+AR166+AR175-AR226</f>
        <v>32167</v>
      </c>
      <c r="AS341" s="347">
        <f>AS152+AS162+AS165+AS166+AS175-AS226</f>
        <v>32167</v>
      </c>
      <c r="AT341" s="347">
        <f>AT152+AT162+AT165+AT166+AT175-AT226</f>
        <v>32167</v>
      </c>
      <c r="AU341" s="347">
        <f>AU152+AU162+AU165+AU166+AU175-AU226</f>
        <v>32167</v>
      </c>
      <c r="AV341" s="347">
        <f>AV152+AV162+AV165+AV166+AV175-AV226</f>
        <v>32167</v>
      </c>
      <c r="AW341" s="347">
        <f>AW152+AW162+AW165+AW166+AW175-AW226</f>
        <v>32167</v>
      </c>
      <c r="AX341" s="347">
        <f>AX152+AX162+AX165+AX166+AX175-AX226</f>
        <v>32167</v>
      </c>
      <c r="AY341" s="347">
        <f>AY152+AY162+AY165+AY166+AY175-AY226</f>
        <v>32167</v>
      </c>
      <c r="AZ341" s="347">
        <f>AZ152+AZ162+AZ165+AZ166+AZ175-AZ226</f>
        <v>32167</v>
      </c>
      <c r="BA341" s="347">
        <f>BA152+BA162+BA165+BA166+BA175-BA226</f>
        <v>32167</v>
      </c>
      <c r="BB341" s="347">
        <f>BB152+BB162+BB165+BB166+BB175-BB226</f>
        <v>32167</v>
      </c>
      <c r="BC341" s="347">
        <f>BC152+BC162+BC165+BC166+BC175-BC226</f>
        <v>32167</v>
      </c>
      <c r="BD341" s="347">
        <f>BD152+BD162+BD165+BD166+BD175-BD226</f>
        <v>32167</v>
      </c>
      <c r="BE341" s="347">
        <f>BE152+BE162+BE165+BE166+BE175-BE226</f>
        <v>32167</v>
      </c>
      <c r="BF341" s="347">
        <f>BF152+BF162+BF165+BF166+BF175-BF226</f>
        <v>32167</v>
      </c>
      <c r="BG341" s="347">
        <f>BG152+BG162+BG165+BG166+BG175-BG226</f>
        <v>32167</v>
      </c>
      <c r="BH341" s="347">
        <f>BH152+BH162+BH165+BH166+BH175-BH226</f>
        <v>32167</v>
      </c>
      <c r="BI341" s="347">
        <f>BI152+BI162+BI165+BI166+BI175-BI226</f>
        <v>32167</v>
      </c>
      <c r="BJ341" s="347">
        <f>BJ152+BJ162+BJ165+BJ166+BJ175-BJ226</f>
        <v>32167</v>
      </c>
      <c r="BK341" s="347">
        <f>BK152+BK162+BK165+BK166+BK175-BK226</f>
        <v>32167</v>
      </c>
      <c r="BL341" s="347">
        <f>BL152+BL162+BL165+BL166+BL175-BL226</f>
        <v>32167</v>
      </c>
      <c r="BM341" s="347">
        <f>BM152+BM162+BM165+BM166+BM175-BM226</f>
        <v>32167</v>
      </c>
      <c r="BN341" s="347">
        <f>BN152+BN162+BN165+BN166+BN175-BN226</f>
        <v>32167</v>
      </c>
      <c r="BO341" s="347">
        <f>BO152+BO162+BO165+BO166+BO175-BO226</f>
        <v>32167</v>
      </c>
      <c r="BP341" s="347">
        <f>BP152+BP162+BP165+BP166+BP175-BP226</f>
        <v>32167</v>
      </c>
      <c r="BQ341" s="347">
        <f>BQ152+BQ162+BQ165+BQ166+BQ175-BQ226</f>
        <v>32167</v>
      </c>
      <c r="BR341" s="347">
        <f>BR152+BR162+BR165+BR166+BR175-BR226</f>
        <v>32167</v>
      </c>
      <c r="BS341" s="347">
        <f>BS152+BS162+BS165+BS166+BS175-BS226</f>
        <v>32167</v>
      </c>
      <c r="BT341" s="347">
        <f>BT152+BT162+BT165+BT166+BT175-BT226</f>
        <v>32167</v>
      </c>
      <c r="BU341" s="347">
        <f>BU152+BU162+BU165+BU166+BU175-BU226</f>
        <v>32167</v>
      </c>
      <c r="BV341" s="347">
        <f>BV152+BV162+BV165+BV166+BV175-BV226</f>
        <v>32167</v>
      </c>
      <c r="BW341" s="347">
        <f>BW152+BW162+BW165+BW166+BW175-BW226</f>
        <v>32167</v>
      </c>
      <c r="BX341" s="347">
        <f>BX152+BX162+BX165+BX166+BX175-BX226</f>
        <v>32167</v>
      </c>
      <c r="BY341" s="347">
        <f>BY152+BY162+BY165+BY166+BY175-BY226</f>
        <v>32167</v>
      </c>
      <c r="BZ341" s="347">
        <f>BZ152+BZ162+BZ165+BZ166+BZ175-BZ226</f>
        <v>32167</v>
      </c>
      <c r="CA341" s="347">
        <f>CA152+CA162+CA165+CA166+CA175-CA226</f>
        <v>32167</v>
      </c>
      <c r="CB341" s="347">
        <f>CB152+CB162+CB165+CB166+CB175-CB226</f>
        <v>32167</v>
      </c>
      <c r="CC341" s="347">
        <f>CC152+CC162+CC165+CC166+CC175-CC226</f>
        <v>32167</v>
      </c>
      <c r="CD341" s="347">
        <f>CD152+CD162+CD165+CD166+CD175-CD226</f>
        <v>32167</v>
      </c>
      <c r="CE341" s="347">
        <f>CE152+CE162+CE165+CE166+CE175-CE226</f>
        <v>32167</v>
      </c>
      <c r="CF341" s="347">
        <f>CF152+CF162+CF165+CF166+CF175-CF226</f>
        <v>32167</v>
      </c>
      <c r="CG341" s="347">
        <f>CG152+CG162+CG165+CG166+CG175-CG226</f>
        <v>32167</v>
      </c>
      <c r="CH341" s="347">
        <f>CH152+CH162+CH165+CH166+CH175-CH226</f>
        <v>32167</v>
      </c>
      <c r="CI341" s="347">
        <f>CI152+CI162+CI165+CI166+CI175-CI226</f>
        <v>32167</v>
      </c>
      <c r="CJ341" s="347">
        <f>CJ152+CJ162+CJ165+CJ166+CJ175-CJ226</f>
        <v>32167</v>
      </c>
      <c r="CK341" s="347">
        <f>CK152+CK162+CK165+CK166+CK175-CK226</f>
        <v>32167</v>
      </c>
      <c r="CL341" s="347">
        <f>CL152+CL162+CL165+CL166+CL175-CL226</f>
        <v>32167</v>
      </c>
      <c r="CM341" s="347">
        <f>CM152+CM162+CM165+CM166+CM175-CM226</f>
        <v>32167</v>
      </c>
      <c r="CN341" s="347">
        <f>CN152+CN162+CN165+CN166+CN175-CN226</f>
        <v>32167</v>
      </c>
      <c r="CO341" s="347">
        <f>CO152+CO162+CO165+CO166+CO175-CO226</f>
        <v>32167</v>
      </c>
      <c r="CP341" s="347">
        <f>CP152+CP162+CP165+CP166+CP175-CP226</f>
        <v>32167</v>
      </c>
      <c r="CQ341" s="347">
        <f>CQ152+CQ162+CQ165+CQ166+CQ175-CQ226</f>
        <v>32167</v>
      </c>
      <c r="CR341" s="347">
        <f>CR152+CR162+CR165+CR166+CR175-CR226</f>
        <v>32167</v>
      </c>
      <c r="CS341" s="347">
        <f>CS152+CS162+CS165+CS166+CS175-CS226</f>
        <v>32167</v>
      </c>
      <c r="CT341" s="347">
        <f>CT152+CT162+CT165+CT166+CT175-CT226</f>
        <v>32167</v>
      </c>
      <c r="CU341" s="347">
        <f>CU152+CU162+CU165+CU166+CU175-CU226</f>
        <v>32167</v>
      </c>
      <c r="CV341" s="347">
        <f>CV152+CV162+CV165+CV166+CV175-CV226</f>
        <v>32167</v>
      </c>
      <c r="CW341" s="347">
        <f>CW152+CW162+CW165+CW166+CW175-CW226</f>
        <v>32167</v>
      </c>
      <c r="CX341" s="347">
        <f>CX152+CX162+CX165+CX166+CX175-CX226</f>
        <v>32167</v>
      </c>
      <c r="CY341" s="347">
        <f>CY152+CY162+CY165+CY166+CY175-CY226</f>
        <v>32167</v>
      </c>
    </row>
    <row r="342" ht="12.75" customFormat="1" customHeight="1" s="333">
      <c r="A342" s="334" t="n"/>
      <c r="B342" s="334" t="n"/>
    </row>
    <row r="343" ht="12.75" customFormat="1" customHeight="1" s="333">
      <c r="A343" s="334" t="n"/>
      <c r="B343" s="334" t="n"/>
    </row>
    <row r="344" ht="12.75" customFormat="1" customHeight="1" s="333">
      <c r="A344" s="334" t="n"/>
      <c r="B344" s="334" t="n"/>
    </row>
    <row r="345" ht="12.75" customFormat="1" customHeight="1" s="333">
      <c r="A345" s="334" t="n"/>
      <c r="B345" s="334" t="n"/>
    </row>
    <row r="346" ht="12.75" customFormat="1" customHeight="1" s="333">
      <c r="A346" s="334" t="n"/>
      <c r="B346" s="334" t="n"/>
    </row>
    <row r="347" ht="12.75" customFormat="1" customHeight="1" s="333">
      <c r="A347" s="334" t="n"/>
      <c r="B347" s="334" t="n"/>
    </row>
    <row r="348" ht="12.75" customFormat="1" customHeight="1" s="333">
      <c r="A348" s="334" t="n"/>
      <c r="B348" s="334" t="n"/>
    </row>
    <row r="349" ht="12.75" customFormat="1" customHeight="1" s="333">
      <c r="A349" s="334" t="n"/>
      <c r="B349" s="334" t="n"/>
      <c r="C349" s="331" t="inlineStr">
        <is>
          <t>DUPONT ANALYSIS</t>
        </is>
      </c>
    </row>
    <row r="350" ht="12.75" customFormat="1" customHeight="1" s="333">
      <c r="A350" s="334" t="n"/>
      <c r="B350" s="334" t="n"/>
      <c r="C350" s="333" t="inlineStr">
        <is>
          <t>NET PROFIT MARGIN</t>
        </is>
      </c>
      <c r="D350" s="341" t="str">
        <f>IFERROR(D123/D15,"")</f>
        <v/>
      </c>
      <c r="E350" s="341" t="str">
        <f>IFERROR(E123/E15,"")</f>
        <v/>
      </c>
      <c r="F350" s="341" t="str">
        <f>IFERROR(F123/F15,"")</f>
        <v/>
      </c>
      <c r="G350" s="341" t="str">
        <f>IFERROR(G123/G15,"")</f>
        <v/>
      </c>
      <c r="I350" s="338" t="str">
        <f>IFERROR(I123/I15,"")</f>
        <v/>
      </c>
      <c r="J350" s="338" t="str">
        <f>IFERROR(J123/J15,"")</f>
        <v/>
      </c>
      <c r="K350" s="338" t="str">
        <f>IFERROR(K123/K15,"")</f>
        <v/>
      </c>
      <c r="L350" s="338" t="str">
        <f>IFERROR(L123/L15,"")</f>
        <v/>
      </c>
      <c r="N350" s="338" t="str">
        <f>IFERROR(N123/N15,"")</f>
        <v/>
      </c>
      <c r="O350" s="338" t="str">
        <f>IFERROR(O123/O15,"")</f>
        <v/>
      </c>
      <c r="P350" s="338" t="str">
        <f>IFERROR(P123/P15,"")</f>
        <v/>
      </c>
      <c r="Q350" s="338" t="str">
        <f>IFERROR(Q123/Q15,"")</f>
        <v/>
      </c>
      <c r="S350" s="338" t="str">
        <f>IFERROR(S123/S15,"")</f>
        <v/>
      </c>
      <c r="T350" s="338" t="str">
        <f>IFERROR(T123/T15,"")</f>
        <v/>
      </c>
      <c r="U350" s="338" t="str">
        <f>IFERROR(U123/U15,"")</f>
        <v/>
      </c>
      <c r="V350" s="338" t="str">
        <f>IFERROR(V123/V15,"")</f>
        <v/>
      </c>
      <c r="X350" s="338">
        <f>IFERROR(X123/X15,"")</f>
        <v>-0.684997138072121</v>
      </c>
      <c r="Y350" s="338">
        <f>IFERROR(Y123/Y15,"")</f>
        <v>-0.817007317178043</v>
      </c>
      <c r="Z350" s="338">
        <f>IFERROR(Z123/Z15,"")</f>
        <v>-0.616170126776507</v>
      </c>
      <c r="AA350" s="338">
        <f>IFERROR(AA123/AA15,"")</f>
        <v>-0.0681709870362139</v>
      </c>
      <c r="AC350" s="338">
        <f>IFERROR(AC123/AC15,"")</f>
        <v>-0.320773930753564</v>
      </c>
      <c r="AD350" s="338">
        <f>IFERROR(AD123/AD15,"")</f>
        <v>-0.239273927392739</v>
      </c>
      <c r="AE350" s="338">
        <f>IFERROR(AE123/AE15,"")</f>
        <v>-0.0806960773106583</v>
      </c>
      <c r="AF350" s="338">
        <f>IFERROR(AF123/AF15,"")</f>
        <v>-0.287375055983062</v>
      </c>
      <c r="AH350" s="338">
        <f>IFERROR(AH123/AH15,"")</f>
        <v>-0.356111645813282</v>
      </c>
      <c r="AI350" s="338">
        <f>IFERROR(AI123/AI15,"")</f>
        <v>-0.243106796116505</v>
      </c>
      <c r="AJ350" s="338">
        <f>IFERROR(AJ123/AJ15,"")</f>
        <v>-0.0622858466038825</v>
      </c>
      <c r="AK350" s="338">
        <f>IFERROR(AK123/AK15,"")</f>
        <v>0.0273553601237735</v>
      </c>
      <c r="AM350" s="338">
        <f>IFERROR(AM123/AM15,"")</f>
        <v>0.0206929740134745</v>
      </c>
      <c r="AN350" s="338">
        <f>IFERROR(AN123/AN15,"")</f>
        <v>-0.032621359223301</v>
      </c>
      <c r="AO350" s="338">
        <f>IFERROR(AO123/AO15,"")</f>
        <v>0.0315093106349053</v>
      </c>
      <c r="AP350" s="338">
        <f>IFERROR(AP123/AP15,"")</f>
        <v>-0.0534383779162086</v>
      </c>
      <c r="AR350" s="338">
        <f>IFERROR(AR123/AR15,"")</f>
        <v>-0.0404234841193455</v>
      </c>
      <c r="AS350" s="338">
        <f>IFERROR(AS123/AS15,"")</f>
        <v>-0.0318446601941748</v>
      </c>
      <c r="AT350" s="338">
        <f>IFERROR(AT123/AT15,"")</f>
        <v>-0.0615530719379545</v>
      </c>
      <c r="AU350" s="338">
        <f>IFERROR(AU123/AU15,"")</f>
        <v>-0.0521660355848703</v>
      </c>
      <c r="AW350" s="338">
        <f>IFERROR(AW123/AW15,"")</f>
        <v>-0.0394610202117421</v>
      </c>
      <c r="AX350" s="338">
        <f>IFERROR(AX123/AX15,"")</f>
        <v>-0.128932038834951</v>
      </c>
      <c r="AY350" s="338">
        <f>IFERROR(AY123/AY15,"")</f>
        <v>-0.0600875226060985</v>
      </c>
      <c r="AZ350" s="338">
        <f>IFERROR(AZ123/AZ15,"")</f>
        <v>-0.211208827002158</v>
      </c>
      <c r="BB350" s="338">
        <f>IFERROR(BB123/BB15,"")</f>
        <v>-0.159769008662175</v>
      </c>
      <c r="BC350" s="338">
        <f>IFERROR(BC123/BC15,"")</f>
        <v>-0.321553398058252</v>
      </c>
      <c r="BD350" s="338">
        <f>IFERROR(BD123/BD15,"")</f>
        <v>-0.243281189088106</v>
      </c>
      <c r="BE350" s="338">
        <f>IFERROR(BE123/BE15,"")</f>
        <v>-0.526749725174056</v>
      </c>
      <c r="BG350" s="338">
        <f>IFERROR(BG123/BG15,"")</f>
        <v>-0.398460057747834</v>
      </c>
      <c r="BH350" s="338">
        <f>IFERROR(BH123/BH15,"")</f>
        <v>-0.900970873786408</v>
      </c>
      <c r="BI350" s="338">
        <f>IFERROR(BI123/BI15,"")</f>
        <v>-0.606737423388409</v>
      </c>
      <c r="BJ350" s="338">
        <f>IFERROR(BJ123/BJ15,"")</f>
        <v>-1.47591710435243</v>
      </c>
      <c r="BL350" s="338">
        <f>IFERROR(BL123/BL15,"")</f>
        <v>-1.11645813282002</v>
      </c>
      <c r="BM350" s="338">
        <f>IFERROR(BM123/BM15,"")</f>
        <v>-2.44504854368932</v>
      </c>
      <c r="BN350" s="338">
        <f>IFERROR(BN123/BN15,"")</f>
        <v>-1.70003722495303</v>
      </c>
      <c r="BO350" s="338">
        <f>IFERROR(BO123/BO15,"")</f>
        <v>-4.00533365905297</v>
      </c>
      <c r="BQ350" s="338">
        <f>IFERROR(BQ123/BQ15,"")</f>
        <v>-3.02983638113571</v>
      </c>
      <c r="BR350" s="338">
        <f>IFERROR(BR123/BR15,"")</f>
        <v>-6.69203883495146</v>
      </c>
      <c r="BS350" s="338">
        <f>IFERROR(BS123/BS15,"")</f>
        <v>-4.61354929668288</v>
      </c>
      <c r="BT350" s="338">
        <f>IFERROR(BT123/BT15,"")</f>
        <v>-10.9625015268108</v>
      </c>
      <c r="BV350" s="338">
        <f>IFERROR(BV123/BV15,"")</f>
        <v>-8.29258902791145</v>
      </c>
      <c r="BW350" s="338">
        <f>IFERROR(BW123/BW15,"")</f>
        <v>-18.2741747572816</v>
      </c>
      <c r="BX350" s="338">
        <f>IFERROR(BX123/BX15,"")</f>
        <v>-12.6271730432718</v>
      </c>
      <c r="BY350" s="338">
        <f>IFERROR(BY123/BY15,"")</f>
        <v>-29.9356703717275</v>
      </c>
      <c r="CA350" s="338">
        <f>IFERROR(CA123/CA15,"")</f>
        <v>-22.6448508180943</v>
      </c>
      <c r="CB350" s="338">
        <f>IFERROR(CB123/CB15,"")</f>
        <v>-49.932427184466</v>
      </c>
      <c r="CC350" s="338">
        <f>IFERROR(CC123/CC15,"")</f>
        <v>-34.4814446799094</v>
      </c>
      <c r="CD350" s="338">
        <f>IFERROR(CD123/CD15,"")</f>
        <v>-81.7963437970767</v>
      </c>
      <c r="CF350" s="338">
        <f>IFERROR(CF123/CF15,"")</f>
        <v>-61.8748796920116</v>
      </c>
      <c r="CG350" s="338">
        <f>IFERROR(CG123/CG15,"")</f>
        <v>-136.413203883495</v>
      </c>
      <c r="CH350" s="338">
        <f>IFERROR(CH123/CH15,"")</f>
        <v>-94.2172354463624</v>
      </c>
      <c r="CI350" s="338">
        <f>IFERROR(CI123/CI15,"")</f>
        <v>-223.464028337608</v>
      </c>
      <c r="CK350" s="338">
        <f>IFERROR(CK123/CK15,"")</f>
        <v>-169.039461020212</v>
      </c>
      <c r="CL350" s="338">
        <f>IFERROR(CL123/CL15,"")</f>
        <v>-372.691262135922</v>
      </c>
      <c r="CM350" s="338">
        <f>IFERROR(CM123/CM15,"")</f>
        <v>-257.397360252544</v>
      </c>
      <c r="CN350" s="338">
        <f>IFERROR(CN123/CN15,"")</f>
        <v>-610.52074426937</v>
      </c>
      <c r="CP350" s="338">
        <f>IFERROR(CP123/CP15,"")</f>
        <v>-461.828681424447</v>
      </c>
      <c r="CQ350" s="338">
        <f>IFERROR(CQ123/CQ15,"")</f>
        <v>-1018.20893203884</v>
      </c>
      <c r="CR350" s="338">
        <f>IFERROR(CR123/CR15,"")</f>
        <v>-703.229191397812</v>
      </c>
      <c r="CS350" s="338">
        <f>IFERROR(CS123/CS15,"")</f>
        <v>-1667.96954521396</v>
      </c>
      <c r="CU350" s="338">
        <f>IFERROR(CU123/CU15,"")</f>
        <v>-1261.73628488932</v>
      </c>
      <c r="CV350" s="338">
        <f>IFERROR(CV123/CV15,"")</f>
        <v>-2781.80038834951</v>
      </c>
      <c r="CW350" s="338">
        <f>IFERROR(CW123/CW15,"")</f>
        <v>-1921.25310330071</v>
      </c>
      <c r="CX350" s="338">
        <f>IFERROR(CX123/CX15,"")</f>
        <v>-4556.98057896665</v>
      </c>
    </row>
    <row r="351" ht="12.75" customFormat="1" customHeight="1" s="333">
      <c r="A351" s="334" t="n"/>
      <c r="B351" s="334" t="n"/>
      <c r="C351" s="333" t="inlineStr">
        <is>
          <t>ASSET TURNOVER</t>
        </is>
      </c>
      <c r="D351" s="341" t="str">
        <f>IFERROR(D123/D183,"")</f>
        <v/>
      </c>
      <c r="E351" s="341" t="str">
        <f>IFERROR(E123/E183,"")</f>
        <v/>
      </c>
      <c r="F351" s="341" t="str">
        <f>IFERROR(F123/F183,"")</f>
        <v/>
      </c>
      <c r="G351" s="341" t="str">
        <f>IFERROR(G123/G183,"")</f>
        <v/>
      </c>
      <c r="I351" s="338" t="str">
        <f>IFERROR(I123/I183,"")</f>
        <v/>
      </c>
      <c r="J351" s="338" t="str">
        <f>IFERROR(J123/J183,"")</f>
        <v/>
      </c>
      <c r="K351" s="338" t="str">
        <f>IFERROR(K123/K183,"")</f>
        <v/>
      </c>
      <c r="L351" s="338" t="str">
        <f>IFERROR(L123/L183,"")</f>
        <v/>
      </c>
      <c r="N351" s="338" t="str">
        <f>IFERROR(N123/N183,"")</f>
        <v/>
      </c>
      <c r="O351" s="338" t="str">
        <f>IFERROR(O123/O183,"")</f>
        <v/>
      </c>
      <c r="P351" s="338" t="str">
        <f>IFERROR(P123/P183,"")</f>
        <v/>
      </c>
      <c r="Q351" s="338" t="str">
        <f>IFERROR(Q123/Q183,"")</f>
        <v/>
      </c>
      <c r="S351" s="338" t="str">
        <f>IFERROR(S123/S183,"")</f>
        <v/>
      </c>
      <c r="T351" s="338" t="str">
        <f>IFERROR(T123/T183,"")</f>
        <v/>
      </c>
      <c r="U351" s="338" t="str">
        <f>IFERROR(U123/U183,"")</f>
        <v/>
      </c>
      <c r="V351" s="338" t="str">
        <f>IFERROR(V123/V183,"")</f>
        <v/>
      </c>
      <c r="X351" s="338" t="str">
        <f>IFERROR(X123/X183,"")</f>
        <v/>
      </c>
      <c r="Y351" s="338" t="str">
        <f>IFERROR(Y123/Y183,"")</f>
        <v/>
      </c>
      <c r="Z351" s="338" t="str">
        <f>IFERROR(Z123/Z183,"")</f>
        <v/>
      </c>
      <c r="AA351" s="338">
        <f>IFERROR(AA123/AA183,"")</f>
        <v>-0.00285566899137921</v>
      </c>
      <c r="AC351" s="338">
        <f>IFERROR(AC123/AC183,"")</f>
        <v>-0.0144096285961687</v>
      </c>
      <c r="AD351" s="338">
        <f>IFERROR(AD123/AD183,"")</f>
        <v>-0.0110512552263387</v>
      </c>
      <c r="AE351" s="338">
        <f>IFERROR(AE123/AE183,"")</f>
        <v>-0.00334616632054611</v>
      </c>
      <c r="AF351" s="338">
        <f>IFERROR(AF123/AF183,"")</f>
        <v>-0.00916242748772869</v>
      </c>
      <c r="AH351" s="338">
        <f>IFERROR(AH123/AH183,"")</f>
        <v>-0.0133158188328865</v>
      </c>
      <c r="AI351" s="338">
        <f>IFERROR(AI123/AI183,"")</f>
        <v>-0.00812248605164137</v>
      </c>
      <c r="AJ351" s="338">
        <f>IFERROR(AJ123/AJ183,"")</f>
        <v>-0.00127002151565862</v>
      </c>
      <c r="AK351" s="338">
        <f>IFERROR(AK123/AK183,"")</f>
        <v>0.000642068955219423</v>
      </c>
      <c r="AM351" s="338" t="str">
        <f>IFERROR(AM123/AM183,"")</f>
        <v/>
      </c>
      <c r="AN351" s="338" t="str">
        <f>IFERROR(AN123/AN183,"")</f>
        <v/>
      </c>
      <c r="AO351" s="338" t="str">
        <f>IFERROR(AO123/AO183,"")</f>
        <v/>
      </c>
      <c r="AP351" s="338" t="str">
        <f>IFERROR(AP123/AP183,"")</f>
        <v/>
      </c>
      <c r="AR351" s="338" t="str">
        <f>IFERROR(AR123/AR183,"")</f>
        <v/>
      </c>
      <c r="AS351" s="338" t="str">
        <f>IFERROR(AS123/AS183,"")</f>
        <v/>
      </c>
      <c r="AT351" s="338" t="str">
        <f>IFERROR(AT123/AT183,"")</f>
        <v/>
      </c>
      <c r="AU351" s="338" t="str">
        <f>IFERROR(AU123/AU183,"")</f>
        <v/>
      </c>
      <c r="AW351" s="338" t="str">
        <f>IFERROR(AW123/AW183,"")</f>
        <v/>
      </c>
      <c r="AX351" s="338" t="str">
        <f>IFERROR(AX123/AX183,"")</f>
        <v/>
      </c>
      <c r="AY351" s="338" t="str">
        <f>IFERROR(AY123/AY183,"")</f>
        <v/>
      </c>
      <c r="AZ351" s="338" t="str">
        <f>IFERROR(AZ123/AZ183,"")</f>
        <v/>
      </c>
      <c r="BB351" s="338" t="str">
        <f>IFERROR(BB123/BB183,"")</f>
        <v/>
      </c>
      <c r="BC351" s="338" t="str">
        <f>IFERROR(BC123/BC183,"")</f>
        <v/>
      </c>
      <c r="BD351" s="338" t="str">
        <f>IFERROR(BD123/BD183,"")</f>
        <v/>
      </c>
      <c r="BE351" s="338" t="str">
        <f>IFERROR(BE123/BE183,"")</f>
        <v/>
      </c>
      <c r="BG351" s="338" t="str">
        <f>IFERROR(BG123/BG183,"")</f>
        <v/>
      </c>
      <c r="BH351" s="338" t="str">
        <f>IFERROR(BH123/BH183,"")</f>
        <v/>
      </c>
      <c r="BI351" s="338" t="str">
        <f>IFERROR(BI123/BI183,"")</f>
        <v/>
      </c>
      <c r="BJ351" s="338" t="str">
        <f>IFERROR(BJ123/BJ183,"")</f>
        <v/>
      </c>
      <c r="BL351" s="338" t="str">
        <f>IFERROR(BL123/BL183,"")</f>
        <v/>
      </c>
      <c r="BM351" s="338" t="str">
        <f>IFERROR(BM123/BM183,"")</f>
        <v/>
      </c>
      <c r="BN351" s="338" t="str">
        <f>IFERROR(BN123/BN183,"")</f>
        <v/>
      </c>
      <c r="BO351" s="338" t="str">
        <f>IFERROR(BO123/BO183,"")</f>
        <v/>
      </c>
      <c r="BQ351" s="338" t="str">
        <f>IFERROR(BQ123/BQ183,"")</f>
        <v/>
      </c>
      <c r="BR351" s="338" t="str">
        <f>IFERROR(BR123/BR183,"")</f>
        <v/>
      </c>
      <c r="BS351" s="338" t="str">
        <f>IFERROR(BS123/BS183,"")</f>
        <v/>
      </c>
      <c r="BT351" s="338" t="str">
        <f>IFERROR(BT123/BT183,"")</f>
        <v/>
      </c>
      <c r="BV351" s="338" t="str">
        <f>IFERROR(BV123/BV183,"")</f>
        <v/>
      </c>
      <c r="BW351" s="338" t="str">
        <f>IFERROR(BW123/BW183,"")</f>
        <v/>
      </c>
      <c r="BX351" s="338" t="str">
        <f>IFERROR(BX123/BX183,"")</f>
        <v/>
      </c>
      <c r="BY351" s="338" t="str">
        <f>IFERROR(BY123/BY183,"")</f>
        <v/>
      </c>
      <c r="CA351" s="338" t="str">
        <f>IFERROR(CA123/CA183,"")</f>
        <v/>
      </c>
      <c r="CB351" s="338" t="str">
        <f>IFERROR(CB123/CB183,"")</f>
        <v/>
      </c>
      <c r="CC351" s="338" t="str">
        <f>IFERROR(CC123/CC183,"")</f>
        <v/>
      </c>
      <c r="CD351" s="338" t="str">
        <f>IFERROR(CD123/CD183,"")</f>
        <v/>
      </c>
      <c r="CF351" s="338" t="str">
        <f>IFERROR(CF123/CF183,"")</f>
        <v/>
      </c>
      <c r="CG351" s="338" t="str">
        <f>IFERROR(CG123/CG183,"")</f>
        <v/>
      </c>
      <c r="CH351" s="338" t="str">
        <f>IFERROR(CH123/CH183,"")</f>
        <v/>
      </c>
      <c r="CI351" s="338" t="str">
        <f>IFERROR(CI123/CI183,"")</f>
        <v/>
      </c>
      <c r="CK351" s="338" t="str">
        <f>IFERROR(CK123/CK183,"")</f>
        <v/>
      </c>
      <c r="CL351" s="338" t="str">
        <f>IFERROR(CL123/CL183,"")</f>
        <v/>
      </c>
      <c r="CM351" s="338" t="str">
        <f>IFERROR(CM123/CM183,"")</f>
        <v/>
      </c>
      <c r="CN351" s="338" t="str">
        <f>IFERROR(CN123/CN183,"")</f>
        <v/>
      </c>
      <c r="CP351" s="338" t="str">
        <f>IFERROR(CP123/CP183,"")</f>
        <v/>
      </c>
      <c r="CQ351" s="338" t="str">
        <f>IFERROR(CQ123/CQ183,"")</f>
        <v/>
      </c>
      <c r="CR351" s="338" t="str">
        <f>IFERROR(CR123/CR183,"")</f>
        <v/>
      </c>
      <c r="CS351" s="338" t="str">
        <f>IFERROR(CS123/CS183,"")</f>
        <v/>
      </c>
      <c r="CU351" s="338" t="str">
        <f>IFERROR(CU123/CU183,"")</f>
        <v/>
      </c>
      <c r="CV351" s="338" t="str">
        <f>IFERROR(CV123/CV183,"")</f>
        <v/>
      </c>
      <c r="CW351" s="338" t="str">
        <f>IFERROR(CW123/CW183,"")</f>
        <v/>
      </c>
      <c r="CX351" s="338" t="str">
        <f>IFERROR(CX123/CX183,"")</f>
        <v/>
      </c>
    </row>
    <row r="352" ht="12.75" customFormat="1" customHeight="1" s="333">
      <c r="A352" s="334" t="n"/>
      <c r="B352" s="334" t="n"/>
      <c r="C352" s="333" t="inlineStr">
        <is>
          <t>EQUITY MULTIPLIER</t>
        </is>
      </c>
      <c r="D352" s="341" t="str">
        <f>IFERROR(D183/D257,"")</f>
        <v/>
      </c>
      <c r="E352" s="341" t="str">
        <f>IFERROR(E183/E257,"")</f>
        <v/>
      </c>
      <c r="F352" s="341" t="str">
        <f>IFERROR(F183/F257,"")</f>
        <v/>
      </c>
      <c r="G352" s="341" t="str">
        <f>IFERROR(G183/G257,"")</f>
        <v/>
      </c>
      <c r="I352" s="338" t="str">
        <f>IFERROR(I183/I257,"")</f>
        <v/>
      </c>
      <c r="J352" s="338" t="str">
        <f>IFERROR(J183/J257,"")</f>
        <v/>
      </c>
      <c r="K352" s="338" t="str">
        <f>IFERROR(K183/K257,"")</f>
        <v/>
      </c>
      <c r="L352" s="338" t="str">
        <f>IFERROR(L183/L257,"")</f>
        <v/>
      </c>
      <c r="N352" s="338" t="str">
        <f>IFERROR(N183/N257,"")</f>
        <v/>
      </c>
      <c r="O352" s="338" t="str">
        <f>IFERROR(O183/O257,"")</f>
        <v/>
      </c>
      <c r="P352" s="338" t="str">
        <f>IFERROR(P183/P257,"")</f>
        <v/>
      </c>
      <c r="Q352" s="338" t="str">
        <f>IFERROR(Q183/Q257,"")</f>
        <v/>
      </c>
      <c r="S352" s="338" t="str">
        <f>IFERROR(S183/S257,"")</f>
        <v/>
      </c>
      <c r="T352" s="338" t="str">
        <f>IFERROR(T183/T257,"")</f>
        <v/>
      </c>
      <c r="U352" s="338" t="str">
        <f>IFERROR(U183/U257,"")</f>
        <v/>
      </c>
      <c r="V352" s="338" t="str">
        <f>IFERROR(V183/V257,"")</f>
        <v/>
      </c>
      <c r="X352" s="338" t="str">
        <f>IFERROR(X183/X257,"")</f>
        <v/>
      </c>
      <c r="Y352" s="338" t="str">
        <f>IFERROR(Y183/Y257,"")</f>
        <v/>
      </c>
      <c r="Z352" s="338" t="str">
        <f>IFERROR(Z183/Z257,"")</f>
        <v/>
      </c>
      <c r="AA352" s="338">
        <f>IFERROR(AA183/AA257,"")</f>
        <v>13.6281404922993</v>
      </c>
      <c r="AC352" s="338">
        <f>IFERROR(AC183/AC257,"")</f>
        <v>7.12231166767994</v>
      </c>
      <c r="AD352" s="338">
        <f>IFERROR(AD183/AD257,"")</f>
        <v>6.86801763816326</v>
      </c>
      <c r="AE352" s="338">
        <f>IFERROR(AE183/AE257,"")</f>
        <v>8.48643094119825</v>
      </c>
      <c r="AF352" s="338">
        <f>IFERROR(AF183/AF257,"")</f>
        <v>14.7832083958021</v>
      </c>
      <c r="AH352" s="338">
        <f>IFERROR(AH183/AH257,"")</f>
        <v>11.6774532464804</v>
      </c>
      <c r="AI352" s="338">
        <f>IFERROR(AI183/AI257,"")</f>
        <v>15.3403662420382</v>
      </c>
      <c r="AJ352" s="338">
        <f>IFERROR(AJ183/AJ257,"")</f>
        <v>13.5509212391172</v>
      </c>
      <c r="AK352" s="338">
        <f>IFERROR(AK183/AK257,"")</f>
        <v>13.4425933360096</v>
      </c>
      <c r="AM352" s="338" t="str">
        <f>IFERROR(AM183/AM257,"")</f>
        <v/>
      </c>
      <c r="AN352" s="338" t="str">
        <f>IFERROR(AN183/AN257,"")</f>
        <v/>
      </c>
      <c r="AO352" s="338" t="str">
        <f>IFERROR(AO183/AO257,"")</f>
        <v/>
      </c>
      <c r="AP352" s="338" t="str">
        <f>IFERROR(AP183/AP257,"")</f>
        <v/>
      </c>
      <c r="AR352" s="338" t="str">
        <f>IFERROR(AR183/AR257,"")</f>
        <v/>
      </c>
      <c r="AS352" s="338" t="str">
        <f>IFERROR(AS183/AS257,"")</f>
        <v/>
      </c>
      <c r="AT352" s="338" t="str">
        <f>IFERROR(AT183/AT257,"")</f>
        <v/>
      </c>
      <c r="AU352" s="338" t="str">
        <f>IFERROR(AU183/AU257,"")</f>
        <v/>
      </c>
      <c r="AW352" s="338" t="str">
        <f>IFERROR(AW183/AW257,"")</f>
        <v/>
      </c>
      <c r="AX352" s="338" t="str">
        <f>IFERROR(AX183/AX257,"")</f>
        <v/>
      </c>
      <c r="AY352" s="338" t="str">
        <f>IFERROR(AY183/AY257,"")</f>
        <v/>
      </c>
      <c r="AZ352" s="338" t="str">
        <f>IFERROR(AZ183/AZ257,"")</f>
        <v/>
      </c>
      <c r="BB352" s="338" t="str">
        <f>IFERROR(BB183/BB257,"")</f>
        <v/>
      </c>
      <c r="BC352" s="338" t="str">
        <f>IFERROR(BC183/BC257,"")</f>
        <v/>
      </c>
      <c r="BD352" s="338" t="str">
        <f>IFERROR(BD183/BD257,"")</f>
        <v/>
      </c>
      <c r="BE352" s="338" t="str">
        <f>IFERROR(BE183/BE257,"")</f>
        <v/>
      </c>
      <c r="BG352" s="338" t="str">
        <f>IFERROR(BG183/BG257,"")</f>
        <v/>
      </c>
      <c r="BH352" s="338" t="str">
        <f>IFERROR(BH183/BH257,"")</f>
        <v/>
      </c>
      <c r="BI352" s="338" t="str">
        <f>IFERROR(BI183/BI257,"")</f>
        <v/>
      </c>
      <c r="BJ352" s="338" t="str">
        <f>IFERROR(BJ183/BJ257,"")</f>
        <v/>
      </c>
      <c r="BL352" s="338" t="str">
        <f>IFERROR(BL183/BL257,"")</f>
        <v/>
      </c>
      <c r="BM352" s="338" t="str">
        <f>IFERROR(BM183/BM257,"")</f>
        <v/>
      </c>
      <c r="BN352" s="338" t="str">
        <f>IFERROR(BN183/BN257,"")</f>
        <v/>
      </c>
      <c r="BO352" s="338" t="str">
        <f>IFERROR(BO183/BO257,"")</f>
        <v/>
      </c>
      <c r="BQ352" s="338" t="str">
        <f>IFERROR(BQ183/BQ257,"")</f>
        <v/>
      </c>
      <c r="BR352" s="338" t="str">
        <f>IFERROR(BR183/BR257,"")</f>
        <v/>
      </c>
      <c r="BS352" s="338" t="str">
        <f>IFERROR(BS183/BS257,"")</f>
        <v/>
      </c>
      <c r="BT352" s="338" t="str">
        <f>IFERROR(BT183/BT257,"")</f>
        <v/>
      </c>
      <c r="BV352" s="338" t="str">
        <f>IFERROR(BV183/BV257,"")</f>
        <v/>
      </c>
      <c r="BW352" s="338" t="str">
        <f>IFERROR(BW183/BW257,"")</f>
        <v/>
      </c>
      <c r="BX352" s="338" t="str">
        <f>IFERROR(BX183/BX257,"")</f>
        <v/>
      </c>
      <c r="BY352" s="338" t="str">
        <f>IFERROR(BY183/BY257,"")</f>
        <v/>
      </c>
      <c r="CA352" s="338" t="str">
        <f>IFERROR(CA183/CA257,"")</f>
        <v/>
      </c>
      <c r="CB352" s="338" t="str">
        <f>IFERROR(CB183/CB257,"")</f>
        <v/>
      </c>
      <c r="CC352" s="338" t="str">
        <f>IFERROR(CC183/CC257,"")</f>
        <v/>
      </c>
      <c r="CD352" s="338" t="str">
        <f>IFERROR(CD183/CD257,"")</f>
        <v/>
      </c>
      <c r="CF352" s="338" t="str">
        <f>IFERROR(CF183/CF257,"")</f>
        <v/>
      </c>
      <c r="CG352" s="338" t="str">
        <f>IFERROR(CG183/CG257,"")</f>
        <v/>
      </c>
      <c r="CH352" s="338" t="str">
        <f>IFERROR(CH183/CH257,"")</f>
        <v/>
      </c>
      <c r="CI352" s="338" t="str">
        <f>IFERROR(CI183/CI257,"")</f>
        <v/>
      </c>
      <c r="CK352" s="338" t="str">
        <f>IFERROR(CK183/CK257,"")</f>
        <v/>
      </c>
      <c r="CL352" s="338" t="str">
        <f>IFERROR(CL183/CL257,"")</f>
        <v/>
      </c>
      <c r="CM352" s="338" t="str">
        <f>IFERROR(CM183/CM257,"")</f>
        <v/>
      </c>
      <c r="CN352" s="338" t="str">
        <f>IFERROR(CN183/CN257,"")</f>
        <v/>
      </c>
      <c r="CP352" s="338" t="str">
        <f>IFERROR(CP183/CP257,"")</f>
        <v/>
      </c>
      <c r="CQ352" s="338" t="str">
        <f>IFERROR(CQ183/CQ257,"")</f>
        <v/>
      </c>
      <c r="CR352" s="338" t="str">
        <f>IFERROR(CR183/CR257,"")</f>
        <v/>
      </c>
      <c r="CS352" s="338" t="str">
        <f>IFERROR(CS183/CS257,"")</f>
        <v/>
      </c>
      <c r="CU352" s="338" t="str">
        <f>IFERROR(CU183/CU257,"")</f>
        <v/>
      </c>
      <c r="CV352" s="338" t="str">
        <f>IFERROR(CV183/CV257,"")</f>
        <v/>
      </c>
      <c r="CW352" s="338" t="str">
        <f>IFERROR(CW183/CW257,"")</f>
        <v/>
      </c>
      <c r="CX352" s="338" t="str">
        <f>IFERROR(CX183/CX257,"")</f>
        <v/>
      </c>
    </row>
    <row r="353" ht="12.75" customFormat="1" customHeight="1" s="333">
      <c r="A353" s="334" t="n"/>
      <c r="B353" s="334" t="n"/>
      <c r="C353" s="333" t="inlineStr">
        <is>
          <t>ROE - DUPONT</t>
        </is>
      </c>
      <c r="D353" s="341">
        <f>IFERROR(PRODUCT(D350:D352),"")</f>
        <v>0</v>
      </c>
      <c r="E353" s="341">
        <f>IFERROR(PRODUCT(E350:E352),"")</f>
        <v>0</v>
      </c>
      <c r="F353" s="341">
        <f>IFERROR(PRODUCT(F350:F352),"")</f>
        <v>0</v>
      </c>
      <c r="G353" s="341">
        <f>IFERROR(PRODUCT(G350:G352),"")</f>
        <v>0</v>
      </c>
      <c r="I353" s="338">
        <f>IFERROR(PRODUCT(I350:I352),"")</f>
        <v>0</v>
      </c>
      <c r="J353" s="338">
        <f>IFERROR(PRODUCT(J350:J352),"")</f>
        <v>0</v>
      </c>
      <c r="K353" s="338">
        <f>IFERROR(PRODUCT(K350:K352),"")</f>
        <v>0</v>
      </c>
      <c r="L353" s="338">
        <f>IFERROR(PRODUCT(L350:L352),"")</f>
        <v>0</v>
      </c>
      <c r="N353" s="338">
        <f>IFERROR(PRODUCT(N350:N352),"")</f>
        <v>0</v>
      </c>
      <c r="O353" s="338">
        <f>IFERROR(PRODUCT(O350:O352),"")</f>
        <v>0</v>
      </c>
      <c r="P353" s="338">
        <f>IFERROR(PRODUCT(P350:P352),"")</f>
        <v>0</v>
      </c>
      <c r="Q353" s="338">
        <f>IFERROR(PRODUCT(Q350:Q352),"")</f>
        <v>0</v>
      </c>
      <c r="S353" s="338">
        <f>IFERROR(PRODUCT(S350:S352),"")</f>
        <v>0</v>
      </c>
      <c r="T353" s="338">
        <f>IFERROR(PRODUCT(T350:T352),"")</f>
        <v>0</v>
      </c>
      <c r="U353" s="338">
        <f>IFERROR(PRODUCT(U350:U352),"")</f>
        <v>0</v>
      </c>
      <c r="V353" s="338">
        <f>IFERROR(PRODUCT(V350:V352),"")</f>
        <v>0</v>
      </c>
      <c r="X353" s="338">
        <f>IFERROR(PRODUCT(X350:X352),"")</f>
        <v>-0.684997138072121</v>
      </c>
      <c r="Y353" s="338">
        <f>IFERROR(PRODUCT(Y350:Y352),"")</f>
        <v>-0.817007317178043</v>
      </c>
      <c r="Z353" s="338">
        <f>IFERROR(PRODUCT(Z350:Z352),"")</f>
        <v>-0.616170126776507</v>
      </c>
      <c r="AA353" s="338">
        <f>IFERROR(PRODUCT(AA350:AA352),"")</f>
        <v>0.00265304153939025</v>
      </c>
      <c r="AC353" s="338">
        <f>IFERROR(PRODUCT(AC350:AC352),"")</f>
        <v>0.0329209854902133</v>
      </c>
      <c r="AD353" s="338">
        <f>IFERROR(PRODUCT(AD350:AD352),"")</f>
        <v>0.0181609427288102</v>
      </c>
      <c r="AE353" s="338">
        <f>IFERROR(PRODUCT(AE350:AE352),"")</f>
        <v>0.0022915272656981</v>
      </c>
      <c r="AF353" s="338">
        <f>IFERROR(PRODUCT(AF350:AF352),"")</f>
        <v>0.0389249728752638</v>
      </c>
      <c r="AH353" s="338">
        <f>IFERROR(PRODUCT(AH350:AH352),"")</f>
        <v>0.0553735276112269</v>
      </c>
      <c r="AI353" s="338">
        <f>IFERROR(PRODUCT(AI350:AI352),"")</f>
        <v>0.0302915713313957</v>
      </c>
      <c r="AJ353" s="338">
        <f>IFERROR(PRODUCT(AJ350:AJ352),"")</f>
        <v>0.00107193702395829</v>
      </c>
      <c r="AK353" s="338">
        <f>IFERROR(PRODUCT(AK350:AK352),"")</f>
        <v>0.000236106078948667</v>
      </c>
      <c r="AM353" s="338">
        <f>IFERROR(PRODUCT(AM350:AM352),"")</f>
        <v>0.0206929740134745</v>
      </c>
      <c r="AN353" s="338">
        <f>IFERROR(PRODUCT(AN350:AN352),"")</f>
        <v>-0.032621359223301</v>
      </c>
      <c r="AO353" s="338">
        <f>IFERROR(PRODUCT(AO350:AO352),"")</f>
        <v>0.0315093106349053</v>
      </c>
      <c r="AP353" s="338">
        <f>IFERROR(PRODUCT(AP350:AP352),"")</f>
        <v>-0.0534383779162086</v>
      </c>
      <c r="AR353" s="338">
        <f>IFERROR(PRODUCT(AR350:AR352),"")</f>
        <v>-0.0404234841193455</v>
      </c>
      <c r="AS353" s="338">
        <f>IFERROR(PRODUCT(AS350:AS352),"")</f>
        <v>-0.0318446601941748</v>
      </c>
      <c r="AT353" s="338">
        <f>IFERROR(PRODUCT(AT350:AT352),"")</f>
        <v>-0.0615530719379545</v>
      </c>
      <c r="AU353" s="338">
        <f>IFERROR(PRODUCT(AU350:AU352),"")</f>
        <v>-0.0521660355848703</v>
      </c>
      <c r="AW353" s="338">
        <f>IFERROR(PRODUCT(AW350:AW352),"")</f>
        <v>-0.0394610202117421</v>
      </c>
      <c r="AX353" s="338">
        <f>IFERROR(PRODUCT(AX350:AX352),"")</f>
        <v>-0.128932038834951</v>
      </c>
      <c r="AY353" s="338">
        <f>IFERROR(PRODUCT(AY350:AY352),"")</f>
        <v>-0.0600875226060985</v>
      </c>
      <c r="AZ353" s="338">
        <f>IFERROR(PRODUCT(AZ350:AZ352),"")</f>
        <v>-0.211208827002158</v>
      </c>
      <c r="BB353" s="338">
        <f>IFERROR(PRODUCT(BB350:BB352),"")</f>
        <v>-0.159769008662175</v>
      </c>
      <c r="BC353" s="338">
        <f>IFERROR(PRODUCT(BC350:BC352),"")</f>
        <v>-0.321553398058252</v>
      </c>
      <c r="BD353" s="338">
        <f>IFERROR(PRODUCT(BD350:BD352),"")</f>
        <v>-0.243281189088106</v>
      </c>
      <c r="BE353" s="338">
        <f>IFERROR(PRODUCT(BE350:BE352),"")</f>
        <v>-0.526749725174056</v>
      </c>
      <c r="BG353" s="338">
        <f>IFERROR(PRODUCT(BG350:BG352),"")</f>
        <v>-0.398460057747834</v>
      </c>
      <c r="BH353" s="338">
        <f>IFERROR(PRODUCT(BH350:BH352),"")</f>
        <v>-0.900970873786408</v>
      </c>
      <c r="BI353" s="338">
        <f>IFERROR(PRODUCT(BI350:BI352),"")</f>
        <v>-0.606737423388409</v>
      </c>
      <c r="BJ353" s="338">
        <f>IFERROR(PRODUCT(BJ350:BJ352),"")</f>
        <v>-1.47591710435243</v>
      </c>
      <c r="BL353" s="338">
        <f>IFERROR(PRODUCT(BL350:BL352),"")</f>
        <v>-1.11645813282002</v>
      </c>
      <c r="BM353" s="338">
        <f>IFERROR(PRODUCT(BM350:BM352),"")</f>
        <v>-2.44504854368932</v>
      </c>
      <c r="BN353" s="338">
        <f>IFERROR(PRODUCT(BN350:BN352),"")</f>
        <v>-1.70003722495303</v>
      </c>
      <c r="BO353" s="338">
        <f>IFERROR(PRODUCT(BO350:BO352),"")</f>
        <v>-4.00533365905297</v>
      </c>
      <c r="BQ353" s="338">
        <f>IFERROR(PRODUCT(BQ350:BQ352),"")</f>
        <v>-3.02983638113571</v>
      </c>
      <c r="BR353" s="338">
        <f>IFERROR(PRODUCT(BR350:BR352),"")</f>
        <v>-6.69203883495146</v>
      </c>
      <c r="BS353" s="338">
        <f>IFERROR(PRODUCT(BS350:BS352),"")</f>
        <v>-4.61354929668288</v>
      </c>
      <c r="BT353" s="338">
        <f>IFERROR(PRODUCT(BT350:BT352),"")</f>
        <v>-10.9625015268108</v>
      </c>
      <c r="BV353" s="338">
        <f>IFERROR(PRODUCT(BV350:BV352),"")</f>
        <v>-8.29258902791145</v>
      </c>
      <c r="BW353" s="338">
        <f>IFERROR(PRODUCT(BW350:BW352),"")</f>
        <v>-18.2741747572816</v>
      </c>
      <c r="BX353" s="338">
        <f>IFERROR(PRODUCT(BX350:BX352),"")</f>
        <v>-12.6271730432718</v>
      </c>
      <c r="BY353" s="338">
        <f>IFERROR(PRODUCT(BY350:BY352),"")</f>
        <v>-29.9356703717275</v>
      </c>
      <c r="CA353" s="338">
        <f>IFERROR(PRODUCT(CA350:CA352),"")</f>
        <v>-22.6448508180943</v>
      </c>
      <c r="CB353" s="338">
        <f>IFERROR(PRODUCT(CB350:CB352),"")</f>
        <v>-49.932427184466</v>
      </c>
      <c r="CC353" s="338">
        <f>IFERROR(PRODUCT(CC350:CC352),"")</f>
        <v>-34.4814446799094</v>
      </c>
      <c r="CD353" s="338">
        <f>IFERROR(PRODUCT(CD350:CD352),"")</f>
        <v>-81.7963437970767</v>
      </c>
      <c r="CF353" s="338">
        <f>IFERROR(PRODUCT(CF350:CF352),"")</f>
        <v>-61.8748796920116</v>
      </c>
      <c r="CG353" s="338">
        <f>IFERROR(PRODUCT(CG350:CG352),"")</f>
        <v>-136.413203883495</v>
      </c>
      <c r="CH353" s="338">
        <f>IFERROR(PRODUCT(CH350:CH352),"")</f>
        <v>-94.2172354463624</v>
      </c>
      <c r="CI353" s="338">
        <f>IFERROR(PRODUCT(CI350:CI352),"")</f>
        <v>-223.464028337608</v>
      </c>
      <c r="CK353" s="338">
        <f>IFERROR(PRODUCT(CK350:CK352),"")</f>
        <v>-169.039461020212</v>
      </c>
      <c r="CL353" s="338">
        <f>IFERROR(PRODUCT(CL350:CL352),"")</f>
        <v>-372.691262135922</v>
      </c>
      <c r="CM353" s="338">
        <f>IFERROR(PRODUCT(CM350:CM352),"")</f>
        <v>-257.397360252544</v>
      </c>
      <c r="CN353" s="338">
        <f>IFERROR(PRODUCT(CN350:CN352),"")</f>
        <v>-610.52074426937</v>
      </c>
      <c r="CP353" s="338">
        <f>IFERROR(PRODUCT(CP350:CP352),"")</f>
        <v>-461.828681424447</v>
      </c>
      <c r="CQ353" s="338">
        <f>IFERROR(PRODUCT(CQ350:CQ352),"")</f>
        <v>-1018.20893203884</v>
      </c>
      <c r="CR353" s="338">
        <f>IFERROR(PRODUCT(CR350:CR352),"")</f>
        <v>-703.229191397812</v>
      </c>
      <c r="CS353" s="338">
        <f>IFERROR(PRODUCT(CS350:CS352),"")</f>
        <v>-1667.96954521396</v>
      </c>
      <c r="CU353" s="338">
        <f>IFERROR(PRODUCT(CU350:CU352),"")</f>
        <v>-1261.73628488932</v>
      </c>
      <c r="CV353" s="338">
        <f>IFERROR(PRODUCT(CV350:CV352),"")</f>
        <v>-2781.80038834951</v>
      </c>
      <c r="CW353" s="338">
        <f>IFERROR(PRODUCT(CW350:CW352),"")</f>
        <v>-1921.25310330071</v>
      </c>
      <c r="CX353" s="338">
        <f>IFERROR(PRODUCT(CX350:CX352),"")</f>
        <v>-4556.98057896665</v>
      </c>
    </row>
    <row r="354" ht="12.75" customFormat="1" customHeight="1" s="333">
      <c r="A354" s="334" t="n"/>
      <c r="B354" s="334" t="n"/>
      <c r="C354" s="333" t="inlineStr">
        <is>
          <t>ROE</t>
        </is>
      </c>
      <c r="D354" s="341" t="str">
        <f>IFERROR(D123/D257,"")</f>
        <v/>
      </c>
      <c r="E354" s="341" t="str">
        <f>IFERROR(E123/E257,"")</f>
        <v/>
      </c>
      <c r="F354" s="341" t="str">
        <f>IFERROR(F123/F257,"")</f>
        <v/>
      </c>
      <c r="G354" s="341" t="str">
        <f>IFERROR(G123/G257,"")</f>
        <v/>
      </c>
      <c r="I354" s="338" t="str">
        <f>IFERROR(I123/I257,"")</f>
        <v/>
      </c>
      <c r="J354" s="338" t="str">
        <f>IFERROR(J123/J257,"")</f>
        <v/>
      </c>
      <c r="K354" s="338" t="str">
        <f>IFERROR(K123/K257,"")</f>
        <v/>
      </c>
      <c r="L354" s="338" t="str">
        <f>IFERROR(L123/L257,"")</f>
        <v/>
      </c>
      <c r="N354" s="338" t="str">
        <f>IFERROR(N123/N257,"")</f>
        <v/>
      </c>
      <c r="O354" s="338" t="str">
        <f>IFERROR(O123/O257,"")</f>
        <v/>
      </c>
      <c r="P354" s="338" t="str">
        <f>IFERROR(P123/P257,"")</f>
        <v/>
      </c>
      <c r="Q354" s="338" t="str">
        <f>IFERROR(Q123/Q257,"")</f>
        <v/>
      </c>
      <c r="S354" s="338" t="str">
        <f>IFERROR(S123/S257,"")</f>
        <v/>
      </c>
      <c r="T354" s="338" t="str">
        <f>IFERROR(T123/T257,"")</f>
        <v/>
      </c>
      <c r="U354" s="338" t="str">
        <f>IFERROR(U123/U257,"")</f>
        <v/>
      </c>
      <c r="V354" s="338" t="str">
        <f>IFERROR(V123/V257,"")</f>
        <v/>
      </c>
      <c r="X354" s="338" t="str">
        <f>IFERROR(X123/X257,"")</f>
        <v/>
      </c>
      <c r="Y354" s="338" t="str">
        <f>IFERROR(Y123/Y257,"")</f>
        <v/>
      </c>
      <c r="Z354" s="338" t="str">
        <f>IFERROR(Z123/Z257,"")</f>
        <v/>
      </c>
      <c r="AA354" s="338">
        <f>IFERROR(AA123/AA257,"")</f>
        <v>-0.0389174582140185</v>
      </c>
      <c r="AC354" s="338">
        <f>IFERROR(AC123/AC257,"")</f>
        <v>-0.102629865877427</v>
      </c>
      <c r="AD354" s="338">
        <f>IFERROR(AD123/AD257,"")</f>
        <v>-0.0759002158183378</v>
      </c>
      <c r="AE354" s="338">
        <f>IFERROR(AE123/AE257,"")</f>
        <v>-0.028397009397078</v>
      </c>
      <c r="AF354" s="338">
        <f>IFERROR(AF123/AF257,"")</f>
        <v>-0.135450074962519</v>
      </c>
      <c r="AH354" s="338">
        <f>IFERROR(AH123/AH257,"")</f>
        <v>-0.155494851859634</v>
      </c>
      <c r="AI354" s="338">
        <f>IFERROR(AI123/AI257,"")</f>
        <v>-0.124601910828025</v>
      </c>
      <c r="AJ354" s="338">
        <f>IFERROR(AJ123/AJ257,"")</f>
        <v>-0.0172099615306742</v>
      </c>
      <c r="AK354" s="338">
        <f>IFERROR(AK123/AK257,"")</f>
        <v>0.00863107185869129</v>
      </c>
      <c r="AM354" s="338">
        <f>IFERROR(AM123/AM257,"")</f>
        <v>0.00855721393034826</v>
      </c>
      <c r="AN354" s="338">
        <f>IFERROR(AN123/AN257,"")</f>
        <v>-0.0170006071645416</v>
      </c>
      <c r="AO354" s="338">
        <f>IFERROR(AO123/AO257,"")</f>
        <v>0.00862760834670947</v>
      </c>
      <c r="AP354" s="338">
        <f>IFERROR(AP123/AP257,"")</f>
        <v>-0.0171428571428571</v>
      </c>
      <c r="AR354" s="338">
        <f>IFERROR(AR123/AR257,"")</f>
        <v>-0.0174418604651163</v>
      </c>
      <c r="AS354" s="338">
        <f>IFERROR(AS123/AS257,"")</f>
        <v>-0.0173215040135192</v>
      </c>
      <c r="AT354" s="338">
        <f>IFERROR(AT123/AT257,"")</f>
        <v>-0.0180645161290323</v>
      </c>
      <c r="AU354" s="338">
        <f>IFERROR(AU123/AU257,"")</f>
        <v>-0.0179509632224168</v>
      </c>
      <c r="AW354" s="338">
        <f>IFERROR(AW123/AW257,"")</f>
        <v>-0.0182790905037896</v>
      </c>
      <c r="AX354" s="338">
        <f>IFERROR(AX123/AX257,"")</f>
        <v>-0.0799229658160809</v>
      </c>
      <c r="AY354" s="338">
        <f>IFERROR(AY123/AY257,"")</f>
        <v>-0.0201375245579568</v>
      </c>
      <c r="AZ354" s="338">
        <f>IFERROR(AZ123/AZ257,"")</f>
        <v>-0.0887700534759358</v>
      </c>
      <c r="BB354" s="338">
        <f>IFERROR(BB123/BB257,"")</f>
        <v>-0.0974178403755869</v>
      </c>
      <c r="BC354" s="338">
        <f>IFERROR(BC123/BC257,"")</f>
        <v>-0.32093023255814</v>
      </c>
      <c r="BD354" s="338">
        <f>IFERROR(BD123/BD257,"")</f>
        <v>-0.147686832740214</v>
      </c>
      <c r="BE354" s="338">
        <f>IFERROR(BE123/BE257,"")</f>
        <v>-0.583098591549296</v>
      </c>
      <c r="BG354" s="338">
        <f>IFERROR(BG123/BG257,"")</f>
        <v>-1.39864864864865</v>
      </c>
      <c r="BH354" s="338">
        <f>IFERROR(BH123/BH257,"")</f>
        <v>1.34259259259259</v>
      </c>
      <c r="BI354" s="338">
        <f>IFERROR(BI123/BI257,"")</f>
        <v>0.323943661971831</v>
      </c>
      <c r="BJ354" s="338">
        <f>IFERROR(BJ123/BJ257,"")</f>
        <v>0.475799835931091</v>
      </c>
      <c r="BL354" s="338">
        <f>IFERROR(BL123/BL257,"")</f>
        <v>0.322401334074486</v>
      </c>
      <c r="BM354" s="338">
        <f>IFERROR(BM123/BM257,"")</f>
        <v>0.466646901867774</v>
      </c>
      <c r="BN354" s="338">
        <f>IFERROR(BN123/BN257,"")</f>
        <v>0.146724007083228</v>
      </c>
      <c r="BO354" s="338">
        <f>IFERROR(BO123/BO257,"")</f>
        <v>0.284783788673783</v>
      </c>
      <c r="BQ354" s="338">
        <f>IFERROR(BQ123/BQ257,"")</f>
        <v>0.221658921278693</v>
      </c>
      <c r="BR354" s="338">
        <f>IFERROR(BR123/BR257,"")</f>
        <v>0.377596634236129</v>
      </c>
      <c r="BS354" s="338">
        <f>IFERROR(BS123/BS257,"")</f>
        <v>0.121235461757683</v>
      </c>
      <c r="BT354" s="338">
        <f>IFERROR(BT123/BT257,"")</f>
        <v>0.249146955063328</v>
      </c>
      <c r="BV354" s="338">
        <f>IFERROR(BV123/BV257,"")</f>
        <v>0.199453678411038</v>
      </c>
      <c r="BW354" s="338">
        <f>IFERROR(BW123/BW257,"")</f>
        <v>0.352606180499356</v>
      </c>
      <c r="BX354" s="338">
        <f>IFERROR(BX123/BX257,"")</f>
        <v>0.114358525125428</v>
      </c>
      <c r="BY354" s="338">
        <f>IFERROR(BY123/BY257,"")</f>
        <v>0.237969050268029</v>
      </c>
      <c r="CA354" s="338">
        <f>IFERROR(CA123/CA257,"")</f>
        <v>0.192225363159529</v>
      </c>
      <c r="CB354" s="338">
        <f>IFERROR(CB123/CB257,"")</f>
        <v>0.34436433369401</v>
      </c>
      <c r="CC354" s="338">
        <f>IFERROR(CC123/CC257,"")</f>
        <v>0.11192403931232</v>
      </c>
      <c r="CD354" s="338">
        <f>IFERROR(CD123/CD257,"")</f>
        <v>0.234198657933276</v>
      </c>
      <c r="CF354" s="338">
        <f>IFERROR(CF123/CF257,"")</f>
        <v>0.189757666991352</v>
      </c>
      <c r="CG354" s="338">
        <f>IFERROR(CG123/CG257,"")</f>
        <v>0.341416191375952</v>
      </c>
      <c r="CH354" s="338">
        <f>IFERROR(CH123/CH257,"")</f>
        <v>0.111088455357606</v>
      </c>
      <c r="CI354" s="338">
        <f>IFERROR(CI123/CI257,"")</f>
        <v>0.232828080631862</v>
      </c>
      <c r="CK354" s="338">
        <f>IFERROR(CK123/CK257,"")</f>
        <v>0.188856892773346</v>
      </c>
      <c r="CL354" s="338">
        <f>IFERROR(CL123/CL257,"")</f>
        <v>0.340356954889085</v>
      </c>
      <c r="CM354" s="338">
        <f>IFERROR(CM123/CM257,"")</f>
        <v>0.110777661301615</v>
      </c>
      <c r="CN354" s="338">
        <f>IFERROR(CN123/CN257,"")</f>
        <v>0.232335860505518</v>
      </c>
      <c r="CP354" s="338">
        <f>IFERROR(CP123/CP257,"")</f>
        <v>0.188532905640035</v>
      </c>
      <c r="CQ354" s="338">
        <f>IFERROR(CQ123/CQ257,"")</f>
        <v>0.339968932099262</v>
      </c>
      <c r="CR354" s="338">
        <f>IFERROR(CR123/CR257,"")</f>
        <v>0.110666503686654</v>
      </c>
      <c r="CS354" s="338">
        <f>IFERROR(CS123/CS257,"")</f>
        <v>0.232154753779715</v>
      </c>
      <c r="CU354" s="338">
        <f>IFERROR(CU123/CU257,"")</f>
        <v>0.188413633163826</v>
      </c>
      <c r="CV354" s="338">
        <f>IFERROR(CV123/CV257,"")</f>
        <v>0.339827651872039</v>
      </c>
      <c r="CW354" s="338">
        <f>IFERROR(CW123/CW257,"")</f>
        <v>0.110625291659037</v>
      </c>
      <c r="CX354" s="338">
        <f>IFERROR(CX123/CX257,"")</f>
        <v>0.232088926571348</v>
      </c>
    </row>
    <row r="356" ht="12.75" customHeight="1" s="255">
      <c r="C356" s="330" t="inlineStr">
        <is>
          <t>Scenario Analysis</t>
        </is>
      </c>
      <c r="D356" s="330" t="n"/>
      <c r="E356" s="330" t="n"/>
      <c r="F356" s="330" t="n"/>
      <c r="G356" s="330" t="n"/>
      <c r="H356" s="330" t="n"/>
      <c r="I356" s="330" t="n"/>
      <c r="J356" s="330" t="n"/>
      <c r="K356" s="330" t="n"/>
      <c r="L356" s="330" t="n"/>
      <c r="M356" s="330" t="n"/>
      <c r="N356" s="330" t="n"/>
      <c r="O356" s="330" t="n"/>
      <c r="P356" s="330" t="n"/>
      <c r="Q356" s="330" t="n"/>
      <c r="R356" s="330" t="n"/>
      <c r="S356" s="330" t="n"/>
      <c r="T356" s="330" t="n"/>
      <c r="U356" s="330" t="n"/>
      <c r="V356" s="330" t="n"/>
      <c r="W356" s="330" t="n"/>
      <c r="X356" s="330" t="n"/>
      <c r="Y356" s="330" t="n"/>
      <c r="Z356" s="330" t="n"/>
      <c r="AA356" s="330" t="n"/>
      <c r="AB356" s="330" t="n"/>
      <c r="AC356" s="330" t="n"/>
      <c r="AD356" s="330" t="n"/>
      <c r="AE356" s="330" t="n"/>
      <c r="AF356" s="330" t="n"/>
      <c r="AG356" s="330" t="n"/>
      <c r="AH356" s="330" t="n"/>
      <c r="AI356" s="330" t="n"/>
      <c r="AJ356" s="330" t="n"/>
      <c r="AK356" s="330" t="n"/>
      <c r="AL356" s="330" t="n"/>
      <c r="AM356" s="330" t="n"/>
      <c r="AN356" s="330" t="n"/>
      <c r="AO356" s="330" t="n"/>
      <c r="AP356" s="330" t="n"/>
      <c r="AQ356" s="330" t="n"/>
      <c r="AR356" s="330" t="n"/>
      <c r="AS356" s="330" t="n"/>
      <c r="AT356" s="330" t="n"/>
      <c r="AU356" s="330" t="n"/>
      <c r="AV356" s="330" t="n"/>
      <c r="AW356" s="330" t="n"/>
      <c r="AX356" s="330" t="n"/>
      <c r="AY356" s="330" t="n"/>
      <c r="AZ356" s="330" t="n"/>
      <c r="BA356" s="330" t="n"/>
      <c r="BB356" s="330" t="n"/>
      <c r="BC356" s="330" t="n"/>
      <c r="BD356" s="330" t="n"/>
      <c r="BE356" s="330" t="n"/>
      <c r="BF356" s="330" t="n"/>
      <c r="BG356" s="330" t="n"/>
      <c r="BH356" s="330" t="n"/>
      <c r="BI356" s="330" t="n"/>
      <c r="BJ356" s="330" t="n"/>
      <c r="BK356" s="330" t="n"/>
      <c r="BL356" s="330" t="n"/>
      <c r="BM356" s="330" t="n"/>
      <c r="BN356" s="330" t="n"/>
      <c r="BO356" s="330" t="n"/>
      <c r="BP356" s="330" t="n"/>
      <c r="BQ356" s="330" t="n"/>
      <c r="BR356" s="330" t="n"/>
      <c r="BS356" s="330" t="n"/>
      <c r="BT356" s="330" t="n"/>
      <c r="BU356" s="330" t="n"/>
      <c r="BV356" s="330" t="n"/>
      <c r="BW356" s="330" t="n"/>
      <c r="BX356" s="330" t="n"/>
      <c r="BY356" s="330" t="n"/>
      <c r="BZ356" s="330" t="n"/>
      <c r="CA356" s="330" t="n"/>
      <c r="CB356" s="330" t="n"/>
      <c r="CC356" s="330" t="n"/>
      <c r="CD356" s="330" t="n"/>
      <c r="CE356" s="330" t="n"/>
      <c r="CF356" s="330" t="n"/>
      <c r="CG356" s="330" t="n"/>
      <c r="CH356" s="330" t="n"/>
      <c r="CI356" s="330" t="n"/>
      <c r="CJ356" s="330" t="n"/>
      <c r="CK356" s="330" t="n"/>
      <c r="CL356" s="330" t="n"/>
      <c r="CM356" s="330" t="n"/>
      <c r="CN356" s="330" t="n"/>
      <c r="CO356" s="330" t="n"/>
      <c r="CP356" s="330" t="n"/>
      <c r="CQ356" s="330" t="n"/>
      <c r="CR356" s="330" t="n"/>
      <c r="CS356" s="330" t="n"/>
      <c r="CT356" s="330" t="n"/>
      <c r="CU356" s="330" t="n"/>
      <c r="CV356" s="330" t="n"/>
      <c r="CW356" s="330" t="n"/>
      <c r="CX356" s="330" t="n"/>
      <c r="CY356" s="330" t="n"/>
    </row>
    <row r="359" ht="12.75" customHeight="1" s="255">
      <c r="C359" s="260" t="inlineStr">
        <is>
          <t>Bull case</t>
        </is>
      </c>
    </row>
    <row r="360" ht="12.75" customHeight="1" s="255">
      <c r="C360" s="260" t="inlineStr">
        <is>
          <t>Base case</t>
        </is>
      </c>
    </row>
    <row r="361" ht="12.75" customHeight="1" s="255">
      <c r="C361" s="260" t="inlineStr">
        <is>
          <t>Bear case</t>
        </is>
      </c>
    </row>
    <row r="364" ht="12.75" customHeight="1" s="255">
      <c r="C364" s="260" t="inlineStr">
        <is>
          <t>Bull case</t>
        </is>
      </c>
    </row>
    <row r="365" ht="12.75" customHeight="1" s="255">
      <c r="C365" s="260" t="inlineStr">
        <is>
          <t>Base case</t>
        </is>
      </c>
    </row>
    <row r="366" ht="12.75" customHeight="1" s="255">
      <c r="C366" s="260" t="inlineStr">
        <is>
          <t>Bear case</t>
        </is>
      </c>
    </row>
    <row r="369" ht="12.75" customHeight="1" s="255">
      <c r="C369" s="260" t="inlineStr">
        <is>
          <t>% Gross Margin</t>
        </is>
      </c>
    </row>
    <row r="370" ht="12.75" customHeight="1" s="255">
      <c r="C370" s="260" t="inlineStr">
        <is>
          <t>Bull case</t>
        </is>
      </c>
    </row>
    <row r="371" ht="12.75" customHeight="1" s="255">
      <c r="C371" s="260" t="inlineStr">
        <is>
          <t>Base case</t>
        </is>
      </c>
    </row>
    <row r="372" ht="12.75" customHeight="1" s="255">
      <c r="C372" s="260" t="inlineStr">
        <is>
          <t>Bear case</t>
        </is>
      </c>
    </row>
    <row r="375" ht="12.75" customHeight="1" s="255">
      <c r="C375" s="260" t="inlineStr">
        <is>
          <t>Capital expenditures</t>
        </is>
      </c>
    </row>
    <row r="376" ht="12.75" customHeight="1" s="255">
      <c r="C376" s="260" t="inlineStr">
        <is>
          <t>Bull case</t>
        </is>
      </c>
    </row>
    <row r="377" ht="12.75" customHeight="1" s="255">
      <c r="C377" s="260" t="inlineStr">
        <is>
          <t>Base case</t>
        </is>
      </c>
    </row>
    <row r="378" ht="12.75" customHeight="1" s="255">
      <c r="C378" s="260" t="inlineStr">
        <is>
          <t>Bear case</t>
        </is>
      </c>
    </row>
  </sheetData>
  <conditionalFormatting sqref="CU301:CX301">
    <cfRule type="cellIs" rank="0" priority="2" equalAverage="0" operator="notEqual" aboveAverage="0" dxfId="0" text="" percent="0" bottom="0">
      <formula>0</formula>
    </cfRule>
  </conditionalFormatting>
  <conditionalFormatting sqref="CP301:CS301">
    <cfRule type="cellIs" rank="0" priority="3" equalAverage="0" operator="notEqual" aboveAverage="0" dxfId="0" text="" percent="0" bottom="0">
      <formula>0</formula>
    </cfRule>
  </conditionalFormatting>
  <conditionalFormatting sqref="CK301:CN301">
    <cfRule type="cellIs" rank="0" priority="4" equalAverage="0" operator="notEqual" aboveAverage="0" dxfId="0" text="" percent="0" bottom="0">
      <formula>0</formula>
    </cfRule>
  </conditionalFormatting>
  <conditionalFormatting sqref="CF301:CI301">
    <cfRule type="cellIs" rank="0" priority="5" equalAverage="0" operator="notEqual" aboveAverage="0" dxfId="0" text="" percent="0" bottom="0">
      <formula>0</formula>
    </cfRule>
  </conditionalFormatting>
  <conditionalFormatting sqref="CA301:CD301">
    <cfRule type="cellIs" rank="0" priority="6" equalAverage="0" operator="notEqual" aboveAverage="0" dxfId="0" text="" percent="0" bottom="0">
      <formula>0</formula>
    </cfRule>
  </conditionalFormatting>
  <conditionalFormatting sqref="BV301:BY301">
    <cfRule type="cellIs" rank="0" priority="7" equalAverage="0" operator="notEqual" aboveAverage="0" dxfId="0" text="" percent="0" bottom="0">
      <formula>0</formula>
    </cfRule>
  </conditionalFormatting>
  <conditionalFormatting sqref="BQ301:BT301">
    <cfRule type="cellIs" rank="0" priority="8" equalAverage="0" operator="notEqual" aboveAverage="0" dxfId="0" text="" percent="0" bottom="0">
      <formula>0</formula>
    </cfRule>
  </conditionalFormatting>
  <conditionalFormatting sqref="BL301:BO301">
    <cfRule type="cellIs" rank="0" priority="9" equalAverage="0" operator="notEqual" aboveAverage="0" dxfId="0" text="" percent="0" bottom="0">
      <formula>0</formula>
    </cfRule>
  </conditionalFormatting>
  <conditionalFormatting sqref="BG301:BJ301">
    <cfRule type="cellIs" rank="0" priority="10" equalAverage="0" operator="notEqual" aboveAverage="0" dxfId="0" text="" percent="0" bottom="0">
      <formula>0</formula>
    </cfRule>
  </conditionalFormatting>
  <conditionalFormatting sqref="BB301:BE301">
    <cfRule type="cellIs" rank="0" priority="11" equalAverage="0" operator="notEqual" aboveAverage="0" dxfId="0" text="" percent="0" bottom="0">
      <formula>0</formula>
    </cfRule>
  </conditionalFormatting>
  <conditionalFormatting sqref="AW301:AZ301">
    <cfRule type="cellIs" rank="0" priority="12" equalAverage="0" operator="notEqual" aboveAverage="0" dxfId="0" text="" percent="0" bottom="0">
      <formula>0</formula>
    </cfRule>
  </conditionalFormatting>
  <conditionalFormatting sqref="AR301:AU301">
    <cfRule type="cellIs" rank="0" priority="13" equalAverage="0" operator="notEqual" aboveAverage="0" dxfId="0" text="" percent="0" bottom="0">
      <formula>0</formula>
    </cfRule>
  </conditionalFormatting>
  <conditionalFormatting sqref="AM301:AP301">
    <cfRule type="cellIs" rank="0" priority="14" equalAverage="0" operator="notEqual" aboveAverage="0" dxfId="0" text="" percent="0" bottom="0">
      <formula>0</formula>
    </cfRule>
  </conditionalFormatting>
  <conditionalFormatting sqref="AH301:AK301">
    <cfRule type="cellIs" rank="0" priority="15" equalAverage="0" operator="notEqual" aboveAverage="0" dxfId="0" text="" percent="0" bottom="0">
      <formula>0</formula>
    </cfRule>
  </conditionalFormatting>
  <conditionalFormatting sqref="E301:G301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01:AF301">
    <cfRule type="cellIs" rank="0" priority="19" equalAverage="0" operator="notEqual" aboveAverage="0" dxfId="0" text="" percent="0" bottom="0">
      <formula>0</formula>
    </cfRule>
  </conditionalFormatting>
  <conditionalFormatting sqref="X301:AA301">
    <cfRule type="cellIs" rank="0" priority="20" equalAverage="0" operator="notEqual" aboveAverage="0" dxfId="0" text="" percent="0" bottom="0">
      <formula>0</formula>
    </cfRule>
  </conditionalFormatting>
  <conditionalFormatting sqref="S301:V301">
    <cfRule type="cellIs" rank="0" priority="21" equalAverage="0" operator="notEqual" aboveAverage="0" dxfId="0" text="" percent="0" bottom="0">
      <formula>0</formula>
    </cfRule>
  </conditionalFormatting>
  <conditionalFormatting sqref="N301:Q301">
    <cfRule type="cellIs" rank="0" priority="22" equalAverage="0" operator="notEqual" aboveAverage="0" dxfId="0" text="" percent="0" bottom="0">
      <formula>0</formula>
    </cfRule>
  </conditionalFormatting>
  <conditionalFormatting sqref="I301:L301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0</v>
      </c>
      <c r="E18" s="377">
        <f>Model!AB15</f>
        <v>1915</v>
      </c>
      <c r="F18" s="377">
        <f>Model!AG15</f>
        <v>5130.58</v>
      </c>
      <c r="G18" s="377">
        <f>Model!AL15</f>
        <v>7589.58</v>
      </c>
      <c r="H18" s="377">
        <f>Model!AQ15</f>
        <v>7589.58</v>
      </c>
      <c r="I18" s="377">
        <f>Model!AV15</f>
        <v>7589.58</v>
      </c>
      <c r="J18" s="377">
        <f>Model!BA15</f>
        <v>7589.58</v>
      </c>
      <c r="K18" s="377">
        <f>Model!BF15</f>
        <v>7589.58</v>
      </c>
      <c r="L18" s="377">
        <f>Model!BK15</f>
        <v>7589.58</v>
      </c>
      <c r="M18" s="377">
        <f>Model!BP15</f>
        <v>7589.58</v>
      </c>
      <c r="N18" s="377">
        <f>Model!BU15</f>
        <v>7589.58</v>
      </c>
      <c r="O18" s="377">
        <f>Model!BZ15</f>
        <v>7589.58</v>
      </c>
      <c r="P18" s="377">
        <f>Model!CE15</f>
        <v>7589.58</v>
      </c>
      <c r="Q18" s="377">
        <f>Model!CJ15</f>
        <v>7589.58</v>
      </c>
      <c r="R18" s="377">
        <f>Model!CO15</f>
        <v>7589.58</v>
      </c>
      <c r="S18" s="377" t="n"/>
      <c r="T18" s="377" t="n"/>
      <c r="U18" s="377" t="n"/>
      <c r="V18" s="378" t="n"/>
      <c r="X18" s="379">
        <f>((L18/F18)^(1/6))-1</f>
        <v>0.0674360842770401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 t="str">
        <f>IFERROR(E18/D18-1,"")</f>
        <v/>
      </c>
      <c r="F19" s="381">
        <f>F18/E18-1</f>
        <v>1.67915404699739</v>
      </c>
      <c r="G19" s="381">
        <f>G18/F18-1</f>
        <v>0.479283044022313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Model!W55</f>
        <v>0</v>
      </c>
      <c r="E20" s="377">
        <f>Model!AB55</f>
        <v>1187</v>
      </c>
      <c r="F20" s="377">
        <f>Model!AG55</f>
        <v>2408.261</v>
      </c>
      <c r="G20" s="377">
        <f>Model!AL55</f>
        <v>2347</v>
      </c>
      <c r="H20" s="377">
        <f>Model!AQ55</f>
        <v>0</v>
      </c>
      <c r="I20" s="377">
        <f>Model!BA55</f>
        <v>0</v>
      </c>
      <c r="J20" s="377">
        <f>Model!BA55</f>
        <v>0</v>
      </c>
      <c r="K20" s="377">
        <f>Model!BF55</f>
        <v>0</v>
      </c>
      <c r="L20" s="377">
        <f>Model!BK55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 t="str">
        <f>IFERROR(D20/D18,"")</f>
        <v/>
      </c>
      <c r="E21" s="386">
        <f>E20/E18</f>
        <v>0.619843342036554</v>
      </c>
      <c r="F21" s="386">
        <f>F20/F18</f>
        <v>0.469393518861415</v>
      </c>
      <c r="G21" s="386">
        <f>G20/G18</f>
        <v>0.309239773478901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Model!W59</f>
        <v>0</v>
      </c>
      <c r="E22" s="377">
        <f>Model!AB59</f>
        <v>324</v>
      </c>
      <c r="F22" s="377">
        <f>Model!AG59</f>
        <v>-45.7389999999998</v>
      </c>
      <c r="G22" s="377">
        <f>Model!AL59</f>
        <v>-193</v>
      </c>
      <c r="H22" s="377">
        <f>Model!AQ59</f>
        <v>0</v>
      </c>
      <c r="I22" s="377">
        <f>Model!AV59</f>
        <v>0</v>
      </c>
      <c r="J22" s="377">
        <f>Model!BA59</f>
        <v>0</v>
      </c>
      <c r="K22" s="377">
        <f>Model!BF59</f>
        <v>0</v>
      </c>
      <c r="L22" s="377">
        <f>Model!BK59</f>
        <v>0</v>
      </c>
      <c r="M22" s="377">
        <f>Model!BP59</f>
        <v>0</v>
      </c>
      <c r="N22" s="377">
        <f>Model!BU59</f>
        <v>0</v>
      </c>
      <c r="O22" s="377">
        <f>Model!BZ59</f>
        <v>0</v>
      </c>
      <c r="P22" s="377">
        <f>Model!CE59</f>
        <v>0</v>
      </c>
      <c r="Q22" s="377">
        <f>Model!CJ59</f>
        <v>0</v>
      </c>
      <c r="R22" s="377">
        <f>Model!CO59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 t="str">
        <f>IFERROR(D22/D18,"")</f>
        <v/>
      </c>
      <c r="E23" s="386">
        <f>E22/E18</f>
        <v>0.169190600522193</v>
      </c>
      <c r="F23" s="386">
        <f>F22/F18</f>
        <v>-0.00891497647439467</v>
      </c>
      <c r="G23" s="386">
        <f>G22/G18</f>
        <v>-0.0254296021650737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 t="str">
        <f>Model!W118</f>
        <v/>
      </c>
      <c r="E24" s="389">
        <f>Model!AB118</f>
        <v>-0.15994623655914</v>
      </c>
      <c r="F24" s="389">
        <f>Model!AG118</f>
        <v>0.0393615996562004</v>
      </c>
      <c r="G24" s="389">
        <f>Model!AL118</f>
        <v>-0.115689381933439</v>
      </c>
      <c r="H24" s="389">
        <f>Model!AQ118</f>
        <v>0</v>
      </c>
      <c r="I24" s="389">
        <f>Model!AV118</f>
        <v>0</v>
      </c>
      <c r="J24" s="389">
        <f>Model!BA118</f>
        <v>0</v>
      </c>
      <c r="K24" s="389">
        <f>Model!BF118</f>
        <v>0</v>
      </c>
      <c r="L24" s="389">
        <f>Model!BK118</f>
        <v>0</v>
      </c>
      <c r="M24" s="389">
        <f>Model!BP118</f>
        <v>0</v>
      </c>
      <c r="N24" s="389">
        <f>Model!BU118</f>
        <v>0</v>
      </c>
      <c r="O24" s="389">
        <f>Model!BZ118</f>
        <v>0</v>
      </c>
      <c r="P24" s="389">
        <f>Model!CE118</f>
        <v>0</v>
      </c>
      <c r="Q24" s="389">
        <f>Model!CJ118</f>
        <v>0</v>
      </c>
      <c r="R24" s="389">
        <f>Model!CO118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 t="str">
        <f>IFERROR(D22*(1-D24),"")</f>
        <v/>
      </c>
      <c r="E25" s="391">
        <f>E22*(1-E24)</f>
        <v>375.822580645161</v>
      </c>
      <c r="F25" s="391">
        <f>F22*(1-F24)</f>
        <v>-43.9386397933249</v>
      </c>
      <c r="G25" s="391">
        <f>G22*(1-G24)</f>
        <v>-215.328050713154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Model!W56</f>
        <v>0</v>
      </c>
      <c r="E26" s="394">
        <f>Model!AB56</f>
        <v>-863</v>
      </c>
      <c r="F26" s="394">
        <f>Model!AG56</f>
        <v>-2454</v>
      </c>
      <c r="G26" s="394">
        <f>Model!AL56</f>
        <v>-2540</v>
      </c>
      <c r="H26" s="394">
        <f>Model!AQ56</f>
        <v>0</v>
      </c>
      <c r="I26" s="394">
        <f>Model!AV56</f>
        <v>0</v>
      </c>
      <c r="J26" s="394">
        <f>Model!BA56</f>
        <v>0</v>
      </c>
      <c r="K26" s="394">
        <f>Model!BF56</f>
        <v>0</v>
      </c>
      <c r="L26" s="395">
        <f>Model!BK56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0</v>
      </c>
      <c r="E27" s="397">
        <f>SUM(E28:E39)</f>
        <v>4052.988</v>
      </c>
      <c r="F27" s="397">
        <f>SUM(F28:F39)</f>
        <v>6329.012</v>
      </c>
      <c r="G27" s="397">
        <f>SUM(G28:G39)</f>
        <v>30975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Model!W266</f>
        <v>0</v>
      </c>
      <c r="E28" s="400">
        <f>Model!AB266</f>
        <v>-416.526</v>
      </c>
      <c r="F28" s="400">
        <f>Model!AG266</f>
        <v>-2752.474</v>
      </c>
      <c r="G28" s="400">
        <f>Model!AL266</f>
        <v>3169</v>
      </c>
      <c r="H28" s="400">
        <f>Model!AQ266</f>
        <v>0</v>
      </c>
      <c r="I28" s="400">
        <f>Model!AV266</f>
        <v>0</v>
      </c>
      <c r="J28" s="400">
        <f>Model!BA266</f>
        <v>0</v>
      </c>
      <c r="K28" s="400">
        <f>Model!BF266</f>
        <v>0</v>
      </c>
      <c r="L28" s="401">
        <f>Model!BK266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Model!W267</f>
        <v>0</v>
      </c>
      <c r="E29" s="400">
        <f>Model!AB267</f>
        <v>0</v>
      </c>
      <c r="F29" s="400">
        <f>Model!AG267</f>
        <v>0</v>
      </c>
      <c r="G29" s="400">
        <f>Model!AL267</f>
        <v>0</v>
      </c>
      <c r="H29" s="400">
        <f>Model!AQ267</f>
        <v>0</v>
      </c>
      <c r="I29" s="400">
        <f>Model!AV267</f>
        <v>0</v>
      </c>
      <c r="J29" s="400">
        <f>Model!BA267</f>
        <v>0</v>
      </c>
      <c r="K29" s="400">
        <f>Model!BF267</f>
        <v>0</v>
      </c>
      <c r="L29" s="401">
        <f>Model!BK267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Model!W268</f>
        <v>0</v>
      </c>
      <c r="E30" s="400">
        <f>Model!AB268</f>
        <v>0</v>
      </c>
      <c r="F30" s="400">
        <f>Model!AG268</f>
        <v>0</v>
      </c>
      <c r="G30" s="400">
        <f>Model!AL268</f>
        <v>0</v>
      </c>
      <c r="H30" s="400">
        <f>Model!AQ268</f>
        <v>0</v>
      </c>
      <c r="I30" s="400">
        <f>Model!AV268</f>
        <v>0</v>
      </c>
      <c r="J30" s="400">
        <f>Model!BA268</f>
        <v>0</v>
      </c>
      <c r="K30" s="400">
        <f>Model!BF268</f>
        <v>0</v>
      </c>
      <c r="L30" s="401">
        <f>Model!BK268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Model!W269</f>
        <v>0</v>
      </c>
      <c r="E31" s="400">
        <f>Model!AB269</f>
        <v>0</v>
      </c>
      <c r="F31" s="400">
        <f>Model!AG269</f>
        <v>0</v>
      </c>
      <c r="G31" s="400">
        <f>Model!AL269</f>
        <v>0</v>
      </c>
      <c r="H31" s="400">
        <f>Model!AQ269</f>
        <v>0</v>
      </c>
      <c r="I31" s="400">
        <f>Model!AV269</f>
        <v>0</v>
      </c>
      <c r="J31" s="400">
        <f>Model!BA269</f>
        <v>0</v>
      </c>
      <c r="K31" s="400">
        <f>Model!BF269</f>
        <v>0</v>
      </c>
      <c r="L31" s="401">
        <f>Model!BK269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Model!W270</f>
        <v>0</v>
      </c>
      <c r="E32" s="400">
        <f>Model!AB270</f>
        <v>-138.64</v>
      </c>
      <c r="F32" s="400">
        <f>Model!AG270</f>
        <v>-1019.36</v>
      </c>
      <c r="G32" s="400">
        <f>Model!AL270</f>
        <v>-282</v>
      </c>
      <c r="H32" s="400">
        <f>Model!AQ270</f>
        <v>0</v>
      </c>
      <c r="I32" s="400">
        <f>Model!AV270</f>
        <v>0</v>
      </c>
      <c r="J32" s="400">
        <f>Model!BA270</f>
        <v>0</v>
      </c>
      <c r="K32" s="400">
        <f>Model!BF270</f>
        <v>0</v>
      </c>
      <c r="L32" s="401">
        <f>Model!BK270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Model!W271</f>
        <v>0</v>
      </c>
      <c r="E33" s="400">
        <f>Model!AB271</f>
        <v>868.259</v>
      </c>
      <c r="F33" s="400">
        <f>Model!AG271</f>
        <v>754.741</v>
      </c>
      <c r="G33" s="400">
        <f>Model!AL271</f>
        <v>-1623</v>
      </c>
      <c r="H33" s="400">
        <f>Model!AQ271</f>
        <v>0</v>
      </c>
      <c r="I33" s="400">
        <f>Model!AV271</f>
        <v>0</v>
      </c>
      <c r="J33" s="400">
        <f>Model!BA271</f>
        <v>0</v>
      </c>
      <c r="K33" s="400">
        <f>Model!BF271</f>
        <v>0</v>
      </c>
      <c r="L33" s="401">
        <f>Model!BK271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Model!W272</f>
        <v>0</v>
      </c>
      <c r="E34" s="400">
        <f>Model!AB272</f>
        <v>355.821</v>
      </c>
      <c r="F34" s="400">
        <f>Model!AG272</f>
        <v>5417.179</v>
      </c>
      <c r="G34" s="400">
        <f>Model!AL272</f>
        <v>-5773</v>
      </c>
      <c r="H34" s="400" t="e">
        <f>Model!AQ272</f>
        <v>#DIV/0!</v>
      </c>
      <c r="I34" s="400" t="e">
        <f>Model!AV272</f>
        <v>#DIV/0!</v>
      </c>
      <c r="J34" s="400" t="e">
        <f>Model!BA272</f>
        <v>#DIV/0!</v>
      </c>
      <c r="K34" s="400" t="e">
        <f>Model!BF272</f>
        <v>#DIV/0!</v>
      </c>
      <c r="L34" s="401" t="e">
        <f>Model!BK272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Model!W273</f>
        <v>0</v>
      </c>
      <c r="E35" s="400">
        <f>Model!AB273</f>
        <v>0</v>
      </c>
      <c r="F35" s="400">
        <f>Model!AG273</f>
        <v>0</v>
      </c>
      <c r="G35" s="400">
        <f>Model!AL273</f>
        <v>0</v>
      </c>
      <c r="H35" s="400" t="e">
        <f>Model!AQ273</f>
        <v>#DIV/0!</v>
      </c>
      <c r="I35" s="400" t="e">
        <f>Model!AV273</f>
        <v>#DIV/0!</v>
      </c>
      <c r="J35" s="400" t="e">
        <f>Model!BA273</f>
        <v>#DIV/0!</v>
      </c>
      <c r="K35" s="400" t="e">
        <f>Model!BF273</f>
        <v>#DIV/0!</v>
      </c>
      <c r="L35" s="401" t="e">
        <f>Model!BK273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Model!W274</f>
        <v>0</v>
      </c>
      <c r="E36" s="400">
        <f>Model!AB274</f>
        <v>1056.972</v>
      </c>
      <c r="F36" s="400">
        <f>Model!AG274</f>
        <v>852.028</v>
      </c>
      <c r="G36" s="400">
        <f>Model!AL274</f>
        <v>8367</v>
      </c>
      <c r="H36" s="400">
        <f>Model!AQ274</f>
        <v>0</v>
      </c>
      <c r="I36" s="400">
        <f>Model!AV274</f>
        <v>0</v>
      </c>
      <c r="J36" s="400">
        <f>Model!BA274</f>
        <v>0</v>
      </c>
      <c r="K36" s="400">
        <f>Model!BF274</f>
        <v>0</v>
      </c>
      <c r="L36" s="401">
        <f>Model!BK274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Model!W275</f>
        <v>0</v>
      </c>
      <c r="E37" s="400">
        <f>Model!AB275</f>
        <v>149.232</v>
      </c>
      <c r="F37" s="400">
        <f>Model!AG275</f>
        <v>-34.232</v>
      </c>
      <c r="G37" s="400">
        <f>Model!AL275</f>
        <v>141</v>
      </c>
      <c r="H37" s="400">
        <f>Model!AQ275</f>
        <v>0</v>
      </c>
      <c r="I37" s="400">
        <f>Model!AV275</f>
        <v>0</v>
      </c>
      <c r="J37" s="400">
        <f>Model!BA275</f>
        <v>0</v>
      </c>
      <c r="K37" s="400">
        <f>Model!BF275</f>
        <v>0</v>
      </c>
      <c r="L37" s="401">
        <f>Model!BK275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(Model!W175-Model!R175)*-1</f>
        <v>0</v>
      </c>
      <c r="E38" s="400">
        <f>(Model!AB175-Model!W175)*-1</f>
        <v>-1387.576</v>
      </c>
      <c r="F38" s="400">
        <f>(Model!AG175-Model!AB175)*-1</f>
        <v>-302.424</v>
      </c>
      <c r="G38" s="400">
        <f>(Model!AL175-Model!AG175)*-1</f>
        <v>-1183</v>
      </c>
      <c r="H38" s="400">
        <f>(Model!AQ175-Model!AL175)*-1</f>
        <v>0</v>
      </c>
      <c r="I38" s="400">
        <f>(Model!AV175-Model!AQ175)*-1</f>
        <v>0</v>
      </c>
      <c r="J38" s="400">
        <f>(Model!BA175-Model!AV175)*-1</f>
        <v>0</v>
      </c>
      <c r="K38" s="400">
        <f>(Model!BF175-Model!BA175)*-1</f>
        <v>0</v>
      </c>
      <c r="L38" s="401">
        <f>(Model!BK175-Model!BF175)*-1</f>
        <v>0</v>
      </c>
      <c r="M38" s="349">
        <f>(Model!BP175-Model!BK175)*-1</f>
        <v>0</v>
      </c>
      <c r="N38" s="349">
        <f>(Model!BU175-Model!BP175)*-1</f>
        <v>0</v>
      </c>
      <c r="O38" s="349">
        <f>(Model!BZ175-Model!BU175)*-1</f>
        <v>0</v>
      </c>
      <c r="P38" s="349">
        <f>(Model!CE175-Model!BZ175)*-1</f>
        <v>0</v>
      </c>
      <c r="Q38" s="349">
        <f>(Model!CJ175-Model!CE175)*-1</f>
        <v>0</v>
      </c>
      <c r="R38" s="349">
        <f>(Model!CO175-Model!CJ175)*-1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Model!W226-Model!R226</f>
        <v>0</v>
      </c>
      <c r="E39" s="400">
        <f>Model!AB226-Model!W226</f>
        <v>3565.446</v>
      </c>
      <c r="F39" s="400">
        <f>Model!AG226-Model!AB226</f>
        <v>3413.554</v>
      </c>
      <c r="G39" s="400">
        <f>Model!AL226-Model!AG226</f>
        <v>28159</v>
      </c>
      <c r="H39" s="400">
        <f>Model!AQ226-Model!AL226</f>
        <v>0</v>
      </c>
      <c r="I39" s="400">
        <f>Model!AV226-Model!AQ226</f>
        <v>0</v>
      </c>
      <c r="J39" s="400">
        <f>Model!BA226-Model!AV226</f>
        <v>0</v>
      </c>
      <c r="K39" s="400">
        <f>Model!BF226-Model!BA226</f>
        <v>0</v>
      </c>
      <c r="L39" s="401">
        <f>Model!BK226-Model!BF226</f>
        <v>0</v>
      </c>
      <c r="M39" s="349">
        <f>Model!BP226-Model!BK226</f>
        <v>0</v>
      </c>
      <c r="N39" s="349">
        <f>Model!BU226-Model!BP226</f>
        <v>0</v>
      </c>
      <c r="O39" s="349">
        <f>Model!BZ226-Model!BU226</f>
        <v>0</v>
      </c>
      <c r="P39" s="349">
        <f>Model!CE226-Model!BZ226</f>
        <v>0</v>
      </c>
      <c r="Q39" s="349">
        <f>Model!CJ226-Model!CE226</f>
        <v>0</v>
      </c>
      <c r="R39" s="349">
        <f>Model!CO226-Model!CJ226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0</v>
      </c>
      <c r="E44" s="397">
        <f>SUM(E27+E40+E41+E42+E26)</f>
        <v>3189.988</v>
      </c>
      <c r="F44" s="397">
        <f>SUM(F27+F40+F41+F42+F26)</f>
        <v>3875.012</v>
      </c>
      <c r="G44" s="397">
        <f>SUM(G27+G40+G41+G42+G26)</f>
        <v>28435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Model!W336</f>
        <v>0</v>
      </c>
      <c r="E46" s="400">
        <f>Model!AB336</f>
        <v>10625.018</v>
      </c>
      <c r="F46" s="400">
        <f>Model!AG336</f>
        <v>29857</v>
      </c>
      <c r="G46" s="400">
        <f>Model!AL336</f>
        <v>23331</v>
      </c>
      <c r="H46" s="400" t="e">
        <f>Model!AQ336</f>
        <v>#DIV/0!</v>
      </c>
      <c r="I46" s="400" t="e">
        <f>Model!AV336</f>
        <v>#DIV/0!</v>
      </c>
      <c r="J46" s="400" t="e">
        <f>Model!BA336</f>
        <v>#DIV/0!</v>
      </c>
      <c r="K46" s="400" t="e">
        <f>Model!BF336</f>
        <v>#DIV/0!</v>
      </c>
      <c r="L46" s="400" t="e">
        <f>Model!BK336</f>
        <v>#DIV/0!</v>
      </c>
      <c r="M46" s="409" t="e">
        <f>Model!BP336</f>
        <v>#DIV/0!</v>
      </c>
      <c r="N46" s="409" t="e">
        <f>Model!BU336</f>
        <v>#DIV/0!</v>
      </c>
      <c r="O46" s="409" t="e">
        <f>Model!BZ336</f>
        <v>#DIV/0!</v>
      </c>
      <c r="P46" s="409" t="e">
        <f>Model!CE336</f>
        <v>#DIV/0!</v>
      </c>
      <c r="Q46" s="409" t="e">
        <f>Model!CJ336</f>
        <v>#DIV/0!</v>
      </c>
      <c r="R46" s="409" t="e">
        <f>Model!CO336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Model!W337</f>
        <v>0</v>
      </c>
      <c r="E47" s="400">
        <f>Model!AB337</f>
        <v>10605.474</v>
      </c>
      <c r="F47" s="400">
        <f>Model!AG337</f>
        <v>28756</v>
      </c>
      <c r="G47" s="400">
        <f>Model!AL337</f>
        <v>22230</v>
      </c>
      <c r="H47" s="400" t="e">
        <f>Model!AQ337</f>
        <v>#DIV/0!</v>
      </c>
      <c r="I47" s="400" t="e">
        <f>Model!AV337</f>
        <v>#DIV/0!</v>
      </c>
      <c r="J47" s="400" t="e">
        <f>Model!BA337</f>
        <v>#DIV/0!</v>
      </c>
      <c r="K47" s="400" t="e">
        <f>Model!BF337</f>
        <v>#DIV/0!</v>
      </c>
      <c r="L47" s="400" t="e">
        <f>Model!BK337</f>
        <v>#DIV/0!</v>
      </c>
      <c r="M47" s="349" t="e">
        <f>Model!BP337</f>
        <v>#DIV/0!</v>
      </c>
      <c r="N47" s="349" t="e">
        <f>Model!BU337</f>
        <v>#DIV/0!</v>
      </c>
      <c r="O47" s="349" t="e">
        <f>Model!BZ337</f>
        <v>#DIV/0!</v>
      </c>
      <c r="P47" s="349" t="e">
        <f>Model!CE337</f>
        <v>#DIV/0!</v>
      </c>
      <c r="Q47" s="349" t="e">
        <f>Model!CJ337</f>
        <v>#DIV/0!</v>
      </c>
      <c r="R47" s="349" t="e">
        <f>Model!CO337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 t="str">
        <f>IFERROR(D46/D18,"")</f>
        <v/>
      </c>
      <c r="E48" s="386">
        <f>E46/E18</f>
        <v>5.54831227154047</v>
      </c>
      <c r="F48" s="386">
        <f>F46/F18</f>
        <v>5.81942002658569</v>
      </c>
      <c r="G48" s="386">
        <f>G46/G18</f>
        <v>3.07408315084629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-0.00809686586121508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 t="str">
        <f>IFERROR(D18/D46,"")</f>
        <v/>
      </c>
      <c r="E51" s="419">
        <f>E18/E46</f>
        <v>0.180234988778372</v>
      </c>
      <c r="F51" s="419">
        <f>F18/F46</f>
        <v>0.171838429848947</v>
      </c>
      <c r="G51" s="419">
        <f>G18/G46</f>
        <v>0.325300244310145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 t="str">
        <f>IFERROR(D25+D44,"")</f>
        <v/>
      </c>
      <c r="E53" s="420">
        <f>E25+E44</f>
        <v>3565.81058064516</v>
      </c>
      <c r="F53" s="420">
        <f>F25+F44</f>
        <v>3831.07336020668</v>
      </c>
      <c r="G53" s="421">
        <f>(G25+G44)*stub_year_fraction</f>
        <v>7344.84612378699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0.0393615996562004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2026-10-16T00:11:41Z</dcterms:modified>
  <cp:lastModifiedBy>Lucas Nascimento</cp:lastModifiedBy>
  <cp:revision>0</cp:revision>
</cp:coreProperties>
</file>